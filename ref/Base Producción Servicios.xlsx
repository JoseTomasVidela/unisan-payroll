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DUCCION D&amp;R-SERVICIOS\PRODUCCION 2026\2026-05 MAYO\"/>
    </mc:Choice>
  </mc:AlternateContent>
  <xr:revisionPtr revIDLastSave="0" documentId="13_ncr:1_{B60A7C6D-2CC1-4879-A8D8-9DD7F49B9E09}" xr6:coauthVersionLast="47" xr6:coauthVersionMax="47" xr10:uidLastSave="{00000000-0000-0000-0000-000000000000}"/>
  <bookViews>
    <workbookView showHorizontalScroll="0" showVerticalScroll="0" xWindow="-120" yWindow="-120" windowWidth="29040" windowHeight="15840" activeTab="2" xr2:uid="{026B4E21-4A17-485E-8AE0-04EB7B28D27B}"/>
  </bookViews>
  <sheets>
    <sheet name="Conductores" sheetId="3" r:id="rId1"/>
    <sheet name="Auxiliares" sheetId="4" r:id="rId2"/>
    <sheet name="Base Datos" sheetId="1" r:id="rId3"/>
  </sheets>
  <definedNames>
    <definedName name="_xlnm._FilterDatabase" localSheetId="2" hidden="1">'Base Datos'!$A$1:$Y$5610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16" i="1" l="1"/>
  <c r="I4447" i="1" l="1"/>
  <c r="I4415" i="1" l="1"/>
  <c r="I4414" i="1"/>
  <c r="I4412" i="1"/>
  <c r="I4410" i="1"/>
  <c r="I4404" i="1"/>
  <c r="I4403" i="1"/>
  <c r="I4402" i="1"/>
  <c r="I4401" i="1"/>
  <c r="I4399" i="1"/>
  <c r="I4395" i="1"/>
  <c r="I4393" i="1"/>
  <c r="I4390" i="1"/>
  <c r="I4388" i="1"/>
  <c r="I4385" i="1"/>
  <c r="I4384" i="1"/>
  <c r="I4383" i="1"/>
  <c r="I4382" i="1"/>
  <c r="I4381" i="1"/>
  <c r="I4380" i="1"/>
  <c r="I4378" i="1"/>
  <c r="I4377" i="1"/>
  <c r="I4375" i="1"/>
  <c r="I4373" i="1"/>
  <c r="I4371" i="1"/>
  <c r="I4369" i="1"/>
  <c r="I4366" i="1"/>
  <c r="I4365" i="1"/>
  <c r="I4364" i="1"/>
  <c r="I4361" i="1"/>
  <c r="I4360" i="1"/>
  <c r="I4334" i="1"/>
  <c r="U4332" i="1"/>
  <c r="U4331" i="1"/>
  <c r="U4329" i="1"/>
  <c r="I4326" i="1"/>
  <c r="I4325" i="1"/>
  <c r="I4324" i="1"/>
  <c r="I4322" i="1"/>
  <c r="I4320" i="1"/>
  <c r="I4319" i="1"/>
  <c r="I4315" i="1"/>
  <c r="I4313" i="1"/>
  <c r="I4312" i="1"/>
  <c r="I4311" i="1"/>
  <c r="I4309" i="1"/>
  <c r="I4308" i="1"/>
  <c r="I4307" i="1"/>
  <c r="I4306" i="1"/>
  <c r="I4304" i="1"/>
  <c r="I4302" i="1"/>
  <c r="I4298" i="1"/>
  <c r="I4297" i="1"/>
  <c r="I4296" i="1"/>
  <c r="I4294" i="1"/>
  <c r="I4293" i="1"/>
  <c r="I4292" i="1"/>
  <c r="I4291" i="1"/>
  <c r="I4289" i="1"/>
  <c r="I4287" i="1"/>
  <c r="I4286" i="1"/>
  <c r="I4285" i="1"/>
  <c r="I4283" i="1"/>
  <c r="I4281" i="1"/>
  <c r="I4275" i="1"/>
  <c r="I4274" i="1"/>
  <c r="I4273" i="1"/>
  <c r="I4272" i="1"/>
  <c r="I4264" i="1"/>
  <c r="I4261" i="1"/>
  <c r="I4260" i="1"/>
  <c r="I4258" i="1"/>
  <c r="I4254" i="1"/>
  <c r="I4253" i="1"/>
  <c r="I4252" i="1"/>
  <c r="I4241" i="1" l="1"/>
  <c r="I4239" i="1"/>
  <c r="I4237" i="1"/>
  <c r="I4233" i="1"/>
  <c r="I4230" i="1"/>
  <c r="I4226" i="1"/>
  <c r="I4217" i="1"/>
  <c r="I4215" i="1"/>
  <c r="I4214" i="1"/>
  <c r="I4213" i="1"/>
  <c r="I4209" i="1"/>
  <c r="I4206" i="1"/>
  <c r="I4205" i="1"/>
  <c r="I4203" i="1"/>
  <c r="I4199" i="1"/>
  <c r="I4197" i="1"/>
  <c r="I4190" i="1"/>
  <c r="I4189" i="1"/>
  <c r="I4188" i="1"/>
  <c r="I4187" i="1"/>
  <c r="I4186" i="1"/>
  <c r="I4182" i="1"/>
  <c r="I4181" i="1"/>
  <c r="I4180" i="1"/>
  <c r="I4179" i="1"/>
  <c r="I4177" i="1"/>
  <c r="I4175" i="1"/>
  <c r="I4173" i="1"/>
  <c r="I4169" i="1"/>
  <c r="I4168" i="1"/>
  <c r="I4167" i="1"/>
  <c r="I4166" i="1"/>
  <c r="I4161" i="1"/>
  <c r="I4160" i="1"/>
  <c r="I4158" i="1"/>
  <c r="I4152" i="1"/>
  <c r="I4150" i="1"/>
  <c r="I4149" i="1"/>
  <c r="I4148" i="1"/>
  <c r="I4147" i="1"/>
  <c r="I4145" i="1"/>
  <c r="I4143" i="1"/>
  <c r="I4134" i="1"/>
  <c r="I4133" i="1"/>
  <c r="I4132" i="1"/>
  <c r="T4131" i="1"/>
  <c r="T3752" i="1"/>
  <c r="Q3752" i="1"/>
  <c r="T3753" i="1" l="1"/>
  <c r="I3980" i="1"/>
  <c r="U3880" i="1"/>
  <c r="U4120" i="1" l="1"/>
  <c r="U3878" i="1"/>
  <c r="X4120" i="1"/>
  <c r="T3248" i="1" l="1"/>
  <c r="Q2473" i="1" l="1"/>
  <c r="I2621" i="1"/>
  <c r="I2267" i="1" l="1"/>
  <c r="I2279" i="1" l="1"/>
  <c r="I2273" i="1"/>
  <c r="I2344" i="1" l="1"/>
  <c r="I2322" i="1"/>
  <c r="I2281" i="1"/>
  <c r="I2280" i="1"/>
  <c r="I2278" i="1"/>
  <c r="I2275" i="1"/>
  <c r="I2268" i="1"/>
  <c r="I2266" i="1"/>
  <c r="I2264" i="1"/>
  <c r="I2262" i="1"/>
  <c r="I2261" i="1"/>
  <c r="I2260" i="1"/>
  <c r="I2258" i="1"/>
  <c r="I2255" i="1"/>
  <c r="I2251" i="1"/>
  <c r="I2250" i="1"/>
  <c r="I2249" i="1"/>
  <c r="I2248" i="1"/>
  <c r="I2246" i="1"/>
  <c r="I2245" i="1"/>
  <c r="I2244" i="1"/>
  <c r="I2242" i="1"/>
  <c r="I2239" i="1"/>
  <c r="I2236" i="1"/>
  <c r="I2235" i="1"/>
  <c r="I2230" i="1"/>
  <c r="I2229" i="1"/>
  <c r="I2228" i="1"/>
  <c r="I2225" i="1"/>
  <c r="I2224" i="1"/>
  <c r="I2222" i="1"/>
  <c r="I2221" i="1"/>
  <c r="I2218" i="1"/>
  <c r="I2215" i="1"/>
  <c r="I2212" i="1"/>
  <c r="I2210" i="1"/>
  <c r="I2208" i="1"/>
  <c r="I2202" i="1"/>
  <c r="I2198" i="1"/>
  <c r="I2196" i="1"/>
  <c r="I2195" i="1"/>
  <c r="I2193" i="1"/>
  <c r="I2192" i="1"/>
  <c r="I2191" i="1"/>
  <c r="I2190" i="1"/>
  <c r="I2189" i="1"/>
  <c r="I2187" i="1"/>
  <c r="I2185" i="1"/>
  <c r="I2184" i="1"/>
  <c r="I2183" i="1"/>
  <c r="I2180" i="1"/>
  <c r="I2178" i="1"/>
  <c r="I2172" i="1"/>
  <c r="I2171" i="1"/>
  <c r="I2170" i="1"/>
  <c r="I2168" i="1"/>
  <c r="I1508" i="1" l="1"/>
  <c r="I1553" i="1"/>
  <c r="I1470" i="1"/>
  <c r="I769" i="1" l="1"/>
  <c r="I397" i="1" l="1"/>
  <c r="I389" i="1"/>
  <c r="I388" i="1"/>
  <c r="I384" i="1"/>
  <c r="I383" i="1"/>
  <c r="I381" i="1"/>
  <c r="I379" i="1"/>
  <c r="I378" i="1"/>
  <c r="I377" i="1"/>
  <c r="I375" i="1"/>
  <c r="I374" i="1"/>
  <c r="I370" i="1"/>
  <c r="I369" i="1"/>
  <c r="I367" i="1"/>
  <c r="I365" i="1"/>
  <c r="I360" i="1"/>
  <c r="I358" i="1"/>
  <c r="I357" i="1"/>
  <c r="I355" i="1"/>
  <c r="I354" i="1"/>
  <c r="I351" i="1"/>
  <c r="I350" i="1"/>
  <c r="I349" i="1"/>
  <c r="I347" i="1"/>
  <c r="I344" i="1"/>
  <c r="I342" i="1"/>
  <c r="I340" i="1"/>
  <c r="I338" i="1"/>
  <c r="I337" i="1"/>
  <c r="I336" i="1"/>
  <c r="I333" i="1"/>
  <c r="I331" i="1"/>
  <c r="I330" i="1"/>
  <c r="I329" i="1"/>
  <c r="I323" i="1"/>
  <c r="I320" i="1"/>
  <c r="I318" i="1"/>
  <c r="I317" i="1"/>
  <c r="I313" i="1"/>
  <c r="I308" i="1"/>
  <c r="I303" i="1"/>
  <c r="I300" i="1"/>
  <c r="I299" i="1"/>
  <c r="I298" i="1"/>
  <c r="I294" i="1"/>
  <c r="I292" i="1"/>
  <c r="I291" i="1"/>
  <c r="I289" i="1"/>
  <c r="I286" i="1"/>
  <c r="I285" i="1"/>
  <c r="I283" i="1"/>
  <c r="I278" i="1"/>
  <c r="I277" i="1"/>
  <c r="I275" i="1"/>
  <c r="I273" i="1"/>
</calcChain>
</file>

<file path=xl/sharedStrings.xml><?xml version="1.0" encoding="utf-8"?>
<sst xmlns="http://schemas.openxmlformats.org/spreadsheetml/2006/main" count="34158" uniqueCount="4158">
  <si>
    <t>Operador</t>
  </si>
  <si>
    <t>Codigo de Usuario</t>
  </si>
  <si>
    <t>Auxiliar1</t>
  </si>
  <si>
    <t>Auxiliar2</t>
  </si>
  <si>
    <t>Fecha Inicial</t>
  </si>
  <si>
    <t>Fecha Final</t>
  </si>
  <si>
    <t>Duracion</t>
  </si>
  <si>
    <t>Estado</t>
  </si>
  <si>
    <t>Aseo</t>
  </si>
  <si>
    <t>Secado</t>
  </si>
  <si>
    <t>Despacho / Retiro</t>
  </si>
  <si>
    <t>Entrada &lt; 07:30</t>
  </si>
  <si>
    <t>Salida &gt; 19:30</t>
  </si>
  <si>
    <t>Fuera Radio Normal</t>
  </si>
  <si>
    <t>Fuera Radio V Región</t>
  </si>
  <si>
    <t>Entrega Kit</t>
  </si>
  <si>
    <t>Carga Lavamanos</t>
  </si>
  <si>
    <t>Sabado</t>
  </si>
  <si>
    <t>Domingo</t>
  </si>
  <si>
    <t>Aseo Fin de Semana</t>
  </si>
  <si>
    <t>Secado Fin de Semana</t>
  </si>
  <si>
    <t>Sabado &gt; 16:00</t>
  </si>
  <si>
    <t>Domingo &gt; 16:00</t>
  </si>
  <si>
    <t>Succión Riles (M3)</t>
  </si>
  <si>
    <t>URL</t>
  </si>
  <si>
    <t>Alfredo Cona</t>
  </si>
  <si>
    <t>Osman Perez</t>
  </si>
  <si>
    <t>Sin Auxiliar</t>
  </si>
  <si>
    <t>Ok</t>
  </si>
  <si>
    <t>Boris López</t>
  </si>
  <si>
    <t>Sergio Toledo</t>
  </si>
  <si>
    <t>Cesar Moreno</t>
  </si>
  <si>
    <t>Alejandro Osorio</t>
  </si>
  <si>
    <t xml:space="preserve">Cristian Gonzalez </t>
  </si>
  <si>
    <t>Edgar Benavides</t>
  </si>
  <si>
    <t>Patricio Ramirez</t>
  </si>
  <si>
    <t>Fernando Diaz</t>
  </si>
  <si>
    <t>Cristian Araya</t>
  </si>
  <si>
    <t>Jose Arredondo</t>
  </si>
  <si>
    <t>Antonio Palma</t>
  </si>
  <si>
    <t>Juan Santibañez</t>
  </si>
  <si>
    <t>Luis Dugo</t>
  </si>
  <si>
    <t>Victor Araneda</t>
  </si>
  <si>
    <t>Maximiliano Arancibia</t>
  </si>
  <si>
    <t>Carlos Correa</t>
  </si>
  <si>
    <t>Patricio Cubillos</t>
  </si>
  <si>
    <t>Juan Aravena</t>
  </si>
  <si>
    <t>Pedro Arcos</t>
  </si>
  <si>
    <t>Rodrigo Bascuñan</t>
  </si>
  <si>
    <t>Ramon Gallardo</t>
  </si>
  <si>
    <t>Jordan Gaete</t>
  </si>
  <si>
    <t>Roberto Briones</t>
  </si>
  <si>
    <t>Jose Oca</t>
  </si>
  <si>
    <t>Rody Osorio</t>
  </si>
  <si>
    <t>Roberto Ramirez</t>
  </si>
  <si>
    <t>Alexander Marchant</t>
  </si>
  <si>
    <t xml:space="preserve">Antonio Riquelme </t>
  </si>
  <si>
    <t>Juan Cuadra</t>
  </si>
  <si>
    <t>Victor Reyes</t>
  </si>
  <si>
    <t>Total general</t>
  </si>
  <si>
    <t>Etiquetas de fila</t>
  </si>
  <si>
    <t>Suma de Despacho / Retiro</t>
  </si>
  <si>
    <t>Suma de Salida &gt; 19:30</t>
  </si>
  <si>
    <t>Suma de Fuera Radio Normal</t>
  </si>
  <si>
    <t>Suma de Fuera Radio V Región</t>
  </si>
  <si>
    <t>Suma de Sabado</t>
  </si>
  <si>
    <t>Suma de Domingo</t>
  </si>
  <si>
    <t>Suma de Domingo &gt; 16:00</t>
  </si>
  <si>
    <t>Suma de Secado</t>
  </si>
  <si>
    <t>Total Suma de Despacho / Retiro</t>
  </si>
  <si>
    <t>Total Suma de Salida &gt; 19:30</t>
  </si>
  <si>
    <t>Total Suma de Fuera Radio Normal</t>
  </si>
  <si>
    <t>Total Suma de Fuera Radio V Región</t>
  </si>
  <si>
    <t>Total Suma de Sabado</t>
  </si>
  <si>
    <t>Total Suma de Domingo</t>
  </si>
  <si>
    <t>Total Suma de Domingo &gt; 16:00</t>
  </si>
  <si>
    <t>Total Suma de Secado</t>
  </si>
  <si>
    <t>..</t>
  </si>
  <si>
    <t>Total Suma de Aseo</t>
  </si>
  <si>
    <t>Suma de Aseo</t>
  </si>
  <si>
    <t>Total Suma de Entrada &lt; 07:30</t>
  </si>
  <si>
    <t>Suma de Entrada &lt; 07:30</t>
  </si>
  <si>
    <t>Total Suma de Entrega Kit</t>
  </si>
  <si>
    <t>Suma de Entrega Kit</t>
  </si>
  <si>
    <t>Total Suma de Carga Lavamanos</t>
  </si>
  <si>
    <t>Suma de Carga Lavamanos</t>
  </si>
  <si>
    <t>Total Suma de Aseo Fin de Semana</t>
  </si>
  <si>
    <t>Suma de Aseo Fin de Semana</t>
  </si>
  <si>
    <t>Total Suma de Secado Fin de Semana</t>
  </si>
  <si>
    <t>Suma de Secado Fin de Semana</t>
  </si>
  <si>
    <t>Total Suma de Sabado &gt; 16:00</t>
  </si>
  <si>
    <t>Suma de Sabado &gt; 16:00</t>
  </si>
  <si>
    <t>Total Suma de Succión Riles (M3)</t>
  </si>
  <si>
    <t>Suma de Succión Riles (M3)</t>
  </si>
  <si>
    <t>N/A</t>
  </si>
  <si>
    <t>Gilmar Ospino</t>
  </si>
  <si>
    <t>OP-S-106</t>
  </si>
  <si>
    <t>https://www.clickideacore.com/ClickHTML5/Visit.aspx?ID=//5FDAEwASwAzADMANgA0ADkAMgA4ADgASQBEAEUAQQAF=&amp;Tipo=2&amp;ST=1&amp;nLang=0</t>
  </si>
  <si>
    <t>OP-S-013</t>
  </si>
  <si>
    <t>https://www.clickideacore.com/ClickHTML5/Visit.aspx?ID=//5DDAEwASwAzADMANgAzADgAOQA4ADkASQBEAEUAQQA3=&amp;Tipo=2&amp;ST=1&amp;nLang=0</t>
  </si>
  <si>
    <t>OP-S-009</t>
  </si>
  <si>
    <t>https://www.clickideacore.com/ClickHTML5/Visit.aspx?ID=//5BDAEwASwAzADMANgAzADUANAA5ADAASQBEAEUAQQA8=&amp;Tipo=2&amp;ST=1&amp;nLang=0</t>
  </si>
  <si>
    <t>OP-S-062</t>
  </si>
  <si>
    <t>https://www.clickideacore.com/ClickHTML5/Visit.aspx?ID=//5BDAEwASwAzADMANgAzADkAMgA4ADkASQBEAEUAQQA3=&amp;Tipo=2&amp;ST=1&amp;nLang=0</t>
  </si>
  <si>
    <t>OP-S-018</t>
  </si>
  <si>
    <t>https://www.clickideacore.com/ClickHTML5/Visit.aspx?ID=//54DAEwASwAzADMANgAzADgANgA4ADAASQBEAEUAQQA0=&amp;Tipo=2&amp;ST=1&amp;nLang=0</t>
  </si>
  <si>
    <t>OP-S-055</t>
  </si>
  <si>
    <t>https://www.clickideacore.com/ClickHTML5/Visit.aspx?ID=//53DAEwASwAzADMANgA0ADUANQA2ADgASQBEAEUAQQA4=&amp;Tipo=2&amp;ST=1&amp;nLang=0</t>
  </si>
  <si>
    <t>OP-S-R-001</t>
  </si>
  <si>
    <t>https://www.clickideacore.com/ClickHTML5/Visit.aspx?ID=//54DAEwASwAzADMANgAzADkANQA1ADEASQBEAEUAQQAF=&amp;Tipo=2&amp;ST=1&amp;nLang=0</t>
  </si>
  <si>
    <t>OP-S-010</t>
  </si>
  <si>
    <t>https://www.clickideacore.com/ClickHTML5/Visit.aspx?ID=//5EDAEwASwAzADMANgAzADcAOAA0ADcASQBEAEUAQQAA=&amp;Tipo=2&amp;ST=1&amp;nLang=0</t>
  </si>
  <si>
    <t>OP-S-004</t>
  </si>
  <si>
    <t>https://www.clickideacore.com/ClickHTML5/Visit.aspx?ID=//56DAEwASwAzADMANgA0ADAAOAA4ADkASQBEAEUAQQA8=&amp;Tipo=2&amp;ST=1&amp;nLang=0</t>
  </si>
  <si>
    <t>OP-S-001</t>
  </si>
  <si>
    <t>https://www.clickideacore.com/ClickHTML5/Visit.aspx?ID=//5DDAEwASwAzADMANgA0ADgANwA3ADkASQBEAEUAQQA2=&amp;Tipo=2&amp;ST=1&amp;nLang=0</t>
  </si>
  <si>
    <t>OP-S-017</t>
  </si>
  <si>
    <t>https://www.clickideacore.com/ClickHTML5/Visit.aspx?ID=//58DAEwASwAzADMANgA0ADEAMAAxADkASQBEAEUAQQA9=&amp;Tipo=2&amp;ST=1&amp;nLang=0</t>
  </si>
  <si>
    <t>OP-S-70</t>
  </si>
  <si>
    <t>https://www.clickideacore.com/ClickHTML5/Visit.aspx?ID=//59DAEwASwAzADMANgA0ADcANQAyADUASQBEAEUAQQA1=&amp;Tipo=2&amp;ST=1&amp;nLang=0</t>
  </si>
  <si>
    <t>OP-S-060</t>
  </si>
  <si>
    <t>https://www.clickideacore.com/ClickHTML5/Visit.aspx?ID=//5DDAEwASwAzADMANgAzADgANwA2ADkASQBEAEUAQQAD=&amp;Tipo=2&amp;ST=1&amp;nLang=0</t>
  </si>
  <si>
    <t>OP-S-011</t>
  </si>
  <si>
    <t>OP-S-012</t>
  </si>
  <si>
    <t>https://www.clickideacore.com/ClickHTML5/Visit.aspx?ID=//59DAEwASwAzADMANgA0ADkAMgA2ADQASQBEAEUAQQA3=&amp;Tipo=2&amp;ST=1&amp;nLang=0</t>
  </si>
  <si>
    <t>OP-S-014</t>
  </si>
  <si>
    <t>https://www.clickideacore.com/ClickHTML5/Visit.aspx?ID=//51DAEwASwAzADMANgA3ADEAOAAyADQASQBEAEUAQQA0=&amp;Tipo=2&amp;ST=1&amp;nLang=0</t>
  </si>
  <si>
    <t>https://www.clickideacore.com/ClickHTML5/Visit.aspx?ID=//5BDAEwASwAzADMANgA2ADMAMQA0ADgASQBEAEUAQQA6=&amp;Tipo=2&amp;ST=1&amp;nLang=0</t>
  </si>
  <si>
    <t>https://www.clickideacore.com/ClickHTML5/Visit.aspx?ID=//5CDAEwASwAzADMANgA2ADIANwAzADIASQBEAEUAQQAA=&amp;Tipo=2&amp;ST=1&amp;nLang=0</t>
  </si>
  <si>
    <t>https://www.clickideacore.com/ClickHTML5/Visit.aspx?ID=//59DAEwASwAzADMANgA2ADkAMgA0ADUASQBEAEUAQQAE=&amp;Tipo=2&amp;ST=1&amp;nLang=0</t>
  </si>
  <si>
    <t>https://www.clickideacore.com/ClickHTML5/Visit.aspx?ID=//5ADAEwASwAzADMANgA2ADMAOQAyADIASQBEAEUAQQA3=&amp;Tipo=2&amp;ST=1&amp;nLang=0</t>
  </si>
  <si>
    <t>https://www.clickideacore.com/ClickHTML5/Visit.aspx?ID=//54DAEwASwAzADMANgA3ADEANgAyADgASQBEAEUAQQA3=&amp;Tipo=2&amp;ST=1&amp;nLang=0</t>
  </si>
  <si>
    <t>https://www.clickideacore.com/ClickHTML5/Visit.aspx?ID=//59DAEwASwAzADMANgA2ADMAMQAzADMASQBEAEUAQQA4=&amp;Tipo=2&amp;ST=1&amp;nLang=0</t>
  </si>
  <si>
    <t>https://www.clickideacore.com/ClickHTML5/Visit.aspx?ID=//55DAEwASwAzADMANgA1ADcANgA4ADEASQBEAEUAQQA0=&amp;Tipo=2&amp;ST=1&amp;nLang=0</t>
  </si>
  <si>
    <t>https://www.clickideacore.com/ClickHTML5/Visit.aspx?ID=//57DAEwASwAzADMANgA2ADIAOAAwADYASQBEAEUAQQA6=&amp;Tipo=2&amp;ST=1&amp;nLang=0</t>
  </si>
  <si>
    <t>https://www.clickideacore.com/ClickHTML5/Visit.aspx?ID=//5ADAEwASwAzADMANgA2ADcANAA1ADMASQBEAEUAQQA8=&amp;Tipo=2&amp;ST=1&amp;nLang=0</t>
  </si>
  <si>
    <t>https://www.clickideacore.com/ClickHTML5/Visit.aspx?ID=//58DAEwASwAzADMANgA1ADkANwAyADAASQBEAEUAQQA8=&amp;Tipo=2&amp;ST=1&amp;nLang=0</t>
  </si>
  <si>
    <t>OP-S-126</t>
  </si>
  <si>
    <t>https://www.clickideacore.com/ClickHTML5/Visit.aspx?ID=//5ADAEwASwAzADMANgA3ADEAOQA3ADYASQBEAEUAQQA4=&amp;Tipo=2&amp;ST=1&amp;nLang=0</t>
  </si>
  <si>
    <t>https://www.clickideacore.com/ClickHTML5/Visit.aspx?ID=//5DDAEwASwAzADMANgA3ADAANwAwADkASQBEAEUAQQA3=&amp;Tipo=2&amp;ST=1&amp;nLang=0</t>
  </si>
  <si>
    <t>https://www.clickideacore.com/ClickHTML5/Visit.aspx?ID=//56DAEwASwAzADMANgA3ADAAOAA3ADgASQBEAEUAQQAF=&amp;Tipo=2&amp;ST=1&amp;nLang=0</t>
  </si>
  <si>
    <t>https://www.clickideacore.com/ClickHTML5/Visit.aspx?ID=//55DAEwASwAzADMANgA3ADEANgAyADIASQBEAEUAQQAC=&amp;Tipo=2&amp;ST=1&amp;nLang=0</t>
  </si>
  <si>
    <t>OP-S-002</t>
  </si>
  <si>
    <t>https://www.clickideacore.com/ClickHTML5/Visit.aspx?ID=//56DAEwASwAzADMANgA3ADAANAA3ADgASQBEAEUAQQA8=&amp;Tipo=2&amp;ST=1&amp;nLang=0</t>
  </si>
  <si>
    <t>OP-S-054</t>
  </si>
  <si>
    <t>https://www.clickideacore.com/ClickHTML5/Visit.aspx?ID=//59DAEwASwAzADMANgA2ADUAMgA5ADYASQBEAEUAQQA5=&amp;Tipo=2&amp;ST=1&amp;nLang=0</t>
  </si>
  <si>
    <t>https://www.clickideacore.com/ClickHTML5/Visit.aspx?ID=//50DAEwASwAzADMANgA4ADQAMwAzADEASQBEAEUAQQAF=&amp;Tipo=2&amp;ST=1&amp;nLang=0</t>
  </si>
  <si>
    <t>https://www.clickideacore.com/ClickHTML5/Visit.aspx?ID=//5FDAEwASwAzADMANgA4ADQAMAAyADAASQBEAEUAQQA5=&amp;Tipo=2&amp;ST=1&amp;nLang=0</t>
  </si>
  <si>
    <t>https://www.clickideacore.com/ClickHTML5/Visit.aspx?ID=//5DDAEwASwAzADMANgA5ADYAMgA2ADYASQBEAEUAQQAC=&amp;Tipo=2&amp;ST=1&amp;nLang=0</t>
  </si>
  <si>
    <t>OP-S-0010</t>
  </si>
  <si>
    <t>https://www.clickideacore.com/ClickHTML5/Visit.aspx?ID=//55DAEwASwAzADMANgA5ADMANgA5ADIASQBEAEUAQQA8=&amp;Tipo=2&amp;ST=1&amp;nLang=0</t>
  </si>
  <si>
    <t>https://www.clickideacore.com/ClickHTML5/Visit.aspx?ID=//5DDAEwASwAzADMANwAxADgAOQAzADcASQBEAEUAQQA4=&amp;Tipo=2&amp;ST=1&amp;nLang=0</t>
  </si>
  <si>
    <t>https://www.clickideacore.com/ClickHTML5/Visit.aspx?ID=//57DAEwASwAzADMANwAxADAAMQAzADgASQBEAEUAQQAC=&amp;Tipo=2&amp;ST=1&amp;nLang=0</t>
  </si>
  <si>
    <t>https://www.clickideacore.com/ClickHTML5/Visit.aspx?ID=//5CDAEwASwAzADMANwAwADUAOQAyADkASQBEAEUAQQA3=&amp;Tipo=2&amp;ST=1&amp;nLang=0</t>
  </si>
  <si>
    <t>https://www.clickideacore.com/ClickHTML5/Visit.aspx?ID=//55DAEwASwAzADMANwAxADcAOQAwADQASQBEAEUAQQA9=&amp;Tipo=2&amp;ST=1&amp;nLang=0</t>
  </si>
  <si>
    <t>https://www.clickideacore.com/ClickHTML5/Visit.aspx?ID=//51DAEwASwAzADMANwAwADYANwA2ADUASQBEAEUAQQA1=&amp;Tipo=2&amp;ST=1&amp;nLang=0</t>
  </si>
  <si>
    <t>https://www.clickideacore.com/ClickHTML5/Visit.aspx?ID=//5EDAEwASwAzADMANwAxADgANAAwADUASQBEAEUAQQA5=&amp;Tipo=2&amp;ST=1&amp;nLang=0</t>
  </si>
  <si>
    <t>https://www.clickideacore.com/ClickHTML5/Visit.aspx?ID=//5FDAEwASwAzADMANwAwADYAOAA2ADcASQBEAEUAQQA9=&amp;Tipo=2&amp;ST=1&amp;nLang=0</t>
  </si>
  <si>
    <t>https://www.clickideacore.com/ClickHTML5/Visit.aspx?ID=//55DAEwASwAzADMANwAxADMAMwAzADEASQBEAEUAQQA9=&amp;Tipo=2&amp;ST=1&amp;nLang=0</t>
  </si>
  <si>
    <t>https://www.clickideacore.com/ClickHTML5/Visit.aspx?ID=//5BDAEwASwAzADMANwAxADAAMAAyADAASQBEAEUAQQAC=&amp;Tipo=2&amp;ST=1&amp;nLang=0</t>
  </si>
  <si>
    <t>https://www.clickideacore.com/ClickHTML5/Visit.aspx?ID=//5BDAEwASwAzADMANwAwADUANgA5ADgASQBEAEUAQQA7=&amp;Tipo=2&amp;ST=1&amp;nLang=0</t>
  </si>
  <si>
    <t>https://www.clickideacore.com/ClickHTML5/Visit.aspx?ID=//5DDAEwASwAzADMANwAxADgAMgA2ADYASQBEAEUAQQAA=&amp;Tipo=2&amp;ST=1&amp;nLang=0</t>
  </si>
  <si>
    <t>https://www.clickideacore.com/ClickHTML5/Visit.aspx?ID=//58DAEwASwAzADMANwAxADgAMwA4ADIASQBEAEUAQQA4=&amp;Tipo=2&amp;ST=1&amp;nLang=0</t>
  </si>
  <si>
    <t>https://www.clickideacore.com/ClickHTML5/Visit.aspx?ID=//54DAEwASwAzADMANwAxADMANAAwADgASQBEAEUAQQA3=&amp;Tipo=2&amp;ST=1&amp;nLang=0</t>
  </si>
  <si>
    <t>https://www.clickideacore.com/ClickHTML5/Visit.aspx?ID=//50DAEwASwAzADMANwAxADgAOQAyADkASQBEAEUAQQAB=&amp;Tipo=2&amp;ST=1&amp;nLang=0</t>
  </si>
  <si>
    <t>https://www.clickideacore.com/ClickHTML5/Visit.aspx?ID=//5DDAEwASwAzADMANwAwADkAMgA5ADcASQBEAEUAQQA3=&amp;Tipo=2&amp;ST=1&amp;nLang=0</t>
  </si>
  <si>
    <t>https://www.clickideacore.com/ClickHTML5/Visit.aspx?ID=//5EDAEwASwAzADMANwAwADIANwAzADMASQBEAEUAQQA0=&amp;Tipo=2&amp;ST=1&amp;nLang=0</t>
  </si>
  <si>
    <t>https://www.clickideacore.com/ClickHTML5/Visit.aspx?ID=//59DAEwASwAzADMANwAzADIAMgA2ADEASQBEAEUAQQAE=&amp;Tipo=2&amp;ST=1&amp;nLang=0</t>
  </si>
  <si>
    <t>https://www.clickideacore.com/ClickHTML5/Visit.aspx?ID=//56DAEwASwAzADMANwAzADQAMAAxADgASQBEAEUAQQA6=&amp;Tipo=2&amp;ST=1&amp;nLang=0</t>
  </si>
  <si>
    <t>https://www.clickideacore.com/ClickHTML5/Visit.aspx?ID=//58DAEwASwAzADMANwAzADYANgAzADcASQBEAEUAQQA9=&amp;Tipo=2&amp;ST=1&amp;nLang=0</t>
  </si>
  <si>
    <t>https://www.clickideacore.com/ClickHTML5/Visit.aspx?ID=//53DAEwASwAzADMANwAzADAANQAyADUASQBEAEUAQQA0=&amp;Tipo=2&amp;ST=1&amp;nLang=0</t>
  </si>
  <si>
    <t>https://www.clickideacore.com/ClickHTML5/Visit.aspx?ID=//57DAEwASwAzADMANwAzADIAMAA1ADkASQBEAEUAQQAD=&amp;Tipo=2&amp;ST=1&amp;nLang=0</t>
  </si>
  <si>
    <t>https://www.clickideacore.com/ClickHTML5/Visit.aspx?ID=//5DDAEwASwAzADMANwAzADYAMQA1ADkASQBEAEUAQQAB=&amp;Tipo=2&amp;ST=1&amp;nLang=0</t>
  </si>
  <si>
    <t>https://www.clickideacore.com/ClickHTML5/Visit.aspx?ID=//56DAEwASwAzADMANwAzADQANgAzADQASQBEAEUAQQA3=&amp;Tipo=2&amp;ST=1&amp;nLang=0</t>
  </si>
  <si>
    <t>https://www.clickideacore.com/ClickHTML5/Visit.aspx?ID=//5BDAEwASwAzADMANwAzADcAMQAyADQASQBEAEUAQQAD=&amp;Tipo=2&amp;ST=1&amp;nLang=0</t>
  </si>
  <si>
    <t>https://www.clickideacore.com/ClickHTML5/Visit.aspx?ID=//55DAEwASwAzADMANwA0ADAAMwAxADEASQBEAEUAQQA8=&amp;Tipo=2&amp;ST=1&amp;nLang=0</t>
  </si>
  <si>
    <t>https://www.clickideacore.com/ClickHTML5/Visit.aspx?ID=//5DDAEwASwAzADMANwAzADgANQAzADAASQBEAEUAQQAF=&amp;Tipo=2&amp;ST=1&amp;nLang=0</t>
  </si>
  <si>
    <t>https://www.clickideacore.com/ClickHTML5/Visit.aspx?ID=//59DAEwASwAzADMANwA0ADIAMgA2ADgASQBEAEUAQQAE=&amp;Tipo=2&amp;ST=1&amp;nLang=0</t>
  </si>
  <si>
    <t>https://www.clickideacore.com/ClickHTML5/Visit.aspx?ID=//5CDAEwASwAzADMANwA0ADEAMgAyADQASQBEAEUAQQA1=&amp;Tipo=2&amp;ST=1&amp;nLang=0</t>
  </si>
  <si>
    <t>https://www.clickideacore.com/ClickHTML5/Visit.aspx?ID=//5CDAEwASwAzADMANwAyADYAMAA3ADgASQBEAEUAQQAD=&amp;Tipo=2&amp;ST=1&amp;nLang=0</t>
  </si>
  <si>
    <t>Vacaciones</t>
  </si>
  <si>
    <t>https://www.clickideacore.com/ClickHTML5/Visit.aspx?ID=//5CDAEwASwAzADMANwAyADYAMAA3ADgASQBEAEUAQQAD=&amp;Tipo=2&amp;ST=1&amp;nLang=1</t>
  </si>
  <si>
    <t>OP-S-056</t>
  </si>
  <si>
    <t>https://www.clickideacore.com/ClickHTML5/Visit.aspx?ID=//5CDAEwASwAzADMANwAyADYAMAA3ADgASQBEAEUAQQAD=&amp;Tipo=2&amp;ST=1&amp;nLang=2</t>
  </si>
  <si>
    <t>OP-S-057</t>
  </si>
  <si>
    <t>https://www.clickideacore.com/ClickHTML5/Visit.aspx?ID=//5CDAEwASwAzADMANwAyADYAMAA3ADgASQBEAEUAQQAD=&amp;Tipo=2&amp;ST=1&amp;nLang=3</t>
  </si>
  <si>
    <t>OP-S-058</t>
  </si>
  <si>
    <t>https://www.clickideacore.com/ClickHTML5/Visit.aspx?ID=//5CDAEwASwAzADMANwAyADYAMAA3ADgASQBEAEUAQQAD=&amp;Tipo=2&amp;ST=1&amp;nLang=4</t>
  </si>
  <si>
    <t>OP-S-059</t>
  </si>
  <si>
    <t>https://www.clickideacore.com/ClickHTML5/Visit.aspx?ID=//5CDAEwASwAzADMANwAyADYAMAA3ADgASQBEAEUAQQAD=&amp;Tipo=2&amp;ST=1&amp;nLang=5</t>
  </si>
  <si>
    <t>https://www.clickideacore.com/ClickHTML5/Visit.aspx?ID=//5CDAEwASwAzADMANwAyADYAMAA3ADgASQBEAEUAQQAD=&amp;Tipo=2&amp;ST=1&amp;nLang=6</t>
  </si>
  <si>
    <t>https://www.clickideacore.com/ClickHTML5/Visit.aspx?ID=//5BDAEwASwAzADMANwA2ADMANQA1ADYASQBEAEUAQQAB=&amp;Tipo=2&amp;ST=1&amp;nLang=0</t>
  </si>
  <si>
    <t>https://www.clickideacore.com/ClickHTML5/Visit.aspx?ID=//58DAEwASwAzADMANwA1ADQAMgA3ADkASQBEAEUAQQA3=&amp;Tipo=2&amp;ST=1&amp;nLang=0</t>
  </si>
  <si>
    <t>https://www.clickideacore.com/ClickHTML5/Visit.aspx?ID=//54DAEwASwAzADMANwA1ADIAMQAyADgASQBEAEUAQQAC=&amp;Tipo=2&amp;ST=1&amp;nLang=0</t>
  </si>
  <si>
    <t>https://www.clickideacore.com/ClickHTML5/Visit.aspx?ID=//5DDAEwASwAzADMANwA1ADYANgA4ADEASQBEAEUAQQAE=&amp;Tipo=2&amp;ST=1&amp;nLang=0</t>
  </si>
  <si>
    <t>https://www.clickideacore.com/ClickHTML5/Visit.aspx?ID=//5ADAEwASwAzADMANwA2ADEANAA3ADUASQBEAEUAQQAF=&amp;Tipo=2&amp;ST=1&amp;nLang=0</t>
  </si>
  <si>
    <t>https://www.clickideacore.com/ClickHTML5/Visit.aspx?ID=//5CDAEwASwAzADMANwA1ADYAMAA3ADcASQBEAEUAQQA3=&amp;Tipo=2&amp;ST=1&amp;nLang=0</t>
  </si>
  <si>
    <t>https://www.clickideacore.com/ClickHTML5/Visit.aspx?ID=//5EDAEwASwAzADMANwA0ADkAOAA4ADUASQBEAEUAQQA0=&amp;Tipo=2&amp;ST=1&amp;nLang=0</t>
  </si>
  <si>
    <t>https://www.clickideacore.com/ClickHTML5/Visit.aspx?ID=//58DAEwASwAzADMANwA1ADkAMwA1ADcASQBEAEUAQQA7=&amp;Tipo=2&amp;ST=1&amp;nLang=0</t>
  </si>
  <si>
    <t>https://www.clickideacore.com/ClickHTML5/Visit.aspx?ID=//54DAEwASwAzADMANwA2ADEAMQAxADcASQBEAEUAQQAF=&amp;Tipo=2&amp;ST=1&amp;nLang=0</t>
  </si>
  <si>
    <t>https://www.clickideacore.com/ClickHTML5/Visit.aspx?ID=//5BDAEwASwAzADMANwA1ADIANAA2ADYASQBEAEUAQQA2=&amp;Tipo=2&amp;ST=1&amp;nLang=0</t>
  </si>
  <si>
    <t>https://www.clickideacore.com/ClickHTML5/Visit.aspx?ID=//5CDAEwASwAzADMANwA1ADgAOQAwADcASQBEAEUAQQA3=&amp;Tipo=2&amp;ST=1&amp;nLang=0</t>
  </si>
  <si>
    <t>https://www.clickideacore.com/ClickHTML5/Visit.aspx?ID=//5ADAEwASwAzADMANwA2ADIAMQA2ADAASQBEAEUAQQA5=&amp;Tipo=2&amp;ST=1&amp;nLang=0</t>
  </si>
  <si>
    <t>https://www.clickideacore.com/ClickHTML5/Visit.aspx?ID=//58DAEwASwAzADMANwA2ADEAOQA5ADcASQBEAEUAQQA6=&amp;Tipo=2&amp;ST=1&amp;nLang=0</t>
  </si>
  <si>
    <t>https://www.clickideacore.com/ClickHTML5/Visit.aspx?ID=//50DAEwASwAzADMANwA1ADkAOAA5ADkASQBEAEUAQQA9=&amp;Tipo=2&amp;ST=1&amp;nLang=0</t>
  </si>
  <si>
    <t>https://www.clickideacore.com/ClickHTML5/Visit.aspx?ID=//51DAEwASwAzADMANwA0ADkANQAyADEASQBEAEUAQQAE=&amp;Tipo=2&amp;ST=1&amp;nLang=0</t>
  </si>
  <si>
    <t>https://www.clickideacore.com/ClickHTML5/Visit.aspx?ID=//5EDAEwASwAzADMANwA4ADUANwAzADQASQBEAEUAQQA1=&amp;Tipo=2&amp;ST=1&amp;nLang=0</t>
  </si>
  <si>
    <t>https://www.clickideacore.com/ClickHTML5/Visit.aspx?ID=//50DAEwASwAzADMANwA3ADYAMwAxADAASQBEAEUAQQAF=&amp;Tipo=2&amp;ST=1&amp;nLang=0</t>
  </si>
  <si>
    <t>https://www.clickideacore.com/ClickHTML5/Visit.aspx?ID=//5CDAEwASwAzADMANwA3ADMAOQA3ADUASQBEAEUAQQA5=&amp;Tipo=2&amp;ST=1&amp;nLang=0</t>
  </si>
  <si>
    <t>https://www.clickideacore.com/ClickHTML5/Visit.aspx?ID=//50DAEwASwAzADMANwA3ADcANwAyADcASQBEAEUAQQAC=&amp;Tipo=2&amp;ST=1&amp;nLang=0</t>
  </si>
  <si>
    <t>https://www.clickideacore.com/ClickHTML5/Visit.aspx?ID=//5FDAEwASwAzADMANwA4ADMAMAAwADEASQBEAEUAQQA2=&amp;Tipo=2&amp;ST=1&amp;nLang=0</t>
  </si>
  <si>
    <t>https://www.clickideacore.com/ClickHTML5/Visit.aspx?ID=//52DAEwASwAzADMANwA3ADcAOQAzADMASQBEAEUAQQA5=&amp;Tipo=2&amp;ST=1&amp;nLang=0</t>
  </si>
  <si>
    <t>https://www.clickideacore.com/ClickHTML5/Visit.aspx?ID=//58DAEwASwAzADMANwA4ADEAOQAzADQASQBEAEUAQQAC=&amp;Tipo=2&amp;ST=1&amp;nLang=0</t>
  </si>
  <si>
    <t>https://www.clickideacore.com/ClickHTML5/Visit.aspx?ID=//54DAEwASwAzADMANwA3ADYAMAAxADQASQBEAEUAQQAD=&amp;Tipo=2&amp;ST=1&amp;nLang=0</t>
  </si>
  <si>
    <t>https://www.clickideacore.com/ClickHTML5/Visit.aspx?ID=//5FDAEwASwAzADMANwA3ADkAMgA5ADQASQBEAEUAQQA2=&amp;Tipo=2&amp;ST=1&amp;nLang=0</t>
  </si>
  <si>
    <t>https://www.clickideacore.com/ClickHTML5/Visit.aspx?ID=//55DAEwASwAzADMANwA3ADkAMwAyADAASQBEAEUAQQA5=&amp;Tipo=2&amp;ST=1&amp;nLang=0</t>
  </si>
  <si>
    <t>https://www.clickideacore.com/ClickHTML5/Visit.aspx?ID=//5BDAEwASwAzADMANwA4ADQANwAzADUASQBEAEUAQQA0=&amp;Tipo=2&amp;ST=1&amp;nLang=0</t>
  </si>
  <si>
    <t>https://www.clickideacore.com/ClickHTML5/Visit.aspx?ID=//5CDAEwASwAzADMANwA4ADEAOQA4ADYASQBEAEUAQQA4=&amp;Tipo=2&amp;ST=1&amp;nLang=0</t>
  </si>
  <si>
    <t>https://www.clickideacore.com/ClickHTML5/Visit.aspx?ID=//5FDAEwASwAzADMANwA4ADUAOQAwADEASQBEAEUAQQAC=&amp;Tipo=2&amp;ST=1&amp;nLang=0</t>
  </si>
  <si>
    <t>https://www.clickideacore.com/ClickHTML5/Visit.aspx?ID=//51DAEwASwAzADMANwA3ADcANQAwADgASQBEAEUAQQAE=&amp;Tipo=2&amp;ST=1&amp;nLang=0</t>
  </si>
  <si>
    <t>https://www.clickideacore.com/ClickHTML5/Visit.aspx?ID=//51DAEwASwAzADMANwA0ADkANQAyADEASQBEAEUAQQAE=&amp;Tipo=2&amp;ST=1&amp;nLang=1</t>
  </si>
  <si>
    <t>https://www.clickideacore.com/ClickHTML5/Visit.aspx?ID=//5DDAEwASwAzADMAOAAwADgAOAAwADgASQBEAEUAQQAE=&amp;Tipo=2&amp;ST=1&amp;nLang=0</t>
  </si>
  <si>
    <t>https://www.clickideacore.com/ClickHTML5/Visit.aspx?ID=//55DAEwASwAzADMANwA5ADkAOAA5ADIASQBEAEUAQQAA=&amp;Tipo=2&amp;ST=1&amp;nLang=0</t>
  </si>
  <si>
    <t>https://www.clickideacore.com/ClickHTML5/Visit.aspx?ID=//51DAEwASwAzADMANwA5ADcANQA1ADAASQBEAEUAQQA1=&amp;Tipo=2&amp;ST=1&amp;nLang=0</t>
  </si>
  <si>
    <t>https://www.clickideacore.com/ClickHTML5/Visit.aspx?ID=//5ADAEwASwAzADMAOAAwADAAMgA2ADEASQBEAEUAQQA9=&amp;Tipo=2&amp;ST=1&amp;nLang=0</t>
  </si>
  <si>
    <t>https://www.clickideacore.com/ClickHTML5/Visit.aspx?ID=//53DAEwASwAzADMAOAAwADgANgAxADIASQBEAEUAQQA2=&amp;Tipo=2&amp;ST=1&amp;nLang=0</t>
  </si>
  <si>
    <t>https://www.clickideacore.com/ClickHTML5/Visit.aspx?ID=//55DAEwASwAzADMAOAAwADEAMwA0ADEASQBEAEUAQQA5=&amp;Tipo=2&amp;ST=1&amp;nLang=0</t>
  </si>
  <si>
    <t>https://www.clickideacore.com/ClickHTML5/Visit.aspx?ID=//5EDAEwASwAzADMAOAAwADAAMgA3ADUASQBEAEUAQQA3=&amp;Tipo=2&amp;ST=1&amp;nLang=0</t>
  </si>
  <si>
    <t>https://www.clickideacore.com/ClickHTML5/Visit.aspx?ID=//5DDAEwASwAzADMAOAAwADAAMgA2ADkASQBEAEUAQQA4=&amp;Tipo=2&amp;ST=1&amp;nLang=0</t>
  </si>
  <si>
    <t>https://www.clickideacore.com/ClickHTML5/Visit.aspx?ID=//5FDAEwASwAzADMANwA5ADcAMAA2ADgASQBEAEUAQQA8=&amp;Tipo=2&amp;ST=1&amp;nLang=0</t>
  </si>
  <si>
    <t>https://www.clickideacore.com/ClickHTML5/Visit.aspx?ID=//50DAEwASwAzADMAOAAwADQANgAwADEASQBEAEUAQQA7=&amp;Tipo=2&amp;ST=1&amp;nLang=0</t>
  </si>
  <si>
    <t>https://www.clickideacore.com/ClickHTML5/Visit.aspx?ID=//57DAEwASwAzADMAOAAwADcAMQAxADgASQBEAEUAQQAE=&amp;Tipo=2&amp;ST=1&amp;nLang=0</t>
  </si>
  <si>
    <t>https://www.clickideacore.com/ClickHTML5/Visit.aspx?ID=//5EDAEwASwAzADMAOAAwADgAMQA3ADkASQBEAEUAQQAD=&amp;Tipo=2&amp;ST=1&amp;nLang=0</t>
  </si>
  <si>
    <t>Yosman Perez</t>
  </si>
  <si>
    <t>https://www.clickideacore.com/ClickHTML5/Visit.aspx?ID=//54DAEwASwAzADMAOAAwADgANwA1ADgASQBEAEUAQQA9=&amp;Tipo=2&amp;ST=1&amp;nLang=0</t>
  </si>
  <si>
    <t>https://www.clickideacore.com/ClickHTML5/Visit.aspx?ID=//5ADAEwASwAzADMAOAAwADQANQA5ADcASQBEAEUAQQA6=&amp;Tipo=2&amp;ST=1&amp;nLang=0</t>
  </si>
  <si>
    <t>https://www.clickideacore.com/ClickHTML5/Visit.aspx?ID=//5FDAEwASwAzADMANwA5ADQAOQA5ADUASQBEAEUAQQAD=&amp;Tipo=2&amp;ST=1&amp;nLang=0</t>
  </si>
  <si>
    <t>https://www.clickideacore.com/ClickHTML5/Visit.aspx?ID=//5FDAEwASwAzADMANwA5ADQAOQA5ADUASQBEAEUAQQAD=&amp;Tipo=2&amp;ST=1&amp;nLang=1</t>
  </si>
  <si>
    <t>https://www.clickideacore.com/ClickHTML5/Visit.aspx?ID=//5FDAEwASwAzADMANwA5ADQAOQA5ADUASQBEAEUAQQAD=&amp;Tipo=2&amp;ST=1&amp;nLang=2</t>
  </si>
  <si>
    <t>https://www.clickideacore.com/ClickHTML5/Visit.aspx?ID=//5FDAEwASwAzADMANwA5ADQAOQA5ADUASQBEAEUAQQAD=&amp;Tipo=2&amp;ST=1&amp;nLang=3</t>
  </si>
  <si>
    <t>https://www.clickideacore.com/ClickHTML5/Visit.aspx?ID=//5EDAEwASwAzADMAOAAyADAANgAzADYASQBEAEUAQQA9=&amp;Tipo=2&amp;ST=1&amp;nLang=0</t>
  </si>
  <si>
    <t>Hugo Troncoso</t>
  </si>
  <si>
    <t>https://www.clickideacore.com/ClickHTML5/Visit.aspx?ID=//5EDAEwASwAzADMAOAAxADMAMgA0ADkASQBEAEUAQQA7=&amp;Tipo=2&amp;ST=1&amp;nLang=0</t>
  </si>
  <si>
    <t>https://www.clickideacore.com/ClickHTML5/Visit.aspx?ID=//52DAEwASwAzADMAOAAzADAANwAzADUASQBEAEUAQQAA=&amp;Tipo=2&amp;ST=1&amp;nLang=0</t>
  </si>
  <si>
    <t>https://www.clickideacore.com/ClickHTML5/Visit.aspx?ID=//5FDAEwASwAzADMAOAAyADkAMwA4ADEASQBEAEUAQQAA=&amp;Tipo=2&amp;ST=1&amp;nLang=0</t>
  </si>
  <si>
    <t>Deivis Santana</t>
  </si>
  <si>
    <t>https://www.clickideacore.com/ClickHTML5/Visit.aspx?ID=//5BDAEwASwAzADMAOAAzADkANQAzADAASQBEAEUAQQAB=&amp;Tipo=2&amp;ST=1&amp;nLang=0</t>
  </si>
  <si>
    <t>OP-SDYR-001</t>
  </si>
  <si>
    <t>Licencia Medica</t>
  </si>
  <si>
    <t>OP-S-DYR-009</t>
  </si>
  <si>
    <t>Libre Compensatorio</t>
  </si>
  <si>
    <t>Achs</t>
  </si>
  <si>
    <t>https://www.clickideacore.com/ClickHTML5/Visit.aspx?ID=//52DAEwASwAzADQAMAA2ADAAMAA3ADYASQBEAEUAQQA6=&amp;Tipo=2&amp;ST=1&amp;nLang=0</t>
  </si>
  <si>
    <t>https://www.clickideacore.com/ClickHTML5/Visit.aspx?ID=//56DAEwASwAzADQAMAA0ADMANQAwADMASQBEAEUAQQAF=&amp;Tipo=2&amp;ST=1&amp;nLang=0</t>
  </si>
  <si>
    <t>https://www.clickideacore.com/ClickHTML5/Visit.aspx?ID=//5CDAEwASwAzADQAMAA0ADUAMQA1ADQASQBEAEUAQQAE=&amp;Tipo=2&amp;ST=1&amp;nLang=0</t>
  </si>
  <si>
    <t>https://www.clickideacore.com/ClickHTML5/Visit.aspx?ID=//5DDAEwASwAzADQAMAA0ADYANgAzADQASQBEAEUAQQAE=&amp;Tipo=2&amp;ST=1&amp;nLang=0</t>
  </si>
  <si>
    <t>https://www.clickideacore.com/ClickHTML5/Visit.aspx?ID=//53DAEwASwAzADQAMAA1ADYAMgA2ADcASQBEAEUAQQA1=&amp;Tipo=2&amp;ST=1&amp;nLang=0</t>
  </si>
  <si>
    <t>https://www.clickideacore.com/ClickHTML5/Visit.aspx?ID=//51DAEwASwAzADQAMAA1ADcAOAAxADIASQBEAEUAQQA3=&amp;Tipo=2&amp;ST=1&amp;nLang=0</t>
  </si>
  <si>
    <t>https://www.clickideacore.com/ClickHTML5/Visit.aspx?ID=//50DAEwASwAzADQAMAA0ADgAMQA3ADYASQBEAEUAQQAD=&amp;Tipo=2&amp;ST=1&amp;nLang=0</t>
  </si>
  <si>
    <t>https://www.clickideacore.com/ClickHTML5/Visit.aspx?ID=//54DAEwASwAzADQAMAA0ADYANQA4ADcASQBEAEUAQQA7=&amp;Tipo=2&amp;ST=1&amp;nLang=0</t>
  </si>
  <si>
    <t>https://www.clickideacore.com/ClickHTML5/Visit.aspx?ID=//56DAEwASwAzADQAMAA0ADkANgA2ADYASQBEAEUAQQAE=&amp;Tipo=2&amp;ST=1&amp;nLang=0</t>
  </si>
  <si>
    <t>https://www.clickideacore.com/ClickHTML5/Visit.aspx?ID=//57DAEwASwAzADQAMAA2ADEANAA4ADIASQBEAEUAQQA6=&amp;Tipo=2&amp;ST=1&amp;nLang=0</t>
  </si>
  <si>
    <t>https://www.clickideacore.com/ClickHTML5/Visit.aspx?ID=//5CDAEwASwAzADQAMAA1ADMAMQAxADUASQBEAEUAQQA6=&amp;Tipo=2&amp;ST=1&amp;nLang=0</t>
  </si>
  <si>
    <t>https://www.clickideacore.com/ClickHTML5/Visit.aspx?ID=//5ADAEwASwAzADQAMAA2ADAAMAA1ADgASQBEAEUAQQA4=&amp;Tipo=2&amp;ST=1&amp;nLang=0</t>
  </si>
  <si>
    <t>https://www.clickideacore.com/ClickHTML5/Visit.aspx?ID=//58DAEwASwAzADQAMAA0ADUAOAAxADgASQBEAEUAQQAE=&amp;Tipo=2&amp;ST=1&amp;nLang=0</t>
  </si>
  <si>
    <t>https://www.clickideacore.com/ClickHTML5/Visit.aspx?ID=//51DAEwASwAzADQAMAAzADgAOAA0ADkASQBEAEUAQQA4=&amp;Tipo=2&amp;ST=1&amp;nLang=0</t>
  </si>
  <si>
    <t>https://www.clickideacore.com/ClickHTML5/Visit.aspx?ID=//53DAEwASwAzADQAMAA4ADMANQA5ADMASQBEAEUAQQAF=&amp;Tipo=2&amp;ST=1&amp;nLang=0</t>
  </si>
  <si>
    <t>https://www.clickideacore.com/ClickHTML5/Visit.aspx?ID=//5DDAEwASwAzADQAMAA3ADQANQAxADQASQBEAEUAQQA7=&amp;Tipo=2&amp;ST=1&amp;nLang=0</t>
  </si>
  <si>
    <t>https://www.clickideacore.com/ClickHTML5/Visit.aspx?ID=//58DAEwASwAzADQAMAA3ADQAMgA4ADkASQBEAEUAQQA7=&amp;Tipo=2&amp;ST=1&amp;nLang=0</t>
  </si>
  <si>
    <t>https://www.clickideacore.com/ClickHTML5/Visit.aspx?ID=//54DAEwASwAzADQAMAA3ADEAOQA0ADgASQBEAEUAQQA0=&amp;Tipo=2&amp;ST=1&amp;nLang=0</t>
  </si>
  <si>
    <t>https://www.clickideacore.com/ClickHTML5/Visit.aspx?ID=//5FDAEwASwAzADQAMAA4ADMAMwA4ADIASQBEAEUAQQA7=&amp;Tipo=2&amp;ST=1&amp;nLang=0</t>
  </si>
  <si>
    <t>https://www.clickideacore.com/ClickHTML5/Visit.aspx?ID=//53DAEwASwAzADQAMAA4ADIAOAA0ADYASQBEAEUAQQA6=&amp;Tipo=2&amp;ST=1&amp;nLang=0</t>
  </si>
  <si>
    <t>https://www.clickideacore.com/ClickHTML5/Visit.aspx?ID=//5EDAEwASwAzADQAMAA3ADIANwA0ADQASQBEAEUAQQA9=&amp;Tipo=2&amp;ST=1&amp;nLang=0</t>
  </si>
  <si>
    <t>https://www.clickideacore.com/ClickHTML5/Visit.aspx?ID=//54DAEwASwAzADQAMAA2ADcAOAAyADkASQBEAEUAQQA9=&amp;Tipo=2&amp;ST=1&amp;nLang=0</t>
  </si>
  <si>
    <t>https://www.clickideacore.com/ClickHTML5/Visit.aspx?ID=//54DAEwASwAzADQAMAA4ADAAMQAwADgASQBEAEUAQQA8=&amp;Tipo=2&amp;ST=1&amp;nLang=0</t>
  </si>
  <si>
    <t>https://www.clickideacore.com/ClickHTML5/Visit.aspx?ID=//57DAEwASwAzADQAMAA3ADEAOQA5ADQASQBEAEUAQQA5=&amp;Tipo=2&amp;ST=1&amp;nLang=0</t>
  </si>
  <si>
    <t>https://www.clickideacore.com/ClickHTML5/Visit.aspx?ID=//50DAEwASwAzADQAMAA3ADYAMwA2ADMASQBEAEUAQQA9=&amp;Tipo=2&amp;ST=1&amp;nLang=0</t>
  </si>
  <si>
    <t>https://www.clickideacore.com/ClickHTML5/Visit.aspx?ID=//55DAEwASwAzADQAMAA4ADMANQA2ADgASQBEAEUAQQA2=&amp;Tipo=2&amp;ST=1&amp;nLang=0</t>
  </si>
  <si>
    <t>https://www.clickideacore.com/ClickHTML5/Visit.aspx?ID=//50DAEwASwAzADQAMAA4ADMANwAxADkASQBEAEUAQQA0=&amp;Tipo=2&amp;ST=1&amp;nLang=0</t>
  </si>
  <si>
    <t>https://www.clickideacore.com/ClickHTML5/Visit.aspx?ID=//5BDAEwASwAzADQAMAA3ADYAMgA2ADYASQBEAEUAQQAA=&amp;Tipo=2&amp;ST=1&amp;nLang=0</t>
  </si>
  <si>
    <t>https://www.clickideacore.com/ClickHTML5/Visit.aspx?ID=//57DAEwASwAzADQAMAA2ADgAMQA3ADUASQBEAEUAQQA0=&amp;Tipo=2&amp;ST=1&amp;nLang=0</t>
  </si>
  <si>
    <t>https://www.clickideacore.com/ClickHTML5/Visit.aspx?ID=//58DAEwASwAzADQAMAA5ADUAMgA5ADUASQBEAEUAQQA2=&amp;Tipo=2&amp;ST=1&amp;nLang=0</t>
  </si>
  <si>
    <t>https://www.clickideacore.com/ClickHTML5/Visit.aspx?ID=//50DAEwASwAzADQAMQAwADYANQA5ADEASQBEAEUAQQAA=&amp;Tipo=2&amp;ST=1&amp;nLang=0</t>
  </si>
  <si>
    <t>https://www.clickideacore.com/ClickHTML5/Visit.aspx?ID=//5EDAEwASwAzADQAMQAwADUAMgA5ADgASQBEAEUAQQA4=&amp;Tipo=2&amp;ST=1&amp;nLang=0</t>
  </si>
  <si>
    <t>https://www.clickideacore.com/ClickHTML5/Visit.aspx?ID=//59DAEwASwAzADQAMQAzADAAMgAyADcASQBEAEUAQQA8=&amp;Tipo=2&amp;ST=1&amp;nLang=0</t>
  </si>
  <si>
    <t>https://www.clickideacore.com/ClickHTML5/Visit.aspx?ID=//58DAEwASwAzADQAMQAyADEANgA4ADQASQBEAEUAQQA6=&amp;Tipo=2&amp;ST=1&amp;nLang=0</t>
  </si>
  <si>
    <t>https://www.clickideacore.com/ClickHTML5/Visit.aspx?ID=//51DAEwASwAzADQAMQAxADkANAA4ADIASQBEAEUAQQA6=&amp;Tipo=2&amp;ST=1&amp;nLang=0</t>
  </si>
  <si>
    <t>https://www.clickideacore.com/ClickHTML5/Visit.aspx?ID=//5EDAEwASwAzADQAMQAyADAAOAAzADEASQBEAEUAQQA4=&amp;Tipo=2&amp;ST=1&amp;nLang=0</t>
  </si>
  <si>
    <t>https://www.clickideacore.com/ClickHTML5/Visit.aspx?ID=//58DAEwASwAzADQAMQAyADkAMQA5ADEASQBEAEUAQQA6=&amp;Tipo=2&amp;ST=1&amp;nLang=0</t>
  </si>
  <si>
    <t>https://www.clickideacore.com/ClickHTML5/Visit.aspx?ID=//50DAEwASwAzADQAMQAzADEANgAzADQASQBEAEUAQQAC=&amp;Tipo=2&amp;ST=1&amp;nLang=0</t>
  </si>
  <si>
    <t>https://www.clickideacore.com/ClickHTML5/Visit.aspx?ID=//5DDAEwASwAzADQAMQAyADEANwAzADkASQBEAEUAQQA2=&amp;Tipo=2&amp;ST=1&amp;nLang=0</t>
  </si>
  <si>
    <t>https://www.clickideacore.com/ClickHTML5/Visit.aspx?ID=//5BDAEwASwAzADQAMQAyADIAMgA0ADUASQBEAEUAQQA6=&amp;Tipo=2&amp;ST=1&amp;nLang=0</t>
  </si>
  <si>
    <t>https://www.clickideacore.com/ClickHTML5/Visit.aspx?ID=//52DAEwASwAzADQAMQAyADMAOQAyADUASQBEAEUAQQA7=&amp;Tipo=2&amp;ST=1&amp;nLang=0</t>
  </si>
  <si>
    <t>https://www.clickideacore.com/ClickHTML5/Visit.aspx?ID=//5EDAEwASwAzADQAMQAxADYANAA5ADIASQBEAEUAQQAD=&amp;Tipo=2&amp;ST=1&amp;nLang=0</t>
  </si>
  <si>
    <t>https://www.clickideacore.com/ClickHTML5/Visit.aspx?ID=//5FDAEwASwAzADQAMQAyADEANgAxADEASQBEAEUAQQA0=&amp;Tipo=2&amp;ST=1&amp;nLang=0</t>
  </si>
  <si>
    <t>https://www.clickideacore.com/ClickHTML5/Visit.aspx?ID=//50DAEwASwAzADQAMQAyADgAOAA3ADQASQBEAEUAQQA9=&amp;Tipo=2&amp;ST=1&amp;nLang=0</t>
  </si>
  <si>
    <t>https://www.clickideacore.com/ClickHTML5/Visit.aspx?ID=//5CDAEwASwAzADQAMQAyADIAOAA2ADUASQBEAEUAQQAF=&amp;Tipo=2&amp;ST=1&amp;nLang=0</t>
  </si>
  <si>
    <t>https://www.clickideacore.com/ClickHTML5/Visit.aspx?ID=//5BDAEwASwAzADQAMQAzADAAMAA0ADgASQBEAEUAQQA3=&amp;Tipo=2&amp;ST=1&amp;nLang=0</t>
  </si>
  <si>
    <t>https://www.clickideacore.com/ClickHTML5/Visit.aspx?ID=//56DAEwASwAzADQAMQAyADQAMAA0ADgASQBEAEUAQQA3=&amp;Tipo=2&amp;ST=1&amp;nLang=0</t>
  </si>
  <si>
    <t>https://www.clickideacore.com/ClickHTML5/Visit.aspx?ID=//53DAEwASwAzADQAMQAxADUAMwAwADUASQBEAEUAQQA8=&amp;Tipo=2&amp;ST=1&amp;nLang=0</t>
  </si>
  <si>
    <t>https://www.clickideacore.com/ClickHTML5/Visit.aspx?ID=//5BDAEwASwAzADQAMQA1ADQAOQAyADkASQBEAEUAQQAF=&amp;Tipo=2&amp;ST=1&amp;nLang=0</t>
  </si>
  <si>
    <t>https://www.clickideacore.com/ClickHTML5/Visit.aspx?ID=//59DAEwASwAzADQAMQA0ADQANwAxADMASQBEAEUAQQA1=&amp;Tipo=2&amp;ST=1&amp;nLang=0</t>
  </si>
  <si>
    <t>https://www.clickideacore.com/ClickHTML5/Visit.aspx?ID=//5BDAEwASwAzADQAMQA0ADMAMAA1ADYASQBEAEUAQQAA=&amp;Tipo=2&amp;ST=1&amp;nLang=0</t>
  </si>
  <si>
    <t>https://www.clickideacore.com/ClickHTML5/Visit.aspx?ID=//5EDAEwASwAzADQAMQA0ADMANQA2ADMASQBEAEUAQQAF=&amp;Tipo=2&amp;ST=1&amp;nLang=0</t>
  </si>
  <si>
    <t>https://www.clickideacore.com/ClickHTML5/Visit.aspx?ID=//5BDAEwASwAzADQAMQA1ADMANQAwADMASQBEAEUAQQAC=&amp;Tipo=2&amp;ST=1&amp;nLang=0</t>
  </si>
  <si>
    <t>https://www.clickideacore.com/ClickHTML5/Visit.aspx?ID=//53DAEwASwAzADQAMQA0ADYAOQA5ADIASQBEAEUAQQA6=&amp;Tipo=2&amp;ST=1&amp;nLang=0</t>
  </si>
  <si>
    <t>https://www.clickideacore.com/ClickHTML5/Visit.aspx?ID=//57DAEwASwAzADQAMQA0ADYANQAwADMASQBEAEUAQQA9=&amp;Tipo=2&amp;ST=1&amp;nLang=0</t>
  </si>
  <si>
    <t>https://www.clickideacore.com/ClickHTML5/Visit.aspx?ID=//5ADAEwASwAzADQAMQA0ADUANgAyADUASQBEAEUAQQAD=&amp;Tipo=2&amp;ST=1&amp;nLang=0</t>
  </si>
  <si>
    <t>https://www.clickideacore.com/ClickHTML5/Visit.aspx?ID=//5BDAEwASwAzADQAMQA0ADUANwAwADYASQBEAEUAQQAB=&amp;Tipo=2&amp;ST=1&amp;nLang=0</t>
  </si>
  <si>
    <t>https://www.clickideacore.com/ClickHTML5/Visit.aspx?ID=//5EDAEwASwAzADQAMQA1ADMAMwA1ADAASQBEAEUAQQA6=&amp;Tipo=2&amp;ST=1&amp;nLang=0</t>
  </si>
  <si>
    <t>https://www.clickideacore.com/ClickHTML5/Visit.aspx?ID=//5BDAEwASwAzADQAMQA1ADQAOAAwADUASQBEAEUAQQA4=&amp;Tipo=2&amp;ST=1&amp;nLang=0</t>
  </si>
  <si>
    <t>https://www.clickideacore.com/ClickHTML5/Visit.aspx?ID=//57DAEwASwAzADQAMQA0ADcANwA2ADQASQBEAEUAQQA5=&amp;Tipo=2&amp;ST=1&amp;nLang=0</t>
  </si>
  <si>
    <t>https://www.clickideacore.com/ClickHTML5/Visit.aspx?ID=//54DAEwASwAzADQAMQA0ADAANgAzADIASQBEAEUAQQA9=&amp;Tipo=2&amp;ST=1&amp;nLang=0</t>
  </si>
  <si>
    <t>https://www.clickideacore.com/ClickHTML5/Visit.aspx?ID=//5BDAEwASwAzADQAMQA4ADAANAA4ADEASQBEAEUAQQA7=&amp;Tipo=2&amp;ST=1&amp;nLang=0</t>
  </si>
  <si>
    <t>https://www.clickideacore.com/ClickHTML5/Visit.aspx?ID=//5FDAEwASwAzADQAMQA2ADgAMAAyADgASQBEAEUAQQA1=&amp;Tipo=2&amp;ST=1&amp;nLang=0</t>
  </si>
  <si>
    <t>https://www.clickideacore.com/ClickHTML5/Visit.aspx?ID=//53DAEwASwAzADQAMQA2ADcANgA5ADkASQBEAEUAQQA4=&amp;Tipo=2&amp;ST=1&amp;nLang=0</t>
  </si>
  <si>
    <t>https://www.clickideacore.com/ClickHTML5/Visit.aspx?ID=//5FDAEwASwAzADQAMQA3ADMAMAAxADAASQBEAEUAQQAA=&amp;Tipo=2&amp;ST=1&amp;nLang=0</t>
  </si>
  <si>
    <t>https://www.clickideacore.com/ClickHTML5/Visit.aspx?ID=//5BDAEwASwAzADQAMQA3ADkAMwAyADAASQBEAEUAQQAC=&amp;Tipo=2&amp;ST=1&amp;nLang=0</t>
  </si>
  <si>
    <t>https://www.clickideacore.com/ClickHTML5/Visit.aspx?ID=//55DAEwASwAzADQAMQA3ADkAOAAyADMASQBEAEUAQQAD=&amp;Tipo=2&amp;ST=1&amp;nLang=0</t>
  </si>
  <si>
    <t>https://www.clickideacore.com/ClickHTML5/Visit.aspx?ID=//5ADAEwASwAzADQAMQA2ADkAOAA4ADcASQBEAEUAQQAF=&amp;Tipo=2&amp;ST=1&amp;nLang=0</t>
  </si>
  <si>
    <t>https://www.clickideacore.com/ClickHTML5/Visit.aspx?ID=//5CDAEwASwAzADQAMQA2ADUANwAxADUASQBEAEUAQQAA=&amp;Tipo=2&amp;ST=1&amp;nLang=0</t>
  </si>
  <si>
    <t>https://www.clickideacore.com/ClickHTML5/Visit.aspx?ID=//56DAEwASwAzADQAMQA2ADgAMQAyADcASQBEAEUAQQAE=&amp;Tipo=2&amp;ST=1&amp;nLang=0</t>
  </si>
  <si>
    <t>https://www.clickideacore.com/ClickHTML5/Visit.aspx?ID=//51DAEwASwAzADQAMQA2ADYAMQA4ADgASQBEAEUAQQA7=&amp;Tipo=2&amp;ST=1&amp;nLang=0</t>
  </si>
  <si>
    <t>https://www.clickideacore.com/ClickHTML5/Visit.aspx?ID=//50DAEwASwAzADQAMQA3ADAAMAAzADEASQBEAEUAQQAE=&amp;Tipo=2&amp;ST=1&amp;nLang=0</t>
  </si>
  <si>
    <t>https://www.clickideacore.com/ClickHTML5/Visit.aspx?ID=//5BDAEwASwAzADQAMQA3ADkAMQA1ADIASQBEAEUAQQAA=&amp;Tipo=2&amp;ST=1&amp;nLang=0</t>
  </si>
  <si>
    <t>https://www.clickideacore.com/ClickHTML5/Visit.aspx?ID=//5FDAEwASwAzADQAMQA3ADgANwA0ADcASQBEAEUAQQA4=&amp;Tipo=2&amp;ST=1&amp;nLang=0</t>
  </si>
  <si>
    <t>https://www.clickideacore.com/ClickHTML5/Visit.aspx?ID=//51DAEwASwAzADQAMQA4ADAANAA3ADAASQBEAEUAQQA7=&amp;Tipo=2&amp;ST=1&amp;nLang=0</t>
  </si>
  <si>
    <t>https://www.clickideacore.com/ClickHTML5/Visit.aspx?ID=//5FDAEwASwAzADQAMQA3ADIANgA2ADIASQBEAEUAQQA8=&amp;Tipo=2&amp;ST=1&amp;nLang=0</t>
  </si>
  <si>
    <t>https://www.clickideacore.com/ClickHTML5/Visit.aspx?ID=//5BDAEwASwAzADQAMQA2ADUAOAAzADQASQBEAEUAQQAF=&amp;Tipo=2&amp;ST=1&amp;nLang=0</t>
  </si>
  <si>
    <t>https://www.clickideacore.com/ClickHTML5/Visit.aspx?ID=//59DAEwASwAzADQAMgAwADQANQAwADQASQBEAEUAQQA9=&amp;Tipo=2&amp;ST=1&amp;nLang=0</t>
  </si>
  <si>
    <t>https://www.clickideacore.com/ClickHTML5/Visit.aspx?ID=//55DAEwASwAzADQAMQA5ADIAMAA3ADIASQBEAEUAQQA2=&amp;Tipo=2&amp;ST=1&amp;nLang=0</t>
  </si>
  <si>
    <t>https://www.clickideacore.com/ClickHTML5/Visit.aspx?ID=//5BDAEwASwAzADQAMQA5ADMANgAyADgASQBEAEUAQQA5=&amp;Tipo=2&amp;ST=1&amp;nLang=0</t>
  </si>
  <si>
    <t>https://www.clickideacore.com/ClickHTML5/Visit.aspx?ID=//52DAEwASwAzADQAMgAwADMAOAA4ADEASQBEAEUAQQA2=&amp;Tipo=2&amp;ST=1&amp;nLang=0</t>
  </si>
  <si>
    <t>https://www.clickideacore.com/ClickHTML5/Visit.aspx?ID=//57DAEwASwAzADQAMgAwADEANAA1ADMASQBEAEUAQQA4=&amp;Tipo=2&amp;ST=1&amp;nLang=0</t>
  </si>
  <si>
    <t>https://www.clickideacore.com/ClickHTML5/Visit.aspx?ID=//5EDAEwASwAzADQAMQA5ADQAMgA4ADcASQBEAEUAQQAA=&amp;Tipo=2&amp;ST=1&amp;nLang=0</t>
  </si>
  <si>
    <t>https://www.clickideacore.com/ClickHTML5/Visit.aspx?ID=//56DAEwASwAzADQAMQA5ADgAOQA4ADIASQBEAEUAQQA3=&amp;Tipo=2&amp;ST=1&amp;nLang=0</t>
  </si>
  <si>
    <t>https://www.clickideacore.com/ClickHTML5/Visit.aspx?ID=//53DAEwASwAzADQAMQA5ADYAMgA4ADEASQBEAEUAQQA2=&amp;Tipo=2&amp;ST=1&amp;nLang=0</t>
  </si>
  <si>
    <t>https://www.clickideacore.com/ClickHTML5/Visit.aspx?ID=//5FDAEwASwAzADQAMQA5ADkANAA4ADkASQBEAEUAQQAD=&amp;Tipo=2&amp;ST=1&amp;nLang=0</t>
  </si>
  <si>
    <t>https://www.clickideacore.com/ClickHTML5/Visit.aspx?ID=//55DAEwASwAzADQAMgAwADIANgA4ADAASQBEAEUAQQA2=&amp;Tipo=2&amp;ST=1&amp;nLang=0</t>
  </si>
  <si>
    <t>https://www.clickideacore.com/ClickHTML5/Visit.aspx?ID=//58DAEwASwAzADQAMQA5ADkANAA1ADgASQBEAEUAQQA4=&amp;Tipo=2&amp;ST=1&amp;nLang=0</t>
  </si>
  <si>
    <t>https://www.clickideacore.com/ClickHTML5/Visit.aspx?ID=//53DAEwASwAzADQAMQA5ADYAMgAxADYASQBEAEUAQQA2=&amp;Tipo=2&amp;ST=1&amp;nLang=0</t>
  </si>
  <si>
    <t>https://www.clickideacore.com/ClickHTML5/Visit.aspx?ID=//52DAEwASwAzADMAOAA0ADEANQA2ADkASQBEAEUAQQA8=&amp;Tipo=2&amp;ST=1&amp;nLang=0</t>
  </si>
  <si>
    <t>https://www.clickideacore.com/ClickHTML5/Visit.aspx?ID=//59DAEwASwAzADMAOAAzADgAMgA0ADQASQBEAEUAQQA9=&amp;Tipo=2&amp;ST=1&amp;nLang=0</t>
  </si>
  <si>
    <t>https://www.clickideacore.com/ClickHTML5/Visit.aspx?ID=//5DDAEwASwAzADMAOAAzADYAMAAwADMASQBEAEUAQQAF=&amp;Tipo=2&amp;ST=1&amp;nLang=0</t>
  </si>
  <si>
    <t>Byron Lopez</t>
  </si>
  <si>
    <t>https://www.clickideacore.com/ClickHTML5/Visit.aspx?ID=//5ADAEwASwAzADMAOAAzADgAMQA0ADQASQBEAEUAQQAA=&amp;Tipo=2&amp;ST=1&amp;nLang=0</t>
  </si>
  <si>
    <t>https://www.clickideacore.com/ClickHTML5/Visit.aspx?ID=//54DAEwASwAzADMAOAA0ADEANQA2ADcASQBEAEUAQQA9=&amp;Tipo=2&amp;ST=1&amp;nLang=0</t>
  </si>
  <si>
    <t>https://www.clickideacore.com/ClickHTML5/Visit.aspx?ID=//5ADAEwASwAzADMAOAAzADcANgAxADMASQBEAEUAQQAE=&amp;Tipo=2&amp;ST=1&amp;nLang=0</t>
  </si>
  <si>
    <t>https://www.clickideacore.com/ClickHTML5/Visit.aspx?ID=//5FDAEwASwAzADMAOAAzADcAMwA5ADAASQBEAEUAQQA9=&amp;Tipo=2&amp;ST=1&amp;nLang=0</t>
  </si>
  <si>
    <t>https://www.clickideacore.com/ClickHTML5/Visit.aspx?ID=//55DAEwASwAzADMAOAAzADkANgA3ADgASQBEAEUAQQAD=&amp;Tipo=2&amp;ST=1&amp;nLang=0</t>
  </si>
  <si>
    <t>https://www.clickideacore.com/ClickHTML5/Visit.aspx?ID=//50DAEwASwAzADMAOAAzADUAOQA5ADkASQBEAEUAQQAA=&amp;Tipo=2&amp;ST=1&amp;nLang=0</t>
  </si>
  <si>
    <t>https://www.clickideacore.com/ClickHTML5/Visit.aspx?ID=//58DAEwASwAzADMAOAA0ADAANwA3ADMASQBEAEUAQQA8=&amp;Tipo=2&amp;ST=1&amp;nLang=0</t>
  </si>
  <si>
    <t>https://www.clickideacore.com/ClickHTML5/Visit.aspx?ID=//59DAEwASwAzADMAOAA0ADEAMQAxADYASQBEAEUAQQA1=&amp;Tipo=2&amp;ST=1&amp;nLang=0</t>
  </si>
  <si>
    <t>https://www.clickideacore.com/ClickHTML5/Visit.aspx?ID=//51DAEwASwAzADMAOAAzADkANQA0ADAASQBEAEUAQQAD=&amp;Tipo=2&amp;ST=1&amp;nLang=0</t>
  </si>
  <si>
    <t>Jorge Vizcarra</t>
  </si>
  <si>
    <t>https://www.clickideacore.com/ClickHTML5/Visit.aspx?ID=//58DAEwASwAzADMAOAAzADQANwAxADIASQBEAEUAQQA6=&amp;Tipo=2&amp;ST=1&amp;nLang=0</t>
  </si>
  <si>
    <t>https://www.clickideacore.com/ClickHTML5/Visit.aspx?ID=//5FDAEwASwAzADMAOAA2ADQAMQA0ADYASQBEAEUAQQA0=&amp;Tipo=2&amp;ST=1&amp;nLang=0</t>
  </si>
  <si>
    <t>https://www.clickideacore.com/ClickHTML5/Visit.aspx?ID=//53DAEwASwAzADMAOAA1ADQAMAA5ADgASQBEAEUAQQA6=&amp;Tipo=2&amp;ST=1&amp;nLang=0</t>
  </si>
  <si>
    <t>https://www.clickideacore.com/ClickHTML5/Visit.aspx?ID=//55DAEwASwAzADMAOAA1ADQAMgAxADEASQBEAEUAQQA6=&amp;Tipo=2&amp;ST=1&amp;nLang=0</t>
  </si>
  <si>
    <t>https://www.clickideacore.com/ClickHTML5/Visit.aspx?ID=//50DAEwASwAzADMAOAA2ADQAMAA5ADAASQBEAEUAQQA3=&amp;Tipo=2&amp;ST=1&amp;nLang=0</t>
  </si>
  <si>
    <t>https://www.clickideacore.com/ClickHTML5/Visit.aspx?ID=//52DAEwASwAzADMAOAA1ADQAMwA1ADAASQBEAEUAQQA8=&amp;Tipo=2&amp;ST=1&amp;nLang=0</t>
  </si>
  <si>
    <t>https://www.clickideacore.com/ClickHTML5/Visit.aspx?ID=//58DAEwASwAzADMAOAA2ADIANgAyADgASQBEAEUAQQA7=&amp;Tipo=2&amp;ST=1&amp;nLang=0</t>
  </si>
  <si>
    <t>https://www.clickideacore.com/ClickHTML5/Visit.aspx?ID=//5CDAEwASwAzADMAOAA1ADYANwAxADIASQBEAEUAQQA8=&amp;Tipo=2&amp;ST=1&amp;nLang=0</t>
  </si>
  <si>
    <t>https://www.clickideacore.com/ClickHTML5/Visit.aspx?ID=//52DAEwASwAzADMAOAA1ADcANwA2ADIASQBEAEUAQQA3=&amp;Tipo=2&amp;ST=1&amp;nLang=0</t>
  </si>
  <si>
    <t>https://www.clickideacore.com/ClickHTML5/Visit.aspx?ID=//5ADAEwASwAzADMAOAA1ADYAOQA3ADcASQBEAEUAQQAA=&amp;Tipo=2&amp;ST=1&amp;nLang=0</t>
  </si>
  <si>
    <t>https://www.clickideacore.com/ClickHTML5/Visit.aspx?ID=//59DAEwASwAzADMAOAA1ADcANQA2ADEASQBEAEUAQQAF=&amp;Tipo=2&amp;ST=1&amp;nLang=0</t>
  </si>
  <si>
    <t>https://www.clickideacore.com/ClickHTML5/Visit.aspx?ID=//54DAEwASwAzADMAOAA1ADgANAA1ADgASQBEAEUAQQA7=&amp;Tipo=2&amp;ST=1&amp;nLang=0</t>
  </si>
  <si>
    <t>https://www.clickideacore.com/ClickHTML5/Visit.aspx?ID=//5CDAEwASwAzADMAOAA2ADIAOAA2ADQASQBEAEUAQQAE=&amp;Tipo=2&amp;ST=1&amp;nLang=0</t>
  </si>
  <si>
    <t>https://www.clickideacore.com/ClickHTML5/Visit.aspx?ID=//58DAEwASwAzADMAOAA2ADIAMgA0ADMASQBEAEUAQQAC=&amp;Tipo=2&amp;ST=1&amp;nLang=0</t>
  </si>
  <si>
    <t>https://www.clickideacore.com/ClickHTML5/Visit.aspx?ID=//5FDAEwASwAzADMAOAA2ADAAOAA3ADYASQBEAEUAQQAC=&amp;Tipo=2&amp;ST=1&amp;nLang=0</t>
  </si>
  <si>
    <t>https://www.clickideacore.com/ClickHTML5/Visit.aspx?ID=//5ADAEwASwAzADMAOAA1ADQAMgAxADAASQBEAEUAQQAD=&amp;Tipo=2&amp;ST=1&amp;nLang=0</t>
  </si>
  <si>
    <t>https://www.clickideacore.com/ClickHTML5/Visit.aspx?ID=//58DAEwASwAzADMAOAA1ADAAMQA1ADMASQBEAEUAQQA0=&amp;Tipo=2&amp;ST=1&amp;nLang=0</t>
  </si>
  <si>
    <t>https://www.clickideacore.com/ClickHTML5/Visit.aspx?ID=//59DAEwASwAzADMAOAA4ADcANQAzADMASQBEAEUAQQA1=&amp;Tipo=2&amp;ST=1&amp;nLang=0</t>
  </si>
  <si>
    <t>https://www.clickideacore.com/ClickHTML5/Visit.aspx?ID=//5CDAEwASwAzADMAOAA3ADYAMQAzADAASQBEAEUAQQA0=&amp;Tipo=2&amp;ST=1&amp;nLang=0</t>
  </si>
  <si>
    <t>https://www.clickideacore.com/ClickHTML5/Visit.aspx?ID=//57DAEwASwAzADMAOAA3ADQAMwA1ADkASQBEAEUAQQA8=&amp;Tipo=2&amp;ST=1&amp;nLang=0</t>
  </si>
  <si>
    <t>https://www.clickideacore.com/ClickHTML5/Visit.aspx?ID=//5BDAEwASwAzADMAOAA4ADcANgA2ADYASQBEAEUAQQA4=&amp;Tipo=2&amp;ST=1&amp;nLang=0</t>
  </si>
  <si>
    <t>https://www.clickideacore.com/ClickHTML5/Visit.aspx?ID=//5FDAEwASwAzADMAOAA4ADAANgA3ADkASQBEAEUAQQA1=&amp;Tipo=2&amp;ST=1&amp;nLang=0</t>
  </si>
  <si>
    <t>https://www.clickideacore.com/ClickHTML5/Visit.aspx?ID=//5FDAEwASwAzADMAOAA4ADUAMQAzADUASQBEAEUAQQAE=&amp;Tipo=2&amp;ST=1&amp;nLang=0</t>
  </si>
  <si>
    <t>https://www.clickideacore.com/ClickHTML5/Visit.aspx?ID=//54DAEwASwAzADMAOAA4ADcANQAyADMASQBEAEUAQQAD=&amp;Tipo=2&amp;ST=1&amp;nLang=0</t>
  </si>
  <si>
    <t>https://www.clickideacore.com/ClickHTML5/Visit.aspx?ID=//5CDAEwASwAzADMAOAA4ADAAOAA3ADYASQBEAEUAQQAA=&amp;Tipo=2&amp;ST=1&amp;nLang=0</t>
  </si>
  <si>
    <t>https://www.clickideacore.com/ClickHTML5/Visit.aspx?ID=//5BDAEwASwAzADMAOAA4ADAAMAAxADEASQBEAEUAQQAE=&amp;Tipo=2&amp;ST=1&amp;nLang=0</t>
  </si>
  <si>
    <t>https://www.clickideacore.com/ClickHTML5/Visit.aspx?ID=//52DAEwASwAzADMAOAA3ADUANwAyADMASQBEAEUAQQAE=&amp;Tipo=2&amp;ST=1&amp;nLang=0</t>
  </si>
  <si>
    <t>https://www.clickideacore.com/ClickHTML5/Visit.aspx?ID=//5CDAEwASwAzADMAOAA3ADcAMwA3ADEASQBEAEUAQQAD=&amp;Tipo=2&amp;ST=1&amp;nLang=0</t>
  </si>
  <si>
    <t>https://www.clickideacore.com/ClickHTML5/Visit.aspx?ID=//5CDAEwASwAzADMAOAA3ADUAMQA3ADQASQBEAEUAQQAA=&amp;Tipo=2&amp;ST=1&amp;nLang=0</t>
  </si>
  <si>
    <t>https://www.clickideacore.com/ClickHTML5/Visit.aspx?ID=//5EDAEwASwAzADMAOAA4ADYAMwA3ADkASQBEAEUAQQAC=&amp;Tipo=2&amp;ST=1&amp;nLang=0</t>
  </si>
  <si>
    <t>https://www.clickideacore.com/ClickHTML5/Visit.aspx?ID=//50DAEwASwAzADMAOAA3ADkAOAA2ADcASQBEAEUAQQAB=&amp;Tipo=2&amp;ST=1&amp;nLang=0</t>
  </si>
  <si>
    <t>https://www.clickideacore.com/ClickHTML5/Visit.aspx?ID=//55DAEwASwAzADMAOAA4ADAAMgA3ADAASQBEAEUAQQA6=&amp;Tipo=2&amp;ST=1&amp;nLang=0</t>
  </si>
  <si>
    <t>https://www.clickideacore.com/ClickHTML5/Visit.aspx?ID=//56DAEwASwAzADMAOAA3ADMAOQAxADkASQBEAEUAQQA5=&amp;Tipo=2&amp;ST=1&amp;nLang=0</t>
  </si>
  <si>
    <t>https://www.clickideacore.com/ClickHTML5/Visit.aspx?ID=//55DAEwASwAzADMAOQAxADEAOQAzADQASQBEAEUAQQA0=&amp;Tipo=2&amp;ST=1&amp;nLang=0</t>
  </si>
  <si>
    <t>https://www.clickideacore.com/ClickHTML5/Visit.aspx?ID=//53DAEwASwAzADMAOQAwADAANgA3ADMASQBEAEUAQQA7=&amp;Tipo=2&amp;ST=1&amp;nLang=0</t>
  </si>
  <si>
    <t>https://www.clickideacore.com/ClickHTML5/Visit.aspx?ID=//50DAEwASwAzADMAOAA5ADYAOAA2ADQASQBEAEUAQQA0=&amp;Tipo=2&amp;ST=1&amp;nLang=0</t>
  </si>
  <si>
    <t>https://www.clickideacore.com/ClickHTML5/Visit.aspx?ID=//56DAEwASwAzADMAOQAwADUAOAA1ADcASQBEAEUAQQA6=&amp;Tipo=2&amp;ST=1&amp;nLang=0</t>
  </si>
  <si>
    <t>https://www.clickideacore.com/ClickHTML5/Visit.aspx?ID=//5CDAEwASwAzADMAOQAxADAAMgA0ADAASQBEAEUAQQAF=&amp;Tipo=2&amp;ST=1&amp;nLang=0</t>
  </si>
  <si>
    <t>https://www.clickideacore.com/ClickHTML5/Visit.aspx?ID=//56DAEwASwAzADMAOQAxADEAMQA4ADEASQBEAEUAQQA7=&amp;Tipo=2&amp;ST=1&amp;nLang=0</t>
  </si>
  <si>
    <t>https://www.clickideacore.com/ClickHTML5/Visit.aspx?ID=//56DAEwASwAzADMAOQAwADAANgA3ADUASQBEAEUAQQAE=&amp;Tipo=2&amp;ST=1&amp;nLang=0</t>
  </si>
  <si>
    <t>https://www.clickideacore.com/ClickHTML5/Visit.aspx?ID=//5BDAEwASwAzADMAOAA5ADcAOQA0ADQASQBEAEUAQQA9=&amp;Tipo=2&amp;ST=1&amp;nLang=0</t>
  </si>
  <si>
    <t>https://www.clickideacore.com/ClickHTML5/Visit.aspx?ID=//54DAEwASwAzADMAOQAwADUANQAxADMASQBEAEUAQQA7=&amp;Tipo=2&amp;ST=1&amp;nLang=0</t>
  </si>
  <si>
    <t>https://www.clickideacore.com/ClickHTML5/Visit.aspx?ID=//50DAEwASwAzADMAOQAwADMANAAxADEASQBEAEUAQQA9=&amp;Tipo=2&amp;ST=1&amp;nLang=0</t>
  </si>
  <si>
    <t>https://www.clickideacore.com/ClickHTML5/Visit.aspx?ID=//5EDAEwASwAzADMAOQAxADAAMQA2ADUASQBEAEUAQQA8=&amp;Tipo=2&amp;ST=1&amp;nLang=0</t>
  </si>
  <si>
    <t>https://www.clickideacore.com/ClickHTML5/Visit.aspx?ID=//5EDAEwASwAzADMAOAA5ADkANgAzADEASQBEAEUAQQA5=&amp;Tipo=2&amp;ST=1&amp;nLang=0</t>
  </si>
  <si>
    <t>https://www.clickideacore.com/ClickHTML5/Visit.aspx?ID=//56DAEwASwAzADMAOQAxADIAMAA4ADAASQBEAEUAQQA7=&amp;Tipo=2&amp;ST=1&amp;nLang=0</t>
  </si>
  <si>
    <t>https://www.clickideacore.com/ClickHTML5/Visit.aspx?ID=//57DAEwASwAzADMAOQAwADMAOAAwADkASQBEAEUAQQA0=&amp;Tipo=2&amp;ST=1&amp;nLang=0</t>
  </si>
  <si>
    <t>https://www.clickideacore.com/ClickHTML5/Visit.aspx?ID=//5DDAEwASwAzADMAOAA5ADkAOQAyADMASQBEAEUAQQA9=&amp;Tipo=2&amp;ST=1&amp;nLang=0</t>
  </si>
  <si>
    <t>https://www.clickideacore.com/ClickHTML5/Visit.aspx?ID=//5CDAEwASwAzADMAOQAzADUAMwA0ADcASQBEAEUAQQAA=&amp;Tipo=2&amp;ST=1&amp;nLang=0</t>
  </si>
  <si>
    <t>https://www.clickideacore.com/ClickHTML5/Visit.aspx?ID=//53DAEwASwAzADMAOQAyADgAMAAwADAASQBEAEUAQQA3=&amp;Tipo=2&amp;ST=1&amp;nLang=0</t>
  </si>
  <si>
    <t>https://www.clickideacore.com/ClickHTML5/Visit.aspx?ID=//55DAEwASwAzADMAOQAyADgAMwA4ADUASQBEAEUAQQA2=&amp;Tipo=2&amp;ST=1&amp;nLang=0</t>
  </si>
  <si>
    <t>https://www.clickideacore.com/ClickHTML5/Visit.aspx?ID=//51DAEwASwAzADMAOQAyADYAMgAyADMASQBEAEUAQQAA=&amp;Tipo=2&amp;ST=1&amp;nLang=0</t>
  </si>
  <si>
    <t>https://www.clickideacore.com/ClickHTML5/Visit.aspx?ID=//52DAEwASwAzADMAOQAzADQANgA5ADYASQBEAEUAQQA2=&amp;Tipo=2&amp;ST=1&amp;nLang=0</t>
  </si>
  <si>
    <t>https://www.clickideacore.com/ClickHTML5/Visit.aspx?ID=//50DAEwASwAzADMAOQAzADUAMQA5ADcASQBEAEUAQQA8=&amp;Tipo=2&amp;ST=1&amp;nLang=0</t>
  </si>
  <si>
    <t>https://www.clickideacore.com/ClickHTML5/Visit.aspx?ID=//56DAEwASwAzADMAOQAyADkANgAzADUASQBEAEUAQQA6=&amp;Tipo=2&amp;ST=1&amp;nLang=0</t>
  </si>
  <si>
    <t>https://www.clickideacore.com/ClickHTML5/Visit.aspx?ID=//5DDAEwASwAzADMAOQAyADEAMwAzADYASQBEAEUAQQAB=&amp;Tipo=2&amp;ST=1&amp;nLang=0</t>
  </si>
  <si>
    <t>https://www.clickideacore.com/ClickHTML5/Visit.aspx?ID=//55DAEwASwAzADMAOQAyADMANQAyADMASQBEAEUAQQAB=&amp;Tipo=2&amp;ST=1&amp;nLang=0</t>
  </si>
  <si>
    <t>https://www.clickideacore.com/ClickHTML5/Visit.aspx?ID=//58DAEwASwAzADMAOQAzADUANAAxADAASQBEAEUAQQA1=&amp;Tipo=2&amp;ST=1&amp;nLang=0</t>
  </si>
  <si>
    <t>https://www.clickideacore.com/ClickHTML5/Visit.aspx?ID=//51DAEwASwAzADMAOQAzADQANgAyADEASQBEAEUAQQA4=&amp;Tipo=2&amp;ST=1&amp;nLang=0</t>
  </si>
  <si>
    <t>https://www.clickideacore.com/ClickHTML5/Visit.aspx?ID=//50DAEwASwAzADMAOQAyADkAOQA1ADgASQBEAEUAQQAF=&amp;Tipo=2&amp;ST=1&amp;nLang=0</t>
  </si>
  <si>
    <t>https://www.clickideacore.com/ClickHTML5/Visit.aspx?ID=//53DAEwASwAzADMAOQAzADUAMQAzADgASQBEAEUAQQA6=&amp;Tipo=2&amp;ST=1&amp;nLang=0</t>
  </si>
  <si>
    <t>https://www.clickideacore.com/ClickHTML5/Visit.aspx?ID=//51DAEwASwAzADMAOQAyADgAOAAwADIASQBEAEUAQQA4=&amp;Tipo=2&amp;ST=1&amp;nLang=0</t>
  </si>
  <si>
    <t>https://www.clickideacore.com/ClickHTML5/Visit.aspx?ID=//53DAEwASwAzADMAOQAyADAAMwA4ADMASQBEAEUAQQA3=&amp;Tipo=2&amp;ST=1&amp;nLang=0</t>
  </si>
  <si>
    <t>https://www.clickideacore.com/ClickHTML5/Visit.aspx?ID=//53DAEwASwAzADMAOQA0ADgANgAyADMASQBEAEUAQQA1=&amp;Tipo=2&amp;ST=1&amp;nLang=0</t>
  </si>
  <si>
    <t>https://www.clickideacore.com/ClickHTML5/Visit.aspx?ID=//54DAEwASwAzADMAOQA0ADcAOAA3ADQASQBEAEUAQQA6=&amp;Tipo=2&amp;ST=1&amp;nLang=0</t>
  </si>
  <si>
    <t>https://www.clickideacore.com/ClickHTML5/Visit.aspx?ID=//53DAEwASwAzADMAOQA1ADcANwA0ADMASQBEAEUAQQA5=&amp;Tipo=2&amp;ST=1&amp;nLang=0</t>
  </si>
  <si>
    <t>https://www.clickideacore.com/ClickHTML5/Visit.aspx?ID=//50DAEwASwAzADMAOQA1ADkANgA5ADEASQBEAEUAQQAF=&amp;Tipo=2&amp;ST=1&amp;nLang=0</t>
  </si>
  <si>
    <t>https://www.clickideacore.com/ClickHTML5/Visit.aspx?ID=//51DAEwASwAzADMAOQA4ADQANAA2ADIASQBEAEUAQQAA=&amp;Tipo=2&amp;ST=1&amp;nLang=0</t>
  </si>
  <si>
    <t>https://www.clickideacore.com/ClickHTML5/Visit.aspx?ID=//59DAEwASwAzADMAOQA3ADMAMQA0ADYASQBEAEUAQQA9=&amp;Tipo=2&amp;ST=1&amp;nLang=0</t>
  </si>
  <si>
    <t>https://www.clickideacore.com/ClickHTML5/Visit.aspx?ID=//5EDAEwASwAzADMAOQA4ADMANQA2ADUASQBEAEUAQQA3=&amp;Tipo=2&amp;ST=1&amp;nLang=0</t>
  </si>
  <si>
    <t>https://www.clickideacore.com/ClickHTML5/Visit.aspx?ID=//5ADAEwASwAzADMAOQA3ADUANQAyADEASQBEAEUAQQA0=&amp;Tipo=2&amp;ST=1&amp;nLang=0</t>
  </si>
  <si>
    <t>https://www.clickideacore.com/ClickHTML5/Visit.aspx?ID=//55DAEwASwAzADMAOQA3ADgAMAA1ADEASQBEAEUAQQA8=&amp;Tipo=2&amp;ST=1&amp;nLang=0</t>
  </si>
  <si>
    <t>https://www.clickideacore.com/ClickHTML5/Visit.aspx?ID=//51DAEwASwAzADMAOQA4ADMAMQA1ADcASQBEAEUAQQA2=&amp;Tipo=2&amp;ST=1&amp;nLang=0</t>
  </si>
  <si>
    <t>https://www.clickideacore.com/ClickHTML5/Visit.aspx?ID=//5EDAEwASwAzADMAOQA3ADUANwA4ADIASQBEAEUAQQAB=&amp;Tipo=2&amp;ST=1&amp;nLang=0</t>
  </si>
  <si>
    <t>https://www.clickideacore.com/ClickHTML5/Visit.aspx?ID=//53DAEwASwAzADMAOQA3ADUAMgA3ADYASQBEAEUAQQA5=&amp;Tipo=2&amp;ST=1&amp;nLang=0</t>
  </si>
  <si>
    <t>https://www.clickideacore.com/ClickHTML5/Visit.aspx?ID=//54DAEwASwAzADMAOQA3ADQAMgA5ADEASQBEAEUAQQA9=&amp;Tipo=2&amp;ST=1&amp;nLang=0</t>
  </si>
  <si>
    <t>https://www.clickideacore.com/ClickHTML5/Visit.aspx?ID=//55DAEwASwAzADMAOQA3ADkAMQAyADMASQBEAEUAQQA2=&amp;Tipo=2&amp;ST=1&amp;nLang=0</t>
  </si>
  <si>
    <t>https://www.clickideacore.com/ClickHTML5/Visit.aspx?ID=//53DAEwASwAzADMAOQA3ADUANAA4ADIASQBEAEUAQQA7=&amp;Tipo=2&amp;ST=1&amp;nLang=0</t>
  </si>
  <si>
    <t>https://www.clickideacore.com/ClickHTML5/Visit.aspx?ID=//51DAEwASwAzADMAOQA4ADMAOQA0ADIASQBEAEUAQQA6=&amp;Tipo=2&amp;ST=1&amp;nLang=0</t>
  </si>
  <si>
    <t>https://www.clickideacore.com/ClickHTML5/Visit.aspx?ID=//58DAEwASwAzADMAOQA4ADEANwA1ADcASQBEAEUAQQA4=&amp;Tipo=2&amp;ST=1&amp;nLang=0</t>
  </si>
  <si>
    <t>https://www.clickideacore.com/ClickHTML5/Visit.aspx?ID=//50DAEwASwAzADMAOQA4ADYANQA2ADEASQBEAEUAQQAE=&amp;Tipo=2&amp;ST=1&amp;nLang=0</t>
  </si>
  <si>
    <t>https://www.clickideacore.com/ClickHTML5/Visit.aspx?ID=//52DAEwASwAzADMAOQA3ADQANgAxADgASQBEAEUAQQAB=&amp;Tipo=2&amp;ST=1&amp;nLang=0</t>
  </si>
  <si>
    <t>https://www.clickideacore.com/ClickHTML5/Visit.aspx?ID=//5BDAEwASwAzADMAOQA2ADgAMgA2ADcASQBEAEUAQQA1=&amp;Tipo=2&amp;ST=1&amp;nLang=0</t>
  </si>
  <si>
    <t>Antonio Riquelme</t>
  </si>
  <si>
    <t>https://www.clickideacore.com/ClickHTML5/Visit.aspx?ID=//57DAEwASwAzADQAMAAwADkANAAzADgASQBEAEUAQQA5=&amp;Tipo=2&amp;ST=1&amp;nLang=0</t>
  </si>
  <si>
    <t>https://www.clickideacore.com/ClickHTML5/Visit.aspx?ID=//5DDAEwASwAzADMAOQA5ADkANgAwADUASQBEAEUAQQAE=&amp;Tipo=2&amp;ST=1&amp;nLang=0</t>
  </si>
  <si>
    <t>https://www.clickideacore.com/ClickHTML5/Visit.aspx?ID=//56DAEwASwAzADMAOQA5ADcANQAwADgASQBEAEUAQQAF=&amp;Tipo=2&amp;ST=1&amp;nLang=0</t>
  </si>
  <si>
    <t>https://www.clickideacore.com/ClickHTML5/Visit.aspx?ID=//52DAEwASwAzADQAMAAwADUAOQA5ADgASQBEAEUAQQA1=&amp;Tipo=2&amp;ST=1&amp;nLang=0</t>
  </si>
  <si>
    <t>https://www.clickideacore.com/ClickHTML5/Visit.aspx?ID=//5DDAEwASwAzADMAOQA5ADkAMgAwADEASQBEAEUAQQAD=&amp;Tipo=2&amp;ST=1&amp;nLang=0</t>
  </si>
  <si>
    <t>https://www.clickideacore.com/ClickHTML5/Visit.aspx?ID=//5DDAEwASwAzADQAMAAwADcANQA5ADQASQBEAEUAQQA1=&amp;Tipo=2&amp;ST=1&amp;nLang=0</t>
  </si>
  <si>
    <t>https://www.clickideacore.com/ClickHTML5/Visit.aspx?ID=//59DAEwASwAzADQAMAAwADEANAAxADMASQBEAEUAQQA8=&amp;Tipo=2&amp;ST=1&amp;nLang=0</t>
  </si>
  <si>
    <t>https://www.clickideacore.com/ClickHTML5/Visit.aspx?ID=//5FDAEwASwAzADQAMAAwADIANwAxADEASQBEAEUAQQA4=&amp;Tipo=2&amp;ST=1&amp;nLang=0</t>
  </si>
  <si>
    <t>https://www.clickideacore.com/ClickHTML5/Visit.aspx?ID=//5FDAEwASwAzADQAMAAwADUAMQAzADgASQBEAEUAQQAD=&amp;Tipo=2&amp;ST=1&amp;nLang=0</t>
  </si>
  <si>
    <t>https://www.clickideacore.com/ClickHTML5/Visit.aspx?ID=//58DAEwASwAzADQAMAAwADIAMAAyADQASQBEAEUAQQAE=&amp;Tipo=2&amp;ST=1&amp;nLang=0</t>
  </si>
  <si>
    <t>https://www.clickideacore.com/ClickHTML5/Visit.aspx?ID=//5DDAEwASwAzADQAMAAwADEANAA2ADUASQBEAEUAQQAE=&amp;Tipo=2&amp;ST=1&amp;nLang=0</t>
  </si>
  <si>
    <t>https://www.clickideacore.com/ClickHTML5/Visit.aspx?ID=//5ADAEwASwAzADQAMAAwADcANQA5ADEASQBEAEUAQQA2=&amp;Tipo=2&amp;ST=1&amp;nLang=0</t>
  </si>
  <si>
    <t>https://www.clickideacore.com/ClickHTML5/Visit.aspx?ID=//59DAEwASwAzADQAMAAwADMAOQAyADYASQBEAEUAQQAD=&amp;Tipo=2&amp;ST=1&amp;nLang=0</t>
  </si>
  <si>
    <t>https://www.clickideacore.com/ClickHTML5/Visit.aspx?ID=//5CDAEwASwAzADQAMAAwADMAMQA3ADYASQBEAEUAQQA7=&amp;Tipo=2&amp;ST=1&amp;nLang=0</t>
  </si>
  <si>
    <t>https://www.clickideacore.com/ClickHTML5/Visit.aspx?ID=//54DAEwASwAzADMAOQA5ADMAMgA3ADcASQBEAEUAQQA1=&amp;Tipo=2&amp;ST=1&amp;nLang=0</t>
  </si>
  <si>
    <t>Cristian Gonzalez</t>
  </si>
  <si>
    <t>https://www.clickideacore.com/ClickHTML5/Visit.aspx?ID=//5FDAEwASwAzADQAMAAzADQANgA0ADYASQBEAEUAQQAD=&amp;Tipo=2&amp;ST=1&amp;nLang=0</t>
  </si>
  <si>
    <t>https://www.clickideacore.com/ClickHTML5/Visit.aspx?ID=//5BDAEwASwAzADQAMAAyADEAMgAzADYASQBEAEUAQQA3=&amp;Tipo=2&amp;ST=1&amp;nLang=0</t>
  </si>
  <si>
    <t>https://www.clickideacore.com/ClickHTML5/Visit.aspx?ID=//58DAEwASwAzADQAMAAyADEAMAAxADEASQBEAEUAQQA6=&amp;Tipo=2&amp;ST=1&amp;nLang=0</t>
  </si>
  <si>
    <t>https://www.clickideacore.com/ClickHTML5/Visit.aspx?ID=//58DAEwASwAzADQAMAAyADYANQA5ADMASQBEAEUAQQAC=&amp;Tipo=2&amp;ST=1&amp;nLang=0</t>
  </si>
  <si>
    <t>https://www.clickideacore.com/ClickHTML5/Visit.aspx?ID=//5BDAEwASwAzADQAMAAyADYAMAAzADcASQBEAEUAQQA8=&amp;Tipo=2&amp;ST=1&amp;nLang=0</t>
  </si>
  <si>
    <t>https://www.clickideacore.com/ClickHTML5/Visit.aspx?ID=//5BDAEwASwAzADQAMAAzADIANwAzADIASQBEAEUAQQA4=&amp;Tipo=2&amp;ST=1&amp;nLang=0</t>
  </si>
  <si>
    <t>https://www.clickideacore.com/ClickHTML5/Visit.aspx?ID=//50DAEwASwAzADQAMAAyADkAMAA0ADIASQBEAEUAQQA9=&amp;Tipo=2&amp;ST=1&amp;nLang=0</t>
  </si>
  <si>
    <t>https://www.clickideacore.com/ClickHTML5/Visit.aspx?ID=//50DAEwASwAzADQAMAAyADgANgA0ADUASQBEAEUAQQA1=&amp;Tipo=2&amp;ST=1&amp;nLang=0</t>
  </si>
  <si>
    <t>https://www.clickideacore.com/ClickHTML5/Visit.aspx?ID=//52DAEwASwAzADQAMAAyADEAMAAzADkASQBEAEUAQQA3=&amp;Tipo=2&amp;ST=1&amp;nLang=0</t>
  </si>
  <si>
    <t>https://www.clickideacore.com/ClickHTML5/Visit.aspx?ID=//55DAEwASwAzADQAMAAyADEANAAxADYASQBEAEUAQQAA=&amp;Tipo=2&amp;ST=1&amp;nLang=0</t>
  </si>
  <si>
    <t>https://www.clickideacore.com/ClickHTML5/Visit.aspx?ID=//54DAEwASwAzADQAMAAyADMANgA0ADUASQBEAEUAQQAC=&amp;Tipo=2&amp;ST=1&amp;nLang=0</t>
  </si>
  <si>
    <t>https://www.clickideacore.com/ClickHTML5/Visit.aspx?ID=//56DAEwASwAzADQAMAAzADMAMAA1ADMASQBEAEUAQQA4=&amp;Tipo=2&amp;ST=1&amp;nLang=0</t>
  </si>
  <si>
    <t>https://www.clickideacore.com/ClickHTML5/Visit.aspx?ID=//56DAEwASwAzADQAMAAzADEANQAzADMASQBEAEUAQQA2=&amp;Tipo=2&amp;ST=1&amp;nLang=0</t>
  </si>
  <si>
    <t>https://www.clickideacore.com/ClickHTML5/Visit.aspx?ID=//50DAEwASwAzADQAMAAzADQANwAzADYASQBEAEUAQQA1=&amp;Tipo=2&amp;ST=1&amp;nLang=0</t>
  </si>
  <si>
    <t>https://www.clickideacore.com/ClickHTML5/Visit.aspx?ID=//5ADAEwASwAzADQAMAAyADQANwA2ADgASQBEAEUAQQA3=&amp;Tipo=2&amp;ST=1&amp;nLang=0</t>
  </si>
  <si>
    <t>https://www.clickideacore.com/ClickHTML5/Visit.aspx?ID=//52DAEwASwAzADQAMAAxADcAOQAzADIASQBEAEUAQQAE=&amp;Tipo=2&amp;ST=1&amp;nLang=0</t>
  </si>
  <si>
    <t>https://www.clickideacore.com/ClickHTML5/Visit.aspx?ID=//58DAEwASwAzADQAMgAyADQAMAA5ADQASQBEAEUAQQA2=&amp;Tipo=2&amp;ST=1&amp;nLang=0</t>
  </si>
  <si>
    <t>https://www.clickideacore.com/ClickHTML5/Visit.aspx?ID=//50DAEwASwAzADQAMgAzADgAMAA0ADYASQBEAEUAQQA6=&amp;Tipo=2&amp;ST=1&amp;nLang=0</t>
  </si>
  <si>
    <t>https://www.clickideacore.com/ClickHTML5/Visit.aspx?ID=//54DAEwASwAzADQAMgAzADgANgAxADMASQBEAEUAQQA8=&amp;Tipo=2&amp;ST=1&amp;nLang=0</t>
  </si>
  <si>
    <t>https://www.clickideacore.com/ClickHTML5/Visit.aspx?ID=//56DAEwASwAzADQAMgA0ADUANAA2ADYASQBEAEUAQQAF=&amp;Tipo=2&amp;ST=1&amp;nLang=0</t>
  </si>
  <si>
    <t>https://www.clickideacore.com/ClickHTML5/Visit.aspx?ID=//53DAEwASwAzADQAMgA1ADQANgAwADMASQBEAEUAQQA1=&amp;Tipo=2&amp;ST=1&amp;nLang=0</t>
  </si>
  <si>
    <t>https://www.clickideacore.com/ClickHTML5/Visit.aspx?ID=//52DAEwASwAzADQAMgA1ADIANgA0ADQASQBEAEUAQQAA=&amp;Tipo=2&amp;ST=1&amp;nLang=0</t>
  </si>
  <si>
    <t>https://www.clickideacore.com/ClickHTML5/Visit.aspx?ID=//51DAEwASwAzADQAMgA1ADUAMwA5ADAASQBEAEUAQQAC=&amp;Tipo=2&amp;ST=1&amp;nLang=0</t>
  </si>
  <si>
    <t>https://www.clickideacore.com/ClickHTML5/Visit.aspx?ID=//57DAEwASwAzADQAMgA1ADQAMQAyADIASQBEAEUAQQA0=&amp;Tipo=2&amp;ST=1&amp;nLang=0</t>
  </si>
  <si>
    <t>https://www.clickideacore.com/ClickHTML5/Visit.aspx?ID=//59DAEwASwAzADQAMgA1ADcAOQAwADYASQBEAEUAQQA3=&amp;Tipo=2&amp;ST=1&amp;nLang=0</t>
  </si>
  <si>
    <t>https://www.clickideacore.com/ClickHTML5/Visit.aspx?ID=//5ADAEwASwAzADQAMgA1ADcAOQAzADMASQBEAEUAQQAB=&amp;Tipo=2&amp;ST=1&amp;nLang=0</t>
  </si>
  <si>
    <t>https://www.clickideacore.com/ClickHTML5/Visit.aspx?ID=//5CDAEwASwAzADQAMgA1ADYANwAzADYASQBEAEUAQQAC=&amp;Tipo=2&amp;ST=1&amp;nLang=0</t>
  </si>
  <si>
    <t>https://www.clickideacore.com/ClickHTML5/Visit.aspx?ID=//5CDAEwASwAzADQAMgA1ADMAOQA4ADEASQBEAEUAQQA8=&amp;Tipo=2&amp;ST=1&amp;nLang=0</t>
  </si>
  <si>
    <t>https://www.clickideacore.com/ClickHTML5/Visit.aspx?ID=//58DAEwASwAzADQAMgA1ADQAOQAwADgASQBEAEUAQQAB=&amp;Tipo=2&amp;ST=1&amp;nLang=0</t>
  </si>
  <si>
    <t>https://www.clickideacore.com/ClickHTML5/Visit.aspx?ID=//58DAEwASwAzADQAMgA1ADMAMQA4ADEASQBEAEUAQQA8=&amp;Tipo=2&amp;ST=1&amp;nLang=0</t>
  </si>
  <si>
    <t>https://www.clickideacore.com/ClickHTML5/Visit.aspx?ID=//53DAEwASwAzADQAMgA1ADcAMwA2ADEASQBEAEUAQQA6=&amp;Tipo=2&amp;ST=1&amp;nLang=0</t>
  </si>
  <si>
    <t>https://www.clickideacore.com/ClickHTML5/Visit.aspx?ID=//5BDAEwASwAzADQAMgA1ADcAMwA5ADYASQBEAEUAQQA4=&amp;Tipo=2&amp;ST=1&amp;nLang=0</t>
  </si>
  <si>
    <t>OP-S-061</t>
  </si>
  <si>
    <t>https://www.clickideacore.com/ClickHTML5/Visit.aspx?ID=//5ADAEwASwAzADQAMgA1ADQANwA5ADYASQBEAEUAQQA1=&amp;Tipo=2&amp;ST=1&amp;nLang=0</t>
  </si>
  <si>
    <t>Jorge Viscarra</t>
  </si>
  <si>
    <t>https://www.clickideacore.com/ClickHTML5/Visit.aspx?ID=//57DAEwASwAzADQAMgA1ADEAMQA4ADUASQBEAEUAQQAB=&amp;Tipo=2&amp;ST=1&amp;nLang=0</t>
  </si>
  <si>
    <t>https://www.clickideacore.com/ClickHTML5/Visit.aspx?ID=//56DAEwASwAzADQAMgA4ADEANQA1ADcASQBEAEUAQQAF=&amp;Tipo=2&amp;ST=1&amp;nLang=0</t>
  </si>
  <si>
    <t>https://www.clickideacore.com/ClickHTML5/Visit.aspx?ID=//5CDAEwASwAzADQAMgA2ADkAOQAzADAASQBEAEUAQQAB=&amp;Tipo=2&amp;ST=1&amp;nLang=0</t>
  </si>
  <si>
    <t>https://www.clickideacore.com/ClickHTML5/Visit.aspx?ID=//59DAEwASwAzADQAMgA3ADAANAAwADQASQBEAEUAQQA9=&amp;Tipo=2&amp;ST=1&amp;nLang=0</t>
  </si>
  <si>
    <t>https://www.clickideacore.com/ClickHTML5/Visit.aspx?ID=//5CDAEwASwAzADQAMgA3ADEAMgA5ADcASQBEAEUAQQAE=&amp;Tipo=2&amp;ST=1&amp;nLang=0</t>
  </si>
  <si>
    <t>https://www.clickideacore.com/ClickHTML5/Visit.aspx?ID=//50DAEwASwAzADQAMgA3ADMAOAA0ADAASQBEAEUAQQA3=&amp;Tipo=2&amp;ST=1&amp;nLang=0</t>
  </si>
  <si>
    <t>https://www.clickideacore.com/ClickHTML5/Visit.aspx?ID=//59DAEwASwAzADQAMgA2ADEANgA5ADgASQBEAEUAQQAC=&amp;Tipo=2&amp;ST=1&amp;nLang=0</t>
  </si>
  <si>
    <t>https://www.clickideacore.com/ClickHTML5/Visit.aspx?ID=//58DAEwASwAzADQAMgA3ADMAOQAzADkASQBEAEUAQQA0=&amp;Tipo=2&amp;ST=1&amp;nLang=0</t>
  </si>
  <si>
    <t>https://www.clickideacore.com/ClickHTML5/Visit.aspx?ID=//56DAEwASwAzADQAMgA3ADYANgA0ADMASQBEAEUAQQAC=&amp;Tipo=2&amp;ST=1&amp;nLang=0</t>
  </si>
  <si>
    <t>https://www.clickideacore.com/ClickHTML5/Visit.aspx?ID=//5BDAEwASwAzADQAMgA3ADMAOQA2ADcASQBEAEUAQQA5=&amp;Tipo=2&amp;ST=1&amp;nLang=0</t>
  </si>
  <si>
    <t>https://www.clickideacore.com/ClickHTML5/Visit.aspx?ID=//58DAEwASwAzADQAMgA3ADkANwA2ADgASQBEAEUAQQAC=&amp;Tipo=2&amp;ST=1&amp;nLang=0</t>
  </si>
  <si>
    <t>https://www.clickideacore.com/ClickHTML5/Visit.aspx?ID=//5FDAEwASwAzADQAMgA4ADAAOQA3ADIASQBEAEUAQQA5=&amp;Tipo=2&amp;ST=1&amp;nLang=0</t>
  </si>
  <si>
    <t>https://www.clickideacore.com/ClickHTML5/Visit.aspx?ID=//52DAEwASwAzADQAMgA4ADIAMAA4ADUASQBEAEUAQQA4=&amp;Tipo=2&amp;ST=1&amp;nLang=0</t>
  </si>
  <si>
    <t>https://www.clickideacore.com/ClickHTML5/Visit.aspx?ID=//56DAEwASwAzADQAMgA3ADUANwAzADEASQBEAEUAQQAA=&amp;Tipo=2&amp;ST=1&amp;nLang=0</t>
  </si>
  <si>
    <t>https://www.clickideacore.com/ClickHTML5/Visit.aspx?ID=//59DAEwASwAzADQAMgA2ADcAMAA0ADEASQBEAEUAQQA4=&amp;Tipo=2&amp;ST=1&amp;nLang=0</t>
  </si>
  <si>
    <t>Cumpleaños</t>
  </si>
  <si>
    <t>https://www.clickideacore.com/ClickHTML5/Visit.aspx?ID=//5DDAEwASwAzADQAMwAwADUANQAzADkASQBEAEUAQQA8=&amp;Tipo=2&amp;ST=1&amp;nLang=0</t>
  </si>
  <si>
    <t>https://www.clickideacore.com/ClickHTML5/Visit.aspx?ID=//59DAEwASwAzADQAMgA5ADIAMgA3ADIASQBEAEUAQQAC=&amp;Tipo=2&amp;ST=1&amp;nLang=0</t>
  </si>
  <si>
    <t>https://www.clickideacore.com/ClickHTML5/Visit.aspx?ID=//59DAEwASwAzADQAMgA5ADUAMQAxADcASQBEAEUAQQA7=&amp;Tipo=2&amp;ST=1&amp;nLang=0</t>
  </si>
  <si>
    <t>https://www.clickideacore.com/ClickHTML5/Visit.aspx?ID=//56DAEwASwAzADQAMgA5ADkANAA1ADQASQBEAEUAQQA6=&amp;Tipo=2&amp;ST=1&amp;nLang=0</t>
  </si>
  <si>
    <t>https://www.clickideacore.com/ClickHTML5/Visit.aspx?ID=//57DAEwASwAzADQAMgA5ADgAMwA4ADUASQBEAEUAQQAD=&amp;Tipo=2&amp;ST=1&amp;nLang=0</t>
  </si>
  <si>
    <t>https://www.clickideacore.com/ClickHTML5/Visit.aspx?ID=//53DAEwASwAzADQAMgA2ADcAMAA0ADEASQBEAEUAQQAD=&amp;Tipo=2&amp;ST=1&amp;nLang=0</t>
  </si>
  <si>
    <t>https://www.clickideacore.com/ClickHTML5/Visit.aspx?ID=//5CDAEwASwAzADQAMgA5ADgAOAAyADkASQBEAEUAQQA0=&amp;Tipo=2&amp;ST=1&amp;nLang=0</t>
  </si>
  <si>
    <t>https://www.clickideacore.com/ClickHTML5/Visit.aspx?ID=//57DAEwASwAzADQAMgA4ADkANQA2ADcASQBEAEUAQQA7=&amp;Tipo=2&amp;ST=1&amp;nLang=0</t>
  </si>
  <si>
    <t>https://www.clickideacore.com/ClickHTML5/Visit.aspx?ID=//5EDAEwASwAzADQAMgA5ADUAMAAyADYASQBEAEUAQQA9=&amp;Tipo=2&amp;ST=1&amp;nLang=0</t>
  </si>
  <si>
    <t>https://www.clickideacore.com/ClickHTML5/Visit.aspx?ID=//57DAEwASwAzADQAMwAwADMANgA0ADAASQBEAEUAQQA7=&amp;Tipo=2&amp;ST=1&amp;nLang=0</t>
  </si>
  <si>
    <t>https://www.clickideacore.com/ClickHTML5/Visit.aspx?ID=//5DDAEwASwAzADQAMgA5ADQANwA3ADIASQBEAEUAQQA6=&amp;Tipo=2&amp;ST=1&amp;nLang=0</t>
  </si>
  <si>
    <t>https://www.clickideacore.com/ClickHTML5/Visit.aspx?ID=//56DAEwASwAzADQAMgA5ADUANwAyADAASQBEAEUAQQA0=&amp;Tipo=2&amp;ST=1&amp;nLang=0</t>
  </si>
  <si>
    <t>https://www.clickideacore.com/ClickHTML5/Visit.aspx?ID=//58DAEwASwAzADQAMwAwADQANgAwADgASQBEAEUAQQAD=&amp;Tipo=2&amp;ST=1&amp;nLang=0</t>
  </si>
  <si>
    <t>https://www.clickideacore.com/ClickHTML5/Visit.aspx?ID=//5BDAEwASwAzADQAMgA5ADkANQA5ADgASQBEAEUAQQA9=&amp;Tipo=2&amp;ST=1&amp;nLang=0</t>
  </si>
  <si>
    <t>https://www.clickideacore.com/ClickHTML5/Visit.aspx?ID=//58DAEwASwAzADQAMwAwADUANQA0ADkASQBEAEUAQQA9=&amp;Tipo=2&amp;ST=1&amp;nLang=0</t>
  </si>
  <si>
    <t>https://www.clickideacore.com/ClickHTML5/Visit.aspx?ID=//5EDAEwASwAzADQAMgA5ADkANgA0ADkASQBEAEUAQQA8=&amp;Tipo=2&amp;ST=1&amp;nLang=0</t>
  </si>
  <si>
    <t>https://www.clickideacore.com/ClickHTML5/Visit.aspx?ID=//54DAEwASwAzADQAMgA4ADkAMgAxADkASQBEAEUAQQA0=&amp;Tipo=2&amp;ST=1&amp;nLang=0</t>
  </si>
  <si>
    <t>https://www.clickideacore.com/ClickHTML5/Visit.aspx?ID=//57DAEwASwAzADQAMwAzADEAMgAwADAASQBEAEUAQQAA=&amp;Tipo=2&amp;ST=1&amp;nLang=0</t>
  </si>
  <si>
    <t>https://www.clickideacore.com/ClickHTML5/Visit.aspx?ID=//59DAEwASwAzADQAMwAxADkAMgAyADMASQBEAEUAQQA2=&amp;Tipo=2&amp;ST=1&amp;nLang=0</t>
  </si>
  <si>
    <t>https://www.clickideacore.com/ClickHTML5/Visit.aspx?ID=//53DAEwASwAzADQAMwAxADMANgA0ADUASQBEAEUAQQA6=&amp;Tipo=2&amp;ST=1&amp;nLang=0</t>
  </si>
  <si>
    <t>https://www.clickideacore.com/ClickHTML5/Visit.aspx?ID=//52DAEwASwAzADQAMwAyADEAMgAwADUASQBEAEUAQQA7=&amp;Tipo=2&amp;ST=1&amp;nLang=0</t>
  </si>
  <si>
    <t>https://www.clickideacore.com/ClickHTML5/Visit.aspx?ID=//57DAEwASwAzADQAMwAzADAANQA0ADQASQBEAEUAQQAA=&amp;Tipo=2&amp;ST=1&amp;nLang=0</t>
  </si>
  <si>
    <t>https://www.clickideacore.com/ClickHTML5/Visit.aspx?ID=//55DAEwASwAzADQAMwA1ADYAOQAyADIASQBEAEUAQQAF=&amp;Tipo=2&amp;ST=1&amp;nLang=0</t>
  </si>
  <si>
    <t>https://www.clickideacore.com/ClickHTML5/Visit.aspx?ID=//53DAEwASwAzADQAMwAxADkANQA3ADkASQBEAEUAQQA4=&amp;Tipo=2&amp;ST=1&amp;nLang=0</t>
  </si>
  <si>
    <t>https://www.clickideacore.com/ClickHTML5/Visit.aspx?ID=//5CDAEwASwAzADQAMwAxADEANAA1ADUASQBEAEUAQQA5=&amp;Tipo=2&amp;ST=1&amp;nLang=0</t>
  </si>
  <si>
    <t>https://www.clickideacore.com/ClickHTML5/Visit.aspx?ID=//57DAEwASwAzADQAMwAyADUAMQA0ADAASQBEAEUAQQAC=&amp;Tipo=2&amp;ST=1&amp;nLang=0</t>
  </si>
  <si>
    <t>https://www.clickideacore.com/ClickHTML5/Visit.aspx?ID=//55DAEwASwAzADQAMwAyADMAMgAxADAASQBEAEUAQQA3=&amp;Tipo=2&amp;ST=1&amp;nLang=0</t>
  </si>
  <si>
    <t>https://www.clickideacore.com/ClickHTML5/Visit.aspx?ID=//52DAEwASwAzADQAMwAyADIANwA3ADIASQBEAEUAQQA8=&amp;Tipo=2&amp;ST=1&amp;nLang=0</t>
  </si>
  <si>
    <t>https://www.clickideacore.com/ClickHTML5/Visit.aspx?ID=//50DAEwASwAzADQAMwAzADAAMAA2ADIASQBEAEUAQQA5=&amp;Tipo=2&amp;ST=1&amp;nLang=0</t>
  </si>
  <si>
    <t>https://www.clickideacore.com/ClickHTML5/Visit.aspx?ID=//5ADAEwASwAzADQAMwAyADMANwA2ADYASQBEAEUAQQA8=&amp;Tipo=2&amp;ST=1&amp;nLang=0</t>
  </si>
  <si>
    <t>https://www.clickideacore.com/ClickHTML5/Visit.aspx?ID=//50DAEwASwAzADQAMwAzADEANQAxADgASQBEAEUAQQA5=&amp;Tipo=2&amp;ST=1&amp;nLang=0</t>
  </si>
  <si>
    <t>https://www.clickideacore.com/ClickHTML5/Visit.aspx?ID=//5CDAEwASwAzADQAMwAxADkANAA4ADQASQBEAEUAQQAF=&amp;Tipo=2&amp;ST=1&amp;nLang=0</t>
  </si>
  <si>
    <t>https://www.clickideacore.com/ClickHTML5/Visit.aspx?ID=//57DAEwASwAzADQAMwAyADEANQAxADIASQBEAEUAQQAE=&amp;Tipo=2&amp;ST=1&amp;nLang=0</t>
  </si>
  <si>
    <t>https://www.clickideacore.com/ClickHTML5/Visit.aspx?ID=//54DAEwASwAzADQAMwA1ADYAMAAxADMASQBEAEUAQQA1=&amp;Tipo=2&amp;ST=1&amp;nLang=0</t>
  </si>
  <si>
    <t>https://www.clickideacore.com/ClickHTML5/Visit.aspx?ID=//5ADAEwASwAzADQAMwA0ADYAMgA1ADEASQBEAEUAQQAB=&amp;Tipo=2&amp;ST=1&amp;nLang=0</t>
  </si>
  <si>
    <t>https://www.clickideacore.com/ClickHTML5/Visit.aspx?ID=//5BDAEwASwAzADQAMwA0ADYANwAwADkASQBEAEUAQQAE=&amp;Tipo=2&amp;ST=1&amp;nLang=0</t>
  </si>
  <si>
    <t>https://www.clickideacore.com/ClickHTML5/Visit.aspx?ID=//5DDAEwASwAzADQAMwA0ADcAMQA5ADAASQBEAEUAQQA3=&amp;Tipo=2&amp;ST=1&amp;nLang=0</t>
  </si>
  <si>
    <t>https://www.clickideacore.com/ClickHTML5/Visit.aspx?ID=//5FDAEwASwAzADQAMwA1ADMAOQAzADMASQBEAEUAQQAF=&amp;Tipo=2&amp;ST=1&amp;nLang=0</t>
  </si>
  <si>
    <t>https://www.clickideacore.com/ClickHTML5/Visit.aspx?ID=//5ADAEwASwAzADQAMwA0ADcAMgA0ADMASQBEAEUAQQAC=&amp;Tipo=2&amp;ST=1&amp;nLang=0</t>
  </si>
  <si>
    <t>https://www.clickideacore.com/ClickHTML5/Visit.aspx?ID=//5FDAEwASwAzADQAMwA0ADAAOAA2ADIASQBEAEUAQQA6=&amp;Tipo=2&amp;ST=1&amp;nLang=0</t>
  </si>
  <si>
    <t>https://www.clickideacore.com/ClickHTML5/Visit.aspx?ID=//56DAEwASwAzADQAMwA0ADUAMQAwADAASQBEAEUAQQAC=&amp;Tipo=2&amp;ST=1&amp;nLang=0</t>
  </si>
  <si>
    <t>https://www.clickideacore.com/ClickHTML5/Visit.aspx?ID=//55DAEwASwAzADQAMwA0ADIAOAA5ADQASQBEAEUAQQAE=&amp;Tipo=2&amp;ST=1&amp;nLang=0</t>
  </si>
  <si>
    <t>https://www.clickideacore.com/ClickHTML5/Visit.aspx?ID=//50DAEwASwAzADQAMwA1ADQANgAyADUASQBEAEUAQQAB=&amp;Tipo=2&amp;ST=1&amp;nLang=0</t>
  </si>
  <si>
    <t>https://www.clickideacore.com/ClickHTML5/Visit.aspx?ID=//57DAEwASwAzADQAMwA1ADIANQA4ADAASQBEAEUAQQA8=&amp;Tipo=2&amp;ST=1&amp;nLang=0</t>
  </si>
  <si>
    <t>https://www.clickideacore.com/ClickHTML5/Visit.aspx?ID=//5ADAEwASwAzADQAMwA1ADUANgAyADMASQBEAEUAQQA6=&amp;Tipo=2&amp;ST=1&amp;nLang=0</t>
  </si>
  <si>
    <t>https://www.clickideacore.com/ClickHTML5/Visit.aspx?ID=//5EDAEwASwAzADQAMwA0ADUAMwAzADcASQBEAEUAQQA3=&amp;Tipo=2&amp;ST=1&amp;nLang=0</t>
  </si>
  <si>
    <t>https://www.clickideacore.com/ClickHTML5/Visit.aspx?ID=//53DAEwASwAzADQAMwA0ADkAMAA0ADQASQBEAEUAQQA6=&amp;Tipo=2&amp;ST=1&amp;nLang=0</t>
  </si>
  <si>
    <t>https://www.clickideacore.com/ClickHTML5/Visit.aspx?ID=//50DAEwASwAzADQAMwA0ADIAMQAyADAASQBEAEUAQQAA=&amp;Tipo=2&amp;ST=1&amp;nLang=0</t>
  </si>
  <si>
    <t>https://www.clickideacore.com/ClickHTML5/Visit.aspx?ID=//53DAEwASwAzADQAMwA2ADcANwAxADQASQBEAEUAQQA0=&amp;Tipo=2&amp;ST=1&amp;nLang=0</t>
  </si>
  <si>
    <t>https://www.clickideacore.com/ClickHTML5/Visit.aspx?ID=//5FDAEwASwAzADQAMwA3ADAAMgAwADYASQBEAEUAQQA0=&amp;Tipo=2&amp;ST=1&amp;nLang=0</t>
  </si>
  <si>
    <t>https://www.clickideacore.com/ClickHTML5/Visit.aspx?ID=//5CDAEwASwAzADQAMwA3ADcANgAwADUASQBEAEUAQQA0=&amp;Tipo=2&amp;ST=1&amp;nLang=0</t>
  </si>
  <si>
    <t>https://www.clickideacore.com/ClickHTML5/Visit.aspx?ID=//52DAEwASwAzADQAMwA3ADgAMAAwADUASQBEAEUAQQAC=&amp;Tipo=2&amp;ST=1&amp;nLang=0</t>
  </si>
  <si>
    <t>https://www.clickideacore.com/ClickHTML5/Visit.aspx?ID=//57DAEwASwAzADQAMwA4ADcAOQA0ADgASQBEAEUAQQAF=&amp;Tipo=2&amp;ST=1&amp;nLang=0</t>
  </si>
  <si>
    <t>https://www.clickideacore.com/ClickHTML5/Visit.aspx?ID=//5CDAEwASwAzADQAMwA4ADQAOQA0ADUASQBEAEUAQQA0=&amp;Tipo=2&amp;ST=1&amp;nLang=0</t>
  </si>
  <si>
    <t>https://www.clickideacore.com/ClickHTML5/Visit.aspx?ID=//5EDAEwASwAzADQAMwA4ADMAMAAyADIASQBEAEUAQQA7=&amp;Tipo=2&amp;ST=1&amp;nLang=0</t>
  </si>
  <si>
    <t>https://www.clickideacore.com/ClickHTML5/Visit.aspx?ID=//5EDAEwASwAzADQAMwA4ADcANwAzADYASQBEAEUAQQA8=&amp;Tipo=2&amp;ST=1&amp;nLang=0</t>
  </si>
  <si>
    <t>https://www.clickideacore.com/ClickHTML5/Visit.aspx?ID=//5BDAEwASwAzADQAMwA4ADQANQA3ADYASQBEAEUAQQAF=&amp;Tipo=2&amp;ST=1&amp;nLang=0</t>
  </si>
  <si>
    <t>https://www.clickideacore.com/ClickHTML5/Visit.aspx?ID=//55DAEwASwAzADQAMwA4ADUAOQA4ADYASQBEAEUAQQAB=&amp;Tipo=2&amp;ST=1&amp;nLang=0</t>
  </si>
  <si>
    <t>https://www.clickideacore.com/ClickHTML5/Visit.aspx?ID=//53DAEwASwAzADQAMwA4ADMAMQAwADYASQBEAEUAQQAB=&amp;Tipo=2&amp;ST=1&amp;nLang=0</t>
  </si>
  <si>
    <t>https://www.clickideacore.com/ClickHTML5/Visit.aspx?ID=//56DAEwASwAzADQAMwA4ADYAMwAwADgASQBEAEUAQQA2=&amp;Tipo=2&amp;ST=1&amp;nLang=0</t>
  </si>
  <si>
    <t>https://www.clickideacore.com/ClickHTML5/Visit.aspx?ID=//56DAEwASwAzADQAMwA4ADMANgAxADkASQBEAEUAQQA4=&amp;Tipo=2&amp;ST=1&amp;nLang=0</t>
  </si>
  <si>
    <t>https://www.clickideacore.com/ClickHTML5/Visit.aspx?ID=//5BDAEwASwAzADQAMwA4ADUAMgAwADAASQBEAEUAQQA8=&amp;Tipo=2&amp;ST=1&amp;nLang=0</t>
  </si>
  <si>
    <t>https://www.clickideacore.com/ClickHTML5/Visit.aspx?ID=//59DAEwASwAzADQAMwA4ADYANAA0ADIASQBEAEUAQQA2=&amp;Tipo=2&amp;ST=1&amp;nLang=0</t>
  </si>
  <si>
    <t>https://www.clickideacore.com/ClickHTML5/Visit.aspx?ID=//50DAEwASwAzADQAMwA4ADIAMwA4ADAASQBEAEUAQQA0=&amp;Tipo=2&amp;ST=1&amp;nLang=0</t>
  </si>
  <si>
    <t>https://www.clickideacore.com/ClickHTML5/Visit.aspx?ID=//53DAEwASwAzADQAMwA4ADQAMAAwADUASQBEAEUAQQAA=&amp;Tipo=2&amp;ST=1&amp;nLang=0</t>
  </si>
  <si>
    <t>https://www.clickideacore.com/ClickHTML5/Visit.aspx?ID=//59DAEwASwAzADQAMwA4ADcANQA2ADcASQBEAEUAQQA4=&amp;Tipo=2&amp;ST=1&amp;nLang=0</t>
  </si>
  <si>
    <t>https://www.clickideacore.com/ClickHTML5/Visit.aspx?ID=//56DAEwASwAzADQAMwA4ADcAMQAxADcASQBEAEUAQQAC=&amp;Tipo=2&amp;ST=1&amp;nLang=0</t>
  </si>
  <si>
    <t>https://www.clickideacore.com/ClickHTML5/Visit.aspx?ID=//56DAEwASwAzADQAMwA4ADUANQAwADEASQBEAEUAQQAD=&amp;Tipo=2&amp;ST=1&amp;nLang=0</t>
  </si>
  <si>
    <t>https://www.clickideacore.com/ClickHTML5/Visit.aspx?ID=//50DAEwASwAzADQANAAxADEAMAA0ADAASQBEAEUAQQAF=&amp;Tipo=2&amp;ST=1&amp;nLang=0</t>
  </si>
  <si>
    <t>https://www.clickideacore.com/ClickHTML5/Visit.aspx?ID=//56DAEwASwAzADQANAAwADEANgA3ADAASQBEAEUAQQA1=&amp;Tipo=2&amp;ST=1&amp;nLang=0</t>
  </si>
  <si>
    <t>https://www.clickideacore.com/ClickHTML5/Visit.aspx?ID=//50DAEwASwAzADQANAAwADAAMwA5ADEASQBEAEUAQQA7=&amp;Tipo=2&amp;ST=1&amp;nLang=0</t>
  </si>
  <si>
    <t>https://www.clickideacore.com/ClickHTML5/Visit.aspx?ID=//57DAEwASwAzADQAMwA5ADkAOQA5ADYASQBEAEUAQQA3=&amp;Tipo=2&amp;ST=1&amp;nLang=0</t>
  </si>
  <si>
    <t>https://www.clickideacore.com/ClickHTML5/Visit.aspx?ID=//5BDAEwASwAzADQAMwA5ADgAMgA0ADgASQBEAEUAQQAF=&amp;Tipo=2&amp;ST=1&amp;nLang=0</t>
  </si>
  <si>
    <t>https://www.clickideacore.com/ClickHTML5/Visit.aspx?ID=//5CDAEwASwAzADQANAAwADUAOQAxADIASQBEAEUAQQAF=&amp;Tipo=2&amp;ST=1&amp;nLang=0</t>
  </si>
  <si>
    <t>https://www.clickideacore.com/ClickHTML5/Visit.aspx?ID=//51DAEwASwAzADQAMwA5ADcAMAAwADUASQBEAEUAQQA6=&amp;Tipo=2&amp;ST=1&amp;nLang=0</t>
  </si>
  <si>
    <t>https://www.clickideacore.com/ClickHTML5/Visit.aspx?ID=//5EDAEwASwAzADQANAAwADUANwA2ADYASQBEAEUAQQA7=&amp;Tipo=2&amp;ST=1&amp;nLang=0</t>
  </si>
  <si>
    <t>https://www.clickideacore.com/ClickHTML5/Visit.aspx?ID=//57DAEwASwAzADQANAAwADgANQAzADkASQBEAEUAQQA3=&amp;Tipo=2&amp;ST=1&amp;nLang=0</t>
  </si>
  <si>
    <t>https://www.clickideacore.com/ClickHTML5/Visit.aspx?ID=//5DDAEwASwAzADQANAAwADQAMAAyADYASQBEAEUAQQA7=&amp;Tipo=2&amp;ST=1&amp;nLang=0</t>
  </si>
  <si>
    <t>https://www.clickideacore.com/ClickHTML5/Visit.aspx?ID=//53DAEwASwAzADQANAAwADUANQA5ADEASQBEAEUAQQA0=&amp;Tipo=2&amp;ST=1&amp;nLang=0</t>
  </si>
  <si>
    <t>https://www.clickideacore.com/ClickHTML5/Visit.aspx?ID=//5BDAEwASwAzADQANAAwADkANwAyADIASQBEAEUAQQA8=&amp;Tipo=2&amp;ST=1&amp;nLang=0</t>
  </si>
  <si>
    <t>https://www.clickideacore.com/ClickHTML5/Visit.aspx?ID=//59DAEwASwAzADQANAAxADAANgAwADYASQBEAEUAQQA4=&amp;Tipo=2&amp;ST=1&amp;nLang=0</t>
  </si>
  <si>
    <t>https://www.clickideacore.com/ClickHTML5/Visit.aspx?ID=//51DAEwASwAzADQAMwA4ADgAMgA1ADgASQBEAEUAQQA8=&amp;Tipo=2&amp;ST=1&amp;nLang=0</t>
  </si>
  <si>
    <t>https://www.clickideacore.com/ClickHTML5/Visit.aspx?ID=//5BDAEwASwAzADQANAAwADMANQA1ADkASQBEAEUAQQA8=&amp;Tipo=2&amp;ST=1&amp;nLang=0</t>
  </si>
  <si>
    <t>OP-S-003</t>
  </si>
  <si>
    <t>OP-S-005</t>
  </si>
  <si>
    <t>OP-S-006</t>
  </si>
  <si>
    <t>https://www.clickideacore.com/ClickHTML5/Visit.aspx?ID=//57DAEwASwAzADQANAAzADQAMgAxADYASQBEAEUAQQA7=&amp;Tipo=2&amp;ST=1&amp;nLang=0</t>
  </si>
  <si>
    <t>https://www.clickideacore.com/ClickHTML5/Visit.aspx?ID=//5DDAEwASwAzADQANAAyADIAMgA2ADkASQBEAEUAQQA1=&amp;Tipo=2&amp;ST=1&amp;nLang=0</t>
  </si>
  <si>
    <t>https://www.clickideacore.com/ClickHTML5/Visit.aspx?ID=//59DAEwASwAzADQANAAyADYAOAA3ADIASQBEAEUAQQA1=&amp;Tipo=2&amp;ST=1&amp;nLang=0</t>
  </si>
  <si>
    <t>https://www.clickideacore.com/ClickHTML5/Visit.aspx?ID=//5EDAEwASwAzADQANAAyADcAMQAwADQASQBEAEUAQQAC=&amp;Tipo=2&amp;ST=1&amp;nLang=0</t>
  </si>
  <si>
    <t>https://www.clickideacore.com/ClickHTML5/Visit.aspx?ID=//50DAEwASwAzADQANAAzADMAMwA3ADIASQBEAEUAQQAB=&amp;Tipo=2&amp;ST=1&amp;nLang=0</t>
  </si>
  <si>
    <t>Cristian Valdivia</t>
  </si>
  <si>
    <t>OP-S-100</t>
  </si>
  <si>
    <t>https://www.clickideacore.com/ClickHTML5/Visit.aspx?ID=//56DAEwASwAzADQANAAyADMANgAyADIASQBEAEUAQQA5=&amp;Tipo=2&amp;ST=1&amp;nLang=0</t>
  </si>
  <si>
    <t>https://www.clickideacore.com/ClickHTML5/Visit.aspx?ID=//5DDAEwASwAzADQANAAyADMAMAA3ADgASQBEAEUAQQA6=&amp;Tipo=2&amp;ST=1&amp;nLang=0</t>
  </si>
  <si>
    <t>https://www.clickideacore.com/ClickHTML5/Visit.aspx?ID=//58DAEwASwAzADQANAAyADIAMwA0ADgASQBEAEUAQQAC=&amp;Tipo=2&amp;ST=1&amp;nLang=0</t>
  </si>
  <si>
    <t>https://www.clickideacore.com/ClickHTML5/Visit.aspx?ID=//54DAEwASwAzADQANAAyADYAMQA1ADgASQBEAEUAQQA0=&amp;Tipo=2&amp;ST=1&amp;nLang=0</t>
  </si>
  <si>
    <t>https://www.clickideacore.com/ClickHTML5/Visit.aspx?ID=//5DDAEwASwAzADQANAAzADMANAA3ADgASQBEAEUAQQA8=&amp;Tipo=2&amp;ST=1&amp;nLang=0</t>
  </si>
  <si>
    <t>https://www.clickideacore.com/ClickHTML5/Visit.aspx?ID=//58DAEwASwAzADQANAAyADcAOAA3ADEASQBEAEUAQQA4=&amp;Tipo=2&amp;ST=1&amp;nLang=0</t>
  </si>
  <si>
    <t>https://www.clickideacore.com/ClickHTML5/Visit.aspx?ID=//50DAEwASwAzADQANAAzADIANQA2ADcASQBEAEUAQQA3=&amp;Tipo=2&amp;ST=1&amp;nLang=0</t>
  </si>
  <si>
    <t>https://www.clickideacore.com/ClickHTML5/Visit.aspx?ID=//54DAEwASwAzADQANAAzADIANgA5ADEASQBEAEUAQQA7=&amp;Tipo=2&amp;ST=1&amp;nLang=0</t>
  </si>
  <si>
    <t>https://www.clickideacore.com/ClickHTML5/Visit.aspx?ID=//50DAEwASwAzADQANAAzADQANAA3ADgASQBEAEUAQQAB=&amp;Tipo=2&amp;ST=1&amp;nLang=0</t>
  </si>
  <si>
    <t>https://www.clickideacore.com/ClickHTML5/Visit.aspx?ID=//55DAEwASwAzADQANAAyADcAOQA0ADgASQBEAEUAQQA2=&amp;Tipo=2&amp;ST=1&amp;nLang=0</t>
  </si>
  <si>
    <t>https://www.clickideacore.com/ClickHTML5/Visit.aspx?ID=//53DAEwASwAzADQANAA1ADgAMgA4ADAASQBEAEUAQQA4=&amp;Tipo=2&amp;ST=1&amp;nLang=0</t>
  </si>
  <si>
    <t>https://www.clickideacore.com/ClickHTML5/Visit.aspx?ID=//51DAEwASwAzADQANAA0ADYAMwA1ADAASQBEAEUAQQAE=&amp;Tipo=2&amp;ST=1&amp;nLang=0</t>
  </si>
  <si>
    <t>https://www.clickideacore.com/ClickHTML5/Visit.aspx?ID=//5BDAEwASwAzADQANAA0ADQAMQAyADEASQBEAEUAQQA0=&amp;Tipo=2&amp;ST=1&amp;nLang=0</t>
  </si>
  <si>
    <t>https://www.clickideacore.com/ClickHTML5/Visit.aspx?ID=//5BDAEwASwAzADQANAA1ADcANwA0ADIASQBEAEUAQQAC=&amp;Tipo=2&amp;ST=1&amp;nLang=0</t>
  </si>
  <si>
    <t>https://www.clickideacore.com/ClickHTML5/Visit.aspx?ID=//55DAEwASwAzADQANAA0ADcANwAzADQASQBEAEUAQQAD=&amp;Tipo=2&amp;ST=1&amp;nLang=0</t>
  </si>
  <si>
    <t>https://www.clickideacore.com/ClickHTML5/Visit.aspx?ID=//5CDAEwASwAzADQANAA1ADQANgA2ADIASQBEAEUAQQA5=&amp;Tipo=2&amp;ST=1&amp;nLang=0</t>
  </si>
  <si>
    <t>https://www.clickideacore.com/ClickHTML5/Visit.aspx?ID=//59DAEwASwAzADQANAA0ADkAOAA0ADAASQBEAEUAQQA1=&amp;Tipo=2&amp;ST=1&amp;nLang=0</t>
  </si>
  <si>
    <t>https://www.clickideacore.com/ClickHTML5/Visit.aspx?ID=//57DAEwASwAzADQANAA0ADgAMgA2ADQASQBEAEUAQQA7=&amp;Tipo=2&amp;ST=1&amp;nLang=0</t>
  </si>
  <si>
    <t>https://www.clickideacore.com/ClickHTML5/Visit.aspx?ID=//5DDAEwASwAzADQANAA1ADEAOQAzADgASQBEAEUAQQA6=&amp;Tipo=2&amp;ST=1&amp;nLang=0</t>
  </si>
  <si>
    <t>https://www.clickideacore.com/ClickHTML5/Visit.aspx?ID=//51DAEwASwAzADQANAA0ADgAMQAyADkASQBEAEUAQQAF=&amp;Tipo=2&amp;ST=1&amp;nLang=0</t>
  </si>
  <si>
    <t>https://www.clickideacore.com/ClickHTML5/Visit.aspx?ID=//5ADAEwASwAzADQANAA1ADcAMQA1ADkASQBEAEUAQQA9=&amp;Tipo=2&amp;ST=1&amp;nLang=0</t>
  </si>
  <si>
    <t>https://www.clickideacore.com/ClickHTML5/Visit.aspx?ID=//55DAEwASwAzADQANAA0ADcAOAA2ADEASQBEAEUAQQA1=&amp;Tipo=2&amp;ST=1&amp;nLang=0</t>
  </si>
  <si>
    <t>https://www.clickideacore.com/ClickHTML5/Visit.aspx?ID=//57DAEwASwAzADQANAA1ADIANAAyADcASQBEAEUAQQAA=&amp;Tipo=2&amp;ST=1&amp;nLang=0</t>
  </si>
  <si>
    <t>https://www.clickideacore.com/ClickHTML5/Visit.aspx?ID=//59DAEwASwAzADQANAA4ADAAMAA1ADMASQBEAEUAQQAC=&amp;Tipo=2&amp;ST=1&amp;nLang=0</t>
  </si>
  <si>
    <t>https://www.clickideacore.com/ClickHTML5/Visit.aspx?ID=//50DAEwASwAzADQANAA3ADAAMQA4ADAASQBEAEUAQQA6=&amp;Tipo=2&amp;ST=1&amp;nLang=0</t>
  </si>
  <si>
    <t>https://www.clickideacore.com/ClickHTML5/Visit.aspx?ID=//59DAEwASwAzADQANAA3ADAAOAAwADIASQBEAEUAQQA0=&amp;Tipo=2&amp;ST=1&amp;nLang=0</t>
  </si>
  <si>
    <t>https://www.clickideacore.com/ClickHTML5/Visit.aspx?ID=//54DAEwASwAzADQANAA3ADAANQA4ADgASQBEAEUAQQA1=&amp;Tipo=2&amp;ST=1&amp;nLang=0</t>
  </si>
  <si>
    <t>https://www.clickideacore.com/ClickHTML5/Visit.aspx?ID=//50DAEwASwAzADQANAA3ADkANAA1ADAASQBEAEUAQQA8=&amp;Tipo=2&amp;ST=1&amp;nLang=0</t>
  </si>
  <si>
    <t>https://www.clickideacore.com/ClickHTML5/Visit.aspx?ID=//55DAEwASwAzADQANAA2ADcAOQA1ADMASQBEAEUAQQA5=&amp;Tipo=2&amp;ST=1&amp;nLang=0</t>
  </si>
  <si>
    <t>https://www.clickideacore.com/ClickHTML5/Visit.aspx?ID=//5FDAEwASwAzADQANAA2ADYAMwA5ADcASQBEAEUAQQA7=&amp;Tipo=2&amp;ST=1&amp;nLang=0</t>
  </si>
  <si>
    <t>https://www.clickideacore.com/ClickHTML5/Visit.aspx?ID=//50DAEwASwAzADQANAA3ADMANQAyADQASQBEAEUAQQAA=&amp;Tipo=2&amp;ST=1&amp;nLang=0</t>
  </si>
  <si>
    <t>https://www.clickideacore.com/ClickHTML5/Visit.aspx?ID=//5FDAEwASwAzADQANAA2ADYANAA1ADMASQBEAEUAQQA1=&amp;Tipo=2&amp;ST=1&amp;nLang=0</t>
  </si>
  <si>
    <t>https://www.clickideacore.com/ClickHTML5/Visit.aspx?ID=//5BDAEwASwAzADQANAA3ADEAMwA1ADEASQBEAEUAQQA0=&amp;Tipo=2&amp;ST=1&amp;nLang=0</t>
  </si>
  <si>
    <t>https://www.clickideacore.com/ClickHTML5/Visit.aspx?ID=//5BDAEwASwAzADQANAA3ADUANAAwADMASQBEAEUAQQAE=&amp;Tipo=2&amp;ST=1&amp;nLang=0</t>
  </si>
  <si>
    <t>https://www.clickideacore.com/ClickHTML5/Visit.aspx?ID=//59DAEwASwAzADQANAA3ADUAOQAzADEASQBEAEUAQQA5=&amp;Tipo=2&amp;ST=1&amp;nLang=0</t>
  </si>
  <si>
    <t>https://www.clickideacore.com/ClickHTML5/Visit.aspx?ID=//54DAEwASwAzADQANAA3ADgAMwA4ADYASQBEAEUAQQA3=&amp;Tipo=2&amp;ST=1&amp;nLang=0</t>
  </si>
  <si>
    <t>https://www.clickideacore.com/ClickHTML5/Visit.aspx?ID=//5CDAEwASwAzADQANAA3ADYANgAwADYASQBEAEUAQQA1=&amp;Tipo=2&amp;ST=1&amp;nLang=0</t>
  </si>
  <si>
    <t>https://www.clickideacore.com/ClickHTML5/Visit.aspx?ID=//5CDAEwASwAzADQANAA1ADgANAA3ADkASQBEAEUAQQAD=&amp;Tipo=2&amp;ST=1&amp;nLang=0</t>
  </si>
  <si>
    <t>https://www.clickideacore.com/ClickHTML5/Visit.aspx?ID=//5DDAEwASwAzADQANAA3ADEANAAwADQASQBEAEUAQQA0=&amp;Tipo=2&amp;ST=1&amp;nLang=0</t>
  </si>
  <si>
    <t>https://www.clickideacore.com/ClickHTML5/Visit.aspx?ID=//5FDAEwASwAzADQANAA5ADIANwA1ADkASQBEAEUAQQAC=&amp;Tipo=2&amp;ST=1&amp;nLang=0</t>
  </si>
  <si>
    <t>https://www.clickideacore.com/ClickHTML5/Visit.aspx?ID=//51DAEwASwAzADQANAA5ADIANgAyADMASQBEAEUAQQAE=&amp;Tipo=2&amp;ST=1&amp;nLang=0</t>
  </si>
  <si>
    <t>https://www.clickideacore.com/ClickHTML5/Visit.aspx?ID=//58DAEwASwAzADQANQAwADIAMAAwADAASQBEAEUAQQA3=&amp;Tipo=2&amp;ST=1&amp;nLang=0</t>
  </si>
  <si>
    <t>https://www.clickideacore.com/ClickHTML5/Visit.aspx?ID=//55DAEwASwAzADQANQAwADIAOAA4ADMASQBEAEUAQQA0=&amp;Tipo=2&amp;ST=1&amp;nLang=0</t>
  </si>
  <si>
    <t>https://www.clickideacore.com/ClickHTML5/Visit.aspx?ID=//59DAEwASwAzADQANQAyADYAOAA5ADcASQBEAEUAQQA4=&amp;Tipo=2&amp;ST=1&amp;nLang=0</t>
  </si>
  <si>
    <t>https://www.clickideacore.com/ClickHTML5/Visit.aspx?ID=//58DAEwASwAzADQANQAxADkANAAyADAASQBEAEUAQQA7=&amp;Tipo=2&amp;ST=1&amp;nLang=0</t>
  </si>
  <si>
    <t>https://www.clickideacore.com/ClickHTML5/Visit.aspx?ID=//58DAEwASwAzADQANQAxADQAMQA3ADAASQBEAEUAQQA7=&amp;Tipo=2&amp;ST=1&amp;nLang=0</t>
  </si>
  <si>
    <t>https://www.clickideacore.com/ClickHTML5/Visit.aspx?ID=//52DAEwASwAzADQANQAxADgAMgA5ADEASQBEAEUAQQA1=&amp;Tipo=2&amp;ST=1&amp;nLang=0</t>
  </si>
  <si>
    <t>https://www.clickideacore.com/ClickHTML5/Visit.aspx?ID=//52DAEwASwAzADQANQAyADYANAAyADkASQBEAEUAQQA2=&amp;Tipo=2&amp;ST=1&amp;nLang=0</t>
  </si>
  <si>
    <t>https://www.clickideacore.com/ClickHTML5/Visit.aspx?ID=//55DAEwASwAzADQANQAxADIANQA3ADUASQBEAEUAQQAB=&amp;Tipo=2&amp;ST=1&amp;nLang=0</t>
  </si>
  <si>
    <t>https://www.clickideacore.com/ClickHTML5/Visit.aspx?ID=//5DDAEwASwAzADQANQAxADIANwAzADQASQBEAEUAQQA0=&amp;Tipo=2&amp;ST=1&amp;nLang=0</t>
  </si>
  <si>
    <t>https://www.clickideacore.com/ClickHTML5/Visit.aspx?ID=//52DAEwASwAzADQANQAyADYANAA3ADAASQBEAEUAQQA2=&amp;Tipo=2&amp;ST=1&amp;nLang=0</t>
  </si>
  <si>
    <t>https://www.clickideacore.com/ClickHTML5/Visit.aspx?ID=//50DAEwASwAzADQANQAxADUAOQAyADUASQBEAEUAQQA8=&amp;Tipo=2&amp;ST=1&amp;nLang=0</t>
  </si>
  <si>
    <t>https://www.clickideacore.com/ClickHTML5/Visit.aspx?ID=//50DAEwASwAzADQANQAxADkAMAA2ADcASQBEAEUAQQA1=&amp;Tipo=2&amp;ST=1&amp;nLang=0</t>
  </si>
  <si>
    <t>https://www.clickideacore.com/ClickHTML5/Visit.aspx?ID=//55DAEwASwAzADQANQAyADMAOAAwADYASQBEAEUAQQAC=&amp;Tipo=2&amp;ST=1&amp;nLang=0</t>
  </si>
  <si>
    <t>https://www.clickideacore.com/ClickHTML5/Visit.aspx?ID=//5DDAEwASwAzADQANQAxADgAMQA3ADEASQBEAEUAQQAF=&amp;Tipo=2&amp;ST=1&amp;nLang=0</t>
  </si>
  <si>
    <t>https://www.clickideacore.com/ClickHTML5/Visit.aspx?ID=//55DAEwASwAzADQANQAyADUAMQA5ADkASQBEAEUAQQA4=&amp;Tipo=2&amp;ST=1&amp;nLang=0</t>
  </si>
  <si>
    <t>https://www.clickideacore.com/ClickHTML5/Visit.aspx?ID=//52DAEwASwAzADQANQAyADUAMgAyADQASQBEAEUAQQA9=&amp;Tipo=2&amp;ST=1&amp;nLang=0</t>
  </si>
  <si>
    <t>https://www.clickideacore.com/ClickHTML5/Visit.aspx?ID=//58DAEwASwAzADQANQAyADMANgA1ADkASQBEAEUAQQAA=&amp;Tipo=2&amp;ST=1&amp;nLang=0</t>
  </si>
  <si>
    <t>https://www.clickideacore.com/ClickHTML5/Visit.aspx?ID=//5BDAEwASwAzADQANQA1ADEANQAwADAASQBEAEUAQQAF=&amp;Tipo=2&amp;ST=1&amp;nLang=0</t>
  </si>
  <si>
    <t>https://www.clickideacore.com/ClickHTML5/Visit.aspx?ID=//50DAEwASwAzADQANQA0ADIAOAAxADQASQBEAEUAQQA2=&amp;Tipo=2&amp;ST=1&amp;nLang=0</t>
  </si>
  <si>
    <t>https://www.clickideacore.com/ClickHTML5/Visit.aspx?ID=//54DAEwASwAzADQANQA0ADEAMAA5ADQASQBEAEUAQQAD=&amp;Tipo=2&amp;ST=1&amp;nLang=0</t>
  </si>
  <si>
    <t>https://www.clickideacore.com/ClickHTML5/Visit.aspx?ID=//50DAEwASwAzADQANQA0ADkAMAA0ADYASQBEAEUAQQA2=&amp;Tipo=2&amp;ST=1&amp;nLang=0</t>
  </si>
  <si>
    <t>https://www.clickideacore.com/ClickHTML5/Visit.aspx?ID=//5ADAEwASwAzADQANQA0ADEAMwA0ADAASQBEAEUAQQAE=&amp;Tipo=2&amp;ST=1&amp;nLang=0</t>
  </si>
  <si>
    <t>https://www.clickideacore.com/ClickHTML5/Visit.aspx?ID=//5EDAEwASwAzADQANQAzADkANQA0ADgASQBEAEUAQQA9=&amp;Tipo=2&amp;ST=1&amp;nLang=0</t>
  </si>
  <si>
    <t>https://www.clickideacore.com/ClickHTML5/Visit.aspx?ID=//58DAEwASwAzADQANQA1ADAAMQA0ADEASQBEAEUAQQAA=&amp;Tipo=2&amp;ST=1&amp;nLang=0</t>
  </si>
  <si>
    <t>https://www.clickideacore.com/ClickHTML5/Visit.aspx?ID=//56DAEwASwAzADQANQAzADQANgA1ADYASQBEAEUAQQA0=&amp;Tipo=2&amp;ST=1&amp;nLang=0</t>
  </si>
  <si>
    <t>https://www.clickideacore.com/ClickHTML5/Visit.aspx?ID=//5FDAEwASwAzADQANQA0ADMAMAA4ADIASQBEAEUAQQAD=&amp;Tipo=2&amp;ST=1&amp;nLang=0</t>
  </si>
  <si>
    <t>https://www.clickideacore.com/ClickHTML5/Visit.aspx?ID=//5DDAEwASwAzADQANQA0ADUAMQAwADAASQBEAEUAQQAC=&amp;Tipo=2&amp;ST=1&amp;nLang=0</t>
  </si>
  <si>
    <t>https://www.clickideacore.com/ClickHTML5/Visit.aspx?ID=//5DDAEwASwAzADQANQA0ADYAMgAxADMASQBEAEUAQQAE=&amp;Tipo=2&amp;ST=1&amp;nLang=0</t>
  </si>
  <si>
    <t>https://www.clickideacore.com/ClickHTML5/Visit.aspx?ID=//5FDAEwASwAzADQANQA0ADkAMQA3ADgASQBEAEUAQQAE=&amp;Tipo=2&amp;ST=1&amp;nLang=0</t>
  </si>
  <si>
    <t>https://www.clickideacore.com/ClickHTML5/Visit.aspx?ID=//5EDAEwASwAzADQANQA0ADkAOQA5ADQASQBEAEUAQQA7=&amp;Tipo=2&amp;ST=1&amp;nLang=0</t>
  </si>
  <si>
    <t>https://www.clickideacore.com/ClickHTML5/Visit.aspx?ID=//52DAEwASwAzADQANQA1ADEAMwAzADMASQBEAEUAQQA5=&amp;Tipo=2&amp;ST=1&amp;nLang=0</t>
  </si>
  <si>
    <t>https://www.clickideacore.com/ClickHTML5/Visit.aspx?ID=//54DAEwASwAzADQANQA1ADAANAAyADcASQBEAEUAQQA1=&amp;Tipo=2&amp;ST=1&amp;nLang=0</t>
  </si>
  <si>
    <t>https://www.clickideacore.com/ClickHTML5/Visit.aspx?ID=//5CDAEwASwAzADQANQA3ADQAMwA5ADUASQBEAEUAQQA3=&amp;Tipo=2&amp;ST=1&amp;nLang=0</t>
  </si>
  <si>
    <t>https://www.clickideacore.com/ClickHTML5/Visit.aspx?ID=//5CDAEwASwAzADQANQA2ADEANQA0ADYASQBEAEUAQQA0=&amp;Tipo=2&amp;ST=1&amp;nLang=0</t>
  </si>
  <si>
    <t>https://www.clickideacore.com/ClickHTML5/Visit.aspx?ID=//50DAEwASwAzADQANQA2ADIAMAA5ADcASQBEAEUAQQAA=&amp;Tipo=2&amp;ST=1&amp;nLang=0</t>
  </si>
  <si>
    <t>https://www.clickideacore.com/ClickHTML5/Visit.aspx?ID=//55DAEwASwAzADQANQA2ADcAMAA3ADYASQBEAEUAQQA7=&amp;Tipo=2&amp;ST=1&amp;nLang=0</t>
  </si>
  <si>
    <t>https://www.clickideacore.com/ClickHTML5/Visit.aspx?ID=//5ADAEwASwAzADQANQA3ADMAMgAzADIASQBEAEUAQQAA=&amp;Tipo=2&amp;ST=1&amp;nLang=0</t>
  </si>
  <si>
    <t>https://www.clickideacore.com/ClickHTML5/Visit.aspx?ID=//5EDAEwASwAzADQANQA2ADAAMwA5ADUASQBEAEUAQQA8=&amp;Tipo=2&amp;ST=1&amp;nLang=0</t>
  </si>
  <si>
    <t>https://www.clickideacore.com/ClickHTML5/Visit.aspx?ID=//52DAEwASwAzADQANQA2ADcAMgAzADUASQBEAEUAQQA2=&amp;Tipo=2&amp;ST=1&amp;nLang=0</t>
  </si>
  <si>
    <t>https://www.clickideacore.com/ClickHTML5/Visit.aspx?ID=//58DAEwASwAzADQANQA2ADAANQA3ADUASQBEAEUAQQA3=&amp;Tipo=2&amp;ST=1&amp;nLang=0</t>
  </si>
  <si>
    <t>https://www.clickideacore.com/ClickHTML5/Visit.aspx?ID=//58DAEwASwAzADQANQA2ADMAOQA3ADIASQBEAEUAQQA3=&amp;Tipo=2&amp;ST=1&amp;nLang=0</t>
  </si>
  <si>
    <t>https://www.clickideacore.com/ClickHTML5/Visit.aspx?ID=//59DAEwASwAzADQANQA2ADYAOQAxADkASQBEAEUAQQA9=&amp;Tipo=2&amp;ST=1&amp;nLang=0</t>
  </si>
  <si>
    <t>https://www.clickideacore.com/ClickHTML5/Visit.aspx?ID=//56DAEwASwAzADQANQA2ADMAMQA0ADYASQBEAEUAQQAC=&amp;Tipo=2&amp;ST=1&amp;nLang=0</t>
  </si>
  <si>
    <t>https://www.clickideacore.com/ClickHTML5/Visit.aspx?ID=//54DAEwASwAzADQANQA3ADMAMAA1ADMASQBEAEUAQQA1=&amp;Tipo=2&amp;ST=1&amp;nLang=0</t>
  </si>
  <si>
    <t>https://www.clickideacore.com/ClickHTML5/Visit.aspx?ID=//5ADAEwASwAzADQANQA3ADEAOAA1ADYASQBEAEUAQQA9=&amp;Tipo=2&amp;ST=1&amp;nLang=0</t>
  </si>
  <si>
    <t>https://www.clickideacore.com/ClickHTML5/Visit.aspx?ID=//5FDAEwASwAzADQANQA3ADQAMgA5ADUASQBEAEUAQQA5=&amp;Tipo=2&amp;ST=1&amp;nLang=0</t>
  </si>
  <si>
    <t>Wilmer Villa</t>
  </si>
  <si>
    <t>https://www.clickideacore.com/ClickHTML5/Visit.aspx?ID=//54DAEwASwAzADQANQA3ADQAMwA3ADMASQBEAEUAQQA4=&amp;Tipo=2&amp;ST=1&amp;nLang=0</t>
  </si>
  <si>
    <t>https://www.clickideacore.com/ClickHTML5/Visit.aspx?ID=//55DAEwASwAzADQANQA2ADkAMgA0ADIASQBEAEUAQQA8=&amp;Tipo=2&amp;ST=1&amp;nLang=0</t>
  </si>
  <si>
    <t>https://www.clickideacore.com/ClickHTML5/Visit.aspx?ID=//54DAEwASwAzADQANQA5ADgAMgAzADMASQBEAEUAQQAA=&amp;Tipo=2&amp;ST=1&amp;nLang=0</t>
  </si>
  <si>
    <t>https://www.clickideacore.com/ClickHTML5/Visit.aspx?ID=//5FDAEwASwAzADQANQA4ADYAOAAwADQASQBEAEUAQQAB=&amp;Tipo=2&amp;ST=1&amp;nLang=0</t>
  </si>
  <si>
    <t>https://www.clickideacore.com/ClickHTML5/Visit.aspx?ID=//5CDAEwASwAzADQANQA4ADMAMgAwADAASQBEAEUAQQAB=&amp;Tipo=2&amp;ST=1&amp;nLang=0</t>
  </si>
  <si>
    <t>https://www.clickideacore.com/ClickHTML5/Visit.aspx?ID=//53DAEwASwAzADQANQA5ADgAMgA0ADYASQBEAEUAQQA9=&amp;Tipo=2&amp;ST=1&amp;nLang=0</t>
  </si>
  <si>
    <t>https://www.clickideacore.com/ClickHTML5/Visit.aspx?ID=//52DAEwASwAzADQANQA4ADgAMwA2ADcASQBEAEUAQQAD=&amp;Tipo=2&amp;ST=1&amp;nLang=0</t>
  </si>
  <si>
    <t>https://www.clickideacore.com/ClickHTML5/Visit.aspx?ID=//5CDAEwASwAzADQANQA5ADcAMgAxADcASQBEAEUAQQA8=&amp;Tipo=2&amp;ST=1&amp;nLang=0</t>
  </si>
  <si>
    <t>https://www.clickideacore.com/ClickHTML5/Visit.aspx?ID=//5CDAEwASwAzADQANQA5ADYANAA2ADAASQBEAEUAQQAD=&amp;Tipo=2&amp;ST=1&amp;nLang=0</t>
  </si>
  <si>
    <t>https://www.clickideacore.com/ClickHTML5/Visit.aspx?ID=//5ADAEwASwAzADQANQA4ADgAOQA2ADYASQBEAEUAQQA9=&amp;Tipo=2&amp;ST=1&amp;nLang=0</t>
  </si>
  <si>
    <t>https://www.clickideacore.com/ClickHTML5/Visit.aspx?ID=//52DAEwASwAzADQANQA5ADIAMwAxADgASQBEAEUAQQA7=&amp;Tipo=2&amp;ST=1&amp;nLang=0</t>
  </si>
  <si>
    <t>https://www.clickideacore.com/ClickHTML5/Visit.aspx?ID=//59DAEwASwAzADQANQA5ADYANAA0ADUASQBEAEUAQQA6=&amp;Tipo=2&amp;ST=1&amp;nLang=0</t>
  </si>
  <si>
    <t>https://www.clickideacore.com/ClickHTML5/Visit.aspx?ID=//59DAEwASwAzADQANQA5ADAANQA4ADAASQBEAEUAQQAC=&amp;Tipo=2&amp;ST=1&amp;nLang=0</t>
  </si>
  <si>
    <t>https://www.clickideacore.com/ClickHTML5/Visit.aspx?ID=//50DAEwASwAzADQANQA5ADcAMQAyADQASQBEAEUAQQA1=&amp;Tipo=2&amp;ST=1&amp;nLang=0</t>
  </si>
  <si>
    <t>https://www.clickideacore.com/ClickHTML5/Visit.aspx?ID=//5ADAEwASwAzADQANQA5ADcANAAzADAASQBEAEUAQQAD=&amp;Tipo=2&amp;ST=1&amp;nLang=0</t>
  </si>
  <si>
    <t>https://www.clickideacore.com/ClickHTML5/Visit.aspx?ID=//50DAEwASwAzADQANQA5ADgANAA2ADkASQBEAEUAQQA9=&amp;Tipo=2&amp;ST=1&amp;nLang=0</t>
  </si>
  <si>
    <t>https://www.clickideacore.com/ClickHTML5/Visit.aspx?ID=//5DDAEwASwAzADQANQA4ADgANwA2ADcASQBEAEUAQQAE=&amp;Tipo=2&amp;ST=1&amp;nLang=0</t>
  </si>
  <si>
    <t>https://www.clickideacore.com/ClickHTML5/Visit.aspx?ID=//58DAEwASwAzADQANQA5ADUANQA2ADcASQBEAEUAQQA4=&amp;Tipo=2&amp;ST=1&amp;nLang=0</t>
  </si>
  <si>
    <t>https://www.clickideacore.com/ClickHTML5/Visit.aspx?ID=//51DAEwASwAzADQANgAyADIAMgA0ADYASQBEAEUAQQA5=&amp;Tipo=2&amp;ST=1&amp;nLang=0</t>
  </si>
  <si>
    <t>https://www.clickideacore.com/ClickHTML5/Visit.aspx?ID=//5BDAEwASwAzADQANgAxADIAOAAzADAASQBEAEUAQQAC=&amp;Tipo=2&amp;ST=1&amp;nLang=0</t>
  </si>
  <si>
    <t>https://www.clickideacore.com/ClickHTML5/Visit.aspx?ID=//5CDAEwASwAzADQANgAxADEANAA2ADYASQBEAEUAQQA1=&amp;Tipo=2&amp;ST=1&amp;nLang=0</t>
  </si>
  <si>
    <t>https://www.clickideacore.com/ClickHTML5/Visit.aspx?ID=//5CDAEwASwAzADQANgAxADMAMgAzADMASQBEAEUAQQA3=&amp;Tipo=2&amp;ST=1&amp;nLang=0</t>
  </si>
  <si>
    <t>https://www.clickideacore.com/ClickHTML5/Visit.aspx?ID=//51DAEwASwAzADQANgAxADYANgA1ADUASQBEAEUAQQA2=&amp;Tipo=2&amp;ST=1&amp;nLang=0</t>
  </si>
  <si>
    <t>https://www.clickideacore.com/ClickHTML5/Visit.aspx?ID=//53DAEwASwAzADQANgAwADgAOQAyADEASQBEAEUAQQA1=&amp;Tipo=2&amp;ST=1&amp;nLang=0</t>
  </si>
  <si>
    <t>https://www.clickideacore.com/ClickHTML5/Visit.aspx?ID=//59DAEwASwAzADQANgAyADAANAAxADUASQBEAEUAQQAA=&amp;Tipo=2&amp;ST=1&amp;nLang=0</t>
  </si>
  <si>
    <t>https://www.clickideacore.com/ClickHTML5/Visit.aspx?ID=//5DDAEwASwAzADQANgAwADMANwA1ADEASQBEAEUAQQAD=&amp;Tipo=2&amp;ST=1&amp;nLang=0</t>
  </si>
  <si>
    <t>https://www.clickideacore.com/ClickHTML5/Visit.aspx?ID=//5FDAEwASwAzADQANgAxADIANQAxADIASQBEAEUAQQAB=&amp;Tipo=2&amp;ST=1&amp;nLang=0</t>
  </si>
  <si>
    <t>https://www.clickideacore.com/ClickHTML5/Visit.aspx?ID=//57DAEwASwAzADQANgAxADcANQAyADIASQBEAEUAQQA3=&amp;Tipo=2&amp;ST=1&amp;nLang=0</t>
  </si>
  <si>
    <t>https://www.clickideacore.com/ClickHTML5/Visit.aspx?ID=//5DDAEwASwAzADQANgAwADkAMwA1ADAASQBEAEUAQQA3=&amp;Tipo=2&amp;ST=1&amp;nLang=0</t>
  </si>
  <si>
    <t>https://www.clickideacore.com/ClickHTML5/Visit.aspx?ID=//5BDAEwASwAzADQANgAyADIAMwAyADEASQBEAEUAQQA3=&amp;Tipo=2&amp;ST=1&amp;nLang=0</t>
  </si>
  <si>
    <t>https://www.clickideacore.com/ClickHTML5/Visit.aspx?ID=//55DAEwASwAzADQANgAyADAAOQAwADUASQBEAEUAQQAF=&amp;Tipo=2&amp;ST=1&amp;nLang=0</t>
  </si>
  <si>
    <t>https://www.clickideacore.com/ClickHTML5/Visit.aspx?ID=//54DAEwASwAzADQANgAyADIANQA2ADMASQBEAEUAQQAF=&amp;Tipo=2&amp;ST=1&amp;nLang=0</t>
  </si>
  <si>
    <t>https://www.clickideacore.com/ClickHTML5/Visit.aspx?ID=//54DAEwASwAzADQANgAxADcAOQAzADYASQBEAEUAQQAB=&amp;Tipo=2&amp;ST=1&amp;nLang=0</t>
  </si>
  <si>
    <t>https://www.clickideacore.com/ClickHTML5/Visit.aspx?ID=//59DAEwASwAzADQANgAyADAAOAAyADMASQBEAEUAQQA8=&amp;Tipo=2&amp;ST=1&amp;nLang=0</t>
  </si>
  <si>
    <t>https://www.clickideacore.com/ClickHTML5/Visit.aspx?ID=//50DAEwASwAzADQANgAzADQAMAAxADkASQBEAEUAQQAE=&amp;Tipo=2&amp;ST=1&amp;nLang=0</t>
  </si>
  <si>
    <t>https://www.clickideacore.com/ClickHTML5/Visit.aspx?ID=//57DAEwASwAzADQANgA0ADMAOAA4ADUASQBEAEUAQQA4=&amp;Tipo=2&amp;ST=1&amp;nLang=0</t>
  </si>
  <si>
    <t>https://www.clickideacore.com/ClickHTML5/Visit.aspx?ID=//51DAEwASwAzADQANgA2ADgANQA2ADAASQBEAEUAQQAA=&amp;Tipo=2&amp;ST=1&amp;nLang=0</t>
  </si>
  <si>
    <t>https://www.clickideacore.com/ClickHTML5/Visit.aspx?ID=//59DAEwASwAzADQANgA2ADAAMAAxADkASQBEAEUAQQAE=&amp;Tipo=2&amp;ST=1&amp;nLang=0</t>
  </si>
  <si>
    <t>https://www.clickideacore.com/ClickHTML5/Visit.aspx?ID=//52DAEwASwAzADQANgA1ADQAMQAyADAASQBEAEUAQQA7=&amp;Tipo=2&amp;ST=1&amp;nLang=0</t>
  </si>
  <si>
    <t>https://www.clickideacore.com/ClickHTML5/Visit.aspx?ID=//55DAEwASwAzADQANgA2ADUAMQA0ADQASQBEAEUAQQA1=&amp;Tipo=2&amp;ST=1&amp;nLang=0</t>
  </si>
  <si>
    <t>https://www.clickideacore.com/ClickHTML5/Visit.aspx?ID=//57DAEwASwAzADQANgA1ADkAMQAxADIASQBEAEUAQQA8=&amp;Tipo=2&amp;ST=1&amp;nLang=0</t>
  </si>
  <si>
    <t>https://www.clickideacore.com/ClickHTML5/Visit.aspx?ID=//59DAEwASwAzADQANgA2ADYANwA4ADMASQBEAEUAQQAF=&amp;Tipo=2&amp;ST=1&amp;nLang=0</t>
  </si>
  <si>
    <t>https://www.clickideacore.com/ClickHTML5/Visit.aspx?ID=//57DAEwASwAzADQANgA1ADYAOAA4ADkASQBEAEUAQQA1=&amp;Tipo=2&amp;ST=1&amp;nLang=0</t>
  </si>
  <si>
    <t>https://www.clickideacore.com/ClickHTML5/Visit.aspx?ID=//52DAEwASwAzADQANgA2ADQAOQA0ADgASQBEAEUAQQAA=&amp;Tipo=2&amp;ST=1&amp;nLang=0</t>
  </si>
  <si>
    <t>https://www.clickideacore.com/ClickHTML5/Visit.aspx?ID=//51DAEwASwAzADQANgA1ADgAMwAyADcASQBEAEUAQQAF=&amp;Tipo=2&amp;ST=1&amp;nLang=0</t>
  </si>
  <si>
    <t>https://www.clickideacore.com/ClickHTML5/Visit.aspx?ID=//5ADAEwASwAzADQANgA2ADEAOAA2ADQASQBEAEUAQQAC=&amp;Tipo=2&amp;ST=1&amp;nLang=0</t>
  </si>
  <si>
    <t>https://www.clickideacore.com/ClickHTML5/Visit.aspx?ID=//5FDAEwASwAzADQANgA2ADIAOQA3ADkASQBEAEUAQQAC=&amp;Tipo=2&amp;ST=1&amp;nLang=0</t>
  </si>
  <si>
    <t>https://www.clickideacore.com/ClickHTML5/Visit.aspx?ID=//53DAEwASwAzADQANgA1ADUANQA5ADYASQBEAEUAQQA2=&amp;Tipo=2&amp;ST=1&amp;nLang=0</t>
  </si>
  <si>
    <t>https://www.clickideacore.com/ClickHTML5/Visit.aspx?ID=//51DAEwASwAzADQANgA2ADcAMQA1ADQASQBEAEUAQQA3=&amp;Tipo=2&amp;ST=1&amp;nLang=0</t>
  </si>
  <si>
    <t>https://www.clickideacore.com/ClickHTML5/Visit.aspx?ID=//53DAEwASwAzADQANgA2ADYAMAA2ADgASQBEAEUAQQAE=&amp;Tipo=2&amp;ST=1&amp;nLang=0</t>
  </si>
  <si>
    <t>https://www.clickideacore.com/ClickHTML5/Visit.aspx?ID=//51DAEwASwAzADQANgA2ADgANwA4ADYASQBEAEUAQQA7=&amp;Tipo=2&amp;ST=1&amp;nLang=0</t>
  </si>
  <si>
    <t>https://www.clickideacore.com/ClickHTML5/Visit.aspx?ID=//5ADAEwASwAzADQANgA2ADgAOAAyADcASQBEAEUAQQA1=&amp;Tipo=2&amp;ST=1&amp;nLang=0</t>
  </si>
  <si>
    <t>OP-S-0011</t>
  </si>
  <si>
    <t>https://www.clickideacore.com/ClickHTML5/Visit.aspx?ID=//55DAEwASwAzADQANwAxADUAOAA1ADUASQBEAEUAQQAE=&amp;Tipo=2&amp;ST=1&amp;nLang=0</t>
  </si>
  <si>
    <t>https://www.clickideacore.com/ClickHTML5/Visit.aspx?ID=//50DAEwASwAzADQANwAzADUAOQA3ADkASQBEAEUAQQAF=&amp;Tipo=2&amp;ST=1&amp;nLang=0</t>
  </si>
  <si>
    <t>https://www.clickideacore.com/ClickHTML5/Visit.aspx?ID=//57DAEwASwAzADQANwAyADkAOAA2ADcASQBEAEUAQQAE=&amp;Tipo=2&amp;ST=1&amp;nLang=0</t>
  </si>
  <si>
    <t>https://www.clickideacore.com/ClickHTML5/Visit.aspx?ID=//55DAEwASwAzADQANwAzADEAOQA2ADgASQBEAEUAQQAF=&amp;Tipo=2&amp;ST=1&amp;nLang=0</t>
  </si>
  <si>
    <t>https://www.clickideacore.com/ClickHTML5/Visit.aspx?ID=//5BDAEwASwAzADQANwA0ADAANQAxADEASQBEAEUAQQAF=&amp;Tipo=2&amp;ST=1&amp;nLang=0</t>
  </si>
  <si>
    <t>https://www.clickideacore.com/ClickHTML5/Visit.aspx?ID=//5CDAEwASwAzADQANwAyADgAOAAyADgASQBEAEUAQQAD=&amp;Tipo=2&amp;ST=1&amp;nLang=0</t>
  </si>
  <si>
    <t>https://www.clickideacore.com/ClickHTML5/Visit.aspx?ID=//5EDAEwASwAzADQANwAzADcAMAA5ADEASQBEAEUAQQA9=&amp;Tipo=2&amp;ST=1&amp;nLang=0</t>
  </si>
  <si>
    <t>https://www.clickideacore.com/ClickHTML5/Visit.aspx?ID=//50DAEwASwAzADQANwAyADcAOAAzADkASQBEAEUAQQA6=&amp;Tipo=2&amp;ST=1&amp;nLang=0</t>
  </si>
  <si>
    <t>https://www.clickideacore.com/ClickHTML5/Visit.aspx?ID=//56DAEwASwAzADQANwAzADMAOAAxADMASQBEAEUAQQA8=&amp;Tipo=2&amp;ST=1&amp;nLang=0</t>
  </si>
  <si>
    <t>https://www.clickideacore.com/ClickHTML5/Visit.aspx?ID=//5CDAEwASwAzADQANwAzADcAMgAyADIASQBEAEUAQQA3=&amp;Tipo=2&amp;ST=1&amp;nLang=0</t>
  </si>
  <si>
    <t>https://www.clickideacore.com/ClickHTML5/Visit.aspx?ID=//5CDAEwASwAzADQANwA0ADEAMgAzADUASQBEAEUAQQAA=&amp;Tipo=2&amp;ST=1&amp;nLang=0</t>
  </si>
  <si>
    <t>https://www.clickideacore.com/ClickHTML5/Visit.aspx?ID=//53DAEwASwAzADQANwAzADMAOAA0ADEASQBEAEUAQQA9=&amp;Tipo=2&amp;ST=1&amp;nLang=0</t>
  </si>
  <si>
    <t>https://www.clickideacore.com/ClickHTML5/Visit.aspx?ID=//52DAEwASwAzADQANwA0ADEANAAzADIASQBEAEUAQQA2=&amp;Tipo=2&amp;ST=1&amp;nLang=0</t>
  </si>
  <si>
    <t>https://www.clickideacore.com/ClickHTML5/Visit.aspx?ID=//50DAEwASwAzADQANwA0ADMAMAA4ADIASQBEAEUAQQAE=&amp;Tipo=2&amp;ST=1&amp;nLang=0</t>
  </si>
  <si>
    <t>https://www.clickideacore.com/ClickHTML5/Visit.aspx?ID=//5FDAEwASwAzADQANwAzADQAMAAzADIASQBEAEUAQQA3=&amp;Tipo=2&amp;ST=1&amp;nLang=0</t>
  </si>
  <si>
    <t>OP-S-0012</t>
  </si>
  <si>
    <t>https://www.clickideacore.com/ClickHTML5/Visit.aspx?ID=//50DAEwASwAzADQANgA4ADEANwAwADMASQBEAEUAQQAA=&amp;Tipo=2&amp;ST=1&amp;nLang=0</t>
  </si>
  <si>
    <t>https://www.clickideacore.com/ClickHTML5/Visit.aspx?ID=//5FDAEwASwAzADQANgA4ADEAMAA1ADYASQBEAEUAQQA6=&amp;Tipo=2&amp;ST=1&amp;nLang=0</t>
  </si>
  <si>
    <t>OP-S-0013</t>
  </si>
  <si>
    <t>https://www.clickideacore.com/ClickHTML5/Visit.aspx?ID=//50DAEwASwAzADQANgA4ADgANQAwADUASQBEAEUAQQAE=&amp;Tipo=2&amp;ST=1&amp;nLang=0</t>
  </si>
  <si>
    <t>https://www.clickideacore.com/ClickHTML5/Visit.aspx?ID=//5DDAEwASwAzADQANgA4ADQAMQAyADEASQBEAEUAQQA9=&amp;Tipo=2&amp;ST=1&amp;nLang=0</t>
  </si>
  <si>
    <t>https://www.clickideacore.com/ClickHTML5/Visit.aspx?ID=//54DAEwASwAzADQANgA5ADEANQA2ADEASQBEAEUAQQA5=&amp;Tipo=2&amp;ST=1&amp;nLang=0</t>
  </si>
  <si>
    <t>https://www.clickideacore.com/ClickHTML5/Visit.aspx?ID=//57DAEwASwAzADQANgA4ADMAMQAwADAASQBEAEUAQQA0=&amp;Tipo=2&amp;ST=1&amp;nLang=0</t>
  </si>
  <si>
    <t>vacaciones</t>
  </si>
  <si>
    <t>https://www.clickideacore.com/ClickHTML5/Visit.aspx?ID=//58DAEwASwAzADQANwA2ADMANwAwADQASQBEAEUAQQA5=&amp;Tipo=2&amp;ST=1&amp;nLang=0</t>
  </si>
  <si>
    <t>https://www.clickideacore.com/ClickHTML5/Visit.aspx?ID=//53DAEwASwAzADQANwA1ADUANQAwADMASQBEAEUAQQA4=&amp;Tipo=2&amp;ST=1&amp;nLang=0</t>
  </si>
  <si>
    <t>https://www.clickideacore.com/ClickHTML5/Visit.aspx?ID=//50DAEwASwAzADQANwA1ADcAMQA2ADIASQBEAEUAQQA7=&amp;Tipo=2&amp;ST=1&amp;nLang=0</t>
  </si>
  <si>
    <t>https://www.clickideacore.com/ClickHTML5/Visit.aspx?ID=//56DAEwASwAzADQANwA2ADQANgAxADQASQBEAEUAQQA3=&amp;Tipo=2&amp;ST=1&amp;nLang=0</t>
  </si>
  <si>
    <t>https://www.clickideacore.com/ClickHTML5/Visit.aspx?ID=//54DAEwASwAzADQANwA1ADEANAA5ADIASQBEAEUAQQA5=&amp;Tipo=2&amp;ST=1&amp;nLang=0</t>
  </si>
  <si>
    <t>https://www.clickideacore.com/ClickHTML5/Visit.aspx?ID=//5DDAEwASwAzADQANwA2ADIAMgAzADgASQBEAEUAQQA3=&amp;Tipo=2&amp;ST=1&amp;nLang=0</t>
  </si>
  <si>
    <t>https://www.clickideacore.com/ClickHTML5/Visit.aspx?ID=//52DAEwASwAzADQANwA1ADUANAA0ADgASQBEAEUAQQA5=&amp;Tipo=2&amp;ST=1&amp;nLang=0</t>
  </si>
  <si>
    <t>https://www.clickideacore.com/ClickHTML5/Visit.aspx?ID=//52DAEwASwAzADQANwA1ADYAMQA4ADMASQBEAEUAQQA3=&amp;Tipo=2&amp;ST=1&amp;nLang=0</t>
  </si>
  <si>
    <t>https://www.clickideacore.com/ClickHTML5/Visit.aspx?ID=//5CDAEwASwAzADQANwA1ADYANgAxADcASQBEAEUAQQA3=&amp;Tipo=2&amp;ST=1&amp;nLang=0</t>
  </si>
  <si>
    <t>https://www.clickideacore.com/ClickHTML5/Visit.aspx?ID=//5BDAEwASwAzADQANwA2ADMANQAwADkASQBEAEUAQQAC=&amp;Tipo=2&amp;ST=1&amp;nLang=0</t>
  </si>
  <si>
    <t>https://www.clickideacore.com/ClickHTML5/Visit.aspx?ID=//5ADAEwASwAzADQANwA2ADMANAAyADQASQBEAEUAQQAD=&amp;Tipo=2&amp;ST=1&amp;nLang=0</t>
  </si>
  <si>
    <t>https://www.clickideacore.com/ClickHTML5/Visit.aspx?ID=//50DAEwASwAzADQANwA2ADQANAAzADIASQBEAEUAQQAF=&amp;Tipo=2&amp;ST=1&amp;nLang=0</t>
  </si>
  <si>
    <t>https://www.clickideacore.com/ClickHTML5/Visit.aspx?ID=//55DAEwASwAzADQANwA2ADIAMAA5ADIASQBEAEUAQQA3=&amp;Tipo=2&amp;ST=1&amp;nLang=0</t>
  </si>
  <si>
    <t>https://www.clickideacore.com/ClickHTML5/Visit.aspx?ID=//5BDAEwASwAzADQANwA1ADQANQAzADUASQBEAEUAQQA7=&amp;Tipo=2&amp;ST=1&amp;nLang=0</t>
  </si>
  <si>
    <t>https://www.clickideacore.com/ClickHTML5/Visit.aspx?ID=//54DAEwASwAzADQANwA3ADYAMgA5ADgASQBEAEUAQQAD=&amp;Tipo=2&amp;ST=1&amp;nLang=0</t>
  </si>
  <si>
    <t>https://www.clickideacore.com/ClickHTML5/Visit.aspx?ID=//5BDAEwASwAzADQANwA3ADgANwAwADMASQBEAEUAQQA4=&amp;Tipo=2&amp;ST=1&amp;nLang=0</t>
  </si>
  <si>
    <t>https://www.clickideacore.com/ClickHTML5/Visit.aspx?ID=//56DAEwASwAzADQANwA4ADcAMgAzADMASQBEAEUAQQA9=&amp;Tipo=2&amp;ST=1&amp;nLang=0</t>
  </si>
  <si>
    <t>https://www.clickideacore.com/ClickHTML5/Visit.aspx?ID=//58DAEwASwAzADQANwA4ADYAOAA5ADAASQBEAEUAQQA6=&amp;Tipo=2&amp;ST=1&amp;nLang=0</t>
  </si>
  <si>
    <t>Inasistencia</t>
  </si>
  <si>
    <t>https://www.clickideacore.com/ClickHTML5/Visit.aspx?ID=//55DAEwASwAzADQAOAAzADQANgA4ADgASQBEAEUAQQAD=&amp;Tipo=2&amp;ST=1&amp;nLang=0</t>
  </si>
  <si>
    <t>https://www.clickideacore.com/ClickHTML5/Visit.aspx?ID=//57DAEwASwAzADQAOAAyADQAMwA1ADEASQBEAEUAQQAF=&amp;Tipo=2&amp;ST=1&amp;nLang=0</t>
  </si>
  <si>
    <t>https://www.clickideacore.com/ClickHTML5/Visit.aspx?ID=//55DAEwASwAzADQAOAAyADUANQA5ADgASQBEAEUAQQA9=&amp;Tipo=2&amp;ST=1&amp;nLang=0</t>
  </si>
  <si>
    <t>https://www.clickideacore.com/ClickHTML5/Visit.aspx?ID=//55DAEwASwAzADQAOAAyADQAMAAxADQASQBEAEUAQQA8=&amp;Tipo=2&amp;ST=1&amp;nLang=0</t>
  </si>
  <si>
    <t>https://www.clickideacore.com/ClickHTML5/Visit.aspx?ID=//56DAEwASwAzADQAOAAyADQAOQAyADUASQBEAEUAQQA8=&amp;Tipo=2&amp;ST=1&amp;nLang=0</t>
  </si>
  <si>
    <t>https://www.clickideacore.com/ClickHTML5/Visit.aspx?ID=//5EDAEwASwAzADQAOAAyADIANQA0ADYASQBEAEUAQQAD=&amp;Tipo=2&amp;ST=1&amp;nLang=0</t>
  </si>
  <si>
    <t>https://www.clickideacore.com/ClickHTML5/Visit.aspx?ID=//57DAEwASwAzADQAOAAzADIAOQAxADgASQBEAEUAQQAB=&amp;Tipo=2&amp;ST=1&amp;nLang=0</t>
  </si>
  <si>
    <t>https://www.clickideacore.com/ClickHTML5/Visit.aspx?ID=//58DAEwASwAzADQAOAAyADAAOQA3ADgASQBEAEUAQQAC=&amp;Tipo=2&amp;ST=1&amp;nLang=0</t>
  </si>
  <si>
    <t>https://www.clickideacore.com/ClickHTML5/Visit.aspx?ID=//54DAEwASwAzADQAOAAyADcANwA0ADEASQBEAEUAQQA6=&amp;Tipo=2&amp;ST=1&amp;nLang=0</t>
  </si>
  <si>
    <t>https://www.clickideacore.com/ClickHTML5/Visit.aspx?ID=//50DAEwASwAzADQAOAAzADAAOAA1ADEASQBEAEUAQQA5=&amp;Tipo=2&amp;ST=1&amp;nLang=0</t>
  </si>
  <si>
    <t>https://www.clickideacore.com/ClickHTML5/Visit.aspx?ID=//51DAEwASwAzADQAOAAyADUANgAzADMASQBEAEUAQQAC=&amp;Tipo=2&amp;ST=1&amp;nLang=0</t>
  </si>
  <si>
    <t>https://www.clickideacore.com/ClickHTML5/Visit.aspx?ID=//53DAEwASwAzADQAOAAzADMAMAAyADIASQBEAEUAQQA5=&amp;Tipo=2&amp;ST=1&amp;nLang=0</t>
  </si>
  <si>
    <t>https://www.clickideacore.com/ClickHTML5/Visit.aspx?ID=//50DAEwASwAzADQAOAAzADQAOQAyADIASQBEAEUAQQA6=&amp;Tipo=2&amp;ST=1&amp;nLang=0</t>
  </si>
  <si>
    <t>https://www.clickideacore.com/ClickHTML5/Visit.aspx?ID=//51DAEwASwAzADQAOAAyADgAMwAwADEASQBEAEUAQQA9=&amp;Tipo=2&amp;ST=1&amp;nLang=0</t>
  </si>
  <si>
    <t>https://www.clickideacore.com/ClickHTML5/Visit.aspx?ID=//56DAEwASwAzADQAOAAyADYAOAA5ADEASQBEAEUAQQA7=&amp;Tipo=2&amp;ST=1&amp;nLang=0</t>
  </si>
  <si>
    <t>OP-S-0014</t>
  </si>
  <si>
    <t>OP-S-0015</t>
  </si>
  <si>
    <t>https://www.clickideacore.com/ClickHTML5/Visit.aspx?ID=//54DAEwASwAzADQAOAA0ADUAOQA1ADYASQBEAEUAQQA3=&amp;Tipo=2&amp;ST=1&amp;nLang=0</t>
  </si>
  <si>
    <t>https://www.clickideacore.com/ClickHTML5/Visit.aspx?ID=//58DAEwASwAzADQAOAA0ADQAMwA1ADgASQBEAEUAQQA0=&amp;Tipo=2&amp;ST=1&amp;nLang=0</t>
  </si>
  <si>
    <t>https://www.clickideacore.com/ClickHTML5/Visit.aspx?ID=//54DAEwASwAzADQAOAA1ADYAOAA2ADgASQBEAEUAQQAA=&amp;Tipo=2&amp;ST=1&amp;nLang=0</t>
  </si>
  <si>
    <t>https://www.clickideacore.com/ClickHTML5/Visit.aspx?ID=//54DAEwASwAzADQAOAA0ADYAMwA2ADMASQBEAEUAQQA2=&amp;Tipo=2&amp;ST=1&amp;nLang=0</t>
  </si>
  <si>
    <t>https://www.clickideacore.com/ClickHTML5/Visit.aspx?ID=//56DAEwASwAzADQAOAA1ADUANAAxADMASQBEAEUAQQAB=&amp;Tipo=2&amp;ST=1&amp;nLang=0</t>
  </si>
  <si>
    <t>https://www.clickideacore.com/ClickHTML5/Visit.aspx?ID=//52DAEwASwAzADQAOAA0ADYAMgA1ADcASQBEAEUAQQA4=&amp;Tipo=2&amp;ST=1&amp;nLang=0</t>
  </si>
  <si>
    <t>https://www.clickideacore.com/ClickHTML5/Visit.aspx?ID=//57DAEwASwAzADQAOAA1ADIANAA2ADYASQBEAEUAQQA1=&amp;Tipo=2&amp;ST=1&amp;nLang=0</t>
  </si>
  <si>
    <t>https://www.clickideacore.com/ClickHTML5/Visit.aspx?ID=//5DDAEwASwAzADQAOAA0ADgANwA4ADgASQBEAEUAQQA5=&amp;Tipo=2&amp;ST=1&amp;nLang=0</t>
  </si>
  <si>
    <t>https://www.clickideacore.com/ClickHTML5/Visit.aspx?ID=//5BDAEwASwAzADQAOAA1ADAAMQA4ADUASQBEAEUAQQA3=&amp;Tipo=2&amp;ST=1&amp;nLang=0</t>
  </si>
  <si>
    <t>https://www.clickideacore.com/ClickHTML5/Visit.aspx?ID=//57DAEwASwAzADQAOAA0ADgAMAAxADgASQBEAEUAQQA4=&amp;Tipo=2&amp;ST=1&amp;nLang=0</t>
  </si>
  <si>
    <t>https://www.clickideacore.com/ClickHTML5/Visit.aspx?ID=//57DAEwASwAzADQAOAA1ADcAMwA1ADQASQBEAEUAQQAE=&amp;Tipo=2&amp;ST=1&amp;nLang=0</t>
  </si>
  <si>
    <t>https://www.clickideacore.com/ClickHTML5/Visit.aspx?ID=//56DAEwASwAzADQAOAA1ADUAMwA4ADcASQBEAEUAQQA2=&amp;Tipo=2&amp;ST=1&amp;nLang=0</t>
  </si>
  <si>
    <t>https://www.clickideacore.com/ClickHTML5/Visit.aspx?ID=//5FDAEwASwAzADQAOAA1ADcANQA3ADMASQBEAEUAQQA7=&amp;Tipo=2&amp;ST=1&amp;nLang=0</t>
  </si>
  <si>
    <t>https://www.clickideacore.com/ClickHTML5/Visit.aspx?ID=//56DAEwASwAzADQAOAA1ADcANQA0ADAASQBEAEUAQQA9=&amp;Tipo=2&amp;ST=1&amp;nLang=0</t>
  </si>
  <si>
    <t>https://www.clickideacore.com/ClickHTML5/Visit.aspx?ID=//54DAEwASwAzADQAOAA1ADIAMwA5ADEASQBEAEUAQQA1=&amp;Tipo=2&amp;ST=1&amp;nLang=0</t>
  </si>
  <si>
    <t>https://www.clickideacore.com/ClickHTML5/Visit.aspx?ID=//5EDAEwASwAzADQAOAA4ADAAMQA4ADAASQBEAEUAQQAC=&amp;Tipo=2&amp;ST=1&amp;nLang=0</t>
  </si>
  <si>
    <t>https://www.clickideacore.com/ClickHTML5/Visit.aspx?ID=//5CDAEwASwAzADQAOAA3ADAAMwAyADgASQBEAEUAQQAC=&amp;Tipo=2&amp;ST=1&amp;nLang=0</t>
  </si>
  <si>
    <t>https://www.clickideacore.com/ClickHTML5/Visit.aspx?ID=//5DDAEwASwAzADQAOAA2ADgAMQA5ADUASQBEAEUAQQA8=&amp;Tipo=2&amp;ST=1&amp;nLang=0</t>
  </si>
  <si>
    <t>https://www.clickideacore.com/ClickHTML5/Visit.aspx?ID=//59DAEwASwAzADQAOAA2ADUAOQA2ADMASQBEAEUAQQAE=&amp;Tipo=2&amp;ST=1&amp;nLang=0</t>
  </si>
  <si>
    <t>https://www.clickideacore.com/ClickHTML5/Visit.aspx?ID=//56DAEwASwAzADQAOAA3ADEANQA0ADEASQBEAEUAQQA2=&amp;Tipo=2&amp;ST=1&amp;nLang=0</t>
  </si>
  <si>
    <t>https://www.clickideacore.com/ClickHTML5/Visit.aspx?ID=//5ADAEwASwAzADQAOAA3ADgAMQAyADQASQBEAEUAQQA9=&amp;Tipo=2&amp;ST=1&amp;nLang=0</t>
  </si>
  <si>
    <t>https://www.clickideacore.com/ClickHTML5/Visit.aspx?ID=//57DAEwASwAzADQAOAA4ADEAMwAzADYASQBEAEUAQQA4=&amp;Tipo=2&amp;ST=1&amp;nLang=0</t>
  </si>
  <si>
    <t>https://www.clickideacore.com/ClickHTML5/Visit.aspx?ID=//5CDAEwASwAzADQAOAA3ADYANAAzADkASQBEAEUAQQA4=&amp;Tipo=2&amp;ST=1&amp;nLang=0</t>
  </si>
  <si>
    <t>https://www.clickideacore.com/ClickHTML5/Visit.aspx?ID=//5ADAEwASwAzADQAOAA3ADAANwA2ADcASQBEAEUAQQAA=&amp;Tipo=2&amp;ST=1&amp;nLang=0</t>
  </si>
  <si>
    <t>https://www.clickideacore.com/ClickHTML5/Visit.aspx?ID=//51DAEwASwAzADQAOAA3ADEAOAAzADMASQBEAEUAQQAB=&amp;Tipo=2&amp;ST=1&amp;nLang=0</t>
  </si>
  <si>
    <t>https://www.clickideacore.com/ClickHTML5/Visit.aspx?ID=//5BDAEwASwAzADQAOAA3ADEAMAA5ADIASQBEAEUAQQA6=&amp;Tipo=2&amp;ST=1&amp;nLang=0</t>
  </si>
  <si>
    <t>https://www.clickideacore.com/ClickHTML5/Visit.aspx?ID=//5DDAEwASwAzADQAOAA3ADgAMAAzADgASQBEAEUAQQAC=&amp;Tipo=2&amp;ST=1&amp;nLang=0</t>
  </si>
  <si>
    <t>https://www.clickideacore.com/ClickHTML5/Visit.aspx?ID=//5ADAEwASwAzADQAOAA4ADEANQAwADMASQBEAEUAQQAB=&amp;Tipo=2&amp;ST=1&amp;nLang=0</t>
  </si>
  <si>
    <t>https://www.clickideacore.com/ClickHTML5/Visit.aspx?ID=//55DAEwASwAzADQAOAA4ADAAMQAxADkASQBEAEUAQQAB=&amp;Tipo=2&amp;ST=1&amp;nLang=0</t>
  </si>
  <si>
    <t>https://www.clickideacore.com/ClickHTML5/Visit.aspx?ID=//50DAEwASwAzADQAOAA3ADcAMgA1ADYASQBEAEUAQQA2=&amp;Tipo=2&amp;ST=1&amp;nLang=0</t>
  </si>
  <si>
    <t>https://www.clickideacore.com/ClickHTML5/Visit.aspx?ID=//59DAEwASwAzADQAOAA5ADIANgAxADEASQBEAEUAQQA6=&amp;Tipo=2&amp;ST=1&amp;nLang=0</t>
  </si>
  <si>
    <t>https://www.clickideacore.com/ClickHTML5/Visit.aspx?ID=//57DAEwASwAzADQAOAA5ADMAMwA1ADYASQBEAEUAQQA7=&amp;Tipo=2&amp;ST=1&amp;nLang=0</t>
  </si>
  <si>
    <t>https://www.clickideacore.com/ClickHTML5/Visit.aspx?ID=//55DAEwASwAzADQAOQAwADEANwA1ADEASQBEAEUAQQAF=&amp;Tipo=2&amp;ST=1&amp;nLang=0</t>
  </si>
  <si>
    <t>https://www.clickideacore.com/ClickHTML5/Visit.aspx?ID=//5FDAEwASwAzADQAOAA5ADEAMAA4ADcASQBEAEUAQQA9=&amp;Tipo=2&amp;ST=1&amp;nLang=0</t>
  </si>
  <si>
    <t>https://www.clickideacore.com/ClickHTML5/Visit.aspx?ID=//50DAEwASwAzADQAOAA5ADgAMAA2ADAASQBEAEUAQQA2=&amp;Tipo=2&amp;ST=1&amp;nLang=0</t>
  </si>
  <si>
    <t>https://www.clickideacore.com/ClickHTML5/Visit.aspx?ID=//5ADAEwASwAzADQAOAA4ADkAOQA5ADcASQBEAEUAQQA0=&amp;Tipo=2&amp;ST=1&amp;nLang=0</t>
  </si>
  <si>
    <t>https://www.clickideacore.com/ClickHTML5/Visit.aspx?ID=//52DAEwASwAzADQAOAA5ADUAOQAyADUASQBEAEUAQQA3=&amp;Tipo=2&amp;ST=1&amp;nLang=0</t>
  </si>
  <si>
    <t>https://www.clickideacore.com/ClickHTML5/Visit.aspx?ID=//5ADAEwASwAzADQAOAA5ADYANAAyADAASQBEAEUAQQA1=&amp;Tipo=2&amp;ST=1&amp;nLang=0</t>
  </si>
  <si>
    <t>https://www.clickideacore.com/ClickHTML5/Visit.aspx?ID=//59DAEwASwAzADQAOAA5ADkAMgA2ADUASQBEAEUAQQAC=&amp;Tipo=2&amp;ST=1&amp;nLang=0</t>
  </si>
  <si>
    <t>https://www.clickideacore.com/ClickHTML5/Visit.aspx?ID=//57DAEwASwAzADQAOAA5ADIAMgA1ADAASQBEAEUAQQA3=&amp;Tipo=2&amp;ST=1&amp;nLang=0</t>
  </si>
  <si>
    <t>https://www.clickideacore.com/ClickHTML5/Visit.aspx?ID=//53DAEwASwAzADQAOQAwADEANQA4ADcASQBEAEUAQQA9=&amp;Tipo=2&amp;ST=1&amp;nLang=0</t>
  </si>
  <si>
    <t>https://www.clickideacore.com/ClickHTML5/Visit.aspx?ID=//59DAEwASwAzADQAOQAwADAANQA5ADYASQBEAEUAQQA7=&amp;Tipo=2&amp;ST=1&amp;nLang=0</t>
  </si>
  <si>
    <t>https://www.clickideacore.com/ClickHTML5/Visit.aspx?ID=//5DDAEwASwAzADQAOQAwADEAOQA2ADYASQBEAEUAQQAB=&amp;Tipo=2&amp;ST=1&amp;nLang=0</t>
  </si>
  <si>
    <t>https://www.clickideacore.com/ClickHTML5/Visit.aspx?ID=//53DAEwASwAzADQAOAA5ADUAOQAyADkASQBEAEUAQQA4=&amp;Tipo=2&amp;ST=1&amp;nLang=0</t>
  </si>
  <si>
    <t>https://www.clickideacore.com/ClickHTML5/Visit.aspx?ID=//5EDAEwASwAzADQAOAA5ADYAOQA0ADkASQBEAEUAQQAF=&amp;Tipo=2&amp;ST=1&amp;nLang=0</t>
  </si>
  <si>
    <t>https://www.clickideacore.com/ClickHTML5/Visit.aspx?ID=//5DDAEwASwAzADQAOQAxADIAOAA4ADcASQBEAEUAQQAF=&amp;Tipo=2&amp;ST=1&amp;nLang=0</t>
  </si>
  <si>
    <t>https://www.clickideacore.com/ClickHTML5/Visit.aspx?ID=//50DAEwASwAzADQAOQAxADUAMAAwADEASQBEAEUAQQA7=&amp;Tipo=2&amp;ST=1&amp;nLang=0</t>
  </si>
  <si>
    <t>https://www.clickideacore.com/ClickHTML5/Visit.aspx?ID=//5EDAEwASwAzADQAOQAyADQAMAAzADIASQBEAEUAQQA9=&amp;Tipo=2&amp;ST=1&amp;nLang=0</t>
  </si>
  <si>
    <t>https://www.clickideacore.com/ClickHTML5/Visit.aspx?ID=//5CDAEwASwAzADQAOQAzADcAOAA4ADgASQBEAEUAQQAE=&amp;Tipo=2&amp;ST=1&amp;nLang=0</t>
  </si>
  <si>
    <t>https://www.clickideacore.com/ClickHTML5/Visit.aspx?ID=//56DAEwASwAzADQAOQAzADYAOAA5ADYASQBEAEUAQQA2=&amp;Tipo=2&amp;ST=1&amp;nLang=0</t>
  </si>
  <si>
    <t>https://www.clickideacore.com/ClickHTML5/Visit.aspx?ID=//58DAEwASwAzADQAOQA0ADQAMQA2ADkASQBEAEUAQQA7=&amp;Tipo=2&amp;ST=1&amp;nLang=0</t>
  </si>
  <si>
    <t>https://www.clickideacore.com/ClickHTML5/Visit.aspx?ID=//5ADAEwASwAzADQAOQAzADYAOAA5ADgASQBEAEUAQQA2=&amp;Tipo=2&amp;ST=1&amp;nLang=0</t>
  </si>
  <si>
    <t>https://www.clickideacore.com/ClickHTML5/Visit.aspx?ID=//52DAEwASwAzADQAOQA0ADMAMgAyADYASQBEAEUAQQA9=&amp;Tipo=2&amp;ST=1&amp;nLang=0</t>
  </si>
  <si>
    <t>https://www.clickideacore.com/ClickHTML5/Visit.aspx?ID=//5ADAEwASwAzADQAOQAzADUAMAAxADkASQBEAEUAQQA1=&amp;Tipo=2&amp;ST=1&amp;nLang=0</t>
  </si>
  <si>
    <t>https://www.clickideacore.com/ClickHTML5/Visit.aspx?ID=//50DAEwASwAzADQAOQAzADkANgAzADcASQBEAEUAQQAC=&amp;Tipo=2&amp;ST=1&amp;nLang=0</t>
  </si>
  <si>
    <t>https://www.clickideacore.com/ClickHTML5/Visit.aspx?ID=//5FDAEwASwAzADQAOQAzADQAOAAxADcASQBEAEUAQQA0=&amp;Tipo=2&amp;ST=1&amp;nLang=0</t>
  </si>
  <si>
    <t>https://www.clickideacore.com/ClickHTML5/Visit.aspx?ID=//5DDAEwASwAzADQAOQA0ADMAMQAyADEASQBEAEUAQQA3=&amp;Tipo=2&amp;ST=1&amp;nLang=0</t>
  </si>
  <si>
    <t>https://www.clickideacore.com/ClickHTML5/Visit.aspx?ID=//55DAEwASwAzADQAOQAzADQANQA3ADgASQBEAEUAQQAB=&amp;Tipo=2&amp;ST=1&amp;nLang=0</t>
  </si>
  <si>
    <t>https://www.clickideacore.com/ClickHTML5/Visit.aspx?ID=//58DAEwASwAzADQAOQA0ADQAMgAwADYASQBEAEUAQQA5=&amp;Tipo=2&amp;ST=1&amp;nLang=0</t>
  </si>
  <si>
    <t>https://www.clickideacore.com/ClickHTML5/Visit.aspx?ID=//50DAEwASwAzADQAOQA0ADAAOQA5ADgASQBEAEUAQQA6=&amp;Tipo=2&amp;ST=1&amp;nLang=0</t>
  </si>
  <si>
    <t>https://www.clickideacore.com/ClickHTML5/Visit.aspx?ID=//5ADAEwASwAzADQAOQA0ADUANwA4ADgASQBEAEUAQQA5=&amp;Tipo=2&amp;ST=1&amp;nLang=0</t>
  </si>
  <si>
    <t>https://www.clickideacore.com/ClickHTML5/Visit.aspx?ID=//54DAEwASwAzADQAOQA0ADUANwA5ADEASQBEAEUAQQAC=&amp;Tipo=2&amp;ST=1&amp;nLang=0</t>
  </si>
  <si>
    <t>https://www.clickideacore.com/ClickHTML5/Visit.aspx?ID=//5ADAEwASwAzADQAOQA0ADEAOAAyADQASQBEAEUAQQAC=&amp;Tipo=2&amp;ST=1&amp;nLang=0</t>
  </si>
  <si>
    <t>https://www.clickideacore.com/ClickHTML5/Visit.aspx?ID=//5FDAEwASwAzADQAOQA2ADcAMAAyADQASQBEAEUAQQAE=&amp;Tipo=2&amp;ST=1&amp;nLang=0</t>
  </si>
  <si>
    <t>https://www.clickideacore.com/ClickHTML5/Visit.aspx?ID=//5ADAEwASwAzADQAOQA1ADgAOQA4ADIASQBEAEUAQQA6=&amp;Tipo=2&amp;ST=1&amp;nLang=0</t>
  </si>
  <si>
    <t>https://www.clickideacore.com/ClickHTML5/Visit.aspx?ID=//54DAEwASwAzADQAOQA1ADgAMgA5ADIASQBEAEUAQQAD=&amp;Tipo=2&amp;ST=1&amp;nLang=0</t>
  </si>
  <si>
    <t>https://www.clickideacore.com/ClickHTML5/Visit.aspx?ID=//51DAEwASwAzADQAOQA2ADEAMAAzADIASQBEAEUAQQA2=&amp;Tipo=2&amp;ST=1&amp;nLang=0</t>
  </si>
  <si>
    <t>https://www.clickideacore.com/ClickHTML5/Visit.aspx?ID=//5ADAEwASwAzADQAOQA1ADYAMAA2ADMASQBEAEUAQQA2=&amp;Tipo=2&amp;ST=1&amp;nLang=0</t>
  </si>
  <si>
    <t>https://www.clickideacore.com/ClickHTML5/Visit.aspx?ID=//58DAEwASwAzADQAOQA2ADQAOQA1ADEASQBEAEUAQQA6=&amp;Tipo=2&amp;ST=1&amp;nLang=0</t>
  </si>
  <si>
    <t>https://www.clickideacore.com/ClickHTML5/Visit.aspx?ID=//54DAEwASwAzADQAOQA1ADYANwAwADYASQBEAEUAQQA4=&amp;Tipo=2&amp;ST=1&amp;nLang=0</t>
  </si>
  <si>
    <t>https://www.clickideacore.com/ClickHTML5/Visit.aspx?ID=//53DAEwASwAzADQAOQA2ADEANQAxADAASQBEAEUAQQA0=&amp;Tipo=2&amp;ST=1&amp;nLang=0</t>
  </si>
  <si>
    <t>https://www.clickideacore.com/ClickHTML5/Visit.aspx?ID=//5EDAEwASwAzADQAOQA1ADkANwA2ADQASQBEAEUAQQA3=&amp;Tipo=2&amp;ST=1&amp;nLang=0</t>
  </si>
  <si>
    <t>https://www.clickideacore.com/ClickHTML5/Visit.aspx?ID=//51DAEwASwAzADQAOQA2ADUANwAyADEASQBEAEUAQQAE=&amp;Tipo=2&amp;ST=1&amp;nLang=0</t>
  </si>
  <si>
    <t>https://www.clickideacore.com/ClickHTML5/Visit.aspx?ID=//57DAEwASwAzADQAOQA2ADcAMAA4ADgASQBEAEUAQQA3=&amp;Tipo=2&amp;ST=1&amp;nLang=0</t>
  </si>
  <si>
    <t>https://www.clickideacore.com/ClickHTML5/Visit.aspx?ID=//52DAEwASwAzADQAOQA2ADcANgAxADYASQBEAEUAQQAC=&amp;Tipo=2&amp;ST=1&amp;nLang=0</t>
  </si>
  <si>
    <t>https://www.clickideacore.com/ClickHTML5/Visit.aspx?ID=//5EDAEwASwAzADQAOQA2ADEAMwA2ADkASQBEAEUAQQA4=&amp;Tipo=2&amp;ST=1&amp;nLang=0</t>
  </si>
  <si>
    <t>OP-S-063</t>
  </si>
  <si>
    <t>https://www.clickideacore.com/ClickHTML5/Visit.aspx?ID=//5ADAEwASwAzADQAOQA3ADkAMAAwADIASQBEAEUAQQAB=&amp;Tipo=2&amp;ST=1&amp;nLang=0</t>
  </si>
  <si>
    <t>https://www.clickideacore.com/ClickHTML5/Visit.aspx?ID=//58DAEwASwAzADQAOQA3ADYAMwA3ADUASQBEAEUAQQAA=&amp;Tipo=2&amp;ST=1&amp;nLang=0</t>
  </si>
  <si>
    <t>https://www.clickideacore.com/ClickHTML5/Visit.aspx?ID=//55DAEwASwAzADQAOQA3ADkAMQA3ADQASQBEAEUAQQA8=&amp;Tipo=2&amp;ST=1&amp;nLang=0</t>
  </si>
  <si>
    <t>https://www.clickideacore.com/ClickHTML5/Visit.aspx?ID=//5BDAEwASwAzADQAOQA4ADYAMwAzADQASQBEAEUAQQAB=&amp;Tipo=2&amp;ST=1&amp;nLang=0</t>
  </si>
  <si>
    <t>https://www.clickideacore.com/ClickHTML5/Visit.aspx?ID=//5EDAEwASwAzADQAOQA4ADUANAA4ADkASQBEAEUAQQAD=&amp;Tipo=2&amp;ST=1&amp;nLang=0</t>
  </si>
  <si>
    <t>https://www.clickideacore.com/ClickHTML5/Visit.aspx?ID=//5CDAEwASwAzADQAOQA4ADUANQA1ADAASQBEAEUAQQAB=&amp;Tipo=2&amp;ST=1&amp;nLang=0</t>
  </si>
  <si>
    <t>https://www.clickideacore.com/ClickHTML5/Visit.aspx?ID=//50DAEwASwAzADQAOQA4ADIAMQA5ADgASQBEAEUAQQA4=&amp;Tipo=2&amp;ST=1&amp;nLang=0</t>
  </si>
  <si>
    <t>https://www.clickideacore.com/ClickHTML5/Visit.aspx?ID=//57DAEwASwAzADQAOQA3ADgAMgA0ADMASQBEAEUAQQAC=&amp;Tipo=2&amp;ST=1&amp;nLang=0</t>
  </si>
  <si>
    <t>https://www.clickideacore.com/ClickHTML5/Visit.aspx?ID=//5BDAEwASwAzADQAOQA4ADYANQA5ADQASQBEAEUAQQA8=&amp;Tipo=2&amp;ST=1&amp;nLang=0</t>
  </si>
  <si>
    <t>https://www.clickideacore.com/ClickHTML5/Visit.aspx?ID=//51DAEwASwAzADQAOQA4ADQAOQAzADQASQBEAEUAQQA4=&amp;Tipo=2&amp;ST=1&amp;nLang=0</t>
  </si>
  <si>
    <t>https://www.clickideacore.com/ClickHTML5/Visit.aspx?ID=//50DAEwASwAzADQAOQA4ADcAMwAwADAASQBEAEUAQQAF=&amp;Tipo=2&amp;ST=1&amp;nLang=0</t>
  </si>
  <si>
    <t>https://www.clickideacore.com/ClickHTML5/Visit.aspx?ID=//54DAEwASwAzADQAOQA3ADkAOQA5ADUASQBEAEUAQQAC=&amp;Tipo=2&amp;ST=1&amp;nLang=0</t>
  </si>
  <si>
    <t>https://www.clickideacore.com/ClickHTML5/Visit.aspx?ID=//5CDAEwASwAzADQAOQA3ADcANwA1ADgASQBEAEUAQQA3=&amp;Tipo=2&amp;ST=1&amp;nLang=0</t>
  </si>
  <si>
    <t>https://www.clickideacore.com/ClickHTML5/Visit.aspx?ID=//57DAEwASwAzADUAMAAwADAAMQA1ADIASQBEAEUAQQA8=&amp;Tipo=2&amp;ST=1&amp;nLang=0</t>
  </si>
  <si>
    <t>https://www.clickideacore.com/ClickHTML5/Visit.aspx?ID=//5CDAEwASwAzADQAOQA5ADcAMgA4ADQASQBEAEUAQQAE=&amp;Tipo=2&amp;ST=1&amp;nLang=0</t>
  </si>
  <si>
    <t>https://www.clickideacore.com/ClickHTML5/Visit.aspx?ID=//51DAEwASwAzADQAOQA5ADQAOQAwADUASQBEAEUAQQAA=&amp;Tipo=2&amp;ST=1&amp;nLang=0</t>
  </si>
  <si>
    <t>https://www.clickideacore.com/ClickHTML5/Visit.aspx?ID=//59DAEwASwAzADQAOQA5ADgANwA3ADUASQBEAEUAQQA4=&amp;Tipo=2&amp;ST=1&amp;nLang=0</t>
  </si>
  <si>
    <t>https://www.clickideacore.com/ClickHTML5/Visit.aspx?ID=//54DAEwASwAzADUAMAAwADEAMwAyADUASQBEAEUAQQAD=&amp;Tipo=2&amp;ST=1&amp;nLang=0</t>
  </si>
  <si>
    <t>https://www.clickideacore.com/ClickHTML5/Visit.aspx?ID=//50DAEwASwAzADUAMAAwADUAOQAwADMASQBEAEUAQQA0=&amp;Tipo=2&amp;ST=1&amp;nLang=0</t>
  </si>
  <si>
    <t>https://www.clickideacore.com/ClickHTML5/Visit.aspx?ID=//53DAEwASwAzADQAOQA5ADQANAA0ADMASQBEAEUAQQAD=&amp;Tipo=2&amp;ST=1&amp;nLang=0</t>
  </si>
  <si>
    <t>https://www.clickideacore.com/ClickHTML5/Visit.aspx?ID=//5DDAEwASwAzADUAMAAwADEAMQA3ADcASQBEAEUAQQAB=&amp;Tipo=2&amp;ST=1&amp;nLang=0</t>
  </si>
  <si>
    <t>https://www.clickideacore.com/ClickHTML5/Visit.aspx?ID=//54DAEwASwAzADQAOQA5ADgAMQA0ADQASQBEAEUAQQAB=&amp;Tipo=2&amp;ST=1&amp;nLang=0</t>
  </si>
  <si>
    <t>https://www.clickideacore.com/ClickHTML5/Visit.aspx?ID=//58DAEwASwAzADUAMAAwADUANwA4ADEASQBEAEUAQQAC=&amp;Tipo=2&amp;ST=1&amp;nLang=0</t>
  </si>
  <si>
    <t>https://www.clickideacore.com/ClickHTML5/Visit.aspx?ID=//59DAEwASwAzADUAMAAwADAAMQAwADYASQBEAEUAQQAC=&amp;Tipo=2&amp;ST=1&amp;nLang=0</t>
  </si>
  <si>
    <t>https://www.clickideacore.com/ClickHTML5/Visit.aspx?ID=//5BDAEwASwAzADUAMAAwADgANwA2ADcASQBEAEUAQQA1=&amp;Tipo=2&amp;ST=1&amp;nLang=0</t>
  </si>
  <si>
    <t>https://www.clickideacore.com/ClickHTML5/Visit.aspx?ID=//5ADAEwASwAzADUAMAAwADIAOQA4ADIASQBEAEUAQQA6=&amp;Tipo=2&amp;ST=1&amp;nLang=0</t>
  </si>
  <si>
    <t>fosas</t>
  </si>
  <si>
    <t>https://www.clickideacore.com/ClickHTML5/Visit.aspx?ID=//5BDAEwASwAzADUAMAAxADUANwA4ADEASQBEAEUAQQA8=&amp;Tipo=2&amp;ST=1&amp;nLang=0</t>
  </si>
  <si>
    <t>https://www.clickideacore.com/ClickHTML5/Visit.aspx?ID=//5EDAEwASwAzADUAMAAxADYANwA4ADUASQBEAEUAQQAA=&amp;Tipo=2&amp;ST=1&amp;nLang=0</t>
  </si>
  <si>
    <t>https://www.clickideacore.com/ClickHTML5/Visit.aspx?ID=//53DAEwASwAzADUAMAAxADkAMQAxADEASQBEAEUAQQA6=&amp;Tipo=2&amp;ST=1&amp;nLang=0</t>
  </si>
  <si>
    <t>https://www.clickideacore.com/ClickHTML5/Visit.aspx?ID=//5BDAEwASwAzADUAMAAyADAAMgA0ADkASQBEAEUAQQA0=&amp;Tipo=2&amp;ST=1&amp;nLang=0</t>
  </si>
  <si>
    <t>https://www.clickideacore.com/ClickHTML5/Visit.aspx?ID=//57DAEwASwAzADUAMAAxADgAMAA1ADgASQBEAEUAQQA6=&amp;Tipo=2&amp;ST=1&amp;nLang=0</t>
  </si>
  <si>
    <t>https://www.clickideacore.com/ClickHTML5/Visit.aspx?ID=//5ADAEwASwAzADUAMAAxADIAMwAzADQASQBEAEUAQQA9=&amp;Tipo=2&amp;ST=1&amp;nLang=0</t>
  </si>
  <si>
    <t>https://www.clickideacore.com/ClickHTML5/Visit.aspx?ID=//58DAEwASwAzADUAMAAyADEAMgA3ADUASQBEAEUAQQAF=&amp;Tipo=2&amp;ST=1&amp;nLang=0</t>
  </si>
  <si>
    <t>https://www.clickideacore.com/ClickHTML5/Visit.aspx?ID=//5DDAEwASwAzADUAMAAxADUANAA0ADQASQBEAEUAQQAB=&amp;Tipo=2&amp;ST=1&amp;nLang=0</t>
  </si>
  <si>
    <t>https://www.clickideacore.com/ClickHTML5/Visit.aspx?ID=//5BDAEwASwAzADUAMAAyADQAMgA0ADkASQBEAEUAQQA9=&amp;Tipo=2&amp;ST=1&amp;nLang=0</t>
  </si>
  <si>
    <t>https://www.clickideacore.com/ClickHTML5/Visit.aspx?ID=//5CDAEwASwAzADUAMAAyADAAMwA4ADEASQBEAEUAQQA5=&amp;Tipo=2&amp;ST=1&amp;nLang=0</t>
  </si>
  <si>
    <t>https://www.clickideacore.com/ClickHTML5/Visit.aspx?ID=//5FDAEwASwAzADUAMAAyADUANAAwADYASQBEAEUAQQA3=&amp;Tipo=2&amp;ST=1&amp;nLang=0</t>
  </si>
  <si>
    <t>https://www.clickideacore.com/ClickHTML5/Visit.aspx?ID=//53DAEwASwAzADUAMAAyADAAOAAzADYASQBEAEUAQQA6=&amp;Tipo=2&amp;ST=1&amp;nLang=0</t>
  </si>
  <si>
    <t>https://www.clickideacore.com/ClickHTML5/Visit.aspx?ID=//53DAEwASwAzADUAMAAyADEANgA4ADMASQBEAEUAQQA0=&amp;Tipo=2&amp;ST=1&amp;nLang=0</t>
  </si>
  <si>
    <t>https://www.clickideacore.com/ClickHTML5/Visit.aspx?ID=//5EDAEwASwAzADUAMAAxADMAMQAzADQASQBEAEUAQQAA=&amp;Tipo=2&amp;ST=1&amp;nLang=0</t>
  </si>
  <si>
    <t>https://www.clickideacore.com/ClickHTML5/Visit.aspx?ID=//52DAEwASwAzADUAMAAzADYAMwAzADEASQBEAEUAQQA0=&amp;Tipo=2&amp;ST=1&amp;nLang=0</t>
  </si>
  <si>
    <t>https://www.clickideacore.com/ClickHTML5/Visit.aspx?ID=//53DAEwASwAzADUAMAA0ADUAMgA1ADkASQBEAEUAQQA6=&amp;Tipo=2&amp;ST=1&amp;nLang=0</t>
  </si>
  <si>
    <t>https://www.clickideacore.com/ClickHTML5/Visit.aspx?ID=//54DAEwASwAzADUAMAA0ADUAMgA1ADEASQBEAEUAQQA5=&amp;Tipo=2&amp;ST=1&amp;nLang=0</t>
  </si>
  <si>
    <t>https://www.clickideacore.com/ClickHTML5/Visit.aspx?ID=//57DAEwASwAzADUAMAA1ADkANAAyADkASQBEAEUAQQAF=&amp;Tipo=2&amp;ST=1&amp;nLang=0</t>
  </si>
  <si>
    <t>https://www.clickideacore.com/ClickHTML5/Visit.aspx?ID=//58DAEwASwAzADUAMAA1ADcANQA3ADgASQBEAEUAQQAE=&amp;Tipo=2&amp;ST=1&amp;nLang=0</t>
  </si>
  <si>
    <t>https://www.clickideacore.com/ClickHTML5/Visit.aspx?ID=//54DAEwASwAzADUAMAA2ADAAMwA3ADAASQBEAEUAQQAA=&amp;Tipo=2&amp;ST=1&amp;nLang=0</t>
  </si>
  <si>
    <t>https://www.clickideacore.com/ClickHTML5/Visit.aspx?ID=//5EDAEwASwAzADUAMAA2ADQANgAyADIASQBEAEUAQQA3=&amp;Tipo=2&amp;ST=1&amp;nLang=0</t>
  </si>
  <si>
    <t>https://www.clickideacore.com/ClickHTML5/Visit.aspx?ID=//55DAEwASwAzADUAMAA2ADYANAA2ADYASQBEAEUAQQAD=&amp;Tipo=2&amp;ST=1&amp;nLang=0</t>
  </si>
  <si>
    <t>https://www.clickideacore.com/ClickHTML5/Visit.aspx?ID=//5FDAEwASwAzADUAMAA2ADIAMAA3ADIASQBEAEUAQQA5=&amp;Tipo=2&amp;ST=1&amp;nLang=0</t>
  </si>
  <si>
    <t>https://www.clickideacore.com/ClickHTML5/Visit.aspx?ID=//5ADAEwASwAzADUAMAA2ADIAMgA3ADMASQBEAEUAQQA0=&amp;Tipo=2&amp;ST=1&amp;nLang=0</t>
  </si>
  <si>
    <t>https://www.clickideacore.com/ClickHTML5/Visit.aspx?ID=//53DAEwASwAzADUAMAA1ADcAMAA1ADYASQBEAEUAQQAB=&amp;Tipo=2&amp;ST=1&amp;nLang=0</t>
  </si>
  <si>
    <t>https://www.clickideacore.com/ClickHTML5/Visit.aspx?ID=//59DAEwASwAzADUAMAA1ADUAOQAyADcASQBEAEUAQQAA=&amp;Tipo=2&amp;ST=1&amp;nLang=0</t>
  </si>
  <si>
    <t>https://www.clickideacore.com/ClickHTML5/Visit.aspx?ID=//59DAEwASwAzADUAMAA2ADYAOQA4ADMASQBEAEUAQQA4=&amp;Tipo=2&amp;ST=1&amp;nLang=0</t>
  </si>
  <si>
    <t>https://www.clickideacore.com/ClickHTML5/Visit.aspx?ID=//56DAEwASwAzADUAMAA2ADMAOQA1ADQASQBEAEUAQQA6=&amp;Tipo=2&amp;ST=1&amp;nLang=0</t>
  </si>
  <si>
    <t>https://www.clickideacore.com/ClickHTML5/Visit.aspx?ID=//54DAEwASwAzADUAMAA2ADgAMQA4ADcASQBEAEUAQQA4=&amp;Tipo=2&amp;ST=1&amp;nLang=0</t>
  </si>
  <si>
    <t>https://www.clickideacore.com/ClickHTML5/Visit.aspx?ID=//5DDAEwASwAzADUAMAA2ADMAMgAxADIASQBEAEUAQQA3=&amp;Tipo=2&amp;ST=1&amp;nLang=0</t>
  </si>
  <si>
    <t>https://www.clickideacore.com/ClickHTML5/Visit.aspx?ID=//5BDAEwASwAzADUAMAA1ADUAMQA5ADAASQBEAEUAQQA7=&amp;Tipo=2&amp;ST=1&amp;nLang=0</t>
  </si>
  <si>
    <t>https://www.clickideacore.com/ClickHTML5/Visit.aspx?ID=//5DDAEwASwAzADUAMAA5ADAAOAAyADMASQBEAEUAQQAF=&amp;Tipo=2&amp;ST=1&amp;nLang=0</t>
  </si>
  <si>
    <t>https://www.clickideacore.com/ClickHTML5/Visit.aspx?ID=//53DAEwASwAzADUAMAA4ADEANgAwADIASQBEAEUAQQAA=&amp;Tipo=2&amp;ST=1&amp;nLang=0</t>
  </si>
  <si>
    <t>https://www.clickideacore.com/ClickHTML5/Visit.aspx?ID=//59DAEwASwAzADUAMAA4ADIANQA3ADgASQBEAEUAQQA8=&amp;Tipo=2&amp;ST=1&amp;nLang=0</t>
  </si>
  <si>
    <t>https://www.clickideacore.com/ClickHTML5/Visit.aspx?ID=//57DAEwASwAzADUAMAA4ADAANQA1ADEASQBEAEUAQQAB=&amp;Tipo=2&amp;ST=1&amp;nLang=0</t>
  </si>
  <si>
    <t>https://www.clickideacore.com/ClickHTML5/Visit.aspx?ID=//5ADAEwASwAzADUAMAA4ADAANgA5ADEASQBEAEUAQQA5=&amp;Tipo=2&amp;ST=1&amp;nLang=0</t>
  </si>
  <si>
    <t>https://www.clickideacore.com/ClickHTML5/Visit.aspx?ID=//5ADAEwASwAzADUAMAA4ADkAMwAwADAASQBEAEUAQQAF=&amp;Tipo=2&amp;ST=1&amp;nLang=0</t>
  </si>
  <si>
    <t>https://www.clickideacore.com/ClickHTML5/Visit.aspx?ID=//5FDAEwASwAzADUAMAA4ADMANwA0ADcASQBEAEUAQQA6=&amp;Tipo=2&amp;ST=1&amp;nLang=0</t>
  </si>
  <si>
    <t>https://www.clickideacore.com/ClickHTML5/Visit.aspx?ID=//5EDAEwASwAzADUAMAA4ADEANQA5ADcASQBEAEUAQQAD=&amp;Tipo=2&amp;ST=1&amp;nLang=0</t>
  </si>
  <si>
    <t>https://www.clickideacore.com/ClickHTML5/Visit.aspx?ID=//53DAEwASwAzADUAMAA4ADkAOAAzADAASQBEAEUAQQA5=&amp;Tipo=2&amp;ST=1&amp;nLang=0</t>
  </si>
  <si>
    <t>https://www.clickideacore.com/ClickHTML5/Visit.aspx?ID=//55DAEwASwAzADUAMAA3ADcAMwA4ADcASQBEAEUAQQA8=&amp;Tipo=2&amp;ST=1&amp;nLang=0</t>
  </si>
  <si>
    <t>https://www.clickideacore.com/ClickHTML5/Visit.aspx?ID=//53DAEwASwAzADUAMAA5ADEAMwAxADMASQBEAEUAQQA9=&amp;Tipo=2&amp;ST=1&amp;nLang=0</t>
  </si>
  <si>
    <t>https://www.clickideacore.com/ClickHTML5/Visit.aspx?ID=//5BDAEwASwAzADUAMAA4ADIANwAzADMASQBEAEUAQQA9=&amp;Tipo=2&amp;ST=1&amp;nLang=0</t>
  </si>
  <si>
    <t>https://www.clickideacore.com/ClickHTML5/Visit.aspx?ID=//5CDAEwASwAzADUAMQAwADIAMgA1ADQASQBEAEUAQQAF=&amp;Tipo=2&amp;ST=1&amp;nLang=0</t>
  </si>
  <si>
    <t>https://www.clickideacore.com/ClickHTML5/Visit.aspx?ID=//5BDAEwASwAzADUAMQAwADEAMQA5ADIASQBEAEUAQQA9=&amp;Tipo=2&amp;ST=1&amp;nLang=0</t>
  </si>
  <si>
    <t>https://www.clickideacore.com/ClickHTML5/Visit.aspx?ID=//5BDAEwASwAzADUAMQAxADEAMgAzADEASQBEAEUAQQA5=&amp;Tipo=2&amp;ST=1&amp;nLang=0</t>
  </si>
  <si>
    <t>https://www.clickideacore.com/ClickHTML5/Visit.aspx?ID=//53DAEwASwAzADUAMQAxADEAOQAxADMASQBEAEUAQQA8=&amp;Tipo=2&amp;ST=1&amp;nLang=0</t>
  </si>
  <si>
    <t>https://www.clickideacore.com/ClickHTML5/Visit.aspx?ID=//5DDAEwASwAzADUAMQAwADcAMQAyADkASQBEAEUAQQA3=&amp;Tipo=2&amp;ST=1&amp;nLang=0</t>
  </si>
  <si>
    <t>https://www.clickideacore.com/ClickHTML5/Visit.aspx?ID=//55DAEwASwAzADUAMQAxADEANQA3ADQASQBEAEUAQQAC=&amp;Tipo=2&amp;ST=1&amp;nLang=0</t>
  </si>
  <si>
    <t>https://www.clickideacore.com/ClickHTML5/Visit.aspx?ID=//59DAEwASwAzADUAMQAwADIAOQAxADIASQBEAEUAQQA8=&amp;Tipo=2&amp;ST=1&amp;nLang=0</t>
  </si>
  <si>
    <t>https://www.clickideacore.com/ClickHTML5/Visit.aspx?ID=//5DDAEwASwAzADUAMQAxADQANQA1ADMASQBEAEUAQQAA=&amp;Tipo=2&amp;ST=1&amp;nLang=0</t>
  </si>
  <si>
    <t>https://www.clickideacore.com/ClickHTML5/Visit.aspx?ID=//5DDAEwASwAzADUAMQAxADEAMAA4ADMASQBEAEUAQQA0=&amp;Tipo=2&amp;ST=1&amp;nLang=0</t>
  </si>
  <si>
    <t>https://www.clickideacore.com/ClickHTML5/Visit.aspx?ID=//51DAEwASwAzADUAMQAxADMANAA1ADEASQBEAEUAQQAD=&amp;Tipo=2&amp;ST=1&amp;nLang=0</t>
  </si>
  <si>
    <t>https://www.clickideacore.com/ClickHTML5/Visit.aspx?ID=//57DAEwASwAzADUAMQAwADkANwA5ADMASQBEAEUAQQA3=&amp;Tipo=2&amp;ST=1&amp;nLang=0</t>
  </si>
  <si>
    <t>https://www.clickideacore.com/ClickHTML5/Visit.aspx?ID=//5ADAEwASwAzADUAMAA5ADkAOAAzADcASQBEAEUAQQAB=&amp;Tipo=2&amp;ST=1&amp;nLang=0</t>
  </si>
  <si>
    <t>Sin Producción</t>
  </si>
  <si>
    <t>https://www.clickideacore.com/ClickHTML5/Visit.aspx?ID=//53DAEwASwAzADUAMQAyADEAMwAwADkASQBEAEUAQQAA=&amp;Tipo=2&amp;ST=1&amp;nLang=0</t>
  </si>
  <si>
    <t>https://www.clickideacore.com/ClickHTML5/Visit.aspx?ID=//5DDAEwASwAzADUAMQAxADgAOQAxADEASQBEAEUAQQA1=&amp;Tipo=2&amp;ST=1&amp;nLang=0</t>
  </si>
  <si>
    <t>https://www.clickideacore.com/ClickHTML5/Visit.aspx?ID=//58DAEwASwAzADUAMQAxADcANAA4ADUASQBEAEUAQQA8=&amp;Tipo=2&amp;ST=1&amp;nLang=0</t>
  </si>
  <si>
    <t>https://www.clickideacore.com/ClickHTML5/Visit.aspx?ID=//51DAEwASwAzADUAMQAxADkAOQA2ADMASQBEAEUAQQAD=&amp;Tipo=2&amp;ST=1&amp;nLang=0</t>
  </si>
  <si>
    <t>https://www.clickideacore.com/ClickHTML5/Visit.aspx?ID=//54DAEwASwAzADUAMQAyADAANgAyADkASQBEAEUAQQA9=&amp;Tipo=2&amp;ST=1&amp;nLang=0</t>
  </si>
  <si>
    <t>https://www.clickideacore.com/ClickHTML5/Visit.aspx?ID=//50DAEwASwAzADUAMQAyADAAMwA1ADgASQBEAEUAQQAD=&amp;Tipo=2&amp;ST=1&amp;nLang=0</t>
  </si>
  <si>
    <t>https://www.clickideacore.com/ClickHTML5/Visit.aspx?ID=//56DAEwASwAzADUAMQAyADMAMAA5ADMASQBEAEUAQQA9=&amp;Tipo=2&amp;ST=1&amp;nLang=0</t>
  </si>
  <si>
    <t>https://www.clickideacore.com/ClickHTML5/Visit.aspx?ID=//58DAEwASwAzADUAMQAyADAAMAA0ADMASQBEAEUAQQA2=&amp;Tipo=2&amp;ST=1&amp;nLang=0</t>
  </si>
  <si>
    <t>https://www.clickideacore.com/ClickHTML5/Visit.aspx?ID=//5ADAEwASwAzADUAMQAxADgAOAA1ADIASQBEAEUAQQA3=&amp;Tipo=2&amp;ST=1&amp;nLang=0</t>
  </si>
  <si>
    <t>https://www.clickideacore.com/ClickHTML5/Visit.aspx?ID=//52DAEwASwAzADUAMQAyADIANAA4ADcASQBEAEUAQQAF=&amp;Tipo=2&amp;ST=1&amp;nLang=0</t>
  </si>
  <si>
    <t>https://www.clickideacore.com/ClickHTML5/Visit.aspx?ID=//56DAEwASwAzADUAMQAyADAAOAAzADIASQBEAEUAQQAC=&amp;Tipo=2&amp;ST=1&amp;nLang=0</t>
  </si>
  <si>
    <t>https://www.clickideacore.com/ClickHTML5/Visit.aspx?ID=//51DAEwASwAzADUAMQAyADAANAA3ADYASQBEAEUAQQA8=&amp;Tipo=2&amp;ST=1&amp;nLang=0</t>
  </si>
  <si>
    <t>Elias Llancaqueo</t>
  </si>
  <si>
    <t>https://www.clickideacore.com/ClickHTML5/Visit.aspx?ID=//5DDAEwASwAzADUAMQAzADcANQA3ADQASQBEAEUAQQA0=&amp;Tipo=2&amp;ST=1&amp;nLang=0</t>
  </si>
  <si>
    <t>https://www.clickideacore.com/ClickHTML5/Visit.aspx?ID=//55DAEwASwAzADUAMQAzADgAMgA4ADIASQBEAEUAQQA3=&amp;Tipo=2&amp;ST=1&amp;nLang=0</t>
  </si>
  <si>
    <t>https://www.clickideacore.com/ClickHTML5/Visit.aspx?ID=//52DAEwASwAzADUAMQAzADYAMgA1ADkASQBEAEUAQQA9=&amp;Tipo=2&amp;ST=1&amp;nLang=0</t>
  </si>
  <si>
    <t>https://www.clickideacore.com/ClickHTML5/Visit.aspx?ID=//53DAEwASwAzADUAMQA0ADQAMgAyADMASQBEAEUAQQA3=&amp;Tipo=2&amp;ST=1&amp;nLang=0</t>
  </si>
  <si>
    <t>https://www.clickideacore.com/ClickHTML5/Visit.aspx?ID=//5FDAEwASwAzADUAMQAzADgAMQA4ADAASQBEAEUAQQAA=&amp;Tipo=2&amp;ST=1&amp;nLang=0</t>
  </si>
  <si>
    <t>https://www.clickideacore.com/ClickHTML5/Visit.aspx?ID=//5BDAEwASwAzADUAMQAzADcAMQA4ADQASQBEAEUAQQAF=&amp;Tipo=2&amp;ST=1&amp;nLang=0</t>
  </si>
  <si>
    <t>https://www.clickideacore.com/ClickHTML5/Visit.aspx?ID=//50DAEwASwAzADUAMQA0ADMANgA5ADIASQBEAEUAQQA3=&amp;Tipo=2&amp;ST=1&amp;nLang=0</t>
  </si>
  <si>
    <t>https://www.clickideacore.com/ClickHTML5/Visit.aspx?ID=//54DAEwASwAzADUAMQAzADQAMgA1ADIASQBEAEUAQQA0=&amp;Tipo=2&amp;ST=1&amp;nLang=0</t>
  </si>
  <si>
    <t>https://www.clickideacore.com/ClickHTML5/Visit.aspx?ID=//59DAEwASwAzADUAMQAzADIANgAzADAASQBEAEUAQQA5=&amp;Tipo=2&amp;ST=1&amp;nLang=0</t>
  </si>
  <si>
    <t>https://www.clickideacore.com/ClickHTML5/Visit.aspx?ID=//5EDAEwASwAzADUAMQA0ADEANQA0ADgASQBEAEUAQQAE=&amp;Tipo=2&amp;ST=1&amp;nLang=0</t>
  </si>
  <si>
    <t>https://www.clickideacore.com/ClickHTML5/Visit.aspx?ID=//50DAEwASwAzADUAMQAyADMAMwAzADcASQBEAEUAQQA8=&amp;Tipo=2&amp;ST=1&amp;nLang=0</t>
  </si>
  <si>
    <t>https://www.clickideacore.com/ClickHTML5/Visit.aspx?ID=//58DAEwASwAzADUAMQA0ADEAMQA0ADIASQBEAEUAQQAA=&amp;Tipo=2&amp;ST=1&amp;nLang=0</t>
  </si>
  <si>
    <t>https://www.clickideacore.com/ClickHTML5/Visit.aspx?ID=//5EDAEwASwAzADUAMQAzADMANQAxADYASQBEAEUAQQA5=&amp;Tipo=2&amp;ST=1&amp;nLang=0</t>
  </si>
  <si>
    <t>https://www.clickideacore.com/ClickHTML5/Visit.aspx?ID=//53DAEwASwAzADUAMQA1ADYAMQAwADEASQBEAEUAQQA0=&amp;Tipo=2&amp;ST=1&amp;nLang=0</t>
  </si>
  <si>
    <t>https://www.clickideacore.com/ClickHTML5/Visit.aspx?ID=//59DAEwASwAzADUAMQA1ADYANgA5ADUASQBEAEUAQQA0=&amp;Tipo=2&amp;ST=1&amp;nLang=0</t>
  </si>
  <si>
    <t>https://www.clickideacore.com/ClickHTML5/Visit.aspx?ID=//5FDAEwASwAzADUAMQA2ADQANAAzADAASQBEAEUAQQA0=&amp;Tipo=2&amp;ST=1&amp;nLang=0</t>
  </si>
  <si>
    <t>https://www.clickideacore.com/ClickHTML5/Visit.aspx?ID=//56DAEwASwAzADUAMQA2ADQAMgA2ADYASQBEAEUAQQAC=&amp;Tipo=2&amp;ST=1&amp;nLang=0</t>
  </si>
  <si>
    <t>https://www.clickideacore.com/ClickHTML5/Visit.aspx?ID=//5BDAEwASwAzADUAMQA3ADkAMgA2ADcASQBEAEUAQQAB=&amp;Tipo=2&amp;ST=1&amp;nLang=0</t>
  </si>
  <si>
    <t>https://www.clickideacore.com/ClickHTML5/Visit.aspx?ID=//52DAEwASwAzADUAMQA3ADcAMQA0ADYASQBEAEUAQQAE=&amp;Tipo=2&amp;ST=1&amp;nLang=0</t>
  </si>
  <si>
    <t>https://www.clickideacore.com/ClickHTML5/Visit.aspx?ID=//5DDAEwASwAzADUAMQA3ADcAOQAwADcASQBEAEUAQQAE=&amp;Tipo=2&amp;ST=1&amp;nLang=0</t>
  </si>
  <si>
    <t>https://www.clickideacore.com/ClickHTML5/Visit.aspx?ID=//55DAEwASwAzADUAMQA4ADUANwA5ADgASQBEAEUAQQAC=&amp;Tipo=2&amp;ST=1&amp;nLang=0</t>
  </si>
  <si>
    <t>https://www.clickideacore.com/ClickHTML5/Visit.aspx?ID=//5DDAEwASwAzADUAMQA3ADkAMwA5ADgASQBEAEUAQQAE=&amp;Tipo=2&amp;ST=1&amp;nLang=0</t>
  </si>
  <si>
    <t>https://www.clickideacore.com/ClickHTML5/Visit.aspx?ID=//5DDAEwASwAzADUAMQA3ADcAOAAwADIASQBEAEUAQQAD=&amp;Tipo=2&amp;ST=1&amp;nLang=0</t>
  </si>
  <si>
    <t>https://www.clickideacore.com/ClickHTML5/Visit.aspx?ID=//5CDAEwASwAzADUAMQA4ADIAMAA5ADcASQBEAEUAQQAC=&amp;Tipo=2&amp;ST=1&amp;nLang=0</t>
  </si>
  <si>
    <t>https://www.clickideacore.com/ClickHTML5/Visit.aspx?ID=//5BDAEwASwAzADUAMQA4ADUAOAA5ADcASQBEAEUAQQAD=&amp;Tipo=2&amp;ST=1&amp;nLang=0</t>
  </si>
  <si>
    <t>https://www.clickideacore.com/ClickHTML5/Visit.aspx?ID=//55DAEwASwAzADUAMQA3ADYANgAyADEASQBEAEUAQQA0=&amp;Tipo=2&amp;ST=1&amp;nLang=0</t>
  </si>
  <si>
    <t>https://www.clickideacore.com/ClickHTML5/Visit.aspx?ID=//5EDAEwASwAzADUAMQA3ADMAMAAwADQASQBEAEUAQQA4=&amp;Tipo=2&amp;ST=1&amp;nLang=0</t>
  </si>
  <si>
    <t>https://www.clickideacore.com/ClickHTML5/Visit.aspx?ID=//5ADAEwASwAzADUAMQA4ADYANwA3ADIASQBEAEUAQQAA=&amp;Tipo=2&amp;ST=1&amp;nLang=0</t>
  </si>
  <si>
    <t>https://www.clickideacore.com/ClickHTML5/Visit.aspx?ID=//5ADAEwASwAzADUAMQA4ADQAMQA2ADkASQBEAEUAQQAE=&amp;Tipo=2&amp;ST=1&amp;nLang=0</t>
  </si>
  <si>
    <t>https://www.clickideacore.com/ClickHTML5/Visit.aspx?ID=//51DAEwASwAzADUAMQA4ADcAOQA0ADQASQBEAEUAQQA3=&amp;Tipo=2&amp;ST=1&amp;nLang=0</t>
  </si>
  <si>
    <t>https://www.clickideacore.com/ClickHTML5/Visit.aspx?ID=//56DAEwASwAzADUAMQA3ADMANgA2ADkASQBEAEUAQQAD=&amp;Tipo=2&amp;ST=1&amp;nLang=0</t>
  </si>
  <si>
    <t>https://www.clickideacore.com/ClickHTML5/Visit.aspx?ID=//54DAEwASwAzADUAMgAxADAAOQA1ADEASQBEAEUAQQAD=&amp;Tipo=2&amp;ST=1&amp;nLang=0</t>
  </si>
  <si>
    <t>https://www.clickideacore.com/ClickHTML5/Visit.aspx?ID=//5FDAEwASwAzADUAMgAwADIAMwA0ADAASQBEAEUAQQA5=&amp;Tipo=2&amp;ST=1&amp;nLang=0</t>
  </si>
  <si>
    <t>https://www.clickideacore.com/ClickHTML5/Visit.aspx?ID=//55DAEwASwAzADUAMgAwADAANgA1ADEASQBEAEUAQQAF=&amp;Tipo=2&amp;ST=1&amp;nLang=0</t>
  </si>
  <si>
    <t>https://www.clickideacore.com/ClickHTML5/Visit.aspx?ID=//55DAEwASwAzADUAMgAwADAANgA1ADMASQBEAEUAQQA1=&amp;Tipo=2&amp;ST=1&amp;nLang=0</t>
  </si>
  <si>
    <t>https://www.clickideacore.com/ClickHTML5/Visit.aspx?ID=//56DAEwASwAzADUAMgAxADMAMQA1ADkASQBEAEUAQQAB=&amp;Tipo=2&amp;ST=1&amp;nLang=0</t>
  </si>
  <si>
    <t>https://www.clickideacore.com/ClickHTML5/Visit.aspx?ID=//57DAEwASwAzADUAMQA5ADgANgA1ADcASQBEAEUAQQAB=&amp;Tipo=2&amp;ST=1&amp;nLang=0</t>
  </si>
  <si>
    <t>https://www.clickideacore.com/ClickHTML5/Visit.aspx?ID=//51DAEwASwAzADUAMgAwADEANwA5ADAASQBEAEUAQQAE=&amp;Tipo=2&amp;ST=1&amp;nLang=0</t>
  </si>
  <si>
    <t>https://www.clickideacore.com/ClickHTML5/Visit.aspx?ID=//51DAEwASwAzADUAMgAxADAANQAyADUASQBEAEUAQQA8=&amp;Tipo=2&amp;ST=1&amp;nLang=0</t>
  </si>
  <si>
    <t>https://www.clickideacore.com/ClickHTML5/Visit.aspx?ID=//58DAEwASwAzADUAMgAxADEANAAxADkASQBEAEUAQQAC=&amp;Tipo=2&amp;ST=1&amp;nLang=0</t>
  </si>
  <si>
    <t>https://www.clickideacore.com/ClickHTML5/Visit.aspx?ID=//5DDAEwASwAzADUAMQA5ADgANgA1ADMASQBEAEUAQQA3=&amp;Tipo=2&amp;ST=1&amp;nLang=0</t>
  </si>
  <si>
    <t>https://www.clickideacore.com/ClickHTML5/Visit.aspx?ID=//5ADAEwASwAzADUAMgAyADIAMAAwADAASQBEAEUAQQA7=&amp;Tipo=2&amp;ST=1&amp;nLang=0</t>
  </si>
  <si>
    <t>https://www.clickideacore.com/ClickHTML5/Visit.aspx?ID=//5DDAEwASwAzADUAMgAyADEAOQAwADUASQBEAEUAQQAA=&amp;Tipo=2&amp;ST=1&amp;nLang=0</t>
  </si>
  <si>
    <t>https://www.clickideacore.com/ClickHTML5/Visit.aspx?ID=//56DAEwASwAzADUAMgAyADYAMgAzADIASQBEAEUAQQA8=&amp;Tipo=2&amp;ST=1&amp;nLang=0</t>
  </si>
  <si>
    <t>https://www.clickideacore.com/ClickHTML5/Visit.aspx?ID=//57DAEwASwAzADUAMgAzADAAMQAxADUASQBEAEUAQQAC=&amp;Tipo=2&amp;ST=1&amp;nLang=0</t>
  </si>
  <si>
    <t>https://www.clickideacore.com/ClickHTML5/Visit.aspx?ID=//53DAEwASwAzADUAMgAyADUANwAxADYASQBEAEUAQQA7=&amp;Tipo=2&amp;ST=1&amp;nLang=0</t>
  </si>
  <si>
    <t>https://www.clickideacore.com/ClickHTML5/Visit.aspx?ID=//56DAEwASwAzADUAMgAyADQAOAAwADYASQBEAEUAQQAD=&amp;Tipo=2&amp;ST=1&amp;nLang=0</t>
  </si>
  <si>
    <t>https://www.clickideacore.com/ClickHTML5/Visit.aspx?ID=//5CDAEwASwAzADUAMgAyADQANwA3ADEASQBEAEUAQQA8=&amp;Tipo=2&amp;ST=1&amp;nLang=0</t>
  </si>
  <si>
    <t>https://www.clickideacore.com/ClickHTML5/Visit.aspx?ID=//5DDAEwASwAzADUAMgAyADQANwAxADgASQBEAEUAQQA1=&amp;Tipo=2&amp;ST=1&amp;nLang=0</t>
  </si>
  <si>
    <t>https://www.clickideacore.com/ClickHTML5/Visit.aspx?ID=//5BDAEwASwAzADUAMgAyADYANwAyADgASQBEAEUAQQA2=&amp;Tipo=2&amp;ST=1&amp;nLang=0</t>
  </si>
  <si>
    <t>https://www.clickideacore.com/ClickHTML5/Visit.aspx?ID=//50DAEwASwAzADUAMgAyADMANwA4ADIASQBEAEUAQQA5=&amp;Tipo=2&amp;ST=1&amp;nLang=0</t>
  </si>
  <si>
    <t>https://www.clickideacore.com/ClickHTML5/Visit.aspx?ID=//5EDAEwASwAzADUAMgAzADYANQA0ADAASQBEAEUAQQA3=&amp;Tipo=2&amp;ST=1&amp;nLang=0</t>
  </si>
  <si>
    <t>https://www.clickideacore.com/ClickHTML5/Visit.aspx?ID=//5CDAEwASwAzADUAMgAzADIAMgA1ADkASQBEAEUAQQA2=&amp;Tipo=2&amp;ST=1&amp;nLang=0</t>
  </si>
  <si>
    <t>https://www.clickideacore.com/ClickHTML5/Visit.aspx?ID=//5ADAEwASwAzADUAMgAzADEAMgAyADkASQBEAEUAQQAA=&amp;Tipo=2&amp;ST=1&amp;nLang=0</t>
  </si>
  <si>
    <t>https://www.clickideacore.com/ClickHTML5/Visit.aspx?ID=//53DAEwASwAzADUAMgAyADEAMwA1ADMASQBEAEUAQQAD=&amp;Tipo=2&amp;ST=1&amp;nLang=0</t>
  </si>
  <si>
    <t>https://www.clickideacore.com/ClickHTML5/Visit.aspx?ID=//5ADAEwASwAzADUAMgA1ADAANwAzADUASQBEAEUAQQA8=&amp;Tipo=2&amp;ST=1&amp;nLang=0</t>
  </si>
  <si>
    <t>https://www.clickideacore.com/ClickHTML5/Visit.aspx?ID=//59DAEwASwAzADUAMgA0ADYANwA1ADcASQBEAEUAQQA1=&amp;Tipo=2&amp;ST=1&amp;nLang=0</t>
  </si>
  <si>
    <t>https://www.clickideacore.com/ClickHTML5/Visit.aspx?ID=//55DAEwASwAzADUAMgA0ADUAMwAzADEASQBEAEUAQQA7=&amp;Tipo=2&amp;ST=1&amp;nLang=0</t>
  </si>
  <si>
    <t>https://www.clickideacore.com/ClickHTML5/Visit.aspx?ID=//56DAEwASwAzADUAMgA1ADQANgA2ADUASQBEAEUAQQAB=&amp;Tipo=2&amp;ST=1&amp;nLang=0</t>
  </si>
  <si>
    <t>https://www.clickideacore.com/ClickHTML5/Visit.aspx?ID=//50DAEwASwAzADUAMgA1ADIAMgAyADYASQBEAEUAQQAD=&amp;Tipo=2&amp;ST=1&amp;nLang=0</t>
  </si>
  <si>
    <t>https://www.clickideacore.com/ClickHTML5/Visit.aspx?ID=//52DAEwASwAzADUAMgA0ADAANwA0ADAASQBEAEUAQQAA=&amp;Tipo=2&amp;ST=1&amp;nLang=0</t>
  </si>
  <si>
    <t>https://www.clickideacore.com/ClickHTML5/Visit.aspx?ID=//59DAEwASwAzADUAMgA0ADkAOAA3ADQASQBEAEUAQQAD=&amp;Tipo=2&amp;ST=1&amp;nLang=0</t>
  </si>
  <si>
    <t>https://www.clickideacore.com/ClickHTML5/Visit.aspx?ID=//5EDAEwASwAzADUAMgA0ADYAOAA3ADIASQBEAEUAQQA8=&amp;Tipo=2&amp;ST=1&amp;nLang=0</t>
  </si>
  <si>
    <t>https://www.clickideacore.com/ClickHTML5/Visit.aspx?ID=//58DAEwASwAzADUAMgA1ADgANQA5ADAASQBEAEUAQQA8=&amp;Tipo=2&amp;ST=1&amp;nLang=0</t>
  </si>
  <si>
    <t>https://www.clickideacore.com/ClickHTML5/Visit.aspx?ID=//51DAEwASwAzADUAMgA1ADYAMQAxADEASQBEAEUAQQA6=&amp;Tipo=2&amp;ST=1&amp;nLang=0</t>
  </si>
  <si>
    <t>https://www.clickideacore.com/ClickHTML5/Visit.aspx?ID=//5BDAEwASwAzADUAMgA1ADcAMwA1ADAASQBEAEUAQQA6=&amp;Tipo=2&amp;ST=1&amp;nLang=0</t>
  </si>
  <si>
    <t>https://www.clickideacore.com/ClickHTML5/Visit.aspx?ID=//5ADAEwASwAzADUAMgA1ADMANAA4ADAASQBEAEUAQQA1=&amp;Tipo=2&amp;ST=1&amp;nLang=0</t>
  </si>
  <si>
    <t>https://www.clickideacore.com/ClickHTML5/Visit.aspx?ID=//50DAEwASwAzADUAMgA0ADIANwA1ADUASQBEAEUAQQAB=&amp;Tipo=2&amp;ST=1&amp;nLang=0</t>
  </si>
  <si>
    <t>https://www.clickideacore.com/ClickHTML5/Visit.aspx?ID=//54DAEwASwAzADUAMgA3ADcAMAAzADQASQBEAEUAQQAB=&amp;Tipo=2&amp;ST=1&amp;nLang=0</t>
  </si>
  <si>
    <t>https://www.clickideacore.com/ClickHTML5/Visit.aspx?ID=//56DAEwASwAzADUAMgA3ADMANAA4ADAASQBEAEUAQQA3=&amp;Tipo=2&amp;ST=1&amp;nLang=0</t>
  </si>
  <si>
    <t>https://www.clickideacore.com/ClickHTML5/Visit.aspx?ID=//57DAEwASwAzADUAMgA5ADAAMAAzADcASQBEAEUAQQAB=&amp;Tipo=2&amp;ST=1&amp;nLang=0</t>
  </si>
  <si>
    <t>https://www.clickideacore.com/ClickHTML5/Visit.aspx?ID=//53DAEwASwAzADUAMgA4ADgAMgAwADkASQBEAEUAQQAC=&amp;Tipo=2&amp;ST=1&amp;nLang=0</t>
  </si>
  <si>
    <t>https://www.clickideacore.com/ClickHTML5/Visit.aspx?ID=//5ADAEwASwAzADUAMwAwADAAMQA4ADcASQBEAEUAQQA2=&amp;Tipo=2&amp;ST=1&amp;nLang=0</t>
  </si>
  <si>
    <t>https://www.clickideacore.com/ClickHTML5/Visit.aspx?ID=//58DAEwASwAzADUAMwAwADYAMgAxADcASQBEAEUAQQAD=&amp;Tipo=2&amp;ST=1&amp;nLang=0</t>
  </si>
  <si>
    <t>https://www.clickideacore.com/ClickHTML5/Visit.aspx?ID=//56DAEwASwAzADUAMwAwADYAMAAxADgASQBEAEUAQQAE=&amp;Tipo=2&amp;ST=1&amp;nLang=0</t>
  </si>
  <si>
    <t>https://www.clickideacore.com/ClickHTML5/Visit.aspx?ID=//58DAEwASwAzADUAMwAwADYAOAAxADkASQBEAEUAQQAB=&amp;Tipo=2&amp;ST=1&amp;nLang=0</t>
  </si>
  <si>
    <t>https://www.clickideacore.com/ClickHTML5/Visit.aspx?ID=//59DAEwASwAzADUAMwAwADYANwA0ADkASQBEAEUAQQA0=&amp;Tipo=2&amp;ST=1&amp;nLang=0</t>
  </si>
  <si>
    <t>https://www.clickideacore.com/ClickHTML5/Visit.aspx?ID=//58DAEwASwAzADUAMwAwADcANAAwADMASQBEAEUAQQAE=&amp;Tipo=2&amp;ST=1&amp;nLang=0</t>
  </si>
  <si>
    <t>https://www.clickideacore.com/ClickHTML5/Visit.aspx?ID=//54DAEwASwAzADUAMwAwADcAOAA0ADUASQBEAEUAQQAF=&amp;Tipo=2&amp;ST=1&amp;nLang=0</t>
  </si>
  <si>
    <t>https://www.clickideacore.com/ClickHTML5/Visit.aspx?ID=//57DAEwASwAzADUAMwAwADUAMgA4ADYASQBEAEUAQQAD=&amp;Tipo=2&amp;ST=1&amp;nLang=0</t>
  </si>
  <si>
    <t>https://www.clickideacore.com/ClickHTML5/Visit.aspx?ID=//53DAEwASwAzADUAMwAwADQANAA5ADYASQBEAEUAQQAD=&amp;Tipo=2&amp;ST=1&amp;nLang=0</t>
  </si>
  <si>
    <t>https://www.clickideacore.com/ClickHTML5/Visit.aspx?ID=//5EDAEwASwAzADUAMwAwADkAMAAwADYASQBEAEUAQQAA=&amp;Tipo=2&amp;ST=1&amp;nLang=0</t>
  </si>
  <si>
    <t>https://www.clickideacore.com/ClickHTML5/Visit.aspx?ID=//56DAEwASwAzADUAMwAwADgAMAAwADYASQBEAEUAQQA0=&amp;Tipo=2&amp;ST=1&amp;nLang=0</t>
  </si>
  <si>
    <t>https://www.clickideacore.com/ClickHTML5/Visit.aspx?ID=//52DAEwASwAzADUAMwAwADkANwAwADMASQBEAEUAQQAF=&amp;Tipo=2&amp;ST=1&amp;nLang=0</t>
  </si>
  <si>
    <t>https://www.clickideacore.com/ClickHTML5/Visit.aspx?ID=//55DAEwASwAzADUAMwAwADYAOQA5ADYASQBEAEUAQQAE=&amp;Tipo=2&amp;ST=1&amp;nLang=0</t>
  </si>
  <si>
    <t>https://www.clickideacore.com/ClickHTML5/Visit.aspx?ID=//51DAEwASwAzADUAMwAwADQAMgAyADAASQBEAEUAQQA1=&amp;Tipo=2&amp;ST=1&amp;nLang=0</t>
  </si>
  <si>
    <t>https://www.clickideacore.com/ClickHTML5/Visit.aspx?ID=//5EDAEwASwAzADUAMwAzADAAMQAzADEASQBEAEUAQQA3=&amp;Tipo=2&amp;ST=1&amp;nLang=0</t>
  </si>
  <si>
    <t>https://www.clickideacore.com/ClickHTML5/Visit.aspx?ID=//5DDAEwASwAzADUAMwAyADEANgA0ADUASQBEAEUAQQA4=&amp;Tipo=2&amp;ST=1&amp;nLang=0</t>
  </si>
  <si>
    <t>https://www.clickideacore.com/ClickHTML5/Visit.aspx?ID=//5DDAEwASwAzADUAMwAyADEAOQA2ADcASQBEAEUAQQAD=&amp;Tipo=2&amp;ST=1&amp;nLang=0</t>
  </si>
  <si>
    <t>https://www.clickideacore.com/ClickHTML5/Visit.aspx?ID=//5EDAEwASwAzADUAMwAyADIAMQAwADcASQBEAEUAQQA3=&amp;Tipo=2&amp;ST=1&amp;nLang=0</t>
  </si>
  <si>
    <t>https://www.clickideacore.com/ClickHTML5/Visit.aspx?ID=//57DAEwASwAzADUAMwAyADYAOAA3ADMASQBEAEUAQQAE=&amp;Tipo=2&amp;ST=1&amp;nLang=0</t>
  </si>
  <si>
    <t>https://www.clickideacore.com/ClickHTML5/Visit.aspx?ID=//57DAEwASwAzADUAMwAxADgAMwAzADMASQBEAEUAQQA6=&amp;Tipo=2&amp;ST=1&amp;nLang=0</t>
  </si>
  <si>
    <t>https://www.clickideacore.com/ClickHTML5/Visit.aspx?ID=//50DAEwASwAzADUAMwAyADYANgA3ADcASQBEAEUAQQA1=&amp;Tipo=2&amp;ST=1&amp;nLang=0</t>
  </si>
  <si>
    <t>https://www.clickideacore.com/ClickHTML5/Visit.aspx?ID=//5BDAEwASwAzADUAMwAyADcAOQA4ADAASQBEAEUAQQA9=&amp;Tipo=2&amp;ST=1&amp;nLang=0</t>
  </si>
  <si>
    <t>https://www.clickideacore.com/ClickHTML5/Visit.aspx?ID=//51DAEwASwAzADUAMwAyADAAMwA5ADEASQBEAEUAQQA5=&amp;Tipo=2&amp;ST=1&amp;nLang=0</t>
  </si>
  <si>
    <t>https://www.clickideacore.com/ClickHTML5/Visit.aspx?ID=//56DAEwASwAzADUAMwAzADIANAA1ADIASQBEAEUAQQAF=&amp;Tipo=2&amp;ST=1&amp;nLang=0</t>
  </si>
  <si>
    <t>https://www.clickideacore.com/ClickHTML5/Visit.aspx?ID=//58DAEwASwAzADUAMwAzADAAOQA2ADAASQBEAEUAQQAD=&amp;Tipo=2&amp;ST=1&amp;nLang=0</t>
  </si>
  <si>
    <t>https://www.clickideacore.com/ClickHTML5/Visit.aspx?ID=//5BDAEwASwAzADUAMwAyADMAMAA0ADcASQBEAEUAQQAC=&amp;Tipo=2&amp;ST=1&amp;nLang=0</t>
  </si>
  <si>
    <t>https://www.clickideacore.com/ClickHTML5/Visit.aspx?ID=//5BDAEwASwAzADUAMwAxADYAMAAzADIASQBEAEUAQQA2=&amp;Tipo=2&amp;ST=1&amp;nLang=0</t>
  </si>
  <si>
    <t>https://www.clickideacore.com/ClickHTML5/Visit.aspx?ID=//5ADAEwASwAzADUAMwA0ADkAMQA3ADMASQBEAEUAQQAE=&amp;Tipo=2&amp;ST=1&amp;nLang=0</t>
  </si>
  <si>
    <t>https://www.clickideacore.com/ClickHTML5/Visit.aspx?ID=//54DAEwASwAzADUAMwA0ADAANAAwADcASQBEAEUAQQAD=&amp;Tipo=2&amp;ST=1&amp;nLang=0</t>
  </si>
  <si>
    <t>https://www.clickideacore.com/ClickHTML5/Visit.aspx?ID=//54DAEwASwAzADUAMwA0ADUANQA5ADEASQBEAEUAQQA3=&amp;Tipo=2&amp;ST=1&amp;nLang=0</t>
  </si>
  <si>
    <t>https://www.clickideacore.com/ClickHTML5/Visit.aspx?ID=//59DAEwASwAzADUAMwA0ADgAOAA0ADEASQBEAEUAQQA2=&amp;Tipo=2&amp;ST=1&amp;nLang=0</t>
  </si>
  <si>
    <t>https://www.clickideacore.com/ClickHTML5/Visit.aspx?ID=//56DAEwASwAzADUAMwA0ADQAOQAwADcASQBEAEUAQQA3=&amp;Tipo=2&amp;ST=1&amp;nLang=0</t>
  </si>
  <si>
    <t>https://www.clickideacore.com/ClickHTML5/Visit.aspx?ID=//5EDAEwASwAzADUAMwA0ADYAMwA5ADcASQBEAEUAQQA1=&amp;Tipo=2&amp;ST=1&amp;nLang=0</t>
  </si>
  <si>
    <t>https://www.clickideacore.com/ClickHTML5/Visit.aspx?ID=//52DAEwASwAzADUAMwA0ADYANQA5ADkASQBEAEUAQQA5=&amp;Tipo=2&amp;ST=1&amp;nLang=0</t>
  </si>
  <si>
    <t>https://www.clickideacore.com/ClickHTML5/Visit.aspx?ID=//5EDAEwASwAzADUAMwA0ADMAOAA1ADIASQBEAEUAQQA5=&amp;Tipo=2&amp;ST=1&amp;nLang=0</t>
  </si>
  <si>
    <t>https://www.clickideacore.com/ClickHTML5/Visit.aspx?ID=//58DAEwASwAzADUAMwA1ADYANgA1ADMASQBEAEUAQQA1=&amp;Tipo=2&amp;ST=1&amp;nLang=0</t>
  </si>
  <si>
    <t>https://www.clickideacore.com/ClickHTML5/Visit.aspx?ID=//5FDAEwASwAzADUAMwA1ADUAMAA5ADcASQBEAEUAQQAE=&amp;Tipo=2&amp;ST=1&amp;nLang=0</t>
  </si>
  <si>
    <t>https://www.clickideacore.com/ClickHTML5/Visit.aspx?ID=//5EDAEwASwAzADUAMwA0ADUAMwA4ADgASQBEAEUAQQA9=&amp;Tipo=2&amp;ST=1&amp;nLang=0</t>
  </si>
  <si>
    <t>https://www.clickideacore.com/ClickHTML5/Visit.aspx?ID=//5EDAEwASwAzADUAMwA0ADAANwAxADUASQBEAEUAQQAC=&amp;Tipo=2&amp;ST=1&amp;nLang=0</t>
  </si>
  <si>
    <t>https://www.clickideacore.com/ClickHTML5/Visit.aspx?ID=//52DAEwASwAzADUAMwA3ADUAOQA1ADIASQBEAEUAQQA0=&amp;Tipo=2&amp;ST=1&amp;nLang=0</t>
  </si>
  <si>
    <t>https://www.clickideacore.com/ClickHTML5/Visit.aspx?ID=//58DAEwASwAzADUAMwA2ADYANAAwADUASQBEAEUAQQA4=&amp;Tipo=2&amp;ST=1&amp;nLang=0</t>
  </si>
  <si>
    <t>https://www.clickideacore.com/ClickHTML5/Visit.aspx?ID=//54DAEwASwAzADUAMwA2ADQANwAwADYASQBEAEUAQQA0=&amp;Tipo=2&amp;ST=1&amp;nLang=0</t>
  </si>
  <si>
    <t>https://www.clickideacore.com/ClickHTML5/Visit.aspx?ID=//55DAEwASwAzADUAMwA2ADcANwA1ADAASQBEAEUAQQAE=&amp;Tipo=2&amp;ST=1&amp;nLang=0</t>
  </si>
  <si>
    <t>https://www.clickideacore.com/ClickHTML5/Visit.aspx?ID=//5EDAEwASwAzADUAMwA3ADYAMwAxADgASQBEAEUAQQA1=&amp;Tipo=2&amp;ST=1&amp;nLang=0</t>
  </si>
  <si>
    <t>https://www.clickideacore.com/ClickHTML5/Visit.aspx?ID=//57DAEwASwAzADUAMwA2ADMANgAwADkASQBEAEUAQQAA=&amp;Tipo=2&amp;ST=1&amp;nLang=0</t>
  </si>
  <si>
    <t>https://www.clickideacore.com/ClickHTML5/Visit.aspx?ID=//53DAEwASwAzADUAMwA3ADAAMgA1ADgASQBEAEUAQQAC=&amp;Tipo=2&amp;ST=1&amp;nLang=0</t>
  </si>
  <si>
    <t>https://www.clickideacore.com/ClickHTML5/Visit.aspx?ID=//5BDAEwASwAzADUAMwA3ADcAMwAxADIASQBEAEUAQQAA=&amp;Tipo=2&amp;ST=1&amp;nLang=0</t>
  </si>
  <si>
    <t>https://www.clickideacore.com/ClickHTML5/Visit.aspx?ID=//50DAEwASwAzADUAMwA2ADcANgA5ADMASQBEAEUAQQA6=&amp;Tipo=2&amp;ST=1&amp;nLang=0</t>
  </si>
  <si>
    <t>https://www.clickideacore.com/ClickHTML5/Visit.aspx?ID=//56DAEwASwAzADUAMwA3ADkAOAA1ADcASQBEAEUAQQA2=&amp;Tipo=2&amp;ST=1&amp;nLang=0</t>
  </si>
  <si>
    <t>https://www.clickideacore.com/ClickHTML5/Visit.aspx?ID=//51DAEwASwAzADUAMwA3ADIAMwA1ADQASQBEAEUAQQA8=&amp;Tipo=2&amp;ST=1&amp;nLang=0</t>
  </si>
  <si>
    <t>https://www.clickideacore.com/ClickHTML5/Visit.aspx?ID=//59DAEwASwAzADUAMwA3ADcANwA0ADAASQBEAEUAQQA6=&amp;Tipo=2&amp;ST=1&amp;nLang=0</t>
  </si>
  <si>
    <t>https://www.clickideacore.com/ClickHTML5/Visit.aspx?ID=//51DAEwASwAzADUAMwA2ADgANAA5ADAASQBEAEUAQQA4=&amp;Tipo=2&amp;ST=1&amp;nLang=0</t>
  </si>
  <si>
    <t>sin rpoduccion</t>
  </si>
  <si>
    <t>31-jul</t>
  </si>
  <si>
    <t>29-jul</t>
  </si>
  <si>
    <t>28-jul</t>
  </si>
  <si>
    <t>24-jul</t>
  </si>
  <si>
    <t>23-jul</t>
  </si>
  <si>
    <t>22-jul</t>
  </si>
  <si>
    <t>21-ago</t>
  </si>
  <si>
    <t>20-ago</t>
  </si>
  <si>
    <t>19-ago</t>
  </si>
  <si>
    <t>18-ago</t>
  </si>
  <si>
    <t>14-ago</t>
  </si>
  <si>
    <t>13-ago</t>
  </si>
  <si>
    <t>12-ago</t>
  </si>
  <si>
    <t>11-ago</t>
  </si>
  <si>
    <t>25-jul</t>
  </si>
  <si>
    <t>30-jul</t>
  </si>
  <si>
    <t>26-jul</t>
  </si>
  <si>
    <t>27-jul</t>
  </si>
  <si>
    <t>10-ago</t>
  </si>
  <si>
    <t>15-ago</t>
  </si>
  <si>
    <t>16-ago</t>
  </si>
  <si>
    <t>17-ago</t>
  </si>
  <si>
    <t>Compensatorio</t>
  </si>
  <si>
    <t>https://www.clickideacore.com/ClickHTML5/Visit.aspx?ID=//5BDAEwASwAzADUAMwA5ADEANAAyADUASQBEAEUAQQA8=&amp;Tipo=2&amp;ST=1&amp;nLang=0</t>
  </si>
  <si>
    <t>https://www.clickideacore.com/ClickHTML5/Visit.aspx?ID=//59DAEwASwAzADUAMwA5ADEANQAxADkASQBEAEUAQQAB=&amp;Tipo=2&amp;ST=1&amp;nLang=0</t>
  </si>
  <si>
    <t>https://www.clickideacore.com/ClickHTML5/Visit.aspx?ID=//5CDAEwASwAzADUANAAwADAANQA5ADMASQBEAEUAQQA2=&amp;Tipo=2&amp;ST=1&amp;nLang=0</t>
  </si>
  <si>
    <t>https://www.clickideacore.com/ClickHTML5/Visit.aspx?ID=//54DAEwASwAzADUAMwA4ADkANAA4ADQASQBEAEUAQQA1=&amp;Tipo=2&amp;ST=1&amp;nLang=0</t>
  </si>
  <si>
    <t>https://www.clickideacore.com/ClickHTML5/Visit.aspx?ID=//54DAEwASwAzADUAMwA5ADcAMgA2ADkASQBEAEUAQQA1=&amp;Tipo=2&amp;ST=1&amp;nLang=0</t>
  </si>
  <si>
    <t>https://www.clickideacore.com/ClickHTML5/Visit.aspx?ID=//5BDAEwASwAzADUAMwA5ADIANAAxADYASQBEAEUAQQAC=&amp;Tipo=2&amp;ST=1&amp;nLang=0</t>
  </si>
  <si>
    <t>https://www.clickideacore.com/ClickHTML5/Visit.aspx?ID=//53DAEwASwAzADUAMwA5ADMANAA0ADIASQBEAEUAQQAA=&amp;Tipo=2&amp;ST=1&amp;nLang=0</t>
  </si>
  <si>
    <t>https://www.clickideacore.com/ClickHTML5/Visit.aspx?ID=//51DAEwASwAzADUAMwA4ADkANQAxADMASQBEAEUAQQA3=&amp;Tipo=2&amp;ST=1&amp;nLang=0</t>
  </si>
  <si>
    <t>https://www.clickideacore.com/ClickHTML5/Visit.aspx?ID=//5DDAEwASwAzADUANAAwADIAOAAzADUASQBEAEUAQQA6=&amp;Tipo=2&amp;ST=1&amp;nLang=0</t>
  </si>
  <si>
    <t>https://www.clickideacore.com/ClickHTML5/Visit.aspx?ID=//59DAEwASwAzADUANAAzADcANwA0ADEASQBEAEUAQQAB=&amp;Tipo=2&amp;ST=1&amp;nLang=0</t>
  </si>
  <si>
    <t>https://www.clickideacore.com/ClickHTML5/Visit.aspx?ID=//50DAEwASwAzADUANAA0ADMANwAyADAASQBEAEUAQQAD=&amp;Tipo=2&amp;ST=1&amp;nLang=0</t>
  </si>
  <si>
    <t>https://www.clickideacore.com/ClickHTML5/Visit.aspx?ID=//5CDAEwASwAzADUANAA0ADQAOQAxADIASQBEAEUAQQAB=&amp;Tipo=2&amp;ST=1&amp;nLang=0</t>
  </si>
  <si>
    <t>https://www.clickideacore.com/ClickHTML5/Visit.aspx?ID=//59DAEwASwAzADUAMwA5ADMANwA3ADgASQBEAEUAQQAC=&amp;Tipo=2&amp;ST=1&amp;nLang=0</t>
  </si>
  <si>
    <t>https://www.clickideacore.com/ClickHTML5/Visit.aspx?ID=//52DAEwASwAzADUANAAwADEAOAA2ADMASQBEAEUAQQA3=&amp;Tipo=2&amp;ST=1&amp;nLang=0</t>
  </si>
  <si>
    <t>https://www.clickideacore.com/ClickHTML5/Visit.aspx?ID=//58DAEwASwAzADUAMwA5ADkANAA5ADkASQBEAEUAQQAB=&amp;Tipo=2&amp;ST=1&amp;nLang=0</t>
  </si>
  <si>
    <t>https://www.clickideacore.com/ClickHTML5/Visit.aspx?ID=//5ADAEwASwAzADUAMwA4ADgANQAzADAASQBEAEUAQQA4=&amp;Tipo=2&amp;ST=1&amp;nLang=0</t>
  </si>
  <si>
    <t>https://www.clickideacore.com/ClickHTML5/Visit.aspx?ID=//5BDAEwASwAzADUANAAxADMAMwA3ADcASQBEAEUAQQAF=&amp;Tipo=2&amp;ST=1&amp;nLang=0</t>
  </si>
  <si>
    <t>https://www.clickideacore.com/ClickHTML5/Visit.aspx?ID=//57DAEwASwAzADUANAAyADIANwAwADIASQBEAEUAQQAB=&amp;Tipo=2&amp;ST=1&amp;nLang=0</t>
  </si>
  <si>
    <t>https://www.clickideacore.com/ClickHTML5/Visit.aspx?ID=//59DAEwASwAzADUANAAzADcAOQA4ADkASQBEAEUAQQA0=&amp;Tipo=2&amp;ST=1&amp;nLang=0</t>
  </si>
  <si>
    <t>https://www.clickideacore.com/ClickHTML5/Visit.aspx?ID=//5EDAEwASwAzADUANAAzADUAMQAxADgASQBEAEUAQQAB=&amp;Tipo=2&amp;ST=1&amp;nLang=0</t>
  </si>
  <si>
    <t>https://www.clickideacore.com/ClickHTML5/Visit.aspx?ID=//5ADAEwASwAzADUANAA0ADAAOQAyADAASQBEAEUAQQA9=&amp;Tipo=2&amp;ST=1&amp;nLang=0</t>
  </si>
  <si>
    <t>https://www.clickideacore.com/ClickHTML5/Visit.aspx?ID=//59DAEwASwAzADUANAAzADgANwA2ADYASQBEAEUAQQA6=&amp;Tipo=2&amp;ST=1&amp;nLang=0</t>
  </si>
  <si>
    <t>https://www.clickideacore.com/ClickHTML5/Visit.aspx?ID=//5CDAEwASwAzADUANAA0ADQANAA3ADAASQBEAEUAQQA4=&amp;Tipo=2&amp;ST=1&amp;nLang=0</t>
  </si>
  <si>
    <t>OP-S-032</t>
  </si>
  <si>
    <t>https://www.clickideacore.com/ClickHTML5/Visit.aspx?ID=//5DDAEwASwAzADUANAAzADMANAAyADUASQBEAEUAQQAA=&amp;Tipo=2&amp;ST=1&amp;nLang=0</t>
  </si>
  <si>
    <t>https://www.clickideacore.com/ClickHTML5/Visit.aspx?ID=//55DAEwASwAzADUANAAzADcAMgA2ADEASQBEAEUAQQA5=&amp;Tipo=2&amp;ST=1&amp;nLang=0</t>
  </si>
  <si>
    <t>https://www.clickideacore.com/ClickHTML5/Visit.aspx?ID=//5CDAEwASwAzADUANAAzADgANQAyADEASQBEAEUAQQA0=&amp;Tipo=2&amp;ST=1&amp;nLang=0</t>
  </si>
  <si>
    <t>https://www.clickideacore.com/ClickHTML5/Visit.aspx?ID=//54DAEwASwAzADUANAAzADQAMwAyADMASQBEAEUAQQA2=&amp;Tipo=2&amp;ST=1&amp;nLang=0</t>
  </si>
  <si>
    <t>https://www.clickideacore.com/ClickHTML5/Visit.aspx?ID=//59DAEwASwAzADUANAAzADIAOAA3ADAASQBEAEUAQQA6=&amp;Tipo=2&amp;ST=1&amp;nLang=0</t>
  </si>
  <si>
    <t>https://www.clickideacore.com/ClickHTML5/Visit.aspx?ID=//50DAEwASwAzADUANAA0ADIANQA2ADQASQBEAEUAQQA2=&amp;Tipo=2&amp;ST=1&amp;nLang=0</t>
  </si>
  <si>
    <t>https://www.clickideacore.com/ClickHTML5/Visit.aspx?ID=//5BDAEwASwAzADUANAA0ADYAMQA1ADYASQBEAEUAQQAD=&amp;Tipo=2&amp;ST=1&amp;nLang=0</t>
  </si>
  <si>
    <t>https://www.clickideacore.com/ClickHTML5/Visit.aspx?ID=//56DAEwASwAzADUANAAzADYANwA1ADkASQBEAEUAQQA7=&amp;Tipo=2&amp;ST=1&amp;nLang=0</t>
  </si>
  <si>
    <t>sin produccion</t>
  </si>
  <si>
    <t>dia Cumpleaños</t>
  </si>
  <si>
    <t>https://www.clickideacore.com/ClickHTML5/Visit.aspx?ID=//57DAEwASwAzADUANAA2ADcANgA4ADgASQBEAEUAQQA5=&amp;Tipo=2&amp;ST=1&amp;nLang=0</t>
  </si>
  <si>
    <t>https://www.clickideacore.com/ClickHTML5/Visit.aspx?ID=//5FDAEwASwAzADUANAA1ADkANgAwADEASQBEAEUAQQA9=&amp;Tipo=2&amp;ST=1&amp;nLang=0</t>
  </si>
  <si>
    <t>https://www.clickideacore.com/ClickHTML5/Visit.aspx?ID=//57DAEwASwAzADUANAA2ADAANwA5ADgASQBEAEUAQQA9=&amp;Tipo=2&amp;ST=1&amp;nLang=0</t>
  </si>
  <si>
    <t>https://www.clickideacore.com/ClickHTML5/Visit.aspx?ID=//5EDAEwASwAzADUANAA2ADkAMQAyADEASQBEAEUAQQAC=&amp;Tipo=2&amp;ST=1&amp;nLang=0</t>
  </si>
  <si>
    <t>https://www.clickideacore.com/ClickHTML5/Visit.aspx?ID=//52DAEwASwAzADUANAA2ADAAMgA3ADEASQBEAEUAQQAD=&amp;Tipo=2&amp;ST=1&amp;nLang=0</t>
  </si>
  <si>
    <t>https://www.clickideacore.com/ClickHTML5/Visit.aspx?ID=//5CDAEwASwAzADUANAA2ADIANQA0ADkASQBEAEUAQQAB=&amp;Tipo=2&amp;ST=1&amp;nLang=0</t>
  </si>
  <si>
    <t>https://www.clickideacore.com/ClickHTML5/Visit.aspx?ID=//51DAEwASwAzADUANAA1ADUANAA0ADUASQBEAEUAQQA1=&amp;Tipo=2&amp;ST=1&amp;nLang=0</t>
  </si>
  <si>
    <t>https://www.clickideacore.com/ClickHTML5/Visit.aspx?ID=//55DAEwASwAzADUANAA2ADUAOQAxADgASQBEAEUAQQA2=&amp;Tipo=2&amp;ST=1&amp;nLang=0</t>
  </si>
  <si>
    <t>https://www.clickideacore.com/ClickHTML5/Visit.aspx?ID=//55DAEwASwAzADUANAA1ADkANAA0ADEASQBEAEUAQQAB=&amp;Tipo=2&amp;ST=1&amp;nLang=0</t>
  </si>
  <si>
    <t>https://www.clickideacore.com/ClickHTML5/Visit.aspx?ID=//5BDAEwASwAzADUANAA3ADEAMgAxADYASQBEAEUAQQA4=&amp;Tipo=2&amp;ST=1&amp;nLang=0</t>
  </si>
  <si>
    <t>https://www.clickideacore.com/ClickHTML5/Visit.aspx?ID=//57DAEwASwAzADUANAA2ADgAMQA1ADMASQBEAEUAQQAE=&amp;Tipo=2&amp;ST=1&amp;nLang=0</t>
  </si>
  <si>
    <t>https://www.clickideacore.com/ClickHTML5/Visit.aspx?ID=//5BDAEwASwAzADUANAA2ADkAOAA5ADkASQBEAEUAQQAF=&amp;Tipo=2&amp;ST=1&amp;nLang=0</t>
  </si>
  <si>
    <t>https://www.clickideacore.com/ClickHTML5/Visit.aspx?ID=//54DAEwASwAzADUANAA1ADgAOAA1ADAASQBEAEUAQQA1=&amp;Tipo=2&amp;ST=1&amp;nLang=0</t>
  </si>
  <si>
    <t>https://www.clickideacore.com/ClickHTML5/Visit.aspx?ID=//51DAEwASwAzADUANAA4ADAAMQAyADMASQBEAEUAQQAF=&amp;Tipo=2&amp;ST=1&amp;nLang=0</t>
  </si>
  <si>
    <t>https://www.clickideacore.com/ClickHTML5/Visit.aspx?ID=//52DAEwASwAzADUANAA4ADAAMAAyADgASQBEAEUAQQAD=&amp;Tipo=2&amp;ST=1&amp;nLang=0</t>
  </si>
  <si>
    <t>https://www.clickideacore.com/ClickHTML5/Visit.aspx?ID=//5DDAEwASwAzADUANAA4ADkAOQA5ADAASQBEAEUAQQA6=&amp;Tipo=2&amp;ST=1&amp;nLang=0</t>
  </si>
  <si>
    <t>https://www.clickideacore.com/ClickHTML5/Visit.aspx?ID=//5DDAEwASwAzADUANAA4ADYAMwAxADEASQBEAEUAQQA3=&amp;Tipo=2&amp;ST=1&amp;nLang=0</t>
  </si>
  <si>
    <t>https://www.clickideacore.com/ClickHTML5/Visit.aspx?ID=//5BDAEwASwAzADUANAA4ADQANwAwADEASQBEAEUAQQA7=&amp;Tipo=2&amp;ST=1&amp;nLang=0</t>
  </si>
  <si>
    <t>https://www.clickideacore.com/ClickHTML5/Visit.aspx?ID=//53DAEwASwAzADUANAA4ADEANQAxADAASQBEAEUAQQA9=&amp;Tipo=2&amp;ST=1&amp;nLang=0</t>
  </si>
  <si>
    <t>https://www.clickideacore.com/ClickHTML5/Visit.aspx?ID=//53DAEwASwAzADUANAA4ADQANAA1ADUASQBEAEUAQQA7=&amp;Tipo=2&amp;ST=1&amp;nLang=0</t>
  </si>
  <si>
    <t>https://www.clickideacore.com/ClickHTML5/Visit.aspx?ID=//5FDAEwASwAzADUANAA4ADcANgAyADEASQBEAEUAQQA3=&amp;Tipo=2&amp;ST=1&amp;nLang=0</t>
  </si>
  <si>
    <t>https://www.clickideacore.com/ClickHTML5/Visit.aspx?ID=//5EDAEwASwAzADUANAA4ADEAMwAzADYASQBEAEUAQQA9=&amp;Tipo=2&amp;ST=1&amp;nLang=0</t>
  </si>
  <si>
    <t>https://www.clickideacore.com/ClickHTML5/Visit.aspx?ID=//53DAEwASwAzADUANAA4ADAAMgA1ADYASQBEAEUAQQAC=&amp;Tipo=2&amp;ST=1&amp;nLang=0</t>
  </si>
  <si>
    <t>https://www.clickideacore.com/ClickHTML5/Visit.aspx?ID=//51DAEwASwAzADUANAA4ADgANwA1ADAASQBEAEUAQQA8=&amp;Tipo=2&amp;ST=1&amp;nLang=0</t>
  </si>
  <si>
    <t>https://www.clickideacore.com/ClickHTML5/Visit.aspx?ID=//52DAEwASwAzADUANAA5ADAAOAA3ADYASQBEAEUAQQAC=&amp;Tipo=2&amp;ST=1&amp;nLang=0</t>
  </si>
  <si>
    <t>https://www.clickideacore.com/ClickHTML5/Visit.aspx?ID=//5ADAEwASwAzADUANAA4ADcAMQAzADYASQBEAEUAQQA7=&amp;Tipo=2&amp;ST=1&amp;nLang=0</t>
  </si>
  <si>
    <t>https://www.clickideacore.com/ClickHTML5/Visit.aspx?ID=//53DAEwASwAzADUANAA3ADgAOAAyADgASQBEAEUAQQA0=&amp;Tipo=2&amp;ST=1&amp;nLang=0</t>
  </si>
  <si>
    <t>https://www.clickideacore.com/ClickHTML5/Visit.aspx?ID=//53DAEwASwAzADUANQAxADIAOQA0ADQASQBEAEUAQQA2=&amp;Tipo=2&amp;ST=1&amp;nLang=0</t>
  </si>
  <si>
    <t>https://www.clickideacore.com/ClickHTML5/Visit.aspx?ID=//59DAEwASwAzADUANQAwADEAMgAwADcASQBEAEUAQQA4=&amp;Tipo=2&amp;ST=1&amp;nLang=0</t>
  </si>
  <si>
    <t>https://www.clickideacore.com/ClickHTML5/Visit.aspx?ID=//55DAEwASwAzADUANQAwADAAOAA1ADQASQBEAEUAQQAE=&amp;Tipo=2&amp;ST=1&amp;nLang=0</t>
  </si>
  <si>
    <t>https://www.clickideacore.com/ClickHTML5/Visit.aspx?ID=//56DAEwASwAzADUANQAwADYANgAyADYASQBEAEUAQQA0=&amp;Tipo=2&amp;ST=1&amp;nLang=0</t>
  </si>
  <si>
    <t>https://www.clickideacore.com/ClickHTML5/Visit.aspx?ID=//5CDAEwASwAzADUANQAxADEANAA5ADYASQBEAEUAQQA6=&amp;Tipo=2&amp;ST=1&amp;nLang=0</t>
  </si>
  <si>
    <t>https://www.clickideacore.com/ClickHTML5/Visit.aspx?ID=//5FDAEwASwAzADUANQAwADIAMAAzADIASQBEAEUAQQA1=&amp;Tipo=2&amp;ST=1&amp;nLang=0</t>
  </si>
  <si>
    <t>https://www.clickideacore.com/ClickHTML5/Visit.aspx?ID=//59DAEwASwAzADUANQAwADcANwA1ADIASQBEAEUAQQA8=&amp;Tipo=2&amp;ST=1&amp;nLang=0</t>
  </si>
  <si>
    <t>https://www.clickideacore.com/ClickHTML5/Visit.aspx?ID=//53DAEwASwAzADUANQAwADkAMgA4ADcASQBEAEUAQQAA=&amp;Tipo=2&amp;ST=1&amp;nLang=0</t>
  </si>
  <si>
    <t>https://www.clickideacore.com/ClickHTML5/Visit.aspx?ID=//5BDAEwASwAzADUANQAwADYAMAAwADcASQBEAEUAQQA1=&amp;Tipo=2&amp;ST=1&amp;nLang=0</t>
  </si>
  <si>
    <t>https://www.clickideacore.com/ClickHTML5/Visit.aspx?ID=//5EDAEwASwAzADUANAA5ADkANAA5ADAASQBEAEUAQQAA=&amp;Tipo=2&amp;ST=1&amp;nLang=0</t>
  </si>
  <si>
    <t>https://www.clickideacore.com/ClickHTML5/Visit.aspx?ID=//54DAEwASwAzADUANQAwADgANgA2ADgASQBEAEUAQQAC=&amp;Tipo=2&amp;ST=1&amp;nLang=0</t>
  </si>
  <si>
    <t>https://www.clickideacore.com/ClickHTML5/Visit.aspx?ID=//5DDAEwASwAzADUANQAxADMAMgA3ADcASQBEAEUAQQAC=&amp;Tipo=2&amp;ST=1&amp;nLang=0</t>
  </si>
  <si>
    <t>https://www.clickideacore.com/ClickHTML5/Visit.aspx?ID=//5ADAEwASwAzADUANQAwADUANQA4ADkASQBEAEUAQQA5=&amp;Tipo=2&amp;ST=1&amp;nLang=0</t>
  </si>
  <si>
    <t>https://www.clickideacore.com/ClickHTML5/Visit.aspx?ID=//50DAEwASwAzADUANQAwADIAOAAwADgASQBEAEUAQQAD=&amp;Tipo=2&amp;ST=1&amp;nLang=0</t>
  </si>
  <si>
    <t>https://www.clickideacore.com/ClickHTML5/Visit.aspx?ID=//55DAEwASwAzADUANQAyADYAOQAwADkASQBEAEUAQQAA=&amp;Tipo=2&amp;ST=1&amp;nLang=0</t>
  </si>
  <si>
    <t>https://www.clickideacore.com/ClickHTML5/Visit.aspx?ID=//59DAEwASwAzADUANQAyADYANAAzADAASQBEAEUAQQA7=&amp;Tipo=2&amp;ST=1&amp;nLang=0</t>
  </si>
  <si>
    <t>https://www.clickideacore.com/ClickHTML5/Visit.aspx?ID=//5CDAEwASwAzADUANQAyADYAMwA5ADgASQBEAEUAQQA6=&amp;Tipo=2&amp;ST=1&amp;nLang=0</t>
  </si>
  <si>
    <t>https://www.clickideacore.com/ClickHTML5/Visit.aspx?ID=//57DAEwASwAzADUANQAzADAANAAxADgASQBEAEUAQQA3=&amp;Tipo=2&amp;ST=1&amp;nLang=0</t>
  </si>
  <si>
    <t>https://www.clickideacore.com/ClickHTML5/Visit.aspx?ID=//54DAEwASwAzADUANQAzADAAMwA1ADgASQBEAEUAQQA0=&amp;Tipo=2&amp;ST=1&amp;nLang=0</t>
  </si>
  <si>
    <t>https://www.clickideacore.com/ClickHTML5/Visit.aspx?ID=//5BDAEwASwAzADUANQAyADcAMAAzADIASQBEAEUAQQA7=&amp;Tipo=2&amp;ST=1&amp;nLang=0</t>
  </si>
  <si>
    <t>https://www.clickideacore.com/ClickHTML5/Visit.aspx?ID=//58DAEwASwAzADUANQAyADgANwA5ADUASQBEAEUAQQA0=&amp;Tipo=2&amp;ST=1&amp;nLang=0</t>
  </si>
  <si>
    <t>https://www.clickideacore.com/ClickHTML5/Visit.aspx?ID=//56DAEwASwAzADUANQAyADUAOQA0ADMASQBEAEUAQQA6=&amp;Tipo=2&amp;ST=1&amp;nLang=0</t>
  </si>
  <si>
    <t>https://www.clickideacore.com/ClickHTML5/Visit.aspx?ID=//5FDAEwASwAzADUANQA1ADgANwAyADQASQBEAEUAQQA4=&amp;Tipo=2&amp;ST=1&amp;nLang=0</t>
  </si>
  <si>
    <t>https://www.clickideacore.com/ClickHTML5/Visit.aspx?ID=//51DAEwASwAzADUANQAzADMAOAA2ADQASQBEAEUAQQA8=&amp;Tipo=2&amp;ST=1&amp;nLang=0</t>
  </si>
  <si>
    <t>https://www.clickideacore.com/ClickHTML5/Visit.aspx?ID=//5EDAEwASwAzADUANQAyADYAOAA2ADAASQBEAEUAQQA4=&amp;Tipo=2&amp;ST=1&amp;nLang=0</t>
  </si>
  <si>
    <t>https://www.clickideacore.com/ClickHTML5/Visit.aspx?ID=//5BDAEwASwAzADUANQAyADMAMAAzADUASQBEAEUAQQA1=&amp;Tipo=2&amp;ST=1&amp;nLang=0</t>
  </si>
  <si>
    <t>https://www.clickideacore.com/ClickHTML5/Visit.aspx?ID=//58DAEwASwAzADUANQA0ADcAMAA0ADEASQBEAEUAQQAF=&amp;Tipo=2&amp;ST=1&amp;nLang=0</t>
  </si>
  <si>
    <t>https://www.clickideacore.com/ClickHTML5/Visit.aspx?ID=//59DAEwASwAzADUANQA0ADcANwAzADQASQBEAEUAQQAB=&amp;Tipo=2&amp;ST=1&amp;nLang=0</t>
  </si>
  <si>
    <t>https://www.clickideacore.com/ClickHTML5/Visit.aspx?ID=//55DAEwASwAzADUANQA1ADcAOAAxADkASQBEAEUAQQA1=&amp;Tipo=2&amp;ST=1&amp;nLang=0</t>
  </si>
  <si>
    <t>https://www.clickideacore.com/ClickHTML5/Visit.aspx?ID=//51DAEwASwAzADUANQA1ADEANgAyADIASQBEAEUAQQA7=&amp;Tipo=2&amp;ST=1&amp;nLang=0</t>
  </si>
  <si>
    <t>https://www.clickideacore.com/ClickHTML5/Visit.aspx?ID=//55DAEwASwAzADUANQA1ADcAOQA1ADYASQBEAEUAQQA1=&amp;Tipo=2&amp;ST=1&amp;nLang=0</t>
  </si>
  <si>
    <t>https://www.clickideacore.com/ClickHTML5/Visit.aspx?ID=//51DAEwASwAzADUANQA3ADIAOQAyADcASQBEAEUAQQAC=&amp;Tipo=2&amp;ST=1&amp;nLang=0</t>
  </si>
  <si>
    <t>https://www.clickideacore.com/ClickHTML5/Visit.aspx?ID=//5ADAEwASwAzADUANQA3ADAAMgAxADMASQBEAEUAQQAE=&amp;Tipo=2&amp;ST=1&amp;nLang=0</t>
  </si>
  <si>
    <t>https://www.clickideacore.com/ClickHTML5/Visit.aspx?ID=//5EDAEwASwAzADUANQA4ADEAMQAxADAASQBEAEUAQQA9=&amp;Tipo=2&amp;ST=1&amp;nLang=0</t>
  </si>
  <si>
    <t>https://www.clickideacore.com/ClickHTML5/Visit.aspx?ID=//55DAEwASwAzADUANQA3ADIANgAxADAASQBEAEUAQQA7=&amp;Tipo=2&amp;ST=1&amp;nLang=0</t>
  </si>
  <si>
    <t>https://www.clickideacore.com/ClickHTML5/Visit.aspx?ID=//5EDAEwASwAzADUANQA4ADAANAA3ADQASQBEAEUAQQA0=&amp;Tipo=2&amp;ST=1&amp;nLang=0</t>
  </si>
  <si>
    <t>https://www.clickideacore.com/ClickHTML5/Visit.aspx?ID=//53DAEwASwAzADUANQA3ADEAOAAzADkASQBEAEUAQQAF=&amp;Tipo=2&amp;ST=1&amp;nLang=0</t>
  </si>
  <si>
    <t>https://www.clickideacore.com/ClickHTML5/Visit.aspx?ID=//56DAEwASwAzADUANQA3ADEAOAAzADMASQBEAEUAQQA9=&amp;Tipo=2&amp;ST=1&amp;nLang=0</t>
  </si>
  <si>
    <t>https://www.clickideacore.com/ClickHTML5/Visit.aspx?ID=//5CDAEwASwAzADUANQA2ADgAOAA0ADgASQBEAEUAQQAF=&amp;Tipo=2&amp;ST=1&amp;nLang=0</t>
  </si>
  <si>
    <t>https://www.clickideacore.com/ClickHTML5/Visit.aspx?ID=//5EDAEwASwAzADUANQA4ADAANAA2ADAASQBEAEUAQQA4=&amp;Tipo=2&amp;ST=1&amp;nLang=0</t>
  </si>
  <si>
    <t>https://www.clickideacore.com/ClickHTML5/Visit.aspx?ID=//54DAEwASwAzADUANQA3ADUAMQA3ADAASQBEAEUAQQA2=&amp;Tipo=2&amp;ST=1&amp;nLang=0</t>
  </si>
  <si>
    <t>https://www.clickideacore.com/ClickHTML5/Visit.aspx?ID=//5ADAEwASwAzADUANQA3ADIANwAyADYASQBEAEUAQQA7=&amp;Tipo=2&amp;ST=1&amp;nLang=0</t>
  </si>
  <si>
    <t>https://www.clickideacore.com/ClickHTML5/Visit.aspx?ID=//5FDAEwASwAzADUANQA3ADIAMAAxADAASQBEAEUAQQAF=&amp;Tipo=2&amp;ST=1&amp;nLang=0</t>
  </si>
  <si>
    <t>https://www.clickideacore.com/ClickHTML5/Visit.aspx?ID=//54DAEwASwAzADUANQA3ADUAOQAyADUASQBEAEUAQQAF=&amp;Tipo=2&amp;ST=1&amp;nLang=0</t>
  </si>
  <si>
    <t>https://www.clickideacore.com/ClickHTML5/Visit.aspx?ID=//56DAEwASwAzADUANQA4ADAAOQA5ADcASQBEAEUAQQAA=&amp;Tipo=2&amp;ST=1&amp;nLang=0</t>
  </si>
  <si>
    <t>https://www.clickideacore.com/ClickHTML5/Visit.aspx?ID=//53DAEwASwAzADUANQA3ADAAMwAzADUASQBEAEUAQQAD=&amp;Tipo=2&amp;ST=1&amp;nLang=0</t>
  </si>
  <si>
    <t>https://www.clickideacore.com/ClickHTML5/Visit.aspx?ID=//52DAEwASwAzADUANgAwADEAMgAzADkASQBEAEUAQQA7=&amp;Tipo=2&amp;ST=1&amp;nLang=0</t>
  </si>
  <si>
    <t>https://www.clickideacore.com/ClickHTML5/Visit.aspx?ID=//53DAEwASwAzADUANQA5ADUANQAzADcASQBEAEUAQQAE=&amp;Tipo=2&amp;ST=1&amp;nLang=0</t>
  </si>
  <si>
    <t>https://www.clickideacore.com/ClickHTML5/Visit.aspx?ID=//58DAEwASwAzADUANQA5ADYAMgA3ADMASQBEAEUAQQA5=&amp;Tipo=2&amp;ST=1&amp;nLang=0</t>
  </si>
  <si>
    <t>https://www.clickideacore.com/ClickHTML5/Visit.aspx?ID=//5BDAEwASwAzADUANgAwADUANAAxADcASQBEAEUAQQA0=&amp;Tipo=2&amp;ST=1&amp;nLang=0</t>
  </si>
  <si>
    <t>https://www.clickideacore.com/ClickHTML5/Visit.aspx?ID=//5ADAEwASwAzADUANQA5ADcANQA2ADIASQBEAEUAQQAA=&amp;Tipo=2&amp;ST=1&amp;nLang=0</t>
  </si>
  <si>
    <t>https://www.clickideacore.com/ClickHTML5/Visit.aspx?ID=//5BDAEwASwAzADUANQA4ADkANAAwADIASQBEAEUAQQA8=&amp;Tipo=2&amp;ST=1&amp;nLang=0</t>
  </si>
  <si>
    <t>https://www.clickideacore.com/ClickHTML5/Visit.aspx?ID=//57DAEwASwAzADUANgAwADIAOAA0ADYASQBEAEUAQQAC=&amp;Tipo=2&amp;ST=1&amp;nLang=0</t>
  </si>
  <si>
    <t>https://www.clickideacore.com/ClickHTML5/Visit.aspx?ID=//59DAEwASwAzADUANQA5ADUANgA4ADYASQBEAEUAQQAF=&amp;Tipo=2&amp;ST=1&amp;nLang=0</t>
  </si>
  <si>
    <t>https://www.clickideacore.com/ClickHTML5/Visit.aspx?ID=//52DAEwASwAzADUANgAwADAAMgA5ADYASQBEAEUAQQA6=&amp;Tipo=2&amp;ST=1&amp;nLang=0</t>
  </si>
  <si>
    <t>https://www.clickideacore.com/ClickHTML5/Visit.aspx?ID=//55DAEwASwAzADUANQA5ADUANgA4ADQASQBEAEUAQQAB=&amp;Tipo=2&amp;ST=1&amp;nLang=0</t>
  </si>
  <si>
    <t>https://www.clickideacore.com/ClickHTML5/Visit.aspx?ID=//53DAEwASwAzADUANgAwADQAMAA2ADAASQBEAEUAQQAD=&amp;Tipo=2&amp;ST=1&amp;nLang=0</t>
  </si>
  <si>
    <t>https://www.clickideacore.com/ClickHTML5/Visit.aspx?ID=//5EDAEwASwAzADUANQA5ADIAOQA0ADgASQBEAEUAQQAE=&amp;Tipo=2&amp;ST=1&amp;nLang=0</t>
  </si>
  <si>
    <t>https://www.clickideacore.com/ClickHTML5/Visit.aspx?ID=//54DAEwASwAzADUANgAwADQAOQA1ADYASQBEAEUAQQAC=&amp;Tipo=2&amp;ST=1&amp;nLang=0</t>
  </si>
  <si>
    <t>https://www.clickideacore.com/ClickHTML5/Visit.aspx?ID=//55DAEwASwAzADUANQA5ADYAMQAxADYASQBEAEUAQQA5=&amp;Tipo=2&amp;ST=1&amp;nLang=0</t>
  </si>
  <si>
    <t>https://www.clickideacore.com/ClickHTML5/Visit.aspx?ID=//5DDAEwASwAzADUANgAxADUAMAA3ADMASQBEAEUAQQA0=&amp;Tipo=2&amp;ST=1&amp;nLang=0</t>
  </si>
  <si>
    <t>https://www.clickideacore.com/ClickHTML5/Visit.aspx?ID=//52DAEwASwAzADUANgAxADYAOQAxADUASQBEAEUAQQA7=&amp;Tipo=2&amp;ST=1&amp;nLang=0</t>
  </si>
  <si>
    <t>https://www.clickideacore.com/ClickHTML5/Visit.aspx?ID=//54DAEwASwAzADUANgAyADQAMgAzADAASQBEAEUAQQAF=&amp;Tipo=2&amp;ST=1&amp;nLang=0</t>
  </si>
  <si>
    <t>https://www.clickideacore.com/ClickHTML5/Visit.aspx?ID=//5ADAEwASwAzADUANgAyADQANQAyADMASQBEAEUAQQA1=&amp;Tipo=2&amp;ST=1&amp;nLang=0</t>
  </si>
  <si>
    <t>https://www.clickideacore.com/ClickHTML5/Visit.aspx?ID=//52DAEwASwAzADUANgAxADkAMAA2ADMASQBEAEUAQQA7=&amp;Tipo=2&amp;ST=1&amp;nLang=0</t>
  </si>
  <si>
    <t>https://www.clickideacore.com/ClickHTML5/Visit.aspx?ID=//57DAEwASwAzADUANgAyADIANQA0ADMASQBEAEUAQQAE=&amp;Tipo=2&amp;ST=1&amp;nLang=0</t>
  </si>
  <si>
    <t>https://www.clickideacore.com/ClickHTML5/Visit.aspx?ID=//52DAEwASwAzADUANgAyADYAOQA0ADQASQBEAEUAQQA6=&amp;Tipo=2&amp;ST=1&amp;nLang=0</t>
  </si>
  <si>
    <t>https://www.clickideacore.com/ClickHTML5/Visit.aspx?ID=//59DAEwASwAzADUANgAxADUAOQA4ADkASQBEAEUAQQA5=&amp;Tipo=2&amp;ST=1&amp;nLang=0</t>
  </si>
  <si>
    <t>https://www.clickideacore.com/ClickHTML5/Visit.aspx?ID=//55DAEwASwAzADUANgAyADQAMwAxADQASQBEAEUAQQAD=&amp;Tipo=2&amp;ST=1&amp;nLang=0</t>
  </si>
  <si>
    <t>https://www.clickideacore.com/ClickHTML5/Visit.aspx?ID=//5CDAEwASwAzADUANgAyADcAMgA1ADgASQBEAEUAQQA8=&amp;Tipo=2&amp;ST=1&amp;nLang=0</t>
  </si>
  <si>
    <t>https://www.clickideacore.com/ClickHTML5/Visit.aspx?ID=//5EDAEwASwAzADUANgAxADcAMAA1ADEASQBEAEUAQQA0=&amp;Tipo=2&amp;ST=1&amp;nLang=0</t>
  </si>
  <si>
    <t>https://www.clickideacore.com/ClickHTML5/Visit.aspx?ID=//56DAEwASwAzADUANgAxADcAMwAxADIASQBEAEUAQQA9=&amp;Tipo=2&amp;ST=1&amp;nLang=0</t>
  </si>
  <si>
    <t>https://www.clickideacore.com/ClickHTML5/Visit.aspx?ID=//5DDAEwASwAzADUANgAxADUANAAxADgASQBEAEUAQQA4=&amp;Tipo=2&amp;ST=1&amp;nLang=0</t>
  </si>
  <si>
    <t>falta</t>
  </si>
  <si>
    <t>licencia</t>
  </si>
  <si>
    <t>https://www.clickideacore.com/ClickHTML5/Visit.aspx?ID=//51DAEwASwAzADUANgA1ADAAMwA1ADcASQBEAEUAQQAF=&amp;Tipo=2&amp;ST=1&amp;nLang=0</t>
  </si>
  <si>
    <t>https://www.clickideacore.com/ClickHTML5/Visit.aspx?ID=//5EDAEwASwAzADUANgAzADkANQA2ADEASQBEAEUAQQAB=&amp;Tipo=2&amp;ST=1&amp;nLang=0</t>
  </si>
  <si>
    <t>https://www.clickideacore.com/ClickHTML5/Visit.aspx?ID=//56DAEwASwAzADUANgAzADYAOQA3ADAASQBEAEUAQQA8=&amp;Tipo=2&amp;ST=1&amp;nLang=0</t>
  </si>
  <si>
    <t>https://www.clickideacore.com/ClickHTML5/Visit.aspx?ID=//53DAEwASwAzADUANgA0ADIANgA4ADUASQBEAEUAQQAD=&amp;Tipo=2&amp;ST=1&amp;nLang=0</t>
  </si>
  <si>
    <t>https://www.clickideacore.com/ClickHTML5/Visit.aspx?ID=//55DAEwASwAzADUANgA0ADQAMAAyADIASQBEAEUAQQA7=&amp;Tipo=2&amp;ST=1&amp;nLang=0</t>
  </si>
  <si>
    <t>https://www.clickideacore.com/ClickHTML5/Visit.aspx?ID=//5DDAEwASwAzADUANgA0ADMAOQA1ADYASQBEAEUAQQAA=&amp;Tipo=2&amp;ST=1&amp;nLang=0</t>
  </si>
  <si>
    <t>https://www.clickideacore.com/ClickHTML5/Visit.aspx?ID=//56DAEwASwAzADUANgA0ADgAOAAzADEASQBEAEUAQQA3=&amp;Tipo=2&amp;ST=1&amp;nLang=0</t>
  </si>
  <si>
    <t>https://www.clickideacore.com/ClickHTML5/Visit.aspx?ID=//51DAEwASwAzADUANgA1ADIANQAwADgASQBEAEUAQQAE=&amp;Tipo=2&amp;ST=1&amp;nLang=0</t>
  </si>
  <si>
    <t>https://www.clickideacore.com/ClickHTML5/Visit.aspx?ID=//54DAEwASwAzADUANgA1ADAANQAxADMASQBEAEUAQQA2=&amp;Tipo=2&amp;ST=1&amp;nLang=0</t>
  </si>
  <si>
    <t>https://www.clickideacore.com/ClickHTML5/Visit.aspx?ID=//5BDAEwASwAzADUANgA0ADkAMQAwADcASQBEAEUAQQAB=&amp;Tipo=2&amp;ST=1&amp;nLang=0</t>
  </si>
  <si>
    <t>https://www.clickideacore.com/ClickHTML5/Visit.aspx?ID=//5DDAEwASwAzADUANgA1ADEAMAA0ADQASQBEAEUAQQA6=&amp;Tipo=2&amp;ST=1&amp;nLang=0</t>
  </si>
  <si>
    <t>https://www.clickideacore.com/ClickHTML5/Visit.aspx?ID=//5CDAEwASwAzADUANgA0ADIAOAA2ADIASQBEAEUAQQA1=&amp;Tipo=2&amp;ST=1&amp;nLang=0</t>
  </si>
  <si>
    <t>https://www.clickideacore.com/ClickHTML5/Visit.aspx?ID=//52DAEwASwAzADUANgA0ADIANQA2ADQASQBEAEUAQQA7=&amp;Tipo=2&amp;ST=1&amp;nLang=0</t>
  </si>
  <si>
    <t>https://www.clickideacore.com/ClickHTML5/Visit.aspx?ID=//58DAEwASwAzADUANgA2ADUAOAA5ADIASQBEAEUAQQA3=&amp;Tipo=2&amp;ST=1&amp;nLang=0</t>
  </si>
  <si>
    <t>https://www.clickideacore.com/ClickHTML5/Visit.aspx?ID=//57DAEwASwAzADUANgA2ADQAMwAyADUASQBEAEUAQQA4=&amp;Tipo=2&amp;ST=1&amp;nLang=0</t>
  </si>
  <si>
    <t>https://www.clickideacore.com/ClickHTML5/Visit.aspx?ID=//53DAEwASwAzADUANgA3ADIAOQAwADYASQBEAEUAQQAB=&amp;Tipo=2&amp;ST=1&amp;nLang=0</t>
  </si>
  <si>
    <t>https://www.clickideacore.com/ClickHTML5/Visit.aspx?ID=//55DAEwASwAzADUANgA2ADQAOQA3ADYASQBEAEUAQQAD=&amp;Tipo=2&amp;ST=1&amp;nLang=0</t>
  </si>
  <si>
    <t>https://www.clickideacore.com/ClickHTML5/Visit.aspx?ID=//52DAEwASwAzADUANgA2ADkANgA5ADQASQBEAEUAQQAA=&amp;Tipo=2&amp;ST=1&amp;nLang=0</t>
  </si>
  <si>
    <t>https://www.clickideacore.com/ClickHTML5/Visit.aspx?ID=//54DAEwASwAzADUANgA3ADEANgAwADAASQBEAEUAQQA2=&amp;Tipo=2&amp;ST=1&amp;nLang=0</t>
  </si>
  <si>
    <t>https://www.clickideacore.com/ClickHTML5/Visit.aspx?ID=//5FDAEwASwAzADUANgA2ADgANgA1ADIASQBEAEUAQQA1=&amp;Tipo=2&amp;ST=1&amp;nLang=0</t>
  </si>
  <si>
    <t>https://www.clickideacore.com/ClickHTML5/Visit.aspx?ID=//52DAEwASwAzADUANgA3ADEAMAA2ADUASQBEAEUAQQAF=&amp;Tipo=2&amp;ST=1&amp;nLang=0</t>
  </si>
  <si>
    <t>https://www.clickideacore.com/ClickHTML5/Visit.aspx?ID=//59DAEwASwAzADUANgA5ADUAOQA1ADQASQBEAEUAQQA1=&amp;Tipo=2&amp;ST=1&amp;nLang=0</t>
  </si>
  <si>
    <t>https://www.clickideacore.com/ClickHTML5/Visit.aspx?ID=//51DAEwASwAzADUANgA3ADIAMQA4ADYASQBEAEUAQQA2=&amp;Tipo=2&amp;ST=1&amp;nLang=0</t>
  </si>
  <si>
    <t>https://www.clickideacore.com/ClickHTML5/Visit.aspx?ID=//5FDAEwASwAzADUANgA3ADMANQAyADgASQBEAEUAQQAB=&amp;Tipo=2&amp;ST=1&amp;nLang=0</t>
  </si>
  <si>
    <t>https://www.clickideacore.com/ClickHTML5/Visit.aspx?ID=//58DAEwASwAzADUANgA2ADMANAA2ADAASQBEAEUAQQAE=&amp;Tipo=2&amp;ST=1&amp;nLang=0</t>
  </si>
  <si>
    <t>https://www.clickideacore.com/ClickHTML5/Visit.aspx?ID=//5EDAEwASwAzADUANgA2ADQANwAxADcASQBEAEUAQQA9=&amp;Tipo=2&amp;ST=1&amp;nLang=0</t>
  </si>
  <si>
    <t>https://www.clickideacore.com/ClickHTML5/Visit.aspx?ID=//5BDAEwASwAzADUANgA1ADkAOAA4ADYASQBEAEUAQQA9=&amp;Tipo=2&amp;ST=1&amp;nLang=0</t>
  </si>
  <si>
    <t>https://www.clickideacore.com/ClickHTML5/Visit.aspx?ID=//5DDAEwASwAzADUANgA4ADcAMAA4ADIASQBEAEUAQQAF=&amp;Tipo=2&amp;ST=1&amp;nLang=0</t>
  </si>
  <si>
    <t>https://www.clickideacore.com/ClickHTML5/Visit.aspx?ID=//5DDAEwASwAzADUANgA4ADUANwA5ADIASQBEAEUAQQAC=&amp;Tipo=2&amp;ST=1&amp;nLang=0</t>
  </si>
  <si>
    <t>https://www.clickideacore.com/ClickHTML5/Visit.aspx?ID=//5FDAEwASwAzADUANgA5ADMANwA2ADEASQBEAEUAQQA6=&amp;Tipo=2&amp;ST=1&amp;nLang=0</t>
  </si>
  <si>
    <t>https://www.clickideacore.com/ClickHTML5/Visit.aspx?ID=//55DAEwASwAzADUANgA5ADQAOQA4ADMASQBEAEUAQQA5=&amp;Tipo=2&amp;ST=1&amp;nLang=0</t>
  </si>
  <si>
    <t>https://www.clickideacore.com/ClickHTML5/Visit.aspx?ID=//5FDAEwASwAzADUANwAwADMAMgA5ADUASQBEAEUAQQAB=&amp;Tipo=2&amp;ST=1&amp;nLang=0</t>
  </si>
  <si>
    <t>https://www.clickideacore.com/ClickHTML5/Visit.aspx?ID=//5ADAEwASwAzADUANwAwADIANwAyADcASQBEAEUAQQAC=&amp;Tipo=2&amp;ST=1&amp;nLang=0</t>
  </si>
  <si>
    <t>https://www.clickideacore.com/ClickHTML5/Visit.aspx?ID=//5ADAEwASwAzADUANwAxADUANAA2ADEASQBEAEUAQQAA=&amp;Tipo=2&amp;ST=1&amp;nLang=0</t>
  </si>
  <si>
    <t>https://www.clickideacore.com/ClickHTML5/Visit.aspx?ID=//51DAEwASwAzADUANwAwADQANgA2ADUASQBEAEUAQQAB=&amp;Tipo=2&amp;ST=1&amp;nLang=0</t>
  </si>
  <si>
    <t>https://www.clickideacore.com/ClickHTML5/Visit.aspx?ID=//5FDAEwASwAzADUANwAxADYANgA1ADEASQBEAEUAQQA6=&amp;Tipo=2&amp;ST=1&amp;nLang=0</t>
  </si>
  <si>
    <t>https://www.clickideacore.com/ClickHTML5/Visit.aspx?ID=//54DAEwASwAzADUANwAxADEAOQA0ADgASQBEAEUAQQAA=&amp;Tipo=2&amp;ST=1&amp;nLang=0</t>
  </si>
  <si>
    <t>https://www.clickideacore.com/ClickHTML5/Visit.aspx?ID=//56DAEwASwAzADUANwAwADQANgA1ADAASQBEAEUAQQA5=&amp;Tipo=2&amp;ST=1&amp;nLang=0</t>
  </si>
  <si>
    <t>https://www.clickideacore.com/ClickHTML5/Visit.aspx?ID=//53DAEwASwAzADUANwAwADUAMwAyADQASQBEAEUAQQAF=&amp;Tipo=2&amp;ST=1&amp;nLang=0</t>
  </si>
  <si>
    <t>https://www.clickideacore.com/ClickHTML5/Visit.aspx?ID=//56DAEwASwAzADUANwAxADEAMgA4ADQASQBEAEUAQQA6=&amp;Tipo=2&amp;ST=1&amp;nLang=0</t>
  </si>
  <si>
    <t>https://www.clickideacore.com/ClickHTML5/Visit.aspx?ID=//5BDAEwASwAzADUANwAxADkAMQA2ADAASQBEAEUAQQA5=&amp;Tipo=2&amp;ST=1&amp;nLang=0</t>
  </si>
  <si>
    <t>https://www.clickideacore.com/ClickHTML5/Visit.aspx?ID=//58DAEwASwAzADUANwAxADcAMgA2ADgASQBEAEUAQQAD=&amp;Tipo=2&amp;ST=1&amp;nLang=0</t>
  </si>
  <si>
    <t>https://www.clickideacore.com/ClickHTML5/Visit.aspx?ID=//55DAEwASwAzADUANwAwADIANwA1ADQASQBEAEUAQQA2=&amp;Tipo=2&amp;ST=1&amp;nLang=0</t>
  </si>
  <si>
    <t>https://www.clickideacore.com/ClickHTML5/Visit.aspx?ID=//5ADAEwASwAzADUANwAwADUANAA3ADYASQBEAEUAQQA6=&amp;Tipo=2&amp;ST=1&amp;nLang=0</t>
  </si>
  <si>
    <t>https://www.clickideacore.com/ClickHTML5/Visit.aspx?ID=//5FDAEwASwAzADUANwAwADUANQA1ADUASQBEAEUAQQAC=&amp;Tipo=2&amp;ST=1&amp;nLang=0</t>
  </si>
  <si>
    <t>https://www.clickideacore.com/ClickHTML5/Visit.aspx?ID=//5ADAEwASwAzADUANwAwADMAMgA3ADIASQBEAEUAQQA7=&amp;Tipo=2&amp;ST=1&amp;nLang=0</t>
  </si>
  <si>
    <t>https://www.clickideacore.com/ClickHTML5/Visit.aspx?ID=//52DAEwASwAzADUANwA0ADAANgA5ADkASQBEAEUAQQA7=&amp;Tipo=2&amp;ST=1&amp;nLang=0</t>
  </si>
  <si>
    <t>https://www.clickideacore.com/ClickHTML5/Visit.aspx?ID=//50DAEwASwAzADUANwAyADkAOQA3ADYASQBEAEUAQQAA=&amp;Tipo=2&amp;ST=1&amp;nLang=0</t>
  </si>
  <si>
    <t>https://www.clickideacore.com/ClickHTML5/Visit.aspx?ID=//50DAEwASwAzADUANwAyADkAOAA0ADEASQBEAEUAQQA2=&amp;Tipo=2&amp;ST=1&amp;nLang=0</t>
  </si>
  <si>
    <t>https://www.clickideacore.com/ClickHTML5/Visit.aspx?ID=//54DAEwASwAzADUANwAyADcANQA2ADgASQBEAEUAQQA7=&amp;Tipo=2&amp;ST=1&amp;nLang=0</t>
  </si>
  <si>
    <t>https://www.clickideacore.com/ClickHTML5/Visit.aspx?ID=//53DAEwASwAzADUANwAyADkANQAxADgASQBEAEUAQQA8=&amp;Tipo=2&amp;ST=1&amp;nLang=0</t>
  </si>
  <si>
    <t>https://www.clickideacore.com/ClickHTML5/Visit.aspx?ID=//52DAEwASwAzADUANwAzADgANAA0ADcASQBEAEUAQQA4=&amp;Tipo=2&amp;ST=1&amp;nLang=0</t>
  </si>
  <si>
    <t>https://www.clickideacore.com/ClickHTML5/Visit.aspx?ID=//50DAEwASwAzADUANwAzADAANgAzADQASQBEAEUAQQA4=&amp;Tipo=2&amp;ST=1&amp;nLang=0</t>
  </si>
  <si>
    <t>https://www.clickideacore.com/ClickHTML5/Visit.aspx?ID=//5BDAEwASwAzADUANwAzADQANgA2ADAASQBEAEUAQQA0=&amp;Tipo=2&amp;ST=1&amp;nLang=0</t>
  </si>
  <si>
    <t>https://www.clickideacore.com/ClickHTML5/Visit.aspx?ID=//54DAEwASwAzADUANwAzADUAMwAwADQASQBEAEUAQQA5=&amp;Tipo=2&amp;ST=1&amp;nLang=0</t>
  </si>
  <si>
    <t>https://www.clickideacore.com/ClickHTML5/Visit.aspx?ID=//52DAEwASwAzADUANwAyADkANgA3ADUASQBEAEUAQQA7=&amp;Tipo=2&amp;ST=1&amp;nLang=0</t>
  </si>
  <si>
    <t>https://www.clickideacore.com/ClickHTML5/Visit.aspx?ID=//54DAEwASwAzADUANwA0ADAAMwA0ADEASQBEAEUAQQA4=&amp;Tipo=2&amp;ST=1&amp;nLang=0</t>
  </si>
  <si>
    <t>https://www.clickideacore.com/ClickHTML5/Visit.aspx?ID=//54DAEwASwAzADUANwA0ADEAMAA5ADcASQBEAEUAQQAE=&amp;Tipo=2&amp;ST=1&amp;nLang=0</t>
  </si>
  <si>
    <t>https://www.clickideacore.com/ClickHTML5/Visit.aspx?ID=//59DAEwASwAzADUANwAzADIAMwA1ADMASQBEAEUAQQA5=&amp;Tipo=2&amp;ST=1&amp;nLang=0</t>
  </si>
  <si>
    <t>Luis Acevedo</t>
  </si>
  <si>
    <t>compensatorio</t>
  </si>
  <si>
    <t>https://www.clickideacore.com/ClickHTML5/Visit.aspx?ID=//50DAEwASwAzADUANwA0ADkANwA5ADcASQBEAEUAQQA7=&amp;Tipo=2&amp;ST=1&amp;nLang=0</t>
  </si>
  <si>
    <t>https://www.clickideacore.com/ClickHTML5/Visit.aspx?ID=//5ADAEwASwAzADUANwA0ADkANAA2ADgASQBEAEUAQQA9=&amp;Tipo=2&amp;ST=1&amp;nLang=0</t>
  </si>
  <si>
    <t>https://www.clickideacore.com/ClickHTML5/Visit.aspx?ID=//52DAEwASwAzADUANwA1ADYAOQAxADUASQBEAEUAQQA1=&amp;Tipo=2&amp;ST=1&amp;nLang=0</t>
  </si>
  <si>
    <t>https://www.clickideacore.com/ClickHTML5/Visit.aspx?ID=//50DAEwASwAzADUANwA2ADEANgAzADAASQBEAEUAQQAB=&amp;Tipo=2&amp;ST=1&amp;nLang=0</t>
  </si>
  <si>
    <t>https://www.clickideacore.com/ClickHTML5/Visit.aspx?ID=//54DAEwASwAzADUANwA1ADgAOAA3ADUASQBEAEUAQQAF=&amp;Tipo=2&amp;ST=1&amp;nLang=0</t>
  </si>
  <si>
    <t>https://www.clickideacore.com/ClickHTML5/Visit.aspx?ID=//5FDAEwASwAzADUANwA1ADQAMQA4ADIASQBEAEUAQQA6=&amp;Tipo=2&amp;ST=1&amp;nLang=0</t>
  </si>
  <si>
    <t>https://www.clickideacore.com/ClickHTML5/Visit.aspx?ID=//59DAEwASwAzADUANwA1ADYAMQA5ADkASQBEAEUAQQA3=&amp;Tipo=2&amp;ST=1&amp;nLang=0</t>
  </si>
  <si>
    <t>https://www.clickideacore.com/ClickHTML5/Visit.aspx?ID=//56DAEwASwAzADUANwA0ADgAOQAwADAASQBEAEUAQQAE=&amp;Tipo=2&amp;ST=1&amp;nLang=0</t>
  </si>
  <si>
    <t>https://www.clickideacore.com/ClickHTML5/Visit.aspx?ID=//52DAEwASwAzADUANwA2ADIAOAAxADQASQBEAEUAQQA4=&amp;Tipo=2&amp;ST=1&amp;nLang=0</t>
  </si>
  <si>
    <t>https://www.clickideacore.com/ClickHTML5/Visit.aspx?ID=//57DAEwASwAzADUANwA1ADYAOAAzADkASQBEAEUAQQAB=&amp;Tipo=2&amp;ST=1&amp;nLang=0</t>
  </si>
  <si>
    <t>https://www.clickideacore.com/ClickHTML5/Visit.aspx?ID=//5DDAEwASwAzADUANwA2ADMANAAwADcASQBEAEUAQQA3=&amp;Tipo=2&amp;ST=1&amp;nLang=0</t>
  </si>
  <si>
    <t>https://www.clickideacore.com/ClickHTML5/Visit.aspx?ID=//5BDAEwASwAzADUANwA1ADMAMwA2ADcASQBEAEUAQQA4=&amp;Tipo=2&amp;ST=1&amp;nLang=0</t>
  </si>
  <si>
    <t>https://www.clickideacore.com/ClickHTML5/Visit.aspx?ID=//5ADAEwASwAzADUANwA1ADEAOQA4ADYASQBEAEUAQQAB=&amp;Tipo=2&amp;ST=1&amp;nLang=0</t>
  </si>
  <si>
    <t>https://www.clickideacore.com/ClickHTML5/Visit.aspx?ID=//5BDAEwASwAzADUANwA0ADcAMQA5ADMASQBEAEUAQQA3=&amp;Tipo=2&amp;ST=1&amp;nLang=0</t>
  </si>
  <si>
    <t>https://www.clickideacore.com/ClickHTML5/Visit.aspx?ID=//58DAEwASwAzADUANwA3ADIAMwA4ADYASQBEAEUAQQAE=&amp;Tipo=2&amp;ST=1&amp;nLang=0</t>
  </si>
  <si>
    <t>https://www.clickideacore.com/ClickHTML5/Visit.aspx?ID=//57DAEwASwAzADUANwA3ADYAMgA2ADMASQBEAEUAQQAC=&amp;Tipo=2&amp;ST=1&amp;nLang=0</t>
  </si>
  <si>
    <t>https://www.clickideacore.com/ClickHTML5/Visit.aspx?ID=//50DAEwASwAzADUANwA4ADMAMwA2ADIASQBEAEUAQQAC=&amp;Tipo=2&amp;ST=1&amp;nLang=0</t>
  </si>
  <si>
    <t>https://www.clickideacore.com/ClickHTML5/Visit.aspx?ID=//50DAEwASwAzADUANwA3ADcANQA4ADQASQBEAEUAQQA2=&amp;Tipo=2&amp;ST=1&amp;nLang=0</t>
  </si>
  <si>
    <t>https://www.clickideacore.com/ClickHTML5/Visit.aspx?ID=//51DAEwASwAzADUANwA3ADgAOQAzADIASQBEAEUAQQA2=&amp;Tipo=2&amp;ST=1&amp;nLang=0</t>
  </si>
  <si>
    <t>https://www.clickideacore.com/ClickHTML5/Visit.aspx?ID=//56DAEwASwAzADUANwA2ADUAMwA1ADEASQBEAEUAQQA2=&amp;Tipo=2&amp;ST=1&amp;nLang=0</t>
  </si>
  <si>
    <t>https://www.clickideacore.com/ClickHTML5/Visit.aspx?ID=//5FDAEwASwAzADUANwA3ADEAMwA3ADUASQBEAEUAQQA8=&amp;Tipo=2&amp;ST=1&amp;nLang=0</t>
  </si>
  <si>
    <t>https://www.clickideacore.com/ClickHTML5/Visit.aspx?ID=//58DAEwASwAzADUANwA3ADgAMgAwADQASQBEAEUAQQA0=&amp;Tipo=2&amp;ST=1&amp;nLang=0</t>
  </si>
  <si>
    <t>https://www.clickideacore.com/ClickHTML5/Visit.aspx?ID=//53DAEwASwAzADUANwA4ADEANwA2ADgASQBEAEUAQQAC=&amp;Tipo=2&amp;ST=1&amp;nLang=0</t>
  </si>
  <si>
    <t>https://www.clickideacore.com/ClickHTML5/Visit.aspx?ID=//55DAEwASwAzADUANwA3ADQANQAxADUASQBEAEUAQQA5=&amp;Tipo=2&amp;ST=1&amp;nLang=0</t>
  </si>
  <si>
    <t>https://www.clickideacore.com/ClickHTML5/Visit.aspx?ID=//5BDAEwASwAzADUANwA4ADMAOQA1ADMASQBEAEUAQQA2=&amp;Tipo=2&amp;ST=1&amp;nLang=0</t>
  </si>
  <si>
    <t>https://www.clickideacore.com/ClickHTML5/Visit.aspx?ID=//58DAEwASwAzADUANwA4ADAAMwA4ADIASQBEAEUAQQA0=&amp;Tipo=2&amp;ST=1&amp;nLang=0</t>
  </si>
  <si>
    <t>https://www.clickideacore.com/ClickHTML5/Visit.aspx?ID=//5BDAEwASwAzADUANwA4ADUAMgAxADEASQBEAEUAQQA3=&amp;Tipo=2&amp;ST=1&amp;nLang=0</t>
  </si>
  <si>
    <t>https://www.clickideacore.com/ClickHTML5/Visit.aspx?ID=//52DAEwASwAzADUANwA3ADUANQA4ADYASQBEAEUAQQA4=&amp;Tipo=2&amp;ST=1&amp;nLang=0</t>
  </si>
  <si>
    <t>https://www.clickideacore.com/ClickHTML5/Visit.aspx?ID=//51DAEwASwAzADUANwA3ADUAOQA1ADgASQBEAEUAQQA5=&amp;Tipo=2&amp;ST=1&amp;nLang=0</t>
  </si>
  <si>
    <t>Boris Lopez</t>
  </si>
  <si>
    <t>OP-S-007</t>
  </si>
  <si>
    <t>OP-S-008</t>
  </si>
  <si>
    <t>https://www.clickideacore.com/ClickHTML5/Visit.aspx?ID=//54DAEwASwAzADUANwA5ADkANwAwADAASQBEAEUAQQA8=&amp;Tipo=2&amp;ST=1&amp;nLang=0</t>
  </si>
  <si>
    <t>https://www.clickideacore.com/ClickHTML5/Visit.aspx?ID=//59DAEwASwAzADUANwA5ADgANQAxADQASQBEAEUAQQA3=&amp;Tipo=2&amp;ST=1&amp;nLang=0</t>
  </si>
  <si>
    <t>https://www.clickideacore.com/ClickHTML5/Visit.aspx?ID=//5EDAEwASwAzADUAOAAwADMANQAyADAASQBEAEUAQQA1=&amp;Tipo=2&amp;ST=1&amp;nLang=0</t>
  </si>
  <si>
    <t>https://www.clickideacore.com/ClickHTML5/Visit.aspx?ID=//5ADAEwASwAzADUANwA5ADkAMwAwADMASQBEAEUAQQAC=&amp;Tipo=2&amp;ST=1&amp;nLang=0</t>
  </si>
  <si>
    <t>https://www.clickideacore.com/ClickHTML5/Visit.aspx?ID=//51DAEwASwAzADUAOAAwADAAOQA4ADgASQBEAEUAQQA4=&amp;Tipo=2&amp;ST=1&amp;nLang=0</t>
  </si>
  <si>
    <t>https://www.clickideacore.com/ClickHTML5/Visit.aspx?ID=//59DAEwASwAzADUAOAAwADMAMwAyADkASQBEAEUAQQAD=&amp;Tipo=2&amp;ST=1&amp;nLang=0</t>
  </si>
  <si>
    <t>https://www.clickideacore.com/ClickHTML5/Visit.aspx?ID=//59DAEwASwAzADUANwA5ADYAMAA4ADYASQBEAEUAQQA8=&amp;Tipo=2&amp;ST=1&amp;nLang=0</t>
  </si>
  <si>
    <t>https://www.clickideacore.com/ClickHTML5/Visit.aspx?ID=//5EDAEwASwAzADUAOAAwADAAMgAzADQASQBEAEUAQQAE=&amp;Tipo=2&amp;ST=1&amp;nLang=0</t>
  </si>
  <si>
    <t>https://www.clickideacore.com/ClickHTML5/Visit.aspx?ID=//51DAEwASwAzADUAOAAwADYAOQA5ADAASQBEAEUAQQA6=&amp;Tipo=2&amp;ST=1&amp;nLang=0</t>
  </si>
  <si>
    <t>https://www.clickideacore.com/ClickHTML5/Visit.aspx?ID=//53DAEwASwAzADUANwA5ADcAOAA2ADkASQBEAEUAQQA2=&amp;Tipo=2&amp;ST=1&amp;nLang=0</t>
  </si>
  <si>
    <t>https://www.clickideacore.com/ClickHTML5/Visit.aspx?ID=//58DAEwASwAzADUANwA5ADUANQA1ADAASQBEAEUAQQA9=&amp;Tipo=2&amp;ST=1&amp;nLang=0</t>
  </si>
  <si>
    <t>https://www.clickideacore.com/ClickHTML5/Visit.aspx?ID=//57DAEwASwAzADUANwA5ADMAMgAwADMASQBEAEUAQQAE=&amp;Tipo=2&amp;ST=1&amp;nLang=0</t>
  </si>
  <si>
    <t>https://www.clickideacore.com/ClickHTML5/Visit.aspx?ID=//51DAEwASwAzADUAOAAxADgANgAyADMASQBEAEUAQQAC=&amp;Tipo=2&amp;ST=1&amp;nLang=0</t>
  </si>
  <si>
    <t>https://www.clickideacore.com/ClickHTML5/Visit.aspx?ID=//56DAEwASwAzADUAOAAxADkANAAwADYASQBEAEUAQQA5=&amp;Tipo=2&amp;ST=1&amp;nLang=0</t>
  </si>
  <si>
    <t>https://www.clickideacore.com/ClickHTML5/Visit.aspx?ID=//53DAEwASwAzADUAOAAyADcAOQAxADMASQBEAEUAQQA9=&amp;Tipo=2&amp;ST=1&amp;nLang=0</t>
  </si>
  <si>
    <t>https://www.clickideacore.com/ClickHTML5/Visit.aspx?ID=//56DAEwASwAzADUAOAAyADcANAAxADMASQBEAEUAQQAD=&amp;Tipo=2&amp;ST=1&amp;nLang=0</t>
  </si>
  <si>
    <t>https://www.clickideacore.com/ClickHTML5/Visit.aspx?ID=//5BDAEwASwAzADUAOAA0ADYANwA3ADMASQBEAEUAQQA5=&amp;Tipo=2&amp;ST=1&amp;nLang=0</t>
  </si>
  <si>
    <t>https://www.clickideacore.com/ClickHTML5/Visit.aspx?ID=//53DAEwASwAzADUAOAA0ADEAMwAxADQASQBEAEUAQQA9=&amp;Tipo=2&amp;ST=1&amp;nLang=0</t>
  </si>
  <si>
    <t>https://www.clickideacore.com/ClickHTML5/Visit.aspx?ID=//58DAEwASwAzADUAOAAzADUANAA4ADIASQBEAEUAQQA6=&amp;Tipo=2&amp;ST=1&amp;nLang=0</t>
  </si>
  <si>
    <t>https://www.clickideacore.com/ClickHTML5/Visit.aspx?ID=//51DAEwASwAzADUAOAA0ADEANAAyADMASQBEAEUAQQA7=&amp;Tipo=2&amp;ST=1&amp;nLang=0</t>
  </si>
  <si>
    <t>https://www.clickideacore.com/ClickHTML5/Visit.aspx?ID=//59DAEwASwAzADUAOAA0ADUANAA4ADQASQBEAEUAQQA4=&amp;Tipo=2&amp;ST=1&amp;nLang=0</t>
  </si>
  <si>
    <t>https://www.clickideacore.com/ClickHTML5/Visit.aspx?ID=//57DAEwASwAzADUAOAA0ADEANAAyADIASQBEAEUAQQA4=&amp;Tipo=2&amp;ST=1&amp;nLang=0</t>
  </si>
  <si>
    <t>https://www.clickideacore.com/ClickHTML5/Visit.aspx?ID=//57DAEwASwAzADUAOAA0ADIAMQAxADAASQBEAEUAQQA9=&amp;Tipo=2&amp;ST=1&amp;nLang=0</t>
  </si>
  <si>
    <t>https://www.clickideacore.com/ClickHTML5/Visit.aspx?ID=//5BDAEwASwAzADUAOAA0ADEAOQA1ADkASQBEAEUAQQAC=&amp;Tipo=2&amp;ST=1&amp;nLang=0</t>
  </si>
  <si>
    <t>https://www.clickideacore.com/ClickHTML5/Visit.aspx?ID=//5CDAEwASwAzADUAOAA0ADIANwA0ADEASQBEAEUAQQA2=&amp;Tipo=2&amp;ST=1&amp;nLang=0</t>
  </si>
  <si>
    <t>https://www.clickideacore.com/ClickHTML5/Visit.aspx?ID=//53DAEwASwAzADUAOAAzADcAMgA1ADMASQBEAEUAQQAD=&amp;Tipo=2&amp;ST=1&amp;nLang=0</t>
  </si>
  <si>
    <t>https://www.clickideacore.com/ClickHTML5/Visit.aspx?ID=//56DAEwASwAzADUAOAA1ADAANAA5ADMASQBEAEUAQQA3=&amp;Tipo=2&amp;ST=1&amp;nLang=0</t>
  </si>
  <si>
    <t>https://www.clickideacore.com/ClickHTML5/Visit.aspx?ID=//53DAEwASwAzADUAOAA0ADEANgAxADMASQBEAEUAQQAC=&amp;Tipo=2&amp;ST=1&amp;nLang=0</t>
  </si>
  <si>
    <t>https://www.clickideacore.com/ClickHTML5/Visit.aspx?ID=//5CDAEwASwAzADUAOAA1ADEAMwAyADMASQBEAEUAQQA9=&amp;Tipo=2&amp;ST=1&amp;nLang=0</t>
  </si>
  <si>
    <t>https://www.clickideacore.com/ClickHTML5/Visit.aspx?ID=//5DDAEwASwAzADUAOAAzADkANgA5ADQASQBEAEUAQQA7=&amp;Tipo=2&amp;ST=1&amp;nLang=0</t>
  </si>
  <si>
    <t>https://www.clickideacore.com/ClickHTML5/Visit.aspx?ID=//5FDAEwASwAzADUAOAA0ADEAMAA0ADYASQBEAEUAQQA3=&amp;Tipo=2&amp;ST=1&amp;nLang=0</t>
  </si>
  <si>
    <t>https://www.clickideacore.com/ClickHTML5/Visit.aspx?ID=//5BDAEwASwAzADUAOAAzADUANQAxADEASQBEAEUAQQAF=&amp;Tipo=2&amp;ST=1&amp;nLang=0</t>
  </si>
  <si>
    <t>https://www.clickideacore.com/ClickHTML5/Visit.aspx?ID=//5EDAEwASwAzADUAOAA3ADYAMwA1ADQASQBEAEUAQQA0=&amp;Tipo=2&amp;ST=1&amp;nLang=0</t>
  </si>
  <si>
    <t>https://www.clickideacore.com/ClickHTML5/Visit.aspx?ID=//55DAEwASwAzADUAOAA2ADMANQAxADYASQBEAEUAQQA1=&amp;Tipo=2&amp;ST=1&amp;nLang=0</t>
  </si>
  <si>
    <t>https://www.clickideacore.com/ClickHTML5/Visit.aspx?ID=//5EDAEwASwAzADUAOAA2ADEANAA1ADQASQBEAEUAQQAD=&amp;Tipo=2&amp;ST=1&amp;nLang=0</t>
  </si>
  <si>
    <t>https://www.clickideacore.com/ClickHTML5/Visit.aspx?ID=//5EDAEwASwAzADUAOAA2ADEAMQA2ADMASQBEAEUAQQAC=&amp;Tipo=2&amp;ST=1&amp;nLang=0</t>
  </si>
  <si>
    <t>https://www.clickideacore.com/ClickHTML5/Visit.aspx?ID=//5ADAEwASwAzADUAOAA2ADUANgAxADAASQBEAEUAQQA8=&amp;Tipo=2&amp;ST=1&amp;nLang=0</t>
  </si>
  <si>
    <t>https://www.clickideacore.com/ClickHTML5/Visit.aspx?ID=//5EDAEwASwAzADUAOAA2ADMAOQAyADIASQBEAEUAQQA1=&amp;Tipo=2&amp;ST=1&amp;nLang=0</t>
  </si>
  <si>
    <t>https://www.clickideacore.com/ClickHTML5/Visit.aspx?ID=//53DAEwASwAzADUAOAA2ADUAOAA2ADUASQBEAEUAQQAF=&amp;Tipo=2&amp;ST=1&amp;nLang=0</t>
  </si>
  <si>
    <t>https://www.clickideacore.com/ClickHTML5/Visit.aspx?ID=//58DAEwASwAzADUAOAA2ADkANAAxADcASQBEAEUAQQA1=&amp;Tipo=2&amp;ST=1&amp;nLang=0</t>
  </si>
  <si>
    <t>https://www.clickideacore.com/ClickHTML5/Visit.aspx?ID=//55DAEwASwAzADUAOAA2ADMANAA2ADQASQBEAEUAQQA3=&amp;Tipo=2&amp;ST=1&amp;nLang=0</t>
  </si>
  <si>
    <t>https://www.clickideacore.com/ClickHTML5/Visit.aspx?ID=//54DAEwASwAzADUAOAA3ADYAMQA4ADQASQBEAEUAQQAA=&amp;Tipo=2&amp;ST=1&amp;nLang=0</t>
  </si>
  <si>
    <t>https://www.clickideacore.com/ClickHTML5/Visit.aspx?ID=//56DAEwASwAzADUAOAA3ADYANQA4ADQASQBEAEUAQQAB=&amp;Tipo=2&amp;ST=1&amp;nLang=0</t>
  </si>
  <si>
    <t>https://www.clickideacore.com/ClickHTML5/Visit.aspx?ID=//57DAEwASwAzADUAOAA2ADUANgA1ADkASQBEAEUAQQAF=&amp;Tipo=2&amp;ST=1&amp;nLang=0</t>
  </si>
  <si>
    <t>https://www.clickideacore.com/ClickHTML5/Visit.aspx?ID=//53DAEwASwAzADUAOAA1ADYANwA5ADYASQBEAEUAQQA2=&amp;Tipo=2&amp;ST=1&amp;nLang=0</t>
  </si>
  <si>
    <t>despacho</t>
  </si>
  <si>
    <t>Alexander</t>
  </si>
  <si>
    <t>https://www.clickideacore.com/ClickHTML5/Visit.aspx?ID=//5EDAEwASwAzADUAOAA5ADkAMwA4ADQASQBEAEUAQQAC=&amp;Tipo=2&amp;ST=1&amp;nLang=0</t>
  </si>
  <si>
    <t>https://www.clickideacore.com/ClickHTML5/Visit.aspx?ID=//58DAEwASwAzADUAOAA4ADMAMwAyADMASQBEAEUAQQAF=&amp;Tipo=2&amp;ST=1&amp;nLang=0</t>
  </si>
  <si>
    <t>https://www.clickideacore.com/ClickHTML5/Visit.aspx?ID=//5ADAEwASwAzADUAOAA4ADEANQA4ADQASQBEAEUAQQA8=&amp;Tipo=2&amp;ST=1&amp;nLang=0</t>
  </si>
  <si>
    <t>https://www.clickideacore.com/ClickHTML5/Visit.aspx?ID=//5DDAEwASwAzADUAOAA5ADAAMgAxADYASQBEAEUAQQAE=&amp;Tipo=2&amp;ST=1&amp;nLang=0</t>
  </si>
  <si>
    <t>https://www.clickideacore.com/ClickHTML5/Visit.aspx?ID=//50DAEwASwAzADUAOAA5ADEAMgAxADYASQBEAEUAQQAB=&amp;Tipo=2&amp;ST=1&amp;nLang=0</t>
  </si>
  <si>
    <t>https://www.clickideacore.com/ClickHTML5/Visit.aspx?ID=//51DAEwASwAzADUAOAA5ADMAMAAxADcASQBEAEUAQQA4=&amp;Tipo=2&amp;ST=1&amp;nLang=0</t>
  </si>
  <si>
    <t>https://www.clickideacore.com/ClickHTML5/Visit.aspx?ID=//50DAEwASwAzADUAOAA5ADkAMgA0ADYASQBEAEUAQQAF=&amp;Tipo=2&amp;ST=1&amp;nLang=0</t>
  </si>
  <si>
    <t>https://www.clickideacore.com/ClickHTML5/Visit.aspx?ID=//54DAEwASwAzADUAOAA4ADMAMwAyADAASQBEAEUAQQAC=&amp;Tipo=2&amp;ST=1&amp;nLang=0</t>
  </si>
  <si>
    <t>https://www.clickideacore.com/ClickHTML5/Visit.aspx?ID=//5FDAEwASwAzADUAOAA5ADAANgA0ADEASQBEAEUAQQA9=&amp;Tipo=2&amp;ST=1&amp;nLang=0</t>
  </si>
  <si>
    <t>https://www.clickideacore.com/ClickHTML5/Visit.aspx?ID=//58DAEwASwAzADUAOAA5ADcAMwA5ADgASQBEAEUAQQA5=&amp;Tipo=2&amp;ST=1&amp;nLang=0</t>
  </si>
  <si>
    <t>https://www.clickideacore.com/ClickHTML5/Visit.aspx?ID=//59DAEwASwAzADUAOAA4ADkAMgA4ADkASQBEAEUAQQA8=&amp;Tipo=2&amp;ST=1&amp;nLang=0</t>
  </si>
  <si>
    <t>https://www.clickideacore.com/ClickHTML5/Visit.aspx?ID=//50DAEwASwAzADUAOQA3ADgAMgA0ADQASQBEAEUAQQAD=&amp;Tipo=2&amp;ST=1&amp;nLang=0</t>
  </si>
  <si>
    <t>https://www.clickideacore.com/ClickHTML5/Visit.aspx?ID=//59DAEwASwAzADUAOQA3ADcAMQA2ADAASQBEAEUAQQA7=&amp;Tipo=2&amp;ST=1&amp;nLang=0</t>
  </si>
  <si>
    <t>https://www.clickideacore.com/ClickHTML5/Visit.aspx?ID=//55DAEwASwAzADUAOQA4ADAAOQAxADIASQBEAEUAQQA4=&amp;Tipo=2&amp;ST=1&amp;nLang=0</t>
  </si>
  <si>
    <t>https://www.clickideacore.com/ClickHTML5/Visit.aspx?ID=//54DAEwASwAzADUAOQA4ADYAMwA2ADEASQBEAEUAQQA9=&amp;Tipo=2&amp;ST=1&amp;nLang=0</t>
  </si>
  <si>
    <t>https://www.clickideacore.com/ClickHTML5/Visit.aspx?ID=//53DAEwASwAzADUAOQA4ADAAMAAxADYASQBEAEUAQQA4=&amp;Tipo=2&amp;ST=1&amp;nLang=0</t>
  </si>
  <si>
    <t>https://www.clickideacore.com/ClickHTML5/Visit.aspx?ID=//5EDAEwASwAzADUAOQA3ADYAOAA0ADkASQBEAEUAQQAD=&amp;Tipo=2&amp;ST=1&amp;nLang=0</t>
  </si>
  <si>
    <t>https://www.clickideacore.com/ClickHTML5/Visit.aspx?ID=//5BDAEwASwAzADUAOQA4ADgAMAA3ADUASQBEAEUAQQA6=&amp;Tipo=2&amp;ST=1&amp;nLang=0</t>
  </si>
  <si>
    <t>https://www.clickideacore.com/ClickHTML5/Visit.aspx?ID=//5CDAEwASwAzADUAOQA4ADAAMgA1ADYASQBEAEUAQQA4=&amp;Tipo=2&amp;ST=1&amp;nLang=0</t>
  </si>
  <si>
    <t>https://www.clickideacore.com/ClickHTML5/Visit.aspx?ID=//50DAEwASwAzADUAOQA4ADYANgAyADcASQBEAEUAQQA1=&amp;Tipo=2&amp;ST=1&amp;nLang=0</t>
  </si>
  <si>
    <t>https://www.clickideacore.com/ClickHTML5/Visit.aspx?ID=//52DAEwASwAzADUAOQA4ADYAOQA0ADkASQBEAEUAQQA5=&amp;Tipo=2&amp;ST=1&amp;nLang=0</t>
  </si>
  <si>
    <t>https://www.clickideacore.com/ClickHTML5/Visit.aspx?ID=//52DAEwASwAzADUAOQA3ADYAOQAwADMASQBEAEUAQQA7=&amp;Tipo=2&amp;ST=1&amp;nLang=0</t>
  </si>
  <si>
    <t>01-ago</t>
  </si>
  <si>
    <t>02-ago</t>
  </si>
  <si>
    <t>03-ago</t>
  </si>
  <si>
    <t>04-ago</t>
  </si>
  <si>
    <t>05-ago</t>
  </si>
  <si>
    <t>06-ago</t>
  </si>
  <si>
    <t>07-ago</t>
  </si>
  <si>
    <t>08-ago</t>
  </si>
  <si>
    <t>09-ago</t>
  </si>
  <si>
    <t>09-sept</t>
  </si>
  <si>
    <t>10-sept</t>
  </si>
  <si>
    <t>11-sept</t>
  </si>
  <si>
    <t>22-ago</t>
  </si>
  <si>
    <t>25-ago</t>
  </si>
  <si>
    <t>26-ago</t>
  </si>
  <si>
    <t>27-ago</t>
  </si>
  <si>
    <t>28-ago</t>
  </si>
  <si>
    <t>29-ago</t>
  </si>
  <si>
    <t>01-sept</t>
  </si>
  <si>
    <t>02-sept</t>
  </si>
  <si>
    <t>03-sept</t>
  </si>
  <si>
    <t>04-sept</t>
  </si>
  <si>
    <t>05-sept</t>
  </si>
  <si>
    <t>08-sept</t>
  </si>
  <si>
    <t>12-sept</t>
  </si>
  <si>
    <t>13-sept</t>
  </si>
  <si>
    <t>15-sept</t>
  </si>
  <si>
    <t>16-sept</t>
  </si>
  <si>
    <t>17-sept</t>
  </si>
  <si>
    <t>sin producción</t>
  </si>
  <si>
    <t>https://www.clickideacore.com/ClickHTML5/Visit.aspx?ID=//5ADAEwASwAzADYAMAAwADkAOAAyADAASQBEAEUAQQA3=&amp;Tipo=2&amp;ST=1&amp;nLang=0</t>
  </si>
  <si>
    <t>https://www.clickideacore.com/ClickHTML5/Visit.aspx?ID=//5DDAEwASwAzADYAMAAwADAANAAwADYASQBEAEUAQQA0=&amp;Tipo=2&amp;ST=1&amp;nLang=0</t>
  </si>
  <si>
    <t>https://www.clickideacore.com/ClickHTML5/Visit.aspx?ID=//54DAEwASwAzADUAOQA5ADcANQA1ADMASQBEAEUAQQA8=&amp;Tipo=2&amp;ST=1&amp;nLang=0</t>
  </si>
  <si>
    <t>https://www.clickideacore.com/ClickHTML5/Visit.aspx?ID=//52DAEwASwAzADYAMAAwADEANwAxADkASQBEAEUAQQAD=&amp;Tipo=2&amp;ST=1&amp;nLang=0</t>
  </si>
  <si>
    <t>https://www.clickideacore.com/ClickHTML5/Visit.aspx?ID=//53DAEwASwAzADUAOQA5ADYAOAA4ADYASQBEAEUAQQAB=&amp;Tipo=2&amp;ST=1&amp;nLang=0</t>
  </si>
  <si>
    <t>Julio Sanhueza</t>
  </si>
  <si>
    <t>OP-R-002</t>
  </si>
  <si>
    <t>https://www.clickideacore.com/ClickHTML5/Visit.aspx?ID=//50DAEwASwAzADUAOQA5ADYAMQAzADMASQBEAEUAQQA2=&amp;Tipo=2&amp;ST=1&amp;nLang=0</t>
  </si>
  <si>
    <t>https://www.clickideacore.com/ClickHTML5/Visit.aspx?ID=//5ADAEwASwAzADYAMAAwADgAMQA5ADIASQBEAEUAQQAD=&amp;Tipo=2&amp;ST=1&amp;nLang=0</t>
  </si>
  <si>
    <t>https://www.clickideacore.com/ClickHTML5/Visit.aspx?ID=//5BDAEwASwAzADYAMAAwADkAMwA5ADUASQBEAEUAQQA9=&amp;Tipo=2&amp;ST=1&amp;nLang=0</t>
  </si>
  <si>
    <t>https://www.clickideacore.com/ClickHTML5/Visit.aspx?ID=//5CDAEwASwAzADUAOQA5ADYANgAxADEASQBEAEUAQQA0=&amp;Tipo=2&amp;ST=1&amp;nLang=0</t>
  </si>
  <si>
    <t>https://www.clickideacore.com/ClickHTML5/Visit.aspx?ID=//50DAEwASwAzADYAMAAwADkAMQA4ADUASQBEAEUAQQAA=&amp;Tipo=2&amp;ST=1&amp;nLang=0</t>
  </si>
  <si>
    <t>https://www.clickideacore.com/ClickHTML5/Visit.aspx?ID=//51DAEwASwAzADYAMAAwADUAMAA2ADUASQBEAEUAQQAD=&amp;Tipo=2&amp;ST=1&amp;nLang=0</t>
  </si>
  <si>
    <t>https://www.clickideacore.com/ClickHTML5/Visit.aspx?ID=//5EDAEwASwAzADYAMAAxADAAMwA3ADIASQBEAEUAQQA8=&amp;Tipo=2&amp;ST=1&amp;nLang=0</t>
  </si>
  <si>
    <t>https://www.clickideacore.com/ClickHTML5/Visit.aspx?ID=//57DAEwASwAzADYAMAAwADkANwA1ADgASQBEAEUAQQA3=&amp;Tipo=2&amp;ST=1&amp;nLang=0</t>
  </si>
  <si>
    <t>https://www.clickideacore.com/ClickHTML5/Visit.aspx?ID=//5CDAEwASwAzADUAOQA5ADIAMQAxADMASQBEAEUAQQA8=&amp;Tipo=2&amp;ST=1&amp;nLang=0</t>
  </si>
  <si>
    <t>compesatorio</t>
  </si>
  <si>
    <t>https://www.clickideacore.com/ClickHTML5/Visit.aspx?ID=//57DAEwASwAzADYAMAAxADgANQA1ADMASQBEAEUAQQAD=&amp;Tipo=2&amp;ST=1&amp;nLang=0</t>
  </si>
  <si>
    <t>https://www.clickideacore.com/ClickHTML5/Visit.aspx?ID=//5DDAEwASwAzADYAMAAxADgANAA5ADAASQBEAEUAQQAC=&amp;Tipo=2&amp;ST=1&amp;nLang=0</t>
  </si>
  <si>
    <t>https://www.clickideacore.com/ClickHTML5/Visit.aspx?ID=//54DAEwASwAzADYAMAAyADUAOQA1ADcASQBEAEUAQQA8=&amp;Tipo=2&amp;ST=1&amp;nLang=0</t>
  </si>
  <si>
    <t>https://www.clickideacore.com/ClickHTML5/Visit.aspx?ID=//50DAEwASwAzADYAMAAyADYANgAwADUASQBEAEUAQQAF=&amp;Tipo=2&amp;ST=1&amp;nLang=0</t>
  </si>
  <si>
    <t>https://www.clickideacore.com/ClickHTML5/Visit.aspx?ID=//5ADAEwASwAzADYAMAAyADcAMQA0ADAASQBEAEUAQQA8=&amp;Tipo=2&amp;ST=1&amp;nLang=0</t>
  </si>
  <si>
    <t>https://www.clickideacore.com/ClickHTML5/Visit.aspx?ID=//54DAEwASwAzADYAMAAyADQAMQA3ADEASQBEAEUAQQA5=&amp;Tipo=2&amp;ST=1&amp;nLang=0</t>
  </si>
  <si>
    <t>https://www.clickideacore.com/ClickHTML5/Visit.aspx?ID=//51DAEwASwAzADYAMAAyADMANAAzADgASQBEAEUAQQAE=&amp;Tipo=2&amp;ST=1&amp;nLang=0</t>
  </si>
  <si>
    <t>https://www.clickideacore.com/ClickHTML5/Visit.aspx?ID=//54DAEwASwAzADYAMAAyADEANQAxADkASQBEAEUAQQAA=&amp;Tipo=2&amp;ST=1&amp;nLang=0</t>
  </si>
  <si>
    <t>https://www.clickideacore.com/ClickHTML5/Visit.aspx?ID=//5ADAEwASwAzADYAMAAyADQANAA3ADQASQBEAEUAQQA4=&amp;Tipo=2&amp;ST=1&amp;nLang=0</t>
  </si>
  <si>
    <t>https://www.clickideacore.com/ClickHTML5/Visit.aspx?ID=//59DAEwASwAzADYAMAAxADcAMAA3ADAASQBEAEUAQQA6=&amp;Tipo=2&amp;ST=1&amp;nLang=0</t>
  </si>
  <si>
    <t>https://www.clickideacore.com/ClickHTML5/Visit.aspx?ID=//50DAEwASwAzADYAMAAzADEAOAA0ADMASQBEAEUAQQA4=&amp;Tipo=2&amp;ST=1&amp;nLang=0</t>
  </si>
  <si>
    <t>https://www.clickideacore.com/ClickHTML5/Visit.aspx?ID=//58DAEwASwAzADYAMAAyADgANAA3ADYASQBEAEUAQQAF=&amp;Tipo=2&amp;ST=1&amp;nLang=0</t>
  </si>
  <si>
    <t>https://www.clickideacore.com/ClickHTML5/Visit.aspx?ID=//54DAEwASwAzADYAMAAzADIANQA1ADAASQBEAEUAQQA4=&amp;Tipo=2&amp;ST=1&amp;nLang=0</t>
  </si>
  <si>
    <t>https://www.clickideacore.com/ClickHTML5/Visit.aspx?ID=//5EDAEwASwAzADYAMAAyADEANQAxADcASQBEAEUAQQA7=&amp;Tipo=2&amp;ST=1&amp;nLang=0</t>
  </si>
  <si>
    <t>https://www.clickideacore.com/ClickHTML5/Visit.aspx?ID=//5FDAEwASwAzADYAMAAxADYAOAAyADIASQBEAEUAQQAC=&amp;Tipo=2&amp;ST=1&amp;nLang=0</t>
  </si>
  <si>
    <t>Byron López</t>
  </si>
  <si>
    <t>https://www.clickideacore.com/ClickHTML5/Visit.aspx?ID=//5EDAEwASwAzADYAMAA1ADMAOAAxADYASQBEAEUAQQA6=&amp;Tipo=2&amp;ST=1&amp;nLang=0</t>
  </si>
  <si>
    <t>https://www.clickideacore.com/ClickHTML5/Visit.aspx?ID=//5EDAEwASwAzADYAMAA0ADIAMQA2ADEASQBEAEUAQQA5=&amp;Tipo=2&amp;ST=1&amp;nLang=0</t>
  </si>
  <si>
    <t>https://www.clickideacore.com/ClickHTML5/Visit.aspx?ID=//54DAEwASwAzADYAMAA0ADIAOQAyADgASQBEAEUAQQA5=&amp;Tipo=2&amp;ST=1&amp;nLang=0</t>
  </si>
  <si>
    <t>https://www.clickideacore.com/ClickHTML5/Visit.aspx?ID=//5DDAEwASwAzADYAMAA0ADMAOAA3ADYASQBEAEUAQQA3=&amp;Tipo=2&amp;ST=1&amp;nLang=0</t>
  </si>
  <si>
    <t>https://www.clickideacore.com/ClickHTML5/Visit.aspx?ID=//50DAEwASwAzADYAMAA0ADkANgA0ADYASQBEAEUAQQA2=&amp;Tipo=2&amp;ST=1&amp;nLang=0</t>
  </si>
  <si>
    <t>https://www.clickideacore.com/ClickHTML5/Visit.aspx?ID=//58DAEwASwAzADYAMAA0ADcANgAzADEASQBEAEUAQQAE=&amp;Tipo=2&amp;ST=1&amp;nLang=0</t>
  </si>
  <si>
    <t>https://www.clickideacore.com/ClickHTML5/Visit.aspx?ID=//55DAEwASwAzADYAMAA0ADQANwA1ADgASQBEAEUAQQA8=&amp;Tipo=2&amp;ST=1&amp;nLang=0</t>
  </si>
  <si>
    <t>https://www.clickideacore.com/ClickHTML5/Visit.aspx?ID=//54DAEwASwAzADYAMAA0ADIAMAA3ADYASQBEAEUAQQAC=&amp;Tipo=2&amp;ST=1&amp;nLang=0</t>
  </si>
  <si>
    <t>https://www.clickideacore.com/ClickHTML5/Visit.aspx?ID=//58DAEwASwAzADYAMAA0ADEANgAyADEASQBEAEUAQQA4=&amp;Tipo=2&amp;ST=1&amp;nLang=0</t>
  </si>
  <si>
    <t>https://www.clickideacore.com/ClickHTML5/Visit.aspx?ID=//53DAEwASwAzADYAMAA0ADQANAA3ADUASQBEAEUAQQAA=&amp;Tipo=2&amp;ST=1&amp;nLang=0</t>
  </si>
  <si>
    <t>https://www.clickideacore.com/ClickHTML5/Visit.aspx?ID=//50DAEwASwAzADYAMAA0ADcAMAA1ADAASQBEAEUAQQAA=&amp;Tipo=2&amp;ST=1&amp;nLang=0</t>
  </si>
  <si>
    <t>https://www.clickideacore.com/ClickHTML5/Visit.aspx?ID=//56DAEwASwAzADYAMAA0ADEAMQAxADkASQBEAEUAQQA9=&amp;Tipo=2&amp;ST=1&amp;nLang=0</t>
  </si>
  <si>
    <t>https://www.clickideacore.com/ClickHTML5/Visit.aspx?ID=//53DAEwASwAzADYAMAA0ADcAMgA4ADAASQBEAEUAQQAA=&amp;Tipo=2&amp;ST=1&amp;nLang=0</t>
  </si>
  <si>
    <t>https://www.clickideacore.com/ClickHTML5/Visit.aspx?ID=//53DAEwASwAzADYAMAA1ADQAMAA3ADUASQBEAEUAQQAF=&amp;Tipo=2&amp;ST=1&amp;nLang=0</t>
  </si>
  <si>
    <t>https://www.clickideacore.com/ClickHTML5/Visit.aspx?ID=//51DAEwASwAzADYAMAA1ADQAMwA4ADYASQBEAEUAQQA5=&amp;Tipo=2&amp;ST=1&amp;nLang=0</t>
  </si>
  <si>
    <t>https://www.clickideacore.com/ClickHTML5/Visit.aspx?ID=//56DAEwASwAzADYAMAA3ADYANQA4ADMASQBEAEUAQQAF=&amp;Tipo=2&amp;ST=1&amp;nLang=0</t>
  </si>
  <si>
    <t>https://www.clickideacore.com/ClickHTML5/Visit.aspx?ID=//55DAEwASwAzADYAMAA2ADcANQA3ADEASQBEAEUAQQAF=&amp;Tipo=2&amp;ST=1&amp;nLang=0</t>
  </si>
  <si>
    <t>https://www.clickideacore.com/ClickHTML5/Visit.aspx?ID=//54DAEwASwAzADYAMAA2ADYANAA5ADAASQBEAEUAQQAA=&amp;Tipo=2&amp;ST=1&amp;nLang=0</t>
  </si>
  <si>
    <t>https://www.clickideacore.com/ClickHTML5/Visit.aspx?ID=//5ADAEwASwAzADYAMAA2ADQAOAAxADMASQBEAEUAQQA9=&amp;Tipo=2&amp;ST=1&amp;nLang=0</t>
  </si>
  <si>
    <t>https://www.clickideacore.com/ClickHTML5/Visit.aspx?ID=//5EDAEwASwAzADYAMAA3ADUANQAyADIASQBEAEUAQQAD=&amp;Tipo=2&amp;ST=1&amp;nLang=0</t>
  </si>
  <si>
    <t>https://www.clickideacore.com/ClickHTML5/Visit.aspx?ID=//5BDAEwASwAzADYAMAA3ADAANAAxADQASQBEAEUAQQAA=&amp;Tipo=2&amp;ST=1&amp;nLang=0</t>
  </si>
  <si>
    <t>https://www.clickideacore.com/ClickHTML5/Visit.aspx?ID=//5FDAEwASwAzADYAMAA2ADYANQA4ADMASQBEAEUAQQAB=&amp;Tipo=2&amp;ST=1&amp;nLang=0</t>
  </si>
  <si>
    <t>https://www.clickideacore.com/ClickHTML5/Visit.aspx?ID=//50DAEwASwAzADYAMAA2ADUANgA1ADEASQBEAEUAQQAA=&amp;Tipo=2&amp;ST=1&amp;nLang=0</t>
  </si>
  <si>
    <t>https://www.clickideacore.com/ClickHTML5/Visit.aspx?ID=//54DAEwASwAzADYAMAA3ADQAOAA1ADgASQBEAEUAQQA6=&amp;Tipo=2&amp;ST=1&amp;nLang=0</t>
  </si>
  <si>
    <t>https://www.clickideacore.com/ClickHTML5/Visit.aspx?ID=//57DAEwASwAzADYAMAA2ADYAOAA4ADQASQBEAEUAQQA6=&amp;Tipo=2&amp;ST=1&amp;nLang=0</t>
  </si>
  <si>
    <t>https://www.clickideacore.com/ClickHTML5/Visit.aspx?ID=//5BDAEwASwAzADYAMAA3ADUAOQA3ADkASQBEAEUAQQA1=&amp;Tipo=2&amp;ST=1&amp;nLang=0</t>
  </si>
  <si>
    <t>https://www.clickideacore.com/ClickHTML5/Visit.aspx?ID=//5FDAEwASwAzADYAMAA2ADgANAA2ADAASQBEAEUAQQA1=&amp;Tipo=2&amp;ST=1&amp;nLang=0</t>
  </si>
  <si>
    <t>https://www.clickideacore.com/ClickHTML5/Visit.aspx?ID=//57DAEwASwAzADYAMAA3ADYANAA1ADcASQBEAEUAQQA1=&amp;Tipo=2&amp;ST=1&amp;nLang=0</t>
  </si>
  <si>
    <t>https://www.clickideacore.com/ClickHTML5/Visit.aspx?ID=//5DDAEwASwAzADYAMAA3ADYAOQA3ADUASQBEAEUAQQAA=&amp;Tipo=2&amp;ST=1&amp;nLang=0</t>
  </si>
  <si>
    <t>https://www.clickideacore.com/ClickHTML5/Visit.aspx?ID=//5FDAEwASwAzADYAMAA2ADAANAAyADIASQBEAEUAQQAC=&amp;Tipo=2&amp;ST=1&amp;nLang=0</t>
  </si>
  <si>
    <t xml:space="preserve">Edgar Benavides </t>
  </si>
  <si>
    <t>https://www.clickideacore.com/ClickHTML5/Visit.aspx?ID=//54DAEwASwAzADYAMAA4ADkANwAwADEASQBEAEUAQQAA=&amp;Tipo=2&amp;ST=1&amp;nLang=0</t>
  </si>
  <si>
    <t>https://www.clickideacore.com/ClickHTML5/Visit.aspx?ID=//55DAEwASwAzADYAMAA5ADAAMgA3ADcASQBEAEUAQQAE=&amp;Tipo=2&amp;ST=1&amp;nLang=0</t>
  </si>
  <si>
    <t>https://www.clickideacore.com/ClickHTML5/Visit.aspx?ID=//53DAEwASwAzADYAMAA5ADcAMgA0ADYASQBEAEUAQQA6=&amp;Tipo=2&amp;ST=1&amp;nLang=0</t>
  </si>
  <si>
    <t>https://www.clickideacore.com/ClickHTML5/Visit.aspx?ID=//5CDAEwASwAzADYAMAA5ADUAOQAwADYASQBEAEUAQQA4=&amp;Tipo=2&amp;ST=1&amp;nLang=0</t>
  </si>
  <si>
    <t>https://www.clickideacore.com/ClickHTML5/Visit.aspx?ID=//5FDAEwASwAzADYAMQAwADkAOQAxADQASQBEAEUAQQAB=&amp;Tipo=2&amp;ST=1&amp;nLang=0</t>
  </si>
  <si>
    <t>https://www.clickideacore.com/ClickHTML5/Visit.aspx?ID=//57DAEwASwAzADYAMQAxADgANwA1ADkASQBEAEUAQQA5=&amp;Tipo=2&amp;ST=1&amp;nLang=0</t>
  </si>
  <si>
    <t>https://www.clickideacore.com/ClickHTML5/Visit.aspx?ID=//5EDAEwASwAzADYAMQAwADkANgAxADEASQBEAEUAQQAB=&amp;Tipo=2&amp;ST=1&amp;nLang=0</t>
  </si>
  <si>
    <t>https://www.clickideacore.com/ClickHTML5/Visit.aspx?ID=//58DAEwASwAzADYAMQAwADkANwA2ADkASQBEAEUAQQAD=&amp;Tipo=2&amp;ST=1&amp;nLang=0</t>
  </si>
  <si>
    <t>https://www.clickideacore.com/ClickHTML5/Visit.aspx?ID=//57DAEwASwAzADYAMQAxADUANAA1ADQASQBEAEUAQQAE=&amp;Tipo=2&amp;ST=1&amp;nLang=0</t>
  </si>
  <si>
    <t>https://www.clickideacore.com/ClickHTML5/Visit.aspx?ID=//54DAEwASwAzADYAMQAxADQAOAAzADcASQBEAEUAQQA3=&amp;Tipo=2&amp;ST=1&amp;nLang=0</t>
  </si>
  <si>
    <t>https://www.clickideacore.com/ClickHTML5/Visit.aspx?ID=//51DAEwASwAzADYAMQAxADAAMAA1ADIASQBEAEUAQQA9=&amp;Tipo=2&amp;ST=1&amp;nLang=0</t>
  </si>
  <si>
    <t>https://www.clickideacore.com/ClickHTML5/Visit.aspx?ID=//5CDAEwASwAzADYAMQAwADQANQAzADEASQBEAEUAQQAB=&amp;Tipo=2&amp;ST=1&amp;nLang=0</t>
  </si>
  <si>
    <t>https://www.clickideacore.com/ClickHTML5/Visit.aspx?ID=//5EDAEwASwAzADYAMQAxADcANQA5ADIASQBEAEUAQQA2=&amp;Tipo=2&amp;ST=1&amp;nLang=0</t>
  </si>
  <si>
    <t>https://www.clickideacore.com/ClickHTML5/Visit.aspx?ID=//5CDAEwASwAzADYAMQAxADAAOQAxADAASQBEAEUAQQAA=&amp;Tipo=2&amp;ST=1&amp;nLang=0</t>
  </si>
  <si>
    <t>https://www.clickideacore.com/ClickHTML5/Visit.aspx?ID=//59DAEwASwAzADYAMQAxADgANgA5ADkASQBEAEUAQQA0=&amp;Tipo=2&amp;ST=1&amp;nLang=0</t>
  </si>
  <si>
    <t>https://www.clickideacore.com/ClickHTML5/Visit.aspx?ID=//51DAEwASwAzADYAMQAxADkANAAzADAASQBEAEUAQQA1=&amp;Tipo=2&amp;ST=1&amp;nLang=0</t>
  </si>
  <si>
    <t>https://www.clickideacore.com/ClickHTML5/Visit.aspx?ID=//52DAEwASwAzADYAMQAwADUANgA2ADYASQBEAEUAQQA0=&amp;Tipo=2&amp;ST=1&amp;nLang=0</t>
  </si>
  <si>
    <t>https://www.clickideacore.com/ClickHTML5/Visit.aspx?ID=//59DAEwASwAzADYAMQAzADkANgA5ADcASQBEAEUAQQAD=&amp;Tipo=2&amp;ST=1&amp;nLang=0</t>
  </si>
  <si>
    <t>https://www.clickideacore.com/ClickHTML5/Visit.aspx?ID=//58DAEwASwAzADYAMQAyADkANwA1ADkASQBEAEUAQQA2=&amp;Tipo=2&amp;ST=1&amp;nLang=0</t>
  </si>
  <si>
    <t>https://www.clickideacore.com/ClickHTML5/Visit.aspx?ID=//59DAEwASwAzADYAMQAyADgANgA2ADgASQBEAEUAQQA5=&amp;Tipo=2&amp;ST=1&amp;nLang=0</t>
  </si>
  <si>
    <t>https://www.clickideacore.com/ClickHTML5/Visit.aspx?ID=//5EDAEwASwAzADYAMQAyADkANAA1ADQASQBEAEUAQQAA=&amp;Tipo=2&amp;ST=1&amp;nLang=0</t>
  </si>
  <si>
    <t>https://www.clickideacore.com/ClickHTML5/Visit.aspx?ID=//53DAEwASwAzADYAMQAzADQANwA4ADMASQBEAEUAQQA0=&amp;Tipo=2&amp;ST=1&amp;nLang=0</t>
  </si>
  <si>
    <t>https://www.clickideacore.com/ClickHTML5/Visit.aspx?ID=//50DAEwASwAzADYAMQAzADQANgA0ADcASQBEAEUAQQAC=&amp;Tipo=2&amp;ST=1&amp;nLang=0</t>
  </si>
  <si>
    <t>https://www.clickideacore.com/ClickHTML5/Visit.aspx?ID=//53DAEwASwAzADYAMQAzADYANwA3ADIASQBEAEUAQQAD=&amp;Tipo=2&amp;ST=1&amp;nLang=0</t>
  </si>
  <si>
    <t>https://www.clickideacore.com/ClickHTML5/Visit.aspx?ID=//57DAEwASwAzADYAMQAzADgAMQA0ADMASQBEAEUAQQA3=&amp;Tipo=2&amp;ST=1&amp;nLang=0</t>
  </si>
  <si>
    <t>https://www.clickideacore.com/ClickHTML5/Visit.aspx?ID=//54DAEwASwAzADYAMQAzADUAMwAwADUASQBEAEUAQQA4=&amp;Tipo=2&amp;ST=1&amp;nLang=0</t>
  </si>
  <si>
    <t>https://www.clickideacore.com/ClickHTML5/Visit.aspx?ID=//57DAEwASwAzADYAMQAyADYANwA0ADMASQBEAEUAQQAA=&amp;Tipo=2&amp;ST=1&amp;nLang=0</t>
  </si>
  <si>
    <t>https://www.clickideacore.com/ClickHTML5/Visit.aspx?ID=//52DAEwASwAzADYAMQAzADkANQA0ADcASQBEAEUAQQA2=&amp;Tipo=2&amp;ST=1&amp;nLang=0</t>
  </si>
  <si>
    <t>https://www.clickideacore.com/ClickHTML5/Visit.aspx?ID=//51DAEwASwAzADYAMQA0ADIAOAAwADIASQBEAEUAQQAA=&amp;Tipo=2&amp;ST=1&amp;nLang=0</t>
  </si>
  <si>
    <t>https://www.clickideacore.com/ClickHTML5/Visit.aspx?ID=//5EDAEwASwAzADYAMQA0ADIANAAyADYASQBEAEUAQQAA=&amp;Tipo=2&amp;ST=1&amp;nLang=0</t>
  </si>
  <si>
    <t>https://www.clickideacore.com/ClickHTML5/Visit.aspx?ID=//5EDAEwASwAzADYAMQAyADMANAA5ADYASQBEAEUAQQAA=&amp;Tipo=2&amp;ST=1&amp;nLang=0</t>
  </si>
  <si>
    <t>https://www.clickideacore.com/ClickHTML5/Visit.aspx?ID=//58DAEwASwAzADYAMQA2ADQAMwA1ADIASQBEAEUAQQA2=&amp;Tipo=2&amp;ST=1&amp;nLang=0</t>
  </si>
  <si>
    <t>https://www.clickideacore.com/ClickHTML5/Visit.aspx?ID=//54DAEwASwAzADYAMQA1ADAAMQA4ADQASQBEAEUAQQA8=&amp;Tipo=2&amp;ST=1&amp;nLang=0</t>
  </si>
  <si>
    <t>https://www.clickideacore.com/ClickHTML5/Visit.aspx?ID=//5ADAEwASwAzADYAMQA1ADAAMAA0ADkASQBEAEUAQQA7=&amp;Tipo=2&amp;ST=1&amp;nLang=0</t>
  </si>
  <si>
    <t>https://www.clickideacore.com/ClickHTML5/Visit.aspx?ID=//50DAEwASwAzADYAMQA1ADYAOAAyADEASQBEAEUAQQA8=&amp;Tipo=2&amp;ST=1&amp;nLang=0</t>
  </si>
  <si>
    <t>https://www.clickideacore.com/ClickHTML5/Visit.aspx?ID=//5BDAEwASwAzADYAMQA2ADEAMgA2ADMASQBEAEUAQQAD=&amp;Tipo=2&amp;ST=1&amp;nLang=0</t>
  </si>
  <si>
    <t>https://www.clickideacore.com/ClickHTML5/Visit.aspx?ID=//5CDAEwASwAzADYAMQA1ADYANQA4ADgASQBEAEUAQQA6=&amp;Tipo=2&amp;ST=1&amp;nLang=0</t>
  </si>
  <si>
    <t>https://www.clickideacore.com/ClickHTML5/Visit.aspx?ID=//5FDAEwASwAzADYAMQA1ADkAMwAxADcASQBEAEUAQQA7=&amp;Tipo=2&amp;ST=1&amp;nLang=0</t>
  </si>
  <si>
    <t>https://www.clickideacore.com/ClickHTML5/Visit.aspx?ID=//5FDAEwASwAzADYAMQA1ADIAMwAxADQASQBEAEUAQQA7=&amp;Tipo=2&amp;ST=1&amp;nLang=0</t>
  </si>
  <si>
    <t>https://www.clickideacore.com/ClickHTML5/Visit.aspx?ID=//55DAEwASwAzADYAMQA1ADIANgA5ADMASQBEAEUAQQA7=&amp;Tipo=2&amp;ST=1&amp;nLang=0</t>
  </si>
  <si>
    <t>https://www.clickideacore.com/ClickHTML5/Visit.aspx?ID=//5FDAEwASwAzADYAMQA2ADMAMAAxADUASQBEAEUAQQA2=&amp;Tipo=2&amp;ST=1&amp;nLang=0</t>
  </si>
  <si>
    <t>https://www.clickideacore.com/ClickHTML5/Visit.aspx?ID=//5CDAEwASwAzADYAMQA0ADkAOQA5ADEASQBEAEUAQQAD=&amp;Tipo=2&amp;ST=1&amp;nLang=0</t>
  </si>
  <si>
    <t>https://www.clickideacore.com/ClickHTML5/Visit.aspx?ID=//55DAEwASwAzADYAMQA2ADIAMAAzADEASQBEAEUAQQA2=&amp;Tipo=2&amp;ST=1&amp;nLang=0</t>
  </si>
  <si>
    <t>https://www.clickideacore.com/ClickHTML5/Visit.aspx?ID=//52DAEwASwAzADYAMQA1ADQAOAA0ADAASQBEAEUAQQA0=&amp;Tipo=2&amp;ST=1&amp;nLang=0</t>
  </si>
  <si>
    <t>https://www.clickideacore.com/ClickHTML5/Visit.aspx?ID=//5BDAEwASwAzADYAMQA2ADMAOQAxADUASQBEAEUAQQAD=&amp;Tipo=2&amp;ST=1&amp;nLang=0</t>
  </si>
  <si>
    <t>https://www.clickideacore.com/ClickHTML5/Visit.aspx?ID=//5FDAEwASwAzADYAMQA2ADQAMgA5ADcASQBEAEUAQQA2=&amp;Tipo=2&amp;ST=1&amp;nLang=0</t>
  </si>
  <si>
    <t>https://www.clickideacore.com/ClickHTML5/Visit.aspx?ID=//59DAEwASwAzADYAMQA0ADkAMgAwADgASQBEAEUAQQA4=&amp;Tipo=2&amp;ST=1&amp;nLang=0</t>
  </si>
  <si>
    <t>https://www.clickideacore.com/ClickHTML5/Visit.aspx?ID=//56DAEwASwAzADYAMQA4ADcAMgA0ADIASQBEAEUAQQA8=&amp;Tipo=2&amp;ST=1&amp;nLang=0</t>
  </si>
  <si>
    <t>https://www.clickideacore.com/ClickHTML5/Visit.aspx?ID=//57DAEwASwAzADYAMQA3ADMANwA3ADgASQBEAEUAQQA1=&amp;Tipo=2&amp;ST=1&amp;nLang=0</t>
  </si>
  <si>
    <t>https://www.clickideacore.com/ClickHTML5/Visit.aspx?ID=//57DAEwASwAzADYAMQA3ADEAMQAwADEASQBEAEUAQQAA=&amp;Tipo=2&amp;ST=1&amp;nLang=0</t>
  </si>
  <si>
    <t>https://www.clickideacore.com/ClickHTML5/Visit.aspx?ID=//57DAEwASwAzADYAMQA3ADcAMAAyADIASQBEAEUAQQA3=&amp;Tipo=2&amp;ST=1&amp;nLang=0</t>
  </si>
  <si>
    <t>https://www.clickideacore.com/ClickHTML5/Visit.aspx?ID=//5EDAEwASwAzADYAMQA4ADQAMwAwADkASQBEAEUAQQA5=&amp;Tipo=2&amp;ST=1&amp;nLang=0</t>
  </si>
  <si>
    <t>https://www.clickideacore.com/ClickHTML5/Visit.aspx?ID=//5BDAEwASwAzADYAMQA3ADgAMQA2ADEASQBEAEUAQQA2=&amp;Tipo=2&amp;ST=1&amp;nLang=0</t>
  </si>
  <si>
    <t>https://www.clickideacore.com/ClickHTML5/Visit.aspx?ID=//5EDAEwASwAzADYAMQA4ADAANgA2ADkASQBEAEUAQQA9=&amp;Tipo=2&amp;ST=1&amp;nLang=0</t>
  </si>
  <si>
    <t>https://www.clickideacore.com/ClickHTML5/Visit.aspx?ID=//51DAEwASwAzADYAMQA3ADcAMAAwADMASQBEAEUAQQA3=&amp;Tipo=2&amp;ST=1&amp;nLang=0</t>
  </si>
  <si>
    <t>https://www.clickideacore.com/ClickHTML5/Visit.aspx?ID=//54DAEwASwAzADYAMQA4ADAAMQA2ADkASQBEAEUAQQA3=&amp;Tipo=2&amp;ST=1&amp;nLang=0</t>
  </si>
  <si>
    <t>https://www.clickideacore.com/ClickHTML5/Visit.aspx?ID=//5FDAEwASwAzADYAMQA4ADUANwA1ADgASQBEAEUAQQA8=&amp;Tipo=2&amp;ST=1&amp;nLang=0</t>
  </si>
  <si>
    <t>https://www.clickideacore.com/ClickHTML5/Visit.aspx?ID=//55DAEwASwAzADYAMQA3ADIAMgAwADAASQBEAEUAQQAE=&amp;Tipo=2&amp;ST=1&amp;nLang=0</t>
  </si>
  <si>
    <t>https://www.clickideacore.com/ClickHTML5/Visit.aspx?ID=//53DAEwASwAzADYAMQA4ADcANQA0ADAASQBEAEUAQQA8=&amp;Tipo=2&amp;ST=1&amp;nLang=0</t>
  </si>
  <si>
    <t>https://www.clickideacore.com/ClickHTML5/Visit.aspx?ID=//59DAEwASwAzADYAMQA3ADYANQA4ADcASQBEAEUAQQAC=&amp;Tipo=2&amp;ST=1&amp;nLang=0</t>
  </si>
  <si>
    <t>https://www.clickideacore.com/ClickHTML5/Visit.aspx?ID=//5FDAEwASwAzADYAMQA4ADcANQAzADMASQBEAEUAQQA3=&amp;Tipo=2&amp;ST=1&amp;nLang=0</t>
  </si>
  <si>
    <t>https://www.clickideacore.com/ClickHTML5/Visit.aspx?ID=//5EDAEwASwAzADYAMQA4ADgAMgA5ADUASQBEAEUAQQAA=&amp;Tipo=2&amp;ST=1&amp;nLang=0</t>
  </si>
  <si>
    <t>https://www.clickideacore.com/ClickHTML5/Visit.aspx?ID=//5BDAEwASwAzADYAMgAxADAANAA4ADcASQBEAEUAQQAD=&amp;Tipo=2&amp;ST=1&amp;nLang=0</t>
  </si>
  <si>
    <t>https://www.clickideacore.com/ClickHTML5/Visit.aspx?ID=//5FDAEwASwAzADYAMgAwADEANgA0ADkASQBEAEUAQQA7=&amp;Tipo=2&amp;ST=1&amp;nLang=0</t>
  </si>
  <si>
    <t>https://www.clickideacore.com/ClickHTML5/Visit.aspx?ID=//53DAEwASwAzADYAMQA5ADcANgAxADMASQBEAEUAQQA4=&amp;Tipo=2&amp;ST=1&amp;nLang=0</t>
  </si>
  <si>
    <t>https://www.clickideacore.com/ClickHTML5/Visit.aspx?ID=//5FDAEwASwAzADYAMgAwADUAMAA2ADEASQBEAEUAQQA9=&amp;Tipo=2&amp;ST=1&amp;nLang=0</t>
  </si>
  <si>
    <t>https://www.clickideacore.com/ClickHTML5/Visit.aspx?ID=//5DDAEwASwAzADYAMgAxADAANAAyADYASQBEAEUAQQA9=&amp;Tipo=2&amp;ST=1&amp;nLang=0</t>
  </si>
  <si>
    <t>https://www.clickideacore.com/ClickHTML5/Visit.aspx?ID=//5CDAEwASwAzADYAMgAwADYAOAA1ADYASQBEAEUAQQA7=&amp;Tipo=2&amp;ST=1&amp;nLang=0</t>
  </si>
  <si>
    <t>https://www.clickideacore.com/ClickHTML5/Visit.aspx?ID=//5CDAEwASwAzADYAMgAwADcAMgA2ADcASQBEAEUAQQAC=&amp;Tipo=2&amp;ST=1&amp;nLang=0</t>
  </si>
  <si>
    <t>https://www.clickideacore.com/ClickHTML5/Visit.aspx?ID=//5ADAEwASwAzADYAMQA5ADgAMQA0ADcASQBEAEUAQQAD=&amp;Tipo=2&amp;ST=1&amp;nLang=0</t>
  </si>
  <si>
    <t>https://www.clickideacore.com/ClickHTML5/Visit.aspx?ID=//56DAEwASwAzADYAMgAwADIAMQAyADYASQBEAEUAQQAD=&amp;Tipo=2&amp;ST=1&amp;nLang=0</t>
  </si>
  <si>
    <t>https://www.clickideacore.com/ClickHTML5/Visit.aspx?ID=//5DDAEwASwAzADYAMgAwADUAMQA2ADYASQBEAEUAQQAA=&amp;Tipo=2&amp;ST=1&amp;nLang=0</t>
  </si>
  <si>
    <t>https://www.clickideacore.com/ClickHTML5/Visit.aspx?ID=//50DAEwASwAzADYAMQA5ADYAOQAxADgASQBEAEUAQQA9=&amp;Tipo=2&amp;ST=1&amp;nLang=0</t>
  </si>
  <si>
    <t>https://www.clickideacore.com/ClickHTML5/Visit.aspx?ID=//55DAEwASwAzADYAMgAwADEAMAA0ADkASQBEAEUAQQA7=&amp;Tipo=2&amp;ST=1&amp;nLang=0</t>
  </si>
  <si>
    <t>https://www.clickideacore.com/ClickHTML5/Visit.aspx?ID=//5ADAEwASwAzADYAMgAxADAANwA0ADAASQBEAEUAQQA1=&amp;Tipo=2&amp;ST=1&amp;nLang=0</t>
  </si>
  <si>
    <t>https://www.clickideacore.com/ClickHTML5/Visit.aspx?ID=//5BDAEwASwAzADYAMgAwADAAMgAzADYASQBEAEUAQQAA=&amp;Tipo=2&amp;ST=1&amp;nLang=0</t>
  </si>
  <si>
    <t>https://www.clickideacore.com/ClickHTML5/Visit.aspx?ID=//55DAEwASwAzADYAMQA5ADYAOQA2ADcASQBEAEUAQQA0=&amp;Tipo=2&amp;ST=1&amp;nLang=0</t>
  </si>
  <si>
    <t>https://www.clickideacore.com/ClickHTML5/Visit.aspx?ID=//52DAEwASwAzADYAMgAyADQANAAzADQASQBEAEUAQQA4=&amp;Tipo=2&amp;ST=1&amp;nLang=0</t>
  </si>
  <si>
    <t>https://www.clickideacore.com/ClickHTML5/Visit.aspx?ID=//51DAEwASwAzADYAMgAyADIANAAyADgASQBEAEUAQQA0=&amp;Tipo=2&amp;ST=1&amp;nLang=0</t>
  </si>
  <si>
    <t>https://www.clickideacore.com/ClickHTML5/Visit.aspx?ID=//5BDAEwASwAzADYAMgAzADAANwAxADIASQBEAEUAQQA6=&amp;Tipo=2&amp;ST=1&amp;nLang=0</t>
  </si>
  <si>
    <t>https://www.clickideacore.com/ClickHTML5/Visit.aspx?ID=//5BDAEwASwAzADYAMgAzADEANAA5ADQASQBEAEUAQQAE=&amp;Tipo=2&amp;ST=1&amp;nLang=0</t>
  </si>
  <si>
    <t>https://www.clickideacore.com/ClickHTML5/Visit.aspx?ID=//56DAEwASwAzADYAMgAzADEAMAAxADUASQBEAEUAQQAC=&amp;Tipo=2&amp;ST=1&amp;nLang=0</t>
  </si>
  <si>
    <t>https://www.clickideacore.com/ClickHTML5/Visit.aspx?ID=//5FDAEwASwAzADYAMgA1ADIANwA4ADEASQBEAEUAQQAE=&amp;Tipo=2&amp;ST=1&amp;nLang=0</t>
  </si>
  <si>
    <t>https://www.clickideacore.com/ClickHTML5/Visit.aspx?ID=//5ADAEwASwAzADYAMgA0ADMAOAA3ADAASQBEAEUAQQAA=&amp;Tipo=2&amp;ST=1&amp;nLang=0</t>
  </si>
  <si>
    <t>https://www.clickideacore.com/ClickHTML5/Visit.aspx?ID=//5BDAEwASwAzADYAMgA0ADAANgA0ADEASQBEAEUAQQA4=&amp;Tipo=2&amp;ST=1&amp;nLang=0</t>
  </si>
  <si>
    <t>https://www.clickideacore.com/ClickHTML5/Visit.aspx?ID=//5ADAEwASwAzADYAMgA0ADQAOQAwADUASQBEAEUAQQA5=&amp;Tipo=2&amp;ST=1&amp;nLang=0</t>
  </si>
  <si>
    <t>https://www.clickideacore.com/ClickHTML5/Visit.aspx?ID=//52DAEwASwAzADYAMgA1ADMAMwAyADAASQBEAEUAQQAD=&amp;Tipo=2&amp;ST=1&amp;nLang=0</t>
  </si>
  <si>
    <t>https://www.clickideacore.com/ClickHTML5/Visit.aspx?ID=//58DAEwASwAzADYAMgA0ADMANAA0ADEASQBEAEUAQQA2=&amp;Tipo=2&amp;ST=1&amp;nLang=0</t>
  </si>
  <si>
    <t>https://www.clickideacore.com/ClickHTML5/Visit.aspx?ID=//55DAEwASwAzADYAMgA0ADUAMwA0ADQASQBEAEUAQQA9=&amp;Tipo=2&amp;ST=1&amp;nLang=0</t>
  </si>
  <si>
    <t>https://www.clickideacore.com/ClickHTML5/Visit.aspx?ID=//52DAEwASwAzADYAMgA0ADAANQAxADMASQBEAEUAQQAA=&amp;Tipo=2&amp;ST=1&amp;nLang=0</t>
  </si>
  <si>
    <t>https://www.clickideacore.com/ClickHTML5/Visit.aspx?ID=//5FDAEwASwAzADYAMgA0ADYAOAAzADUASQBEAEUAQQA7=&amp;Tipo=2&amp;ST=1&amp;nLang=0</t>
  </si>
  <si>
    <t>https://www.clickideacore.com/ClickHTML5/Visit.aspx?ID=//50DAEwASwAzADYAMgA0ADYAMwA2ADAASQBEAEUAQQA7=&amp;Tipo=2&amp;ST=1&amp;nLang=0</t>
  </si>
  <si>
    <t>https://www.clickideacore.com/ClickHTML5/Visit.aspx?ID=//5FDAEwASwAzADYAMgA0ADQANgA4ADIASQBEAEUAQQAB=&amp;Tipo=2&amp;ST=1&amp;nLang=0</t>
  </si>
  <si>
    <t>https://www.clickideacore.com/ClickHTML5/Visit.aspx?ID=//5ADAEwASwAzADYAMgAzADkANQA2ADUASQBEAEUAQQA7=&amp;Tipo=2&amp;ST=1&amp;nLang=0</t>
  </si>
  <si>
    <t>https://www.clickideacore.com/ClickHTML5/Visit.aspx?ID=//5DDAEwASwAzADYAMgA1ADIANgA2ADMASQBEAEUAQQA2=&amp;Tipo=2&amp;ST=1&amp;nLang=0</t>
  </si>
  <si>
    <t>https://www.clickideacore.com/ClickHTML5/Visit.aspx?ID=//5EDAEwASwAzADYAMgA0ADcAMAAyADUASQBEAEUAQQAB=&amp;Tipo=2&amp;ST=1&amp;nLang=0</t>
  </si>
  <si>
    <t>https://www.clickideacore.com/ClickHTML5/Visit.aspx?ID=//5EDAEwASwAzADYAMgA1ADMANwA3ADEASQBEAEUAQQAC=&amp;Tipo=2&amp;ST=1&amp;nLang=0</t>
  </si>
  <si>
    <t>https://www.clickideacore.com/ClickHTML5/Visit.aspx?ID=//57DAEwASwAzADYAMgAzADcANQA4ADUASQBEAEUAQQAD=&amp;Tipo=2&amp;ST=1&amp;nLang=0</t>
  </si>
  <si>
    <t>https://www.clickideacore.com/ClickHTML5/Visit.aspx?ID=//5ADAEwASwAzADYAMgA3ADgANAAxADcASQBEAEUAQQA9=&amp;Tipo=2&amp;ST=1&amp;nLang=0</t>
  </si>
  <si>
    <t>https://www.clickideacore.com/ClickHTML5/Visit.aspx?ID=//5DDAEwASwAzADYAMgA2ADgAMwA1ADIASQBEAEUAQQA6=&amp;Tipo=2&amp;ST=1&amp;nLang=0</t>
  </si>
  <si>
    <t>https://www.clickideacore.com/ClickHTML5/Visit.aspx?ID=//54DAEwASwAzADYAMgA2ADUANwA2ADYASQBEAEUAQQAB=&amp;Tipo=2&amp;ST=1&amp;nLang=0</t>
  </si>
  <si>
    <t>https://www.clickideacore.com/ClickHTML5/Visit.aspx?ID=//57DAEwASwAzADYAMgA2ADgAMQAzADAASQBEAEUAQQAA=&amp;Tipo=2&amp;ST=1&amp;nLang=0</t>
  </si>
  <si>
    <t>https://www.clickideacore.com/ClickHTML5/Visit.aspx?ID=//59DAEwASwAzADYAMgA3ADIAMAA5ADEASQBEAEUAQQAA=&amp;Tipo=2&amp;ST=1&amp;nLang=0</t>
  </si>
  <si>
    <t>https://www.clickideacore.com/ClickHTML5/Visit.aspx?ID=//5FDAEwASwAzADYAMgA3ADQAMwA5ADEASQBEAEUAQQA9=&amp;Tipo=2&amp;ST=1&amp;nLang=0</t>
  </si>
  <si>
    <t>https://www.clickideacore.com/ClickHTML5/Visit.aspx?ID=//57DAEwASwAzADYAMgA2ADgAOAA0ADgASQBEAEUAQQA2=&amp;Tipo=2&amp;ST=1&amp;nLang=0</t>
  </si>
  <si>
    <t>https://www.clickideacore.com/ClickHTML5/Visit.aspx?ID=//5ADAEwASwAzADYAMgA3ADUAOAAxADIASQBEAEUAQQA4=&amp;Tipo=2&amp;ST=1&amp;nLang=0</t>
  </si>
  <si>
    <t>https://www.clickideacore.com/ClickHTML5/Visit.aspx?ID=//56DAEwASwAzADYAMgA2ADIANgAxADQASQBEAEUAQQAC=&amp;Tipo=2&amp;ST=1&amp;nLang=0</t>
  </si>
  <si>
    <t>https://www.clickideacore.com/ClickHTML5/Visit.aspx?ID=//5CDAEwASwAzADYAMgA2ADMANAA1ADkASQBEAEUAQQAB=&amp;Tipo=2&amp;ST=1&amp;nLang=0</t>
  </si>
  <si>
    <t>https://www.clickideacore.com/ClickHTML5/Visit.aspx?ID=//54DAEwASwAzADYAMgA3ADgAOAAwADkASQBEAEUAQQA8=&amp;Tipo=2&amp;ST=1&amp;nLang=0</t>
  </si>
  <si>
    <t>https://www.clickideacore.com/ClickHTML5/Visit.aspx?ID=//59DAEwASwAzADYAMgA2ADMAMAAwADMASQBEAEUAQQA9=&amp;Tipo=2&amp;ST=1&amp;nLang=0</t>
  </si>
  <si>
    <t>https://www.clickideacore.com/ClickHTML5/Visit.aspx?ID=//5DDAEwASwAzADYAMwAwADIANwA2ADQASQBEAEUAQQAB=&amp;Tipo=2&amp;ST=1&amp;nLang=0</t>
  </si>
  <si>
    <t>https://www.clickideacore.com/ClickHTML5/Visit.aspx?ID=//56DAEwASwAzADYAMgA4ADcANQA2ADQASQBEAEUAQQA4=&amp;Tipo=2&amp;ST=1&amp;nLang=0</t>
  </si>
  <si>
    <t>https://www.clickideacore.com/ClickHTML5/Visit.aspx?ID=//56DAEwASwAzADYAMgA4ADgAOQA3ADYASQBEAEUAQQA6=&amp;Tipo=2&amp;ST=1&amp;nLang=0</t>
  </si>
  <si>
    <t>https://www.clickideacore.com/ClickHTML5/Visit.aspx?ID=//5EDAEwASwAzADYAMgA5ADYAMQA2ADQASQBEAEUAQQA1=&amp;Tipo=2&amp;ST=1&amp;nLang=0</t>
  </si>
  <si>
    <t>https://www.clickideacore.com/ClickHTML5/Visit.aspx?ID=//58DAEwASwAzADYAMgA5ADMAOAA1ADYASQBEAEUAQQAC=&amp;Tipo=2&amp;ST=1&amp;nLang=0</t>
  </si>
  <si>
    <t>https://www.clickideacore.com/ClickHTML5/Visit.aspx?ID=//57DAEwASwAzADYAMgA5ADMAOQA0ADcASQBEAEUAQQA3=&amp;Tipo=2&amp;ST=1&amp;nLang=0</t>
  </si>
  <si>
    <t>https://www.clickideacore.com/ClickHTML5/Visit.aspx?ID=//57DAEwASwAzADYAMgA5ADYAOAA5ADQASQBEAEUAQQA6=&amp;Tipo=2&amp;ST=1&amp;nLang=0</t>
  </si>
  <si>
    <t>https://www.clickideacore.com/ClickHTML5/Visit.aspx?ID=//5BDAEwASwAzADYAMgA5ADEANgA0ADEASQBEAEUAQQA0=&amp;Tipo=2&amp;ST=1&amp;nLang=0</t>
  </si>
  <si>
    <t>https://www.clickideacore.com/ClickHTML5/Visit.aspx?ID=//5ADAEwASwAzADYAMwAwADIANwA4ADgASQBEAEUAQQA9=&amp;Tipo=2&amp;ST=1&amp;nLang=0</t>
  </si>
  <si>
    <t>https://www.clickideacore.com/ClickHTML5/Visit.aspx?ID=//58DAEwASwAzADYAMgA4ADkAMwA4ADkASQBEAEUAQQA4=&amp;Tipo=2&amp;ST=1&amp;nLang=0</t>
  </si>
  <si>
    <t>https://www.clickideacore.com/ClickHTML5/Visit.aspx?ID=//51DAEwASwAzADYAMgA4ADkANAA3ADcASQBEAEUAQQA2=&amp;Tipo=2&amp;ST=1&amp;nLang=0</t>
  </si>
  <si>
    <t>https://www.clickideacore.com/ClickHTML5/Visit.aspx?ID=//5EDAEwASwAzADYAMgA5ADcANAA3ADcASQBEAEUAQQA5=&amp;Tipo=2&amp;ST=1&amp;nLang=0</t>
  </si>
  <si>
    <t>https://www.clickideacore.com/ClickHTML5/Visit.aspx?ID=//5DDAEwASwAzADYAMwAwADMANwAxADcASQBEAEUAQQAE=&amp;Tipo=2&amp;ST=1&amp;nLang=0</t>
  </si>
  <si>
    <t>https://www.clickideacore.com/ClickHTML5/Visit.aspx?ID=//59DAEwASwAzADYAMgA4ADgAMwAzADcASQBEAEUAQQAD=&amp;Tipo=2&amp;ST=1&amp;nLang=0</t>
  </si>
  <si>
    <t>https://www.clickideacore.com/ClickHTML5/Visit.aspx?ID=//50DAEwASwAzADYAMwAxADMAMQA3ADEASQBEAEUAQQAD=&amp;Tipo=2&amp;ST=1&amp;nLang=0</t>
  </si>
  <si>
    <t>https://www.clickideacore.com/ClickHTML5/Visit.aspx?ID=//51DAEwASwAzADYAMwAwADgANAAxADYASQBEAEUAQQAA=&amp;Tipo=2&amp;ST=1&amp;nLang=0</t>
  </si>
  <si>
    <t>https://www.clickideacore.com/ClickHTML5/Visit.aspx?ID=//59DAEwASwAzADYAMwAxADUAOAAzADkASQBEAEUAQQA0=&amp;Tipo=2&amp;ST=1&amp;nLang=0</t>
  </si>
  <si>
    <t>https://www.clickideacore.com/ClickHTML5/Visit.aspx?ID=//58DAEwASwAzADYAMwAyADQANgAwADAASQBEAEUAQQA0=&amp;Tipo=2&amp;ST=1&amp;nLang=0</t>
  </si>
  <si>
    <t>https://www.clickideacore.com/ClickHTML5/Visit.aspx?ID=//5BDAEwASwAzADYAMwAyADMAMwA0ADAASQBEAEUAQQA8=&amp;Tipo=2&amp;ST=1&amp;nLang=0</t>
  </si>
  <si>
    <t>https://www.clickideacore.com/ClickHTML5/Visit.aspx?ID=//5DDAEwASwAzADYAMwAxADQAMAA5ADIASQBEAEUAQQA3=&amp;Tipo=2&amp;ST=1&amp;nLang=0</t>
  </si>
  <si>
    <t>https://www.clickideacore.com/ClickHTML5/Visit.aspx?ID=//5EDAEwASwAzADYAMwAxADcANAAxADYASQBEAEUAQQAB=&amp;Tipo=2&amp;ST=1&amp;nLang=0</t>
  </si>
  <si>
    <t>https://www.clickideacore.com/ClickHTML5/Visit.aspx?ID=//52DAEwASwAzADYAMwAxADUANQAxADMASQBEAEUAQQA7=&amp;Tipo=2&amp;ST=1&amp;nLang=0</t>
  </si>
  <si>
    <t>https://www.clickideacore.com/ClickHTML5/Visit.aspx?ID=//56DAEwASwAzADYAMwAxADcAMwA0ADcASQBEAEUAQQA0=&amp;Tipo=2&amp;ST=1&amp;nLang=0</t>
  </si>
  <si>
    <t>https://www.clickideacore.com/ClickHTML5/Visit.aspx?ID=//54DAEwASwAzADYAMwAyADQANAA2ADkASQBEAEUAQQA0=&amp;Tipo=2&amp;ST=1&amp;nLang=0</t>
  </si>
  <si>
    <t>https://www.clickideacore.com/ClickHTML5/Visit.aspx?ID=//5EDAEwASwAzADYAMwAxADQAOQA4ADMASQBEAEUAQQA0=&amp;Tipo=2&amp;ST=1&amp;nLang=0</t>
  </si>
  <si>
    <t>https://www.clickideacore.com/ClickHTML5/Visit.aspx?ID=//57DAEwASwAzADYAMwAyADYAOAAyADkASQBEAEUAQQA7=&amp;Tipo=2&amp;ST=1&amp;nLang=0</t>
  </si>
  <si>
    <t>https://www.clickideacore.com/ClickHTML5/Visit.aspx?ID=//5BDAEwASwAzADYAMwAyADMAOAA5ADYASQBEAEUAQQAB=&amp;Tipo=2&amp;ST=1&amp;nLang=0</t>
  </si>
  <si>
    <t>https://www.clickideacore.com/ClickHTML5/Visit.aspx?ID=//5EDAEwASwAzADYAMwAxADYAMQA3ADkASQBEAEUAQQA8=&amp;Tipo=2&amp;ST=1&amp;nLang=0</t>
  </si>
  <si>
    <t>cumpleaños</t>
  </si>
  <si>
    <t>https://www.clickideacore.com/ClickHTML5/Visit.aspx?ID=//58DAEwASwAzADYAMwA0ADcANAA1ADQASQBEAEUAQQA2=&amp;Tipo=2&amp;ST=1&amp;nLang=0</t>
  </si>
  <si>
    <t>https://www.clickideacore.com/ClickHTML5/Visit.aspx?ID=//5DDAEwASwAzADYAMwAzADgAMgAzADUASQBEAEUAQQA0=&amp;Tipo=2&amp;ST=1&amp;nLang=0</t>
  </si>
  <si>
    <t>https://www.clickideacore.com/ClickHTML5/Visit.aspx?ID=//5BDAEwASwAzADYAMwAzADYAMAA0ADkASQBEAEUAQQA7=&amp;Tipo=2&amp;ST=1&amp;nLang=0</t>
  </si>
  <si>
    <t>https://www.clickideacore.com/ClickHTML5/Visit.aspx?ID=//58DAEwASwAzADYAMwAzADYAOAAzADQASQBEAEUAQQAE=&amp;Tipo=2&amp;ST=1&amp;nLang=0</t>
  </si>
  <si>
    <t>https://www.clickideacore.com/ClickHTML5/Visit.aspx?ID=//5DDAEwASwAzADYAMwA0ADEAOAAzADgASQBEAEUAQQA7=&amp;Tipo=2&amp;ST=1&amp;nLang=0</t>
  </si>
  <si>
    <t>https://www.clickideacore.com/ClickHTML5/Visit.aspx?ID=//5BDAEwASwAzADYAMwA0ADUAOQA0ADQASQBEAEUAQQA4=&amp;Tipo=2&amp;ST=1&amp;nLang=0</t>
  </si>
  <si>
    <t>https://www.clickideacore.com/ClickHTML5/Visit.aspx?ID=//5CDAEwASwAzADYAMwA0ADAANQA4ADIASQBEAEUAQQA5=&amp;Tipo=2&amp;ST=1&amp;nLang=0</t>
  </si>
  <si>
    <t>https://www.clickideacore.com/ClickHTML5/Visit.aspx?ID=//56DAEwASwAzADYAMwA0ADAANgA3ADcASQBEAEUAQQA1=&amp;Tipo=2&amp;ST=1&amp;nLang=0</t>
  </si>
  <si>
    <t>https://www.clickideacore.com/ClickHTML5/Visit.aspx?ID=//5FDAEwASwAzADYAMwAzADgAMQA0ADUASQBEAEUAQQA0=&amp;Tipo=2&amp;ST=1&amp;nLang=0</t>
  </si>
  <si>
    <t>https://www.clickideacore.com/ClickHTML5/Visit.aspx?ID=//5CDAEwASwAzADYAMwAzADkAMgAwADUASQBEAEUAQQA5=&amp;Tipo=2&amp;ST=1&amp;nLang=0</t>
  </si>
  <si>
    <t>https://www.clickideacore.com/ClickHTML5/Visit.aspx?ID=//57DAEwASwAzADYAMwA0ADIANQA1ADQASQBEAEUAQQA6=&amp;Tipo=2&amp;ST=1&amp;nLang=0</t>
  </si>
  <si>
    <t>https://www.clickideacore.com/ClickHTML5/Visit.aspx?ID=//53DAEwASwAzADYAMwAzADUAMgA1ADgASQBEAEUAQQA9=&amp;Tipo=2&amp;ST=1&amp;nLang=0</t>
  </si>
  <si>
    <t>https://www.clickideacore.com/ClickHTML5/Visit.aspx?ID=//5BDAEwASwAzADYAMwA2ADgANQAxADUASQBEAEUAQQA7=&amp;Tipo=2&amp;ST=1&amp;nLang=0</t>
  </si>
  <si>
    <t>https://www.clickideacore.com/ClickHTML5/Visit.aspx?ID=//5CDAEwASwAzADYAMwA0ADYANQA5ADkASQBEAEUAQQA5=&amp;Tipo=2&amp;ST=1&amp;nLang=0</t>
  </si>
  <si>
    <t>https://www.clickideacore.com/ClickHTML5/Visit.aspx?ID=//54DAEwASwAzADYAMwAzADgANQA0ADUASQBEAEUAQQA6=&amp;Tipo=2&amp;ST=1&amp;nLang=0</t>
  </si>
  <si>
    <t>https://www.clickideacore.com/ClickHTML5/Visit.aspx?ID=//55DAEwASwAzADYAMwAzADMAMwA2ADQASQBEAEUAQQA3=&amp;Tipo=2&amp;ST=1&amp;nLang=0</t>
  </si>
  <si>
    <t>https://www.clickideacore.com/ClickHTML5/Visit.aspx?ID=//54DAEwASwAzADYAMwA1ADgAMAAyADAASQBEAEUAQQAC=&amp;Tipo=2&amp;ST=1&amp;nLang=0</t>
  </si>
  <si>
    <t>https://www.clickideacore.com/ClickHTML5/Visit.aspx?ID=//5ADAEwASwAzADYAMwA1ADgANwA4ADYASQBEAEUAQQA9=&amp;Tipo=2&amp;ST=1&amp;nLang=0</t>
  </si>
  <si>
    <t>https://www.clickideacore.com/ClickHTML5/Visit.aspx?ID=//51DAEwASwAzADYAMwA2ADcANAAwADkASQBEAEUAQQA3=&amp;Tipo=2&amp;ST=1&amp;nLang=0</t>
  </si>
  <si>
    <t>https://www.clickideacore.com/ClickHTML5/Visit.aspx?ID=//58DAEwASwAzADYAMwA3ADcANwA5ADYASQBEAEUAQQA1=&amp;Tipo=2&amp;ST=1&amp;nLang=0</t>
  </si>
  <si>
    <t>https://www.clickideacore.com/ClickHTML5/Visit.aspx?ID=//50DAEwASwAzADYAMwA3ADMAMgA5ADgASQBEAEUAQQA7=&amp;Tipo=2&amp;ST=1&amp;nLang=0</t>
  </si>
  <si>
    <t>https://www.clickideacore.com/ClickHTML5/Visit.aspx?ID=//59DAEwASwAzADYAMwA3ADIAMwA2ADcASQBEAEUAQQA2=&amp;Tipo=2&amp;ST=1&amp;nLang=0</t>
  </si>
  <si>
    <t>https://www.clickideacore.com/ClickHTML5/Visit.aspx?ID=//54DAEwASwAzADYAMwA3ADQANgA1ADEASQBEAEUAQQAA=&amp;Tipo=2&amp;ST=1&amp;nLang=0</t>
  </si>
  <si>
    <t>https://www.clickideacore.com/ClickHTML5/Visit.aspx?ID=//56DAEwASwAzADYAMwA3ADUANQA0ADQASQBEAEUAQQA7=&amp;Tipo=2&amp;ST=1&amp;nLang=0</t>
  </si>
  <si>
    <t>https://www.clickideacore.com/ClickHTML5/Visit.aspx?ID=//5ADAEwASwAzADYAMwA3ADQANQA0ADIASQBEAEUAQQA5=&amp;Tipo=2&amp;ST=1&amp;nLang=0</t>
  </si>
  <si>
    <t>https://www.clickideacore.com/ClickHTML5/Visit.aspx?ID=//50DAEwASwAzADYAMwA3ADYAMQA1ADcASQBEAEUAQQAB=&amp;Tipo=2&amp;ST=1&amp;nLang=0</t>
  </si>
  <si>
    <t>https://www.clickideacore.com/ClickHTML5/Visit.aspx?ID=//5BDAEwASwAzADYAMwA3ADQANAAyADIASQBEAEUAQQA3=&amp;Tipo=2&amp;ST=1&amp;nLang=0</t>
  </si>
  <si>
    <t>https://www.clickideacore.com/ClickHTML5/Visit.aspx?ID=//53DAEwASwAzADYAMwA3ADMAOAAyADMASQBEAEUAQQA6=&amp;Tipo=2&amp;ST=1&amp;nLang=0</t>
  </si>
  <si>
    <t>https://www.clickideacore.com/ClickHTML5/Visit.aspx?ID=//5CDAEwASwAzADYAMwA3ADEAMgA4ADAASQBEAEUAQQA2=&amp;Tipo=2&amp;ST=1&amp;nLang=0</t>
  </si>
  <si>
    <t>https://www.clickideacore.com/ClickHTML5/Visit.aspx?ID=//5FDAEwASwAzADYAMwA3ADEAOAA3ADIASQBEAEUAQQA5=&amp;Tipo=2&amp;ST=1&amp;nLang=0</t>
  </si>
  <si>
    <t>https://www.clickideacore.com/ClickHTML5/Visit.aspx?ID=//56DAEwASwAzADYAMwA3ADQAOAA2ADMASQBEAEUAQQA4=&amp;Tipo=2&amp;ST=1&amp;nLang=0</t>
  </si>
  <si>
    <t>https://www.clickideacore.com/ClickHTML5/Visit.aspx?ID=//5ADAEwASwAzADYAMwA3ADgAMQA1ADYASQBEAEUAQQA8=&amp;Tipo=2&amp;ST=1&amp;nLang=0</t>
  </si>
  <si>
    <t>https://www.clickideacore.com/ClickHTML5/Visit.aspx?ID=//51DAEwASwAzADYAMwA3ADEAOQAwADAASQBEAEUAQQA3=&amp;Tipo=2&amp;ST=1&amp;nLang=0</t>
  </si>
  <si>
    <t>https://www.clickideacore.com/ClickHTML5/Visit.aspx?ID=//5CDAEwASwAzADYAMwA4ADgANgA1ADcASQBEAEUAQQAE=&amp;Tipo=2&amp;ST=1&amp;nLang=0</t>
  </si>
  <si>
    <t>https://www.clickideacore.com/ClickHTML5/Visit.aspx?ID=//54DAEwASwAzADYAMwA4ADgAMgA3ADMASQBEAEUAQQAB=&amp;Tipo=2&amp;ST=1&amp;nLang=0</t>
  </si>
  <si>
    <t>https://www.clickideacore.com/ClickHTML5/Visit.aspx?ID=//57DAEwASwAzADYAMwA4ADkANQAwADIASQBEAEUAQQA1=&amp;Tipo=2&amp;ST=1&amp;nLang=0</t>
  </si>
  <si>
    <t>https://www.clickideacore.com/ClickHTML5/Visit.aspx?ID=//55DAEwASwAzADYAMwA5ADcAMAAzADMASQBEAEUAQQA7=&amp;Tipo=2&amp;ST=1&amp;nLang=0</t>
  </si>
  <si>
    <t>https://www.clickideacore.com/ClickHTML5/Visit.aspx?ID=//56DAEwASwAzADYAMwA5ADIAOAA1ADcASQBEAEUAQQA6=&amp;Tipo=2&amp;ST=1&amp;nLang=0</t>
  </si>
  <si>
    <t>https://www.clickideacore.com/ClickHTML5/Visit.aspx?ID=//55DAEwASwAzADYAMwA5ADQAMAAyADIASQBEAEUAQQA8=&amp;Tipo=2&amp;ST=1&amp;nLang=0</t>
  </si>
  <si>
    <t>https://www.clickideacore.com/ClickHTML5/Visit.aspx?ID=//52DAEwASwAzADYAMwA4ADkANgA1ADkASQBEAEUAQQAA=&amp;Tipo=2&amp;ST=1&amp;nLang=0</t>
  </si>
  <si>
    <t>https://www.clickideacore.com/ClickHTML5/Visit.aspx?ID=//54DAEwASwAzADYAMwA5ADQAMAA5ADYASQBEAEUAQQAB=&amp;Tipo=2&amp;ST=1&amp;nLang=0</t>
  </si>
  <si>
    <t>https://www.clickideacore.com/ClickHTML5/Visit.aspx?ID=//5FDAEwASwAzADYAMwA5ADIAMwA2ADMASQBEAEUAQQA5=&amp;Tipo=2&amp;ST=1&amp;nLang=0</t>
  </si>
  <si>
    <t>https://www.clickideacore.com/ClickHTML5/Visit.aspx?ID=//5ADAEwASwAzADYANAAwADEANAA2ADUASQBEAEUAQQA1=&amp;Tipo=2&amp;ST=1&amp;nLang=0</t>
  </si>
  <si>
    <t>https://www.clickideacore.com/ClickHTML5/Visit.aspx?ID=//52DAEwASwAzADYAMwA5ADgAOAA3ADcASQBEAEUAQQAA=&amp;Tipo=2&amp;ST=1&amp;nLang=0</t>
  </si>
  <si>
    <t>https://www.clickideacore.com/ClickHTML5/Visit.aspx?ID=//55DAEwASwAzADYAMwA5ADcAMwA5ADEASQBEAEUAQQA9=&amp;Tipo=2&amp;ST=1&amp;nLang=0</t>
  </si>
  <si>
    <t>https://www.clickideacore.com/ClickHTML5/Visit.aspx?ID=//5CDAEwASwAzADYAMwA4ADUAOAA0ADEASQBEAEUAQQA8=&amp;Tipo=2&amp;ST=1&amp;nLang=0</t>
  </si>
  <si>
    <t>https://www.clickideacore.com/ClickHTML5/Visit.aspx?ID=//5EDAEwASwAzADYANAAwADYAMwA5ADIASQBEAEUAQQAA=&amp;Tipo=2&amp;ST=1&amp;nLang=0</t>
  </si>
  <si>
    <t>https://www.clickideacore.com/ClickHTML5/Visit.aspx?ID=//5CDAEwASwAzADYANAAwADgAMwAxADEASQBEAEUAQQA1=&amp;Tipo=2&amp;ST=1&amp;nLang=0</t>
  </si>
  <si>
    <t>https://www.clickideacore.com/ClickHTML5/Visit.aspx?ID=//58DAEwASwAzADYANAAxADQAOQA5ADMASQBEAEUAQQA9=&amp;Tipo=2&amp;ST=1&amp;nLang=0</t>
  </si>
  <si>
    <t>https://www.clickideacore.com/ClickHTML5/Visit.aspx?ID=//5EDAEwASwAzADYANAAyADAANQAxADIASQBEAEUAQQAC=&amp;Tipo=2&amp;ST=1&amp;nLang=0</t>
  </si>
  <si>
    <t>https://www.clickideacore.com/ClickHTML5/Visit.aspx?ID=//5ADAEwASwAzADYANAAyADUAMQA2ADIASQBEAEUAQQAA=&amp;Tipo=2&amp;ST=1&amp;nLang=0</t>
  </si>
  <si>
    <t>https://www.clickideacore.com/ClickHTML5/Visit.aspx?ID=//59DAEwASwAzADYANAAxADUAMwAyADkASQBEAEUAQQA2=&amp;Tipo=2&amp;ST=1&amp;nLang=0</t>
  </si>
  <si>
    <t>https://www.clickideacore.com/ClickHTML5/Visit.aspx?ID=//57DAEwASwAzADYANAAxADQANwAxADUASQBEAEUAQQA4=&amp;Tipo=2&amp;ST=1&amp;nLang=0</t>
  </si>
  <si>
    <t>https://www.clickideacore.com/ClickHTML5/Visit.aspx?ID=//59DAEwASwAzADYANAAxADIAMgA1ADkASQBEAEUAQQA8=&amp;Tipo=2&amp;ST=1&amp;nLang=0</t>
  </si>
  <si>
    <t>https://www.clickideacore.com/ClickHTML5/Visit.aspx?ID=//5BDAEwASwAzADYANAAxADEAMgA5ADkASQBEAEUAQQAE=&amp;Tipo=2&amp;ST=1&amp;nLang=0</t>
  </si>
  <si>
    <t>https://www.clickideacore.com/ClickHTML5/Visit.aspx?ID=//58DAEwASwAzADYANAAwADkAMQA5ADQASQBEAEUAQQA0=&amp;Tipo=2&amp;ST=1&amp;nLang=0</t>
  </si>
  <si>
    <t>https://www.clickideacore.com/ClickHTML5/Visit.aspx?ID=//5CDAEwASwAzADYANAAwADcANgA4ADMASQBEAEUAQQAB=&amp;Tipo=2&amp;ST=1&amp;nLang=0</t>
  </si>
  <si>
    <t>https://www.clickideacore.com/ClickHTML5/Visit.aspx?ID=//5FDAEwASwAzADYANAAyADIANAAwADIASQBEAEUAQQAC=&amp;Tipo=2&amp;ST=1&amp;nLang=0</t>
  </si>
  <si>
    <t>https://www.clickideacore.com/ClickHTML5/Visit.aspx?ID=//54DAEwASwAzADYANAAxADUAOQAyADkASQBEAEUAQQA1=&amp;Tipo=2&amp;ST=1&amp;nLang=0</t>
  </si>
  <si>
    <t>https://www.clickideacore.com/ClickHTML5/Visit.aspx?ID=//51DAEwASwAzADYANAAwADYANQA3ADQASQBEAEUAQQAE=&amp;Tipo=2&amp;ST=1&amp;nLang=0</t>
  </si>
  <si>
    <t>https://www.clickideacore.com/ClickHTML5/Visit.aspx?ID=//5BDAEwASwAzADYANAAzADIAMgA5ADMASQBEAEUAQQAF=&amp;Tipo=2&amp;ST=1&amp;nLang=0</t>
  </si>
  <si>
    <t>https://www.clickideacore.com/ClickHTML5/Visit.aspx?ID=//5DDAEwASwAzADYANAAzADAAOAAwADEASQBEAEUAQQAD=&amp;Tipo=2&amp;ST=1&amp;nLang=0</t>
  </si>
  <si>
    <t>https://www.clickideacore.com/ClickHTML5/Visit.aspx?ID=//55DAEwASwAzADYANAA0ADAAOQA2ADEASQBEAEUAQQAA=&amp;Tipo=2&amp;ST=1&amp;nLang=0</t>
  </si>
  <si>
    <t>https://www.clickideacore.com/ClickHTML5/Visit.aspx?ID=//5BDAEwASwAzADYANAA0ADQAMQA5ADgASQBEAEUAQQAF=&amp;Tipo=2&amp;ST=1&amp;nLang=0</t>
  </si>
  <si>
    <t>https://www.clickideacore.com/ClickHTML5/Visit.aspx?ID=//54DAEwASwAzADYANAA0ADMAMAAxADEASQBEAEUAQQA4=&amp;Tipo=2&amp;ST=1&amp;nLang=0</t>
  </si>
  <si>
    <t>https://www.clickideacore.com/ClickHTML5/Visit.aspx?ID=//5FDAEwASwAzADYANAA0ADIAOQA1ADkASQBEAEUAQQAD=&amp;Tipo=2&amp;ST=1&amp;nLang=0</t>
  </si>
  <si>
    <t>https://www.clickideacore.com/ClickHTML5/Visit.aspx?ID=//52DAEwASwAzADYANAAzADUAOQA0ADYASQBEAEUAQQAF=&amp;Tipo=2&amp;ST=1&amp;nLang=0</t>
  </si>
  <si>
    <t>https://www.clickideacore.com/ClickHTML5/Visit.aspx?ID=//5CDAEwASwAzADYANAAzADQAOQAwADEASQBEAEUAQQA4=&amp;Tipo=2&amp;ST=1&amp;nLang=0</t>
  </si>
  <si>
    <t>https://www.clickideacore.com/ClickHTML5/Visit.aspx?ID=//55DAEwASwAzADYANAAzADYAOQA5ADMASQBEAEUAQQA1=&amp;Tipo=2&amp;ST=1&amp;nLang=0</t>
  </si>
  <si>
    <t>https://www.clickideacore.com/ClickHTML5/Visit.aspx?ID=//53DAEwASwAzADYANAAzADcANgAwADgASQBEAEUAQQAB=&amp;Tipo=2&amp;ST=1&amp;nLang=0</t>
  </si>
  <si>
    <t>https://www.clickideacore.com/ClickHTML5/Visit.aspx?ID=//50DAEwASwAzADYANAAzADYAMwA3ADkASQBEAEUAQQA1=&amp;Tipo=2&amp;ST=1&amp;nLang=0</t>
  </si>
  <si>
    <t>https://www.clickideacore.com/ClickHTML5/Visit.aspx?ID=//55DAEwASwAzADYANAAzADEANAA0ADgASQBEAEUAQQA1=&amp;Tipo=2&amp;ST=1&amp;nLang=0</t>
  </si>
  <si>
    <t>https://www.clickideacore.com/ClickHTML5/Visit.aspx?ID=//52DAEwASwAzADYANAAzADkANgAyADYASQBEAEUAQQAF=&amp;Tipo=2&amp;ST=1&amp;nLang=0</t>
  </si>
  <si>
    <t>https://www.clickideacore.com/ClickHTML5/Visit.aspx?ID=//57DAEwASwAzADYANAA0ADYAMgA2ADAASQBEAEUAQQA3=&amp;Tipo=2&amp;ST=1&amp;nLang=0</t>
  </si>
  <si>
    <t>https://www.clickideacore.com/ClickHTML5/Visit.aspx?ID=//58DAEwASwAzADYANAA0ADIANQA0ADIASQBEAEUAQQA6=&amp;Tipo=2&amp;ST=1&amp;nLang=0</t>
  </si>
  <si>
    <t>https://www.clickideacore.com/ClickHTML5/Visit.aspx?ID=//5FDAEwASwAzADYANAA1ADgAMQA5ADQASQBEAEUAQQA2=&amp;Tipo=2&amp;ST=1&amp;nLang=0</t>
  </si>
  <si>
    <t>https://www.clickideacore.com/ClickHTML5/Visit.aspx?ID=//5DDAEwASwAzADYANAA1ADcAMAAyADkASQBEAEUAQQAA=&amp;Tipo=2&amp;ST=1&amp;nLang=0</t>
  </si>
  <si>
    <t>https://www.clickideacore.com/ClickHTML5/Visit.aspx?ID=//55DAEwASwAzADYANAA1ADgAOAA0ADUASQBEAEUAQQA4=&amp;Tipo=2&amp;ST=1&amp;nLang=0</t>
  </si>
  <si>
    <t>https://www.clickideacore.com/ClickHTML5/Visit.aspx?ID=//5FDAEwASwAzADYANAA2ADcANwA5ADMASQBEAEUAQQAF=&amp;Tipo=2&amp;ST=1&amp;nLang=0</t>
  </si>
  <si>
    <t>https://www.clickideacore.com/ClickHTML5/Visit.aspx?ID=//57DAEwASwAzADYANAA2ADEAMAA2ADEASQBEAEUAQQA6=&amp;Tipo=2&amp;ST=1&amp;nLang=0</t>
  </si>
  <si>
    <t>https://www.clickideacore.com/ClickHTML5/Visit.aspx?ID=//51DAEwASwAzADYANAA2ADEAMAA4ADYASQBEAEUAQQA0=&amp;Tipo=2&amp;ST=1&amp;nLang=0</t>
  </si>
  <si>
    <t>https://www.clickideacore.com/ClickHTML5/Visit.aspx?ID=//58DAEwASwAzADYANAA1ADkANAA2ADYASQBEAEUAQQA4=&amp;Tipo=2&amp;ST=1&amp;nLang=0</t>
  </si>
  <si>
    <t>https://www.clickideacore.com/ClickHTML5/Visit.aspx?ID=//5EDAEwASwAzADYANAA1ADkANAAzADAASQBEAEUAQQA5=&amp;Tipo=2&amp;ST=1&amp;nLang=0</t>
  </si>
  <si>
    <t>https://www.clickideacore.com/ClickHTML5/Visit.aspx?ID=//57DAEwASwAzADYANAA5ADAAOAA2ADUASQBEAEUAQQAA=&amp;Tipo=2&amp;ST=1&amp;nLang=0</t>
  </si>
  <si>
    <t>https://www.clickideacore.com/ClickHTML5/Visit.aspx?ID=//55DAEwASwAzADYANAA2ADgAMAAyADIASQBEAEUAQQA8=&amp;Tipo=2&amp;ST=1&amp;nLang=0</t>
  </si>
  <si>
    <t>https://www.clickideacore.com/ClickHTML5/Visit.aspx?ID=//54DAEwASwAzADYANAA1ADgAOAAzADcASQBEAEUAQQA8=&amp;Tipo=2&amp;ST=1&amp;nLang=0</t>
  </si>
  <si>
    <t>https://www.clickideacore.com/ClickHTML5/Visit.aspx?ID=//50DAEwASwAzADYANAA2ADcANgA5ADYASQBEAEUAQQAD=&amp;Tipo=2&amp;ST=1&amp;nLang=0</t>
  </si>
  <si>
    <t>https://www.clickideacore.com/ClickHTML5/Visit.aspx?ID=//53DAEwASwAzADYANAA1ADMANAA2ADIASQBEAEUAQQA6=&amp;Tipo=2&amp;ST=1&amp;nLang=0</t>
  </si>
  <si>
    <t>https://www.clickideacore.com/ClickHTML5/Visit.aspx?ID=//50DAEwASwAzADYANAA4ADAANgA1ADcASQBEAEUAQQAF=&amp;Tipo=2&amp;ST=1&amp;nLang=0</t>
  </si>
  <si>
    <t>https://www.clickideacore.com/ClickHTML5/Visit.aspx?ID=//54DAEwASwAzADYANAA4ADAAMQA2ADgASQBEAEUAQQAA=&amp;Tipo=2&amp;ST=1&amp;nLang=0</t>
  </si>
  <si>
    <t>https://www.clickideacore.com/ClickHTML5/Visit.aspx?ID=//5BDAEwASwAzADYANAA4ADkANwAyADcASQBEAEUAQQA7=&amp;Tipo=2&amp;ST=1&amp;nLang=0</t>
  </si>
  <si>
    <t>https://www.clickideacore.com/ClickHTML5/Visit.aspx?ID=//54DAEwASwAzADYANAA4ADgAMwA2ADgASQBEAEUAQQA2=&amp;Tipo=2&amp;ST=1&amp;nLang=0</t>
  </si>
  <si>
    <t>https://www.clickideacore.com/ClickHTML5/Visit.aspx?ID=//50DAEwASwAzADYANQAxADIAMQA4ADkASQBEAEUAQQA7=&amp;Tipo=2&amp;ST=1&amp;nLang=0</t>
  </si>
  <si>
    <t>https://www.clickideacore.com/ClickHTML5/Visit.aspx?ID=//54DAEwASwAzADYANQAwADIANgAxADgASQBEAEUAQQAF=&amp;Tipo=2&amp;ST=1&amp;nLang=0</t>
  </si>
  <si>
    <t>https://www.clickideacore.com/ClickHTML5/Visit.aspx?ID=//5DDAEwASwAzADYANAA5ADgANgA1ADEASQBEAEUAQQAA=&amp;Tipo=2&amp;ST=1&amp;nLang=0</t>
  </si>
  <si>
    <t>https://www.clickideacore.com/ClickHTML5/Visit.aspx?ID=//58DAEwASwAzADYANQAwADYAMwA3ADEASQBEAEUAQQA4=&amp;Tipo=2&amp;ST=1&amp;nLang=0</t>
  </si>
  <si>
    <t>https://www.clickideacore.com/ClickHTML5/Visit.aspx?ID=//58DAEwASwAzADYANQAwADUAMQAxADQASQBEAEUAQQA8=&amp;Tipo=2&amp;ST=1&amp;nLang=0</t>
  </si>
  <si>
    <t>https://www.clickideacore.com/ClickHTML5/Visit.aspx?ID=//5BDAEwASwAzADYANQAwADQANgAxADEASQBEAEUAQQAE=&amp;Tipo=2&amp;ST=1&amp;nLang=0</t>
  </si>
  <si>
    <t>https://www.clickideacore.com/ClickHTML5/Visit.aspx?ID=//57DAEwASwAzADYANQAwADAAMgA4ADQASQBEAEUAQQAB=&amp;Tipo=2&amp;ST=1&amp;nLang=0</t>
  </si>
  <si>
    <t>https://www.clickideacore.com/ClickHTML5/Visit.aspx?ID=//56DAEwASwAzADYANQAwADAAOAA0ADEASQBEAEUAQQA1=&amp;Tipo=2&amp;ST=1&amp;nLang=0</t>
  </si>
  <si>
    <t>https://www.clickideacore.com/ClickHTML5/Visit.aspx?ID=//58DAEwASwAzADYANQAwADQAOAAwADYASQBEAEUAQQA6=&amp;Tipo=2&amp;ST=1&amp;nLang=0</t>
  </si>
  <si>
    <t>https://www.clickideacore.com/ClickHTML5/Visit.aspx?ID=//5CDAEwASwAzADYANQAwADMANwAxADQASQBEAEUAQQAC=&amp;Tipo=2&amp;ST=1&amp;nLang=0</t>
  </si>
  <si>
    <t>https://www.clickideacore.com/ClickHTML5/Visit.aspx?ID=//5DDAEwASwAzADYANAA5ADEAMAA0ADAASQBEAEUAQQAC=&amp;Tipo=2&amp;ST=1&amp;nLang=0</t>
  </si>
  <si>
    <t>https://www.clickideacore.com/ClickHTML5/Visit.aspx?ID=//50DAEwASwAzADYANQAxADMAOQA1ADEASQBEAEUAQQAB=&amp;Tipo=2&amp;ST=1&amp;nLang=0</t>
  </si>
  <si>
    <t>https://www.clickideacore.com/ClickHTML5/Visit.aspx?ID=//5BDAEwASwAzADYANQAxADEAMAA4ADAASQBEAEUAQQA7=&amp;Tipo=2&amp;ST=1&amp;nLang=0</t>
  </si>
  <si>
    <t>https://www.clickideacore.com/ClickHTML5/Visit.aspx?ID=//5BDAEwASwAzADYANQAwADYAMAA0ADMASQBEAEUAQQA6=&amp;Tipo=2&amp;ST=1&amp;nLang=0</t>
  </si>
  <si>
    <t>https://www.clickideacore.com/ClickHTML5/Visit.aspx?ID=//5FDAEwASwAzADYANQAxADIANwAzADcASQBEAEUAQQA5=&amp;Tipo=2&amp;ST=1&amp;nLang=0</t>
  </si>
  <si>
    <t>https://www.clickideacore.com/ClickHTML5/Visit.aspx?ID=//5EDAEwASwAzADYANQAxADIAOQA2ADQASQBEAEUAQQA8=&amp;Tipo=2&amp;ST=1&amp;nLang=0</t>
  </si>
  <si>
    <t>https://www.clickideacore.com/ClickHTML5/Visit.aspx?ID=//53DAEwASwAzADYANAA5ADgAOAA2ADYASQBEAEUAQQA6=&amp;Tipo=2&amp;ST=1&amp;nLang=0</t>
  </si>
  <si>
    <t>Falta</t>
  </si>
  <si>
    <t>https://www.clickideacore.com/ClickHTML5/Visit.aspx?ID=//51DAEwASwAzADYANQAyADMANQAxADkASQBEAEUAQQAE=&amp;Tipo=2&amp;ST=1&amp;nLang=0</t>
  </si>
  <si>
    <t>https://www.clickideacore.com/ClickHTML5/Visit.aspx?ID=//5FDAEwASwAzADYANQAyADUAMgAxADMASQBEAEUAQQA5=&amp;Tipo=2&amp;ST=1&amp;nLang=0</t>
  </si>
  <si>
    <t>https://www.clickideacore.com/ClickHTML5/Visit.aspx?ID=//5FDAEwASwAzADYANQAyADQAOAAyADcASQBEAEUAQQA1=&amp;Tipo=2&amp;ST=1&amp;nLang=0</t>
  </si>
  <si>
    <t>https://www.clickideacore.com/ClickHTML5/Visit.aspx?ID=//5CDAEwASwAzADYANQAzADAAMwA3ADQASQBEAEUAQQAD=&amp;Tipo=2&amp;ST=1&amp;nLang=0</t>
  </si>
  <si>
    <t>https://www.clickideacore.com/ClickHTML5/Visit.aspx?ID=//58DAEwASwAzADYANQAyADQAMwA4ADcASQBEAEUAQQA2=&amp;Tipo=2&amp;ST=1&amp;nLang=0</t>
  </si>
  <si>
    <t>https://www.clickideacore.com/ClickHTML5/Visit.aspx?ID=//57DAEwASwAzADYANQAyADgAMQA3ADUASQBEAEUAQQA0=&amp;Tipo=2&amp;ST=1&amp;nLang=0</t>
  </si>
  <si>
    <t>https://www.clickideacore.com/ClickHTML5/Visit.aspx?ID=//5EDAEwASwAzADYANQAyADUANQA5ADEASQBEAEUAQQA3=&amp;Tipo=2&amp;ST=1&amp;nLang=0</t>
  </si>
  <si>
    <t>https://www.clickideacore.com/ClickHTML5/Visit.aspx?ID=//57DAEwASwAzADYANQAyADgANQA2ADQASQBEAEUAQQAB=&amp;Tipo=2&amp;ST=1&amp;nLang=0</t>
  </si>
  <si>
    <t>https://www.clickideacore.com/ClickHTML5/Visit.aspx?ID=//54DAEwASwAzADYANQAzADQAMQA2ADgASQBEAEUAQQAB=&amp;Tipo=2&amp;ST=1&amp;nLang=0</t>
  </si>
  <si>
    <t>https://www.clickideacore.com/ClickHTML5/Visit.aspx?ID=//56DAEwASwAzADYANQAxADcAOQAyADUASQBEAEUAQQA9=&amp;Tipo=2&amp;ST=1&amp;nLang=0</t>
  </si>
  <si>
    <t>https://www.clickideacore.com/ClickHTML5/Visit.aspx?ID=//5EDAEwASwAzADYANQA3ADkAOAAxADgASQBEAEUAQQA3=&amp;Tipo=2&amp;ST=1&amp;nLang=0</t>
  </si>
  <si>
    <t>https://www.clickideacore.com/ClickHTML5/Visit.aspx?ID=//59DAEwASwAzADYANQA3ADAANwA2ADAASQBEAEUAQQAA=&amp;Tipo=2&amp;ST=1&amp;nLang=0</t>
  </si>
  <si>
    <t>https://www.clickideacore.com/ClickHTML5/Visit.aspx?ID=//5BDAEwASwAzADYANQA2ADcAMQA4ADcASQBEAEUAQQAB=&amp;Tipo=2&amp;ST=1&amp;nLang=0</t>
  </si>
  <si>
    <t>https://www.clickideacore.com/ClickHTML5/Visit.aspx?ID=//58DAEwASwAzADYANQA3ADQAMQAwADIASQBEAEUAQQA2=&amp;Tipo=2&amp;ST=1&amp;nLang=0</t>
  </si>
  <si>
    <t>https://www.clickideacore.com/ClickHTML5/Visit.aspx?ID=//5DDAEwASwAzADYANQA3ADcANAAwADgASQBEAEUAQQA0=&amp;Tipo=2&amp;ST=1&amp;nLang=0</t>
  </si>
  <si>
    <t>https://www.clickideacore.com/ClickHTML5/Visit.aspx?ID=//5DDAEwASwAzADYANQA3ADUANAA1ADAASQBEAEUAQQA8=&amp;Tipo=2&amp;ST=1&amp;nLang=0</t>
  </si>
  <si>
    <t>https://www.clickideacore.com/ClickHTML5/Visit.aspx?ID=//57DAEwASwAzADYANQA3ADAAMgAwADcASQBEAEUAQQA7=&amp;Tipo=2&amp;ST=1&amp;nLang=0</t>
  </si>
  <si>
    <t>https://www.clickideacore.com/ClickHTML5/Visit.aspx?ID=//54DAEwASwAzADYANQA3ADEAMQA1ADkASQBEAEUAQQA7=&amp;Tipo=2&amp;ST=1&amp;nLang=0</t>
  </si>
  <si>
    <t>https://www.clickideacore.com/ClickHTML5/Visit.aspx?ID=//54DAEwASwAzADYANQA3ADIAOAAwADgASQBEAEUAQQAA=&amp;Tipo=2&amp;ST=1&amp;nLang=0</t>
  </si>
  <si>
    <t>https://www.clickideacore.com/ClickHTML5/Visit.aspx?ID=//58DAEwASwAzADYANQA3ADUAMwA2ADgASQBEAEUAQQA6=&amp;Tipo=2&amp;ST=1&amp;nLang=0</t>
  </si>
  <si>
    <t>https://www.clickideacore.com/ClickHTML5/Visit.aspx?ID=//5ADAEwASwAzADYANQA2ADkAOQAzADcASQBEAEUAQQA7=&amp;Tipo=2&amp;ST=1&amp;nLang=0</t>
  </si>
  <si>
    <t>https://www.clickideacore.com/ClickHTML5/Visit.aspx?ID=//5CDAEwASwAzADYANQA3ADkAMAA1ADEASQBEAEUAQQAD=&amp;Tipo=2&amp;ST=1&amp;nLang=0</t>
  </si>
  <si>
    <t>https://www.clickideacore.com/ClickHTML5/Visit.aspx?ID=//5CDAEwASwAzADYANQA3ADIAMAAzADgASQBEAEUAQQAF=&amp;Tipo=2&amp;ST=1&amp;nLang=0</t>
  </si>
  <si>
    <t>https://www.clickideacore.com/ClickHTML5/Visit.aspx?ID=//52DAEwASwAzADYANQA4ADEAMQA3ADUASQBEAEUAQQAE=&amp;Tipo=2&amp;ST=1&amp;nLang=0</t>
  </si>
  <si>
    <t>https://www.clickideacore.com/ClickHTML5/Visit.aspx?ID=//5DDAEwASwAzADYANQA2ADYAMgAxADUASQBEAEUAQQA6=&amp;Tipo=2&amp;ST=1&amp;nLang=0</t>
  </si>
  <si>
    <t>https://www.clickideacore.com/ClickHTML5/Visit.aspx?ID=//5EDAEwASwAzADYANgAwADIAMgA3ADgASQBEAEUAQQAA=&amp;Tipo=2&amp;ST=1&amp;nLang=0</t>
  </si>
  <si>
    <t>https://www.clickideacore.com/ClickHTML5/Visit.aspx?ID=//56DAEwASwAzADYANQA5ADMANQA4ADUASQBEAEUAQQAE=&amp;Tipo=2&amp;ST=1&amp;nLang=0</t>
  </si>
  <si>
    <t>https://www.clickideacore.com/ClickHTML5/Visit.aspx?ID=//57DAEwASwAzADYANQA5ADEANgAyADQASQBEAEUAQQA9=&amp;Tipo=2&amp;ST=1&amp;nLang=0</t>
  </si>
  <si>
    <t>https://www.clickideacore.com/ClickHTML5/Visit.aspx?ID=//5BDAEwASwAzADYANQA5ADQAMQA2ADgASQBEAEUAQQAB=&amp;Tipo=2&amp;ST=1&amp;nLang=0</t>
  </si>
  <si>
    <t>https://www.clickideacore.com/ClickHTML5/Visit.aspx?ID=//5ADAEwASwAzADYANQA5ADcANwA2ADEASQBEAEUAQQAE=&amp;Tipo=2&amp;ST=1&amp;nLang=0</t>
  </si>
  <si>
    <t>https://www.clickideacore.com/ClickHTML5/Visit.aspx?ID=//5ADAEwASwAzADYANQA5ADcAMQAwADIASQBEAEUAQQAD=&amp;Tipo=2&amp;ST=1&amp;nLang=0</t>
  </si>
  <si>
    <t>https://www.clickideacore.com/ClickHTML5/Visit.aspx?ID=//5DDAEwASwAzADYANQA5ADIAMwA4ADcASQBEAEUAQQA4=&amp;Tipo=2&amp;ST=1&amp;nLang=0</t>
  </si>
  <si>
    <t>https://www.clickideacore.com/ClickHTML5/Visit.aspx?ID=//50DAEwASwAzADYANQA5ADQANwA0ADIASQBEAEUAQQA2=&amp;Tipo=2&amp;ST=1&amp;nLang=0</t>
  </si>
  <si>
    <t>https://www.clickideacore.com/ClickHTML5/Visit.aspx?ID=//51DAEwASwAzADYANQA5ADIANwA2ADcASQBEAEUAQQA4=&amp;Tipo=2&amp;ST=1&amp;nLang=0</t>
  </si>
  <si>
    <t>https://www.clickideacore.com/ClickHTML5/Visit.aspx?ID=//5EDAEwASwAzADYANgAwADEAMAA0ADcASQBEAEUAQQAA=&amp;Tipo=2&amp;ST=1&amp;nLang=0</t>
  </si>
  <si>
    <t>https://www.clickideacore.com/ClickHTML5/Visit.aspx?ID=//5EDAEwASwAzADYANQA5ADEANAAxADgASQBEAEUAQQA8=&amp;Tipo=2&amp;ST=1&amp;nLang=0</t>
  </si>
  <si>
    <t>https://www.clickideacore.com/ClickHTML5/Visit.aspx?ID=//5DDAEwASwAzADYANQA5ADAAMAAxADQASQBEAEUAQQA3=&amp;Tipo=2&amp;ST=1&amp;nLang=0</t>
  </si>
  <si>
    <t>https://www.clickideacore.com/ClickHTML5/Visit.aspx?ID=//5BDAEwASwAzADYANgAwADAANAA1ADIASQBEAEUAQQA1=&amp;Tipo=2&amp;ST=1&amp;nLang=0</t>
  </si>
  <si>
    <t>https://www.clickideacore.com/ClickHTML5/Visit.aspx?ID=//50DAEwASwAzADYANQA5ADEANQA4ADkASQBEAEUAQQAA=&amp;Tipo=2&amp;ST=1&amp;nLang=0</t>
  </si>
  <si>
    <t>https://www.clickideacore.com/ClickHTML5/Visit.aspx?ID=//54DAEwASwAzADYANgAwADIAMwA1ADYASQBEAEUAQQA6=&amp;Tipo=2&amp;ST=1&amp;nLang=0</t>
  </si>
  <si>
    <t>https://www.clickideacore.com/ClickHTML5/Visit.aspx?ID=//51DAEwASwAzADYANQA4ADkAOAA4ADIASQBEAEUAQQA5=&amp;Tipo=2&amp;ST=1&amp;nLang=0</t>
  </si>
  <si>
    <t>https://www.clickideacore.com/ClickHTML5/Visit.aspx?ID=//53DAEwASwAzADYANgAxADQAOAA5ADYASQBEAEUAQQAB=&amp;Tipo=2&amp;ST=1&amp;nLang=0</t>
  </si>
  <si>
    <t>https://www.clickideacore.com/ClickHTML5/Visit.aspx?ID=//5ADAEwASwAzADYANgAxADUAMAAxADcASQBEAEUAQQAC=&amp;Tipo=2&amp;ST=1&amp;nLang=0</t>
  </si>
  <si>
    <t>https://www.clickideacore.com/ClickHTML5/Visit.aspx?ID=//5ADAEwASwAzADYANgA0ADUAMAA4ADkASQBEAEUAQQAD=&amp;Tipo=2&amp;ST=1&amp;nLang=0</t>
  </si>
  <si>
    <t>https://www.clickideacore.com/ClickHTML5/Visit.aspx?ID=//54DAEwASwAzADYANgAzADIAOQA4ADcASQBEAEUAQQAC=&amp;Tipo=2&amp;ST=1&amp;nLang=0</t>
  </si>
  <si>
    <t>https://www.clickideacore.com/ClickHTML5/Visit.aspx?ID=//51DAEwASwAzADYANgAzADEANgAzADEASQBEAEUAQQA3=&amp;Tipo=2&amp;ST=1&amp;nLang=0</t>
  </si>
  <si>
    <t>https://www.clickideacore.com/ClickHTML5/Visit.aspx?ID=//54DAEwASwAzADYANgAzADYAOAAzADEASQBEAEUAQQA1=&amp;Tipo=2&amp;ST=1&amp;nLang=0</t>
  </si>
  <si>
    <t>https://www.clickideacore.com/ClickHTML5/Visit.aspx?ID=//57DAEwASwAzADYANgA0ADEAMQAyADEASQBEAEUAQQAD=&amp;Tipo=2&amp;ST=1&amp;nLang=0</t>
  </si>
  <si>
    <t>https://www.clickideacore.com/ClickHTML5/Visit.aspx?ID=//5CDAEwASwAzADYANgAzADcAMwA3ADkASQBEAEUAQQA4=&amp;Tipo=2&amp;ST=1&amp;nLang=0</t>
  </si>
  <si>
    <t>https://www.clickideacore.com/ClickHTML5/Visit.aspx?ID=//57DAEwASwAzADYANgAzADMANgAzADYASQBEAEUAQQA2=&amp;Tipo=2&amp;ST=1&amp;nLang=0</t>
  </si>
  <si>
    <t>https://www.clickideacore.com/ClickHTML5/Visit.aspx?ID=//56DAEwASwAzADYANgAzADgAMAA4ADIASQBEAEUAQQA6=&amp;Tipo=2&amp;ST=1&amp;nLang=0</t>
  </si>
  <si>
    <t>https://www.clickideacore.com/ClickHTML5/Visit.aspx?ID=//55DAEwASwAzADYANgA0ADEAMwA3ADYASQBEAEUAQQA9=&amp;Tipo=2&amp;ST=1&amp;nLang=0</t>
  </si>
  <si>
    <t>https://www.clickideacore.com/ClickHTML5/Visit.aspx?ID=//51DAEwASwAzADYANgAzADEAOQAxADYASQBEAEUAQQAF=&amp;Tipo=2&amp;ST=1&amp;nLang=0</t>
  </si>
  <si>
    <t>https://www.clickideacore.com/ClickHTML5/Visit.aspx?ID=//5BDAEwASwAzADYANgA0ADcAMwA0ADIASQBEAEUAQQA3=&amp;Tipo=2&amp;ST=1&amp;nLang=0</t>
  </si>
  <si>
    <t>https://www.clickideacore.com/ClickHTML5/Visit.aspx?ID=//51DAEwASwAzADYANgA0ADUANwAxADAASQBEAEUAQQAB=&amp;Tipo=2&amp;ST=1&amp;nLang=0</t>
  </si>
  <si>
    <t>https://www.clickideacore.com/ClickHTML5/Visit.aspx?ID=//54DAEwASwAzADYANgA0ADAAOAA0ADgASQBEAEUAQQA5=&amp;Tipo=2&amp;ST=1&amp;nLang=0</t>
  </si>
  <si>
    <t>https://www.clickideacore.com/ClickHTML5/Visit.aspx?ID=//51DAEwASwAzADYANgA0ADYANQAyADQASQBEAEUAQQA2=&amp;Tipo=2&amp;ST=1&amp;nLang=0</t>
  </si>
  <si>
    <t>https://www.clickideacore.com/ClickHTML5/Visit.aspx?ID=//5CDAEwASwAzADYANgAzADAAMgAxADgASQBEAEUAQQA5=&amp;Tipo=2&amp;ST=1&amp;nLang=0</t>
  </si>
  <si>
    <t>https://www.clickideacore.com/ClickHTML5/Visit.aspx?ID=//57DAEwASwAzADYANgA2ADcAMwA5ADUASQBEAEUAQQA9=&amp;Tipo=2&amp;ST=1&amp;nLang=0</t>
  </si>
  <si>
    <t>https://www.clickideacore.com/ClickHTML5/Visit.aspx?ID=//59DAEwASwAzADYANgA1ADgANQA1ADkASQBEAEUAQQAA=&amp;Tipo=2&amp;ST=1&amp;nLang=0</t>
  </si>
  <si>
    <t>https://www.clickideacore.com/ClickHTML5/Visit.aspx?ID=//50DAEwASwAzADYANgA1ADYANQAxADYASQBEAEUAQQA9=&amp;Tipo=2&amp;ST=1&amp;nLang=0</t>
  </si>
  <si>
    <t>30</t>
  </si>
  <si>
    <t>https://www.clickideacore.com/ClickHTML5/Visit.aspx?ID=//54DAEwASwAzADYANgA1ADUAMgA5ADQASQBEAEUAQQA1=&amp;Tipo=2&amp;ST=1&amp;nLang=0</t>
  </si>
  <si>
    <t>https://www.clickideacore.com/ClickHTML5/Visit.aspx?ID=//5EDAEwASwAzADYANgA1ADQANAA3ADcASQBEAEUAQQAB=&amp;Tipo=2&amp;ST=1&amp;nLang=0</t>
  </si>
  <si>
    <t>https://www.clickideacore.com/ClickHTML5/Visit.aspx?ID=//50DAEwASwAzADYANgA1ADkAMAAxADkASQBEAEUAQQAF=&amp;Tipo=2&amp;ST=1&amp;nLang=0</t>
  </si>
  <si>
    <t>https://www.clickideacore.com/ClickHTML5/Visit.aspx?ID=//5ADAEwASwAzADYANgA1ADgAMwA4ADAASQBEAEUAQQA6=&amp;Tipo=2&amp;ST=1&amp;nLang=0</t>
  </si>
  <si>
    <t>https://www.clickideacore.com/ClickHTML5/Visit.aspx?ID=//5DDAEwASwAzADYANgA2ADAANwA2ADgASQBEAEUAQQA5=&amp;Tipo=2&amp;ST=1&amp;nLang=0</t>
  </si>
  <si>
    <t>https://www.clickideacore.com/ClickHTML5/Visit.aspx?ID=//5DDAEwASwAzADYANgA1ADgAOAAxADcASQBEAEUAQQA5=&amp;Tipo=2&amp;ST=1&amp;nLang=0</t>
  </si>
  <si>
    <t>https://www.clickideacore.com/ClickHTML5/Visit.aspx?ID=//50DAEwASwAzADYANgA3ADAAOAA3ADcASQBEAEUAQQAD=&amp;Tipo=2&amp;ST=1&amp;nLang=0</t>
  </si>
  <si>
    <t>https://www.clickideacore.com/ClickHTML5/Visit.aspx?ID=//56DAEwASwAzADYANgA2ADcAOQA3ADcASQBEAEUAQQAB=&amp;Tipo=2&amp;ST=1&amp;nLang=0</t>
  </si>
  <si>
    <t>https://www.clickideacore.com/ClickHTML5/Visit.aspx?ID=//56DAEwASwAzADYANgA1ADcAMwAwADcASQBEAEUAQQA4=&amp;Tipo=2&amp;ST=1&amp;nLang=0</t>
  </si>
  <si>
    <t>https://www.clickideacore.com/ClickHTML5/Visit.aspx?ID=//5ADAEwASwAzADYANgA2ADkANAA1ADMASQBEAEUAQQA4=&amp;Tipo=2&amp;ST=1&amp;nLang=0</t>
  </si>
  <si>
    <t>https://www.clickideacore.com/ClickHTML5/Visit.aspx?ID=//59DAEwASwAzADYANgA1ADEAOAA1ADkASQBEAEUAQQAB=&amp;Tipo=2&amp;ST=1&amp;nLang=0</t>
  </si>
  <si>
    <t>https://www.clickideacore.com/ClickHTML5/Visit.aspx?ID=//59DAEwASwAzADYANgA4ADkANwAwADcASQBEAEUAQQA5=&amp;Tipo=2&amp;ST=1&amp;nLang=0</t>
  </si>
  <si>
    <t>https://www.clickideacore.com/ClickHTML5/Visit.aspx?ID=//57DAEwASwAzADYANgA3ADcANAA4ADMASQBEAEUAQQA8=&amp;Tipo=2&amp;ST=1&amp;nLang=0</t>
  </si>
  <si>
    <t>https://www.clickideacore.com/ClickHTML5/Visit.aspx?ID=//50DAEwASwAzADYANgA3ADgAMAAyADkASQBEAEUAQQA1=&amp;Tipo=2&amp;ST=1&amp;nLang=0</t>
  </si>
  <si>
    <t>https://www.clickideacore.com/ClickHTML5/Visit.aspx?ID=//50DAEwASwAzADYANgA4ADQAMAAzADQASQBEAEUAQQAD=&amp;Tipo=2&amp;ST=1&amp;nLang=0</t>
  </si>
  <si>
    <t>https://www.clickideacore.com/ClickHTML5/Visit.aspx?ID=//5EDAEwASwAzADYANgA5ADAAMwAwADkASQBEAEUAQQA4=&amp;Tipo=2&amp;ST=1&amp;nLang=0</t>
  </si>
  <si>
    <t>https://www.clickideacore.com/ClickHTML5/Visit.aspx?ID=//55DAEwASwAzADYANgA4ADUAOAA1ADQASQBEAEUAQQAF=&amp;Tipo=2&amp;ST=1&amp;nLang=0</t>
  </si>
  <si>
    <t>https://www.clickideacore.com/ClickHTML5/Visit.aspx?ID=//5EDAEwASwAzADYANgA4ADIAOAA2ADYASQBEAEUAQQA2=&amp;Tipo=2&amp;ST=1&amp;nLang=0</t>
  </si>
  <si>
    <t>https://www.clickideacore.com/ClickHTML5/Visit.aspx?ID=//55DAEwASwAzADYANgA4ADMANgA0ADYASQBEAEUAQQA3=&amp;Tipo=2&amp;ST=1&amp;nLang=0</t>
  </si>
  <si>
    <t>Andres Moya</t>
  </si>
  <si>
    <t>https://www.clickideacore.com/ClickHTML5/Visit.aspx?ID=//5DDAEwASwAzADYANgA3ADkAMQAzADIASQBEAEUAQQAE=&amp;Tipo=2&amp;ST=1&amp;nLang=0</t>
  </si>
  <si>
    <t>https://www.clickideacore.com/ClickHTML5/Visit.aspx?ID=//5FDAEwASwAzADYANgA3ADkANAAyADMASQBEAEUAQQA5=&amp;Tipo=2&amp;ST=1&amp;nLang=0</t>
  </si>
  <si>
    <t>https://www.clickideacore.com/ClickHTML5/Visit.aspx?ID=//5BDAEwASwAzADYANgA5ADEAOAA2ADcASQBEAEUAQQAA=&amp;Tipo=2&amp;ST=1&amp;nLang=0</t>
  </si>
  <si>
    <t>https://www.clickideacore.com/ClickHTML5/Visit.aspx?ID=//5EDAEwASwAzADYANgA5ADAANgA5ADAASQBEAEUAQQA2=&amp;Tipo=2&amp;ST=1&amp;nLang=0</t>
  </si>
  <si>
    <t>https://www.clickideacore.com/ClickHTML5/Visit.aspx?ID=//5EDAEwASwAzADYANgA4ADQAMwAyADUASQBEAEUAQQAA=&amp;Tipo=2&amp;ST=1&amp;nLang=0</t>
  </si>
  <si>
    <t>https://www.clickideacore.com/ClickHTML5/Visit.aspx?ID=//5DDAEwASwAzADYANgA5ADAAMwAwADUASQBEAEUAQQA3=&amp;Tipo=2&amp;ST=1&amp;nLang=0</t>
  </si>
  <si>
    <t>https://www.clickideacore.com/ClickHTML5/Visit.aspx?ID=//56DAEwASwAzADYANgA3ADUANgA0ADMASQBEAEUAQQA1=&amp;Tipo=2&amp;ST=1&amp;nLang=0</t>
  </si>
  <si>
    <t>https://www.clickideacore.com/ClickHTML5/Visit.aspx?ID=//5DDAEwASwAzADYANwAxADEAMAAwADIASQBEAEUAQQA1=&amp;Tipo=2&amp;ST=1&amp;nLang=0</t>
  </si>
  <si>
    <t>https://www.clickideacore.com/ClickHTML5/Visit.aspx?ID=//56DAEwASwAzADYANwAwADAAMAAzADcASQBEAEUAQQA4=&amp;Tipo=2&amp;ST=1&amp;nLang=0</t>
  </si>
  <si>
    <t>https://www.clickideacore.com/ClickHTML5/Visit.aspx?ID=//58DAEwASwAzADYANgA5ADkAMwA2ADEASQBEAEUAQQA9=&amp;Tipo=2&amp;ST=1&amp;nLang=0</t>
  </si>
  <si>
    <t>https://www.clickideacore.com/ClickHTML5/Visit.aspx?ID=//58DAEwASwAzADYANwAwADQAMQA5ADEASQBEAEUAQQA8=&amp;Tipo=2&amp;ST=1&amp;nLang=0</t>
  </si>
  <si>
    <t>https://www.clickideacore.com/ClickHTML5/Visit.aspx?ID=//58DAEwASwAzADYANwAxADAANwA1ADIASQBEAEUAQQA7=&amp;Tipo=2&amp;ST=1&amp;nLang=0</t>
  </si>
  <si>
    <t>https://www.clickideacore.com/ClickHTML5/Visit.aspx?ID=//59DAEwASwAzADYANwAwADgAMQAwADAASQBEAEUAQQA2=&amp;Tipo=2&amp;ST=1&amp;nLang=0</t>
  </si>
  <si>
    <t>https://www.clickideacore.com/ClickHTML5/Visit.aspx?ID=//57DAEwASwAzADYANgA5ADcAOAAxADMASQBEAEUAQQAB=&amp;Tipo=2&amp;ST=1&amp;nLang=0</t>
  </si>
  <si>
    <t>https://www.clickideacore.com/ClickHTML5/Visit.aspx?ID=//54DAEwASwAzADYANwAwADUAMwA3ADQASQBEAEUAQQA8=&amp;Tipo=2&amp;ST=1&amp;nLang=0</t>
  </si>
  <si>
    <t>https://www.clickideacore.com/ClickHTML5/Visit.aspx?ID=//52DAEwASwAzADYANwAwADUANwA4ADcASQBEAEUAQQA2=&amp;Tipo=2&amp;ST=1&amp;nLang=0</t>
  </si>
  <si>
    <t>https://www.clickideacore.com/ClickHTML5/Visit.aspx?ID=//52DAEwASwAzADYANwAxADAANAA4ADIASQBEAEUAQQA3=&amp;Tipo=2&amp;ST=1&amp;nLang=0</t>
  </si>
  <si>
    <t>https://www.clickideacore.com/ClickHTML5/Visit.aspx?ID=//51DAEwASwAzADYANwAwADEANgAxADIASQBEAEUAQQA9=&amp;Tipo=2&amp;ST=1&amp;nLang=0</t>
  </si>
  <si>
    <t>https://www.clickideacore.com/ClickHTML5/Visit.aspx?ID=//5CDAEwASwAzADYANwA0ADgAMwA3ADQASQBEAEUAQQA4=&amp;Tipo=2&amp;ST=1&amp;nLang=0</t>
  </si>
  <si>
    <t>https://www.clickideacore.com/ClickHTML5/Visit.aspx?ID=//5FDAEwASwAzADYANwAxADAAMwA4ADMASQBEAEUAQQA3=&amp;Tipo=2&amp;ST=1&amp;nLang=0</t>
  </si>
  <si>
    <t>https://www.clickideacore.com/ClickHTML5/Visit.aspx?ID=//5CDAEwASwAzADYANwAzADAAMwA2ADAASQBEAEUAQQAF=&amp;Tipo=2&amp;ST=1&amp;nLang=0</t>
  </si>
  <si>
    <t>https://www.clickideacore.com/ClickHTML5/Visit.aspx?ID=//5BDAEwASwAzADYANwAxADAANwAzADAASQBEAEUAQQA1=&amp;Tipo=2&amp;ST=1&amp;nLang=0</t>
  </si>
  <si>
    <t>https://www.clickideacore.com/ClickHTML5/Visit.aspx?ID=//51DAEwASwAzADYANwAyADcANQAzADMASQBEAEUAQQA0=&amp;Tipo=2&amp;ST=1&amp;nLang=0</t>
  </si>
  <si>
    <t>https://www.clickideacore.com/ClickHTML5/Visit.aspx?ID=//53DAEwASwAzADYANwAyADcANQAwADYASQBEAEUAQQAD=&amp;Tipo=2&amp;ST=1&amp;nLang=0</t>
  </si>
  <si>
    <t>https://www.clickideacore.com/ClickHTML5/Visit.aspx?ID=//5EDAEwASwAzADYANwAyADcANAA0ADMASQBEAEUAQQA3=&amp;Tipo=2&amp;ST=1&amp;nLang=0</t>
  </si>
  <si>
    <t>https://www.clickideacore.com/ClickHTML5/Visit.aspx?ID=//5ADAEwASwAzADYANwAzADkAMAA0ADcASQBEAEUAQQAD=&amp;Tipo=2&amp;ST=1&amp;nLang=0</t>
  </si>
  <si>
    <t>https://www.clickideacore.com/ClickHTML5/Visit.aspx?ID=//50DAEwASwAzADYANwA0ADAAMQAzADIASQBEAEUAQQA9=&amp;Tipo=2&amp;ST=1&amp;nLang=0</t>
  </si>
  <si>
    <t>https://www.clickideacore.com/ClickHTML5/Visit.aspx?ID=//57DAEwASwAzADYANwA0ADcAMQA3ADAASQBEAEUAQQA9=&amp;Tipo=2&amp;ST=1&amp;nLang=0</t>
  </si>
  <si>
    <t>https://www.clickideacore.com/ClickHTML5/Visit.aspx?ID=//59DAEwASwAzADYANwA1ADcAMwAwADcASQBEAEUAQQA3=&amp;Tipo=2&amp;ST=1&amp;nLang=0</t>
  </si>
  <si>
    <t>https://www.clickideacore.com/ClickHTML5/Visit.aspx?ID=//51DAEwASwAzADYANwA1ADMAOAA4ADcASQBEAEUAQQA1=&amp;Tipo=2&amp;ST=1&amp;nLang=0</t>
  </si>
  <si>
    <t>https://www.clickideacore.com/ClickHTML5/Visit.aspx?ID=//5CDAEwASwAzADYANwA1ADQAMAA3ADkASQBEAEUAQQAA=&amp;Tipo=2&amp;ST=1&amp;nLang=0</t>
  </si>
  <si>
    <t>https://www.clickideacore.com/ClickHTML5/Visit.aspx?ID=//5EDAEwASwAzADYANwA1ADcAOAAxADMASQBEAEUAQQA1=&amp;Tipo=2&amp;ST=1&amp;nLang=0</t>
  </si>
  <si>
    <t>https://www.clickideacore.com/ClickHTML5/Visit.aspx?ID=//52DAEwASwAzADYANwA1ADQANgAyADIASQBEAEUAQQA3=&amp;Tipo=2&amp;ST=1&amp;nLang=0</t>
  </si>
  <si>
    <t>https://www.clickideacore.com/ClickHTML5/Visit.aspx?ID=//51DAEwASwAzADYANwA1ADQAMAA1ADEASQBEAEUAQQA8=&amp;Tipo=2&amp;ST=1&amp;nLang=0</t>
  </si>
  <si>
    <t>https://www.clickideacore.com/ClickHTML5/Visit.aspx?ID=//51DAEwASwAzADYANwA1ADMAOAAwADEASQBEAEUAQQAB=&amp;Tipo=2&amp;ST=1&amp;nLang=0</t>
  </si>
  <si>
    <t>https://www.clickideacore.com/ClickHTML5/Visit.aspx?ID=//58DAEwASwAzADYANwA1ADIAMwA4ADkASQBEAEUAQQA8=&amp;Tipo=2&amp;ST=1&amp;nLang=0</t>
  </si>
  <si>
    <t>https://www.clickideacore.com/ClickHTML5/Visit.aspx?ID=//55DAEwASwAzADYANwA1ADIANgA3ADkASQBEAEUAQQA2=&amp;Tipo=2&amp;ST=1&amp;nLang=0</t>
  </si>
  <si>
    <t>https://www.clickideacore.com/ClickHTML5/Visit.aspx?ID=//51DAEwASwAzADYANwA1ADUAMwA5ADIASQBEAEUAQQA8=&amp;Tipo=2&amp;ST=1&amp;nLang=0</t>
  </si>
  <si>
    <t>https://www.clickideacore.com/ClickHTML5/Visit.aspx?ID=//57DAEwASwAzADYANwA1ADcAOQA4ADQASQBEAEUAQQA6=&amp;Tipo=2&amp;ST=1&amp;nLang=0</t>
  </si>
  <si>
    <t>https://www.clickideacore.com/ClickHTML5/Visit.aspx?ID=//5ADAEwASwAzADYANwA1ADIAMQAwADMASQBEAEUAQQA5=&amp;Tipo=2&amp;ST=1&amp;nLang=0</t>
  </si>
  <si>
    <t>https://www.clickideacore.com/ClickHTML5/Visit.aspx?ID=//55DAEwASwAzADYANwA3ADkAMgA2ADQASQBEAEUAQQA7=&amp;Tipo=2&amp;ST=1&amp;nLang=0</t>
  </si>
  <si>
    <t>https://www.clickideacore.com/ClickHTML5/Visit.aspx?ID=//5EDAEwASwAzADYANwA3ADAAMQA5ADgASQBEAEUAQQAC=&amp;Tipo=2&amp;ST=1&amp;nLang=0</t>
  </si>
  <si>
    <t>https://www.clickideacore.com/ClickHTML5/Visit.aspx?ID=//5FDAEwASwAzADYANwA4ADQAMgA0ADUASQBEAEUAQQAC=&amp;Tipo=2&amp;ST=1&amp;nLang=0</t>
  </si>
  <si>
    <t>https://www.clickideacore.com/ClickHTML5/Visit.aspx?ID=//5FDAEwASwAzADYANwA3ADYAMgA2ADIASQBEAEUAQQA7=&amp;Tipo=2&amp;ST=1&amp;nLang=0</t>
  </si>
  <si>
    <t>https://www.clickideacore.com/ClickHTML5/Visit.aspx?ID=//50DAEwASwAzADYANwA3ADEAMQA2ADcASQBEAEUAQQA0=&amp;Tipo=2&amp;ST=1&amp;nLang=0</t>
  </si>
  <si>
    <t>https://www.clickideacore.com/ClickHTML5/Visit.aspx?ID=//59DAEwASwAzADYANwA3ADYANQAwADcASQBEAEUAQQAC=&amp;Tipo=2&amp;ST=1&amp;nLang=0</t>
  </si>
  <si>
    <t>https://www.clickideacore.com/ClickHTML5/Visit.aspx?ID=//5FDAEwASwAzADYANwA3ADMAMwAwADgASQBEAEUAQQA2=&amp;Tipo=2&amp;ST=1&amp;nLang=0</t>
  </si>
  <si>
    <t>https://www.clickideacore.com/ClickHTML5/Visit.aspx?ID=//53DAEwASwAzADYANwA3ADEAMQAxADgASQBEAEUAQQAF=&amp;Tipo=2&amp;ST=1&amp;nLang=0</t>
  </si>
  <si>
    <t>https://www.clickideacore.com/ClickHTML5/Visit.aspx?ID=//5DDAEwASwAzADYANwA3ADcAOQA5ADAASQBEAEUAQQAA=&amp;Tipo=2&amp;ST=1&amp;nLang=0</t>
  </si>
  <si>
    <t>https://www.clickideacore.com/ClickHTML5/Visit.aspx?ID=//57DAEwASwAzADYANwA3ADMANwA0ADUASQBEAEUAQQAA=&amp;Tipo=2&amp;ST=1&amp;nLang=0</t>
  </si>
  <si>
    <t>https://www.clickideacore.com/ClickHTML5/Visit.aspx?ID=//59DAEwASwAzADYANwA3ADIANQAyADMASQBEAEUAQQA1=&amp;Tipo=2&amp;ST=1&amp;nLang=0</t>
  </si>
  <si>
    <t>https://www.clickideacore.com/ClickHTML5/Visit.aspx?ID=//5FDAEwASwAzADYANwA3ADAAMQAxADUASQBEAEUAQQAE=&amp;Tipo=2&amp;ST=1&amp;nLang=0</t>
  </si>
  <si>
    <t>https://www.clickideacore.com/ClickHTML5/Visit.aspx?ID=//5DDAEwASwAzADYANwA4ADAANAA4ADEASQBEAEUAQQA4=&amp;Tipo=2&amp;ST=1&amp;nLang=0</t>
  </si>
  <si>
    <t>https://www.clickideacore.com/ClickHTML5/Visit.aspx?ID=//59DAEwASwAzADYANwA2ADUAOAAzADAASQBEAEUAQQA3=&amp;Tipo=2&amp;ST=1&amp;nLang=0</t>
  </si>
  <si>
    <t>https://www.clickideacore.com/ClickHTML5/Visit.aspx?ID=//55DAEwASwAzADYAOAAwADQAMAAwADcASQBEAEUAQQAF=&amp;Tipo=2&amp;ST=1&amp;nLang=0</t>
  </si>
  <si>
    <t>https://www.clickideacore.com/ClickHTML5/Visit.aspx?ID=//5BDAEwASwAzADYANwA4ADcAOAA1ADEASQBEAEUAQQA8=&amp;Tipo=2&amp;ST=1&amp;nLang=0</t>
  </si>
  <si>
    <t>https://www.clickideacore.com/ClickHTML5/Visit.aspx?ID=//5ADAEwASwAzADYANwA5ADQANQA3ADYASQBEAEUAQQA4=&amp;Tipo=2&amp;ST=1&amp;nLang=0</t>
  </si>
  <si>
    <t>https://www.clickideacore.com/ClickHTML5/Visit.aspx?ID=//5CDAEwASwAzADYANwA5ADkAOQAxADIASQBEAEUAQQA8=&amp;Tipo=2&amp;ST=1&amp;nLang=0</t>
  </si>
  <si>
    <t>https://www.clickideacore.com/ClickHTML5/Visit.aspx?ID=//5FDAEwASwAzADYANwA5ADcAOQAxADIASQBEAEUAQQA4=&amp;Tipo=2&amp;ST=1&amp;nLang=0</t>
  </si>
  <si>
    <t>https://www.clickideacore.com/ClickHTML5/Visit.aspx?ID=//54DAEwASwAzADYANwA5ADMAOAAwADkASQBEAEUAQQAC=&amp;Tipo=2&amp;ST=1&amp;nLang=0</t>
  </si>
  <si>
    <t>https://www.clickideacore.com/ClickHTML5/Visit.aspx?ID=//5BDAEwASwAzADYANwA5ADQANgA4ADQASQBEAEUAQQA9=&amp;Tipo=2&amp;ST=1&amp;nLang=0</t>
  </si>
  <si>
    <t>https://www.clickideacore.com/ClickHTML5/Visit.aspx?ID=//5FDAEwASwAzADYAOAAwADMANwA1ADcASQBEAEUAQQA7=&amp;Tipo=2&amp;ST=1&amp;nLang=0</t>
  </si>
  <si>
    <t>https://www.clickideacore.com/ClickHTML5/Visit.aspx?ID=//5ADAEwASwAzADYANwA5ADEANQA3ADAASQBEAEUAQQA2=&amp;Tipo=2&amp;ST=1&amp;nLang=0</t>
  </si>
  <si>
    <t>https://www.clickideacore.com/ClickHTML5/Visit.aspx?ID=//51DAEwASwAzADYANwA5ADAAOQAzADMASQBEAEUAQQA7=&amp;Tipo=2&amp;ST=1&amp;nLang=0</t>
  </si>
  <si>
    <t>https://www.clickideacore.com/ClickHTML5/Visit.aspx?ID=//5FDAEwASwAzADYAOAAwADMAMQA3ADIASQBEAEUAQQA1=&amp;Tipo=2&amp;ST=1&amp;nLang=0</t>
  </si>
  <si>
    <t>https://www.clickideacore.com/ClickHTML5/Visit.aspx?ID=//5ADAEwASwAzADYANwA5ADkAOAA0ADgASQBEAEUAQQAB=&amp;Tipo=2&amp;ST=1&amp;nLang=0</t>
  </si>
  <si>
    <t>https://www.clickideacore.com/ClickHTML5/Visit.aspx?ID=//57DAEwASwAzADYANwA5ADAAMgAwADgASQBEAEUAQQA1=&amp;Tipo=2&amp;ST=1&amp;nLang=0</t>
  </si>
  <si>
    <t>https://www.clickideacore.com/ClickHTML5/Visit.aspx?ID=//53DAEwASwAzADYANwA4ADgAMQA5ADMASQBEAEUAQQAA=&amp;Tipo=2&amp;ST=1&amp;nLang=0</t>
  </si>
  <si>
    <t>Día Cumpleaños</t>
  </si>
  <si>
    <t>https://www.clickideacore.com/ClickHTML5/Visit.aspx?ID=//5DDAEwASwAzADYAOAAyADYAMQA4ADMASQBEAEUAQQAB=&amp;Tipo=2&amp;ST=1&amp;nLang=0</t>
  </si>
  <si>
    <t>https://www.clickideacore.com/ClickHTML5/Visit.aspx?ID=//56DAEwASwAzADYAOAAyADcANgAxADAASQBEAEUAQQA8=&amp;Tipo=2&amp;ST=1&amp;nLang=0</t>
  </si>
  <si>
    <t>OP-DYR-00001</t>
  </si>
  <si>
    <t>https://www.clickideacore.com/ClickHTML5/Visit.aspx?ID=//5EDAEwASwAzADYAOAAyADcANwA1ADMASQBEAEUAQQA3=&amp;Tipo=2&amp;ST=1&amp;nLang=0</t>
  </si>
  <si>
    <t>https://www.clickideacore.com/ClickHTML5/Visit.aspx?ID=//55DAEwASwAzADYAOAAyADMANQA5ADkASQBEAEUAQQA6=&amp;Tipo=2&amp;ST=1&amp;nLang=0</t>
  </si>
  <si>
    <t>https://www.clickideacore.com/ClickHTML5/Visit.aspx?ID=//5ADAEwASwAzADYAOAAxADYANAAxADYASQBEAEUAQQA7=&amp;Tipo=2&amp;ST=1&amp;nLang=0</t>
  </si>
  <si>
    <t>https://www.clickideacore.com/ClickHTML5/Visit.aspx?ID=//5DDAEwASwAzADYAOAAxADYAMAA3ADUASQBEAEUAQQAB=&amp;Tipo=2&amp;ST=1&amp;nLang=0</t>
  </si>
  <si>
    <t>https://www.clickideacore.com/ClickHTML5/Visit.aspx?ID=//57DAEwASwAzADYAOAAxADcAOAAwADUASQBEAEUAQQAF=&amp;Tipo=2&amp;ST=1&amp;nLang=0</t>
  </si>
  <si>
    <t>https://www.clickideacore.com/ClickHTML5/Visit.aspx?ID=//5ADAEwASwAzADYAOAAyADYAOAA4ADkASQBEAEUAQQAA=&amp;Tipo=2&amp;ST=1&amp;nLang=0</t>
  </si>
  <si>
    <t>https://www.clickideacore.com/ClickHTML5/Visit.aspx?ID=//5ADAEwASwAzADYAOAAxADgAMgAwADAASQBEAEUAQQAB=&amp;Tipo=2&amp;ST=1&amp;nLang=0</t>
  </si>
  <si>
    <t>https://www.clickideacore.com/ClickHTML5/Visit.aspx?ID=//5CDAEwASwAzADYAOAAyADcAMwA3ADQASQBEAEUAQQA3=&amp;Tipo=2&amp;ST=1&amp;nLang=0</t>
  </si>
  <si>
    <t>https://www.clickideacore.com/ClickHTML5/Visit.aspx?ID=//56DAEwASwAzADYAOAAxADgANAA4ADQASQBEAEUAQQA9=&amp;Tipo=2&amp;ST=1&amp;nLang=0</t>
  </si>
  <si>
    <t>https://www.clickideacore.com/ClickHTML5/Visit.aspx?ID=//56DAEwASwAzADYAOAAxADMAMwAyADYASQBEAEUAQQA3=&amp;Tipo=2&amp;ST=1&amp;nLang=0</t>
  </si>
  <si>
    <t>https://www.clickideacore.com/ClickHTML5/Visit.aspx?ID=//5FDAEwASwAzADYAOAAxADIANwA4ADYASQBEAEUAQQAB=&amp;Tipo=2&amp;ST=1&amp;nLang=0</t>
  </si>
  <si>
    <t>https://www.clickideacore.com/ClickHTML5/Visit.aspx?ID=//5EDAEwASwAzADYAOAA0ADcAMgAxADEASQBEAEUAQQAC=&amp;Tipo=2&amp;ST=1&amp;nLang=0</t>
  </si>
  <si>
    <t>https://www.clickideacore.com/ClickHTML5/Visit.aspx?ID=//59DAEwASwAzADYAOAA0ADIAMgA5ADIASQBEAEUAQQA7=&amp;Tipo=2&amp;ST=1&amp;nLang=0</t>
  </si>
  <si>
    <t>https://www.clickideacore.com/ClickHTML5/Visit.aspx?ID=//53DAEwASwAzADYAOAAzADkAOAA4ADQASQBEAEUAQQA8=&amp;Tipo=2&amp;ST=1&amp;nLang=0</t>
  </si>
  <si>
    <t>https://www.clickideacore.com/ClickHTML5/Visit.aspx?ID=//51DAEwASwAzADYAOAA1ADEAOAA4ADQASQBEAEUAQQA9=&amp;Tipo=2&amp;ST=1&amp;nLang=0</t>
  </si>
  <si>
    <t>https://www.clickideacore.com/ClickHTML5/Visit.aspx?ID=//5ADAEwASwAzADYAOAA0ADQANwAyADUASQBEAEUAQQAC=&amp;Tipo=2&amp;ST=1&amp;nLang=0</t>
  </si>
  <si>
    <t>https://www.clickideacore.com/ClickHTML5/Visit.aspx?ID=//5ADAEwASwAzADYAOAA0ADAAMAAxADIASQBEAEUAQQA7=&amp;Tipo=2&amp;ST=1&amp;nLang=0</t>
  </si>
  <si>
    <t>https://www.clickideacore.com/ClickHTML5/Visit.aspx?ID=//53DAEwASwAzADYAOAA0ADIAOAA1ADQASQBEAEUAQQA2=&amp;Tipo=2&amp;ST=1&amp;nLang=0</t>
  </si>
  <si>
    <t>https://www.clickideacore.com/ClickHTML5/Visit.aspx?ID=//58DAEwASwAzADYAOAA0ADEAMAA4ADYASQBEAEUAQQA6=&amp;Tipo=2&amp;ST=1&amp;nLang=0</t>
  </si>
  <si>
    <t>https://www.clickideacore.com/ClickHTML5/Visit.aspx?ID=//58DAEwASwAzADYAOAA1ADEAOAAxADcASQBEAEUAQQA7=&amp;Tipo=2&amp;ST=1&amp;nLang=0</t>
  </si>
  <si>
    <t>https://www.clickideacore.com/ClickHTML5/Visit.aspx?ID=//58DAEwASwAzADYAOAAzADYAMwA1ADYASQBEAEUAQQAC=&amp;Tipo=2&amp;ST=1&amp;nLang=0</t>
  </si>
  <si>
    <t>https://www.clickideacore.com/ClickHTML5/Visit.aspx?ID=//5CDAEwASwAzADYAOAA1ADEANAA4ADQASQBEAEUAQQA4=&amp;Tipo=2&amp;ST=1&amp;nLang=0</t>
  </si>
  <si>
    <t>https://www.clickideacore.com/ClickHTML5/Visit.aspx?ID=//5FDAEwASwAzADYAOAA0ADYAMAA2ADMASQBEAEUAQQAD=&amp;Tipo=2&amp;ST=1&amp;nLang=0</t>
  </si>
  <si>
    <t>https://www.clickideacore.com/ClickHTML5/Visit.aspx?ID=//58DAEwASwAzADYAOAA1ADEANwA1ADcASQBEAEUAQQA9=&amp;Tipo=2&amp;ST=1&amp;nLang=0</t>
  </si>
  <si>
    <t>https://www.clickideacore.com/ClickHTML5/Visit.aspx?ID=//51DAEwASwAzADYAOAA0ADQAMgA3ADEASQBEAEUAQQA1=&amp;Tipo=2&amp;ST=1&amp;nLang=0</t>
  </si>
  <si>
    <t>https://www.clickideacore.com/ClickHTML5/Visit.aspx?ID=//58DAEwASwAzADYAOAAzADUAOAAwADkASQBEAEUAQQA7=&amp;Tipo=2&amp;ST=1&amp;nLang=0</t>
  </si>
  <si>
    <t>https://www.clickideacore.com/ClickHTML5/Visit.aspx?ID=//50DAEwASwAzADYAOAA2ADMAMwAyADUASQBEAEUAQQAF=&amp;Tipo=2&amp;ST=1&amp;nLang=0</t>
  </si>
  <si>
    <t>https://www.clickideacore.com/ClickHTML5/Visit.aspx?ID=//5ADAEwASwAzADYAOAA2ADIAOQA5ADIASQBEAEUAQQA9=&amp;Tipo=2&amp;ST=1&amp;nLang=0</t>
  </si>
  <si>
    <t>https://www.clickideacore.com/ClickHTML5/Visit.aspx?ID=//54DAEwASwAzADYAOAA3ADIAMwA4ADAASQBEAEUAQQAD=&amp;Tipo=2&amp;ST=1&amp;nLang=0</t>
  </si>
  <si>
    <t>https://www.clickideacore.com/ClickHTML5/Visit.aspx?ID=//5ADAEwASwAzADYAOAA3ADEAMQA3ADQASQBEAEUAQQA3=&amp;Tipo=2&amp;ST=1&amp;nLang=0</t>
  </si>
  <si>
    <t>https://www.clickideacore.com/ClickHTML5/Visit.aspx?ID=//5CDAEwASwAzADYAOAA5ADAANgA5ADQASQBEAEUAQQA6=&amp;Tipo=2&amp;ST=1&amp;nLang=0</t>
  </si>
  <si>
    <t>https://www.clickideacore.com/ClickHTML5/Visit.aspx?ID=//53DAEwASwAzADYAOAA4ADYANQAwADQASQBEAEUAQQA8=&amp;Tipo=2&amp;ST=1&amp;nLang=0</t>
  </si>
  <si>
    <t>https://www.clickideacore.com/ClickHTML5/Visit.aspx?ID=//57DAEwASwAzADYAOAA4ADQANgA0ADgASQBEAEUAQQA3=&amp;Tipo=2&amp;ST=1&amp;nLang=0</t>
  </si>
  <si>
    <t>https://www.clickideacore.com/ClickHTML5/Visit.aspx?ID=//5BDAEwASwAzADYAOAA4ADgANgAwADkASQBEAEUAQQAF=&amp;Tipo=2&amp;ST=1&amp;nLang=0</t>
  </si>
  <si>
    <t>https://www.clickideacore.com/ClickHTML5/Visit.aspx?ID=//5FDAEwASwAzADYAOAA5ADAAMgAxADAASQBEAEUAQQAD=&amp;Tipo=2&amp;ST=1&amp;nLang=0</t>
  </si>
  <si>
    <t>https://www.clickideacore.com/ClickHTML5/Visit.aspx?ID=//54DAEwASwAzADYAOAA4ADYANQA1ADYASQBEAEUAQQAF=&amp;Tipo=2&amp;ST=1&amp;nLang=0</t>
  </si>
  <si>
    <t>https://www.clickideacore.com/ClickHTML5/Visit.aspx?ID=//5FDAEwASwAzADYAOAA4ADMANQAzADEASQBEAEUAQQAE=&amp;Tipo=2&amp;ST=1&amp;nLang=0</t>
  </si>
  <si>
    <t>https://www.clickideacore.com/ClickHTML5/Visit.aspx?ID=//58DAEwASwAzADYAOAA5ADAAMwA1ADYASQBEAEUAQQA8=&amp;Tipo=2&amp;ST=1&amp;nLang=0</t>
  </si>
  <si>
    <t>https://www.clickideacore.com/ClickHTML5/Visit.aspx?ID=//54DAEwASwAzADYAOAA4ADcANgAzADkASQBEAEUAQQA9=&amp;Tipo=2&amp;ST=1&amp;nLang=0</t>
  </si>
  <si>
    <t>https://www.clickideacore.com/ClickHTML5/Visit.aspx?ID=//5DDAEwASwAzADYAOAA5ADUANwAxADgASQBEAEUAQQAB=&amp;Tipo=2&amp;ST=1&amp;nLang=0</t>
  </si>
  <si>
    <t>https://www.clickideacore.com/ClickHTML5/Visit.aspx?ID=//55DAEwASwAzADYAOAA4ADQAOQAyADcASQBEAEUAQQA7=&amp;Tipo=2&amp;ST=1&amp;nLang=0</t>
  </si>
  <si>
    <t>https://www.clickideacore.com/ClickHTML5/Visit.aspx?ID=//54DAEwASwAzADYAOAA4ADYANwA4ADMASQBEAEUAQQAA=&amp;Tipo=2&amp;ST=1&amp;nLang=0</t>
  </si>
  <si>
    <t>https://www.clickideacore.com/ClickHTML5/Visit.aspx?ID=//51DAEwASwAzADYAOAA5ADUAMgA4ADEASQBEAEUAQQA5=&amp;Tipo=2&amp;ST=1&amp;nLang=0</t>
  </si>
  <si>
    <t>https://www.clickideacore.com/ClickHTML5/Visit.aspx?ID=//5BDAEwASwAzADYAOAA5ADMANgA5ADUASQBEAEUAQQA8=&amp;Tipo=2&amp;ST=1&amp;nLang=0</t>
  </si>
  <si>
    <t>https://www.clickideacore.com/ClickHTML5/Visit.aspx?ID=//55DAEwASwAzADYAOAA5ADUAMgA2ADEASQBEAEUAQQA7=&amp;Tipo=2&amp;ST=1&amp;nLang=0</t>
  </si>
  <si>
    <t>https://www.clickideacore.com/ClickHTML5/Visit.aspx?ID=//55DAEwASwAzADYAOAA3ADkAMQA2ADgASQBEAEUAQQA6=&amp;Tipo=2&amp;ST=1&amp;nLang=0</t>
  </si>
  <si>
    <t>https://www.clickideacore.com/ClickHTML5/Visit.aspx?ID=//5CDAEwASwAzADYAOQAxADgANwAyADUASQBEAEUAQQAB=&amp;Tipo=2&amp;ST=1&amp;nLang=0</t>
  </si>
  <si>
    <t>https://www.clickideacore.com/ClickHTML5/Visit.aspx?ID=//5FDAEwASwAzADYAOQAwADgANwA2ADgASQBEAEUAQQAC=&amp;Tipo=2&amp;ST=1&amp;nLang=0</t>
  </si>
  <si>
    <t>https://www.clickideacore.com/ClickHTML5/Visit.aspx?ID=//59DAEwASwAzADYAOQAwADcAMQA1ADAASQBEAEUAQQA1=&amp;Tipo=2&amp;ST=1&amp;nLang=0</t>
  </si>
  <si>
    <t>https://www.clickideacore.com/ClickHTML5/Visit.aspx?ID=//51DAEwASwAzADYAOQAwADkAMAAyADcASQBEAEUAQQA1=&amp;Tipo=2&amp;ST=1&amp;nLang=0</t>
  </si>
  <si>
    <t>https://www.clickideacore.com/ClickHTML5/Visit.aspx?ID=//5ADAEwASwAzADYAOQAxADgAMAAyADYASQBEAEUAQQA3=&amp;Tipo=2&amp;ST=1&amp;nLang=0</t>
  </si>
  <si>
    <t>https://www.clickideacore.com/ClickHTML5/Visit.aspx?ID=//52DAEwASwAzADYAOQAxADIAMAA5ADIASQBEAEUAQQAA=&amp;Tipo=2&amp;ST=1&amp;nLang=0</t>
  </si>
  <si>
    <t>https://www.clickideacore.com/ClickHTML5/Visit.aspx?ID=//50DAEwASwAzADYAOQAxADAAMQA3ADkASQBEAEUAQQAD=&amp;Tipo=2&amp;ST=1&amp;nLang=0</t>
  </si>
  <si>
    <t>https://www.clickideacore.com/ClickHTML5/Visit.aspx?ID=//57DAEwASwAzADYAOQAxADAAOAAxADAASQBEAEUAQQA6=&amp;Tipo=2&amp;ST=1&amp;nLang=0</t>
  </si>
  <si>
    <t>https://www.clickideacore.com/ClickHTML5/Visit.aspx?ID=//51DAEwASwAzADYAOQAwADkAMAA1ADEASQBEAEUAQQAE=&amp;Tipo=2&amp;ST=1&amp;nLang=0</t>
  </si>
  <si>
    <t>https://www.clickideacore.com/ClickHTML5/Visit.aspx?ID=//56DAEwASwAzADYAOQAxADgAMQA0ADMASQBEAEUAQQAE=&amp;Tipo=2&amp;ST=1&amp;nLang=0</t>
  </si>
  <si>
    <t>https://www.clickideacore.com/ClickHTML5/Visit.aspx?ID=//5CDAEwASwAzADYAOQAxADYAMQAyADUASQBEAEUAQQA0=&amp;Tipo=2&amp;ST=1&amp;nLang=0</t>
  </si>
  <si>
    <t>https://www.clickideacore.com/ClickHTML5/Visit.aspx?ID=//5EDAEwASwAzADYAOQAxADkAOQAzADgASQBEAEUAQQAB=&amp;Tipo=2&amp;ST=1&amp;nLang=0</t>
  </si>
  <si>
    <t>https://www.clickideacore.com/ClickHTML5/Visit.aspx?ID=//58DAEwASwAzADYAOQAwADQAMAAwADUASQBEAEUAQQA7=&amp;Tipo=2&amp;ST=1&amp;nLang=0</t>
  </si>
  <si>
    <t>Licencia</t>
  </si>
  <si>
    <t>https://www.clickideacore.com/ClickHTML5/Visit.aspx?ID=//57DAEwASwAzADYAOQA0ADMAOQA0ADUASQBEAEUAQQAA=&amp;Tipo=2&amp;ST=1&amp;nLang=0</t>
  </si>
  <si>
    <t>OP-DYR-011</t>
  </si>
  <si>
    <t>https://www.clickideacore.com/ClickHTML5/Visit.aspx?ID=//52DAEwASwAzADYAOQAyADkAOQAzADUASQBEAEUAQQA4=&amp;Tipo=2&amp;ST=1&amp;nLang=0</t>
  </si>
  <si>
    <t>https://www.clickideacore.com/ClickHTML5/Visit.aspx?ID=//5DDAEwASwAzADYAOQAyADgANwA2ADAASQBEAEUAQQA7=&amp;Tipo=2&amp;ST=1&amp;nLang=0</t>
  </si>
  <si>
    <t>https://www.clickideacore.com/ClickHTML5/Visit.aspx?ID=//5FDAEwASwAzADYAOQAyADkAMQA1ADIASQBEAEUAQQA3=&amp;Tipo=2&amp;ST=1&amp;nLang=0</t>
  </si>
  <si>
    <t>https://www.clickideacore.com/ClickHTML5/Visit.aspx?ID=//5BDAEwASwAzADYAOQAzADQAMwAxADcASQBEAEUAQQA3=&amp;Tipo=2&amp;ST=1&amp;nLang=0</t>
  </si>
  <si>
    <t>https://www.clickideacore.com/ClickHTML5/Visit.aspx?ID=//50DAEwASwAzADYAOQA0ADMAOAA5ADQASQBEAEUAQQAB=&amp;Tipo=2&amp;ST=1&amp;nLang=0</t>
  </si>
  <si>
    <t>https://www.clickideacore.com/ClickHTML5/Visit.aspx?ID=//5BDAEwASwAzADYAOQAzADcANAA0ADYASQBEAEUAQQA6=&amp;Tipo=2&amp;ST=1&amp;nLang=0</t>
  </si>
  <si>
    <t>https://www.clickideacore.com/ClickHTML5/Visit.aspx?ID=//55DAEwASwAzADYAOQA0ADAAMQA3ADAASQBEAEUAQQA8=&amp;Tipo=2&amp;ST=1&amp;nLang=0</t>
  </si>
  <si>
    <t>https://www.clickideacore.com/ClickHTML5/Visit.aspx?ID=//5FDAEwASwAzADYAOQAzADMANAAxADUASQBEAEUAQQAF=&amp;Tipo=2&amp;ST=1&amp;nLang=0</t>
  </si>
  <si>
    <t>https://www.clickideacore.com/ClickHTML5/Visit.aspx?ID=//5FDAEwASwAzADYAOQAyADkAMwAzADEASQBEAEUAQQA7=&amp;Tipo=2&amp;ST=1&amp;nLang=0</t>
  </si>
  <si>
    <t>https://www.clickideacore.com/ClickHTML5/Visit.aspx?ID=//58DAEwASwAzADYAOQAzADkANwA3ADUASQBEAEUAQQAE=&amp;Tipo=2&amp;ST=1&amp;nLang=0</t>
  </si>
  <si>
    <t>https://www.clickideacore.com/ClickHTML5/Visit.aspx?ID=//58DAEwASwAzADYAOQA0ADQAMgA4ADQASQBEAEUAQQA9=&amp;Tipo=2&amp;ST=1&amp;nLang=0</t>
  </si>
  <si>
    <t>https://www.clickideacore.com/ClickHTML5/Visit.aspx?ID=//59DAEwASwAzADYAOQAzADcANwA2ADYASQBEAEUAQQA6=&amp;Tipo=2&amp;ST=1&amp;nLang=0</t>
  </si>
  <si>
    <t>https://www.clickideacore.com/ClickHTML5/Visit.aspx?ID=//5FDAEwASwAzADYAOQAyADcANQAzADUASQBEAEUAQQAB=&amp;Tipo=2&amp;ST=1&amp;nLang=0</t>
  </si>
  <si>
    <t>https://www.clickideacore.com/ClickHTML5/Visit.aspx?ID=//56DAEwASwAzADYAOQA2ADcAOAA1ADIASQBEAEUAQQAE=&amp;Tipo=2&amp;ST=1&amp;nLang=0</t>
  </si>
  <si>
    <t>https://www.clickideacore.com/ClickHTML5/Visit.aspx?ID=//56DAEwASwAzADYAOQA1ADUAOAAzADEASQBEAEUAQQAA=&amp;Tipo=2&amp;ST=1&amp;nLang=0</t>
  </si>
  <si>
    <t>https://www.clickideacore.com/ClickHTML5/Visit.aspx?ID=//52DAEwASwAzADYAOQA1ADMAOAA5ADMASQBEAEUAQQAE=&amp;Tipo=2&amp;ST=1&amp;nLang=0</t>
  </si>
  <si>
    <t>https://www.clickideacore.com/ClickHTML5/Visit.aspx?ID=//5FDAEwASwAzADYAOQA1ADgANwA2ADMASQBEAEUAQQA5=&amp;Tipo=2&amp;ST=1&amp;nLang=0</t>
  </si>
  <si>
    <t>https://www.clickideacore.com/ClickHTML5/Visit.aspx?ID=//5ADAEwASwAzADYAOQA2ADUAMgA1ADYASQBEAEUAQQAB=&amp;Tipo=2&amp;ST=1&amp;nLang=0</t>
  </si>
  <si>
    <t>https://www.clickideacore.com/ClickHTML5/Visit.aspx?ID=//52DAEwASwAzADYAOQA1ADkAMgAzADUASQBEAEUAQQA2=&amp;Tipo=2&amp;ST=1&amp;nLang=0</t>
  </si>
  <si>
    <t>https://www.clickideacore.com/ClickHTML5/Visit.aspx?ID=//5BDAEwASwAzADYAOQA1ADgAMgAwADQASQBEAEUAQQA4=&amp;Tipo=2&amp;ST=1&amp;nLang=0</t>
  </si>
  <si>
    <t>https://www.clickideacore.com/ClickHTML5/Visit.aspx?ID=//56DAEwASwAzADYAOQA1ADgAMwA0ADUASQBEAEUAQQA7=&amp;Tipo=2&amp;ST=1&amp;nLang=0</t>
  </si>
  <si>
    <t>https://www.clickideacore.com/ClickHTML5/Visit.aspx?ID=//5ADAEwASwAzADYAOQA2ADcAMwAzADMASQBEAEUAQQAD=&amp;Tipo=2&amp;ST=1&amp;nLang=0</t>
  </si>
  <si>
    <t>https://www.clickideacore.com/ClickHTML5/Visit.aspx?ID=//59DAEwASwAzADYAOQA2ADIAMwAzADUASQBEAEUAQQA3=&amp;Tipo=2&amp;ST=1&amp;nLang=0</t>
  </si>
  <si>
    <t>https://www.clickideacore.com/ClickHTML5/Visit.aspx?ID=//59DAEwASwAzADYAOQA2ADYAOQA0ADcASQBEAEUAQQAA=&amp;Tipo=2&amp;ST=1&amp;nLang=0</t>
  </si>
  <si>
    <t>https://www.clickideacore.com/ClickHTML5/Visit.aspx?ID=//57DAEwASwAzADYAOQA1ADYANwA1ADYASQBEAEUAQQA4=&amp;Tipo=2&amp;ST=1&amp;nLang=0</t>
  </si>
  <si>
    <t>https://www.clickideacore.com/ClickHTML5/Visit.aspx?ID=//5BDAEwASwAzADYAOQA2ADcANwA1ADEASQBEAEUAQQA1=&amp;Tipo=2&amp;ST=1&amp;nLang=0</t>
  </si>
  <si>
    <t>https://www.clickideacore.com/ClickHTML5/Visit.aspx?ID=//5EDAEwASwAzADYAOQA1ADQANwA0ADMASQBEAEUAQQA4=&amp;Tipo=2&amp;ST=1&amp;nLang=0</t>
  </si>
  <si>
    <t>https://www.clickideacore.com/ClickHTML5/Visit.aspx?ID=//52DAEwASwAzADYAOQA5ADEAMwA0ADcASQBEAEUAQQAE=&amp;Tipo=2&amp;ST=1&amp;nLang=0</t>
  </si>
  <si>
    <t>https://www.clickideacore.com/ClickHTML5/Visit.aspx?ID=//5ADAEwASwAzADYAOQA3ADgANwAxADYASQBEAEUAQQA8=&amp;Tipo=2&amp;ST=1&amp;nLang=0</t>
  </si>
  <si>
    <t>https://www.clickideacore.com/ClickHTML5/Visit.aspx?ID=//52DAEwASwAzADYAOQA4ADAANQA5ADcASQBEAEUAQQAF=&amp;Tipo=2&amp;ST=1&amp;nLang=0</t>
  </si>
  <si>
    <t>https://www.clickideacore.com/ClickHTML5/Visit.aspx?ID=//55DAEwASwAzADYAOQA4ADEAMgAyADEASQBEAEUAQQA9=&amp;Tipo=2&amp;ST=1&amp;nLang=0</t>
  </si>
  <si>
    <t>https://www.clickideacore.com/ClickHTML5/Visit.aspx?ID=//55DAEwASwAzADYAOQA5ADAAOAA1ADQASQBEAEUAQQAC=&amp;Tipo=2&amp;ST=1&amp;nLang=0</t>
  </si>
  <si>
    <t>https://www.clickideacore.com/ClickHTML5/Visit.aspx?ID=//58DAEwASwAzADYAOQA3ADkAMQA5ADcASQBEAEUAQQA2=&amp;Tipo=2&amp;ST=1&amp;nLang=0</t>
  </si>
  <si>
    <t>https://www.clickideacore.com/ClickHTML5/Visit.aspx?ID=//5FDAEwASwAzADYAOQA4ADcAMQA0ADYASQBEAEUAQQAF=&amp;Tipo=2&amp;ST=1&amp;nLang=0</t>
  </si>
  <si>
    <t>https://www.clickideacore.com/ClickHTML5/Visit.aspx?ID=//5ADAEwASwAzADYAOQA4ADcAMQA0ADgASQBEAEUAQQA5=&amp;Tipo=2&amp;ST=1&amp;nLang=0</t>
  </si>
  <si>
    <t>https://www.clickideacore.com/ClickHTML5/Visit.aspx?ID=//5FDAEwASwAzADYAOQA4ADAANAA3ADIASQBEAEUAQQA7=&amp;Tipo=2&amp;ST=1&amp;nLang=0</t>
  </si>
  <si>
    <t>https://www.clickideacore.com/ClickHTML5/Visit.aspx?ID=//5DDAEwASwAzADYAOQA4ADUAMwA2ADkASQBEAEUAQQA9=&amp;Tipo=2&amp;ST=1&amp;nLang=0</t>
  </si>
  <si>
    <t>https://www.clickideacore.com/ClickHTML5/Visit.aspx?ID=//57DAEwASwAzADYAOQA4ADUAMwAyADEASQBEAEUAQQA4=&amp;Tipo=2&amp;ST=1&amp;nLang=0</t>
  </si>
  <si>
    <t>https://www.clickideacore.com/ClickHTML5/Visit.aspx?ID=//5ADAEwASwAzADYAOQA4ADMAMwAxADUASQBEAEUAQQA5=&amp;Tipo=2&amp;ST=1&amp;nLang=0</t>
  </si>
  <si>
    <t>https://www.clickideacore.com/ClickHTML5/Visit.aspx?ID=//59DAEwASwAzADYAOQA4ADEAOQAyADAASQBEAEUAQQA3=&amp;Tipo=2&amp;ST=1&amp;nLang=0</t>
  </si>
  <si>
    <t>https://www.clickideacore.com/ClickHTML5/Visit.aspx?ID=//55DAEwASwAzADYAOQA4ADIAMgAyADIASQBEAEUAQQAD=&amp;Tipo=2&amp;ST=1&amp;nLang=0</t>
  </si>
  <si>
    <t>https://www.clickideacore.com/ClickHTML5/Visit.aspx?ID=//5BDAEwASwAzADYAOQA5ADEAMwA5ADIASQBEAEUAQQA3=&amp;Tipo=2&amp;ST=1&amp;nLang=0</t>
  </si>
  <si>
    <t>https://www.clickideacore.com/ClickHTML5/Visit.aspx?ID=//58DAEwASwAzADYAOQA5ADEANAA1ADEASQBEAEUAQQA7=&amp;Tipo=2&amp;ST=1&amp;nLang=0</t>
  </si>
  <si>
    <t>https://www.clickideacore.com/ClickHTML5/Visit.aspx?ID=//50DAEwASwAzADYAOQA3ADkAMAAxADcASQBEAEUAQQA5=&amp;Tipo=2&amp;ST=1&amp;nLang=0</t>
  </si>
  <si>
    <t>Alejandro Escobar</t>
  </si>
  <si>
    <t>https://www.clickideacore.com/ClickHTML5/Visit.aspx?ID=//59DAEwASwAzADcAMAAwADMANgAxADcASQBEAEUAQQA5=&amp;Tipo=2&amp;ST=1&amp;nLang=0</t>
  </si>
  <si>
    <t>https://www.clickideacore.com/ClickHTML5/Visit.aspx?ID=//52DAEwASwAzADcAMAAwADIAOAAxADAASQBEAEUAQQAC=&amp;Tipo=2&amp;ST=1&amp;nLang=0</t>
  </si>
  <si>
    <t>https://www.clickideacore.com/ClickHTML5/Visit.aspx?ID=//50DAEwASwAzADcAMAAxADEAOAA1ADMASQBEAEUAQQA3=&amp;Tipo=2&amp;ST=1&amp;nLang=0</t>
  </si>
  <si>
    <t>https://www.clickideacore.com/ClickHTML5/Visit.aspx?ID=//55DAEwASwAzADcAMAAyADIANQAwADMASQBEAEUAQQA5=&amp;Tipo=2&amp;ST=1&amp;nLang=0</t>
  </si>
  <si>
    <t>https://www.clickideacore.com/ClickHTML5/Visit.aspx?ID=//5EDAEwASwAzADcAMAAxADkANAAxADAASQBEAEUAQQA8=&amp;Tipo=2&amp;ST=1&amp;nLang=0</t>
  </si>
  <si>
    <t>https://www.clickideacore.com/ClickHTML5/Visit.aspx?ID=//51DAEwASwAzADcAMAAxADcANAA2ADgASQBEAEUAQQA0=&amp;Tipo=2&amp;ST=1&amp;nLang=0</t>
  </si>
  <si>
    <t>https://www.clickideacore.com/ClickHTML5/Visit.aspx?ID=//53DAEwASwAzADcAMAAxADgAOQAxADcASQBEAEUAQQA2=&amp;Tipo=2&amp;ST=1&amp;nLang=0</t>
  </si>
  <si>
    <t>https://www.clickideacore.com/ClickHTML5/Visit.aspx?ID=//58DAEwASwAzADcAMAAyADEAMgA4ADIASQBEAEUAQQA7=&amp;Tipo=2&amp;ST=1&amp;nLang=0</t>
  </si>
  <si>
    <t>https://www.clickideacore.com/ClickHTML5/Visit.aspx?ID=//55DAEwASwAzADcAMAAxADkAMwA4ADEASQBEAEUAQQA7=&amp;Tipo=2&amp;ST=1&amp;nLang=0</t>
  </si>
  <si>
    <t>https://www.clickideacore.com/ClickHTML5/Visit.aspx?ID=//55DAEwASwAzADcAMAAxADgANAAzADQASQBEAEUAQQAA=&amp;Tipo=2&amp;ST=1&amp;nLang=0</t>
  </si>
  <si>
    <t>https://www.clickideacore.com/ClickHTML5/Visit.aspx?ID=//5BDAEwASwAzADcAMAAxADkAMgA4ADMASQBEAEUAQQA1=&amp;Tipo=2&amp;ST=1&amp;nLang=0</t>
  </si>
  <si>
    <t>https://www.clickideacore.com/ClickHTML5/Visit.aspx?ID=//54DAEwASwAzADcAMAAxADkAMAA2ADMASQBEAEUAQQAC=&amp;Tipo=2&amp;ST=1&amp;nLang=0</t>
  </si>
  <si>
    <t>https://www.clickideacore.com/ClickHTML5/Visit.aspx?ID=//5CDAEwASwAzADcAMAAxADcAMgA4ADcASQBEAEUAQQA9=&amp;Tipo=2&amp;ST=1&amp;nLang=0</t>
  </si>
  <si>
    <t>https://www.clickideacore.com/ClickHTML5/Visit.aspx?ID=//5FDAEwASwAzADcAMAAxADgAMwA5ADcASQBEAEUAQQA4=&amp;Tipo=2&amp;ST=1&amp;nLang=0</t>
  </si>
  <si>
    <t>https://www.clickideacore.com/ClickHTML5/Visit.aspx?ID=//55DAEwASwAzADcAMAAyADEANgA3ADMASQBEAEUAQQA7=&amp;Tipo=2&amp;ST=1&amp;nLang=0</t>
  </si>
  <si>
    <t>https://www.clickideacore.com/ClickHTML5/Visit.aspx?ID=//55DAEwASwAzADcAMAAyADAANwA3ADEASQBEAEUAQQA9=&amp;Tipo=2&amp;ST=1&amp;nLang=0</t>
  </si>
  <si>
    <t>https://www.clickideacore.com/ClickHTML5/Visit.aspx?ID=//52DAEwASwAzADcAMAAyADIANwA4ADUASQBEAEUAQQA9=&amp;Tipo=2&amp;ST=1&amp;nLang=0</t>
  </si>
  <si>
    <t>https://www.clickideacore.com/ClickHTML5/Visit.aspx?ID=//5CDAEwASwAzADcAMAAxADYAOQAzADkASQBEAEUAQQA1=&amp;Tipo=2&amp;ST=1&amp;nLang=0</t>
  </si>
  <si>
    <t>https://www.clickideacore.com/ClickHTML5/Visit.aspx?ID=//5FDAEwASwAzADcAMAA0ADYAMAAyADEASQBEAEUAQQAF=&amp;Tipo=2&amp;ST=1&amp;nLang=0</t>
  </si>
  <si>
    <t>https://www.clickideacore.com/ClickHTML5/Visit.aspx?ID=//59DAEwASwAzADcAMAAzADMAMwAzADQASQBEAEUAQQAF=&amp;Tipo=2&amp;ST=1&amp;nLang=0</t>
  </si>
  <si>
    <t>https://www.clickideacore.com/ClickHTML5/Visit.aspx?ID=//56DAEwASwAzADcAMAAzADMAMwA4ADYASQBEAEUAQQAA=&amp;Tipo=2&amp;ST=1&amp;nLang=0</t>
  </si>
  <si>
    <t>https://www.clickideacore.com/ClickHTML5/Visit.aspx?ID=//58DAEwASwAzADcAMAAzADQANQAwADUASQBEAEUAQQAB=&amp;Tipo=2&amp;ST=1&amp;nLang=0</t>
  </si>
  <si>
    <t>https://www.clickideacore.com/ClickHTML5/Visit.aspx?ID=//5BDAEwASwAzADcAMAA0ADIANAA5ADIASQBEAEUAQQA3=&amp;Tipo=2&amp;ST=1&amp;nLang=0</t>
  </si>
  <si>
    <t>https://www.clickideacore.com/ClickHTML5/Visit.aspx?ID=//50DAEwASwAzADcAMAAzADEAMQA2ADAASQBEAEUAQQA2=&amp;Tipo=2&amp;ST=1&amp;nLang=0</t>
  </si>
  <si>
    <t>https://www.clickideacore.com/ClickHTML5/Visit.aspx?ID=//5BDAEwASwAzADcAMAAzADgANgA5ADUASQBEAEUAQQA9=&amp;Tipo=2&amp;ST=1&amp;nLang=0</t>
  </si>
  <si>
    <t>https://www.clickideacore.com/ClickHTML5/Visit.aspx?ID=//5CDAEwASwAzADcAMAAzADcAOAA5ADgASQBEAEUAQQA2=&amp;Tipo=2&amp;ST=1&amp;nLang=0</t>
  </si>
  <si>
    <t>https://www.clickideacore.com/ClickHTML5/Visit.aspx?ID=//58DAEwASwAzADcAMAA0ADEANgA2ADgASQBEAEUAQQAC=&amp;Tipo=2&amp;ST=1&amp;nLang=0</t>
  </si>
  <si>
    <t>https://www.clickideacore.com/ClickHTML5/Visit.aspx?ID=//51DAEwASwAzADcAMAAzADcAMAAyADkASQBEAEUAQQAE=&amp;Tipo=2&amp;ST=1&amp;nLang=0</t>
  </si>
  <si>
    <t>https://www.clickideacore.com/ClickHTML5/Visit.aspx?ID=//52DAEwASwAzADcAMAA0ADcAMwA0ADQASQBEAEUAQQA5=&amp;Tipo=2&amp;ST=1&amp;nLang=0</t>
  </si>
  <si>
    <t>https://www.clickideacore.com/ClickHTML5/Visit.aspx?ID=//5CDAEwASwAzADcAMAA0ADUANAAzADgASQBEAEUAQQAB=&amp;Tipo=2&amp;ST=1&amp;nLang=0</t>
  </si>
  <si>
    <t>https://www.clickideacore.com/ClickHTML5/Visit.aspx?ID=//5CDAEwASwAzADcAMAA0ADYAMQAxADIASQBEAEUAQQA1=&amp;Tipo=2&amp;ST=1&amp;nLang=0</t>
  </si>
  <si>
    <t>https://www.clickideacore.com/ClickHTML5/Visit.aspx?ID=//5FDAEwASwAzADcAMAAyADkAMwAzADcASQBEAEUAQQAF=&amp;Tipo=2&amp;ST=1&amp;nLang=0</t>
  </si>
  <si>
    <t>Dia Cumpleaños</t>
  </si>
  <si>
    <t>https://www.clickideacore.com/ClickHTML5/Visit.aspx?ID=//58DAEwASwAzADcAMAA2ADkAMwA1ADYASQBEAEUAQQA7=&amp;Tipo=2&amp;ST=1&amp;nLang=0</t>
  </si>
  <si>
    <t>https://www.clickideacore.com/ClickHTML5/Visit.aspx?ID=//55DAEwASwAzADcAMAA1ADQANgAwADkASQBEAEUAQQA5=&amp;Tipo=2&amp;ST=1&amp;nLang=0</t>
  </si>
  <si>
    <t>https://www.clickideacore.com/ClickHTML5/Visit.aspx?ID=//53DAEwASwAzADcAMAA1ADEAOAAxADMASQBEAEUAQQAB=&amp;Tipo=2&amp;ST=1&amp;nLang=0</t>
  </si>
  <si>
    <t>https://www.clickideacore.com/ClickHTML5/Visit.aspx?ID=//5EDAEwASwAzADcAMAA2ADEAMAA5ADYASQBEAEUAQQAC=&amp;Tipo=2&amp;ST=1&amp;nLang=0</t>
  </si>
  <si>
    <t>https://www.clickideacore.com/ClickHTML5/Visit.aspx?ID=//58DAEwASwAzADcAMAA2ADgAOQA4ADEASQBEAEUAQQA9=&amp;Tipo=2&amp;ST=1&amp;nLang=0</t>
  </si>
  <si>
    <t>https://www.clickideacore.com/ClickHTML5/Visit.aspx?ID=//56DAEwASwAzADcAMAA2ADQAOQA0ADMASQBEAEUAQQA1=&amp;Tipo=2&amp;ST=1&amp;nLang=0</t>
  </si>
  <si>
    <t>https://www.clickideacore.com/ClickHTML5/Visit.aspx?ID=//52DAEwASwAzADcAMAA1ADgAOQA3ADEASQBEAEUAQQA8=&amp;Tipo=2&amp;ST=1&amp;nLang=0</t>
  </si>
  <si>
    <t>https://www.clickideacore.com/ClickHTML5/Visit.aspx?ID=//53DAEwASwAzADcAMAA2ADIAMQA0ADgASQBEAEUAQQA6=&amp;Tipo=2&amp;ST=1&amp;nLang=0</t>
  </si>
  <si>
    <t>https://www.clickideacore.com/ClickHTML5/Visit.aspx?ID=//51DAEwASwAzADcAMAA1ADgAOQA0ADEASQBEAEUAQQA5=&amp;Tipo=2&amp;ST=1&amp;nLang=0</t>
  </si>
  <si>
    <t>https://www.clickideacore.com/ClickHTML5/Visit.aspx?ID=//58DAEwASwAzADcAMAA1ADkAMAA0ADUASQBEAEUAQQAF=&amp;Tipo=2&amp;ST=1&amp;nLang=0</t>
  </si>
  <si>
    <t>https://www.clickideacore.com/ClickHTML5/Visit.aspx?ID=//5CDAEwASwAzADcAMAA1ADUANwA1ADgASQBEAEUAQQAF=&amp;Tipo=2&amp;ST=1&amp;nLang=0</t>
  </si>
  <si>
    <t>https://www.clickideacore.com/ClickHTML5/Visit.aspx?ID=//5EDAEwASwAzADcAMAA1ADUAMAA3ADcASQBEAEUAQQAA=&amp;Tipo=2&amp;ST=1&amp;nLang=0</t>
  </si>
  <si>
    <t>https://www.clickideacore.com/ClickHTML5/Visit.aspx?ID=//55DAEwASwAzADcAMAA2ADcAMwA1ADAASQBEAEUAQQA2=&amp;Tipo=2&amp;ST=1&amp;nLang=0</t>
  </si>
  <si>
    <t>https://www.clickideacore.com/ClickHTML5/Visit.aspx?ID=//57DAEwASwAzADcAMAA2ADcAMQAwADIASQBEAEUAQQA7=&amp;Tipo=2&amp;ST=1&amp;nLang=0</t>
  </si>
  <si>
    <t>https://www.clickideacore.com/ClickHTML5/Visit.aspx?ID=//5BDAEwASwAzADcAMAA2ADkANAAwADgASQBEAEUAQQA1=&amp;Tipo=2&amp;ST=1&amp;nLang=0</t>
  </si>
  <si>
    <t>https://www.clickideacore.com/ClickHTML5/Visit.aspx?ID=//5CDAEwASwAzADcAMAA1ADUAMwAyADcASQBEAEUAQQA8=&amp;Tipo=2&amp;ST=1&amp;nLang=0</t>
  </si>
  <si>
    <t>OP-S-043</t>
  </si>
  <si>
    <t>https://www.clickideacore.com/ClickHTML5/Visit.aspx?ID=//50DAEwASwAzADcAMAA4ADEANAA4ADkASQBEAEUAQQAF=&amp;Tipo=2&amp;ST=1&amp;nLang=0</t>
  </si>
  <si>
    <t>https://www.clickideacore.com/ClickHTML5/Visit.aspx?ID=//52DAEwASwAzADcAMAA5ADEANwA5ADUASQBEAEUAQQA8=&amp;Tipo=2&amp;ST=1&amp;nLang=0</t>
  </si>
  <si>
    <t>https://www.clickideacore.com/ClickHTML5/Visit.aspx?ID=//56DAEwASwAzADcAMAA4ADIANAA3ADQASQBEAEUAQQA8=&amp;Tipo=2&amp;ST=1&amp;nLang=0</t>
  </si>
  <si>
    <t>https://www.clickideacore.com/ClickHTML5/Visit.aspx?ID=//51DAEwASwAzADcAMAA4ADMANwAxADYASQBEAEUAQQA0=&amp;Tipo=2&amp;ST=1&amp;nLang=0</t>
  </si>
  <si>
    <t>https://www.clickideacore.com/ClickHTML5/Visit.aspx?ID=//55DAEwASwAzADcAMAA5ADIANQAyADIASQBEAEUAQQAA=&amp;Tipo=2&amp;ST=1&amp;nLang=0</t>
  </si>
  <si>
    <t>https://www.clickideacore.com/ClickHTML5/Visit.aspx?ID=//5CDAEwASwAzADcAMAA5ADIAMQAxADYASQBEAEUAQQA2=&amp;Tipo=2&amp;ST=1&amp;nLang=0</t>
  </si>
  <si>
    <t>https://www.clickideacore.com/ClickHTML5/Visit.aspx?ID=//5EDAEwASwAzADcAMAA4ADAAMAAzADIASQBEAEUAQQA7=&amp;Tipo=2&amp;ST=1&amp;nLang=0</t>
  </si>
  <si>
    <t>https://www.clickideacore.com/ClickHTML5/Visit.aspx?ID=//58DAEwASwAzADcAMAA4ADUANwAxADgASQBEAEUAQQA9=&amp;Tipo=2&amp;ST=1&amp;nLang=0</t>
  </si>
  <si>
    <t>https://www.clickideacore.com/ClickHTML5/Visit.aspx?ID=//52DAEwASwAzADcAMAA4ADUANgA5ADIASQBEAEUAQQAD=&amp;Tipo=2&amp;ST=1&amp;nLang=0</t>
  </si>
  <si>
    <t>https://www.clickideacore.com/ClickHTML5/Visit.aspx?ID=//58DAEwASwAzADcAMAA4ADUAOAAwADQASQBEAEUAQQA1=&amp;Tipo=2&amp;ST=1&amp;nLang=0</t>
  </si>
  <si>
    <t>https://www.clickideacore.com/ClickHTML5/Visit.aspx?ID=//54DAEwASwAzADcAMAA4ADIANQAzADcASQBEAEUAQQA5=&amp;Tipo=2&amp;ST=1&amp;nLang=0</t>
  </si>
  <si>
    <t>https://www.clickideacore.com/ClickHTML5/Visit.aspx?ID=//5BDAEwASwAzADcAMAA4ADEANwA2ADkASQBEAEUAQQA6=&amp;Tipo=2&amp;ST=1&amp;nLang=0</t>
  </si>
  <si>
    <t>https://www.clickideacore.com/ClickHTML5/Visit.aspx?ID=//50DAEwASwAzADcAMAA5ADMAMgAxADgASQBEAEUAQQA2=&amp;Tipo=2&amp;ST=1&amp;nLang=0</t>
  </si>
  <si>
    <t>https://www.clickideacore.com/ClickHTML5/Visit.aspx?ID=//52DAEwASwAzADcAMAA4ADUANAA2ADgASQBEAEUAQQAA=&amp;Tipo=2&amp;ST=1&amp;nLang=0</t>
  </si>
  <si>
    <t>https://www.clickideacore.com/ClickHTML5/Visit.aspx?ID=//51DAEwASwAzADcAMAA4ADIANQAzADUASQBEAEUAQQAB=&amp;Tipo=2&amp;ST=1&amp;nLang=0</t>
  </si>
  <si>
    <t>https://www.clickideacore.com/ClickHTML5/Visit.aspx?ID=//5CDAEwASwAzADcAMQAxADYAOAA5ADcASQBEAEUAQQA8=&amp;Tipo=2&amp;ST=1&amp;nLang=0</t>
  </si>
  <si>
    <t>https://www.clickideacore.com/ClickHTML5/Visit.aspx?ID=//5CDAEwASwAzADcAMQAwADkANwA3ADEASQBEAEUAQQAB=&amp;Tipo=2&amp;ST=1&amp;nLang=0</t>
  </si>
  <si>
    <t>https://www.clickideacore.com/ClickHTML5/Visit.aspx?ID=//58DAEwASwAzADcAMQAwADgANAAyADQASQBEAEUAQQAF=&amp;Tipo=2&amp;ST=1&amp;nLang=0</t>
  </si>
  <si>
    <t>https://www.clickideacore.com/ClickHTML5/Visit.aspx?ID=//53DAEwASwAzADcAMQAwADkANgA3ADMASQBEAEUAQQA5=&amp;Tipo=2&amp;ST=1&amp;nLang=0</t>
  </si>
  <si>
    <t>https://www.clickideacore.com/ClickHTML5/Visit.aspx?ID=//5CDAEwASwAzADcAMQAxADcAMgAyADgASQBEAEUAQQAF=&amp;Tipo=2&amp;ST=1&amp;nLang=0</t>
  </si>
  <si>
    <t>https://www.clickideacore.com/ClickHTML5/Visit.aspx?ID=//58DAEwASwAzADcAMQAxADAAMgAxADYASQBEAEUAQQAD=&amp;Tipo=2&amp;ST=1&amp;nLang=0</t>
  </si>
  <si>
    <t>https://www.clickideacore.com/ClickHTML5/Visit.aspx?ID=//5BDAEwASwAzADcAMAA5ADkANwAxADMASQBEAEUAQQA6=&amp;Tipo=2&amp;ST=1&amp;nLang=0</t>
  </si>
  <si>
    <t>https://www.clickideacore.com/ClickHTML5/Visit.aspx?ID=//55DAEwASwAzADcAMQAxADEAOQA0ADcASQBEAEUAQQA0=&amp;Tipo=2&amp;ST=1&amp;nLang=0</t>
  </si>
  <si>
    <t>https://www.clickideacore.com/ClickHTML5/Visit.aspx?ID=//50DAEwASwAzADcAMQAwADkAOAAxADUASQBEAEUAQQA2=&amp;Tipo=2&amp;ST=1&amp;nLang=0</t>
  </si>
  <si>
    <t>https://www.clickideacore.com/ClickHTML5/Visit.aspx?ID=//5FDAEwASwAzADcAMQAxADIAMQA1ADAASQBEAEUAQQA3=&amp;Tipo=2&amp;ST=1&amp;nLang=0</t>
  </si>
  <si>
    <t>https://www.clickideacore.com/ClickHTML5/Visit.aspx?ID=//51DAEwASwAzADcAMQAwADMAOAA2ADcASQBEAEUAQQAF=&amp;Tipo=2&amp;ST=1&amp;nLang=0</t>
  </si>
  <si>
    <t>https://www.clickideacore.com/ClickHTML5/Visit.aspx?ID=//56DAEwASwAzADcAMQAwADkANgA3ADIASQBEAEUAQQA4=&amp;Tipo=2&amp;ST=1&amp;nLang=0</t>
  </si>
  <si>
    <t>https://www.clickideacore.com/ClickHTML5/Visit.aspx?ID=//57DAEwASwAzADcAMQAxADcAMAAzADMASQBEAEUAQQA9=&amp;Tipo=2&amp;ST=1&amp;nLang=0</t>
  </si>
  <si>
    <t>https://www.clickideacore.com/ClickHTML5/Visit.aspx?ID=//57DAEwASwAzADcAMQAxADQAOQAwADkASQBEAEUAQQA7=&amp;Tipo=2&amp;ST=1&amp;nLang=0</t>
  </si>
  <si>
    <t>https://www.clickideacore.com/ClickHTML5/Visit.aspx?ID=//52DAEwASwAzADcAMQAxADcANwAzADAASQBEAEUAQQAB=&amp;Tipo=2&amp;ST=1&amp;nLang=0</t>
  </si>
  <si>
    <t>https://www.clickideacore.com/ClickHTML5/Visit.aspx?ID=//5FDAEwASwAzADcAMQAwADUAMwA4ADcASQBEAEUAQQAC=&amp;Tipo=2&amp;ST=1&amp;nLang=0</t>
  </si>
  <si>
    <t>https://www.clickideacore.com/ClickHTML5/Visit.aspx?ID=//59DAEwASwAzADcAMQAyADAANgAzADcASQBEAEUAQQAA=&amp;Tipo=2&amp;ST=1&amp;nLang=0</t>
  </si>
  <si>
    <t>https://www.clickideacore.com/ClickHTML5/Visit.aspx?ID=//59DAEwASwAzADcAMQAzADAAOQAyADkASQBEAEUAQQA1=&amp;Tipo=2&amp;ST=1&amp;nLang=0</t>
  </si>
  <si>
    <t>https://www.clickideacore.com/ClickHTML5/Visit.aspx?ID=//5BDAEwASwAzADcAMQAzADIAOQA5ADgASQBEAEUAQQAF=&amp;Tipo=2&amp;ST=1&amp;nLang=0</t>
  </si>
  <si>
    <t>https://www.clickideacore.com/ClickHTML5/Visit.aspx?ID=//58DAEwASwAzADcAMQA0ADAAMwA2ADMASQBEAEUAQQA0=&amp;Tipo=2&amp;ST=1&amp;nLang=0</t>
  </si>
  <si>
    <t>https://www.clickideacore.com/ClickHTML5/Visit.aspx?ID=//5EDAEwASwAzADcAMQA0ADAANAA4ADMASQBEAEUAQQA6=&amp;Tipo=2&amp;ST=1&amp;nLang=0</t>
  </si>
  <si>
    <t>https://www.clickideacore.com/ClickHTML5/Visit.aspx?ID=//51DAEwASwAzADcAMQA0ADAAMwAwADEASQBEAEUAQQAD=&amp;Tipo=2&amp;ST=1&amp;nLang=0</t>
  </si>
  <si>
    <t>https://www.clickideacore.com/ClickHTML5/Visit.aspx?ID=//57DAEwASwAzADcAMQA2ADUAMAAwADYASQBEAEUAQQAD=&amp;Tipo=2&amp;ST=1&amp;nLang=0</t>
  </si>
  <si>
    <t>https://www.clickideacore.com/ClickHTML5/Visit.aspx?ID=//50DAEwASwAzADcAMQA1ADUANwA4ADUASQBEAEUAQQA1=&amp;Tipo=2&amp;ST=1&amp;nLang=0</t>
  </si>
  <si>
    <t>https://www.clickideacore.com/ClickHTML5/Visit.aspx?ID=//57DAEwASwAzADcAMQA1ADYANAA5ADMASQBEAEUAQQA2=&amp;Tipo=2&amp;ST=1&amp;nLang=0</t>
  </si>
  <si>
    <t>https://www.clickideacore.com/ClickHTML5/Visit.aspx?ID=//52DAEwASwAzADcAMQA2ADUAMAAwADEASQBEAEUAQQAC=&amp;Tipo=2&amp;ST=1&amp;nLang=0</t>
  </si>
  <si>
    <t>https://www.clickideacore.com/ClickHTML5/Visit.aspx?ID=//5EDAEwASwAzADcAMQA1ADkANQAwADEASQBEAEUAQQA9=&amp;Tipo=2&amp;ST=1&amp;nLang=0</t>
  </si>
  <si>
    <t>https://www.clickideacore.com/ClickHTML5/Visit.aspx?ID=//5EDAEwASwAzADcAMQA1ADMANAA1ADUASQBEAEUAQQA2=&amp;Tipo=2&amp;ST=1&amp;nLang=0</t>
  </si>
  <si>
    <t>https://www.clickideacore.com/ClickHTML5/Visit.aspx?ID=//56DAEwASwAzADcAMQA1ADcAOAA2ADYASQBEAEUAQQA1=&amp;Tipo=2&amp;ST=1&amp;nLang=0</t>
  </si>
  <si>
    <t>https://www.clickideacore.com/ClickHTML5/Visit.aspx?ID=//58DAEwASwAzADcAMQA1ADYANAA4ADMASQBEAEUAQQA9=&amp;Tipo=2&amp;ST=1&amp;nLang=0</t>
  </si>
  <si>
    <t>Miguel Zamorano</t>
  </si>
  <si>
    <t>OP-R-005</t>
  </si>
  <si>
    <t>https://www.clickideacore.com/ClickHTML5/Visit.aspx?ID=//55DAEwASwAzADcAMQA1ADAANwA0ADgASQBEAEUAQQAF=&amp;Tipo=2&amp;ST=1&amp;nLang=0</t>
  </si>
  <si>
    <t>https://www.clickideacore.com/ClickHTML5/Visit.aspx?ID=//5EDAEwASwAzADcAMQA1ADAANgA2ADIASQBEAEUAQQA9=&amp;Tipo=2&amp;ST=1&amp;nLang=0</t>
  </si>
  <si>
    <t>https://www.clickideacore.com/ClickHTML5/Visit.aspx?ID=//5ADAEwASwAzADcAMQA2ADYANQA3ADQASQBEAEUAQQA5=&amp;Tipo=2&amp;ST=1&amp;nLang=0</t>
  </si>
  <si>
    <t>https://www.clickideacore.com/ClickHTML5/Visit.aspx?ID=//56DAEwASwAzADcAMQA2ADMAOAA1ADAASQBEAEUAQQA6=&amp;Tipo=2&amp;ST=1&amp;nLang=0</t>
  </si>
  <si>
    <t>https://www.clickideacore.com/ClickHTML5/Visit.aspx?ID=//55DAEwASwAzADcAMQA1ADkANAA2ADEASQBEAEUAQQAB=&amp;Tipo=2&amp;ST=1&amp;nLang=0</t>
  </si>
  <si>
    <t>https://www.clickideacore.com/ClickHTML5/Visit.aspx?ID=//51DAEwASwAzADcAMQA2ADQAOAAxADMASQBEAEUAQQAB=&amp;Tipo=2&amp;ST=1&amp;nLang=0</t>
  </si>
  <si>
    <t xml:space="preserve">Victor Reyes </t>
  </si>
  <si>
    <t>https://www.clickideacore.com/ClickHTML5/Visit.aspx?ID=//5EDAEwASwAzADcAMQA1ADMANwA0ADEASQBEAEUAQQA1=&amp;Tipo=2&amp;ST=1&amp;nLang=0</t>
  </si>
  <si>
    <t>https://www.clickideacore.com/ClickHTML5/Visit.aspx?ID=//51DAEwASwAzADcAMQA4ADkAOQA2ADgASQBEAEUAQQAC=&amp;Tipo=2&amp;ST=1&amp;nLang=0</t>
  </si>
  <si>
    <t>https://www.clickideacore.com/ClickHTML5/Visit.aspx?ID=//51DAEwASwAzADcAMQA3ADUANgA1ADQASQBEAEUAQQA9=&amp;Tipo=2&amp;ST=1&amp;nLang=0</t>
  </si>
  <si>
    <t>https://www.clickideacore.com/ClickHTML5/Visit.aspx?ID=//53DAEwASwAzADcAMQA3ADcANwAyADYASQBEAEUAQQAD=&amp;Tipo=2&amp;ST=1&amp;nLang=0</t>
  </si>
  <si>
    <t>https://www.clickideacore.com/ClickHTML5/Visit.aspx?ID=//55DAEwASwAzADcAMQA4ADMANwA2ADkASQBEAEUAQQA5=&amp;Tipo=2&amp;ST=1&amp;nLang=0</t>
  </si>
  <si>
    <t>https://www.clickideacore.com/ClickHTML5/Visit.aspx?ID=//5EDAEwASwAzADcAMQA3ADgAMgA0ADYASQBEAEUAQQA1=&amp;Tipo=2&amp;ST=1&amp;nLang=0</t>
  </si>
  <si>
    <t>https://www.clickideacore.com/ClickHTML5/Visit.aspx?ID=//51DAEwASwAzADcAMQA3ADkAMQA0ADkASQBEAEUAQQAE=&amp;Tipo=2&amp;ST=1&amp;nLang=0</t>
  </si>
  <si>
    <t>https://www.clickideacore.com/ClickHTML5/Visit.aspx?ID=//58DAEwASwAzADcAMQA3ADkANgAzADYASQBEAEUAQQAB=&amp;Tipo=2&amp;ST=1&amp;nLang=0</t>
  </si>
  <si>
    <t>https://www.clickideacore.com/ClickHTML5/Visit.aspx?ID=//5EDAEwASwAzADcAMQA3ADkANwA1ADYASQBEAEUAQQA9=&amp;Tipo=2&amp;ST=1&amp;nLang=0</t>
  </si>
  <si>
    <t>https://www.clickideacore.com/ClickHTML5/Visit.aspx?ID=//5EDAEwASwAzADcAMQA3ADgAMwA2ADkASQBEAEUAQQA3=&amp;Tipo=2&amp;ST=1&amp;nLang=0</t>
  </si>
  <si>
    <t>https://www.clickideacore.com/ClickHTML5/Visit.aspx?ID=//52DAEwASwAzADcAMQA4ADEAOAAzADMASQBEAEUAQQA0=&amp;Tipo=2&amp;ST=1&amp;nLang=0</t>
  </si>
  <si>
    <t>https://www.clickideacore.com/ClickHTML5/Visit.aspx?ID=//55DAEwASwAzADcAMQA5ADEANgA1ADQASQBEAEUAQQA9=&amp;Tipo=2&amp;ST=1&amp;nLang=0</t>
  </si>
  <si>
    <t>https://www.clickideacore.com/ClickHTML5/Visit.aspx?ID=//55DAEwASwAzADcAMQA5ADAAMwAzADEASQBEAEUAQQAD=&amp;Tipo=2&amp;ST=1&amp;nLang=0</t>
  </si>
  <si>
    <t>https://www.clickideacore.com/ClickHTML5/Visit.aspx?ID=//56DAEwASwAzADcAMQA4ADEAMwA4ADgASQBEAEUAQQA8=&amp;Tipo=2&amp;ST=1&amp;nLang=0</t>
  </si>
  <si>
    <t>https://www.clickideacore.com/ClickHTML5/Visit.aspx?ID=//58DAEwASwAzADcAMQA5ADAAMwAwADkASQBEAEUAQQA2=&amp;Tipo=2&amp;ST=1&amp;nLang=0</t>
  </si>
  <si>
    <t>https://www.clickideacore.com/ClickHTML5/Visit.aspx?ID=//55DAEwASwAzADcAMQA3ADEAMQA3ADgASQBEAEUAQQAE=&amp;Tipo=2&amp;ST=1&amp;nLang=0</t>
  </si>
  <si>
    <t>libre compensatorio</t>
  </si>
  <si>
    <t>https://www.clickideacore.com/ClickHTML5/Visit.aspx?ID=//55DAEwASwAzADcAMgAxADMANwAzADIASQBEAEUAQQA7=&amp;Tipo=2&amp;ST=1&amp;nLang=0</t>
  </si>
  <si>
    <t>https://www.clickideacore.com/ClickHTML5/Visit.aspx?ID=//53DAEwASwAzADcAMQA5ADkAMAAxADgASQBEAEUAQQA1=&amp;Tipo=2&amp;ST=1&amp;nLang=0</t>
  </si>
  <si>
    <t>https://www.clickideacore.com/ClickHTML5/Visit.aspx?ID=//59DAEwASwAzADcAMgAwADcANgAwADAASQBEAEUAQQAF=&amp;Tipo=2&amp;ST=1&amp;nLang=0</t>
  </si>
  <si>
    <t>https://www.clickideacore.com/ClickHTML5/Visit.aspx?ID=//54DAEwASwAzADcAMgAxADMAOAA3ADkASQBEAEUAQQA9=&amp;Tipo=2&amp;ST=1&amp;nLang=0</t>
  </si>
  <si>
    <t>https://www.clickideacore.com/ClickHTML5/Visit.aspx?ID=//5DDAEwASwAzADcAMgAwADcAMwA3ADkASQBEAEUAQQA1=&amp;Tipo=2&amp;ST=1&amp;nLang=0</t>
  </si>
  <si>
    <t>https://www.clickideacore.com/ClickHTML5/Visit.aspx?ID=//5EDAEwASwAzADcAMgAwADMANAA3ADkASQBEAEUAQQAD=&amp;Tipo=2&amp;ST=1&amp;nLang=0</t>
  </si>
  <si>
    <t>https://www.clickideacore.com/ClickHTML5/Visit.aspx?ID=//54DAEwASwAzADcAMgAwADUANAAxADUASQBEAEUAQQA2=&amp;Tipo=2&amp;ST=1&amp;nLang=0</t>
  </si>
  <si>
    <t>https://www.clickideacore.com/ClickHTML5/Visit.aspx?ID=//5FDAEwASwAzADcAMgAwADYAMgAwADIASQBEAEUAQQA2=&amp;Tipo=2&amp;ST=1&amp;nLang=0</t>
  </si>
  <si>
    <t>https://www.clickideacore.com/ClickHTML5/Visit.aspx?ID=//56DAEwASwAzADcAMgAxADIANgAxADMASQBEAEUAQQA3=&amp;Tipo=2&amp;ST=1&amp;nLang=0</t>
  </si>
  <si>
    <t>https://www.clickideacore.com/ClickHTML5/Visit.aspx?ID=//5ADAEwASwAzADcAMgAwADIANQA2ADgASQBEAEUAQQA6=&amp;Tipo=2&amp;ST=1&amp;nLang=0</t>
  </si>
  <si>
    <t>https://www.clickideacore.com/ClickHTML5/Visit.aspx?ID=//58DAEwASwAzADcAMgAwADEAMQAyADQASQBEAEUAQQA6=&amp;Tipo=2&amp;ST=1&amp;nLang=0</t>
  </si>
  <si>
    <t>https://www.clickideacore.com/ClickHTML5/Visit.aspx?ID=//51DAEwASwAzADcAMgAxADIAMQAyADEASQBEAEUAQQAC=&amp;Tipo=2&amp;ST=1&amp;nLang=0</t>
  </si>
  <si>
    <t>https://www.clickideacore.com/ClickHTML5/Visit.aspx?ID=//5ADAEwASwAzADcAMgAwADQAOQA5ADQASQBEAEUAQQAF=&amp;Tipo=2&amp;ST=1&amp;nLang=0</t>
  </si>
  <si>
    <t>https://www.clickideacore.com/ClickHTML5/Visit.aspx?ID=//5BDAEwASwAzADcAMgAxADQANAA0ADAASQBEAEUAQQA3=&amp;Tipo=2&amp;ST=1&amp;nLang=0</t>
  </si>
  <si>
    <t>https://www.clickideacore.com/ClickHTML5/Visit.aspx?ID=//52DAEwASwAzADcAMQA5ADgANQAyADcASQBEAEUAQQA3=&amp;Tipo=2&amp;ST=1&amp;nLang=0</t>
  </si>
  <si>
    <t>https://www.clickideacore.com/ClickHTML5/Visit.aspx?ID=//54DAEwASwAzADcAMgAwADAANgA4ADIASQBEAEUAQQAB=&amp;Tipo=2&amp;ST=1&amp;nLang=0</t>
  </si>
  <si>
    <t>https://www.clickideacore.com/ClickHTML5/Visit.aspx?ID=//56DAEwASwAzADcAMgAyADIANAAyADAASQBEAEUAQQA2=&amp;Tipo=2&amp;ST=1&amp;nLang=0</t>
  </si>
  <si>
    <t>https://www.clickideacore.com/ClickHTML5/Visit.aspx?ID=//55DAEwASwAzADcAMgAyADgAOAAzADcASQBEAEUAQQAA=&amp;Tipo=2&amp;ST=1&amp;nLang=0</t>
  </si>
  <si>
    <t>https://www.clickideacore.com/ClickHTML5/Visit.aspx?ID=//53DAEwASwAzADcAMgAzADYANwAxADkASQBEAEUAQQA2=&amp;Tipo=2&amp;ST=1&amp;nLang=0</t>
  </si>
  <si>
    <t>https://www.clickideacore.com/ClickHTML5/Visit.aspx?ID=//5CDAEwASwAzADcAMgAzADEANAA5ADgASQBEAEUAQQAD=&amp;Tipo=2&amp;ST=1&amp;nLang=0</t>
  </si>
  <si>
    <t>https://www.clickideacore.com/ClickHTML5/Visit.aspx?ID=//51DAEwASwAzADcAMgAzADUAMwAyADgASQBEAEUAQQAB=&amp;Tipo=2&amp;ST=1&amp;nLang=0</t>
  </si>
  <si>
    <t>https://www.clickideacore.com/ClickHTML5/Visit.aspx?ID=//5CDAEwASwAzADcAMgAyADgAOAA1ADUASQBEAEUAQQA7=&amp;Tipo=2&amp;ST=1&amp;nLang=0</t>
  </si>
  <si>
    <t>https://www.clickideacore.com/ClickHTML5/Visit.aspx?ID=//52DAEwASwAzADcAMgAyADgAOAA0ADkASQBEAEUAQQAF=&amp;Tipo=2&amp;ST=1&amp;nLang=0</t>
  </si>
  <si>
    <t>https://www.clickideacore.com/ClickHTML5/Visit.aspx?ID=//50DAEwASwAzADcAMgAyADcAOQAwADEASQBEAEUAQQA7=&amp;Tipo=2&amp;ST=1&amp;nLang=0</t>
  </si>
  <si>
    <t>https://www.clickideacore.com/ClickHTML5/Visit.aspx?ID=//59DAEwASwAzADcAMgAyADgAMAA0ADQASQBEAEUAQQA5=&amp;Tipo=2&amp;ST=1&amp;nLang=0</t>
  </si>
  <si>
    <t>https://www.clickideacore.com/ClickHTML5/Visit.aspx?ID=//5EDAEwASwAzADcAMgAyADYAOAAwADMASQBEAEUAQQA8=&amp;Tipo=2&amp;ST=1&amp;nLang=0</t>
  </si>
  <si>
    <t>https://www.clickideacore.com/ClickHTML5/Visit.aspx?ID=//53DAEwASwAzADcAMgAzADYAMgA5ADQASQBEAEUAQQA4=&amp;Tipo=2&amp;ST=1&amp;nLang=0</t>
  </si>
  <si>
    <t>https://www.clickideacore.com/ClickHTML5/Visit.aspx?ID=//50DAEwASwAzADcAMgAyADYAMAA4ADUASQBEAEUAQQA2=&amp;Tipo=2&amp;ST=1&amp;nLang=0</t>
  </si>
  <si>
    <t>https://www.clickideacore.com/ClickHTML5/Visit.aspx?ID=//5EDAEwASwAzADcAMgAzADgAMgA2ADEASQBEAEUAQQA6=&amp;Tipo=2&amp;ST=1&amp;nLang=0</t>
  </si>
  <si>
    <t>https://www.clickideacore.com/ClickHTML5/Visit.aspx?ID=//5CDAEwASwAzADcAMgAyADUAMwA2ADgASQBEAEUAQQA9=&amp;Tipo=2&amp;ST=1&amp;nLang=0</t>
  </si>
  <si>
    <t>https://www.clickideacore.com/ClickHTML5/Visit.aspx?ID=//5FDAEwASwAzADcAMgAzADcANAA4ADYASQBEAEUAQQA4=&amp;Tipo=2&amp;ST=1&amp;nLang=0</t>
  </si>
  <si>
    <t>https://www.clickideacore.com/ClickHTML5/Visit.aspx?ID=//57DAEwASwAzADcAMgA0ADkAOAA2ADcASQBEAEUAQQAE=&amp;Tipo=2&amp;ST=1&amp;nLang=0</t>
  </si>
  <si>
    <t>https://www.clickideacore.com/ClickHTML5/Visit.aspx?ID=//5BDAEwASwAzADcAMgA2ADEAMAAzADkASQBEAEUAQQA9=&amp;Tipo=2&amp;ST=1&amp;nLang=0</t>
  </si>
  <si>
    <t>https://www.clickideacore.com/ClickHTML5/Visit.aspx?ID=//5FDAEwASwAzADcAMgA1ADAANQA2ADQASQBEAEUAQQA4=&amp;Tipo=2&amp;ST=1&amp;nLang=0</t>
  </si>
  <si>
    <t>https://www.clickideacore.com/ClickHTML5/Visit.aspx?ID=//56DAEwASwAzADcAMgA0ADgAOAA1ADAASQBEAEUAQQA2=&amp;Tipo=2&amp;ST=1&amp;nLang=0</t>
  </si>
  <si>
    <t>https://www.clickideacore.com/ClickHTML5/Visit.aspx?ID=//5DDAEwASwAzADcAMgA2ADAANQA0ADkASQBEAEUAQQAE=&amp;Tipo=2&amp;ST=1&amp;nLang=0</t>
  </si>
  <si>
    <t>Gerardo Cartes</t>
  </si>
  <si>
    <t>OP-S-076</t>
  </si>
  <si>
    <t>https://www.clickideacore.com/ClickHTML5/Visit.aspx?ID=//5DDAEwASwAzADcAMgA1ADAAMQA1ADUASQBEAEUAQQA6=&amp;Tipo=2&amp;ST=1&amp;nLang=0</t>
  </si>
  <si>
    <t>https://www.clickideacore.com/ClickHTML5/Visit.aspx?ID=//59DAEwASwAzADcAMgA1ADIANgA0ADQASQBEAEUAQQAA=&amp;Tipo=2&amp;ST=1&amp;nLang=0</t>
  </si>
  <si>
    <t>https://www.clickideacore.com/ClickHTML5/Visit.aspx?ID=//58DAEwASwAzADcAMgA1ADEANQA0ADQASQBEAEUAQQA2=&amp;Tipo=2&amp;ST=1&amp;nLang=0</t>
  </si>
  <si>
    <t>https://www.clickideacore.com/ClickHTML5/Visit.aspx?ID=//56DAEwASwAzADcAMgA1ADUANwA5ADMASQBEAEUAQQA0=&amp;Tipo=2&amp;ST=1&amp;nLang=0</t>
  </si>
  <si>
    <t>https://www.clickideacore.com/ClickHTML5/Visit.aspx?ID=//5FDAEwASwAzADcAMgA1ADMAMwAxADkASQBEAEUAQQA7=&amp;Tipo=2&amp;ST=1&amp;nLang=0</t>
  </si>
  <si>
    <t>https://www.clickideacore.com/ClickHTML5/Visit.aspx?ID=//58DAEwASwAzADcAMgA1ADMANgAyADAASQBEAEUAQQA1=&amp;Tipo=2&amp;ST=1&amp;nLang=0</t>
  </si>
  <si>
    <t>https://www.clickideacore.com/ClickHTML5/Visit.aspx?ID=//5CDAEwASwAzADcAMgA0ADcANgA2ADQASQBEAEUAQQA2=&amp;Tipo=2&amp;ST=1&amp;nLang=0</t>
  </si>
  <si>
    <t>https://www.clickideacore.com/ClickHTML5/Visit.aspx?ID=//52DAEwASwAzADcAMgA4ADQANwA3ADcASQBEAEUAQQAE=&amp;Tipo=2&amp;ST=1&amp;nLang=0</t>
  </si>
  <si>
    <t>https://www.clickideacore.com/ClickHTML5/Visit.aspx?ID=//58DAEwASwAzADcAMgA2ADEAMgA5ADYASQBEAEUAQQAA=&amp;Tipo=2&amp;ST=1&amp;nLang=0</t>
  </si>
  <si>
    <t>https://www.clickideacore.com/ClickHTML5/Visit.aspx?ID=//5BDAEwASwAzADcAMgA2ADAAMwA3ADkASQBEAEUAQQA9=&amp;Tipo=2&amp;ST=1&amp;nLang=0</t>
  </si>
  <si>
    <t>https://www.clickideacore.com/ClickHTML5/Visit.aspx?ID=//53DAEwASwAzADcAMgA0ADcAOQAyADgASQBEAEUAQQA2=&amp;Tipo=2&amp;ST=1&amp;nLang=0</t>
  </si>
  <si>
    <t>https://www.clickideacore.com/ClickHTML5/Visit.aspx?ID=//5ADAEwASwAzADcAMgA3ADIAMAA3ADYASQBEAEUAQQA9=&amp;Tipo=2&amp;ST=1&amp;nLang=0</t>
  </si>
  <si>
    <t>https://www.clickideacore.com/ClickHTML5/Visit.aspx?ID=//52DAEwASwAzADcAMgA3ADQAMgA4ADgASQBEAEUAQQA1=&amp;Tipo=2&amp;ST=1&amp;nLang=0</t>
  </si>
  <si>
    <t>https://www.clickideacore.com/ClickHTML5/Visit.aspx?ID=//5DDAEwASwAzADcAMgA4ADMANgA5ADkASQBEAEUAQQA3=&amp;Tipo=2&amp;ST=1&amp;nLang=0</t>
  </si>
  <si>
    <t>https://www.clickideacore.com/ClickHTML5/Visit.aspx?ID=//56DAEwASwAzADcAMwAwADQAMQAxADQASQBEAEUAQQA8=&amp;Tipo=2&amp;ST=1&amp;nLang=0</t>
  </si>
  <si>
    <t>https://www.clickideacore.com/ClickHTML5/Visit.aspx?ID=//54DAEwASwAzADcAMgA5ADYAMgA2ADEASQBEAEUAQQAD=&amp;Tipo=2&amp;ST=1&amp;nLang=0</t>
  </si>
  <si>
    <t>https://www.clickideacore.com/ClickHTML5/Visit.aspx?ID=//5BDAEwASwAzADcAMgA5ADUANwA3ADkASQBEAEUAQQA1=&amp;Tipo=2&amp;ST=1&amp;nLang=0</t>
  </si>
  <si>
    <t>https://www.clickideacore.com/ClickHTML5/Visit.aspx?ID=//50DAEwASwAzADcAMgA5ADcAMwAwADAASQBEAEUAQQA4=&amp;Tipo=2&amp;ST=1&amp;nLang=0</t>
  </si>
  <si>
    <t>https://www.clickideacore.com/ClickHTML5/Visit.aspx?ID=//59DAEwASwAzADcAMwAwADMANgA3ADQASQBEAEUAQQA7=&amp;Tipo=2&amp;ST=1&amp;nLang=0</t>
  </si>
  <si>
    <t>https://www.clickideacore.com/ClickHTML5/Visit.aspx?ID=//57DAEwASwAzADcAMgA5ADUANwA1ADQASQBEAEUAQQAB=&amp;Tipo=2&amp;ST=1&amp;nLang=0</t>
  </si>
  <si>
    <t>https://www.clickideacore.com/ClickHTML5/Visit.aspx?ID=//51DAEwASwAzADcAMgA5ADUAMQAxADkASQBEAEUAQQAC=&amp;Tipo=2&amp;ST=1&amp;nLang=0</t>
  </si>
  <si>
    <t>https://www.clickideacore.com/ClickHTML5/Visit.aspx?ID=//5FDAEwASwAzADcAMgA5ADgAMgAyADgASQBEAEUAQQAB=&amp;Tipo=2&amp;ST=1&amp;nLang=0</t>
  </si>
  <si>
    <t>https://www.clickideacore.com/ClickHTML5/Visit.aspx?ID=//59DAEwASwAzADcAMgA5ADUAMgA5ADYASQBEAEUAQQA1=&amp;Tipo=2&amp;ST=1&amp;nLang=0</t>
  </si>
  <si>
    <t>https://www.clickideacore.com/ClickHTML5/Visit.aspx?ID=//55DAEwASwAzADcAMgA5ADQAMQA4ADAASQBEAEUAQQAE=&amp;Tipo=2&amp;ST=1&amp;nLang=0</t>
  </si>
  <si>
    <t>https://www.clickideacore.com/ClickHTML5/Visit.aspx?ID=//5ADAEwASwAzADcAMgA5ADIANwA2ADEASQBEAEUAQQAA=&amp;Tipo=2&amp;ST=1&amp;nLang=0</t>
  </si>
  <si>
    <t>https://www.clickideacore.com/ClickHTML5/Visit.aspx?ID=//5ADAEwASwAzADcAMgA5ADEANAAzADUASQBEAEUAQQA9=&amp;Tipo=2&amp;ST=1&amp;nLang=0</t>
  </si>
  <si>
    <t>https://www.clickideacore.com/ClickHTML5/Visit.aspx?ID=//51DAEwASwAzADcAMwAwADMANwAyADgASQBEAEUAQQAC=&amp;Tipo=2&amp;ST=1&amp;nLang=0</t>
  </si>
  <si>
    <t>https://www.clickideacore.com/ClickHTML5/Visit.aspx?ID=//54DAEwASwAzADcAMgA5ADcAOAA5ADEASQBEAEUAQQA4=&amp;Tipo=2&amp;ST=1&amp;nLang=0</t>
  </si>
  <si>
    <t>https://www.clickideacore.com/ClickHTML5/Visit.aspx?ID=//59DAEwASwAzADcAMwAwADQANAA3ADcASQBEAEUAQQA0=&amp;Tipo=2&amp;ST=1&amp;nLang=0</t>
  </si>
  <si>
    <t>https://www.clickideacore.com/ClickHTML5/Visit.aspx?ID=//55DAEwASwAzADcAMgA5ADEANwA5ADQASQBEAEUAQQA6=&amp;Tipo=2&amp;ST=1&amp;nLang=0</t>
  </si>
  <si>
    <t>https://www.clickideacore.com/ClickHTML5/Visit.aspx?ID=//5BDAEwASwAzADcAMwAyADcANwAwADYASQBEAEUAQQA3=&amp;Tipo=2&amp;ST=1&amp;nLang=0</t>
  </si>
  <si>
    <t>https://www.clickideacore.com/ClickHTML5/Visit.aspx?ID=//5EDAEwASwAzADcAMwAxADYANwAwADYASQBEAEUAQQAF=&amp;Tipo=2&amp;ST=1&amp;nLang=0</t>
  </si>
  <si>
    <t>https://www.clickideacore.com/ClickHTML5/Visit.aspx?ID=//5DDAEwASwAzADcAMwAxADUANAA4ADkASQBEAEUAQQAB=&amp;Tipo=2&amp;ST=1&amp;nLang=0</t>
  </si>
  <si>
    <t>https://www.clickideacore.com/ClickHTML5/Visit.aspx?ID=//52DAEwASwAzADcANQA4ADAAMwA5ADUASQBEAEUAQQA7=&amp;Tipo=2&amp;ST=1&amp;nLang=0</t>
  </si>
  <si>
    <t>https://www.clickideacore.com/ClickHTML5/Visit.aspx?ID=//5BDAEwASwAzADcAMwAxADcAMgAwADYASQBEAEUAQQA9=&amp;Tipo=2&amp;ST=1&amp;nLang=0</t>
  </si>
  <si>
    <t>https://www.clickideacore.com/ClickHTML5/Visit.aspx?ID=//5FDAEwASwAzADcAMwAxADgAMQA2ADAASQBEAEUAQQAE=&amp;Tipo=2&amp;ST=1&amp;nLang=0</t>
  </si>
  <si>
    <t>https://www.clickideacore.com/ClickHTML5/Visit.aspx?ID=//57DAEwASwAzADcAMwAxADcAOQA5ADUASQBEAEUAQQA3=&amp;Tipo=2&amp;ST=1&amp;nLang=0</t>
  </si>
  <si>
    <t>https://www.clickideacore.com/ClickHTML5/Visit.aspx?ID=//58DAEwASwAzADcAMwAxADkANQA1ADQASQBEAEUAQQA7=&amp;Tipo=2&amp;ST=1&amp;nLang=0</t>
  </si>
  <si>
    <t>https://www.clickideacore.com/ClickHTML5/Visit.aspx?ID=//54DAEwASwAzADcAMwAyADEANgAzADUASQBEAEUAQQA5=&amp;Tipo=2&amp;ST=1&amp;nLang=0</t>
  </si>
  <si>
    <t>https://www.clickideacore.com/ClickHTML5/Visit.aspx?ID=//5ADAEwASwAzADcAMwAyADEAMgA1ADQASQBEAEUAQQA7=&amp;Tipo=2&amp;ST=1&amp;nLang=0</t>
  </si>
  <si>
    <t>https://www.clickideacore.com/ClickHTML5/Visit.aspx?ID=//5FDAEwASwAzADcAMwAxADcAMAAxADcASQBEAEUAQQAC=&amp;Tipo=2&amp;ST=1&amp;nLang=0</t>
  </si>
  <si>
    <t>https://www.clickideacore.com/ClickHTML5/Visit.aspx?ID=//51DAEwASwAzADcAMwAxADgANAA2ADcASQBEAEUAQQA7=&amp;Tipo=2&amp;ST=1&amp;nLang=0</t>
  </si>
  <si>
    <t>https://www.clickideacore.com/ClickHTML5/Visit.aspx?ID=//59DAEwASwAzADcAMwAxADYANAA5ADQASQBEAEUAQQAC=&amp;Tipo=2&amp;ST=1&amp;nLang=0</t>
  </si>
  <si>
    <t>https://www.clickideacore.com/ClickHTML5/Visit.aspx?ID=//56DAEwASwAzADcAMwAyADcAMAAyADEASQBEAEUAQQAA=&amp;Tipo=2&amp;ST=1&amp;nLang=0</t>
  </si>
  <si>
    <t>https://www.clickideacore.com/ClickHTML5/Visit.aspx?ID=//5DDAEwASwAzADcAMwAyADcAOQA2ADgASQBEAEUAQQA5=&amp;Tipo=2&amp;ST=1&amp;nLang=0</t>
  </si>
  <si>
    <t>https://www.clickideacore.com/ClickHTML5/Visit.aspx?ID=//5CDAEwASwAzADcAMwAxADIAOQA3ADQASQBEAEUAQQA6=&amp;Tipo=2&amp;ST=1&amp;nLang=0</t>
  </si>
  <si>
    <t>https://www.clickideacore.com/ClickHTML5/Visit.aspx?ID=//54DAEwASwAzADcAMwA1ADAANQAyADcASQBEAEUAQQAF=&amp;Tipo=2&amp;ST=1&amp;nLang=0</t>
  </si>
  <si>
    <t>https://www.clickideacore.com/ClickHTML5/Visit.aspx?ID=//5FDAEwASwAzADcAMwAzADYAOQA1ADcASQBEAEUAQQA6=&amp;Tipo=2&amp;ST=1&amp;nLang=0</t>
  </si>
  <si>
    <t>https://www.clickideacore.com/ClickHTML5/Visit.aspx?ID=//57DAEwASwAzADcAMwAzADcAMQAxADAASQBEAEUAQQAF=&amp;Tipo=2&amp;ST=1&amp;nLang=0</t>
  </si>
  <si>
    <t>https://www.clickideacore.com/ClickHTML5/Visit.aspx?ID=//51DAEwASwAzADcAMwA0ADQAMgA4ADIASQBEAEUAQQAA=&amp;Tipo=2&amp;ST=1&amp;nLang=0</t>
  </si>
  <si>
    <t>https://www.clickideacore.com/ClickHTML5/Visit.aspx?ID=//54DAEwASwAzADcAMwA1ADEANgA4ADMASQBEAEUAQQA6=&amp;Tipo=2&amp;ST=1&amp;nLang=0</t>
  </si>
  <si>
    <t>https://www.clickideacore.com/ClickHTML5/Visit.aspx?ID=//58DAEwASwAzADcAMwA0ADEAMgA2ADEASQBEAEUAQQA0=&amp;Tipo=2&amp;ST=1&amp;nLang=0</t>
  </si>
  <si>
    <t>https://www.clickideacore.com/ClickHTML5/Visit.aspx?ID=//51DAEwASwAzADcAMwA0ADIANAAzADYASQBEAEUAQQA7=&amp;Tipo=2&amp;ST=1&amp;nLang=0</t>
  </si>
  <si>
    <t>https://www.clickideacore.com/ClickHTML5/Visit.aspx?ID=//53DAEwASwAzADcAMwA0ADEANwA5ADcASQBEAEUAQQAF=&amp;Tipo=2&amp;ST=1&amp;nLang=0</t>
  </si>
  <si>
    <t>https://www.clickideacore.com/ClickHTML5/Visit.aspx?ID=//5DDAEwASwAzADcAMwA0ADAAMgAwADgASQBEAEUAQQA0=&amp;Tipo=2&amp;ST=1&amp;nLang=0</t>
  </si>
  <si>
    <t>https://www.clickideacore.com/ClickHTML5/Visit.aspx?ID=//5ADAEwASwAzADcAMwAzADgAOAAyADQASQBEAEUAQQAB=&amp;Tipo=2&amp;ST=1&amp;nLang=0</t>
  </si>
  <si>
    <t>https://www.clickideacore.com/ClickHTML5/Visit.aspx?ID=//52DAEwASwAzADcAMwAzADkAMQAzADkASQBEAEUAQQAD=&amp;Tipo=2&amp;ST=1&amp;nLang=0</t>
  </si>
  <si>
    <t>https://www.clickideacore.com/ClickHTML5/Visit.aspx?ID=//5EDAEwASwAzADcAMwAzADgAOQA0ADEASQBEAEUAQQAC=&amp;Tipo=2&amp;ST=1&amp;nLang=0</t>
  </si>
  <si>
    <t>https://www.clickideacore.com/ClickHTML5/Visit.aspx?ID=//5BDAEwASwAzADcAMwA1ADAAMgAwADcASQBEAEUAQQAD=&amp;Tipo=2&amp;ST=1&amp;nLang=0</t>
  </si>
  <si>
    <t>https://www.clickideacore.com/ClickHTML5/Visit.aspx?ID=//56DAEwASwAzADcAMwA0ADYANAA2ADUASQBEAEUAQQA4=&amp;Tipo=2&amp;ST=1&amp;nLang=0</t>
  </si>
  <si>
    <t>https://www.clickideacore.com/ClickHTML5/Visit.aspx?ID=//56DAEwASwAzADcAMwA1ADEAOAA3ADQASQBEAEUAQQA0=&amp;Tipo=2&amp;ST=1&amp;nLang=0</t>
  </si>
  <si>
    <t>https://www.clickideacore.com/ClickHTML5/Visit.aspx?ID=//5BDAEwASwAzADcAMwAzADUANQA2ADUASQBEAEUAQQAE=&amp;Tipo=2&amp;ST=1&amp;nLang=0</t>
  </si>
  <si>
    <t>https://www.clickideacore.com/ClickHTML5/Visit.aspx?ID=//56DAEwASwAzADcAMwA3ADQAMAAwADMASQBEAEUAQQAD=&amp;Tipo=2&amp;ST=1&amp;nLang=0</t>
  </si>
  <si>
    <t>https://www.clickideacore.com/ClickHTML5/Visit.aspx?ID=//5EDAEwASwAzADcAMwA2ADMANwA3ADMASQBEAEUAQQA0=&amp;Tipo=2&amp;ST=1&amp;nLang=0</t>
  </si>
  <si>
    <t>https://www.clickideacore.com/ClickHTML5/Visit.aspx?ID=//58DAEwASwAzADcAMwA2ADMANQAxADMASQBEAEUAQQA4=&amp;Tipo=2&amp;ST=1&amp;nLang=0</t>
  </si>
  <si>
    <t>https://www.clickideacore.com/ClickHTML5/Visit.aspx?ID=//55DAEwASwAzADcAMwA3ADQANQAxADkASQBEAEUAQQAA=&amp;Tipo=2&amp;ST=1&amp;nLang=0</t>
  </si>
  <si>
    <t>https://www.clickideacore.com/ClickHTML5/Visit.aspx?ID=//5EDAEwASwAzADcAMwA2ADYANAA2ADIASQBEAEUAQQA4=&amp;Tipo=2&amp;ST=1&amp;nLang=0</t>
  </si>
  <si>
    <t>https://www.clickideacore.com/ClickHTML5/Visit.aspx?ID=//50DAEwASwAzADcAMwA2ADUAOQAzADkASQBEAEUAQQA1=&amp;Tipo=2&amp;ST=1&amp;nLang=0</t>
  </si>
  <si>
    <t>https://www.clickideacore.com/ClickHTML5/Visit.aspx?ID=//5BDAEwASwAzADcAMwA2ADQANwAyADMASQBEAEUAQQA5=&amp;Tipo=2&amp;ST=1&amp;nLang=0</t>
  </si>
  <si>
    <t>https://www.clickideacore.com/ClickHTML5/Visit.aspx?ID=//59DAEwASwAzADcAMwA3ADEANQAxADYASQBEAEUAQQA2=&amp;Tipo=2&amp;ST=1&amp;nLang=0</t>
  </si>
  <si>
    <t>https://www.clickideacore.com/ClickHTML5/Visit.aspx?ID=//5EDAEwASwAzADcAMwA2ADYAMQAzADAASQBEAEUAQQAB=&amp;Tipo=2&amp;ST=1&amp;nLang=0</t>
  </si>
  <si>
    <t>https://www.clickideacore.com/ClickHTML5/Visit.aspx?ID=//5CDAEwASwAzADcANAA2ADQANwAyADEASQBEAEUAQQA2=&amp;Tipo=2&amp;ST=1&amp;nLang=0</t>
  </si>
  <si>
    <t>https://www.clickideacore.com/ClickHTML5/Visit.aspx?ID=//59DAEwASwAzADcAMwA2ADUANwAxADYASQBEAEUAQQA8=&amp;Tipo=2&amp;ST=1&amp;nLang=0</t>
  </si>
  <si>
    <t>https://www.clickideacore.com/ClickHTML5/Visit.aspx?ID=//51DAEwASwAzADcANAAzADkAOQAwADIASQBEAEUAQQAD=&amp;Tipo=2&amp;ST=1&amp;nLang=0</t>
  </si>
  <si>
    <t>https://www.clickideacore.com/ClickHTML5/Visit.aspx?ID=//58DAEwASwAzADcAMwA3ADMANwA1ADIASQBEAEUAQQA9=&amp;Tipo=2&amp;ST=1&amp;nLang=0</t>
  </si>
  <si>
    <t>https://www.clickideacore.com/ClickHTML5/Visit.aspx?ID=//5EDAEwASwAzADcAMwA2ADUANQA2ADEASQBEAEUAQQAF=&amp;Tipo=2&amp;ST=1&amp;nLang=0</t>
  </si>
  <si>
    <t>https://www.clickideacore.com/ClickHTML5/Visit.aspx?ID=//56DAEwASwAzADcAMwA3ADQANwA1ADgASQBEAEUAQQAE=&amp;Tipo=2&amp;ST=1&amp;nLang=0</t>
  </si>
  <si>
    <t>https://www.clickideacore.com/ClickHTML5/Visit.aspx?ID=//5FDAEwASwAzADcAMwA1ADgAMwA2ADYASQBEAEUAQQA8=&amp;Tipo=2&amp;ST=1&amp;nLang=0</t>
  </si>
  <si>
    <t>https://www.clickideacore.com/ClickHTML5/Visit.aspx?ID=//58DAEwASwAzADcAMwA3ADQAOQA4ADgASQBEAEUAQQAE=&amp;Tipo=2&amp;ST=1&amp;nLang=0</t>
  </si>
  <si>
    <t>https://www.clickideacore.com/ClickHTML5/Visit.aspx?ID=//5CDAEwASwAzADcANAA0ADcANgA4ADMASQBEAEUAQQA3=&amp;Tipo=2&amp;ST=1&amp;nLang=0</t>
  </si>
  <si>
    <t>https://www.clickideacore.com/ClickHTML5/Visit.aspx?ID=//51DAEwASwAzADcAMwA4ADcAMwAxADkASQBEAEUAQQAF=&amp;Tipo=2&amp;ST=1&amp;nLang=0</t>
  </si>
  <si>
    <t>https://www.clickideacore.com/ClickHTML5/Visit.aspx?ID=//5FDAEwASwAzADcAMwA5ADUAOQAyADQASQBEAEUAQQAC=&amp;Tipo=2&amp;ST=1&amp;nLang=0</t>
  </si>
  <si>
    <t>https://www.clickideacore.com/ClickHTML5/Visit.aspx?ID=//51DAEwASwAzADcAMwA4ADgANAA2ADYASQBEAEUAQQA6=&amp;Tipo=2&amp;ST=1&amp;nLang=0</t>
  </si>
  <si>
    <t>https://www.clickideacore.com/ClickHTML5/Visit.aspx?ID=//57DAEwASwAzADcAMwA5ADAAOQA0ADcASQBEAEUAQQA5=&amp;Tipo=2&amp;ST=1&amp;nLang=0</t>
  </si>
  <si>
    <t>https://www.clickideacore.com/ClickHTML5/Visit.aspx?ID=//59DAEwASwAzADcAMwA4ADcAMQAwADAASQBEAEUAQQA6=&amp;Tipo=2&amp;ST=1&amp;nLang=0</t>
  </si>
  <si>
    <t>https://www.clickideacore.com/ClickHTML5/Visit.aspx?ID=//50DAEwASwAzADcAMwA5ADAANgA3ADMASQBEAEUAQQA8=&amp;Tipo=2&amp;ST=1&amp;nLang=0</t>
  </si>
  <si>
    <t>https://www.clickideacore.com/ClickHTML5/Visit.aspx?ID=//57DAEwASwAzADcAMwA4ADkAMQA0ADEASQBEAEUAQQA1=&amp;Tipo=2&amp;ST=1&amp;nLang=0</t>
  </si>
  <si>
    <t>https://www.clickideacore.com/ClickHTML5/Visit.aspx?ID=//5BDAEwASwAzADcAMwA4ADcAOQA5ADEASQBEAEUAQQAE=&amp;Tipo=2&amp;ST=1&amp;nLang=0</t>
  </si>
  <si>
    <t>https://www.clickideacore.com/ClickHTML5/Visit.aspx?ID=//58DAEwASwAzADcAMwA4ADYANgA2ADkASQBEAEUAQQA1=&amp;Tipo=2&amp;ST=1&amp;nLang=0</t>
  </si>
  <si>
    <t>Gonzalo Gonzalez</t>
  </si>
  <si>
    <t>https://www.clickideacore.com/ClickHTML5/Visit.aspx?ID=//5CDAEwASwAzADcAMwA5ADIAMQAwADIASQBEAEUAQQA0=&amp;Tipo=2&amp;ST=1&amp;nLang=0</t>
  </si>
  <si>
    <t>https://www.clickideacore.com/ClickHTML5/Visit.aspx?ID=//5DDAEwASwAzADcAMwA5ADcAMAAwADcASQBEAEUAQQA4=&amp;Tipo=2&amp;ST=1&amp;nLang=0</t>
  </si>
  <si>
    <t>https://www.clickideacore.com/ClickHTML5/Visit.aspx?ID=//58DAEwASwAzADcAMwA4ADgAMgAzADQASQBEAEUAQQAE=&amp;Tipo=2&amp;ST=1&amp;nLang=0</t>
  </si>
  <si>
    <t>https://www.clickideacore.com/ClickHTML5/Visit.aspx?ID=//51DAEwASwAzADcANAA0ADgANwA2ADAASQBEAEUAQQA6=&amp;Tipo=2&amp;ST=1&amp;nLang=0</t>
  </si>
  <si>
    <t>https://www.clickideacore.com/ClickHTML5/Visit.aspx?ID=//58DAEwASwAzADcAMwA4ADgAMgA2ADcASQBEAEUAQQAF=&amp;Tipo=2&amp;ST=1&amp;nLang=0</t>
  </si>
  <si>
    <t>https://www.clickideacore.com/ClickHTML5/Visit.aspx?ID=//5CDAEwASwAzADcAMwA4ADMANAA5ADUASQBEAEUAQQA9=&amp;Tipo=2&amp;ST=1&amp;nLang=0</t>
  </si>
  <si>
    <t>https://www.clickideacore.com/ClickHTML5/Visit.aspx?ID=//5DDAEwASwAzADcANAAwADgANwA4ADYASQBEAEUAQQA5=&amp;Tipo=2&amp;ST=1&amp;nLang=0</t>
  </si>
  <si>
    <t>https://www.clickideacore.com/ClickHTML5/Visit.aspx?ID=//56DAEwASwAzADcANAAwADgAMgA1ADEASQBEAEUAQQAE=&amp;Tipo=2&amp;ST=1&amp;nLang=0</t>
  </si>
  <si>
    <t>https://www.clickideacore.com/ClickHTML5/Visit.aspx?ID=//53DAEwASwAzADcANAAxADYANAA0ADcASQBEAEUAQQAD=&amp;Tipo=2&amp;ST=1&amp;nLang=0</t>
  </si>
  <si>
    <t>https://www.clickideacore.com/ClickHTML5/Visit.aspx?ID=//5BDAEwASwAzADcANAAxADYAMQA1ADkASQBEAEUAQQA5=&amp;Tipo=2&amp;ST=1&amp;nLang=0</t>
  </si>
  <si>
    <t>https://www.clickideacore.com/ClickHTML5/Visit.aspx?ID=//5EDAEwASwAzADcANAAyADUANwA5ADMASQBEAEUAQQAB=&amp;Tipo=2&amp;ST=1&amp;nLang=0</t>
  </si>
  <si>
    <t>https://www.clickideacore.com/ClickHTML5/Visit.aspx?ID=//59DAEwASwAzADcANAAzADgAOQAyADUASQBEAEUAQQAD=&amp;Tipo=2&amp;ST=1&amp;nLang=0</t>
  </si>
  <si>
    <t>https://www.clickideacore.com/ClickHTML5/Visit.aspx?ID=//5EDAEwASwAzADcANAA4ADIAMgA4ADcASQBEAEUAQQAA=&amp;Tipo=2&amp;ST=1&amp;nLang=0</t>
  </si>
  <si>
    <t>https://www.clickideacore.com/ClickHTML5/Visit.aspx?ID=//5ADAEwASwAzADcANAA0ADAAMQA1ADgASQBEAEUAQQA8=&amp;Tipo=2&amp;ST=1&amp;nLang=0</t>
  </si>
  <si>
    <t>https://www.clickideacore.com/ClickHTML5/Visit.aspx?ID=//56DAEwASwAzADcANAAzADYANAAwADEASQBEAEUAQQA3=&amp;Tipo=2&amp;ST=1&amp;nLang=0</t>
  </si>
  <si>
    <t>https://www.clickideacore.com/ClickHTML5/Visit.aspx?ID=//56DAEwASwAzADcANAAzADkAOAA2ADkASQBEAEUAQQA7=&amp;Tipo=2&amp;ST=1&amp;nLang=0</t>
  </si>
  <si>
    <t>https://www.clickideacore.com/ClickHTML5/Visit.aspx?ID=//50DAEwASwAzADcANAA0ADEANAA2ADEASQBEAEUAQQAD=&amp;Tipo=2&amp;ST=1&amp;nLang=0</t>
  </si>
  <si>
    <t>https://www.clickideacore.com/ClickHTML5/Visit.aspx?ID=//50DAEwASwAzADcANAAzADYAOAA3ADQASQBEAEUAQQA9=&amp;Tipo=2&amp;ST=1&amp;nLang=0</t>
  </si>
  <si>
    <t>https://www.clickideacore.com/ClickHTML5/Visit.aspx?ID=//51DAEwASwAzADcANAA0ADMAMgA5ADkASQBEAEUAQQAB=&amp;Tipo=2&amp;ST=1&amp;nLang=0</t>
  </si>
  <si>
    <t>https://www.clickideacore.com/ClickHTML5/Visit.aspx?ID=//51DAEwASwAzADcANAAzADkANgAyADAASQBEAEUAQQA5=&amp;Tipo=2&amp;ST=1&amp;nLang=0</t>
  </si>
  <si>
    <t>https://www.clickideacore.com/ClickHTML5/Visit.aspx?ID=//57DAEwASwAzADcANAA2ADIAMwA0ADgASQBEAEUAQQA1=&amp;Tipo=2&amp;ST=1&amp;nLang=0</t>
  </si>
  <si>
    <t>https://www.clickideacore.com/ClickHTML5/Visit.aspx?ID=//51DAEwASwAzADcANAA0ADcAOAA2ADEASQBEAEUAQQAF=&amp;Tipo=2&amp;ST=1&amp;nLang=0</t>
  </si>
  <si>
    <t>Mario Astorga</t>
  </si>
  <si>
    <t>https://www.clickideacore.com/ClickHTML5/Visit.aspx?ID=//52DAEwASwAzADcANAA0ADIAMAA2ADUASQBEAEUAQQA5=&amp;Tipo=2&amp;ST=1&amp;nLang=0</t>
  </si>
  <si>
    <t>https://www.clickideacore.com/ClickHTML5/Visit.aspx?ID=//59DAEwASwAzADcANAAzADEAOAA4ADIASQBEAEUAQQAA=&amp;Tipo=2&amp;ST=1&amp;nLang=0</t>
  </si>
  <si>
    <t>https://www.clickideacore.com/ClickHTML5/Visit.aspx?ID=//5BDAEwASwAzADcANAA3ADIANQAxADEASQBEAEUAQQAE=&amp;Tipo=2&amp;ST=1&amp;nLang=0</t>
  </si>
  <si>
    <t>https://www.clickideacore.com/ClickHTML5/Visit.aspx?ID=//59DAEwASwAzADcANAA1ADkAMAAwADMASQBEAEUAQQAF=&amp;Tipo=2&amp;ST=1&amp;nLang=0</t>
  </si>
  <si>
    <t>https://www.clickideacore.com/ClickHTML5/Visit.aspx?ID=//5FDAEwASwAzADcANAA2ADYAMwAyADgASQBEAEUAQQA9=&amp;Tipo=2&amp;ST=1&amp;nLang=0</t>
  </si>
  <si>
    <t>https://www.clickideacore.com/ClickHTML5/Visit.aspx?ID=//54DAEwASwAzADcANAA3ADAAOQA0ADAASQBEAEUAQQA5=&amp;Tipo=2&amp;ST=1&amp;nLang=0</t>
  </si>
  <si>
    <t>https://www.clickideacore.com/ClickHTML5/Visit.aspx?ID=//50DAEwASwAzADcANAA2ADMAOQA4ADQASQBEAEUAQQA5=&amp;Tipo=2&amp;ST=1&amp;nLang=0</t>
  </si>
  <si>
    <t>https://www.clickideacore.com/ClickHTML5/Visit.aspx?ID=//5FDAEwASwAzADcANAA2ADUAMAA5ADIASQBEAEUAQQAF=&amp;Tipo=2&amp;ST=1&amp;nLang=0</t>
  </si>
  <si>
    <t>https://www.clickideacore.com/ClickHTML5/Visit.aspx?ID=//51DAEwASwAzADcANAA2ADIANQA1ADQASQBEAEUAQQA1=&amp;Tipo=2&amp;ST=1&amp;nLang=0</t>
  </si>
  <si>
    <t>https://www.clickideacore.com/ClickHTML5/Visit.aspx?ID=//55DAEwASwAzADcANAA2ADcAOQA1ADkASQBEAEUAQQA3=&amp;Tipo=2&amp;ST=1&amp;nLang=0</t>
  </si>
  <si>
    <t>https://www.clickideacore.com/ClickHTML5/Visit.aspx?ID=//5FDAEwASwAzADcANAA2ADEAMwA3ADUASQBEAEUAQQA5=&amp;Tipo=2&amp;ST=1&amp;nLang=0</t>
  </si>
  <si>
    <t>https://www.clickideacore.com/ClickHTML5/Visit.aspx?ID=//50DAEwASwAzADcANAA2ADEANAA4ADgASQBEAEUAQQA5=&amp;Tipo=2&amp;ST=1&amp;nLang=0</t>
  </si>
  <si>
    <t>https://www.clickideacore.com/ClickHTML5/Visit.aspx?ID=//5BDAEwASwAzADcANAA3ADEAMgAwADAASQBEAEUAQQA5=&amp;Tipo=2&amp;ST=1&amp;nLang=0</t>
  </si>
  <si>
    <t>https://www.clickideacore.com/ClickHTML5/Visit.aspx?ID=//58DAEwASwAzADcANAA2ADQANwA0ADAASQBEAEUAQQAA=&amp;Tipo=2&amp;ST=1&amp;nLang=0</t>
  </si>
  <si>
    <t>https://www.clickideacore.com/ClickHTML5/Visit.aspx?ID=//53DAEwASwAzADcANAA3ADIANQA3ADMASQBEAEUAQQAE=&amp;Tipo=2&amp;ST=1&amp;nLang=0</t>
  </si>
  <si>
    <t>Daniel Escobar</t>
  </si>
  <si>
    <t>https://www.clickideacore.com/ClickHTML5/Visit.aspx?ID=//50DAEwASwAzADcANAA5ADYAOAAzADgASQBEAEUAQQA6=&amp;Tipo=2&amp;ST=1&amp;nLang=0</t>
  </si>
  <si>
    <t>sin Producción</t>
  </si>
  <si>
    <t>https://www.clickideacore.com/ClickHTML5/Visit.aspx?ID=//5ADAEwASwAzADcANAA5ADUANgA3ADcASQBEAEUAQQA5=&amp;Tipo=2&amp;ST=1&amp;nLang=0</t>
  </si>
  <si>
    <t>https://www.clickideacore.com/ClickHTML5/Visit.aspx?ID=//50DAEwASwAzADcANAA4ADUAMwA2ADUASQBEAEUAQQA6=&amp;Tipo=2&amp;ST=1&amp;nLang=0</t>
  </si>
  <si>
    <t>https://www.clickideacore.com/ClickHTML5/Visit.aspx?ID=//52DAEwASwAzADcANAA4ADYAOAA3ADMASQBEAEUAQQA4=&amp;Tipo=2&amp;ST=1&amp;nLang=0</t>
  </si>
  <si>
    <t>https://www.clickideacore.com/ClickHTML5/Visit.aspx?ID=//5CDAEwASwAzADcANAA5ADUANgAyADgASQBEAEUAQQAD=&amp;Tipo=2&amp;ST=1&amp;nLang=0</t>
  </si>
  <si>
    <t>https://www.clickideacore.com/ClickHTML5/Visit.aspx?ID=//56DAEwASwAzADcANAA4ADYAOAA5ADEASQBEAEUAQQA2=&amp;Tipo=2&amp;ST=1&amp;nLang=0</t>
  </si>
  <si>
    <t>https://www.clickideacore.com/ClickHTML5/Visit.aspx?ID=//5BDAEwASwAzADcANAA4ADQANwA3ADkASQBEAEUAQQA5=&amp;Tipo=2&amp;ST=1&amp;nLang=0</t>
  </si>
  <si>
    <t>https://www.clickideacore.com/ClickHTML5/Visit.aspx?ID=//5DDAEwASwAzADcANAA4ADUANwA2ADEASQBEAEUAQQAB=&amp;Tipo=2&amp;ST=1&amp;nLang=0</t>
  </si>
  <si>
    <t>https://www.clickideacore.com/ClickHTML5/Visit.aspx?ID=//50DAEwASwAzADcANAA4ADUAMQAwADUASQBEAEUAQQAF=&amp;Tipo=2&amp;ST=1&amp;nLang=0</t>
  </si>
  <si>
    <t>https://www.clickideacore.com/ClickHTML5/Visit.aspx?ID=//52DAEwASwAzADcANAA4ADUAMAAzADUASQBEAEUAQQA8=&amp;Tipo=2&amp;ST=1&amp;nLang=0</t>
  </si>
  <si>
    <t>https://www.clickideacore.com/ClickHTML5/Visit.aspx?ID=//52DAEwASwAzADcANAA4ADUANwAwADQASQBEAEUAQQA2=&amp;Tipo=2&amp;ST=1&amp;nLang=0</t>
  </si>
  <si>
    <t>https://www.clickideacore.com/ClickHTML5/Visit.aspx?ID=//56DAEwASwAzADcANAA5ADEAOAAzADAASQBEAEUAQQAD=&amp;Tipo=2&amp;ST=1&amp;nLang=0</t>
  </si>
  <si>
    <t>https://www.clickideacore.com/ClickHTML5/Visit.aspx?ID=//51DAEwASwAzADcANAA5ADUANgA0ADQASQBEAEUAQQA2=&amp;Tipo=2&amp;ST=1&amp;nLang=0</t>
  </si>
  <si>
    <t>https://www.clickideacore.com/ClickHTML5/Visit.aspx?ID=//5DDAEwASwAzADcANAA4ADYAOAA4ADQASQBEAEUAQQA2=&amp;Tipo=2&amp;ST=1&amp;nLang=0</t>
  </si>
  <si>
    <t>https://www.clickideacore.com/ClickHTML5/Visit.aspx?ID=//57DAEwASwAzADcANAA5ADUAMQAyADAASQBEAEUAQQA5=&amp;Tipo=2&amp;ST=1&amp;nLang=0</t>
  </si>
  <si>
    <t>https://www.clickideacore.com/ClickHTML5/Visit.aspx?ID=//55DAEwASwAzADcANQAxADkAMgAxADUASQBEAEUAQQA0=&amp;Tipo=2&amp;ST=1&amp;nLang=0</t>
  </si>
  <si>
    <t>https://www.clickideacore.com/ClickHTML5/Visit.aspx?ID=//52DAEwASwAzADcANQAwADgAMQAxADMASQBEAEUAQQAE=&amp;Tipo=2&amp;ST=1&amp;nLang=0</t>
  </si>
  <si>
    <t>https://www.clickideacore.com/ClickHTML5/Visit.aspx?ID=//55DAEwASwAzADcANQAwADcANwA2ADkASQBEAEUAQQA2=&amp;Tipo=2&amp;ST=1&amp;nLang=0</t>
  </si>
  <si>
    <t>https://www.clickideacore.com/ClickHTML5/Visit.aspx?ID=//50DAEwASwAzADcANQAxADMAOAAyADAASQBEAEUAQQA6=&amp;Tipo=2&amp;ST=1&amp;nLang=0</t>
  </si>
  <si>
    <t>https://www.clickideacore.com/ClickHTML5/Visit.aspx?ID=//53DAEwASwAzADcANQA2ADAAOQAyADgASQBEAEUAQQA1=&amp;Tipo=2&amp;ST=1&amp;nLang=0</t>
  </si>
  <si>
    <t>https://www.clickideacore.com/ClickHTML5/Visit.aspx?ID=//58DAEwASwAzADcANQAxADIAMgAyADMASQBEAEUAQQAD=&amp;Tipo=2&amp;ST=1&amp;nLang=0</t>
  </si>
  <si>
    <t>https://www.clickideacore.com/ClickHTML5/Visit.aspx?ID=//53DAEwASwAzADcANQAwADgAOAA3ADkASQBEAEUAQQA5=&amp;Tipo=2&amp;ST=1&amp;nLang=0</t>
  </si>
  <si>
    <t>https://www.clickideacore.com/ClickHTML5/Visit.aspx?ID=//54DAEwASwAzADcANQAxADIANAAzADQASQBEAEUAQQA4=&amp;Tipo=2&amp;ST=1&amp;nLang=0</t>
  </si>
  <si>
    <t>https://www.clickideacore.com/ClickHTML5/Visit.aspx?ID=//53DAEwASwAzADcANQAwADkAOAA0ADIASQBEAEUAQQA4=&amp;Tipo=2&amp;ST=1&amp;nLang=0</t>
  </si>
  <si>
    <t>https://www.clickideacore.com/ClickHTML5/Visit.aspx?ID=//55DAEwASwAzADcANQAwADkANgAxADkASQBEAEUAQQA0=&amp;Tipo=2&amp;ST=1&amp;nLang=0</t>
  </si>
  <si>
    <t>https://www.clickideacore.com/ClickHTML5/Visit.aspx?ID=//59DAEwASwAzADcANQAwADcAMwA5ADMASQBEAEUAQQAD=&amp;Tipo=2&amp;ST=1&amp;nLang=0</t>
  </si>
  <si>
    <t>https://www.clickideacore.com/ClickHTML5/Visit.aspx?ID=//58DAEwASwAzADcANQAwADgANAA2ADQASQBEAEUAQQAA=&amp;Tipo=2&amp;ST=1&amp;nLang=0</t>
  </si>
  <si>
    <t>https://www.clickideacore.com/ClickHTML5/Visit.aspx?ID=//51DAEwASwAzADcANQAwADYAOQA0ADkASQBEAEUAQQA0=&amp;Tipo=2&amp;ST=1&amp;nLang=0</t>
  </si>
  <si>
    <t>https://www.clickideacore.com/ClickHTML5/Visit.aspx?ID=//56DAEwASwAzADcANQAxADcANAAxADkASQBEAEUAQQA1=&amp;Tipo=2&amp;ST=1&amp;nLang=0</t>
  </si>
  <si>
    <t>https://www.clickideacore.com/ClickHTML5/Visit.aspx?ID=//5ADAEwASwAzADcANQAwADcANgA4ADgASQBEAEUAQQA2=&amp;Tipo=2&amp;ST=1&amp;nLang=0</t>
  </si>
  <si>
    <t>https://www.clickideacore.com/ClickHTML5/Visit.aspx?ID=//55DAEwASwAzADcANQAxADkANAAwADIASQBEAEUAQQA0=&amp;Tipo=2&amp;ST=1&amp;nLang=0</t>
  </si>
  <si>
    <t>https://www.clickideacore.com/ClickHTML5/Visit.aspx?ID=//5ADAEwASwAzADcANQAwADYAMgA4ADYASQBEAEUAQQAB=&amp;Tipo=2&amp;ST=1&amp;nLang=0</t>
  </si>
  <si>
    <t>https://www.clickideacore.com/ClickHTML5/Visit.aspx?ID=//5FDAEwASwAzADcANQAzADAANAA1ADAASQBEAEUAQQA7=&amp;Tipo=2&amp;ST=1&amp;nLang=0</t>
  </si>
  <si>
    <t>https://www.clickideacore.com/ClickHTML5/Visit.aspx?ID=//5EDAEwASwAzADcANQAzADAANgAwADkASQBEAEUAQQA2=&amp;Tipo=2&amp;ST=1&amp;nLang=0</t>
  </si>
  <si>
    <t>https://www.clickideacore.com/ClickHTML5/Visit.aspx?ID=//52DAEwASwAzADcANQAzADgAMQAxADMASQBEAEUAQQA9=&amp;Tipo=2&amp;ST=1&amp;nLang=0</t>
  </si>
  <si>
    <t>https://www.clickideacore.com/ClickHTML5/Visit.aspx?ID=//55DAEwASwAzADcANQAzADkAMgA0ADYASQBEAEUAQQAD=&amp;Tipo=2&amp;ST=1&amp;nLang=0</t>
  </si>
  <si>
    <t>https://www.clickideacore.com/ClickHTML5/Visit.aspx?ID=//59DAEwASwAzADcANQAzADIAOQA4ADkASQBEAEUAQQA8=&amp;Tipo=2&amp;ST=1&amp;nLang=0</t>
  </si>
  <si>
    <t>https://www.clickideacore.com/ClickHTML5/Visit.aspx?ID=//53DAEwASwAzADcANQA2ADEAMwAyADUASQBEAEUAQQA2=&amp;Tipo=2&amp;ST=1&amp;nLang=0</t>
  </si>
  <si>
    <t>https://www.clickideacore.com/ClickHTML5/Visit.aspx?ID=//5BDAEwASwAzADcANQA0ADgAMQAyADQASQBEAEUAQQA6=&amp;Tipo=2&amp;ST=1&amp;nLang=0</t>
  </si>
  <si>
    <t>https://www.clickideacore.com/ClickHTML5/Visit.aspx?ID=//58DAEwASwAzADcANQA0ADYAMwA5ADgASQBEAEUAQQA6=&amp;Tipo=2&amp;ST=1&amp;nLang=0</t>
  </si>
  <si>
    <t>https://www.clickideacore.com/ClickHTML5/Visit.aspx?ID=//5CDAEwASwAzADcANQA0ADcANAA0ADMASQBEAEUAQQAD=&amp;Tipo=2&amp;ST=1&amp;nLang=0</t>
  </si>
  <si>
    <t>https://www.clickideacore.com/ClickHTML5/Visit.aspx?ID=//56DAEwASwAzADcANQA1ADQANAA4ADYASQBEAEUAQQA9=&amp;Tipo=2&amp;ST=1&amp;nLang=0</t>
  </si>
  <si>
    <t>https://www.clickideacore.com/ClickHTML5/Visit.aspx?ID=//5CDAEwASwAzADcANQA0ADcAMAA0ADcASQBEAEUAQQAD=&amp;Tipo=2&amp;ST=1&amp;nLang=0</t>
  </si>
  <si>
    <t>https://www.clickideacore.com/ClickHTML5/Visit.aspx?ID=//5EDAEwASwAzADcANQA0ADkANwAyADIASQBEAEUAQQA7=&amp;Tipo=2&amp;ST=1&amp;nLang=0</t>
  </si>
  <si>
    <t>https://www.clickideacore.com/ClickHTML5/Visit.aspx?ID=//55DAEwASwAzADcANQA1ADQAMwA2ADYASQBEAEUAQQAC=&amp;Tipo=2&amp;ST=1&amp;nLang=0</t>
  </si>
  <si>
    <t>https://www.clickideacore.com/ClickHTML5/Visit.aspx?ID=//5CDAEwASwAzADcANQA1ADgANQAzADcASQBEAEUAQQA4=&amp;Tipo=2&amp;ST=1&amp;nLang=0</t>
  </si>
  <si>
    <t>https://www.clickideacore.com/ClickHTML5/Visit.aspx?ID=//59DAEwASwAzADcANQA1ADUAMwA2ADYASQBEAEUAQQA5=&amp;Tipo=2&amp;ST=1&amp;nLang=0</t>
  </si>
  <si>
    <t>https://www.clickideacore.com/ClickHTML5/Visit.aspx?ID=//5CDAEwASwAzADcANQA0ADQANwA1ADkASQBEAEUAQQA9=&amp;Tipo=2&amp;ST=1&amp;nLang=0</t>
  </si>
  <si>
    <t>https://www.clickideacore.com/ClickHTML5/Visit.aspx?ID=//57DAEwASwAzADcANQA0ADYAMQA2ADkASQBEAEUAQQA3=&amp;Tipo=2&amp;ST=1&amp;nLang=0</t>
  </si>
  <si>
    <t>https://www.clickideacore.com/ClickHTML5/Visit.aspx?ID=//53DAEwASwAzADcANQA2ADEAMAA5ADcASQBEAEUAQQA9=&amp;Tipo=2&amp;ST=1&amp;nLang=0</t>
  </si>
  <si>
    <t>https://www.clickideacore.com/ClickHTML5/Visit.aspx?ID=//5FDAEwASwAzADcANQA2ADEAOAA2ADcASQBEAEUAQQA2=&amp;Tipo=2&amp;ST=1&amp;nLang=0</t>
  </si>
  <si>
    <t>https://www.clickideacore.com/ClickHTML5/Visit.aspx?ID=//5ADAEwASwAzADcANQA0ADMAMgAwADUASQBEAEUAQQAB=&amp;Tipo=2&amp;ST=1&amp;nLang=0</t>
  </si>
  <si>
    <t>https://www.clickideacore.com/ClickHTML5/Visit.aspx?ID=//59DAEwASwAzADcANQA0ADUANQAyADYASQBEAEUAQQA9=&amp;Tipo=2&amp;ST=1&amp;nLang=0</t>
  </si>
  <si>
    <t>https://www.clickideacore.com/ClickHTML5/Visit.aspx?ID=//5CDAEwASwAzADcANQA4ADMAOQA0ADgASQBEAEUAQQA6=&amp;Tipo=2&amp;ST=1&amp;nLang=0</t>
  </si>
  <si>
    <t>https://www.clickideacore.com/ClickHTML5/Visit.aspx?ID=//51DAEwASwAzADcANQA3ADMANAAzADAASQBEAEUAQQA1=&amp;Tipo=2&amp;ST=1&amp;nLang=0</t>
  </si>
  <si>
    <t>https://www.clickideacore.com/ClickHTML5/Visit.aspx?ID=//5DDAEwASwAzADcANQA3ADcAMAAzADIASQBEAEUAQQAC=&amp;Tipo=2&amp;ST=1&amp;nLang=0</t>
  </si>
  <si>
    <t>https://www.clickideacore.com/ClickHTML5/Visit.aspx?ID=//54DAEwASwAzADcANQA3ADUAMgAwADYASQBEAEUAQQAD=&amp;Tipo=2&amp;ST=1&amp;nLang=0</t>
  </si>
  <si>
    <t>https://www.clickideacore.com/ClickHTML5/Visit.aspx?ID=//5ADAEwASwAzADcANQA3ADAAMQA1ADcASQBEAEUAQQAB=&amp;Tipo=2&amp;ST=1&amp;nLang=0</t>
  </si>
  <si>
    <t>https://www.clickideacore.com/ClickHTML5/Visit.aspx?ID=//51DAEwASwAzADcANQA3ADQANAA4ADQASQBEAEUAQQAD=&amp;Tipo=2&amp;ST=1&amp;nLang=0</t>
  </si>
  <si>
    <t>https://www.clickideacore.com/ClickHTML5/Visit.aspx?ID=//5ADAEwASwAzADcANQA3ADMAMQA2ADgASQBEAEUAQQAA=&amp;Tipo=2&amp;ST=1&amp;nLang=0</t>
  </si>
  <si>
    <t>https://www.clickideacore.com/ClickHTML5/Visit.aspx?ID=//5CDAEwASwAzADcANQA4ADAANwA1ADMASQBEAEUAQQA3=&amp;Tipo=2&amp;ST=1&amp;nLang=0</t>
  </si>
  <si>
    <t>https://www.clickideacore.com/ClickHTML5/Visit.aspx?ID=//5EDAEwASwAzADcANQA3ADYANgA4ADIASQBEAEUAQQAF=&amp;Tipo=2&amp;ST=1&amp;nLang=0</t>
  </si>
  <si>
    <t>https://www.clickideacore.com/ClickHTML5/Visit.aspx?ID=//5EDAEwASwAzADcANQA3ADQAOAAxADAASQBEAEUAQQA7=&amp;Tipo=2&amp;ST=1&amp;nLang=0</t>
  </si>
  <si>
    <t>https://www.clickideacore.com/ClickHTML5/Visit.aspx?ID=//5FDAEwASwAzADcANQA4ADIANAA1ADEASQBEAEUAQQAA=&amp;Tipo=2&amp;ST=1&amp;nLang=0</t>
  </si>
  <si>
    <t>https://www.clickideacore.com/ClickHTML5/Visit.aspx?ID=//58DAEwASwAzADcANQA4ADMAOAA0ADUASQBEAEUAQQAC=&amp;Tipo=2&amp;ST=1&amp;nLang=0</t>
  </si>
  <si>
    <t>https://www.clickideacore.com/ClickHTML5/Visit.aspx?ID=//5FDAEwASwAzADcANQA2ADcAOAAzADIASQBEAEUAQQA1=&amp;Tipo=2&amp;ST=1&amp;nLang=0</t>
  </si>
  <si>
    <t>Abel Tapia</t>
  </si>
  <si>
    <t>Jesus Barrera</t>
  </si>
  <si>
    <t>https://www.clickideacore.com/ClickHTML5/Visit.aspx?ID=//5ADAEwASwAzADcANQA5ADcAMQAyADAASQBEAEUAQQA9=&amp;Tipo=2&amp;ST=1&amp;nLang=0</t>
  </si>
  <si>
    <t>https://www.clickideacore.com/ClickHTML5/Visit.aspx?ID=//5FDAEwASwAzADcANgAwADUANQAxADIASQBEAEUAQQA4=&amp;Tipo=2&amp;ST=1&amp;nLang=0</t>
  </si>
  <si>
    <t>https://www.clickideacore.com/ClickHTML5/Visit.aspx?ID=//5FDAEwASwAzADcANQA5ADMANwA3ADUASQBEAEUAQQA7=&amp;Tipo=2&amp;ST=1&amp;nLang=0</t>
  </si>
  <si>
    <t>https://www.clickideacore.com/ClickHTML5/Visit.aspx?ID=//54DAEwASwAzADcANQA5ADcAMwA4ADkASQBEAEUAQQA3=&amp;Tipo=2&amp;ST=1&amp;nLang=0</t>
  </si>
  <si>
    <t>https://www.clickideacore.com/ClickHTML5/Visit.aspx?ID=//58DAEwASwAzADcANQA5ADcAMwA0ADYASQBEAEUAQQA0=&amp;Tipo=2&amp;ST=1&amp;nLang=0</t>
  </si>
  <si>
    <t>https://www.clickideacore.com/ClickHTML5/Visit.aspx?ID=//53DAEwASwAzADcANQA5ADQAOQA4ADQASQBEAEUAQQA1=&amp;Tipo=2&amp;ST=1&amp;nLang=0</t>
  </si>
  <si>
    <t>https://www.clickideacore.com/ClickHTML5/Visit.aspx?ID=//5FDAEwASwAzADcANQA5ADYANwA5ADYASQBEAEUAQQAB=&amp;Tipo=2&amp;ST=1&amp;nLang=0</t>
  </si>
  <si>
    <t>https://www.clickideacore.com/ClickHTML5/Visit.aspx?ID=//53DAEwASwAzADcANQA5ADYANAA4ADEASQBEAEUAQQA4=&amp;Tipo=2&amp;ST=1&amp;nLang=0</t>
  </si>
  <si>
    <t>https://www.clickideacore.com/ClickHTML5/Visit.aspx?ID=//53DAEwASwAzADcANQA5ADYANQA5ADYASQBEAEUAQQAF=&amp;Tipo=2&amp;ST=1&amp;nLang=0</t>
  </si>
  <si>
    <t>https://www.clickideacore.com/ClickHTML5/Visit.aspx?ID=//59DAEwASwAzADcANQA5ADgAOAA3ADgASQBEAEUAQQA6=&amp;Tipo=2&amp;ST=1&amp;nLang=0</t>
  </si>
  <si>
    <t>https://www.clickideacore.com/ClickHTML5/Visit.aspx?ID=//58DAEwASwAzADcANQA5ADIAOQA2ADEASQBEAEUAQQAB=&amp;Tipo=2&amp;ST=1&amp;nLang=0</t>
  </si>
  <si>
    <t>https://www.clickideacore.com/ClickHTML5/Visit.aspx?ID=//55DAEwASwAzADcANQA5ADUANwAzADIASQBEAEUAQQA0=&amp;Tipo=2&amp;ST=1&amp;nLang=0</t>
  </si>
  <si>
    <t>https://www.clickideacore.com/ClickHTML5/Visit.aspx?ID=//50DAEwASwAzADcANgAwADUANgAxADkASQBEAEUAQQA5=&amp;Tipo=2&amp;ST=1&amp;nLang=0</t>
  </si>
  <si>
    <t>https://www.clickideacore.com/ClickHTML5/Visit.aspx?ID=//55DAEwASwAzADcANQA5ADEANgAzADMASQBEAEUAQQA9=&amp;Tipo=2&amp;ST=1&amp;nLang=0</t>
  </si>
  <si>
    <t>https://www.clickideacore.com/ClickHTML5/Visit.aspx?ID=//59DAEwASwAzADcANQA5ADIANQA4ADcASQBEAEUAQQAD=&amp;Tipo=2&amp;ST=1&amp;nLang=0</t>
  </si>
  <si>
    <t>https://www.clickideacore.com/ClickHTML5/Visit.aspx?ID=//50DAEwASwAzADcANgAxADcANgAzADYASQBEAEUAQQA2=&amp;Tipo=2&amp;ST=1&amp;nLang=0</t>
  </si>
  <si>
    <t>https://www.clickideacore.com/ClickHTML5/Visit.aspx?ID=//50DAEwASwAzADcANgAyADYAMgAyADYASQBEAEUAQQAB=&amp;Tipo=2&amp;ST=1&amp;nLang=0</t>
  </si>
  <si>
    <t>https://www.clickideacore.com/ClickHTML5/Visit.aspx?ID=//54DAEwASwAzADcANgAxADEANgA5ADUASQBEAEUAQQAB=&amp;Tipo=2&amp;ST=1&amp;nLang=0</t>
  </si>
  <si>
    <t>https://www.clickideacore.com/ClickHTML5/Visit.aspx?ID=//51DAEwASwAzADcANgAxADcAOAA1ADEASQBEAEUAQQA8=&amp;Tipo=2&amp;ST=1&amp;nLang=0</t>
  </si>
  <si>
    <t>https://www.clickideacore.com/ClickHTML5/Visit.aspx?ID=//55DAEwASwAzADcANgAyADQANQA2ADEASQBEAEUAQQA6=&amp;Tipo=2&amp;ST=1&amp;nLang=0</t>
  </si>
  <si>
    <t>https://www.clickideacore.com/ClickHTML5/Visit.aspx?ID=//57DAEwASwAzADcANgAyADAAMwAyADQASQBEAEUAQQAB=&amp;Tipo=2&amp;ST=1&amp;nLang=0</t>
  </si>
  <si>
    <t>https://www.clickideacore.com/ClickHTML5/Visit.aspx?ID=//55DAEwASwAzADcANgAxADgAMAA0ADAASQBEAEUAQQAC=&amp;Tipo=2&amp;ST=1&amp;nLang=0</t>
  </si>
  <si>
    <t>https://www.clickideacore.com/ClickHTML5/Visit.aspx?ID=//56DAEwASwAzADcANgAxADcAMwAxADQASQBEAEUAQQA0=&amp;Tipo=2&amp;ST=1&amp;nLang=0</t>
  </si>
  <si>
    <t>https://www.clickideacore.com/ClickHTML5/Visit.aspx?ID=//55DAEwASwAzADcANgAxADgAMAA1ADIASQBEAEUAQQA3=&amp;Tipo=2&amp;ST=1&amp;nLang=0</t>
  </si>
  <si>
    <t>https://www.clickideacore.com/ClickHTML5/Visit.aspx?ID=//56DAEwASwAzADcANgAxADcAOQA2ADUASQBEAEUAQQA3=&amp;Tipo=2&amp;ST=1&amp;nLang=0</t>
  </si>
  <si>
    <t>https://www.clickideacore.com/ClickHTML5/Visit.aspx?ID=//5DDAEwASwAzADcANgAxADYAMQA5ADMASQBEAEUAQQA7=&amp;Tipo=2&amp;ST=1&amp;nLang=0</t>
  </si>
  <si>
    <t>https://www.clickideacore.com/ClickHTML5/Visit.aspx?ID=//5ADAEwASwAzADcANgAxADgAMgAwADYASQBEAEUAQQA9=&amp;Tipo=2&amp;ST=1&amp;nLang=0</t>
  </si>
  <si>
    <t>https://www.clickideacore.com/ClickHTML5/Visit.aspx?ID=//5BDAEwASwAzADcANgAyADYAMwAzADIASQBEAEUAQQA6=&amp;Tipo=2&amp;ST=1&amp;nLang=0</t>
  </si>
  <si>
    <t>https://www.clickideacore.com/ClickHTML5/Visit.aspx?ID=//51DAEwASwAzADcANgAyADYANwAwADQASQBEAEUAQQA0=&amp;Tipo=2&amp;ST=1&amp;nLang=0</t>
  </si>
  <si>
    <t>https://www.clickideacore.com/ClickHTML5/Visit.aspx?ID=//57DAEwASwAzADcANgAxADUAMQA3ADUASQBEAEUAQQAB=&amp;Tipo=2&amp;ST=1&amp;nLang=0</t>
  </si>
  <si>
    <t>https://www.clickideacore.com/ClickHTML5/Visit.aspx?ID=//5CDAEwASwAzADcANgAzADkANwA2ADgASQBEAEUAQQA7=&amp;Tipo=2&amp;ST=1&amp;nLang=0</t>
  </si>
  <si>
    <t>https://www.clickideacore.com/ClickHTML5/Visit.aspx?ID=//55DAEwASwAzADcANgA0ADgAMAAxADQASQBEAEUAQQAE=&amp;Tipo=2&amp;ST=1&amp;nLang=0</t>
  </si>
  <si>
    <t>https://www.clickideacore.com/ClickHTML5/Visit.aspx?ID=//5EDAEwASwAzADcANgAzADcAOQA1ADEASQBEAEUAQQA0=&amp;Tipo=2&amp;ST=1&amp;nLang=0</t>
  </si>
  <si>
    <t>https://www.clickideacore.com/ClickHTML5/Visit.aspx?ID=//5BDAEwASwAzADcANgAzADgANAA2ADUASQBEAEUAQQAB=&amp;Tipo=2&amp;ST=1&amp;nLang=0</t>
  </si>
  <si>
    <t>https://www.clickideacore.com/ClickHTML5/Visit.aspx?ID=//5EDAEwASwAzADcANgA0ADcAOQAwADMASQBEAEUAQQA3=&amp;Tipo=2&amp;ST=1&amp;nLang=0</t>
  </si>
  <si>
    <t>https://www.clickideacore.com/ClickHTML5/Visit.aspx?ID=//5EDAEwASwAzADcANgA0ADAAMwA2ADcASQBEAEUAQQAF=&amp;Tipo=2&amp;ST=1&amp;nLang=0</t>
  </si>
  <si>
    <t>https://www.clickideacore.com/ClickHTML5/Visit.aspx?ID=//5CDAEwASwAzADcANgAzADYAMgA0ADIASQBEAEUAQQAA=&amp;Tipo=2&amp;ST=1&amp;nLang=0</t>
  </si>
  <si>
    <t>https://www.clickideacore.com/ClickHTML5/Visit.aspx?ID=//59DAEwASwAzADcANgAzADgANwAxADIASQBEAEUAQQAC=&amp;Tipo=2&amp;ST=1&amp;nLang=0</t>
  </si>
  <si>
    <t>https://www.clickideacore.com/ClickHTML5/Visit.aspx?ID=//51DAEwASwAzADcANgAzADgANgA5ADUASQBEAEUAQQA1=&amp;Tipo=2&amp;ST=1&amp;nLang=0</t>
  </si>
  <si>
    <t>https://www.clickideacore.com/ClickHTML5/Visit.aspx?ID=//50DAEwASwAzADcANgA0ADQAOQA5ADIASQBEAEUAQQA7=&amp;Tipo=2&amp;ST=1&amp;nLang=0</t>
  </si>
  <si>
    <t>https://www.clickideacore.com/ClickHTML5/Visit.aspx?ID=//56DAEwASwAzADcANgA0ADAAMwA4ADEASQBEAEUAQQA8=&amp;Tipo=2&amp;ST=1&amp;nLang=0</t>
  </si>
  <si>
    <t>https://www.clickideacore.com/ClickHTML5/Visit.aspx?ID=//51DAEwASwAzADcANgAzADYAOAAwADMASQBEAEUAQQA4=&amp;Tipo=2&amp;ST=1&amp;nLang=0</t>
  </si>
  <si>
    <t>https://www.clickideacore.com/ClickHTML5/Visit.aspx?ID=//51DAEwASwAzADcANgAzADkANwA4ADYASQBEAEUAQQA9=&amp;Tipo=2&amp;ST=1&amp;nLang=0</t>
  </si>
  <si>
    <t>https://www.clickideacore.com/ClickHTML5/Visit.aspx?ID=//56DAEwASwAzADcANgA0ADgAMAAyADIASQBEAEUAQQAE=&amp;Tipo=2&amp;ST=1&amp;nLang=0</t>
  </si>
  <si>
    <t>https://www.clickideacore.com/ClickHTML5/Visit.aspx?ID=//54DAEwASwAzADcANgA0ADgAMQA5ADcASQBEAEUAQQA2=&amp;Tipo=2&amp;ST=1&amp;nLang=0</t>
  </si>
  <si>
    <t>https://www.clickideacore.com/ClickHTML5/Visit.aspx?ID=//55DAEwASwAzADcANgAzADkAMgAyADMASQBEAEUAQQA2=&amp;Tipo=2&amp;ST=1&amp;nLang=0</t>
  </si>
  <si>
    <t>Raul Toledo</t>
  </si>
  <si>
    <t>https://www.clickideacore.com/ClickHTML5/Visit.aspx?ID=//5DDAEwASwAzADcANgAzADYANQA1ADQASQBEAEUAQQA8=&amp;Tipo=2&amp;ST=1&amp;nLang=0</t>
  </si>
  <si>
    <t>https://www.clickideacore.com/ClickHTML5/Visit.aspx?ID=//5CDAEwASwAzADcANgA2ADAANQA0ADEASQBEAEUAQQAF=&amp;Tipo=2&amp;ST=1&amp;nLang=0</t>
  </si>
  <si>
    <t>https://www.clickideacore.com/ClickHTML5/Visit.aspx?ID=//50DAEwASwAzADcANgA1ADgANwA1ADgASQBEAEUAQQAC=&amp;Tipo=2&amp;ST=1&amp;nLang=0</t>
  </si>
  <si>
    <t>https://www.clickideacore.com/ClickHTML5/Visit.aspx?ID=//54DAEwASwAzADcANgA2ADcANgA4ADEASQBEAEUAQQAA=&amp;Tipo=2&amp;ST=1&amp;nLang=0</t>
  </si>
  <si>
    <t>https://www.clickideacore.com/ClickHTML5/Visit.aspx?ID=//50DAEwASwAzADcANgA2ADcAMgAwADIASQBEAEUAQQA4=&amp;Tipo=2&amp;ST=1&amp;nLang=0</t>
  </si>
  <si>
    <t>https://www.clickideacore.com/ClickHTML5/Visit.aspx?ID=//51DAEwASwAzADcANgA3ADUAOAAzADAASQBEAEUAQQA4=&amp;Tipo=2&amp;ST=1&amp;nLang=0</t>
  </si>
  <si>
    <t>https://www.clickideacore.com/ClickHTML5/Visit.aspx?ID=//57DAEwASwAzADcANgA4ADcAMgA0ADQASQBEAEUAQQA5=&amp;Tipo=2&amp;ST=1&amp;nLang=0</t>
  </si>
  <si>
    <t>https://www.clickideacore.com/ClickHTML5/Visit.aspx?ID=//5ADAEwASwAzADcANgA3ADcAMgAyADYASQBEAEUAQQAD=&amp;Tipo=2&amp;ST=1&amp;nLang=0</t>
  </si>
  <si>
    <t>https://www.clickideacore.com/ClickHTML5/Visit.aspx?ID=//56DAEwASwAzADcANgA3ADkAMAA2ADMASQBEAEUAQQA5=&amp;Tipo=2&amp;ST=1&amp;nLang=0</t>
  </si>
  <si>
    <t>https://www.clickideacore.com/ClickHTML5/Visit.aspx?ID=//56DAEwASwAzADcANgA4ADcANgA4ADMASQBEAEUAQQAF=&amp;Tipo=2&amp;ST=1&amp;nLang=0</t>
  </si>
  <si>
    <t>https://www.clickideacore.com/ClickHTML5/Visit.aspx?ID=//52DAEwASwAzADcANgA3ADkANgAwADUASQBEAEUAQQAC=&amp;Tipo=2&amp;ST=1&amp;nLang=0</t>
  </si>
  <si>
    <t>https://www.clickideacore.com/ClickHTML5/Visit.aspx?ID=//5EDAEwASwAzADcANgA3ADUANwAxADkASQBEAEUAQQA1=&amp;Tipo=2&amp;ST=1&amp;nLang=0</t>
  </si>
  <si>
    <t>https://www.clickideacore.com/ClickHTML5/Visit.aspx?ID=//52DAEwASwAzADcANgA3ADkANQA2ADIASQBEAEUAQQA5=&amp;Tipo=2&amp;ST=1&amp;nLang=0</t>
  </si>
  <si>
    <t>https://www.clickideacore.com/ClickHTML5/Visit.aspx?ID=//5BDAEwASwAzADcANgA3ADgANAAzADcASQBEAEUAQQA5=&amp;Tipo=2&amp;ST=1&amp;nLang=0</t>
  </si>
  <si>
    <t>https://www.clickideacore.com/ClickHTML5/Visit.aspx?ID=//51DAEwASwAzADcANgA3ADgANgA5ADEASQBEAEUAQQA6=&amp;Tipo=2&amp;ST=1&amp;nLang=0</t>
  </si>
  <si>
    <t>https://www.clickideacore.com/ClickHTML5/Visit.aspx?ID=//59DAEwASwAzADcANgA3ADkAMgAxADMASQBEAEUAQQA4=&amp;Tipo=2&amp;ST=1&amp;nLang=0</t>
  </si>
  <si>
    <t>https://www.clickideacore.com/ClickHTML5/Visit.aspx?ID=//52DAEwASwAzADcANgA3ADcAMQA3ADAASQBEAEUAQQAA=&amp;Tipo=2&amp;ST=1&amp;nLang=0</t>
  </si>
  <si>
    <t>https://www.clickideacore.com/ClickHTML5/Visit.aspx?ID=//53DAEwASwAzADcANgA4ADcAMwAyADAASQBEAEUAQQA6=&amp;Tipo=2&amp;ST=1&amp;nLang=0</t>
  </si>
  <si>
    <t>https://www.clickideacore.com/ClickHTML5/Visit.aspx?ID=//5CDAEwASwAzADcANgA4ADcANwAyADYASQBEAEUAQQAF=&amp;Tipo=2&amp;ST=1&amp;nLang=0</t>
  </si>
  <si>
    <t>https://www.clickideacore.com/ClickHTML5/Visit.aspx?ID=//59DAEwASwAzADcANgA4ADYANAAyADYASQBEAEUAQQA8=&amp;Tipo=2&amp;ST=1&amp;nLang=0</t>
  </si>
  <si>
    <t>https://www.clickideacore.com/ClickHTML5/Visit.aspx?ID=//5DDAEwASwAzADcANgA4ADcAOAAzADQASQBEAEUAQQAB=&amp;Tipo=2&amp;ST=1&amp;nLang=0</t>
  </si>
  <si>
    <t>Gerald Paredes</t>
  </si>
  <si>
    <t>https://www.clickideacore.com/ClickHTML5/Visit.aspx?ID=//56DAEwASwAzADcANgA3ADcAMgA5ADEASQBEAEUAQQA5=&amp;Tipo=2&amp;ST=1&amp;nLang=0</t>
  </si>
  <si>
    <t>https://www.clickideacore.com/ClickHTML5/Visit.aspx?ID=//54DAEwASwAzADcAOAAyADAAMAA3ADgASQBEAEUAQQA4=&amp;Tipo=2&amp;ST=1&amp;nLang=0</t>
  </si>
  <si>
    <t>https://www.clickideacore.com/ClickHTML5/Visit.aspx?ID=//53DAEwASwAzADcANwAwADkANAAzADQASQBEAEUAQQA2=&amp;Tipo=2&amp;ST=1&amp;nLang=0</t>
  </si>
  <si>
    <t>https://www.clickideacore.com/ClickHTML5/Visit.aspx?ID=//51DAEwASwAzADcANgA5ADcANQAwADEASQBEAEUAQQA0=&amp;Tipo=2&amp;ST=1&amp;nLang=0</t>
  </si>
  <si>
    <t>https://www.clickideacore.com/ClickHTML5/Visit.aspx?ID=//51DAEwASwAzADcANwAwADgAOQA3ADcASQBEAEUAQQA6=&amp;Tipo=2&amp;ST=1&amp;nLang=0</t>
  </si>
  <si>
    <t>https://www.clickideacore.com/ClickHTML5/Visit.aspx?ID=//5FDAEwASwAzADcANgA5ADkAMAA5ADQASQBEAEUAQQA5=&amp;Tipo=2&amp;ST=1&amp;nLang=0</t>
  </si>
  <si>
    <t>https://www.clickideacore.com/ClickHTML5/Visit.aspx?ID=//51DAEwASwAzADcANgA5ADkAMQA1ADYASQBEAEUAQQA3=&amp;Tipo=2&amp;ST=1&amp;nLang=0</t>
  </si>
  <si>
    <t>https://www.clickideacore.com/ClickHTML5/Visit.aspx?ID=//5FDAEwASwAzADcANwAwADAANAA1ADMASQBEAEUAQQA9=&amp;Tipo=2&amp;ST=1&amp;nLang=0</t>
  </si>
  <si>
    <t>https://www.clickideacore.com/ClickHTML5/Visit.aspx?ID=//5ADAEwASwAzADcANwAwADEAMwAzADIASQBEAEUAQQA1=&amp;Tipo=2&amp;ST=1&amp;nLang=0</t>
  </si>
  <si>
    <t>https://www.clickideacore.com/ClickHTML5/Visit.aspx?ID=//51DAEwASwAzADcANgA5ADkANwA4ADgASQBEAEUAQQA5=&amp;Tipo=2&amp;ST=1&amp;nLang=0</t>
  </si>
  <si>
    <t>https://www.clickideacore.com/ClickHTML5/Visit.aspx?ID=//54DAEwASwAzADcANwAwADMAMQAzADcASQBEAEUAQQAE=&amp;Tipo=2&amp;ST=1&amp;nLang=0</t>
  </si>
  <si>
    <t>https://www.clickideacore.com/ClickHTML5/Visit.aspx?ID=//57DAEwASwAzADcANwAwADcANwA4ADQASQBEAEUAQQA1=&amp;Tipo=2&amp;ST=1&amp;nLang=0</t>
  </si>
  <si>
    <t>https://www.clickideacore.com/ClickHTML5/Visit.aspx?ID=//55DAEwASwAzADcANwAwADkAMwA2ADMASQBEAEUAQQA6=&amp;Tipo=2&amp;ST=1&amp;nLang=0</t>
  </si>
  <si>
    <t>https://www.clickideacore.com/ClickHTML5/Visit.aspx?ID=//52DAEwASwAzADcANwAwADkAMQAzADIASQBEAEUAQQAF=&amp;Tipo=2&amp;ST=1&amp;nLang=0</t>
  </si>
  <si>
    <t>https://www.clickideacore.com/ClickHTML5/Visit.aspx?ID=//59DAEwASwAzADcANgA5ADgAMgA4ADMASQBEAEUAQQA1=&amp;Tipo=2&amp;ST=1&amp;nLang=0</t>
  </si>
  <si>
    <t>https://www.clickideacore.com/ClickHTML5/Visit.aspx?ID=//51DAEwASwAzADcANgA5ADQANgAwADcASQBEAEUAQQA3=&amp;Tipo=2&amp;ST=1&amp;nLang=0</t>
  </si>
  <si>
    <t>https://www.clickideacore.com/ClickHTML5/Visit.aspx?ID=//56DAEwASwAzADcANwAxADQANgAzADEASQBEAEUAQQA9=&amp;Tipo=2&amp;ST=1&amp;nLang=0</t>
  </si>
  <si>
    <t xml:space="preserve">descanso </t>
  </si>
  <si>
    <t>https://www.clickideacore.com/ClickHTML5/Visit.aspx?ID=//53DAEwASwAzADcANwAxADgAMgA0ADAASQBEAEUAQQA8=&amp;Tipo=2&amp;ST=1&amp;nLang=0</t>
  </si>
  <si>
    <t>https://www.clickideacore.com/ClickHTML5/Visit.aspx?ID=//51DAEwASwAzADcANwAxADYAMQAzADkASQBEAEUAQQAE=&amp;Tipo=2&amp;ST=1&amp;nLang=0</t>
  </si>
  <si>
    <t>https://www.clickideacore.com/ClickHTML5/Visit.aspx?ID=//57DAEwASwAzADcANwAxADcANgA3ADQASQBEAEUAQQAF=&amp;Tipo=2&amp;ST=1&amp;nLang=0</t>
  </si>
  <si>
    <t>https://www.clickideacore.com/ClickHTML5/Visit.aspx?ID=//5DDAEwASwAzADcANwAyADQAMAA1ADIASQBEAEUAQQAF=&amp;Tipo=2&amp;ST=1&amp;nLang=0</t>
  </si>
  <si>
    <t>https://www.clickideacore.com/ClickHTML5/Visit.aspx?ID=//5DDAEwASwAzADcANwAyADAANQA5ADUASQBEAEUAQQA8=&amp;Tipo=2&amp;ST=1&amp;nLang=0</t>
  </si>
  <si>
    <t>https://www.clickideacore.com/ClickHTML5/Visit.aspx?ID=//55DAEwASwAzADcANwAxADkAMgAxADgASQBEAEUAQQA9=&amp;Tipo=2&amp;ST=1&amp;nLang=0</t>
  </si>
  <si>
    <t>https://www.clickideacore.com/ClickHTML5/Visit.aspx?ID=//5CDAEwASwAzADcANwAxADgAMgA4ADgASQBEAEUAQQA0=&amp;Tipo=2&amp;ST=1&amp;nLang=0</t>
  </si>
  <si>
    <t>https://www.clickideacore.com/ClickHTML5/Visit.aspx?ID=//59DAEwASwAzADcANwAxADYANgA4ADcASQBEAEUAQQA8=&amp;Tipo=2&amp;ST=1&amp;nLang=0</t>
  </si>
  <si>
    <t>https://www.clickideacore.com/ClickHTML5/Visit.aspx?ID=//5CDAEwASwAzADcANwAyADAANQAzADIASQBEAEUAQQA8=&amp;Tipo=2&amp;ST=1&amp;nLang=0</t>
  </si>
  <si>
    <t>https://www.clickideacore.com/ClickHTML5/Visit.aspx?ID=//5ADAEwASwAzADcANwAxADYAMAAwADQASQBEAEUAQQAF=&amp;Tipo=2&amp;ST=1&amp;nLang=0</t>
  </si>
  <si>
    <t>https://www.clickideacore.com/ClickHTML5/Visit.aspx?ID=//52DAEwASwAzADcANwAxADkANgAxADUASQBEAEUAQQA8=&amp;Tipo=2&amp;ST=1&amp;nLang=0</t>
  </si>
  <si>
    <t>https://www.clickideacore.com/ClickHTML5/Visit.aspx?ID=//55DAEwASwAzADcANwAyADQANQAyADYASQBEAEUAQQA7=&amp;Tipo=2&amp;ST=1&amp;nLang=0</t>
  </si>
  <si>
    <t>https://www.clickideacore.com/ClickHTML5/Visit.aspx?ID=//56DAEwASwAzADcANwAxADMAOAA2ADIASQBEAEUAQQA3=&amp;Tipo=2&amp;ST=1&amp;nLang=0</t>
  </si>
  <si>
    <t>https://www.clickideacore.com/ClickHTML5/Visit.aspx?ID=//5CDAEwASwAzADcANwAzADcAMwA5ADIASQBEAEUAQQAE=&amp;Tipo=2&amp;ST=1&amp;nLang=0</t>
  </si>
  <si>
    <t>https://www.clickideacore.com/ClickHTML5/Visit.aspx?ID=//54DAEwASwAzADcANwA0ADcANwAyADIASQBEAEUAQQA2=&amp;Tipo=2&amp;ST=1&amp;nLang=0</t>
  </si>
  <si>
    <t>https://www.clickideacore.com/ClickHTML5/Visit.aspx?ID=//50DAEwASwAzADcANwAzADYANQAwADMASQBEAEUAQQA5=&amp;Tipo=2&amp;ST=1&amp;nLang=0</t>
  </si>
  <si>
    <t>https://www.clickideacore.com/ClickHTML5/Visit.aspx?ID=//5DDAEwASwAzADcANwAzADUAMQA1ADkASQBEAEUAQQA6=&amp;Tipo=2&amp;ST=1&amp;nLang=0</t>
  </si>
  <si>
    <t>https://www.clickideacore.com/ClickHTML5/Visit.aspx?ID=//5EDAEwASwAzADcANwA0ADYAMgAyADcASQBEAEUAQQA9=&amp;Tipo=2&amp;ST=1&amp;nLang=0</t>
  </si>
  <si>
    <t>https://www.clickideacore.com/ClickHTML5/Visit.aspx?ID=//58DAEwASwAzADcANwAzADYAMwA0ADYASQBEAEUAQQA1=&amp;Tipo=2&amp;ST=1&amp;nLang=0</t>
  </si>
  <si>
    <t>https://www.clickideacore.com/ClickHTML5/Visit.aspx?ID=//54DAEwASwAzADcANwAzADQAMgA5ADQASQBEAEUAQQA1=&amp;Tipo=2&amp;ST=1&amp;nLang=0</t>
  </si>
  <si>
    <t>https://www.clickideacore.com/ClickHTML5/Visit.aspx?ID=//55DAEwASwAzADcANwAzADkAMgA2ADIASQBEAEUAQQAC=&amp;Tipo=2&amp;ST=1&amp;nLang=0</t>
  </si>
  <si>
    <t>https://www.clickideacore.com/ClickHTML5/Visit.aspx?ID=//59DAEwASwAzADcANwAzADgAOQAxADcASQBEAEUAQQA6=&amp;Tipo=2&amp;ST=1&amp;nLang=0</t>
  </si>
  <si>
    <t>https://www.clickideacore.com/ClickHTML5/Visit.aspx?ID=//57DAEwASwAzADcANwAzADUANwAyADYASQBEAEUAQQA5=&amp;Tipo=2&amp;ST=1&amp;nLang=0</t>
  </si>
  <si>
    <t>https://www.clickideacore.com/ClickHTML5/Visit.aspx?ID=//5DDAEwASwAzADcANwAzADkAMwAxADEASQBEAEUAQQAD=&amp;Tipo=2&amp;ST=1&amp;nLang=0</t>
  </si>
  <si>
    <t>https://www.clickideacore.com/ClickHTML5/Visit.aspx?ID=//5EDAEwASwAzADcANwAzADQAMQAxADEASQBEAEUAQQAD=&amp;Tipo=2&amp;ST=1&amp;nLang=0</t>
  </si>
  <si>
    <t>https://www.clickideacore.com/ClickHTML5/Visit.aspx?ID=//50DAEwASwAzADcANwA0ADMAMQAwADEASQBEAEUAQQA0=&amp;Tipo=2&amp;ST=1&amp;nLang=0</t>
  </si>
  <si>
    <t>https://www.clickideacore.com/ClickHTML5/Visit.aspx?ID=//5ADAEwASwAzADcANwA0ADcAMAAyADEASQBEAEUAQQA6=&amp;Tipo=2&amp;ST=1&amp;nLang=0</t>
  </si>
  <si>
    <t>https://www.clickideacore.com/ClickHTML5/Visit.aspx?ID=//5CDAEwASwAzADcANwA0ADcANwAwADEASQBEAEUAQQA5=&amp;Tipo=2&amp;ST=1&amp;nLang=0</t>
  </si>
  <si>
    <t>https://www.clickideacore.com/ClickHTML5/Visit.aspx?ID=//5EDAEwASwAzADcANwAzADcAMAA5ADkASQBEAEUAQQAE=&amp;Tipo=2&amp;ST=1&amp;nLang=0</t>
  </si>
  <si>
    <t>https://www.clickideacore.com/ClickHTML5/Visit.aspx?ID=//50DAEwASwAzADcANwAzADQANgA2ADAASQBEAEUAQQAE=&amp;Tipo=2&amp;ST=1&amp;nLang=0</t>
  </si>
  <si>
    <t>https://www.clickideacore.com/ClickHTML5/Visit.aspx?ID=//53DAEwASwAzADcANwA1ADcAMgA5ADQASQBEAEUAQQA5=&amp;Tipo=2&amp;ST=1&amp;nLang=0</t>
  </si>
  <si>
    <t>https://www.clickideacore.com/ClickHTML5/Visit.aspx?ID=//52DAEwASwAzADcANwA1ADgANAA3ADAASQBEAEUAQQA6=&amp;Tipo=2&amp;ST=1&amp;nLang=0</t>
  </si>
  <si>
    <t>https://www.clickideacore.com/ClickHTML5/Visit.aspx?ID=//5DDAEwASwAzADcANwA2ADUAOAA1ADUASQBEAEUAQQA1=&amp;Tipo=2&amp;ST=1&amp;nLang=0</t>
  </si>
  <si>
    <t>https://www.clickideacore.com/ClickHTML5/Visit.aspx?ID=//5BDAEwASwAzADcANwA4ADMAOQA3ADEASQBEAEUAQQAF=&amp;Tipo=2&amp;ST=1&amp;nLang=0</t>
  </si>
  <si>
    <t>https://www.clickideacore.com/ClickHTML5/Visit.aspx?ID=//5CDAEwASwAzADcANwA3ADUAMAA1ADQASQBEAEUAQQA8=&amp;Tipo=2&amp;ST=1&amp;nLang=0</t>
  </si>
  <si>
    <t>https://www.clickideacore.com/ClickHTML5/Visit.aspx?ID=//5FDAEwASwAzADcANwA3ADYAMQAyADQASQBEAEUAQQAB=&amp;Tipo=2&amp;ST=1&amp;nLang=0</t>
  </si>
  <si>
    <t>https://www.clickideacore.com/ClickHTML5/Visit.aspx?ID=//5DDAEwASwAzADcANwA4ADMANAAxADQASQBEAEUAQQA4=&amp;Tipo=2&amp;ST=1&amp;nLang=0</t>
  </si>
  <si>
    <t>https://www.clickideacore.com/ClickHTML5/Visit.aspx?ID=//59DAEwASwAzADcANwA3ADcAMQAwADkASQBEAEUAQQAB=&amp;Tipo=2&amp;ST=1&amp;nLang=0</t>
  </si>
  <si>
    <t>https://www.clickideacore.com/ClickHTML5/Visit.aspx?ID=//5EDAEwASwAzADcANwA3ADQANwA2ADIASQBEAEUAQQA9=&amp;Tipo=2&amp;ST=1&amp;nLang=0</t>
  </si>
  <si>
    <t>https://www.clickideacore.com/ClickHTML5/Visit.aspx?ID=//54DAEwASwAzADcANwA3ADUANgA4ADYASQBEAEUAQQA7=&amp;Tipo=2&amp;ST=1&amp;nLang=0</t>
  </si>
  <si>
    <t>https://www.clickideacore.com/ClickHTML5/Visit.aspx?ID=//51DAEwASwAzADcANwA3ADUANQAzADcASQBEAEUAQQA0=&amp;Tipo=2&amp;ST=1&amp;nLang=0</t>
  </si>
  <si>
    <t>https://www.clickideacore.com/ClickHTML5/Visit.aspx?ID=//56DAEwASwAzADcANwA3ADcANQAyADIASQBEAEUAQQAC=&amp;Tipo=2&amp;ST=1&amp;nLang=0</t>
  </si>
  <si>
    <t>https://www.clickideacore.com/ClickHTML5/Visit.aspx?ID=//57DAEwASwAzADcANwA3ADQAMAAyADQASQBEAEUAQQAB=&amp;Tipo=2&amp;ST=1&amp;nLang=0</t>
  </si>
  <si>
    <t>https://www.clickideacore.com/ClickHTML5/Visit.aspx?ID=//58DAEwASwAzADcANwA3ADIANAA4ADQASQBEAEUAQQA3=&amp;Tipo=2&amp;ST=1&amp;nLang=0</t>
  </si>
  <si>
    <t>https://www.clickideacore.com/ClickHTML5/Visit.aspx?ID=//50DAEwASwAzADcANwA3ADkAMwA0ADUASQBEAEUAQQA7=&amp;Tipo=2&amp;ST=1&amp;nLang=0</t>
  </si>
  <si>
    <t>https://www.clickideacore.com/ClickHTML5/Visit.aspx?ID=//56DAEwASwAzADcANwA4ADMANAA2ADkASQBEAEUAQQAF=&amp;Tipo=2&amp;ST=1&amp;nLang=0</t>
  </si>
  <si>
    <t>https://www.clickideacore.com/ClickHTML5/Visit.aspx?ID=//5DDAEwASwAzADcANwA3ADYAOAA5ADUASQBEAEUAQQA7=&amp;Tipo=2&amp;ST=1&amp;nLang=0</t>
  </si>
  <si>
    <t>Gerald Aguayo</t>
  </si>
  <si>
    <t>https://www.clickideacore.com/ClickHTML5/Visit.aspx?ID=//56DAEwASwAzADcAOAAwADEANAA1ADgASQBEAEUAQQA7=&amp;Tipo=2&amp;ST=1&amp;nLang=0</t>
  </si>
  <si>
    <t>https://www.clickideacore.com/ClickHTML5/Visit.aspx?ID=//52DAEwASwAzADcANwA5ADMANwA0ADUASQBEAEUAQQA6=&amp;Tipo=2&amp;ST=1&amp;nLang=0</t>
  </si>
  <si>
    <t>https://www.clickideacore.com/ClickHTML5/Visit.aspx?ID=//57DAEwASwAzADcANwA5ADEANQA0ADcASQBEAEUAQQA3=&amp;Tipo=2&amp;ST=1&amp;nLang=0</t>
  </si>
  <si>
    <t>https://www.clickideacore.com/ClickHTML5/Visit.aspx?ID=//5ADAEwASwAzADcANwA5ADMANwA0ADkASQBEAEUAQQA2=&amp;Tipo=2&amp;ST=1&amp;nLang=0</t>
  </si>
  <si>
    <t>https://www.clickideacore.com/ClickHTML5/Visit.aspx?ID=//54DAEwASwAzADcANwA5ADcAOAA5ADUASQBEAEUAQQA4=&amp;Tipo=2&amp;ST=1&amp;nLang=0</t>
  </si>
  <si>
    <t>https://www.clickideacore.com/ClickHTML5/Visit.aspx?ID=//5EDAEwASwAzADcANwA5ADMANwAwADAASQBEAEUAQQA9=&amp;Tipo=2&amp;ST=1&amp;nLang=0</t>
  </si>
  <si>
    <t>https://www.clickideacore.com/ClickHTML5/Visit.aspx?ID=//5BDAEwASwAzADcANwA5ADQANgAzADEASQBEAEUAQQAD=&amp;Tipo=2&amp;ST=1&amp;nLang=0</t>
  </si>
  <si>
    <t>https://www.clickideacore.com/ClickHTML5/Visit.aspx?ID=//57DAEwASwAzADcANwA5ADcAMwA3ADYASQBEAEUAQQAE=&amp;Tipo=2&amp;ST=1&amp;nLang=0</t>
  </si>
  <si>
    <t>https://www.clickideacore.com/ClickHTML5/Visit.aspx?ID=//5FDAEwASwAzADcANwA5ADMAOAAzADUASQBEAEUAQQA1=&amp;Tipo=2&amp;ST=1&amp;nLang=0</t>
  </si>
  <si>
    <t>https://www.clickideacore.com/ClickHTML5/Visit.aspx?ID=//59DAEwASwAzADcANwA5ADgANwA3ADgASQBEAEUAQQA6=&amp;Tipo=2&amp;ST=1&amp;nLang=0</t>
  </si>
  <si>
    <t>https://www.clickideacore.com/ClickHTML5/Visit.aspx?ID=//57DAEwASwAzADcAOAAwADEAMwA2ADMASQBEAEUAQQAA=&amp;Tipo=2&amp;ST=1&amp;nLang=0</t>
  </si>
  <si>
    <t>https://www.clickideacore.com/ClickHTML5/Visit.aspx?ID=//5CDAEwASwAzADcANwA4ADQAMwAwADMASQBEAEUAQQAA=&amp;Tipo=2&amp;ST=1&amp;nLang=0</t>
  </si>
  <si>
    <t>https://www.clickideacore.com/ClickHTML5/Visit.aspx?ID=//5ADAEwASwAzADcAOAAwADEANgA1ADAASQBEAEUAQQA9=&amp;Tipo=2&amp;ST=1&amp;nLang=0</t>
  </si>
  <si>
    <t>https://www.clickideacore.com/ClickHTML5/Visit.aspx?ID=//5ADAEwASwAzADcAOAAwADYAMwA3ADUASQBEAEUAQQAA=&amp;Tipo=2&amp;ST=1&amp;nLang=0</t>
  </si>
  <si>
    <t>https://www.clickideacore.com/ClickHTML5/Visit.aspx?ID=//58DAEwASwAzADcAOAAwADUAOQA2ADMASQBEAEUAQQA8=&amp;Tipo=2&amp;ST=1&amp;nLang=0</t>
  </si>
  <si>
    <t>https://www.clickideacore.com/ClickHTML5/Visit.aspx?ID=//5FDAEwASwAzADcAOAAwADYAMgA1ADAASQBEAEUAQQAB=&amp;Tipo=2&amp;ST=1&amp;nLang=0</t>
  </si>
  <si>
    <t>https://www.clickideacore.com/ClickHTML5/Visit.aspx?ID=//53DAEwASwAzADcAOAAxADAANQA3ADMASQBEAEUAQQAC=&amp;Tipo=2&amp;ST=1&amp;nLang=0</t>
  </si>
  <si>
    <t>https://www.clickideacore.com/ClickHTML5/Visit.aspx?ID=//5CDAEwASwAzADcAOAAwADkANAAzADIASQBEAEUAQQAE=&amp;Tipo=2&amp;ST=1&amp;nLang=0</t>
  </si>
  <si>
    <t>https://www.clickideacore.com/ClickHTML5/Visit.aspx?ID=//5CDAEwASwAzADcAOAAxADAAMAA3ADgASQBEAEUAQQA5=&amp;Tipo=2&amp;ST=1&amp;nLang=0</t>
  </si>
  <si>
    <t>Nelson Paredes</t>
  </si>
  <si>
    <t>https://www.clickideacore.com/ClickHTML5/Visit.aspx?ID=//50DAEwASwAzADcAOAAxADAANAAzADAASQBEAEUAQQA2=&amp;Tipo=2&amp;ST=1&amp;nLang=0</t>
  </si>
  <si>
    <t>https://www.clickideacore.com/ClickHTML5/Visit.aspx?ID=//56DAEwASwAzADcAOAAwADYAOQAxADMASQBEAEUAQQA5=&amp;Tipo=2&amp;ST=1&amp;nLang=0</t>
  </si>
  <si>
    <t>https://www.clickideacore.com/ClickHTML5/Visit.aspx?ID=//55DAEwASwAzADcAOAAwADgAOQAyADUASQBEAEUAQQA8=&amp;Tipo=2&amp;ST=1&amp;nLang=0</t>
  </si>
  <si>
    <t>https://www.clickideacore.com/ClickHTML5/Visit.aspx?ID=//55DAEwASwAzADcAOAAwADYANQA3ADMASQBEAEUAQQA5=&amp;Tipo=2&amp;ST=1&amp;nLang=0</t>
  </si>
  <si>
    <t>https://www.clickideacore.com/ClickHTML5/Visit.aspx?ID=//57DAEwASwAzADcAOAAwADgANwA3ADMASQBEAEUAQQA6=&amp;Tipo=2&amp;ST=1&amp;nLang=0</t>
  </si>
  <si>
    <t>https://www.clickideacore.com/ClickHTML5/Visit.aspx?ID=//5EDAEwASwAzADcAOAAwADYANgAwADgASQBEAEUAQQA8=&amp;Tipo=2&amp;ST=1&amp;nLang=0</t>
  </si>
  <si>
    <t>https://www.clickideacore.com/ClickHTML5/Visit.aspx?ID=//5CDAEwASwAzADcAOAAwADYANQAwADcASQBEAEUAQQA1=&amp;Tipo=2&amp;ST=1&amp;nLang=0</t>
  </si>
  <si>
    <t>descanso</t>
  </si>
  <si>
    <t>https://www.clickideacore.com/ClickHTML5/Visit.aspx?ID=//58DAEwASwAzADcAOAAyADYANwAzADgASQBEAEUAQQA5=&amp;Tipo=2&amp;ST=1&amp;nLang=0</t>
  </si>
  <si>
    <t>https://www.clickideacore.com/ClickHTML5/Visit.aspx?ID=//56DAEwASwAzADcAOAAyADYANgAwADIASQBEAEUAQQA0=&amp;Tipo=2&amp;ST=1&amp;nLang=0</t>
  </si>
  <si>
    <t>https://www.clickideacore.com/ClickHTML5/Visit.aspx?ID=//52DAEwASwAzADcAOAAzADEANQAyADMASQBEAEUAQQA9=&amp;Tipo=2&amp;ST=1&amp;nLang=0</t>
  </si>
  <si>
    <t>https://www.clickideacore.com/ClickHTML5/Visit.aspx?ID=//5BDAEwASwAzADcAOAAyADMANQA2ADcASQBEAEUAQQAC=&amp;Tipo=2&amp;ST=1&amp;nLang=0</t>
  </si>
  <si>
    <t>https://www.clickideacore.com/ClickHTML5/Visit.aspx?ID=//5FDAEwASwAzADcAOAAyADIANwAxADcASQBEAEUAQQA5=&amp;Tipo=2&amp;ST=1&amp;nLang=0</t>
  </si>
  <si>
    <t>https://www.clickideacore.com/ClickHTML5/Visit.aspx?ID=//5FDAEwASwAzADcAOAAyADYAMwAyADEASQBEAEUAQQA4=&amp;Tipo=2&amp;ST=1&amp;nLang=0</t>
  </si>
  <si>
    <t>https://www.clickideacore.com/ClickHTML5/Visit.aspx?ID=//5DDAEwASwAzADcAOAA0ADYAMwA0ADYASQBEAEUAQQA0=&amp;Tipo=2&amp;ST=1&amp;nLang=0</t>
  </si>
  <si>
    <t>https://www.clickideacore.com/ClickHTML5/Visit.aspx?ID=//58DAEwASwAzADcAOAAyADMANQA0ADgASQBEAEUAQQA5=&amp;Tipo=2&amp;ST=1&amp;nLang=0</t>
  </si>
  <si>
    <t>https://www.clickideacore.com/ClickHTML5/Visit.aspx?ID=//57DAEwASwAzADcAOAAyADMANQAzADkASQBEAEUAQQA5=&amp;Tipo=2&amp;ST=1&amp;nLang=0</t>
  </si>
  <si>
    <t>https://www.clickideacore.com/ClickHTML5/Visit.aspx?ID=//57DAEwASwAzADcAOAAyADIANAAyADIASQBEAEUAQQA6=&amp;Tipo=2&amp;ST=1&amp;nLang=0</t>
  </si>
  <si>
    <t>https://www.clickideacore.com/ClickHTML5/Visit.aspx?ID=//51DAEwASwAzADcAOAAyADMAMAA0ADcASQBEAEUAQQAE=&amp;Tipo=2&amp;ST=1&amp;nLang=0</t>
  </si>
  <si>
    <t>https://www.clickideacore.com/ClickHTML5/Visit.aspx?ID=//5ADAEwASwAzADcAOAAyADAAMAA5ADEASQBEAEUAQQA6=&amp;Tipo=2&amp;ST=1&amp;nLang=0</t>
  </si>
  <si>
    <t>https://www.clickideacore.com/ClickHTML5/Visit.aspx?ID=//5CDAEwASwAzADcAOAAyADYAMwA1ADIASQBEAEUAQQAF=&amp;Tipo=2&amp;ST=1&amp;nLang=0</t>
  </si>
  <si>
    <t>https://www.clickideacore.com/ClickHTML5/Visit.aspx?ID=//5BDAEwASwAzADcAOAAzADAANAA3ADcASQBEAEUAQQA4=&amp;Tipo=2&amp;ST=1&amp;nLang=0</t>
  </si>
  <si>
    <t>https://www.clickideacore.com/ClickHTML5/Visit.aspx?ID=//53DAEwASwAzADcAOAAzADEAMwA1ADQASQBEAEUAQQA9=&amp;Tipo=2&amp;ST=1&amp;nLang=0</t>
  </si>
  <si>
    <t>https://www.clickideacore.com/ClickHTML5/Visit.aspx?ID=//5CDAEwASwAzADcAOAAyADEAMwAxADgASQBEAEUAQQA6=&amp;Tipo=2&amp;ST=1&amp;nLang=0</t>
  </si>
  <si>
    <t>https://www.clickideacore.com/ClickHTML5/Visit.aspx?ID=//5DDAEwASwAzADcAOAA0ADYAMAAyADEASQBEAEUAQQA0=&amp;Tipo=2&amp;ST=1&amp;nLang=0</t>
  </si>
  <si>
    <t>https://www.clickideacore.com/ClickHTML5/Visit.aspx?ID=//5DDAEwASwAzADcAOAA0ADUAMwAyADEASQBEAEUAQQA0=&amp;Tipo=2&amp;ST=1&amp;nLang=0</t>
  </si>
  <si>
    <t>https://www.clickideacore.com/ClickHTML5/Visit.aspx?ID=//52DAEwASwAzADcAOAA1ADMANwA0ADgASQBEAEUAQQA6=&amp;Tipo=2&amp;ST=1&amp;nLang=0</t>
  </si>
  <si>
    <t>https://www.clickideacore.com/ClickHTML5/Visit.aspx?ID=//51DAEwASwAzADcAOAA2ADQANAA2ADMASQBEAEUAQQAA=&amp;Tipo=2&amp;ST=1&amp;nLang=0</t>
  </si>
  <si>
    <t>https://www.clickideacore.com/ClickHTML5/Visit.aspx?ID=//5BDAEwASwAzADcAOAA1ADIAOAAzADEASQBEAEUAQQAB=&amp;Tipo=2&amp;ST=1&amp;nLang=0</t>
  </si>
  <si>
    <t>https://www.clickideacore.com/ClickHTML5/Visit.aspx?ID=//51DAEwASwAzADcAOAA1ADcAMQAxADYASQBEAEUAQQA1=&amp;Tipo=2&amp;ST=1&amp;nLang=0</t>
  </si>
  <si>
    <t>https://www.clickideacore.com/ClickHTML5/Visit.aspx?ID=//5ADAEwASwAzADcAOAA2ADQAMAAzADYASQBEAEUAQQA8=&amp;Tipo=2&amp;ST=1&amp;nLang=0</t>
  </si>
  <si>
    <t>https://www.clickideacore.com/ClickHTML5/Visit.aspx?ID=//5EDAEwASwAzADcAOAA1ADcAMwAzADQASQBEAEUAQQA4=&amp;Tipo=2&amp;ST=1&amp;nLang=0</t>
  </si>
  <si>
    <t>https://www.clickideacore.com/ClickHTML5/Visit.aspx?ID=//56DAEwASwAzADcAOAA1ADYANwA5ADUASQBEAEUAQQA2=&amp;Tipo=2&amp;ST=1&amp;nLang=0</t>
  </si>
  <si>
    <t>https://www.clickideacore.com/ClickHTML5/Visit.aspx?ID=//5FDAEwASwAzADcAOAA1ADgAMwAxADkASQBEAEUAQQA2=&amp;Tipo=2&amp;ST=1&amp;nLang=0</t>
  </si>
  <si>
    <t>https://www.clickideacore.com/ClickHTML5/Visit.aspx?ID=//51DAEwASwAzADcAOAA1ADYANAAzADcASQBEAEUAQQA1=&amp;Tipo=2&amp;ST=1&amp;nLang=0</t>
  </si>
  <si>
    <t>https://www.clickideacore.com/ClickHTML5/Visit.aspx?ID=//50DAEwASwAzADcAOAA1ADgANAAyADUASQBEAEUAQQA2=&amp;Tipo=2&amp;ST=1&amp;nLang=0</t>
  </si>
  <si>
    <t>https://www.clickideacore.com/ClickHTML5/Visit.aspx?ID=//55DAEwASwAzADcAOAA1ADgAOAA4ADkASQBEAEUAQQA8=&amp;Tipo=2&amp;ST=1&amp;nLang=0</t>
  </si>
  <si>
    <t>https://www.clickideacore.com/ClickHTML5/Visit.aspx?ID=//56DAEwASwAzADcAOAA1ADMAMwA4ADMASQBEAEUAQQA9=&amp;Tipo=2&amp;ST=1&amp;nLang=0</t>
  </si>
  <si>
    <t>https://www.clickideacore.com/ClickHTML5/Visit.aspx?ID=//5CDAEwASwAzADcAOAA1ADUAMAA1ADQASQBEAEUAQQA9=&amp;Tipo=2&amp;ST=1&amp;nLang=0</t>
  </si>
  <si>
    <t>https://www.clickideacore.com/ClickHTML5/Visit.aspx?ID=//57DAEwASwAzADcAOAA2ADMAOAAwADEASQBEAEUAQQA3=&amp;Tipo=2&amp;ST=1&amp;nLang=0</t>
  </si>
  <si>
    <t>https://www.clickideacore.com/ClickHTML5/Visit.aspx?ID=//56DAEwASwAzADcAOAA2ADQANgA4ADQASQBEAEUAQQA3=&amp;Tipo=2&amp;ST=1&amp;nLang=0</t>
  </si>
  <si>
    <t>https://www.clickideacore.com/ClickHTML5/Visit.aspx?ID=//5DDAEwASwAzADcAOAA1ADEANQAyADMASQBEAEUAQQAB=&amp;Tipo=2&amp;ST=1&amp;nLang=0</t>
  </si>
  <si>
    <t>https://www.clickideacore.com/ClickHTML5/Visit.aspx?ID=//52DAEwASwAzADcAOAA4ADQAMwA4ADkASQBEAEUAQQA7=&amp;Tipo=2&amp;ST=1&amp;nLang=0</t>
  </si>
  <si>
    <t>https://www.clickideacore.com/ClickHTML5/Visit.aspx?ID=//5EDAEwASwAzADcAOAA3ADIAOAA0ADkASQBEAEUAQQAA=&amp;Tipo=2&amp;ST=1&amp;nLang=0</t>
  </si>
  <si>
    <t>https://www.clickideacore.com/ClickHTML5/Visit.aspx?ID=//52DAEwASwAzADcAOAA3ADUAMgA2ADAASQBEAEUAQQAB=&amp;Tipo=2&amp;ST=1&amp;nLang=0</t>
  </si>
  <si>
    <t>https://www.clickideacore.com/ClickHTML5/Visit.aspx?ID=//5DDAEwASwAzADcAOAA4ADEANgA4ADMASQBEAEUAQQA8=&amp;Tipo=2&amp;ST=1&amp;nLang=0</t>
  </si>
  <si>
    <t>https://www.clickideacore.com/ClickHTML5/Visit.aspx?ID=//53DAEwASwAzADcAOAA3ADcAOQA0ADkASQBEAEUAQQA7=&amp;Tipo=2&amp;ST=1&amp;nLang=0</t>
  </si>
  <si>
    <t>https://www.clickideacore.com/ClickHTML5/Visit.aspx?ID=//5CDAEwASwAzADcAOAA3ADkAMAA3ADkASQBEAEUAQQA6=&amp;Tipo=2&amp;ST=1&amp;nLang=0</t>
  </si>
  <si>
    <t>https://www.clickideacore.com/ClickHTML5/Visit.aspx?ID=//5CDAEwASwAzADcAOAA3ADUAMQA1ADgASQBEAEUAQQA1=&amp;Tipo=2&amp;ST=1&amp;nLang=0</t>
  </si>
  <si>
    <t>https://www.clickideacore.com/ClickHTML5/Visit.aspx?ID=//57DAEwASwAzADcAOAA4ADAANAA0ADYASQBEAEUAQQAD=&amp;Tipo=2&amp;ST=1&amp;nLang=0</t>
  </si>
  <si>
    <t>https://www.clickideacore.com/ClickHTML5/Visit.aspx?ID=//5EDAEwASwAzADcAOAA3ADUAMQAzADYASQBEAEUAQQAA=&amp;Tipo=2&amp;ST=1&amp;nLang=0</t>
  </si>
  <si>
    <t>https://www.clickideacore.com/ClickHTML5/Visit.aspx?ID=//51DAEwASwAzADcAOAA3ADkAMwA2ADkASQBEAEUAQQA0=&amp;Tipo=2&amp;ST=1&amp;nLang=0</t>
  </si>
  <si>
    <t>https://www.clickideacore.com/ClickHTML5/Visit.aspx?ID=//5FDAEwASwAzADcAOAA4ADIANgA0ADgASQBEAEUAQQA9=&amp;Tipo=2&amp;ST=1&amp;nLang=0</t>
  </si>
  <si>
    <t>https://www.clickideacore.com/ClickHTML5/Visit.aspx?ID=//54DAEwASwAzADcAOAA4ADQAMgA2ADMASQBEAEUAQQA4=&amp;Tipo=2&amp;ST=1&amp;nLang=0</t>
  </si>
  <si>
    <t>https://www.clickideacore.com/ClickHTML5/Visit.aspx?ID=//5DDAEwASwAzADcAOAA3ADMAMwA3ADAASQBEAEUAQQAD=&amp;Tipo=2&amp;ST=1&amp;nLang=0</t>
  </si>
  <si>
    <t>https://www.clickideacore.com/ClickHTML5/Visit.aspx?ID=//50DAEwASwAzADcAOAA2ADkANwA1ADcASQBEAEUAQQAC=&amp;Tipo=2&amp;ST=1&amp;nLang=0</t>
  </si>
  <si>
    <t>https://www.clickideacore.com/ClickHTML5/Visit.aspx?ID=//5CDAEwASwAzADcAOAA2ADkANgA1ADMASQBEAEUAQQA7=&amp;Tipo=2&amp;ST=1&amp;nLang=0</t>
  </si>
  <si>
    <t>https://www.clickideacore.com/ClickHTML5/Visit.aspx?ID=//53DAEwASwAzADcAOAA5ADUAMAAxADgASQBEAEUAQQA3=&amp;Tipo=2&amp;ST=1&amp;nLang=0</t>
  </si>
  <si>
    <t>https://www.clickideacore.com/ClickHTML5/Visit.aspx?ID=//5DDAEwASwAzADcAOQAwADQANQA4ADQASQBEAEUAQQA6=&amp;Tipo=2&amp;ST=1&amp;nLang=0</t>
  </si>
  <si>
    <t>https://www.clickideacore.com/ClickHTML5/Visit.aspx?ID=//58DAEwASwAzADcAOAA5ADMAMAA5ADcASQBEAEUAQQA8=&amp;Tipo=2&amp;ST=1&amp;nLang=0</t>
  </si>
  <si>
    <t>https://www.clickideacore.com/ClickHTML5/Visit.aspx?ID=//5FDAEwASwAzADcAOAA5ADYAMgA0ADUASQBEAEUAQQA6=&amp;Tipo=2&amp;ST=1&amp;nLang=0</t>
  </si>
  <si>
    <t>https://www.clickideacore.com/ClickHTML5/Visit.aspx?ID=//5FDAEwASwAzADcAOQAwADQAMgAzADEASQBEAEUAQQA5=&amp;Tipo=2&amp;ST=1&amp;nLang=0</t>
  </si>
  <si>
    <t>https://www.clickideacore.com/ClickHTML5/Visit.aspx?ID=//50DAEwASwAzADcAOAA5ADkANwAzADEASQBEAEUAQQA2=&amp;Tipo=2&amp;ST=1&amp;nLang=0</t>
  </si>
  <si>
    <t>https://www.clickideacore.com/ClickHTML5/Visit.aspx?ID=//59DAEwASwAzADcAOAA5ADgAMwAyADUASQBEAEUAQQAB=&amp;Tipo=2&amp;ST=1&amp;nLang=0</t>
  </si>
  <si>
    <t>https://www.clickideacore.com/ClickHTML5/Visit.aspx?ID=//55DAEwASwAzADcAOAA5ADcANwA0ADQASQBEAEUAQQAC=&amp;Tipo=2&amp;ST=1&amp;nLang=0</t>
  </si>
  <si>
    <t>https://www.clickideacore.com/ClickHTML5/Visit.aspx?ID=//54DAEwASwAzADcAOAA5ADgAMQAzADIASQBEAEUAQQA5=&amp;Tipo=2&amp;ST=1&amp;nLang=0</t>
  </si>
  <si>
    <t>https://www.clickideacore.com/ClickHTML5/Visit.aspx?ID=//58DAEwASwAzADcAOAA5ADYAOAA2ADkASQBEAEUAQQAF=&amp;Tipo=2&amp;ST=1&amp;nLang=0</t>
  </si>
  <si>
    <t>https://www.clickideacore.com/ClickHTML5/Visit.aspx?ID=//54DAEwASwAzADcAOAA5ADYAMQA4ADkASQBEAEUAQQAC=&amp;Tipo=2&amp;ST=1&amp;nLang=0</t>
  </si>
  <si>
    <t>https://www.clickideacore.com/ClickHTML5/Visit.aspx?ID=//54DAEwASwAzADcAOAA5ADQAMQA3ADgASQBEAEUAQQAF=&amp;Tipo=2&amp;ST=1&amp;nLang=0</t>
  </si>
  <si>
    <t>https://www.clickideacore.com/ClickHTML5/Visit.aspx?ID=//56DAEwASwAzADcAOAA5ADUAMgAyADAASQBEAEUAQQA8=&amp;Tipo=2&amp;ST=1&amp;nLang=0</t>
  </si>
  <si>
    <t>https://www.clickideacore.com/ClickHTML5/Visit.aspx?ID=//51DAEwASwAzADcAOQAwADQAMQAyADAASQBEAEUAQQA8=&amp;Tipo=2&amp;ST=1&amp;nLang=0</t>
  </si>
  <si>
    <t>https://www.clickideacore.com/ClickHTML5/Visit.aspx?ID=//56DAEwASwAzADcAOAA5ADMAMAA4ADAASQBEAEUAQQAC=&amp;Tipo=2&amp;ST=1&amp;nLang=0</t>
  </si>
  <si>
    <t>https://www.clickideacore.com/ClickHTML5/Visit.aspx?ID=//5EDAEwASwAzADcAOAA5ADAANwA4ADcASQBEAEUAQQAC=&amp;Tipo=2&amp;ST=1&amp;nLang=0</t>
  </si>
  <si>
    <t>https://www.clickideacore.com/ClickHTML5/Visit.aspx?ID=//56DAEwASwAzADcAOQAyADQANgA2ADEASQBEAEUAQQA0=&amp;Tipo=2&amp;ST=1&amp;nLang=0</t>
  </si>
  <si>
    <t>https://www.clickideacore.com/ClickHTML5/Visit.aspx?ID=//59DAEwASwAzADcAOQAxADEAMQA2ADQASQBEAEUAQQAD=&amp;Tipo=2&amp;ST=1&amp;nLang=0</t>
  </si>
  <si>
    <t>https://www.clickideacore.com/ClickHTML5/Visit.aspx?ID=//55DAEwASwAzADcAOQAxADYANAAxADkASQBEAEUAQQAE=&amp;Tipo=2&amp;ST=1&amp;nLang=0</t>
  </si>
  <si>
    <t>https://www.clickideacore.com/ClickHTML5/Visit.aspx?ID=//58DAEwASwAzADcAOQAyADQAMgAxADMASQBEAEUAQQAA=&amp;Tipo=2&amp;ST=1&amp;nLang=0</t>
  </si>
  <si>
    <t>https://www.clickideacore.com/ClickHTML5/Visit.aspx?ID=//52DAEwASwAzADcAOQAyADQANgAzADIASQBEAEUAQQA3=&amp;Tipo=2&amp;ST=1&amp;nLang=0</t>
  </si>
  <si>
    <t>https://www.clickideacore.com/ClickHTML5/Visit.aspx?ID=//5DDAEwASwAzADcAOQAxADgAMwAzADIASQBEAEUAQQA4=&amp;Tipo=2&amp;ST=1&amp;nLang=0</t>
  </si>
  <si>
    <t>https://www.clickideacore.com/ClickHTML5/Visit.aspx?ID=//59DAEwASwAzADcAOQAxADgANQA3ADgASQBEAEUAQQAF=&amp;Tipo=2&amp;ST=1&amp;nLang=0</t>
  </si>
  <si>
    <t>https://www.clickideacore.com/ClickHTML5/Visit.aspx?ID=//57DAEwASwAzADcAOQAyADQAMwA3ADAASQBEAEUAQQAC=&amp;Tipo=2&amp;ST=1&amp;nLang=0</t>
  </si>
  <si>
    <t>https://www.clickideacore.com/ClickHTML5/Visit.aspx?ID=//5CDAEwASwAzADcAOQAxADQAMQA4ADQASQBEAEUAQQA8=&amp;Tipo=2&amp;ST=1&amp;nLang=0</t>
  </si>
  <si>
    <t>https://www.clickideacore.com/ClickHTML5/Visit.aspx?ID=//51DAEwASwAzADcAOQAxADQANQA0ADkASQBEAEUAQQA3=&amp;Tipo=2&amp;ST=1&amp;nLang=0</t>
  </si>
  <si>
    <t>https://www.clickideacore.com/ClickHTML5/Visit.aspx?ID=//5DDAEwASwAzADcAOQAxADUANAA1ADcASQBEAEUAQQA7=&amp;Tipo=2&amp;ST=1&amp;nLang=0</t>
  </si>
  <si>
    <t>https://www.clickideacore.com/ClickHTML5/Visit.aspx?ID=//59DAEwASwAzADcAOQAyADMANQA5ADYASQBEAEUAQQAE=&amp;Tipo=2&amp;ST=1&amp;nLang=0</t>
  </si>
  <si>
    <t>https://www.clickideacore.com/ClickHTML5/Visit.aspx?ID=//51DAEwASwAzADcAOQAxADMAOAA1ADkASQBEAEUAQQAB=&amp;Tipo=2&amp;ST=1&amp;nLang=0</t>
  </si>
  <si>
    <t>https://www.clickideacore.com/ClickHTML5/Visit.aspx?ID=//59DAEwASwAzADcAOQAyADUAMAA4ADEASQBEAEUAQQA6=&amp;Tipo=2&amp;ST=1&amp;nLang=0</t>
  </si>
  <si>
    <t>https://www.clickideacore.com/ClickHTML5/Visit.aspx?ID=//5CDAEwASwAzADcAOQAxADMAMwA2ADIASQBEAEUAQQA6=&amp;Tipo=2&amp;ST=1&amp;nLang=0</t>
  </si>
  <si>
    <t>https://www.clickideacore.com/ClickHTML5/Visit.aspx?ID=//51DAEwASwAzADcAOQA0ADYAMAA3ADkASQBEAEUAQQAD=&amp;Tipo=2&amp;ST=1&amp;nLang=0</t>
  </si>
  <si>
    <t>https://www.clickideacore.com/ClickHTML5/Visit.aspx?ID=//5CDAEwASwAzADcAOQAzADUAMQAxADgASQBEAEUAQQA3=&amp;Tipo=2&amp;ST=1&amp;nLang=0</t>
  </si>
  <si>
    <t>https://www.clickideacore.com/ClickHTML5/Visit.aspx?ID=//50DAEwASwAzADcAOQA0ADQAOQAxADYASQBEAEUAQQA0=&amp;Tipo=2&amp;ST=1&amp;nLang=0</t>
  </si>
  <si>
    <t>https://www.clickideacore.com/ClickHTML5/Visit.aspx?ID=//57DAEwASwAzADcAOQA0ADIAOQAyADIASQBEAEUAQQA8=&amp;Tipo=2&amp;ST=1&amp;nLang=0</t>
  </si>
  <si>
    <t>https://www.clickideacore.com/ClickHTML5/Visit.aspx?ID=//5FDAEwASwAzADcAOQAzADYANAA5ADYASQBEAEUAQQA4=&amp;Tipo=2&amp;ST=1&amp;nLang=0</t>
  </si>
  <si>
    <t>https://www.clickideacore.com/ClickHTML5/Visit.aspx?ID=//5BDAEwASwAzADcAOQAzADYAMAA5ADIASQBEAEUAQQAC=&amp;Tipo=2&amp;ST=1&amp;nLang=0</t>
  </si>
  <si>
    <t>https://www.clickideacore.com/ClickHTML5/Visit.aspx?ID=//5CDAEwASwAzADcAOQAzADYAOQA5ADUASQBEAEUAQQA2=&amp;Tipo=2&amp;ST=1&amp;nLang=0</t>
  </si>
  <si>
    <t>https://www.clickideacore.com/ClickHTML5/Visit.aspx?ID=//5BDAEwASwAzADcAOQAzADQAOAAxADgASQBEAEUAQQA2=&amp;Tipo=2&amp;ST=1&amp;nLang=0</t>
  </si>
  <si>
    <t>https://www.clickideacore.com/ClickHTML5/Visit.aspx?ID=//59DAEwASwAzADcAOQAzADcANAA4ADcASQBEAEUAQQA2=&amp;Tipo=2&amp;ST=1&amp;nLang=0</t>
  </si>
  <si>
    <t>https://www.clickideacore.com/ClickHTML5/Visit.aspx?ID=//5BDAEwASwAzADcAOQAzADUAMQA1ADkASQBEAEUAQQAF=&amp;Tipo=2&amp;ST=1&amp;nLang=0</t>
  </si>
  <si>
    <t>https://www.clickideacore.com/ClickHTML5/Visit.aspx?ID=//5ADAEwASwAzADcAOQAzADgAMAA3ADAASQBEAEUAQQA0=&amp;Tipo=2&amp;ST=1&amp;nLang=0</t>
  </si>
  <si>
    <t>https://www.clickideacore.com/ClickHTML5/Visit.aspx?ID=//55DAEwASwAzADcAOQA0ADQAOAAyADgASQBEAEUAQQAA=&amp;Tipo=2&amp;ST=1&amp;nLang=0</t>
  </si>
  <si>
    <t>https://www.clickideacore.com/ClickHTML5/Visit.aspx?ID=//5CDAEwASwAzADcAOQAzADgANAA2ADcASQBEAEUAQQAD=&amp;Tipo=2&amp;ST=1&amp;nLang=0</t>
  </si>
  <si>
    <t>https://www.clickideacore.com/ClickHTML5/Visit.aspx?ID=//52DAEwASwAzADcAOQA0ADYAMAA0ADMASQBEAEUAQQAE=&amp;Tipo=2&amp;ST=1&amp;nLang=0</t>
  </si>
  <si>
    <t>https://www.clickideacore.com/ClickHTML5/Visit.aspx?ID=//56DAEwASwAzADcAOQAzADYAMQAzADMASQBEAEUAQQA5=&amp;Tipo=2&amp;ST=1&amp;nLang=0</t>
  </si>
  <si>
    <t>https://www.clickideacore.com/ClickHTML5/Visit.aspx?ID=//5DDAEwASwAzADcAOQAzADMAMAA1ADcASQBEAEUAQQA7=&amp;Tipo=2&amp;ST=1&amp;nLang=0</t>
  </si>
  <si>
    <t>https://www.clickideacore.com/ClickHTML5/Visit.aspx?ID=//54DAEwASwAzADcAOQA1ADUAOQAxADAASQBEAEUAQQA5=&amp;Tipo=2&amp;ST=1&amp;nLang=0</t>
  </si>
  <si>
    <t>https://www.clickideacore.com/ClickHTML5/Visit.aspx?ID=//5ADAEwASwAzADcAOQA1ADgANQA3ADUASQBEAEUAQQA8=&amp;Tipo=2&amp;ST=1&amp;nLang=0</t>
  </si>
  <si>
    <t>https://www.clickideacore.com/ClickHTML5/Visit.aspx?ID=//5BDAEwASwAzADcAOQA2ADMAMgA0ADUASQBEAEUAQQA0=&amp;Tipo=2&amp;ST=1&amp;nLang=0</t>
  </si>
  <si>
    <t>https://www.clickideacore.com/ClickHTML5/Visit.aspx?ID=//51DAEwASwAzADcAOQA2ADMAMgAxADkASQBEAEUAQQAA=&amp;Tipo=2&amp;ST=1&amp;nLang=0</t>
  </si>
  <si>
    <t>https://www.clickideacore.com/ClickHTML5/Visit.aspx?ID=//5EDAEwASwAzADcAOQA3ADQAOQAwADIASQBEAEUAQQA3=&amp;Tipo=2&amp;ST=1&amp;nLang=0</t>
  </si>
  <si>
    <t>https://www.clickideacore.com/ClickHTML5/Visit.aspx?ID=//54DAEwASwAzADcAOQA3ADIAMgA1ADEASQBEAEUAQQA2=&amp;Tipo=2&amp;ST=1&amp;nLang=0</t>
  </si>
  <si>
    <t>https://www.clickideacore.com/ClickHTML5/Visit.aspx?ID=//50DAEwASwAzADcAOQA3ADQANAA4ADcASQBEAEUAQQA3=&amp;Tipo=2&amp;ST=1&amp;nLang=0</t>
  </si>
  <si>
    <t>https://www.clickideacore.com/ClickHTML5/Visit.aspx?ID=//5FDAEwASwAzADcAOQA3ADEAOAAwADQASQBEAEUAQQA2=&amp;Tipo=2&amp;ST=1&amp;nLang=0</t>
  </si>
  <si>
    <t>https://www.clickideacore.com/ClickHTML5/Visit.aspx?ID=//57DAEwASwAzADcAOQA3ADAANwA3ADAASQBEAEUAQQA5=&amp;Tipo=2&amp;ST=1&amp;nLang=0</t>
  </si>
  <si>
    <t>https://www.clickideacore.com/ClickHTML5/Visit.aspx?ID=//5BDAEwASwAzADcAOQA3ADEAMgA4ADYASQBEAEUAQQA8=&amp;Tipo=2&amp;ST=1&amp;nLang=0</t>
  </si>
  <si>
    <t>https://www.clickideacore.com/ClickHTML5/Visit.aspx?ID=//58DAEwASwAzADcAOQA3ADEAMAA4ADgASQBEAEUAQQA4=&amp;Tipo=2&amp;ST=1&amp;nLang=0</t>
  </si>
  <si>
    <t>https://www.clickideacore.com/ClickHTML5/Visit.aspx?ID=//54DAEwASwAzADcAOQA3ADEAMwA1ADEASQBEAEUAQQAA=&amp;Tipo=2&amp;ST=1&amp;nLang=0</t>
  </si>
  <si>
    <t>https://www.clickideacore.com/ClickHTML5/Visit.aspx?ID=//57DAEwASwAzADcAOQA3ADEAOAA4ADgASQBEAEUAQQAC=&amp;Tipo=2&amp;ST=1&amp;nLang=0</t>
  </si>
  <si>
    <t>https://www.clickideacore.com/ClickHTML5/Visit.aspx?ID=//54DAEwASwAzADcAOQA2ADkANwA5ADgASQBEAEUAQQA1=&amp;Tipo=2&amp;ST=1&amp;nLang=0</t>
  </si>
  <si>
    <t>https://www.clickideacore.com/ClickHTML5/Visit.aspx?ID=//54DAEwASwAzADcAOQA3ADEANgAxADMASQBEAEUAQQA8=&amp;Tipo=2&amp;ST=1&amp;nLang=0</t>
  </si>
  <si>
    <t>https://www.clickideacore.com/ClickHTML5/Visit.aspx?ID=//52DAEwASwAzADcAOQA3ADQANgA1ADQASQBEAEUAQQAC=&amp;Tipo=2&amp;ST=1&amp;nLang=0</t>
  </si>
  <si>
    <t>https://www.clickideacore.com/ClickHTML5/Visit.aspx?ID=//54DAEwASwAzADcAOQA3ADAAMwA5ADEASQBEAEUAQQA2=&amp;Tipo=2&amp;ST=1&amp;nLang=0</t>
  </si>
  <si>
    <t>https://www.clickideacore.com/ClickHTML5/Visit.aspx?ID=//55DAEwASwAzADcAOQA3ADQAOAA5ADkASQBEAEUAQQA7=&amp;Tipo=2&amp;ST=1&amp;nLang=0</t>
  </si>
  <si>
    <t>https://www.clickideacore.com/ClickHTML5/Visit.aspx?ID=//5DDAEwASwAzADcAOQA3ADEAOQAzADcASQBEAEUAQQAC=&amp;Tipo=2&amp;ST=1&amp;nLang=0</t>
  </si>
  <si>
    <t>https://www.clickideacore.com/ClickHTML5/Visit.aspx?ID=//5FDAEwASwAzADcAOQA2ADkAMgA2ADcASQBEAEUAQQAC=&amp;Tipo=2&amp;ST=1&amp;nLang=0</t>
  </si>
  <si>
    <t>Libre compensatorio</t>
  </si>
  <si>
    <t>https://www.clickideacore.com/ClickHTML5/Visit.aspx?ID=//5FDAEwASwAzADcAOQA5ADUAMgAxADQASQBEAEUAQQA5=&amp;Tipo=2&amp;ST=1&amp;nLang=0</t>
  </si>
  <si>
    <t>https://www.clickideacore.com/ClickHTML5/Visit.aspx?ID=//5CDAEwASwAzADcAOQA4ADYAMQA1ADMASQBEAEUAQQAF=&amp;Tipo=2&amp;ST=1&amp;nLang=0</t>
  </si>
  <si>
    <t>https://www.clickideacore.com/ClickHTML5/Visit.aspx?ID=//54DAEwASwAzADcAOQA5ADMAOAA5ADcASQBEAEUAQQAC=&amp;Tipo=2&amp;ST=1&amp;nLang=0</t>
  </si>
  <si>
    <t>https://www.clickideacore.com/ClickHTML5/Visit.aspx?ID=//5DDAEwASwAzADcAOQA4ADYAMQAzADQASQBEAEUAQQAD=&amp;Tipo=2&amp;ST=1&amp;nLang=0</t>
  </si>
  <si>
    <t>https://www.clickideacore.com/ClickHTML5/Visit.aspx?ID=//5DDAEwASwAzADcAOQA4ADUANwA3ADIASQBEAEUAQQAF=&amp;Tipo=2&amp;ST=1&amp;nLang=0</t>
  </si>
  <si>
    <t>https://www.clickideacore.com/ClickHTML5/Visit.aspx?ID=//54DAEwASwAzADcAOQA4ADcAOAAwADMASQBEAEUAQQA7=&amp;Tipo=2&amp;ST=1&amp;nLang=0</t>
  </si>
  <si>
    <t>https://www.clickideacore.com/ClickHTML5/Visit.aspx?ID=//57DAEwASwAzADcAOQA4ADcANwAxADgASQBEAEUAQQAD=&amp;Tipo=2&amp;ST=1&amp;nLang=0</t>
  </si>
  <si>
    <t>https://www.clickideacore.com/ClickHTML5/Visit.aspx?ID=//55DAEwASwAzADcAOQA4ADYAMgA4ADkASQBEAEUAQQAC=&amp;Tipo=2&amp;ST=1&amp;nLang=0</t>
  </si>
  <si>
    <t>https://www.clickideacore.com/ClickHTML5/Visit.aspx?ID=//59DAEwASwAzADcAOQA4ADYAMQA5ADQASQBEAEUAQQAD=&amp;Tipo=2&amp;ST=1&amp;nLang=0</t>
  </si>
  <si>
    <t>https://www.clickideacore.com/ClickHTML5/Visit.aspx?ID=//52DAEwASwAzADcAOQA5ADMANQA1ADkASQBEAEUAQQA6=&amp;Tipo=2&amp;ST=1&amp;nLang=0</t>
  </si>
  <si>
    <t>https://www.clickideacore.com/ClickHTML5/Visit.aspx?ID=//5DDAEwASwAzADcAOQA4ADgAMQA5ADIASQBEAEUAQQA2=&amp;Tipo=2&amp;ST=1&amp;nLang=0</t>
  </si>
  <si>
    <t>https://www.clickideacore.com/ClickHTML5/Visit.aspx?ID=//56DAEwASwAzADcAOQA4ADQAOAA4ADIASQBEAEUAQQA9=&amp;Tipo=2&amp;ST=1&amp;nLang=0</t>
  </si>
  <si>
    <t>https://www.clickideacore.com/ClickHTML5/Visit.aspx?ID=//57DAEwASwAzADcAOQA4ADIAOAA5ADEASQBEAEUAQQAD=&amp;Tipo=2&amp;ST=1&amp;nLang=0</t>
  </si>
  <si>
    <t>https://www.clickideacore.com/ClickHTML5/Visit.aspx?ID=//52DAEwASwAzADgAMAAxADcAOAAwADkASQBEAEUAQQAC=&amp;Tipo=2&amp;ST=1&amp;nLang=0</t>
  </si>
  <si>
    <t>https://www.clickideacore.com/ClickHTML5/Visit.aspx?ID=//52DAEwASwAzADgAMAAwADUANAA3ADcASQBEAEUAQQAC=&amp;Tipo=2&amp;ST=1&amp;nLang=0</t>
  </si>
  <si>
    <t>https://www.clickideacore.com/ClickHTML5/Visit.aspx?ID=//56DAEwASwAzADgAMAAwADgAOAAwADEASQBEAEUAQQA6=&amp;Tipo=2&amp;ST=1&amp;nLang=0</t>
  </si>
  <si>
    <t>https://www.clickideacore.com/ClickHTML5/Visit.aspx?ID=//51DAEwASwAzADgAMAAxADcAOAA3ADUASQBEAEUAQQA5=&amp;Tipo=2&amp;ST=1&amp;nLang=0</t>
  </si>
  <si>
    <t>https://www.clickideacore.com/ClickHTML5/Visit.aspx?ID=//5EDAEwASwAzADgAMAAwADkAMgAzADcASQBEAEUAQQAD=&amp;Tipo=2&amp;ST=1&amp;nLang=0</t>
  </si>
  <si>
    <t>https://www.clickideacore.com/ClickHTML5/Visit.aspx?ID=//5EDAEwASwAzADgAMAAwADgAMwA3ADUASQBEAEUAQQA6=&amp;Tipo=2&amp;ST=1&amp;nLang=0</t>
  </si>
  <si>
    <t>José Soto Catalan</t>
  </si>
  <si>
    <t>OP-R-001</t>
  </si>
  <si>
    <t>https://www.clickideacore.com/ClickHTML5/Visit.aspx?ID=//52DAEwASwAzADgAMAAwADgAOAA5ADIASQBEAEUAQQAE=&amp;Tipo=2&amp;ST=1&amp;nLang=0</t>
  </si>
  <si>
    <t>https://www.clickideacore.com/ClickHTML5/Visit.aspx?ID=//50DAEwASwAzADgAMAAwADgAMgA4ADMASQBEAEUAQQA7=&amp;Tipo=2&amp;ST=1&amp;nLang=0</t>
  </si>
  <si>
    <t>https://www.clickideacore.com/ClickHTML5/Visit.aspx?ID=//52DAEwASwAzADgAMAAxADAAOQA4ADUASQBEAEUAQQA5=&amp;Tipo=2&amp;ST=1&amp;nLang=0</t>
  </si>
  <si>
    <t>https://www.clickideacore.com/ClickHTML5/Visit.aspx?ID=//53DAEwASwAzADgAMAAxADcAMgA5ADUASQBEAEUAQQA8=&amp;Tipo=2&amp;ST=1&amp;nLang=0</t>
  </si>
  <si>
    <t>https://www.clickideacore.com/ClickHTML5/Visit.aspx?ID=//56DAEwASwAzADgAMAAwADQAOQA5ADMASQBEAEUAQQAD=&amp;Tipo=2&amp;ST=1&amp;nLang=0</t>
  </si>
  <si>
    <t>https://www.clickideacore.com/ClickHTML5/Visit.aspx?ID=//52DAEwASwAzADgAMAAwADkAMgAzADgASQBEAEUAQQAE=&amp;Tipo=2&amp;ST=1&amp;nLang=0</t>
  </si>
  <si>
    <t>https://www.clickideacore.com/ClickHTML5/Visit.aspx?ID=//57DAEwASwAzADgAMAAxADYANAAxADcASQBEAEUAQQA6=&amp;Tipo=2&amp;ST=1&amp;nLang=0</t>
  </si>
  <si>
    <t>https://www.clickideacore.com/ClickHTML5/Visit.aspx?ID=//58DAEwASwAzADgAMAAwADkAMwAwADkASQBEAEUAQQA1=&amp;Tipo=2&amp;ST=1&amp;nLang=0</t>
  </si>
  <si>
    <t>https://www.clickideacore.com/ClickHTML5/Visit.aspx?ID=//5EDAEwASwAzADgAMAAxADcANQA4ADUASQBEAEUAQQAD=&amp;Tipo=2&amp;ST=1&amp;nLang=0</t>
  </si>
  <si>
    <t>https://www.clickideacore.com/ClickHTML5/Visit.aspx?ID=//58DAEwASwAzADgAMAAwADQANAA2ADEASQBEAEUAQQA2=&amp;Tipo=2&amp;ST=1&amp;nLang=0</t>
  </si>
  <si>
    <t>https://www.clickideacore.com/ClickHTML5/Visit.aspx?ID=//5BDAEwASwAzADgAMAAwADIAOAA0ADYASQBEAEUAQQA7=&amp;Tipo=2&amp;ST=1&amp;nLang=0</t>
  </si>
  <si>
    <t>https://www.clickideacore.com/ClickHTML5/Visit.aspx?ID=//51DAEwASwAzADgAMAAzADgANQA1ADUASQBEAEUAQQA0=&amp;Tipo=2&amp;ST=1&amp;nLang=0</t>
  </si>
  <si>
    <t>https://www.clickideacore.com/ClickHTML5/Visit.aspx?ID=//52DAEwASwAzADgAMAAyADQAOAA2ADYASQBEAEUAQQAA=&amp;Tipo=2&amp;ST=1&amp;nLang=0</t>
  </si>
  <si>
    <t>https://www.clickideacore.com/ClickHTML5/Visit.aspx?ID=//50DAEwASwAzADgAMAAyADgAMAA4ADQASQBEAEUAQQA7=&amp;Tipo=2&amp;ST=1&amp;nLang=0</t>
  </si>
  <si>
    <t>https://www.clickideacore.com/ClickHTML5/Visit.aspx?ID=//5DDAEwASwAzADgAMAAzADAAMwA1ADYASQBEAEUAQQA4=&amp;Tipo=2&amp;ST=1&amp;nLang=0</t>
  </si>
  <si>
    <t>https://www.clickideacore.com/ClickHTML5/Visit.aspx?ID=//52DAEwASwAzADgAMAAzADYANgA4ADcASQBEAEUAQQAC=&amp;Tipo=2&amp;ST=1&amp;nLang=0</t>
  </si>
  <si>
    <t>https://www.clickideacore.com/ClickHTML5/Visit.aspx?ID=//52DAEwASwAzADgAMAAyADgANgAzADQASQBEAEUAQQA6=&amp;Tipo=2&amp;ST=1&amp;nLang=0</t>
  </si>
  <si>
    <t>https://www.clickideacore.com/ClickHTML5/Visit.aspx?ID=//54DAEwASwAzADgAMAAzADAANwA3ADkASQBEAEUAQQA1=&amp;Tipo=2&amp;ST=1&amp;nLang=0</t>
  </si>
  <si>
    <t>https://www.clickideacore.com/ClickHTML5/Visit.aspx?ID=//54DAEwASwAzADgAMAAyADkAMwA3ADYASQBEAEUAQQA8=&amp;Tipo=2&amp;ST=1&amp;nLang=0</t>
  </si>
  <si>
    <t>https://www.clickideacore.com/ClickHTML5/Visit.aspx?ID=//55DAEwASwAzADgAMAAyADkANwAyADcASQBEAEUAQQA2=&amp;Tipo=2&amp;ST=1&amp;nLang=0</t>
  </si>
  <si>
    <t>https://www.clickideacore.com/ClickHTML5/Visit.aspx?ID=//56DAEwASwAzADgAMAAyADgANgA0ADcASQBEAEUAQQA7=&amp;Tipo=2&amp;ST=1&amp;nLang=0</t>
  </si>
  <si>
    <t>https://www.clickideacore.com/ClickHTML5/Visit.aspx?ID=//58DAEwASwAzADgAMAAzADgAMwA0ADAASQBEAEUAQQAD=&amp;Tipo=2&amp;ST=1&amp;nLang=0</t>
  </si>
  <si>
    <t>https://www.clickideacore.com/ClickHTML5/Visit.aspx?ID=//5EDAEwASwAzADgAMAAyADUANQA2ADUASQBEAEUAQQA3=&amp;Tipo=2&amp;ST=1&amp;nLang=0</t>
  </si>
  <si>
    <t>https://www.clickideacore.com/ClickHTML5/Visit.aspx?ID=//54DAEwASwAzADgAMAAzADgANgA4ADYASQBEAEUAQQAD=&amp;Tipo=2&amp;ST=1&amp;nLang=0</t>
  </si>
  <si>
    <t>https://www.clickideacore.com/ClickHTML5/Visit.aspx?ID=//57DAEwASwAzADgAMAAyADgANQAzADYASQBEAEUAQQA6=&amp;Tipo=2&amp;ST=1&amp;nLang=0</t>
  </si>
  <si>
    <t>https://www.clickideacore.com/ClickHTML5/Visit.aspx?ID=//5ADAEwASwAzADgAMAAyADEAOQAyADkASQBEAEUAQQA1=&amp;Tipo=2&amp;ST=1&amp;nLang=0</t>
  </si>
  <si>
    <t>https://www.clickideacore.com/ClickHTML5/Visit.aspx?ID=//50DAEwASwAzADgAMAA1ADIANgAwADAASQBEAEUAQQAF=&amp;Tipo=2&amp;ST=1&amp;nLang=0</t>
  </si>
  <si>
    <t>https://www.clickideacore.com/ClickHTML5/Visit.aspx?ID=//59DAEwASwAzADgAMAA1ADIAMQA4ADEASQBEAEUAQQA8=&amp;Tipo=2&amp;ST=1&amp;nLang=0</t>
  </si>
  <si>
    <t>https://www.clickideacore.com/ClickHTML5/Visit.aspx?ID=//59DAEwASwAzADgAMAA2ADAANwAzADQASQBEAEUAQQAE=&amp;Tipo=2&amp;ST=1&amp;nLang=0</t>
  </si>
  <si>
    <t>https://www.clickideacore.com/ClickHTML5/Visit.aspx?ID=//5FDAEwASwAzADgAMAA1ADgAMwAzADAASQBEAEUAQQAA=&amp;Tipo=2&amp;ST=1&amp;nLang=0</t>
  </si>
  <si>
    <t>https://www.clickideacore.com/ClickHTML5/Visit.aspx?ID=//5EDAEwASwAzADgAMAA1ADIAMgAwADgASQBEAEUAQQA4=&amp;Tipo=2&amp;ST=1&amp;nLang=0</t>
  </si>
  <si>
    <t>https://www.clickideacore.com/ClickHTML5/Visit.aspx?ID=//52DAEwASwAzADgAMAA1ADEANwA3ADMASQBEAEUAQQA9=&amp;Tipo=2&amp;ST=1&amp;nLang=0</t>
  </si>
  <si>
    <t>https://www.clickideacore.com/ClickHTML5/Visit.aspx?ID=//5ADAEwASwAzADgAMAA1ADMANgAxADQASQBEAEUAQQA7=&amp;Tipo=2&amp;ST=1&amp;nLang=0</t>
  </si>
  <si>
    <t>https://www.clickideacore.com/ClickHTML5/Visit.aspx?ID=//50DAEwASwAzADgAMAA1ADUAMAAxADcASQBEAEUAQQA7=&amp;Tipo=2&amp;ST=1&amp;nLang=0</t>
  </si>
  <si>
    <t>https://www.clickideacore.com/ClickHTML5/Visit.aspx?ID=//50DAEwASwAzADgAMAA0ADgAMwA4ADMASQBEAEUAQQA1=&amp;Tipo=2&amp;ST=1&amp;nLang=0</t>
  </si>
  <si>
    <t>https://www.clickideacore.com/ClickHTML5/Visit.aspx?ID=//5CDAEwASwAzADgAMAA1ADQAOAA0ADQASQBEAEUAQQA7=&amp;Tipo=2&amp;ST=1&amp;nLang=0</t>
  </si>
  <si>
    <t>https://www.clickideacore.com/ClickHTML5/Visit.aspx?ID=//50DAEwASwAzADgAMAA1ADgAOQA3ADMASQBEAEUAQQA6=&amp;Tipo=2&amp;ST=1&amp;nLang=0</t>
  </si>
  <si>
    <t>https://www.clickideacore.com/ClickHTML5/Visit.aspx?ID=//5EDAEwASwAzADgAMAA0ADkANAA5ADAASQBEAEUAQQAF=&amp;Tipo=2&amp;ST=1&amp;nLang=0</t>
  </si>
  <si>
    <t>https://www.clickideacore.com/ClickHTML5/Visit.aspx?ID=//5FDAEwASwAzADgAMAA2ADAAMgAwADcASQBEAEUAQQA1=&amp;Tipo=2&amp;ST=1&amp;nLang=0</t>
  </si>
  <si>
    <t>https://www.clickideacore.com/ClickHTML5/Visit.aspx?ID=//51DAEwASwAzADgAMAA0ADYAOQA1ADEASQBEAEUAQQAF=&amp;Tipo=2&amp;ST=1&amp;nLang=0</t>
  </si>
  <si>
    <t>olmue</t>
  </si>
  <si>
    <t>https://www.clickideacore.com/ClickHTML5/Visit.aspx?ID=//5FDAEwASwAzADgAMAA3ADEAMAAzADYASQBEAEUAQQA3=&amp;Tipo=2&amp;ST=1&amp;nLang=0</t>
  </si>
  <si>
    <t>https://www.clickideacore.com/ClickHTML5/Visit.aspx?ID=//51DAEwASwAzADgAMAA3ADIAMgAzADkASQBEAEUAQQA6=&amp;Tipo=2&amp;ST=1&amp;nLang=0</t>
  </si>
  <si>
    <t>https://www.clickideacore.com/ClickHTML5/Visit.aspx?ID=//53DAEwASwAzADgAMAA3ADkANAAwADcASQBEAEUAQQAF=&amp;Tipo=2&amp;ST=1&amp;nLang=0</t>
  </si>
  <si>
    <t>https://www.clickideacore.com/ClickHTML5/Visit.aspx?ID=//54DAEwASwAzADgAMAA3ADgANQAwADkASQBEAEUAQQAA=&amp;Tipo=2&amp;ST=1&amp;nLang=0</t>
  </si>
  <si>
    <t>https://www.clickideacore.com/ClickHTML5/Visit.aspx?ID=//58DAEwASwAzADgAMQAwADEANAA1ADIASQBEAEUAQQAA=&amp;Tipo=2&amp;ST=1&amp;nLang=0</t>
  </si>
  <si>
    <t>https://www.clickideacore.com/ClickHTML5/Visit.aspx?ID=//58DAEwASwAzADgAMAA4ADcAMwAzADUASQBEAEUAQQA5=&amp;Tipo=2&amp;ST=1&amp;nLang=0</t>
  </si>
  <si>
    <t>https://www.clickideacore.com/ClickHTML5/Visit.aspx?ID=//51DAEwASwAzADgAMAA5ADEAMAA3ADQASQBEAEUAQQA6=&amp;Tipo=2&amp;ST=1&amp;nLang=0</t>
  </si>
  <si>
    <t>https://www.clickideacore.com/ClickHTML5/Visit.aspx?ID=//58DAEwASwAzADgAMQAwADEANwAxADcASQBEAEUAQQA2=&amp;Tipo=2&amp;ST=1&amp;nLang=0</t>
  </si>
  <si>
    <t>https://www.clickideacore.com/ClickHTML5/Visit.aspx?ID=//58DAEwASwAzADgAMAA5ADcANQAzADEASQBEAEUAQQA8=&amp;Tipo=2&amp;ST=1&amp;nLang=0</t>
  </si>
  <si>
    <t>https://www.clickideacore.com/ClickHTML5/Visit.aspx?ID=//55DAEwASwAzADgAMAA5ADAANAA2ADAASQBEAEUAQQAF=&amp;Tipo=2&amp;ST=1&amp;nLang=0</t>
  </si>
  <si>
    <t>https://www.clickideacore.com/ClickHTML5/Visit.aspx?ID=//57DAEwASwAzADgAMAA5ADEAMgAwADUASQBEAEUAQQAB=&amp;Tipo=2&amp;ST=1&amp;nLang=0</t>
  </si>
  <si>
    <t>https://www.clickideacore.com/ClickHTML5/Visit.aspx?ID=//5BDAEwASwAzADgAMAA5ADIANQA5ADIASQBEAEUAQQAD=&amp;Tipo=2&amp;ST=1&amp;nLang=0</t>
  </si>
  <si>
    <t>https://www.clickideacore.com/ClickHTML5/Visit.aspx?ID=//5DDAEwASwAzADgAMAA5ADEANgAyADIASQBEAEUAQQA0=&amp;Tipo=2&amp;ST=1&amp;nLang=0</t>
  </si>
  <si>
    <t>https://www.clickideacore.com/ClickHTML5/Visit.aspx?ID=//5CDAEwASwAzADgAMAA5ADcAMgAwADgASQBEAEUAQQA9=&amp;Tipo=2&amp;ST=1&amp;nLang=0</t>
  </si>
  <si>
    <t>https://www.clickideacore.com/ClickHTML5/Visit.aspx?ID=//5EDAEwASwAzADgAMAA4ADcAMQA1ADEASQBEAEUAQQA6=&amp;Tipo=2&amp;ST=1&amp;nLang=0</t>
  </si>
  <si>
    <t>https://www.clickideacore.com/ClickHTML5/Visit.aspx?ID=//5EDAEwASwAzADgAMAA5ADMANAA5ADMASQBEAEUAQQAD=&amp;Tipo=2&amp;ST=1&amp;nLang=0</t>
  </si>
  <si>
    <t>https://www.clickideacore.com/ClickHTML5/Visit.aspx?ID=//50DAEwASwAzADgAMAA5ADkANwAyADUASQBEAEUAQQA3=&amp;Tipo=2&amp;ST=1&amp;nLang=0</t>
  </si>
  <si>
    <t>https://www.clickideacore.com/ClickHTML5/Visit.aspx?ID=//58DAEwASwAzADgAMAA5ADIANgAzADcASQBEAEUAQQA4=&amp;Tipo=2&amp;ST=1&amp;nLang=0</t>
  </si>
  <si>
    <t>https://www.clickideacore.com/ClickHTML5/Visit.aspx?ID=//5BDAEwASwAzADgAMAA5ADUAMwAxADYASQBEAEUAQQA7=&amp;Tipo=2&amp;ST=1&amp;nLang=0</t>
  </si>
  <si>
    <t>https://www.clickideacore.com/ClickHTML5/Visit.aspx?ID=//56DAEwASwAzADgAMAA4ADUANgA0ADkASQBEAEUAQQAA=&amp;Tipo=2&amp;ST=1&amp;nLang=0</t>
  </si>
  <si>
    <t>https://www.clickideacore.com/ClickHTML5/Visit.aspx?ID=//5BDAEwASwAzADgAMQAyADQAOAA3ADQASQBEAEUAQQA2=&amp;Tipo=2&amp;ST=1&amp;nLang=0</t>
  </si>
  <si>
    <t>https://www.clickideacore.com/ClickHTML5/Visit.aspx?ID=//54DAEwASwAzADgAMQAxADUAOAA3ADAASQBEAEUAQQA4=&amp;Tipo=2&amp;ST=1&amp;nLang=0</t>
  </si>
  <si>
    <t>https://www.clickideacore.com/ClickHTML5/Visit.aspx?ID=//59DAEwASwAzADgAMQAxADQAMAA1ADIASQBEAEUAQQA7=&amp;Tipo=2&amp;ST=1&amp;nLang=0</t>
  </si>
  <si>
    <t>https://www.clickideacore.com/ClickHTML5/Visit.aspx?ID=//57DAEwASwAzADgAMQAyADAAMgAyADIASQBEAEUAQQAC=&amp;Tipo=2&amp;ST=1&amp;nLang=0</t>
  </si>
  <si>
    <t>https://www.clickideacore.com/ClickHTML5/Visit.aspx?ID=//56DAEwASwAzADgAMQAxADUANQA4ADMASQBEAEUAQQAB=&amp;Tipo=2&amp;ST=1&amp;nLang=0</t>
  </si>
  <si>
    <t>https://www.clickideacore.com/ClickHTML5/Visit.aspx?ID=//57DAEwASwAzADgAMQAxADYAMgA4ADcASQBEAEUAQQAA=&amp;Tipo=2&amp;ST=1&amp;nLang=0</t>
  </si>
  <si>
    <t>https://www.clickideacore.com/ClickHTML5/Visit.aspx?ID=//59DAEwASwAzADgAMQAxADMAOAAwADkASQBEAEUAQQA9=&amp;Tipo=2&amp;ST=1&amp;nLang=0</t>
  </si>
  <si>
    <t>https://www.clickideacore.com/ClickHTML5/Visit.aspx?ID=//55DAEwASwAzADgAMQAxADMANAAyADcASQBEAEUAQQAF=&amp;Tipo=2&amp;ST=1&amp;nLang=0</t>
  </si>
  <si>
    <t>https://www.clickideacore.com/ClickHTML5/Visit.aspx?ID=//5DDAEwASwAzADgAMQAyADMAMQA2ADIASQBEAEUAQQAD=&amp;Tipo=2&amp;ST=1&amp;nLang=0</t>
  </si>
  <si>
    <t>https://www.clickideacore.com/ClickHTML5/Visit.aspx?ID=//50DAEwASwAzADgAMQAyADIAOAAxADQASQBEAEUAQQAA=&amp;Tipo=2&amp;ST=1&amp;nLang=0</t>
  </si>
  <si>
    <t>https://www.clickideacore.com/ClickHTML5/Visit.aspx?ID=//5ADAEwASwAzADgAMQAyADUAMAA3ADgASQBEAEUAQQA0=&amp;Tipo=2&amp;ST=1&amp;nLang=0</t>
  </si>
  <si>
    <t>https://www.clickideacore.com/ClickHTML5/Visit.aspx?ID=//5ADAEwASwAzADgAMQAxADUANgA5ADIASQBEAEUAQQA5=&amp;Tipo=2&amp;ST=1&amp;nLang=0</t>
  </si>
  <si>
    <t>https://www.clickideacore.com/ClickHTML5/Visit.aspx?ID=//50DAEwASwAzADgAMQAwADUAMgAyADAASQBEAEUAQQA1=&amp;Tipo=2&amp;ST=1&amp;nLang=0</t>
  </si>
  <si>
    <t>Eduardo Soto</t>
  </si>
  <si>
    <t>Descuento</t>
  </si>
  <si>
    <t>https://www.clickideacore.com/ClickHTML5/Visit.aspx?ID=//5EDAEwASwAzADgAMAA4ADcAMQA1ADEASQBEAEUAQQA6=&amp;Tipo=2&amp;ST=1&amp;nLang=1</t>
  </si>
  <si>
    <t>OP-S-019</t>
  </si>
  <si>
    <t>https://www.clickideacore.com/ClickHTML5/Visit.aspx?ID=//5EDAEwASwAzADgAMAA4ADcAMQA1ADEASQBEAEUAQQA6=&amp;Tipo=2&amp;ST=1&amp;nLang=2</t>
  </si>
  <si>
    <t>OP-S-020</t>
  </si>
  <si>
    <t>https://www.clickideacore.com/ClickHTML5/Visit.aspx?ID=//5EDAEwASwAzADgAMAA4ADcAMQA1ADEASQBEAEUAQQA6=&amp;Tipo=2&amp;ST=1&amp;nLang=3</t>
  </si>
  <si>
    <t>OP-S-021</t>
  </si>
  <si>
    <t>https://www.clickideacore.com/ClickHTML5/Visit.aspx?ID=//5EDAEwASwAzADgAMAA4ADcAMQA1ADEASQBEAEUAQQA6=&amp;Tipo=2&amp;ST=1&amp;nLang=4</t>
  </si>
  <si>
    <t>OP-S-022</t>
  </si>
  <si>
    <t>https://www.clickideacore.com/ClickHTML5/Visit.aspx?ID=//5EDAEwASwAzADgAMAA4ADcAMQA1ADEASQBEAEUAQQA6=&amp;Tipo=2&amp;ST=1&amp;nLang=5</t>
  </si>
  <si>
    <t>OP-S-023</t>
  </si>
  <si>
    <t>https://www.clickideacore.com/ClickHTML5/Visit.aspx?ID=//5EDAEwASwAzADgAMAA4ADcAMQA1ADEASQBEAEUAQQA6=&amp;Tipo=2&amp;ST=1&amp;nLang=6</t>
  </si>
  <si>
    <t>OP-S-024</t>
  </si>
  <si>
    <t>https://www.clickideacore.com/ClickHTML5/Visit.aspx?ID=//5EDAEwASwAzADgAMAA4ADcAMQA1ADEASQBEAEUAQQA6=&amp;Tipo=2&amp;ST=1&amp;nLang=7</t>
  </si>
  <si>
    <t>OP-S-025</t>
  </si>
  <si>
    <t>https://www.clickideacore.com/ClickHTML5/Visit.aspx?ID=//5EDAEwASwAzADgAMAA4ADcAMQA1ADEASQBEAEUAQQA6=&amp;Tipo=2&amp;ST=1&amp;nLang=8</t>
  </si>
  <si>
    <t>https://www.clickideacore.com/ClickHTML5/Visit.aspx?ID=//56DAEwASwAzADgAMQAzADMANQA3ADMASQBEAEUAQQAD=&amp;Tipo=2&amp;ST=1&amp;nLang=0</t>
  </si>
  <si>
    <t>https://www.clickideacore.com/ClickHTML5/Visit.aspx?ID=//56DAEwASwAzADgAMQA0ADgAOQAyADQASQBEAEUAQQAB=&amp;Tipo=2&amp;ST=1&amp;nLang=0</t>
  </si>
  <si>
    <t>https://www.clickideacore.com/ClickHTML5/Visit.aspx?ID=//53DAEwASwAzADgAMQAzADYAMgAzADEASQBEAEUAQQA8=&amp;Tipo=2&amp;ST=1&amp;nLang=0</t>
  </si>
  <si>
    <t>https://www.clickideacore.com/ClickHTML5/Visit.aspx?ID=//58DAEwASwAzADgAMQAzADcAOAA1ADcASQBEAEUAQQA9=&amp;Tipo=2&amp;ST=1&amp;nLang=0</t>
  </si>
  <si>
    <t>Daniel Peña</t>
  </si>
  <si>
    <t>OP-DYR-004</t>
  </si>
  <si>
    <t>Rodrigo Arcos</t>
  </si>
  <si>
    <t>https://www.clickideacore.com/ClickHTML5/Visit.aspx?ID=//57DAEwASwAzADgAMQAzADgAMgAyADcASQBEAEUAQQA1=&amp;Tipo=2&amp;ST=1&amp;nLang=0</t>
  </si>
  <si>
    <t>https://www.clickideacore.com/ClickHTML5/Visit.aspx?ID=//50DAEwASwAzADgAMQA0ADAAMAAxADkASQBEAEUAQQA9=&amp;Tipo=2&amp;ST=1&amp;nLang=0</t>
  </si>
  <si>
    <t>https://www.clickideacore.com/ClickHTML5/Visit.aspx?ID=//54DAEwASwAzADgAMQAzADgAMQA2ADAASQBEAEUAQQA7=&amp;Tipo=2&amp;ST=1&amp;nLang=0</t>
  </si>
  <si>
    <t>https://www.clickideacore.com/ClickHTML5/Visit.aspx?ID=//56DAEwASwAzADgAMQAzADgAMwAzADYASQBEAEUAQQA6=&amp;Tipo=2&amp;ST=1&amp;nLang=0</t>
  </si>
  <si>
    <t>https://www.clickideacore.com/ClickHTML5/Visit.aspx?ID=//52DAEwASwAzADgAMQAzADkAMwAxADYASQBEAEUAQQA5=&amp;Tipo=2&amp;ST=1&amp;nLang=0</t>
  </si>
  <si>
    <t>https://www.clickideacore.com/ClickHTML5/Visit.aspx?ID=//50DAEwASwAzADgAMQA0ADMAMAA5ADgASQBEAEUAQQA2=&amp;Tipo=2&amp;ST=1&amp;nLang=0</t>
  </si>
  <si>
    <t>https://www.clickideacore.com/ClickHTML5/Visit.aspx?ID=//59DAEwASwAzADgAMQAzADgAOQAwADUASQBEAEUAQQA0=&amp;Tipo=2&amp;ST=1&amp;nLang=0</t>
  </si>
  <si>
    <t>https://www.clickideacore.com/ClickHTML5/Visit.aspx?ID=//5FDAEwASwAzADgAMQA0ADcAOAA1ADYASQBEAEUAQQAA=&amp;Tipo=2&amp;ST=1&amp;nLang=0</t>
  </si>
  <si>
    <t>https://www.clickideacore.com/ClickHTML5/Visit.aspx?ID=//55DAEwASwAzADgAMQAzADcAMwA5ADMASQBEAEUAQQA1=&amp;Tipo=2&amp;ST=1&amp;nLang=0</t>
  </si>
  <si>
    <t>https://www.clickideacore.com/ClickHTML5/Visit.aspx?ID=//51DAEwASwAzADgAMQA0ADgAOQA0ADAASQBEAEUAQQAB=&amp;Tipo=2&amp;ST=1&amp;nLang=0</t>
  </si>
  <si>
    <t>https://www.clickideacore.com/ClickHTML5/Visit.aspx?ID=//5ADAEwASwAzADgAMQAzADkAOQAxADYASQBEAEUAQQA1=&amp;Tipo=2&amp;ST=1&amp;nLang=0</t>
  </si>
  <si>
    <t>https://www.clickideacore.com/ClickHTML5/Visit.aspx?ID=//55DAEwASwAzADgAMQAzADUANwA0ADUASQBEAEUAQQA5=&amp;Tipo=2&amp;ST=1&amp;nLang=0</t>
  </si>
  <si>
    <t>https://www.clickideacore.com/ClickHTML5/Visit.aspx?ID=//5ADAEwASwAzADgAMQA3ADIAMgAwADMASQBEAEUAQQA0=&amp;Tipo=2&amp;ST=1&amp;nLang=0</t>
  </si>
  <si>
    <t>https://www.clickideacore.com/ClickHTML5/Visit.aspx?ID=//5EDAEwASwAzADgAMQA1ADcAMQAxADQASQBEAEUAQQA3=&amp;Tipo=2&amp;ST=1&amp;nLang=0</t>
  </si>
  <si>
    <t>https://www.clickideacore.com/ClickHTML5/Visit.aspx?ID=//58DAEwASwAzADgAMQA2ADUANAAyADUASQBEAEUAQQA1=&amp;Tipo=2&amp;ST=1&amp;nLang=0</t>
  </si>
  <si>
    <t>https://www.clickideacore.com/ClickHTML5/Visit.aspx?ID=//59DAEwASwAzADgAMQA2ADgANQA4ADMASQBEAEUAQQA8=&amp;Tipo=2&amp;ST=1&amp;nLang=0</t>
  </si>
  <si>
    <t>https://www.clickideacore.com/ClickHTML5/Visit.aspx?ID=//59DAEwASwAzADgAMQA2ADEAMAA0ADcASQBEAEUAQQA5=&amp;Tipo=2&amp;ST=1&amp;nLang=0</t>
  </si>
  <si>
    <t>https://www.clickideacore.com/ClickHTML5/Visit.aspx?ID=//58DAEwASwAzADgAMQA2ADIAMAA1ADUASQBEAEUAQQAC=&amp;Tipo=2&amp;ST=1&amp;nLang=0</t>
  </si>
  <si>
    <t>https://www.clickideacore.com/ClickHTML5/Visit.aspx?ID=//59DAEwASwAzADgAMQA2ADUANQA5ADYASQBEAEUAQQAF=&amp;Tipo=2&amp;ST=1&amp;nLang=0</t>
  </si>
  <si>
    <t>https://www.clickideacore.com/ClickHTML5/Visit.aspx?ID=//51DAEwASwAzADgAMQA2ADAAOQAwADkASQBEAEUAQQA5=&amp;Tipo=2&amp;ST=1&amp;nLang=0</t>
  </si>
  <si>
    <t>https://www.clickideacore.com/ClickHTML5/Visit.aspx?ID=//5CDAEwASwAzADgAMQA1ADkANQAxADAASQBEAEUAQQA1=&amp;Tipo=2&amp;ST=1&amp;nLang=0</t>
  </si>
  <si>
    <t>https://www.clickideacore.com/ClickHTML5/Visit.aspx?ID=//5DDAEwASwAzADgAMQA1ADkAMAAxADIASQBEAEUAQQA9=&amp;Tipo=2&amp;ST=1&amp;nLang=0</t>
  </si>
  <si>
    <t>https://www.clickideacore.com/ClickHTML5/Visit.aspx?ID=//56DAEwASwAzADgAMQA3ADAANAA5ADMASQBEAEUAQQA1=&amp;Tipo=2&amp;ST=1&amp;nLang=0</t>
  </si>
  <si>
    <t>https://www.clickideacore.com/ClickHTML5/Visit.aspx?ID=//59DAEwASwAzADgAMQA1ADcANQA4ADMASQBEAEUAQQAC=&amp;Tipo=2&amp;ST=1&amp;nLang=0</t>
  </si>
  <si>
    <t>https://www.clickideacore.com/ClickHTML5/Visit.aspx?ID=//53DAEwASwAzADgAMQA2ADMAOQA2ADQASQBEAEUAQQA2=&amp;Tipo=2&amp;ST=1&amp;nLang=0</t>
  </si>
  <si>
    <t>https://www.clickideacore.com/ClickHTML5/Visit.aspx?ID=//5FDAEwASwAzADgAMQA5ADMANwA3ADAASQBEAEUAQQAC=&amp;Tipo=2&amp;ST=1&amp;nLang=0</t>
  </si>
  <si>
    <t>https://www.clickideacore.com/ClickHTML5/Visit.aspx?ID=//5CDAEwASwAzADgAMQA4ADEANQAwADAASQBEAEUAQQA2=&amp;Tipo=2&amp;ST=1&amp;nLang=0</t>
  </si>
  <si>
    <t>https://www.clickideacore.com/ClickHTML5/Visit.aspx?ID=//55DAEwASwAzADgAMQA4ADQAMAA3ADYASQBEAEUAQQA0=&amp;Tipo=2&amp;ST=1&amp;nLang=0</t>
  </si>
  <si>
    <t>https://www.clickideacore.com/ClickHTML5/Visit.aspx?ID=//5FDAEwASwAzADgAMQA4ADYANAA0ADMASQBEAEUAQQA8=&amp;Tipo=2&amp;ST=1&amp;nLang=0</t>
  </si>
  <si>
    <t>https://www.clickideacore.com/ClickHTML5/Visit.aspx?ID=//57DAEwASwAzADgAMQA4ADkANAA3ADIASQBEAEUAQQA8=&amp;Tipo=2&amp;ST=1&amp;nLang=0</t>
  </si>
  <si>
    <t>https://www.clickideacore.com/ClickHTML5/Visit.aspx?ID=//58DAEwASwAzADgAMQA4ADQANgA4ADgASQBEAEUAQQAB=&amp;Tipo=2&amp;ST=1&amp;nLang=0</t>
  </si>
  <si>
    <t>https://www.clickideacore.com/ClickHTML5/Visit.aspx?ID=//5FDAEwASwAzADgAMQA4ADUANAA0ADgASQBEAEUAQQA4=&amp;Tipo=2&amp;ST=1&amp;nLang=0</t>
  </si>
  <si>
    <t>https://www.clickideacore.com/ClickHTML5/Visit.aspx?ID=//5DDAEwASwAzADgAMQA4ADQAMgA4ADcASQBEAEUAQQAD=&amp;Tipo=2&amp;ST=1&amp;nLang=0</t>
  </si>
  <si>
    <t>https://www.clickideacore.com/ClickHTML5/Visit.aspx?ID=//51DAEwASwAzADgAMQA4ADUANAA0ADcASQBEAEUAQQAC=&amp;Tipo=2&amp;ST=1&amp;nLang=0</t>
  </si>
  <si>
    <t>https://www.clickideacore.com/ClickHTML5/Visit.aspx?ID=//54DAEwASwAzADgAMQA4ADUANgA5ADMASQBEAEUAQQAA=&amp;Tipo=2&amp;ST=1&amp;nLang=0</t>
  </si>
  <si>
    <t>https://www.clickideacore.com/ClickHTML5/Visit.aspx?ID=//51DAEwASwAzADgAMQA4ADQANwAwADcASQBEAEUAQQA0=&amp;Tipo=2&amp;ST=1&amp;nLang=0</t>
  </si>
  <si>
    <t>https://www.clickideacore.com/ClickHTML5/Visit.aspx?ID=//53DAEwASwAzADgAMQA4ADYAOAAyADEASQBEAEUAQQA4=&amp;Tipo=2&amp;ST=1&amp;nLang=0</t>
  </si>
  <si>
    <t>https://www.clickideacore.com/ClickHTML5/Visit.aspx?ID=//5ADAEwASwAzADgAMQA5ADIAOAAzADcASQBEAEUAQQAC=&amp;Tipo=2&amp;ST=1&amp;nLang=0</t>
  </si>
  <si>
    <t>https://www.clickideacore.com/ClickHTML5/Visit.aspx?ID=//5EDAEwASwAzADgAMQA4ADQAMQA2ADQASQBEAEUAQQA9=&amp;Tipo=2&amp;ST=1&amp;nLang=0</t>
  </si>
  <si>
    <t>https://www.clickideacore.com/ClickHTML5/Visit.aspx?ID=//51DAEwASwAzADgAMQA5ADMAMwAxADgASQBEAEUAQQA3=&amp;Tipo=2&amp;ST=1&amp;nLang=0</t>
  </si>
  <si>
    <t>https://www.clickideacore.com/ClickHTML5/Visit.aspx?ID=//5CDAEwASwAzADgAMQA3ADIANgAwADIASQBEAEUAQQA0=&amp;Tipo=2&amp;ST=1&amp;nLang=0</t>
  </si>
  <si>
    <t>https://www.clickideacore.com/ClickHTML5/Visit.aspx?ID=//53DAEwASwAzADgAMQA5ADMAOQAyADkASQBEAEUAQQA7=&amp;Tipo=2&amp;ST=1&amp;nLang=0</t>
  </si>
  <si>
    <t>https://www.clickideacore.com/ClickHTML5/Visit.aspx?ID=//5EDAEwASwAzADgAMQA4ADEANwAzADkASQBEAEUAQQA3=&amp;Tipo=2&amp;ST=1&amp;nLang=0</t>
  </si>
  <si>
    <t>https://www.clickideacore.com/ClickHTML5/Visit.aspx?ID=//52DAEwASwAzADgAMgAwADYANwAyADgASQBEAEUAQQA3=&amp;Tipo=2&amp;ST=1&amp;nLang=0</t>
  </si>
  <si>
    <t>https://www.clickideacore.com/ClickHTML5/Visit.aspx?ID=//5DDAEwASwAzADgAMgAxADcAMwA0ADEASQBEAEUAQQAF=&amp;Tipo=2&amp;ST=1&amp;nLang=0</t>
  </si>
  <si>
    <t>https://www.clickideacore.com/ClickHTML5/Visit.aspx?ID=//52DAEwASwAzADgAMgAzADkAMwAxADgASQBEAEUAQQA2=&amp;Tipo=2&amp;ST=1&amp;nLang=0</t>
  </si>
  <si>
    <t>https://www.clickideacore.com/ClickHTML5/Visit.aspx?ID=//57DAEwASwAzADgAMgAzADAAMgA5ADMASQBEAEUAQQAA=&amp;Tipo=2&amp;ST=1&amp;nLang=0</t>
  </si>
  <si>
    <t>https://www.clickideacore.com/ClickHTML5/Visit.aspx?ID=//59DAEwASwAzADgAMgAyADcANgA0ADAASQBEAEUAQQA3=&amp;Tipo=2&amp;ST=1&amp;nLang=0</t>
  </si>
  <si>
    <t>https://www.clickideacore.com/ClickHTML5/Visit.aspx?ID=//5CDAEwASwAzADgAMgAzADcAMQA4ADgASQBEAEUAQQA1=&amp;Tipo=2&amp;ST=1&amp;nLang=0</t>
  </si>
  <si>
    <t>https://www.clickideacore.com/ClickHTML5/Visit.aspx?ID=//56DAEwASwAzADgAMgAzADAAOAA0ADkASQBEAEUAQQA5=&amp;Tipo=2&amp;ST=1&amp;nLang=0</t>
  </si>
  <si>
    <t>https://www.clickideacore.com/ClickHTML5/Visit.aspx?ID=//59DAEwASwAzADgAMgAyADgANgA0ADEASQBEAEUAQQA2=&amp;Tipo=2&amp;ST=1&amp;nLang=0</t>
  </si>
  <si>
    <t>https://www.clickideacore.com/ClickHTML5/Visit.aspx?ID=//53DAEwASwAzADgAMgAyADYANgAwADAASQBEAEUAQQA7=&amp;Tipo=2&amp;ST=1&amp;nLang=0</t>
  </si>
  <si>
    <t>https://www.clickideacore.com/ClickHTML5/Visit.aspx?ID=//59DAEwASwAzADgAMgA0ADEAMQAyADkASQBEAEUAQQA8=&amp;Tipo=2&amp;ST=1&amp;nLang=0</t>
  </si>
  <si>
    <t>https://www.clickideacore.com/ClickHTML5/Visit.aspx?ID=//55DAEwASwAzADgAMgAzADYAOQA2ADUASQBEAEUAQQAD=&amp;Tipo=2&amp;ST=1&amp;nLang=0</t>
  </si>
  <si>
    <t>https://www.clickideacore.com/ClickHTML5/Visit.aspx?ID=//53DAEwASwAzADgAMgAzADAANQA2ADQASQBEAEUAQQA8=&amp;Tipo=2&amp;ST=1&amp;nLang=0</t>
  </si>
  <si>
    <t>https://www.clickideacore.com/ClickHTML5/Visit.aspx?ID=//5FDAEwASwAzADgAMgAzADMAMQAyADMASQBEAEUAQQA9=&amp;Tipo=2&amp;ST=1&amp;nLang=0</t>
  </si>
  <si>
    <t>Luis Cubillos</t>
  </si>
  <si>
    <t>https://www.clickideacore.com/ClickHTML5/Visit.aspx?ID=//50DAEwASwAzADgAMgAyADUAMgA0ADgASQBEAEUAQQA8=&amp;Tipo=2&amp;ST=1&amp;nLang=0</t>
  </si>
  <si>
    <t>https://www.clickideacore.com/ClickHTML5/Visit.aspx?ID=//5CDAEwASwAzADgAMgAzADAAOQA0ADEASQBEAEUAQQA3=&amp;Tipo=2&amp;ST=1&amp;nLang=0</t>
  </si>
  <si>
    <t>https://www.clickideacore.com/ClickHTML5/Visit.aspx?ID=//5BDAEwASwAzADgAMgAzADYANgAzADIASQBEAEUAQQA0=&amp;Tipo=2&amp;ST=1&amp;nLang=0</t>
  </si>
  <si>
    <t>https://www.clickideacore.com/ClickHTML5/Visit.aspx?ID=//5EDAEwASwAzADgAMgAyADgANAA4ADgASQBEAEUAQQAD=&amp;Tipo=2&amp;ST=1&amp;nLang=0</t>
  </si>
  <si>
    <t>https://www.clickideacore.com/ClickHTML5/Visit.aspx?ID=//57DAEwASwAzADgAMgAyADgAMwAzADUASQBEAEUAQQA7=&amp;Tipo=2&amp;ST=1&amp;nLang=0</t>
  </si>
  <si>
    <t>https://www.clickideacore.com/ClickHTML5/Visit.aspx?ID=//5EDAEwASwAzADgAMgAyADUAMAA0ADMASQBEAEUAQQA9=&amp;Tipo=2&amp;ST=1&amp;nLang=0</t>
  </si>
  <si>
    <t>https://www.clickideacore.com/ClickHTML5/Visit.aspx?ID=//58DAEwASwAzADgAMgA2ADEANgAyADAASQBEAEUAQQA1=&amp;Tipo=2&amp;ST=1&amp;nLang=0</t>
  </si>
  <si>
    <t>https://www.clickideacore.com/ClickHTML5/Visit.aspx?ID=//5CDAEwASwAzADgAMgA0ADcAOQA2ADkASQBEAEUAQQA2=&amp;Tipo=2&amp;ST=1&amp;nLang=0</t>
  </si>
  <si>
    <t>https://www.clickideacore.com/ClickHTML5/Visit.aspx?ID=//5DDAEwASwAzADgAMgA0ADgANAA2ADgASQBEAEUAQQA0=&amp;Tipo=2&amp;ST=1&amp;nLang=0</t>
  </si>
  <si>
    <t>https://www.clickideacore.com/ClickHTML5/Visit.aspx?ID=//52DAEwASwAzADgAMgA1ADMAMwAyADkASQBEAEUAQQA3=&amp;Tipo=2&amp;ST=1&amp;nLang=0</t>
  </si>
  <si>
    <t>https://www.clickideacore.com/ClickHTML5/Visit.aspx?ID=//5FDAEwASwAzADgAMgA1ADMANAAxADYASQBEAEUAQQA2=&amp;Tipo=2&amp;ST=1&amp;nLang=0</t>
  </si>
  <si>
    <t>https://www.clickideacore.com/ClickHTML5/Visit.aspx?ID=//58DAEwASwAzADgAMgA1ADUAMAAyADMASQBEAEUAQQA1=&amp;Tipo=2&amp;ST=1&amp;nLang=0</t>
  </si>
  <si>
    <t>https://www.clickideacore.com/ClickHTML5/Visit.aspx?ID=//5CDAEwASwAzADgAMgA2ADEANQA0ADMASQBEAEUAQQA5=&amp;Tipo=2&amp;ST=1&amp;nLang=0</t>
  </si>
  <si>
    <t>https://www.clickideacore.com/ClickHTML5/Visit.aspx?ID=//5BDAEwASwAzADgAMgA1ADMAMAAwADYASQBEAEUAQQA7=&amp;Tipo=2&amp;ST=1&amp;nLang=0</t>
  </si>
  <si>
    <t>https://www.clickideacore.com/ClickHTML5/Visit.aspx?ID=//59DAEwASwAzADgAMgA1ADYAMwA0ADkASQBEAEUAQQAC=&amp;Tipo=2&amp;ST=1&amp;nLang=0</t>
  </si>
  <si>
    <t>https://www.clickideacore.com/ClickHTML5/Visit.aspx?ID=//54DAEwASwAzADgAMgA1ADIAMAAyADQASQBEAEUAQQAA=&amp;Tipo=2&amp;ST=1&amp;nLang=0</t>
  </si>
  <si>
    <t>https://www.clickideacore.com/ClickHTML5/Visit.aspx?ID=//58DAEwASwAzADgAMgA1ADMAMgA3ADQASQBEAEUAQQA6=&amp;Tipo=2&amp;ST=1&amp;nLang=0</t>
  </si>
  <si>
    <t>https://www.clickideacore.com/ClickHTML5/Visit.aspx?ID=//5FDAEwASwAzADgAMgA2ADEAMgAzADkASQBEAEUAQQA4=&amp;Tipo=2&amp;ST=1&amp;nLang=0</t>
  </si>
  <si>
    <t>https://www.clickideacore.com/ClickHTML5/Visit.aspx?ID=//5CDAEwASwAzADgAMgA1ADcANQA0ADUASQBEAEUAQQA1=&amp;Tipo=2&amp;ST=1&amp;nLang=0</t>
  </si>
  <si>
    <t>https://www.clickideacore.com/ClickHTML5/Visit.aspx?ID=//57DAEwASwAzADgAMgA1ADAANgAxADEASQBEAEUAQQA4=&amp;Tipo=2&amp;ST=1&amp;nLang=0</t>
  </si>
  <si>
    <t>https://www.clickideacore.com/ClickHTML5/Visit.aspx?ID=//5CDAEwASwAzADgAMgA0ADQANQAwADMASQBEAEUAQQAE=&amp;Tipo=2&amp;ST=1&amp;nLang=0</t>
  </si>
  <si>
    <t>https://www.clickideacore.com/ClickHTML5/Visit.aspx?ID=//5DDAEwASwAzADgAMgA2ADkANwA0ADMASQBEAEUAQQAD=&amp;Tipo=2&amp;ST=1&amp;nLang=0</t>
  </si>
  <si>
    <t>https://www.clickideacore.com/ClickHTML5/Visit.aspx?ID=//53DAEwASwAzADgAMgA3ADYAMgAyADUASQBEAEUAQQA2=&amp;Tipo=2&amp;ST=1&amp;nLang=0</t>
  </si>
  <si>
    <t>https://www.clickideacore.com/ClickHTML5/Visit.aspx?ID=//53DAEwASwAzADgAMgA4ADUAMAAyADQASQBEAEUAQQAC=&amp;Tipo=2&amp;ST=1&amp;nLang=0</t>
  </si>
  <si>
    <t>https://www.clickideacore.com/ClickHTML5/Visit.aspx?ID=//59DAEwASwAzADgAMgA3ADgAMQAwADQASQBEAEUAQQAC=&amp;Tipo=2&amp;ST=1&amp;nLang=0</t>
  </si>
  <si>
    <t>https://www.clickideacore.com/ClickHTML5/Visit.aspx?ID=//5ADAEwASwAzADgAMgA3ADUANwA1ADgASQBEAEUAQQAA=&amp;Tipo=2&amp;ST=1&amp;nLang=0</t>
  </si>
  <si>
    <t>https://www.clickideacore.com/ClickHTML5/Visit.aspx?ID=//5CDAEwASwAzADgAMgA3ADkAMwA1ADkASQBEAEUAQQAE=&amp;Tipo=2&amp;ST=1&amp;nLang=0</t>
  </si>
  <si>
    <t>https://www.clickideacore.com/ClickHTML5/Visit.aspx?ID=//5ADAEwASwAzADgAMgA3ADEAOQA5ADMASQBEAEUAQQA8=&amp;Tipo=2&amp;ST=1&amp;nLang=0</t>
  </si>
  <si>
    <t>https://www.clickideacore.com/ClickHTML5/Visit.aspx?ID=//5FDAEwASwAzADgAMgA3ADgAOQA0ADkASQBEAEUAQQA2=&amp;Tipo=2&amp;ST=1&amp;nLang=0</t>
  </si>
  <si>
    <t>https://www.clickideacore.com/ClickHTML5/Visit.aspx?ID=//5BDAEwASwAzADgAMgA3ADMAMAAzADIASQBEAEUAQQA3=&amp;Tipo=2&amp;ST=1&amp;nLang=0</t>
  </si>
  <si>
    <t>https://www.clickideacore.com/ClickHTML5/Visit.aspx?ID=//50DAEwASwAzADgAMgA4ADMAMwAxADYASQBEAEUAQQAB=&amp;Tipo=2&amp;ST=1&amp;nLang=0</t>
  </si>
  <si>
    <t>https://www.clickideacore.com/ClickHTML5/Visit.aspx?ID=//5FDAEwASwAzADgAMgA3ADcAMQA2ADEASQBEAEUAQQA9=&amp;Tipo=2&amp;ST=1&amp;nLang=0</t>
  </si>
  <si>
    <t>https://www.clickideacore.com/ClickHTML5/Visit.aspx?ID=//52DAEwASwAzADgAMgA3ADMANwAwADAASQBEAEUAQQA4=&amp;Tipo=2&amp;ST=1&amp;nLang=0</t>
  </si>
  <si>
    <t>https://www.clickideacore.com/ClickHTML5/Visit.aspx?ID=//52DAEwASwAzADgAMgA3ADQAMgAwADUASQBEAEUAQQA5=&amp;Tipo=2&amp;ST=1&amp;nLang=0</t>
  </si>
  <si>
    <t>https://www.clickideacore.com/ClickHTML5/Visit.aspx?ID=//5EDAEwASwAzADgAMgA4ADMAMgA3ADYASQBEAEUAQQAE=&amp;Tipo=2&amp;ST=1&amp;nLang=0</t>
  </si>
  <si>
    <t>https://www.clickideacore.com/ClickHTML5/Visit.aspx?ID=//55DAEwASwAzADgAMgA4ADEANQAxADkASQBEAEUAQQA6=&amp;Tipo=2&amp;ST=1&amp;nLang=0</t>
  </si>
  <si>
    <t>https://www.clickideacore.com/ClickHTML5/Visit.aspx?ID=//59DAEwASwAzADgAMgA3ADMAMgAxADAASQBEAEUAQQA1=&amp;Tipo=2&amp;ST=1&amp;nLang=0</t>
  </si>
  <si>
    <t>https://www.clickideacore.com/ClickHTML5/Visit.aspx?ID=//5DDAEwASwAzADgAMwAwADcAMwA0ADYASQBEAEUAQQA7=&amp;Tipo=2&amp;ST=1&amp;nLang=0</t>
  </si>
  <si>
    <t>https://www.clickideacore.com/ClickHTML5/Visit.aspx?ID=//50DAEwASwAzADgAMgA5ADYANQAzADAASQBEAEUAQQA1=&amp;Tipo=2&amp;ST=1&amp;nLang=0</t>
  </si>
  <si>
    <t>https://www.clickideacore.com/ClickHTML5/Visit.aspx?ID=//50DAEwASwAzADgAMgA5ADUAMAAyADIASQBEAEUAQQA7=&amp;Tipo=2&amp;ST=1&amp;nLang=0</t>
  </si>
  <si>
    <t>https://www.clickideacore.com/ClickHTML5/Visit.aspx?ID=//51DAEwASwAzADgAMwAwADEAMAA3ADQASQBEAEUAQQA6=&amp;Tipo=2&amp;ST=1&amp;nLang=0</t>
  </si>
  <si>
    <t>https://www.clickideacore.com/ClickHTML5/Visit.aspx?ID=//58DAEwASwAzADgAMgA5ADkAOAA4ADgASQBEAEUAQQA7=&amp;Tipo=2&amp;ST=1&amp;nLang=0</t>
  </si>
  <si>
    <t>https://www.clickideacore.com/ClickHTML5/Visit.aspx?ID=//5DDAEwASwAzADgAMgA5ADgANgAzADQASQBEAEUAQQAB=&amp;Tipo=2&amp;ST=1&amp;nLang=0</t>
  </si>
  <si>
    <t>https://www.clickideacore.com/ClickHTML5/Visit.aspx?ID=//5EDAEwASwAzADgAMwAwADQAMQA3ADQASQBEAEUAQQA9=&amp;Tipo=2&amp;ST=1&amp;nLang=0</t>
  </si>
  <si>
    <t>https://www.clickideacore.com/ClickHTML5/Visit.aspx?ID=//5FDAEwASwAzADgAMwAwADQANQA2ADMASQBEAEUAQQA7=&amp;Tipo=2&amp;ST=1&amp;nLang=0</t>
  </si>
  <si>
    <t>https://www.clickideacore.com/ClickHTML5/Visit.aspx?ID=//56DAEwASwAzADgAMwAwADEANAA1ADkASQBEAEUAQQA8=&amp;Tipo=2&amp;ST=1&amp;nLang=0</t>
  </si>
  <si>
    <t>https://www.clickideacore.com/ClickHTML5/Visit.aspx?ID=//51DAEwASwAzADgAMwAwADAAMQA4ADcASQBEAEUAQQAC=&amp;Tipo=2&amp;ST=1&amp;nLang=0</t>
  </si>
  <si>
    <t>https://www.clickideacore.com/ClickHTML5/Visit.aspx?ID=//5BDAEwASwAzADgAMgA5ADQANQAzADUASQBEAEUAQQA6=&amp;Tipo=2&amp;ST=1&amp;nLang=0</t>
  </si>
  <si>
    <t>https://www.clickideacore.com/ClickHTML5/Visit.aspx?ID=//5ADAEwASwAzADgAMgA5ADgANwA3ADcASQBEAEUAQQA4=&amp;Tipo=2&amp;ST=1&amp;nLang=0</t>
  </si>
  <si>
    <t>https://www.clickideacore.com/ClickHTML5/Visit.aspx?ID=//5CDAEwASwAzADgAMwAwADUAMgA0ADEASQBEAEUAQQA5=&amp;Tipo=2&amp;ST=1&amp;nLang=0</t>
  </si>
  <si>
    <t>https://www.clickideacore.com/ClickHTML5/Visit.aspx?ID=//55DAEwASwAzADgAMgA5ADYANAA1ADIASQBEAEUAQQA1=&amp;Tipo=2&amp;ST=1&amp;nLang=0</t>
  </si>
  <si>
    <t>https://www.clickideacore.com/ClickHTML5/Visit.aspx?ID=//5DDAEwASwAzADgAMgA4ADYANQAyADgASQBEAEUAQQA6=&amp;Tipo=2&amp;ST=1&amp;nLang=0</t>
  </si>
  <si>
    <t>https://www.clickideacore.com/ClickHTML5/Visit.aspx?ID=//52DAEwASwAzADgAMwAwADkANAA1ADUASQBEAEUAQQAA=&amp;Tipo=2&amp;ST=1&amp;nLang=0</t>
  </si>
  <si>
    <t>https://www.clickideacore.com/ClickHTML5/Visit.aspx?ID=//5CDAEwASwAzADgAMwAyADkAMwA2ADgASQBEAEUAQQA2=&amp;Tipo=2&amp;ST=1&amp;nLang=0</t>
  </si>
  <si>
    <t>https://www.clickideacore.com/ClickHTML5/Visit.aspx?ID=//50DAEwASwAzADgAMwAxADgANAA4ADYASQBEAEUAQQA7=&amp;Tipo=2&amp;ST=1&amp;nLang=0</t>
  </si>
  <si>
    <t>https://www.clickideacore.com/ClickHTML5/Visit.aspx?ID=//5DDAEwASwAzADgAMwAyADAAMwA1ADIASQBEAEUAQQA3=&amp;Tipo=2&amp;ST=1&amp;nLang=0</t>
  </si>
  <si>
    <t>https://www.clickideacore.com/ClickHTML5/Visit.aspx?ID=//53DAEwASwAzADgAMwAxADcAMwA2ADQASQBEAEUAQQA2=&amp;Tipo=2&amp;ST=1&amp;nLang=0</t>
  </si>
  <si>
    <t>https://www.clickideacore.com/ClickHTML5/Visit.aspx?ID=//56DAEwASwAzADgAMwAyADUAMgAyADYASQBEAEUAQQAF=&amp;Tipo=2&amp;ST=1&amp;nLang=0</t>
  </si>
  <si>
    <t>https://www.clickideacore.com/ClickHTML5/Visit.aspx?ID=//5EDAEwASwAzADgAMwAyADQAMAA2ADYASQBEAEUAQQAD=&amp;Tipo=2&amp;ST=1&amp;nLang=0</t>
  </si>
  <si>
    <t>https://www.clickideacore.com/ClickHTML5/Visit.aspx?ID=//54DAEwASwAzADgAMwAyADUANQA1ADUASQBEAEUAQQA9=&amp;Tipo=2&amp;ST=1&amp;nLang=0</t>
  </si>
  <si>
    <t>https://www.clickideacore.com/ClickHTML5/Visit.aspx?ID=//55DAEwASwAzADgAMwAxADYANgA2ADkASQBEAEUAQQA1=&amp;Tipo=2&amp;ST=1&amp;nLang=0</t>
  </si>
  <si>
    <t>https://www.clickideacore.com/ClickHTML5/Visit.aspx?ID=//57DAEwASwAzADgAMwAyADQAOAAwADAASQBEAEUAQQAA=&amp;Tipo=2&amp;ST=1&amp;nLang=0</t>
  </si>
  <si>
    <t>https://www.clickideacore.com/ClickHTML5/Visit.aspx?ID=//53DAEwASwAzADgAMwAyADcANwAyADUASQBEAEUAQQA7=&amp;Tipo=2&amp;ST=1&amp;nLang=0</t>
  </si>
  <si>
    <t>Daniel Diaz</t>
  </si>
  <si>
    <t>https://www.clickideacore.com/ClickHTML5/Visit.aspx?ID=//5CDAEwASwAzADgAMwAyADQAMQA1ADQASQBEAEUAQQA0=&amp;Tipo=2&amp;ST=1&amp;nLang=0</t>
  </si>
  <si>
    <t>https://www.clickideacore.com/ClickHTML5/Visit.aspx?ID=//53DAEwASwAzADgAMwAyADMAOQA4ADYASQBEAEUAQQAC=&amp;Tipo=2&amp;ST=1&amp;nLang=0</t>
  </si>
  <si>
    <t>https://www.clickideacore.com/ClickHTML5/Visit.aspx?ID=//54DAEwASwAzADgAMwAxADgAMwAyADQASQBEAEUAQQA1=&amp;Tipo=2&amp;ST=1&amp;nLang=0</t>
  </si>
  <si>
    <t>https://www.clickideacore.com/ClickHTML5/Visit.aspx?ID=//51DAEwASwAzADgAMwAyADIANQA1ADMASQBEAEUAQQA8=&amp;Tipo=2&amp;ST=1&amp;nLang=0</t>
  </si>
  <si>
    <t>https://www.clickideacore.com/ClickHTML5/Visit.aspx?ID=//58DAEwASwAzADgAMwAyADcAMgA2ADEASQBEAEUAQQA4=&amp;Tipo=2&amp;ST=1&amp;nLang=0</t>
  </si>
  <si>
    <t>https://www.clickideacore.com/ClickHTML5/Visit.aspx?ID=//5FDAEwASwAzADgAMwAyADQANgA2ADQASQBEAEUAQQAA=&amp;Tipo=2&amp;ST=1&amp;nLang=0</t>
  </si>
  <si>
    <t>https://www.clickideacore.com/ClickHTML5/Visit.aspx?ID=//5BDAEwASwAzADgAMwAxADgAMgA0ADEASQBEAEUAQQA3=&amp;Tipo=2&amp;ST=1&amp;nLang=0</t>
  </si>
  <si>
    <t>https://www.clickideacore.com/ClickHTML5/Visit.aspx?ID=//53DAEwASwAzADgAMwAxADkANAAwADEASQBEAEUAQQAE=&amp;Tipo=2&amp;ST=1&amp;nLang=0</t>
  </si>
  <si>
    <t>https://www.clickideacore.com/ClickHTML5/Visit.aspx?ID=//59DAEwASwAzADgAMwA0ADAANwA4ADEASQBEAEUAQQA0=&amp;Tipo=2&amp;ST=1&amp;nLang=0</t>
  </si>
  <si>
    <t>https://www.clickideacore.com/ClickHTML5/Visit.aspx?ID=//50DAEwASwAzADgAMwA0ADEAOQAyADMASQBEAEUAQQAF=&amp;Tipo=2&amp;ST=1&amp;nLang=0</t>
  </si>
  <si>
    <t>https://www.clickideacore.com/ClickHTML5/Visit.aspx?ID=//52DAEwASwAzADgAMwA0ADQAOAAwADIASQBEAEUAQQA2=&amp;Tipo=2&amp;ST=1&amp;nLang=0</t>
  </si>
  <si>
    <t>https://www.clickideacore.com/ClickHTML5/Visit.aspx?ID=//51DAEwASwAzADgAMwA1ADIAMgA0ADcASQBEAEUAQQA6=&amp;Tipo=2&amp;ST=1&amp;nLang=0</t>
  </si>
  <si>
    <t>https://www.clickideacore.com/ClickHTML5/Visit.aspx?ID=//58DAEwASwAzADgAMwA3ADMAMgAyADIASQBEAEUAQQA7=&amp;Tipo=2&amp;ST=1&amp;nLang=0</t>
  </si>
  <si>
    <t>https://www.clickideacore.com/ClickHTML5/Visit.aspx?ID=//57DAEwASwAzADgAMwA2ADAAMQA2ADkASQBEAEUAQQA0=&amp;Tipo=2&amp;ST=1&amp;nLang=0</t>
  </si>
  <si>
    <t>https://www.clickideacore.com/ClickHTML5/Visit.aspx?ID=//57DAEwASwAzADgAMwA2ADQAMwA2ADgASQBEAEUAQQA0=&amp;Tipo=2&amp;ST=1&amp;nLang=0</t>
  </si>
  <si>
    <t>https://www.clickideacore.com/ClickHTML5/Visit.aspx?ID=//5ADAEwASwAzADgAMwA2ADkANwA3ADEASQBEAEUAQQAA=&amp;Tipo=2&amp;ST=1&amp;nLang=0</t>
  </si>
  <si>
    <t>https://www.clickideacore.com/ClickHTML5/Visit.aspx?ID=//5DDAEwASwAzADgAMwA2ADUAMgAzADcASQBEAEUAQQAF=&amp;Tipo=2&amp;ST=1&amp;nLang=0</t>
  </si>
  <si>
    <t>https://www.clickideacore.com/ClickHTML5/Visit.aspx?ID=//54DAEwASwAzADgAMwA2ADMAOQA0ADYASQBEAEUAQQA0=&amp;Tipo=2&amp;ST=1&amp;nLang=0</t>
  </si>
  <si>
    <t>https://www.clickideacore.com/ClickHTML5/Visit.aspx?ID=//59DAEwASwAzADgAMwA2ADIAMgA3ADgASQBEAEUAQQA9=&amp;Tipo=2&amp;ST=1&amp;nLang=0</t>
  </si>
  <si>
    <t>https://www.clickideacore.com/ClickHTML5/Visit.aspx?ID=//5CDAEwASwAzADgAMwA3ADMAOAAyADUASQBEAEUAQQA8=&amp;Tipo=2&amp;ST=1&amp;nLang=0</t>
  </si>
  <si>
    <t>https://www.clickideacore.com/ClickHTML5/Visit.aspx?ID=//5ADAEwASwAzADgAMwA2ADcAMwA0ADMASQBEAEUAQQA0=&amp;Tipo=2&amp;ST=1&amp;nLang=0</t>
  </si>
  <si>
    <t>https://www.clickideacore.com/ClickHTML5/Visit.aspx?ID=//55DAEwASwAzADgAMwA2ADQANgA4ADQASQBEAEUAQQA8=&amp;Tipo=2&amp;ST=1&amp;nLang=0</t>
  </si>
  <si>
    <t>https://www.clickideacore.com/ClickHTML5/Visit.aspx?ID=//55DAEwASwAzADgAMwA2ADkANwA5ADAASQBEAEUAQQA1=&amp;Tipo=2&amp;ST=1&amp;nLang=0</t>
  </si>
  <si>
    <t>https://www.clickideacore.com/ClickHTML5/Visit.aspx?ID=//59DAEwASwAzADgAMwA1ADkANAAxADAASQBEAEUAQQA0=&amp;Tipo=2&amp;ST=1&amp;nLang=0</t>
  </si>
  <si>
    <t>https://www.clickideacore.com/ClickHTML5/Visit.aspx?ID=//55DAEwASwAzADgAMwA2ADUAMwA3ADUASQBEAEUAQQA9=&amp;Tipo=2&amp;ST=1&amp;nLang=0</t>
  </si>
  <si>
    <t>https://www.clickideacore.com/ClickHTML5/Visit.aspx?ID=//5BDAEwASwAzADgAMwA3ADEAOQAyADgASQBEAEUAQQA4=&amp;Tipo=2&amp;ST=1&amp;nLang=0</t>
  </si>
  <si>
    <t>https://www.clickideacore.com/ClickHTML5/Visit.aspx?ID=//5BDAEwASwAzADgAMwA2ADIAMwA3ADIASQBEAEUAQQAA=&amp;Tipo=2&amp;ST=1&amp;nLang=0</t>
  </si>
  <si>
    <t>https://www.clickideacore.com/ClickHTML5/Visit.aspx?ID=//55DAEwASwAzADgAMwA2ADIANQA0ADcASQBEAEUAQQAB=&amp;Tipo=2&amp;ST=1&amp;nLang=0</t>
  </si>
  <si>
    <t>https://www.clickideacore.com/ClickHTML5/Visit.aspx?ID=//5EDAEwASwAzADgAMwA1ADgANwA4ADcASQBEAEUAQQAB=&amp;Tipo=2&amp;ST=1&amp;nLang=0</t>
  </si>
  <si>
    <t>https://www.clickideacore.com/ClickHTML5/Visit.aspx?ID=//50DAEwASwAzADgAMwA5ADUANgA3ADAASQBEAEUAQQAD=&amp;Tipo=2&amp;ST=1&amp;nLang=0</t>
  </si>
  <si>
    <t>https://www.clickideacore.com/ClickHTML5/Visit.aspx?ID=//5ADAEwASwAzADgAMwA4ADMAMAA5ADAASQBEAEUAQQAB=&amp;Tipo=2&amp;ST=1&amp;nLang=0</t>
  </si>
  <si>
    <t>https://www.clickideacore.com/ClickHTML5/Visit.aspx?ID=//59DAEwASwAzADgAMwA4ADQAMgA0ADgASQBEAEUAQQAC=&amp;Tipo=2&amp;ST=1&amp;nLang=0</t>
  </si>
  <si>
    <t>https://www.clickideacore.com/ClickHTML5/Visit.aspx?ID=//59DAEwASwAzADgAMwA5ADAAMAA5ADcASQBEAEUAQQA1=&amp;Tipo=2&amp;ST=1&amp;nLang=0</t>
  </si>
  <si>
    <t>https://www.clickideacore.com/ClickHTML5/Visit.aspx?ID=//5EDAEwASwAzADgAMwA4ADcAOAAyADAASQBEAEUAQQA8=&amp;Tipo=2&amp;ST=1&amp;nLang=0</t>
  </si>
  <si>
    <t>https://www.clickideacore.com/ClickHTML5/Visit.aspx?ID=//5DDAEwASwAzADgAMwA5ADUANQA2ADcASQBEAEUAQQA7=&amp;Tipo=2&amp;ST=1&amp;nLang=0</t>
  </si>
  <si>
    <t>https://www.clickideacore.com/ClickHTML5/Visit.aspx?ID=//5DDAEwASwAzADgAMwA4ADkAMwA1ADMASQBEAEUAQQA7=&amp;Tipo=2&amp;ST=1&amp;nLang=0</t>
  </si>
  <si>
    <t>https://www.clickideacore.com/ClickHTML5/Visit.aspx?ID=//5BDAEwASwAzADgAMwA5ADEAMAAwADQASQBEAEUAQQA9=&amp;Tipo=2&amp;ST=1&amp;nLang=0</t>
  </si>
  <si>
    <t>https://www.clickideacore.com/ClickHTML5/Visit.aspx?ID=//58DAEwASwAzADgAMwA4ADUAMAA5ADUASQBEAEUAQQA9=&amp;Tipo=2&amp;ST=1&amp;nLang=0</t>
  </si>
  <si>
    <t>https://www.clickideacore.com/ClickHTML5/Visit.aspx?ID=//51DAEwASwAzADgAMwA4ADgAMwA2ADYASQBEAEUAQQA2=&amp;Tipo=2&amp;ST=1&amp;nLang=0</t>
  </si>
  <si>
    <t>https://www.clickideacore.com/ClickHTML5/Visit.aspx?ID=//5FDAEwASwAzADgAMwA5ADUAMwA0ADQASQBEAEUAQQA3=&amp;Tipo=2&amp;ST=1&amp;nLang=0</t>
  </si>
  <si>
    <t>https://www.clickideacore.com/ClickHTML5/Visit.aspx?ID=//50DAEwASwAzADgAMwA4ADEANwA3ADIASQBEAEUAQQAA=&amp;Tipo=2&amp;ST=1&amp;nLang=0</t>
  </si>
  <si>
    <t>https://www.clickideacore.com/ClickHTML5/Visit.aspx?ID=//55DAEwASwAzADgAMwA5ADgANwAwADYASQBEAEUAQQAA=&amp;Tipo=2&amp;ST=1&amp;nLang=0</t>
  </si>
  <si>
    <t>https://www.clickideacore.com/ClickHTML5/Visit.aspx?ID=//59DAEwASwAzADgANAAyADEAMAA5ADcASQBEAEUAQQA3=&amp;Tipo=2&amp;ST=1&amp;nLang=0</t>
  </si>
  <si>
    <t>https://www.clickideacore.com/ClickHTML5/Visit.aspx?ID=//55DAEwASwAzADgANAAwADcAOAAwADMASQBEAEUAQQA3=&amp;Tipo=2&amp;ST=1&amp;nLang=0</t>
  </si>
  <si>
    <t>https://www.clickideacore.com/ClickHTML5/Visit.aspx?ID=//59DAEwASwAzADgANAAwADkANgAxADYASQBEAEUAQQAA=&amp;Tipo=2&amp;ST=1&amp;nLang=0</t>
  </si>
  <si>
    <t>https://www.clickideacore.com/ClickHTML5/Visit.aspx?ID=//53DAEwASwAzADgANAAxADQAMgAwADUASQBEAEUAQQA5=&amp;Tipo=2&amp;ST=1&amp;nLang=0</t>
  </si>
  <si>
    <t>https://www.clickideacore.com/ClickHTML5/Visit.aspx?ID=//5DDAEwASwAzADgANAAxADIANQAyADQASQBEAEUAQQA8=&amp;Tipo=2&amp;ST=1&amp;nLang=0</t>
  </si>
  <si>
    <t>https://www.clickideacore.com/ClickHTML5/Visit.aspx?ID=//56DAEwASwAzADgANAAxADEAMAAxADQASQBEAEUAQQAF=&amp;Tipo=2&amp;ST=1&amp;nLang=0</t>
  </si>
  <si>
    <t>https://www.clickideacore.com/ClickHTML5/Visit.aspx?ID=//54DAEwASwAzADgANAAyADIAOAAwADAASQBEAEUAQQA3=&amp;Tipo=2&amp;ST=1&amp;nLang=0</t>
  </si>
  <si>
    <t>https://www.clickideacore.com/ClickHTML5/Visit.aspx?ID=//59DAEwASwAzADgANAAxADYAMQAxADgASQBEAEUAQQA8=&amp;Tipo=2&amp;ST=1&amp;nLang=0</t>
  </si>
  <si>
    <t>https://www.clickideacore.com/ClickHTML5/Visit.aspx?ID=//58DAEwASwAzADgANAAxADMANwAwADgASQBEAEUAQQA1=&amp;Tipo=2&amp;ST=1&amp;nLang=0</t>
  </si>
  <si>
    <t>https://www.clickideacore.com/ClickHTML5/Visit.aspx?ID=//57DAEwASwAzADgANAAxADAANAA0ADgASQBEAEUAQQA2=&amp;Tipo=2&amp;ST=1&amp;nLang=0</t>
  </si>
  <si>
    <t>https://www.clickideacore.com/ClickHTML5/Visit.aspx?ID=//56DAEwASwAzADgANAAxADUANwA1ADYASQBEAEUAQQA9=&amp;Tipo=2&amp;ST=1&amp;nLang=0</t>
  </si>
  <si>
    <t>https://www.clickideacore.com/ClickHTML5/Visit.aspx?ID=//5BDAEwASwAzADgANAAwADcAOAAyADYASQBEAEUAQQA8=&amp;Tipo=2&amp;ST=1&amp;nLang=0</t>
  </si>
  <si>
    <t>https://www.clickideacore.com/ClickHTML5/Visit.aspx?ID=//5DDAEwASwAzADgANAAxADIAMgAyADUASQBEAEUAQQA5=&amp;Tipo=2&amp;ST=1&amp;nLang=0</t>
  </si>
  <si>
    <t>https://www.clickideacore.com/ClickHTML5/Visit.aspx?ID=//58DAEwASwAzADgANAAyADEANAA2ADMASQBEAEUAQQAD=&amp;Tipo=2&amp;ST=1&amp;nLang=0</t>
  </si>
  <si>
    <t>https://www.clickideacore.com/ClickHTML5/Visit.aspx?ID=//51DAEwASwAzADgANAAxADYAMAA0ADkASQBEAEUAQQAB=&amp;Tipo=2&amp;ST=1&amp;nLang=0</t>
  </si>
  <si>
    <t>https://www.clickideacore.com/ClickHTML5/Visit.aspx?ID=//51DAEwASwAzADgANAAwADMAOAA4ADUASQBEAEUAQQA2=&amp;Tipo=2&amp;ST=1&amp;nLang=0</t>
  </si>
  <si>
    <t>https://www.clickideacore.com/ClickHTML5/Visit.aspx?ID=//55DAEwASwAzADgANAAwADgANQA5ADkASQBEAEUAQQA9=&amp;Tipo=2&amp;ST=1&amp;nLang=0</t>
  </si>
  <si>
    <t>https://www.clickideacore.com/ClickHTML5/Visit.aspx?ID=//51DAEwASwAzADgANAA0ADQANwAwADgASQBEAEUAQQA0=&amp;Tipo=2&amp;ST=1&amp;nLang=0</t>
  </si>
  <si>
    <t>https://www.clickideacore.com/ClickHTML5/Visit.aspx?ID=//52DAEwASwAzADgANAAyADgAMAA5ADIASQBEAEUAQQAB=&amp;Tipo=2&amp;ST=1&amp;nLang=0</t>
  </si>
  <si>
    <t>https://www.clickideacore.com/ClickHTML5/Visit.aspx?ID=//54DAEwASwAzADgANAAzADAAMAA4ADgASQBEAEUAQQA0=&amp;Tipo=2&amp;ST=1&amp;nLang=0</t>
  </si>
  <si>
    <t>https://www.clickideacore.com/ClickHTML5/Visit.aspx?ID=//51DAEwASwAzADgANAAzADQANwA1ADEASQBEAEUAQQA1=&amp;Tipo=2&amp;ST=1&amp;nLang=0</t>
  </si>
  <si>
    <t>https://www.clickideacore.com/ClickHTML5/Visit.aspx?ID=//5BDAEwASwAzADgANAAzADgAOQA5ADcASQBEAEUAQQA4=&amp;Tipo=2&amp;ST=1&amp;nLang=0</t>
  </si>
  <si>
    <t>https://www.clickideacore.com/ClickHTML5/Visit.aspx?ID=//54DAEwASwAzADgANAAzADkAMQA5ADgASQBEAEUAQQAC=&amp;Tipo=2&amp;ST=1&amp;nLang=0</t>
  </si>
  <si>
    <t>https://www.clickideacore.com/ClickHTML5/Visit.aspx?ID=//56DAEwASwAzADgANAAzADYANgA5ADAASQBEAEUAQQA9=&amp;Tipo=2&amp;ST=1&amp;nLang=0</t>
  </si>
  <si>
    <t>https://www.clickideacore.com/ClickHTML5/Visit.aspx?ID=//59DAEwASwAzADgANAAzADAAOAA2ADgASQBEAEUAQQAB=&amp;Tipo=2&amp;ST=1&amp;nLang=0</t>
  </si>
  <si>
    <t>https://www.clickideacore.com/ClickHTML5/Visit.aspx?ID=//5CDAEwASwAzADgANAA0ADMAMAA3ADIASQBEAEUAQQAA=&amp;Tipo=2&amp;ST=1&amp;nLang=0</t>
  </si>
  <si>
    <t>https://www.clickideacore.com/ClickHTML5/Visit.aspx?ID=//5CDAEwASwAzADgANAAzADUANQA3ADQASQBEAEUAQQAD=&amp;Tipo=2&amp;ST=1&amp;nLang=0</t>
  </si>
  <si>
    <t>https://www.clickideacore.com/ClickHTML5/Visit.aspx?ID=//55DAEwASwAzADgANAAzADcANAA3ADIASQBEAEUAQQA7=&amp;Tipo=2&amp;ST=1&amp;nLang=0</t>
  </si>
  <si>
    <t>https://www.clickideacore.com/ClickHTML5/Visit.aspx?ID=//52DAEwASwAzADgANAAzADEANAAzADEASQBEAEUAQQA9=&amp;Tipo=2&amp;ST=1&amp;nLang=0</t>
  </si>
  <si>
    <t>https://www.clickideacore.com/ClickHTML5/Visit.aspx?ID=//54DAEwASwAzADgANAAzADUAMgA1ADUASQBEAEUAQQAC=&amp;Tipo=2&amp;ST=1&amp;nLang=0</t>
  </si>
  <si>
    <t>https://www.clickideacore.com/ClickHTML5/Visit.aspx?ID=//52DAEwASwAzADgANAA0ADMANQA1ADYASQBEAEUAQQAB=&amp;Tipo=2&amp;ST=1&amp;nLang=0</t>
  </si>
  <si>
    <t>https://www.clickideacore.com/ClickHTML5/Visit.aspx?ID=//53DAEwASwAzADgANAAzADgAMwA2ADUASQBEAEUAQQA5=&amp;Tipo=2&amp;ST=1&amp;nLang=0</t>
  </si>
  <si>
    <t>https://www.clickideacore.com/ClickHTML5/Visit.aspx?ID=//52DAEwASwAzADgANAA2ADYAMAA5ADcASQBEAEUAQQA8=&amp;Tipo=2&amp;ST=1&amp;nLang=0</t>
  </si>
  <si>
    <t>https://www.clickideacore.com/ClickHTML5/Visit.aspx?ID=//5CDAEwASwAzADgANAA1ADUAOQAxADgASQBEAEUAQQA0=&amp;Tipo=2&amp;ST=1&amp;nLang=0</t>
  </si>
  <si>
    <t>https://www.clickideacore.com/ClickHTML5/Visit.aspx?ID=//5FDAEwASwAzADgANAA1ADUAOQAwADcASQBEAEUAQQA1=&amp;Tipo=2&amp;ST=1&amp;nLang=0</t>
  </si>
  <si>
    <t>https://www.clickideacore.com/ClickHTML5/Visit.aspx?ID=//53DAEwASwAzADgANAA2ADMANAA0ADIASQBEAEUAQQA1=&amp;Tipo=2&amp;ST=1&amp;nLang=0</t>
  </si>
  <si>
    <t>https://www.clickideacore.com/ClickHTML5/Visit.aspx?ID=//5BDAEwASwAzADgANAA2ADEAMgA3ADgASQBEAEUAQQAD=&amp;Tipo=2&amp;ST=1&amp;nLang=0</t>
  </si>
  <si>
    <t>https://www.clickideacore.com/ClickHTML5/Visit.aspx?ID=//52DAEwASwAzADgANAA2ADIANQAzADAASQBEAEUAQQA4=&amp;Tipo=2&amp;ST=1&amp;nLang=0</t>
  </si>
  <si>
    <t>https://www.clickideacore.com/ClickHTML5/Visit.aspx?ID=//5DDAEwASwAzADgANAA1ADgANAAzADIASQBEAEUAQQAD=&amp;Tipo=2&amp;ST=1&amp;nLang=0</t>
  </si>
  <si>
    <t>https://www.clickideacore.com/ClickHTML5/Visit.aspx?ID=//51DAEwASwAzADgANAA2ADMAOQA5ADcASQBEAEUAQQA2=&amp;Tipo=2&amp;ST=1&amp;nLang=0</t>
  </si>
  <si>
    <t>https://www.clickideacore.com/ClickHTML5/Visit.aspx?ID=//5BDAEwASwAzADgANAA1ADcANwAyADcASQBEAEUAQQA8=&amp;Tipo=2&amp;ST=1&amp;nLang=0</t>
  </si>
  <si>
    <t>https://www.clickideacore.com/ClickHTML5/Visit.aspx?ID=//51DAEwASwAzADgANAA1ADcANQAxADMASQBEAEUAQQA8=&amp;Tipo=2&amp;ST=1&amp;nLang=0</t>
  </si>
  <si>
    <t>https://www.clickideacore.com/ClickHTML5/Visit.aspx?ID=//50DAEwASwAzADgANAA2ADIAMAAyADYASQBEAEUAQQA8=&amp;Tipo=2&amp;ST=1&amp;nLang=0</t>
  </si>
  <si>
    <t>https://www.clickideacore.com/ClickHTML5/Visit.aspx?ID=//53DAEwASwAzADgANAA1ADQAMwA2ADAASQBEAEUAQQA1=&amp;Tipo=2&amp;ST=1&amp;nLang=0</t>
  </si>
  <si>
    <t>https://www.clickideacore.com/ClickHTML5/Visit.aspx?ID=//56DAEwASwAzADgANAA1ADgANwA1ADgASQBEAEUAQQA5=&amp;Tipo=2&amp;ST=1&amp;nLang=0</t>
  </si>
  <si>
    <t>https://www.clickideacore.com/ClickHTML5/Visit.aspx?ID=//5EDAEwASwAzADgANAA2ADYAMAAyADUASQBEAEUAQQAE=&amp;Tipo=2&amp;ST=1&amp;nLang=0</t>
  </si>
  <si>
    <t>https://www.clickideacore.com/ClickHTML5/Visit.aspx?ID=//5BDAEwASwAzADgANAA1ADYAOQA2ADQASQBEAEUAQQA9=&amp;Tipo=2&amp;ST=1&amp;nLang=0</t>
  </si>
  <si>
    <t>https://www.clickideacore.com/ClickHTML5/Visit.aspx?ID=//5DDAEwASwAzADgANAA1ADcAMAA1ADUASQBEAEUAQQAC=&amp;Tipo=2&amp;ST=1&amp;nLang=0</t>
  </si>
  <si>
    <t>https://www.clickideacore.com/ClickHTML5/Visit.aspx?ID=//5EDAEwASwAzADgANAA1ADUANwA2ADEASQBEAEUAQQA0=&amp;Tipo=2&amp;ST=1&amp;nLang=0</t>
  </si>
  <si>
    <t>https://www.clickideacore.com/ClickHTML5/Visit.aspx?ID=//5ADAEwASwAzADgANAA4ADAANQA1ADkASQBEAEUAQQA6=&amp;Tipo=2&amp;ST=1&amp;nLang=0</t>
  </si>
  <si>
    <t>https://www.clickideacore.com/ClickHTML5/Visit.aspx?ID=//5EDAEwASwAzADgANAA3ADkANAA1ADQASQBEAEUAQQA0=&amp;Tipo=2&amp;ST=1&amp;nLang=0</t>
  </si>
  <si>
    <t>https://www.clickideacore.com/ClickHTML5/Visit.aspx?ID=//5DDAEwASwAzADgANAA4ADEANQA3ADQASQBEAEUAQQAF=&amp;Tipo=2&amp;ST=1&amp;nLang=0</t>
  </si>
  <si>
    <t>https://www.clickideacore.com/ClickHTML5/Visit.aspx?ID=//56DAEwASwAzADgANAA4ADgANAA0ADUASQBEAEUAQQAF=&amp;Tipo=2&amp;ST=1&amp;nLang=0</t>
  </si>
  <si>
    <t>https://www.clickideacore.com/ClickHTML5/Visit.aspx?ID=//5CDAEwASwAzADgANQAxADAAOAA4ADYASQBEAEUAQQA6=&amp;Tipo=2&amp;ST=1&amp;nLang=0</t>
  </si>
  <si>
    <t>https://www.clickideacore.com/ClickHTML5/Visit.aspx?ID=//54DAEwASwAzADgANAA5ADkAMQA2ADgASQBEAEUAQQAE=&amp;Tipo=2&amp;ST=1&amp;nLang=0</t>
  </si>
  <si>
    <t>https://www.clickideacore.com/ClickHTML5/Visit.aspx?ID=//5ADAEwASwAzADgANQAwADAANQA2ADUASQBEAEUAQQA8=&amp;Tipo=2&amp;ST=1&amp;nLang=0</t>
  </si>
  <si>
    <t>OP-S-77</t>
  </si>
  <si>
    <t>https://www.clickideacore.com/ClickHTML5/Visit.aspx?ID=//5EDAEwASwAzADgANQAwADcAOQAxADkASQBEAEUAQQA0=&amp;Tipo=2&amp;ST=1&amp;nLang=0</t>
  </si>
  <si>
    <t>OP-S-200</t>
  </si>
  <si>
    <t>https://www.clickideacore.com/ClickHTML5/Visit.aspx?ID=//50DAEwASwAzADgANAA5ADgANQA2ADAASQBEAEUAQQA4=&amp;Tipo=2&amp;ST=1&amp;nLang=0</t>
  </si>
  <si>
    <t>https://www.clickideacore.com/ClickHTML5/Visit.aspx?ID=//55DAEwASwAzADgANQAwADYAOAA3ADIASQBEAEUAQQAA=&amp;Tipo=2&amp;ST=1&amp;nLang=0</t>
  </si>
  <si>
    <t>https://www.clickideacore.com/ClickHTML5/Visit.aspx?ID=//55DAEwASwAzADgANQAwADEAOQA2ADcASQBEAEUAQQA9=&amp;Tipo=2&amp;ST=1&amp;nLang=0</t>
  </si>
  <si>
    <t>https://www.clickideacore.com/ClickHTML5/Visit.aspx?ID=//56DAEwASwAzADgANQAwADMANAA5ADUASQBEAEUAQQAB=&amp;Tipo=2&amp;ST=1&amp;nLang=0</t>
  </si>
  <si>
    <t>https://www.clickideacore.com/ClickHTML5/Visit.aspx?ID=//56DAEwASwAzADgANQAwADAANwAzADcASQBEAEUAQQAA=&amp;Tipo=2&amp;ST=1&amp;nLang=0</t>
  </si>
  <si>
    <t>https://www.clickideacore.com/ClickHTML5/Visit.aspx?ID=//50DAEwASwAzADgANQAwADAAOQAyADAASQBEAEUAQQA7=&amp;Tipo=2&amp;ST=1&amp;nLang=0</t>
  </si>
  <si>
    <t>https://www.clickideacore.com/ClickHTML5/Visit.aspx?ID=//5DDAEwASwAzADgANQAwADUAMgA4ADAASQBEAEUAQQA1=&amp;Tipo=2&amp;ST=1&amp;nLang=0</t>
  </si>
  <si>
    <t>https://www.clickideacore.com/ClickHTML5/Visit.aspx?ID=//50DAEwASwAzADgANAA5ADYANwAzADgASQBEAEUAQQAF=&amp;Tipo=2&amp;ST=1&amp;nLang=0</t>
  </si>
  <si>
    <t>https://www.clickideacore.com/ClickHTML5/Visit.aspx?ID=//55DAEwASwAzADgANQAwADYAMgAwADMASQBEAEUAQQA5=&amp;Tipo=2&amp;ST=1&amp;nLang=0</t>
  </si>
  <si>
    <t>https://www.clickideacore.com/ClickHTML5/Visit.aspx?ID=//5DDAEwASwAzADgANQAxADEAMgA3ADkASQBEAEUAQQA3=&amp;Tipo=2&amp;ST=1&amp;nLang=0</t>
  </si>
  <si>
    <t>https://www.clickideacore.com/ClickHTML5/Visit.aspx?ID=//5DDAEwASwAzADgANQAxADAAMwAxADUASQBEAEUAQQA4=&amp;Tipo=2&amp;ST=1&amp;nLang=0</t>
  </si>
  <si>
    <t>https://www.clickideacore.com/ClickHTML5/Visit.aspx?ID=//5FDAEwASwAzADgANQAwADAANAAyADMASQBEAEUAQQA8=&amp;Tipo=2&amp;ST=1&amp;nLang=0</t>
  </si>
  <si>
    <t>https://www.clickideacore.com/ClickHTML5/Visit.aspx?ID=//5DDAEwASwAzADgANQAzADQAMwA4ADYASQBEAEUAQQAF=&amp;Tipo=2&amp;ST=1&amp;nLang=0</t>
  </si>
  <si>
    <t>https://www.clickideacore.com/ClickHTML5/Visit.aspx?ID=//56DAEwASwAzADgANQAyADEAMAA0ADIASQBEAEUAQQAA=&amp;Tipo=2&amp;ST=1&amp;nLang=0</t>
  </si>
  <si>
    <t>https://www.clickideacore.com/ClickHTML5/Visit.aspx?ID=//55DAEwASwAzADgANQAzADUANAA5ADkASQBEAEUAQQAC=&amp;Tipo=2&amp;ST=1&amp;nLang=0</t>
  </si>
  <si>
    <t>https://www.clickideacore.com/ClickHTML5/Visit.aspx?ID=//5CDAEwASwAzADgANQAyADcAMQA1ADkASQBEAEUAQQA5=&amp;Tipo=2&amp;ST=1&amp;nLang=0</t>
  </si>
  <si>
    <t>https://www.clickideacore.com/ClickHTML5/Visit.aspx?ID=//5FDAEwASwAzADgANQAyADcAMQA1ADIASQBEAEUAQQA3=&amp;Tipo=2&amp;ST=1&amp;nLang=0</t>
  </si>
  <si>
    <t>https://www.clickideacore.com/ClickHTML5/Visit.aspx?ID=//5ADAEwASwAzADgANQAzADEAMAA0ADcASQBEAEUAQQA8=&amp;Tipo=2&amp;ST=1&amp;nLang=0</t>
  </si>
  <si>
    <t>https://www.clickideacore.com/ClickHTML5/Visit.aspx?ID=//50DAEwASwAzADgANQAyADMANgA5ADkASQBEAEUAQQAF=&amp;Tipo=2&amp;ST=1&amp;nLang=0</t>
  </si>
  <si>
    <t>https://www.clickideacore.com/ClickHTML5/Visit.aspx?ID=//50DAEwASwAzADgANQAyADcANwAxADgASQBEAEUAQQA5=&amp;Tipo=2&amp;ST=1&amp;nLang=0</t>
  </si>
  <si>
    <t>https://www.clickideacore.com/ClickHTML5/Visit.aspx?ID=//59DAEwASwAzADgANQAxADkAOQA1ADQASQBEAEUAQQA4=&amp;Tipo=2&amp;ST=1&amp;nLang=0</t>
  </si>
  <si>
    <t>https://www.clickideacore.com/ClickHTML5/Visit.aspx?ID=//5BDAEwASwAzADgANQAyADkAOQA1ADkASQBEAEUAQQA1=&amp;Tipo=2&amp;ST=1&amp;nLang=0</t>
  </si>
  <si>
    <t>https://www.clickideacore.com/ClickHTML5/Visit.aspx?ID=//50DAEwASwAzADgANQAzADMAMQAzADgASQBEAEUAQQAC=&amp;Tipo=2&amp;ST=1&amp;nLang=0</t>
  </si>
  <si>
    <t>https://www.clickideacore.com/ClickHTML5/Visit.aspx?ID=//5ADAEwASwAzADgANQAzADIANwA4ADAASQBEAEUAQQAC=&amp;Tipo=2&amp;ST=1&amp;nLang=0</t>
  </si>
  <si>
    <t>https://www.clickideacore.com/ClickHTML5/Visit.aspx?ID=//5ADAEwASwAzADgANQAyADAAMQAxADgASQBEAEUAQQA4=&amp;Tipo=2&amp;ST=1&amp;nLang=0</t>
  </si>
  <si>
    <t>https://www.clickideacore.com/ClickHTML5/Visit.aspx?ID=//50DAEwASwAzADgANQA1ADcAOAAzADgASQBEAEUAQQAD=&amp;Tipo=2&amp;ST=1&amp;nLang=0</t>
  </si>
  <si>
    <t>https://www.clickideacore.com/ClickHTML5/Visit.aspx?ID=//55DAEwASwAzADgANQA0ADYAOQA1ADUASQBEAEUAQQAC=&amp;Tipo=2&amp;ST=1&amp;nLang=0</t>
  </si>
  <si>
    <t>Claudio Garrido</t>
  </si>
  <si>
    <t>https://www.clickideacore.com/ClickHTML5/Visit.aspx?ID=//50DAEwASwAzADgANQA0ADQANQAxADUASQBEAEUAQQAF=&amp;Tipo=2&amp;ST=1&amp;nLang=0</t>
  </si>
  <si>
    <t>https://www.clickideacore.com/ClickHTML5/Visit.aspx?ID=//5CDAEwASwAzADgANQA0ADkANwA3ADQASQBEAEUAQQA0=&amp;Tipo=2&amp;ST=1&amp;nLang=0</t>
  </si>
  <si>
    <t>https://www.clickideacore.com/ClickHTML5/Visit.aspx?ID=//57DAEwASwAzADgANQA1ADEAMQA2ADcASQBEAEUAQQA4=&amp;Tipo=2&amp;ST=1&amp;nLang=0</t>
  </si>
  <si>
    <t>https://www.clickideacore.com/ClickHTML5/Visit.aspx?ID=//5BDAEwASwAzADgANQA1ADEAMgA4ADEASQBEAEUAQQAF=&amp;Tipo=2&amp;ST=1&amp;nLang=0</t>
  </si>
  <si>
    <t>https://www.clickideacore.com/ClickHTML5/Visit.aspx?ID=//58DAEwASwAzADgANQA1ADEAOQAwADgASQBEAEUAQQAD=&amp;Tipo=2&amp;ST=1&amp;nLang=0</t>
  </si>
  <si>
    <t>https://www.clickideacore.com/ClickHTML5/Visit.aspx?ID=//59DAEwASwAzADgANQA2ADAAMAAyADMASQBEAEUAQQA3=&amp;Tipo=2&amp;ST=1&amp;nLang=0</t>
  </si>
  <si>
    <t>https://www.clickideacore.com/ClickHTML5/Visit.aspx?ID=//5FDAEwASwAzADgANQA0ADcAMAA2ADYASQBEAEUAQQAD=&amp;Tipo=2&amp;ST=1&amp;nLang=0</t>
  </si>
  <si>
    <t>https://www.clickideacore.com/ClickHTML5/Visit.aspx?ID=//5BDAEwASwAzADgANQA1ADAAMAA0ADIASQBEAEUAQQA7=&amp;Tipo=2&amp;ST=1&amp;nLang=0</t>
  </si>
  <si>
    <t>https://www.clickideacore.com/ClickHTML5/Visit.aspx?ID=//5ADAEwASwAzADgANQA0ADUANQAxADgASQBEAEUAQQA5=&amp;Tipo=2&amp;ST=1&amp;nLang=0</t>
  </si>
  <si>
    <t>https://www.clickideacore.com/ClickHTML5/Visit.aspx?ID=//5ADAEwASwAzADgANQA1ADMAMAA4ADcASQBEAEUAQQA9=&amp;Tipo=2&amp;ST=1&amp;nLang=0</t>
  </si>
  <si>
    <t>https://www.clickideacore.com/ClickHTML5/Visit.aspx?ID=//55DAEwASwAzADgANQA1ADYAMgA4ADUASQBEAEUAQQAA=&amp;Tipo=2&amp;ST=1&amp;nLang=0</t>
  </si>
  <si>
    <t>https://www.clickideacore.com/ClickHTML5/Visit.aspx?ID=//5CDAEwASwAzADgANQA1ADMAOQA2ADYASQBEAEUAQQAE=&amp;Tipo=2&amp;ST=1&amp;nLang=0</t>
  </si>
  <si>
    <t>https://www.clickideacore.com/ClickHTML5/Visit.aspx?ID=//58DAEwASwAzADgANQA0ADQAMAA2ADUASQBEAEUAQQA1=&amp;Tipo=2&amp;ST=1&amp;nLang=0</t>
  </si>
  <si>
    <t>https://www.clickideacore.com/ClickHTML5/Visit.aspx?ID=//51DAEwASwAzADgANQA4ADEAMgA3ADUASQBEAEUAQQA5=&amp;Tipo=2&amp;ST=1&amp;nLang=0</t>
  </si>
  <si>
    <t>https://www.clickideacore.com/ClickHTML5/Visit.aspx?ID=//5EDAEwASwAzADgANQA3ADEAMAA1ADUASQBEAEUAQQA2=&amp;Tipo=2&amp;ST=1&amp;nLang=0</t>
  </si>
  <si>
    <t>https://www.clickideacore.com/ClickHTML5/Visit.aspx?ID=//55DAEwASwAzADgANQA3ADkAMAA0ADIASQBEAEUAQQAD=&amp;Tipo=2&amp;ST=1&amp;nLang=0</t>
  </si>
  <si>
    <t>https://www.clickideacore.com/ClickHTML5/Visit.aspx?ID=//53DAEwASwAzADgANQA3ADYAOAA3ADcASQBEAEUAQQAB=&amp;Tipo=2&amp;ST=1&amp;nLang=0</t>
  </si>
  <si>
    <t>https://www.clickideacore.com/ClickHTML5/Visit.aspx?ID=//5DDAEwASwAzADgANQA3ADMANgA3ADMASQBEAEUAQQAC=&amp;Tipo=2&amp;ST=1&amp;nLang=0</t>
  </si>
  <si>
    <t>https://www.clickideacore.com/ClickHTML5/Visit.aspx?ID=//57DAEwASwAzADgANQA3ADMAMAA4ADkASQBEAEUAQQA6=&amp;Tipo=2&amp;ST=1&amp;nLang=0</t>
  </si>
  <si>
    <t>https://www.clickideacore.com/ClickHTML5/Visit.aspx?ID=//50DAEwASwAzADgANQA3ADkANwA0ADQASQBEAEUAQQA8=&amp;Tipo=2&amp;ST=1&amp;nLang=0</t>
  </si>
  <si>
    <t>https://www.clickideacore.com/ClickHTML5/Visit.aspx?ID=//56DAEwASwAzADgANQA3ADIAOQAyADkASQBEAEUAQQA4=&amp;Tipo=2&amp;ST=1&amp;nLang=0</t>
  </si>
  <si>
    <t>https://www.clickideacore.com/ClickHTML5/Visit.aspx?ID=//5DDAEwASwAzADgANQA3ADIAOAA4ADYASQBEAEUAQQA7=&amp;Tipo=2&amp;ST=1&amp;nLang=0</t>
  </si>
  <si>
    <t>https://www.clickideacore.com/ClickHTML5/Visit.aspx?ID=//52DAEwASwAzADgANQA2ADYANgA2ADgASQBEAEUAQQAE=&amp;Tipo=2&amp;ST=1&amp;nLang=0</t>
  </si>
  <si>
    <t>https://www.clickideacore.com/ClickHTML5/Visit.aspx?ID=//5FDAEwASwAzADgANQA3ADQANgA3ADMASQBEAEUAQQA1=&amp;Tipo=2&amp;ST=1&amp;nLang=0</t>
  </si>
  <si>
    <t>https://www.clickideacore.com/ClickHTML5/Visit.aspx?ID=//51DAEwASwAzADgANQA4ADAAMgAzADgASQBEAEUAQQA9=&amp;Tipo=2&amp;ST=1&amp;nLang=0</t>
  </si>
  <si>
    <t>https://www.clickideacore.com/ClickHTML5/Visit.aspx?ID=//58DAEwASwAzADgANQA3ADIANwAzADYASQBEAEUAQQAD=&amp;Tipo=2&amp;ST=1&amp;nLang=0</t>
  </si>
  <si>
    <t>https://www.clickideacore.com/ClickHTML5/Visit.aspx?ID=//58DAEwASwAzADgANQA2ADgAOQA5ADQASQBEAEUAQQA4=&amp;Tipo=2&amp;ST=1&amp;nLang=0</t>
  </si>
  <si>
    <t>https://www.clickideacore.com/ClickHTML5/Visit.aspx?ID=//52DAEwASwAzADgANgAwADIAOQA5ADQASQBEAEUAQQAB=&amp;Tipo=2&amp;ST=1&amp;nLang=0</t>
  </si>
  <si>
    <t>https://www.clickideacore.com/ClickHTML5/Visit.aspx?ID=//5DDAEwASwAzADgANQA5ADUAMAA3ADYASQBEAEUAQQAD=&amp;Tipo=2&amp;ST=1&amp;nLang=0</t>
  </si>
  <si>
    <t>https://www.clickideacore.com/ClickHTML5/Visit.aspx?ID=//56DAEwASwAzADgANQA5ADUAMwAzADgASQBEAEUAQQA1=&amp;Tipo=2&amp;ST=1&amp;nLang=0</t>
  </si>
  <si>
    <t>https://www.clickideacore.com/ClickHTML5/Visit.aspx?ID=//50DAEwASwAzADgANQA5ADEAOQAxADUASQBEAEUAQQAB=&amp;Tipo=2&amp;ST=1&amp;nLang=0</t>
  </si>
  <si>
    <t>https://www.clickideacore.com/ClickHTML5/Visit.aspx?ID=//5DDAEwASwAzADgANQA5ADkAOAA0ADkASQBEAEUAQQAB=&amp;Tipo=2&amp;ST=1&amp;nLang=0</t>
  </si>
  <si>
    <t>https://www.clickideacore.com/ClickHTML5/Visit.aspx?ID=//5FDAEwASwAzADgANQA5ADkAMgAwADUASQBEAEUAQQAB=&amp;Tipo=2&amp;ST=1&amp;nLang=0</t>
  </si>
  <si>
    <t>https://www.clickideacore.com/ClickHTML5/Visit.aspx?ID=//5DDAEwASwAzADgANQA5ADgANwA3ADYASQBEAEUAQQA9=&amp;Tipo=2&amp;ST=1&amp;nLang=0</t>
  </si>
  <si>
    <t>https://www.clickideacore.com/ClickHTML5/Visit.aspx?ID=//5EDAEwASwAzADgANgAwADMAMAAzADEASQBEAEUAQQA7=&amp;Tipo=2&amp;ST=1&amp;nLang=0</t>
  </si>
  <si>
    <t>https://www.clickideacore.com/ClickHTML5/Visit.aspx?ID=//55DAEwASwAzADgANQA5ADMAMQA4ADYASQBEAEUAQQA2=&amp;Tipo=2&amp;ST=1&amp;nLang=0</t>
  </si>
  <si>
    <t>https://www.clickideacore.com/ClickHTML5/Visit.aspx?ID=//59DAEwASwAzADgANgAwADMANQAzADUASQBEAEUAQQA4=&amp;Tipo=2&amp;ST=1&amp;nLang=0</t>
  </si>
  <si>
    <t>https://www.clickideacore.com/ClickHTML5/Visit.aspx?ID=//59DAEwASwAzADgANQA5ADgAOAAwADgASQBEAEUAQQAE=&amp;Tipo=2&amp;ST=1&amp;nLang=0</t>
  </si>
  <si>
    <t>https://www.clickideacore.com/ClickHTML5/Visit.aspx?ID=//5EDAEwASwAzADgANQA5ADEAMwA3ADcASQBEAEUAQQA8=&amp;Tipo=2&amp;ST=1&amp;nLang=0</t>
  </si>
  <si>
    <t>https://www.clickideacore.com/ClickHTML5/Visit.aspx?ID=//5FDAEwASwAzADgANQA5ADgANAA5ADAASQBEAEUAQQA8=&amp;Tipo=2&amp;ST=1&amp;nLang=0</t>
  </si>
  <si>
    <t>https://www.clickideacore.com/ClickHTML5/Visit.aspx?ID=//5BDAEwASwAzADgANgAwADMAOAAzADgASQBEAEUAQQAB=&amp;Tipo=2&amp;ST=1&amp;nLang=0</t>
  </si>
  <si>
    <t>https://www.clickideacore.com/ClickHTML5/Visit.aspx?ID=//54DAEwASwAzADgANQA5ADQANQA2ADMASQBEAEUAQQA3=&amp;Tipo=2&amp;ST=1&amp;nLang=0</t>
  </si>
  <si>
    <t>https://www.clickideacore.com/ClickHTML5/Visit.aspx?ID=//5ADAEwASwAzADgANQA5ADIANQA2ADMASQBEAEUAQQAC=&amp;Tipo=2&amp;ST=1&amp;nLang=0</t>
  </si>
  <si>
    <t>https://www.clickideacore.com/ClickHTML5/Visit.aspx?ID=//55DAEwASwAzADgANgAxADgAMgAxADkASQBEAEUAQQAC=&amp;Tipo=2&amp;ST=1&amp;nLang=0</t>
  </si>
  <si>
    <t>https://www.clickideacore.com/ClickHTML5/Visit.aspx?ID=//59DAEwASwAzADgANgAyADAAMwAxADkASQBEAEUAQQA4=&amp;Tipo=2&amp;ST=1&amp;nLang=0</t>
  </si>
  <si>
    <t>https://www.clickideacore.com/ClickHTML5/Visit.aspx?ID=//55DAEwASwAzADgANgAyADYANQA2ADkASQBEAEUAQQAA=&amp;Tipo=2&amp;ST=1&amp;nLang=0</t>
  </si>
  <si>
    <t>https://www.clickideacore.com/ClickHTML5/Visit.aspx?ID=//54DAEwASwAzADgANgA0ADkANQAzADkASQBEAEUAQQAA=&amp;Tipo=2&amp;ST=1&amp;nLang=0</t>
  </si>
  <si>
    <t>https://www.clickideacore.com/ClickHTML5/Visit.aspx?ID=//53DAEwASwAzADgANgAzADkAMAA3ADYASQBEAEUAQQAA=&amp;Tipo=2&amp;ST=1&amp;nLang=0</t>
  </si>
  <si>
    <t>https://www.clickideacore.com/ClickHTML5/Visit.aspx?ID=//57DAEwASwAzADgANgA0ADkAMAA3ADEASQBEAEUAQQA0=&amp;Tipo=2&amp;ST=1&amp;nLang=0</t>
  </si>
  <si>
    <t>https://www.clickideacore.com/ClickHTML5/Visit.aspx?ID=//54DAEwASwAzADgANgA0ADUANQA5ADgASQBEAEUAQQA4=&amp;Tipo=2&amp;ST=1&amp;nLang=0</t>
  </si>
  <si>
    <t>https://www.clickideacore.com/ClickHTML5/Visit.aspx?ID=//59DAEwASwAzADgANgA0ADMAMgAzADQASQBEAEUAQQAA=&amp;Tipo=2&amp;ST=1&amp;nLang=0</t>
  </si>
  <si>
    <t>https://www.clickideacore.com/ClickHTML5/Visit.aspx?ID=//51DAEwASwAzADgANgA0ADcAMwAyADEASQBEAEUAQQA8=&amp;Tipo=2&amp;ST=1&amp;nLang=0</t>
  </si>
  <si>
    <t>https://www.clickideacore.com/ClickHTML5/Visit.aspx?ID=//55DAEwASwAzADgANgAzADYAMgA2ADAASQBEAEUAQQAB=&amp;Tipo=2&amp;ST=1&amp;nLang=0</t>
  </si>
  <si>
    <t>https://www.clickideacore.com/ClickHTML5/Visit.aspx?ID=//53DAEwASwAzADgANgAzADkAMAAyADkASQBEAEUAQQA0=&amp;Tipo=2&amp;ST=1&amp;nLang=0</t>
  </si>
  <si>
    <t>https://www.clickideacore.com/ClickHTML5/Visit.aspx?ID=//5BDAEwASwAzADgANgA0ADEANAA4ADgASQBEAEUAQQA5=&amp;Tipo=2&amp;ST=1&amp;nLang=0</t>
  </si>
  <si>
    <t>https://www.clickideacore.com/ClickHTML5/Visit.aspx?ID=//5EDAEwASwAzADgANgA0ADYAOQAzADQASQBEAEUAQQA7=&amp;Tipo=2&amp;ST=1&amp;nLang=0</t>
  </si>
  <si>
    <t>https://www.clickideacore.com/ClickHTML5/Visit.aspx?ID=//53DAEwASwAzADgANgAzADUAOQAwADMASQBEAEUAQQA5=&amp;Tipo=2&amp;ST=1&amp;nLang=0</t>
  </si>
  <si>
    <t>https://www.clickideacore.com/ClickHTML5/Visit.aspx?ID=//5FDAEwASwAzADgANgA0ADAAOAAwADkASQBEAEUAQQAB=&amp;Tipo=2&amp;ST=1&amp;nLang=0</t>
  </si>
  <si>
    <t>https://www.clickideacore.com/ClickHTML5/Visit.aspx?ID=//52DAEwASwAzADgANgA0ADkANQA3ADcASQBEAEUAQQA5=&amp;Tipo=2&amp;ST=1&amp;nLang=0</t>
  </si>
  <si>
    <t>https://www.clickideacore.com/ClickHTML5/Visit.aspx?ID=//58DAEwASwAzADgANgA0ADMAMgAyADQASQBEAEUAQQA8=&amp;Tipo=2&amp;ST=1&amp;nLang=0</t>
  </si>
  <si>
    <t>https://www.clickideacore.com/ClickHTML5/Visit.aspx?ID=//58DAEwASwAzADgANgAzADYANQAxADIASQBEAEUAQQAB=&amp;Tipo=2&amp;ST=1&amp;nLang=0</t>
  </si>
  <si>
    <t>https://www.clickideacore.com/ClickHTML5/Visit.aspx?ID=//5FDAEwASwAzADgANgA3ADQAMQA4ADYASQBEAEUAQQA9=&amp;Tipo=2&amp;ST=1&amp;nLang=0</t>
  </si>
  <si>
    <t>https://www.clickideacore.com/ClickHTML5/Visit.aspx?ID=//51DAEwASwAzADgANgA3ADAANgAyADkASQBEAEUAQQA8=&amp;Tipo=2&amp;ST=1&amp;nLang=0</t>
  </si>
  <si>
    <t>https://www.clickideacore.com/ClickHTML5/Visit.aspx?ID=//58DAEwASwAzADgANgA2ADcAMAA0ADIASQBEAEUAQQA1=&amp;Tipo=2&amp;ST=1&amp;nLang=0</t>
  </si>
  <si>
    <t>https://www.clickideacore.com/ClickHTML5/Visit.aspx?ID=//56DAEwASwAzADgANgA2ADgAMwAwADMASQBEAEUAQQAE=&amp;Tipo=2&amp;ST=1&amp;nLang=0</t>
  </si>
  <si>
    <t>https://www.clickideacore.com/ClickHTML5/Visit.aspx?ID=//59DAEwASwAzADgANgA2ADIANwA3ADYASQBEAEUAQQA4=&amp;Tipo=2&amp;ST=1&amp;nLang=0</t>
  </si>
  <si>
    <t>https://www.clickideacore.com/ClickHTML5/Visit.aspx?ID=//56DAEwASwAzADgANgA2ADIAOAA3ADEASQBEAEUAQQAD=&amp;Tipo=2&amp;ST=1&amp;nLang=0</t>
  </si>
  <si>
    <t>https://www.clickideacore.com/ClickHTML5/Visit.aspx?ID=//5DDAEwASwAzADgANgA2ADYAMQA1ADYASQBEAEUAQQA4=&amp;Tipo=2&amp;ST=1&amp;nLang=0</t>
  </si>
  <si>
    <t>https://www.clickideacore.com/ClickHTML5/Visit.aspx?ID=//50DAEwASwAzADgANgA2ADgANQA2ADcASQBEAEUAQQAB=&amp;Tipo=2&amp;ST=1&amp;nLang=0</t>
  </si>
  <si>
    <t>https://www.clickideacore.com/ClickHTML5/Visit.aspx?ID=//5CDAEwASwAzADgANgA3ADMANwAxADYASQBEAEUAQQA4=&amp;Tipo=2&amp;ST=1&amp;nLang=0</t>
  </si>
  <si>
    <t>https://www.clickideacore.com/ClickHTML5/Visit.aspx?ID=//53DAEwASwAzADgANgA2ADYANwA0ADcASQBEAEUAQQAC=&amp;Tipo=2&amp;ST=1&amp;nLang=0</t>
  </si>
  <si>
    <t>https://www.clickideacore.com/ClickHTML5/Visit.aspx?ID=//5BDAEwASwAzADgANgA3ADQAMwA1ADAASQBEAEUAQQAB=&amp;Tipo=2&amp;ST=1&amp;nLang=0</t>
  </si>
  <si>
    <t>https://www.clickideacore.com/ClickHTML5/Visit.aspx?ID=//54DAEwASwAzADgANgA3ADMAMwA4ADMASQBEAEUAQQAD=&amp;Tipo=2&amp;ST=1&amp;nLang=0</t>
  </si>
  <si>
    <t>OP-S-107</t>
  </si>
  <si>
    <t>https://www.clickideacore.com/ClickHTML5/Visit.aspx?ID=//5ADAEwASwAzADgANgA5ADkAMAAxADUASQBEAEUAQQAB=&amp;Tipo=2&amp;ST=1&amp;nLang=0</t>
  </si>
  <si>
    <t>https://www.clickideacore.com/ClickHTML5/Visit.aspx?ID=//5CDAEwASwAzADgANgA4ADYANQAzADkASQBEAEUAQQAE=&amp;Tipo=2&amp;ST=1&amp;nLang=0</t>
  </si>
  <si>
    <t>https://www.clickideacore.com/ClickHTML5/Visit.aspx?ID=//5ADAEwASwAzADgANgA5ADcANgAyADUASQBEAEUAQQA3=&amp;Tipo=2&amp;ST=1&amp;nLang=0</t>
  </si>
  <si>
    <t>https://www.clickideacore.com/ClickHTML5/Visit.aspx?ID=//5ADAEwASwAzADgANgA5ADAAMQA1ADYASQBEAEUAQQAC=&amp;Tipo=2&amp;ST=1&amp;nLang=0</t>
  </si>
  <si>
    <t>https://www.clickideacore.com/ClickHTML5/Visit.aspx?ID=//57DAEwASwAzADgANgA5ADIANwA0ADAASQBEAEUAQQAE=&amp;Tipo=2&amp;ST=1&amp;nLang=0</t>
  </si>
  <si>
    <t>https://www.clickideacore.com/ClickHTML5/Visit.aspx?ID=//51DAEwASwAzADgANgA4ADgAMAA3ADcASQBEAEUAQQAB=&amp;Tipo=2&amp;ST=1&amp;nLang=0</t>
  </si>
  <si>
    <t>https://www.clickideacore.com/ClickHTML5/Visit.aspx?ID=//50DAEwASwAzADgANgA5ADIANgA2ADYASQBEAEUAQQA8=&amp;Tipo=2&amp;ST=1&amp;nLang=0</t>
  </si>
  <si>
    <t>https://www.clickideacore.com/ClickHTML5/Visit.aspx?ID=//5CDAEwASwAzADgANgA4ADkAMwA1ADIASQBEAEUAQQAD=&amp;Tipo=2&amp;ST=1&amp;nLang=0</t>
  </si>
  <si>
    <t>https://www.clickideacore.com/ClickHTML5/Visit.aspx?ID=//5BDAEwASwAzADgANgA4ADYANQAzADYASQBEAEUAQQA6=&amp;Tipo=2&amp;ST=1&amp;nLang=0</t>
  </si>
  <si>
    <t>https://www.clickideacore.com/ClickHTML5/Visit.aspx?ID=//5CDAEwASwAzADgANgA4ADcAOQA5ADYASQBEAEUAQQAB=&amp;Tipo=2&amp;ST=1&amp;nLang=0</t>
  </si>
  <si>
    <t>https://www.clickideacore.com/ClickHTML5/Visit.aspx?ID=//5CDAEwASwAzADgANgA5ADMANQA3ADUASQBEAEUAQQAD=&amp;Tipo=2&amp;ST=1&amp;nLang=0</t>
  </si>
  <si>
    <t>https://www.clickideacore.com/ClickHTML5/Visit.aspx?ID=//57DAEwASwAzADgANgA4ADUANwA4ADAASQBEAEUAQQAA=&amp;Tipo=2&amp;ST=1&amp;nLang=0</t>
  </si>
  <si>
    <t>https://www.clickideacore.com/ClickHTML5/Visit.aspx?ID=//54DAEwASwAzADgANgA3ADUANgA2ADkASQBEAEUAQQA9=&amp;Tipo=2&amp;ST=1&amp;nLang=0</t>
  </si>
  <si>
    <t>https://www.clickideacore.com/ClickHTML5/Visit.aspx?ID=//50DAEwASwAzADgANgA5ADEAMAAyADYASQBEAEUAQQAF=&amp;Tipo=2&amp;ST=1&amp;nLang=0</t>
  </si>
  <si>
    <t>https://www.clickideacore.com/ClickHTML5/Visit.aspx?ID=//54DAEwASwAzADgANgA5ADYAMQA5ADQASQBEAEUAQQA7=&amp;Tipo=2&amp;ST=1&amp;nLang=0</t>
  </si>
  <si>
    <t>https://www.clickideacore.com/ClickHTML5/Visit.aspx?ID=//51DAEwASwAzADgANgA5ADcANwA2ADQASQBEAEUAQQA5=&amp;Tipo=2&amp;ST=1&amp;nLang=0</t>
  </si>
  <si>
    <t>https://www.clickideacore.com/ClickHTML5/Visit.aspx?ID=//5BDAEwASwAzADgANgA5ADcAOQAwADEASQBEAEUAQQA2=&amp;Tipo=2&amp;ST=1&amp;nLang=0</t>
  </si>
  <si>
    <t>https://www.clickideacore.com/ClickHTML5/Visit.aspx?ID=//5EDAEwASwAzADgANgA5ADcANQA5ADAASQBEAEUAQQA7=&amp;Tipo=2&amp;ST=1&amp;nLang=0</t>
  </si>
  <si>
    <t>https://www.clickideacore.com/ClickHTML5/Visit.aspx?ID=//58DAEwASwAzADgANwAyADAAOAAyADQASQBEAEUAQQA5=&amp;Tipo=2&amp;ST=1&amp;nLang=0</t>
  </si>
  <si>
    <t>https://www.clickideacore.com/ClickHTML5/Visit.aspx?ID=//52DAEwASwAzADgANwAwADgAOAAyADQASQBEAEUAQQAB=&amp;Tipo=2&amp;ST=1&amp;nLang=0</t>
  </si>
  <si>
    <t>https://www.clickideacore.com/ClickHTML5/Visit.aspx?ID=//57DAEwASwAzADgANwAyADEAMQA3ADUASQBEAEUAQQA7=&amp;Tipo=2&amp;ST=1&amp;nLang=0</t>
  </si>
  <si>
    <t>https://www.clickideacore.com/ClickHTML5/Visit.aspx?ID=//53DAEwASwAzADgANwAxADQAMwAyADMASQBEAEUAQQA0=&amp;Tipo=2&amp;ST=1&amp;nLang=0</t>
  </si>
  <si>
    <t>https://www.clickideacore.com/ClickHTML5/Visit.aspx?ID=//5CDAEwASwAzADgANwAxADkAMAAxADQASQBEAEUAQQA0=&amp;Tipo=2&amp;ST=1&amp;nLang=0</t>
  </si>
  <si>
    <t>https://www.clickideacore.com/ClickHTML5/Visit.aspx?ID=//58DAEwASwAzADgANwAxADUAMAA3ADgASQBEAEUAQQAE=&amp;Tipo=2&amp;ST=1&amp;nLang=0</t>
  </si>
  <si>
    <t>https://www.clickideacore.com/ClickHTML5/Visit.aspx?ID=//5FDAEwASwAzADgANwAxADcANQA4ADkASQBEAEUAQQAA=&amp;Tipo=2&amp;ST=1&amp;nLang=0</t>
  </si>
  <si>
    <t>https://www.clickideacore.com/ClickHTML5/Visit.aspx?ID=//5DDAEwASwAzADgANwAxADQANgAyADMASQBEAEUAQQA8=&amp;Tipo=2&amp;ST=1&amp;nLang=0</t>
  </si>
  <si>
    <t>https://www.clickideacore.com/ClickHTML5/Visit.aspx?ID=//59DAEwASwAzADgANwAxADUAOAAyADgASQBEAEUAQQA1=&amp;Tipo=2&amp;ST=1&amp;nLang=0</t>
  </si>
  <si>
    <t>https://www.clickideacore.com/ClickHTML5/Visit.aspx?ID=//54DAEwASwAzADgANwAwADkAMQA3ADcASQBEAEUAQQAB=&amp;Tipo=2&amp;ST=1&amp;nLang=0</t>
  </si>
  <si>
    <t>https://www.clickideacore.com/ClickHTML5/Visit.aspx?ID=//5ADAEwASwAzADgANwAxADIANQA4ADMASQBEAEUAQQAF=&amp;Tipo=2&amp;ST=1&amp;nLang=0</t>
  </si>
  <si>
    <t>https://www.clickideacore.com/ClickHTML5/Visit.aspx?ID=//5DDAEwASwAzADgANwAyADAAMAA0ADUASQBEAEUAQQA5=&amp;Tipo=2&amp;ST=1&amp;nLang=0</t>
  </si>
  <si>
    <t>https://www.clickideacore.com/ClickHTML5/Visit.aspx?ID=//5BDAEwASwAzADgANwAxADIANQA4ADIASQBEAEUAQQAE=&amp;Tipo=2&amp;ST=1&amp;nLang=0</t>
  </si>
  <si>
    <t>https://www.clickideacore.com/ClickHTML5/Visit.aspx?ID=//54DAEwASwAzADgANwAyADEAOAAyADQASQBEAEUAQQAD=&amp;Tipo=2&amp;ST=1&amp;nLang=0</t>
  </si>
  <si>
    <t>https://www.clickideacore.com/ClickHTML5/Visit.aspx?ID=//57DAEwASwAzADgANwAwADgAMgA2ADYASQBEAEUAQQA1=&amp;Tipo=2&amp;ST=1&amp;nLang=0</t>
  </si>
  <si>
    <t>https://www.clickideacore.com/ClickHTML5/Visit.aspx?ID=//5BDAEwASwAzADgANwA0ADYANQA2ADYASQBEAEUAQQA3=&amp;Tipo=2&amp;ST=1&amp;nLang=0</t>
  </si>
  <si>
    <t>https://www.clickideacore.com/ClickHTML5/Visit.aspx?ID=//51DAEwASwAzADgANwAzADMAMQA0ADMASQBEAEUAQQAA=&amp;Tipo=2&amp;ST=1&amp;nLang=0</t>
  </si>
  <si>
    <t>https://www.clickideacore.com/ClickHTML5/Visit.aspx?ID=//52DAEwASwAzADgANwAzADUAOQA0ADAASQBEAEUAQQAB=&amp;Tipo=2&amp;ST=1&amp;nLang=0</t>
  </si>
  <si>
    <t>https://www.clickideacore.com/ClickHTML5/Visit.aspx?ID=//58DAEwASwAzADgANwAzADkANgA0ADcASQBEAEUAQQAA=&amp;Tipo=2&amp;ST=1&amp;nLang=0</t>
  </si>
  <si>
    <t>https://www.clickideacore.com/ClickHTML5/Visit.aspx?ID=//58DAEwASwAzADgANwA0ADMAMAAyADQASQBEAEUAQQAC=&amp;Tipo=2&amp;ST=1&amp;nLang=0</t>
  </si>
  <si>
    <t>https://www.clickideacore.com/ClickHTML5/Visit.aspx?ID=//5CDAEwASwAzADgANwAzADgAMAA0ADMASQBEAEUAQQA5=&amp;Tipo=2&amp;ST=1&amp;nLang=0</t>
  </si>
  <si>
    <t>https://www.clickideacore.com/ClickHTML5/Visit.aspx?ID=//56DAEwASwAzADgANwAzADEANQA5ADUASQBEAEUAQQA9=&amp;Tipo=2&amp;ST=1&amp;nLang=0</t>
  </si>
  <si>
    <t>https://www.clickideacore.com/ClickHTML5/Visit.aspx?ID=//58DAEwASwAzADgANwAzADYAOQAwADYASQBEAEUAQQA4=&amp;Tipo=2&amp;ST=1&amp;nLang=0</t>
  </si>
  <si>
    <t>https://www.clickideacore.com/ClickHTML5/Visit.aspx?ID=//5BDAEwASwAzADgANwAzADUANgA4ADMASQBEAEUAQQAE=&amp;Tipo=2&amp;ST=1&amp;nLang=0</t>
  </si>
  <si>
    <t>https://www.clickideacore.com/ClickHTML5/Visit.aspx?ID=//51DAEwASwAzADgANwA0ADUAMQA0ADAASQBEAEUAQQA6=&amp;Tipo=2&amp;ST=1&amp;nLang=0</t>
  </si>
  <si>
    <t>https://www.clickideacore.com/ClickHTML5/Visit.aspx?ID=//58DAEwASwAzADgANwAzADIAOAAxADEASQBEAEUAQQAF=&amp;Tipo=2&amp;ST=1&amp;nLang=0</t>
  </si>
  <si>
    <t>https://www.clickideacore.com/ClickHTML5/Visit.aspx?ID=//57DAEwASwAzADgANwA0ADIAMAAyADAASQBEAEUAQQAC=&amp;Tipo=2&amp;ST=1&amp;nLang=0</t>
  </si>
  <si>
    <t>https://www.clickideacore.com/ClickHTML5/Visit.aspx?ID=//55DAEwASwAzADgANwA0ADQANgA2ADQASQBEAEUAQQA7=&amp;Tipo=2&amp;ST=1&amp;nLang=0</t>
  </si>
  <si>
    <t>https://www.clickideacore.com/ClickHTML5/Visit.aspx?ID=//54DAEwASwAzADgANwA0ADAAOAA3ADQASQBEAEUAQQA5=&amp;Tipo=2&amp;ST=1&amp;nLang=0</t>
  </si>
  <si>
    <t>https://www.clickideacore.com/ClickHTML5/Visit.aspx?ID=//5BDAEwASwAzADgANwA0ADYAMwA2ADgASQBEAEUAQQAC=&amp;Tipo=2&amp;ST=1&amp;nLang=0</t>
  </si>
  <si>
    <t>https://www.clickideacore.com/ClickHTML5/Visit.aspx?ID=//5ADAEwASwAzADgANwAzADQAMgAyADkASQBEAEUAQQA3=&amp;Tipo=2&amp;ST=1&amp;nLang=0</t>
  </si>
  <si>
    <t>Descanso</t>
  </si>
  <si>
    <t>D&amp;R</t>
  </si>
  <si>
    <t>https://www.clickideacore.com/ClickHTML5/Visit.aspx?ID=//5FDAEwASwAzADgANwA2ADkANQA2ADgASQBEAEUAQQA6=&amp;Tipo=2&amp;ST=1&amp;nLang=0</t>
  </si>
  <si>
    <t>https://www.clickideacore.com/ClickHTML5/Visit.aspx?ID=//57DAEwASwAzADgANwA3ADAANQAyADUASQBEAEUAQQAE=&amp;Tipo=2&amp;ST=1&amp;nLang=0</t>
  </si>
  <si>
    <t>https://www.clickideacore.com/ClickHTML5/Visit.aspx?ID=//54DAEwASwAzADgANwA5ADMANgA2ADAASQBEAEUAQQA2=&amp;Tipo=2&amp;ST=1&amp;nLang=0</t>
  </si>
  <si>
    <t>https://www.clickideacore.com/ClickHTML5/Visit.aspx?ID=//55DAEwASwAzADgANwA4ADMAMgAyADkASQBEAEUAQQAD=&amp;Tipo=2&amp;ST=1&amp;nLang=0</t>
  </si>
  <si>
    <t>https://www.clickideacore.com/ClickHTML5/Visit.aspx?ID=//5BDAEwASwAzADgANwA4ADYAOAA5ADgASQBEAEUAQQA7=&amp;Tipo=2&amp;ST=1&amp;nLang=0</t>
  </si>
  <si>
    <t>https://www.clickideacore.com/ClickHTML5/Visit.aspx?ID=//56DAEwASwAzADgANwA4ADMANAAyADgASQBEAEUAQQAD=&amp;Tipo=2&amp;ST=1&amp;nLang=0</t>
  </si>
  <si>
    <t>https://www.clickideacore.com/ClickHTML5/Visit.aspx?ID=//55DAEwASwAzADgANwA4ADkANgA0ADYASQBEAEUAQQAF=&amp;Tipo=2&amp;ST=1&amp;nLang=0</t>
  </si>
  <si>
    <t>Rancagua</t>
  </si>
  <si>
    <t>https://www.clickideacore.com/ClickHTML5/Visit.aspx?ID=//5EDAEwASwAzADgANwA4ADgAMQAwADQASQBEAEUAQQA3=&amp;Tipo=2&amp;ST=1&amp;nLang=0</t>
  </si>
  <si>
    <t>https://www.clickideacore.com/ClickHTML5/Visit.aspx?ID=//59DAEwASwAzADgANwA4ADQANwAyADgASQBEAEUAQQA7=&amp;Tipo=2&amp;ST=1&amp;nLang=0</t>
  </si>
  <si>
    <t>https://www.clickideacore.com/ClickHTML5/Visit.aspx?ID=//53DAEwASwAzADgANwA3ADkAMQAxADYASQBEAEUAQQAB=&amp;Tipo=2&amp;ST=1&amp;nLang=0</t>
  </si>
  <si>
    <t>https://www.clickideacore.com/ClickHTML5/Visit.aspx?ID=//54DAEwASwAzADgANwA4ADcANwAxADQASQBEAEUAQQAA=&amp;Tipo=2&amp;ST=1&amp;nLang=0</t>
  </si>
  <si>
    <t>https://www.clickideacore.com/ClickHTML5/Visit.aspx?ID=//55DAEwASwAzADgANwA4ADQAMAAxADAASQBEAEUAQQA0=&amp;Tipo=2&amp;ST=1&amp;nLang=0</t>
  </si>
  <si>
    <t>https://www.clickideacore.com/ClickHTML5/Visit.aspx?ID=//53DAEwASwAzADgANwA4ADYAOQAxADIASQBEAEUAQQA2=&amp;Tipo=2&amp;ST=1&amp;nLang=0</t>
  </si>
  <si>
    <t>https://www.clickideacore.com/ClickHTML5/Visit.aspx?ID=//53DAEwASwAzADgANwA4ADEAMQA0ADYASQBEAEUAQQAB=&amp;Tipo=2&amp;ST=1&amp;nLang=0</t>
  </si>
  <si>
    <t>https://www.clickideacore.com/ClickHTML5/Visit.aspx?ID=//5BDAEwASwAzADgANwA4ADYAMQA2ADAASQBEAEUAQQA8=&amp;Tipo=2&amp;ST=1&amp;nLang=0</t>
  </si>
  <si>
    <t>https://www.clickideacore.com/ClickHTML5/Visit.aspx?ID=//58DAEwASwAzADgANwA5ADMANgA3ADEASQBEAEUAQQA9=&amp;Tipo=2&amp;ST=1&amp;nLang=0</t>
  </si>
  <si>
    <t>https://www.clickideacore.com/ClickHTML5/Visit.aspx?ID=//5BDAEwASwAzADgANwA4ADQANQA5ADkASQBEAEUAQQA9=&amp;Tipo=2&amp;ST=1&amp;nLang=0</t>
  </si>
  <si>
    <t>https://www.clickideacore.com/ClickHTML5/Visit.aspx?ID=//5FDAEwASwAzADgANwA5ADMAMgAxADEASQBEAEUAQQAD=&amp;Tipo=2&amp;ST=1&amp;nLang=0</t>
  </si>
  <si>
    <t>https://www.clickideacore.com/ClickHTML5/Visit.aspx?ID=//5ADAEwASwAzADgANwA4ADEAOQA3ADMASQBEAEUAQQA3=&amp;Tipo=2&amp;ST=1&amp;nLang=0</t>
  </si>
  <si>
    <t>https://www.clickideacore.com/ClickHTML5/Visit.aspx?ID=//58DAEwASwAzADgAOAAxADYAMQAwADIASQBEAEUAQQA5=&amp;Tipo=2&amp;ST=1&amp;nLang=0</t>
  </si>
  <si>
    <t>https://www.clickideacore.com/ClickHTML5/Visit.aspx?ID=//58DAEwASwAzADgAOAAwADMAMQAyADkASQBEAEUAQQAF=&amp;Tipo=2&amp;ST=1&amp;nLang=0</t>
  </si>
  <si>
    <t>https://www.clickideacore.com/ClickHTML5/Visit.aspx?ID=//50DAEwASwAzADgAOAAxADcAMgA2ADYASQBEAEUAQQA5=&amp;Tipo=2&amp;ST=1&amp;nLang=0</t>
  </si>
  <si>
    <t>https://www.clickideacore.com/ClickHTML5/Visit.aspx?ID=//51DAEwASwAzADgAOAAxADQAMQA5ADYASQBEAEUAQQA1=&amp;Tipo=2&amp;ST=1&amp;nLang=0</t>
  </si>
  <si>
    <t>https://www.clickideacore.com/ClickHTML5/Visit.aspx?ID=//5FDAEwASwAzADgAOAAxADUANQAxADEASQBEAEUAQQA7=&amp;Tipo=2&amp;ST=1&amp;nLang=0</t>
  </si>
  <si>
    <t>https://www.clickideacore.com/ClickHTML5/Visit.aspx?ID=//53DAEwASwAzADgAOAAwADgAOAA5ADEASQBEAEUAQQAF=&amp;Tipo=2&amp;ST=1&amp;nLang=0</t>
  </si>
  <si>
    <t>https://www.clickideacore.com/ClickHTML5/Visit.aspx?ID=//59DAEwASwAzADgAOAAwADIAOQAwADQASQBEAEUAQQA0=&amp;Tipo=2&amp;ST=1&amp;nLang=0</t>
  </si>
  <si>
    <t>https://www.clickideacore.com/ClickHTML5/Visit.aspx?ID=//5FDAEwASwAzADgAOAAwADgANQA5ADIASQBEAEUAQQA2=&amp;Tipo=2&amp;ST=1&amp;nLang=0</t>
  </si>
  <si>
    <t>https://www.clickideacore.com/ClickHTML5/Visit.aspx?ID=//53DAEwASwAzADgAOAAxADIANgAyADkASQBEAEUAQQA5=&amp;Tipo=2&amp;ST=1&amp;nLang=0</t>
  </si>
  <si>
    <t>https://www.clickideacore.com/ClickHTML5/Visit.aspx?ID=//53DAEwASwAzADgAOAAwADYANgA5ADYASQBEAEUAQQA4=&amp;Tipo=2&amp;ST=1&amp;nLang=0</t>
  </si>
  <si>
    <t>https://www.clickideacore.com/ClickHTML5/Visit.aspx?ID=//53DAEwASwAzADgAOAAxADEANAAxADQASQBEAEUAQQAA=&amp;Tipo=2&amp;ST=1&amp;nLang=0</t>
  </si>
  <si>
    <t>https://www.clickideacore.com/ClickHTML5/Visit.aspx?ID=//53DAEwASwAzADgAOAAxADYANgA1ADEASQBEAEUAQQAE=&amp;Tipo=2&amp;ST=1&amp;nLang=0</t>
  </si>
  <si>
    <t>https://www.clickideacore.com/ClickHTML5/Visit.aspx?ID=//51DAEwASwAzADgAOAAxADcAMQA2ADAASQBEAEUAQQA6=&amp;Tipo=2&amp;ST=1&amp;nLang=0</t>
  </si>
  <si>
    <t>Sin Operador</t>
  </si>
  <si>
    <t>https://www.clickideacore.com/ClickHTML5/Visit.aspx?ID=//53DAEwASwAzADgAOAA0ADMANgA0ADcASQBEAEUAQQA1=&amp;Tipo=2&amp;ST=1&amp;nLang=0</t>
  </si>
  <si>
    <t>https://www.clickideacore.com/ClickHTML5/Visit.aspx?ID=//56DAEwASwAzADgAOAAzADMANAA4ADUASQBEAEUAQQA2=&amp;Tipo=2&amp;ST=1&amp;nLang=0</t>
  </si>
  <si>
    <t>https://www.clickideacore.com/ClickHTML5/Visit.aspx?ID=//52DAEwASwAzADgAOAAzADUANAAxADAASQBEAEUAQQA8=&amp;Tipo=2&amp;ST=1&amp;nLang=0</t>
  </si>
  <si>
    <t>https://www.clickideacore.com/ClickHTML5/Visit.aspx?ID=//5FDAEwASwAzADgAOAAzADQAMQA0ADcASQBEAEUAQQA7=&amp;Tipo=2&amp;ST=1&amp;nLang=0</t>
  </si>
  <si>
    <t>https://www.clickideacore.com/ClickHTML5/Visit.aspx?ID=//57DAEwASwAzADgAOAAzADAAOQAwADIASQBEAEUAQQA0=&amp;Tipo=2&amp;ST=1&amp;nLang=0</t>
  </si>
  <si>
    <t>https://www.clickideacore.com/ClickHTML5/Visit.aspx?ID=//50DAEwASwAzADgAOAAzADcAOQA4ADYASQBEAEUAQQAE=&amp;Tipo=2&amp;ST=1&amp;nLang=0</t>
  </si>
  <si>
    <t>https://www.clickideacore.com/ClickHTML5/Visit.aspx?ID=//54DAEwASwAzADgAOAAzADMAOQA0ADgASQBEAEUAQQAF=&amp;Tipo=2&amp;ST=1&amp;nLang=0</t>
  </si>
  <si>
    <t>https://www.clickideacore.com/ClickHTML5/Visit.aspx?ID=//5ADAEwASwAzADgAOAAyADkANwA4ADQASQBEAEUAQQAE=&amp;Tipo=2&amp;ST=1&amp;nLang=0</t>
  </si>
  <si>
    <t>https://www.clickideacore.com/ClickHTML5/Visit.aspx?ID=//5FDAEwASwAzADgAOAAzADQAOQA3ADUASQBEAEUAQQAC=&amp;Tipo=2&amp;ST=1&amp;nLang=0</t>
  </si>
  <si>
    <t>https://www.clickideacore.com/ClickHTML5/Visit.aspx?ID=//55DAEwASwAzADgAOAAzADYAMgA2ADQASQBEAEUAQQA7=&amp;Tipo=2&amp;ST=1&amp;nLang=0</t>
  </si>
  <si>
    <t>https://www.clickideacore.com/ClickHTML5/Visit.aspx?ID=//58DAEwASwAzADgAOAA0ADIAOAAzADEASQBEAEUAQQAE=&amp;Tipo=2&amp;ST=1&amp;nLang=0</t>
  </si>
  <si>
    <t>https://www.clickideacore.com/ClickHTML5/Visit.aspx?ID=//5ADAEwASwAzADgAOAAyADkANgA0ADIASQBEAEUAQQA7=&amp;Tipo=2&amp;ST=1&amp;nLang=0</t>
  </si>
  <si>
    <t>https://www.clickideacore.com/ClickHTML5/Visit.aspx?ID=//50DAEwASwAzADgAOAAzADkAMgAxADIASQBEAEUAQQA5=&amp;Tipo=2&amp;ST=1&amp;nLang=0</t>
  </si>
  <si>
    <t>https://www.clickideacore.com/ClickHTML5/Visit.aspx?ID=//57DAEwASwAzADgAOAA0ADIAMAA5ADAASQBEAEUAQQA8=&amp;Tipo=2&amp;ST=1&amp;nLang=0</t>
  </si>
  <si>
    <t>https://www.clickideacore.com/ClickHTML5/Visit.aspx?ID=//55DAEwASwAzADgAOAAzADUANwA4ADQASQBEAEUAQQA9=&amp;Tipo=2&amp;ST=1&amp;nLang=0</t>
  </si>
  <si>
    <t>https://www.clickideacore.com/ClickHTML5/Visit.aspx?ID=//50DAEwASwAzADgAOAAzADYAMAA3ADIASQBEAEUAQQAA=&amp;Tipo=2&amp;ST=1&amp;nLang=0</t>
  </si>
  <si>
    <t>https://www.clickideacore.com/ClickHTML5/Visit.aspx?ID=//5DDAEwASwAzADgAOAAyADgAOQAzADEASQBEAEUAQQA0=&amp;Tipo=2&amp;ST=1&amp;nLang=0</t>
  </si>
  <si>
    <t>https://www.clickideacore.com/ClickHTML5/Visit.aspx?ID=//54DAEwASwAzADgAOAA2ADkAMgAzADkASQBEAEUAQQAE=&amp;Tipo=2&amp;ST=1&amp;nLang=0</t>
  </si>
  <si>
    <t>https://www.clickideacore.com/ClickHTML5/Visit.aspx?ID=//56DAEwASwAzADgAOAA1ADQANwAwADAASQBEAEUAQQA8=&amp;Tipo=2&amp;ST=1&amp;nLang=0</t>
  </si>
  <si>
    <t>https://www.clickideacore.com/ClickHTML5/Visit.aspx?ID=//5FDAEwASwAzADgAOAA2ADkAMAA0ADUASQBEAEUAQQA7=&amp;Tipo=2&amp;ST=1&amp;nLang=0</t>
  </si>
  <si>
    <t>https://www.clickideacore.com/ClickHTML5/Visit.aspx?ID=//59DAEwASwAzADgAOAA1ADcAMgA1ADkASQBEAEUAQQAB=&amp;Tipo=2&amp;ST=1&amp;nLang=0</t>
  </si>
  <si>
    <t>https://www.clickideacore.com/ClickHTML5/Visit.aspx?ID=//55DAEwASwAzADgAOAA1ADkAOAAyADgASQBEAEUAQQA3=&amp;Tipo=2&amp;ST=1&amp;nLang=0</t>
  </si>
  <si>
    <t>https://www.clickideacore.com/ClickHTML5/Visit.aspx?ID=//51DAEwASwAzADgAOAA1ADkAMgA1ADYASQBEAEUAQQA5=&amp;Tipo=2&amp;ST=1&amp;nLang=0</t>
  </si>
  <si>
    <t>https://www.clickideacore.com/ClickHTML5/Visit.aspx?ID=//50DAEwASwAzADgAOAA2ADMANQA5ADIASQBEAEUAQQA3=&amp;Tipo=2&amp;ST=1&amp;nLang=0</t>
  </si>
  <si>
    <t>https://www.clickideacore.com/ClickHTML5/Visit.aspx?ID=//56DAEwASwAzADgAOAA2ADcAOQAxADYASQBEAEUAQQA7=&amp;Tipo=2&amp;ST=1&amp;nLang=0</t>
  </si>
  <si>
    <t>https://www.clickideacore.com/ClickHTML5/Visit.aspx?ID=//51DAEwASwAzADgAOAA2ADIAMwA3ADEASQBEAEUAQQA3=&amp;Tipo=2&amp;ST=1&amp;nLang=0</t>
  </si>
  <si>
    <t>https://www.clickideacore.com/ClickHTML5/Visit.aspx?ID=//5EDAEwASwAzADgAOAA1ADMAOAA3ADAASQBEAEUAQQAB=&amp;Tipo=2&amp;ST=1&amp;nLang=0</t>
  </si>
  <si>
    <t>https://www.clickideacore.com/ClickHTML5/Visit.aspx?ID=//50DAEwASwAzADgAOAA1ADgANgAwADQASQBEAEUAQQAA=&amp;Tipo=2&amp;ST=1&amp;nLang=0</t>
  </si>
  <si>
    <t>https://www.clickideacore.com/ClickHTML5/Visit.aspx?ID=//55DAEwASwAzADgAOAA2ADcANwA2ADgASQBEAEUAQQAC=&amp;Tipo=2&amp;ST=1&amp;nLang=0</t>
  </si>
  <si>
    <t>https://www.clickideacore.com/ClickHTML5/Visit.aspx?ID=//53DAEwASwAzADgAOAA1ADYAMgAyADIASQBEAEUAQQA9=&amp;Tipo=2&amp;ST=1&amp;nLang=0</t>
  </si>
  <si>
    <t>https://www.clickideacore.com/ClickHTML5/Visit.aspx?ID=//57DAEwASwAzADgAOAA2ADYANwAyADkASQBEAEUAQQAE=&amp;Tipo=2&amp;ST=1&amp;nLang=0</t>
  </si>
  <si>
    <t>https://www.clickideacore.com/ClickHTML5/Visit.aspx?ID=//54DAEwASwAzADgAOAA2ADgANgA5ADMASQBEAEUAQQA7=&amp;Tipo=2&amp;ST=1&amp;nLang=0</t>
  </si>
  <si>
    <t>https://www.clickideacore.com/ClickHTML5/Visit.aspx?ID=//5ADAEwASwAzADgAOAA5ADQANgAwADIASQBEAEUAQQA4=&amp;Tipo=2&amp;ST=1&amp;nLang=0</t>
  </si>
  <si>
    <t>https://www.clickideacore.com/ClickHTML5/Visit.aspx?ID=//5DDAEwASwAzADgAOAA4ADEANQAzADEASQBEAEUAQQA5=&amp;Tipo=2&amp;ST=1&amp;nLang=0</t>
  </si>
  <si>
    <t>https://www.clickideacore.com/ClickHTML5/Visit.aspx?ID=//59DAEwASwAzADgAOAA5ADIAMAAzADYASQBEAEUAQQA0=&amp;Tipo=2&amp;ST=1&amp;nLang=0</t>
  </si>
  <si>
    <t>https://www.clickideacore.com/ClickHTML5/Visit.aspx?ID=//5ADAEwASwAzADgAOAA4ADgAMAA3ADMASQBEAEUAQQA2=&amp;Tipo=2&amp;ST=1&amp;nLang=0</t>
  </si>
  <si>
    <t>https://www.clickideacore.com/ClickHTML5/Visit.aspx?ID=//53DAEwASwAzADgAOAA5ADAAMwA2ADIASQBEAEUAQQAF=&amp;Tipo=2&amp;ST=1&amp;nLang=0</t>
  </si>
  <si>
    <t>https://www.clickideacore.com/ClickHTML5/Visit.aspx?ID=//50DAEwASwAzADgAOAA4ADQAMwA5ADkASQBEAEUAQQA0=&amp;Tipo=2&amp;ST=1&amp;nLang=0</t>
  </si>
  <si>
    <t>https://www.clickideacore.com/ClickHTML5/Visit.aspx?ID=//57DAEwASwAzADgAOAA4ADEANgAzADgASQBEAEUAQQAE=&amp;Tipo=2&amp;ST=1&amp;nLang=0</t>
  </si>
  <si>
    <t>https://www.clickideacore.com/ClickHTML5/Visit.aspx?ID=//53DAEwASwAzADgAOAA4ADgANAAwADUASQBEAEUAQQA3=&amp;Tipo=2&amp;ST=1&amp;nLang=0</t>
  </si>
  <si>
    <t>https://www.clickideacore.com/ClickHTML5/Visit.aspx?ID=//5DDAEwASwAzADgAOAA4ADIANAA3ADIASQBEAEUAQQA9=&amp;Tipo=2&amp;ST=1&amp;nLang=0</t>
  </si>
  <si>
    <t>https://www.clickideacore.com/ClickHTML5/Visit.aspx?ID=//56DAEwASwAzADgAOAA4ADgANwA2ADYASQBEAEUAQQAB=&amp;Tipo=2&amp;ST=1&amp;nLang=0</t>
  </si>
  <si>
    <t>https://www.clickideacore.com/ClickHTML5/Visit.aspx?ID=//56DAEwASwAzADgAOAA4ADEANAA3ADAASQBEAEUAQQA1=&amp;Tipo=2&amp;ST=1&amp;nLang=0</t>
  </si>
  <si>
    <t>https://www.clickideacore.com/ClickHTML5/Visit.aspx?ID=//58DAEwASwAzADgAOAA4ADYAMgA3ADIASQBEAEUAQQA9=&amp;Tipo=2&amp;ST=1&amp;nLang=0</t>
  </si>
  <si>
    <t>https://www.clickideacore.com/ClickHTML5/Visit.aspx?ID=//51DAEwASwAzADgAOAA5ADEAOQA5ADYASQBEAEUAQQA5=&amp;Tipo=2&amp;ST=1&amp;nLang=0</t>
  </si>
  <si>
    <t>https://www.clickideacore.com/ClickHTML5/Visit.aspx?ID=//59DAEwASwAzADgAOAA4ADQAOAAzADAASQBEAEUAQQAB=&amp;Tipo=2&amp;ST=1&amp;nLang=0</t>
  </si>
  <si>
    <t>https://www.clickideacore.com/ClickHTML5/Visit.aspx?ID=//5DDAEwASwAzADgAOAA5ADMANQA1ADkASQBEAEUAQQA7=&amp;Tipo=2&amp;ST=1&amp;nLang=0</t>
  </si>
  <si>
    <t>https://www.clickideacore.com/ClickHTML5/Visit.aspx?ID=//5DDAEwASwAzADgAOQAwADgANgA4ADYASQBEAEUAQQA9=&amp;Tipo=2&amp;ST=1&amp;nLang=0</t>
  </si>
  <si>
    <t>https://www.clickideacore.com/ClickHTML5/Visit.aspx?ID=//5DDAEwASwAzADgAOQAxADkANAAwADMASQBEAEUAQQA4=&amp;Tipo=2&amp;ST=1&amp;nLang=0</t>
  </si>
  <si>
    <t>https://www.clickideacore.com/ClickHTML5/Visit.aspx?ID=//58DAEwASwAzADgAOQAxADkAMAA5ADEASQBEAEUAQQA3=&amp;Tipo=2&amp;ST=1&amp;nLang=0</t>
  </si>
  <si>
    <t>https://www.clickideacore.com/ClickHTML5/Visit.aspx?ID=//5ADAEwASwAzADgAOQAyADAANgAwADIASQBEAEUAQQAF=&amp;Tipo=2&amp;ST=1&amp;nLang=0</t>
  </si>
  <si>
    <t>https://www.clickideacore.com/ClickHTML5/Visit.aspx?ID=//52DAEwASwAzADgAOQAzADQAOQAwADkASQBEAEUAQQAF=&amp;Tipo=2&amp;ST=1&amp;nLang=0</t>
  </si>
  <si>
    <t>https://www.clickideacore.com/ClickHTML5/Visit.aspx?ID=//58DAEwASwAzADgAOQA0ADMAMwAwADQASQBEAEUAQQA6=&amp;Tipo=2&amp;ST=1&amp;nLang=0</t>
  </si>
  <si>
    <t>https://www.clickideacore.com/ClickHTML5/Visit.aspx?ID=//50DAEwASwAzADgAOQAzADMANgA4ADkASQBEAEUAQQAA=&amp;Tipo=2&amp;ST=1&amp;nLang=0</t>
  </si>
  <si>
    <t>https://www.clickideacore.com/ClickHTML5/Visit.aspx?ID=//54DAEwASwAzADgAOQAzADcANQA0ADcASQBEAEUAQQAC=&amp;Tipo=2&amp;ST=1&amp;nLang=0</t>
  </si>
  <si>
    <t>https://www.clickideacore.com/ClickHTML5/Visit.aspx?ID=//57DAEwASwAzADgAOQAzADIAMwA4ADYASQBEAEUAQQA0=&amp;Tipo=2&amp;ST=1&amp;nLang=0</t>
  </si>
  <si>
    <t>https://www.clickideacore.com/ClickHTML5/Visit.aspx?ID=//52DAEwASwAzADgAOQAzADUAMgA2ADcASQBEAEUAQQA2=&amp;Tipo=2&amp;ST=1&amp;nLang=0</t>
  </si>
  <si>
    <t>https://www.clickideacore.com/ClickHTML5/Visit.aspx?ID=//58DAEwASwAzADgAOQAzADUAOQAxADMASQBEAEUAQQAB=&amp;Tipo=2&amp;ST=1&amp;nLang=0</t>
  </si>
  <si>
    <t>https://www.clickideacore.com/ClickHTML5/Visit.aspx?ID=//57DAEwASwAzADgAOQAzADEANwA5ADgASQBEAEUAQQAE=&amp;Tipo=2&amp;ST=1&amp;nLang=0</t>
  </si>
  <si>
    <t>https://www.clickideacore.com/ClickHTML5/Visit.aspx?ID=//54DAEwASwAzADgAOQA0ADQANwA3ADgASQBEAEUAQQA7=&amp;Tipo=2&amp;ST=1&amp;nLang=0</t>
  </si>
  <si>
    <t>https://www.clickideacore.com/ClickHTML5/Visit.aspx?ID=//54DAEwASwAzADgAOQAzADQAMwA3ADQASQBEAEUAQQA8=&amp;Tipo=2&amp;ST=1&amp;nLang=0</t>
  </si>
  <si>
    <t>https://www.clickideacore.com/ClickHTML5/Visit.aspx?ID=//57DAEwASwAzADgAOQAzADAANwAxADMASQBEAEUAQQA4=&amp;Tipo=2&amp;ST=1&amp;nLang=0</t>
  </si>
  <si>
    <t>https://www.clickideacore.com/ClickHTML5/Visit.aspx?ID=//58DAEwASwAzADgAOQAzADUAOAA5ADUASQBEAEUAQQA7=&amp;Tipo=2&amp;ST=1&amp;nLang=0</t>
  </si>
  <si>
    <t>https://www.clickideacore.com/ClickHTML5/Visit.aspx?ID=//5DDAEwASwAzADgAOQA0ADMAMAAxADQASQBEAEUAQQA2=&amp;Tipo=2&amp;ST=1&amp;nLang=0</t>
  </si>
  <si>
    <t>https://www.clickideacore.com/ClickHTML5/Visit.aspx?ID=//58DAEwASwAzADgAOQA0ADMAMwAyADQASQBEAEUAQQA6=&amp;Tipo=2&amp;ST=1&amp;nLang=0</t>
  </si>
  <si>
    <t>https://www.clickideacore.com/ClickHTML5/Visit.aspx?ID=//55DAEwASwAzADgAOQAzADEAMwA4ADYASQBEAEUAQQA9=&amp;Tipo=2&amp;ST=1&amp;nLang=0</t>
  </si>
  <si>
    <t>https://www.clickideacore.com/ClickHTML5/Visit.aspx?ID=//5EDAEwASwAzADgAOQA2ADkAMgA0ADUASQBEAEUAQQA8=&amp;Tipo=2&amp;ST=1&amp;nLang=0</t>
  </si>
  <si>
    <t>https://www.clickideacore.com/ClickHTML5/Visit.aspx?ID=//57DAEwASwAzADgAOQA1ADQANAA2ADAASQBEAEUAQQA0=&amp;Tipo=2&amp;ST=1&amp;nLang=0</t>
  </si>
  <si>
    <t>https://www.clickideacore.com/ClickHTML5/Visit.aspx?ID=//5EDAEwASwAzADgAOQA1ADYAMwA2ADEASQBEAEUAQQA7=&amp;Tipo=2&amp;ST=1&amp;nLang=0</t>
  </si>
  <si>
    <t>https://www.clickideacore.com/ClickHTML5/Visit.aspx?ID=//53DAEwASwAzADgAOQA2ADQAMAAxADUASQBEAEUAQQA0=&amp;Tipo=2&amp;ST=1&amp;nLang=0</t>
  </si>
  <si>
    <t>https://www.clickideacore.com/ClickHTML5/Visit.aspx?ID=//52DAEwASwAzADgAOQA2ADUAOAAyADgASQBEAEUAQQAD=&amp;Tipo=2&amp;ST=1&amp;nLang=0</t>
  </si>
  <si>
    <t>https://www.clickideacore.com/ClickHTML5/Visit.aspx?ID=//59DAEwASwAzADgAOQA2ADcAMQAwADUASQBEAEUAQQA0=&amp;Tipo=2&amp;ST=1&amp;nLang=0</t>
  </si>
  <si>
    <t>https://www.clickideacore.com/ClickHTML5/Visit.aspx?ID=//5FDAEwASwAzADgAOQA1ADQAOQA2ADkASQBEAEUAQQA2=&amp;Tipo=2&amp;ST=1&amp;nLang=0</t>
  </si>
  <si>
    <t>https://www.clickideacore.com/ClickHTML5/Visit.aspx?ID=//5BDAEwASwAzADgAOQA2ADMAMQA4ADMASQBEAEUAQQA0=&amp;Tipo=2&amp;ST=1&amp;nLang=0</t>
  </si>
  <si>
    <t>https://www.clickideacore.com/ClickHTML5/Visit.aspx?ID=//5CDAEwASwAzADgAOQA2ADIAMAA1ADUASQBEAEUAQQA9=&amp;Tipo=2&amp;ST=1&amp;nLang=0</t>
  </si>
  <si>
    <t>https://www.clickideacore.com/ClickHTML5/Visit.aspx?ID=//53DAEwASwAzADgAOQA1ADQAOQAyADIASQBEAEUAQQA6=&amp;Tipo=2&amp;ST=1&amp;nLang=0</t>
  </si>
  <si>
    <t>https://www.clickideacore.com/ClickHTML5/Visit.aspx?ID=//5CDAEwASwAzADgAOQA2ADIAOQA3ADAASQBEAEUAQQA7=&amp;Tipo=2&amp;ST=1&amp;nLang=0</t>
  </si>
  <si>
    <t>https://www.clickideacore.com/ClickHTML5/Visit.aspx?ID=//56DAEwASwAzADgAOQA2ADcAMgAzADUASQBEAEUAQQA1=&amp;Tipo=2&amp;ST=1&amp;nLang=0</t>
  </si>
  <si>
    <t>https://www.clickideacore.com/ClickHTML5/Visit.aspx?ID=//56DAEwASwAzADgAOQA2ADIAMgA5ADMASQBEAEUAQQA4=&amp;Tipo=2&amp;ST=1&amp;nLang=0</t>
  </si>
  <si>
    <t>https://www.clickideacore.com/ClickHTML5/Visit.aspx?ID=//5EDAEwASwAzADgAOQA2ADkAMQA4ADMASQBEAEUAQQA8=&amp;Tipo=2&amp;ST=1&amp;nLang=0</t>
  </si>
  <si>
    <t>https://www.clickideacore.com/ClickHTML5/Visit.aspx?ID=//5CDAEwASwAzADgAOQA1ADUAOQA4ADEASQBEAEUAQQAB=&amp;Tipo=2&amp;ST=1&amp;nLang=0</t>
  </si>
  <si>
    <t>https://www.clickideacore.com/ClickHTML5/Visit.aspx?ID=//5DDAEwASwAzADgAOQA5ADQAOQA0ADgASQBEAEUAQQA4=&amp;Tipo=2&amp;ST=1&amp;nLang=0</t>
  </si>
  <si>
    <t>https://www.clickideacore.com/ClickHTML5/Visit.aspx?ID=//5ADAEwASwAzADgAOQA4ADUANgAwADIASQBEAEUAQQAA=&amp;Tipo=2&amp;ST=1&amp;nLang=0</t>
  </si>
  <si>
    <t>https://www.clickideacore.com/ClickHTML5/Visit.aspx?ID=//52DAEwASwAzADgAOQA5ADIAOAA3ADIASQBEAEUAQQA6=&amp;Tipo=2&amp;ST=1&amp;nLang=0</t>
  </si>
  <si>
    <t>https://www.clickideacore.com/ClickHTML5/Visit.aspx?ID=//5FDAEwASwAzADgAOQA4ADMANwAzADEASQBEAEUAQQA3=&amp;Tipo=2&amp;ST=1&amp;nLang=0</t>
  </si>
  <si>
    <t>https://www.clickideacore.com/ClickHTML5/Visit.aspx?ID=//5EDAEwASwAzADgAOQA5ADAAMwAxADcASQBEAEUAQQA9=&amp;Tipo=2&amp;ST=1&amp;nLang=0</t>
  </si>
  <si>
    <t>https://www.clickideacore.com/ClickHTML5/Visit.aspx?ID=//51DAEwASwAzADgAOQA5ADIAMAAxADkASQBEAEUAQQA3=&amp;Tipo=2&amp;ST=1&amp;nLang=0</t>
  </si>
  <si>
    <t>https://www.clickideacore.com/ClickHTML5/Visit.aspx?ID=//55DAEwASwAzADgAOQA5ADAAMgA5ADkASQBEAEUAQQA8=&amp;Tipo=2&amp;ST=1&amp;nLang=0</t>
  </si>
  <si>
    <t>https://www.clickideacore.com/ClickHTML5/Visit.aspx?ID=//5ADAEwASwAzADgAOQA5ADEANwA2ADYASQBEAEUAQQA1=&amp;Tipo=2&amp;ST=1&amp;nLang=0</t>
  </si>
  <si>
    <t>https://www.clickideacore.com/ClickHTML5/Visit.aspx?ID=//54DAEwASwAzADgAOQA4ADQAMgAxADIASQBEAEUAQQA1=&amp;Tipo=2&amp;ST=1&amp;nLang=0</t>
  </si>
  <si>
    <t>https://www.clickideacore.com/ClickHTML5/Visit.aspx?ID=//51DAEwASwAzADgAOQA5ADMAMwAwADQASQBEAEUAQQAD=&amp;Tipo=2&amp;ST=1&amp;nLang=0</t>
  </si>
  <si>
    <t>https://www.clickideacore.com/ClickHTML5/Visit.aspx?ID=//51DAEwASwAzADgAOQA4ADAANwAzADEASQBEAEUAQQA2=&amp;Tipo=2&amp;ST=1&amp;nLang=0</t>
  </si>
  <si>
    <t>https://www.clickideacore.com/ClickHTML5/Visit.aspx?ID=//57DAEwASwAzADgAOQA5ADAAMgA2ADgASQBEAEUAQQA3=&amp;Tipo=2&amp;ST=1&amp;nLang=0</t>
  </si>
  <si>
    <t>https://www.clickideacore.com/ClickHTML5/Visit.aspx?ID=//55DAEwASwAzADgAOQA5ADIAMQAxADQASQBEAEUAQQAD=&amp;Tipo=2&amp;ST=1&amp;nLang=0</t>
  </si>
  <si>
    <t>https://www.clickideacore.com/ClickHTML5/Visit.aspx?ID=//5FDAEwASwAzADgAOQA4ADUAMQA4ADIASQBEAEUAQQA8=&amp;Tipo=2&amp;ST=1&amp;nLang=0</t>
  </si>
  <si>
    <t>https://www.clickideacore.com/ClickHTML5/Visit.aspx?ID=//57DAEwASwAzADgAOQA5ADQANgAyADIASQBEAEUAQQA3=&amp;Tipo=2&amp;ST=1&amp;nLang=0</t>
  </si>
  <si>
    <t>https://www.clickideacore.com/ClickHTML5/Visit.aspx?ID=//5BDAEwASwAzADgAOQA3ADYANgA1ADUASQBEAEUAQQA3=&amp;Tipo=2&amp;ST=1&amp;nLang=0</t>
  </si>
  <si>
    <t>https://www.clickideacore.com/ClickHTML5/Visit.aspx?ID=//57DAEwASwAzADkAMAAxADgANQAyADUASQBEAEUAQQA6=&amp;Tipo=2&amp;ST=1&amp;nLang=0</t>
  </si>
  <si>
    <t>https://www.clickideacore.com/ClickHTML5/Visit.aspx?ID=//56DAEwASwAzADkAMAAwADgAOQA4ADEASQBEAEUAQQA4=&amp;Tipo=2&amp;ST=1&amp;nLang=0</t>
  </si>
  <si>
    <t>https://www.clickideacore.com/ClickHTML5/Visit.aspx?ID=//56DAEwASwAzADkAMAAxADEAOAAxADAASQBEAEUAQQAC=&amp;Tipo=2&amp;ST=1&amp;nLang=0</t>
  </si>
  <si>
    <t>https://www.clickideacore.com/ClickHTML5/Visit.aspx?ID=//5EDAEwASwAzADkAMAAwADkAMwAzADEASQBEAEUAQQAD=&amp;Tipo=2&amp;ST=1&amp;nLang=0</t>
  </si>
  <si>
    <t>https://www.clickideacore.com/ClickHTML5/Visit.aspx?ID=//54DAEwASwAzADkAMAAxADAAOAA1ADcASQBEAEUAQQA5=&amp;Tipo=2&amp;ST=1&amp;nLang=0</t>
  </si>
  <si>
    <t>https://www.clickideacore.com/ClickHTML5/Visit.aspx?ID=//5FDAEwASwAzADkAMAAxADUAOQAxADQASQBEAEUAQQA3=&amp;Tipo=2&amp;ST=1&amp;nLang=0</t>
  </si>
  <si>
    <t>https://www.clickideacore.com/ClickHTML5/Visit.aspx?ID=//58DAEwASwAzADkAMAAxADIANwA2ADkASQBEAEUAQQA2=&amp;Tipo=2&amp;ST=1&amp;nLang=0</t>
  </si>
  <si>
    <t>https://www.clickideacore.com/ClickHTML5/Visit.aspx?ID=//58DAEwASwAzADkAMAAxADAAOQAyADgASQBEAEUAQQA8=&amp;Tipo=2&amp;ST=1&amp;nLang=0</t>
  </si>
  <si>
    <t>https://www.clickideacore.com/ClickHTML5/Visit.aspx?ID=//52DAEwASwAzADkAMAAxADgAOAA3ADAASQBEAEUAQQA7=&amp;Tipo=2&amp;ST=1&amp;nLang=0</t>
  </si>
  <si>
    <t>https://www.clickideacore.com/ClickHTML5/Visit.aspx?ID=//50DAEwASwAzADkAMAAwADQAMwA3ADQASQBEAEUAQQAF=&amp;Tipo=2&amp;ST=1&amp;nLang=0</t>
  </si>
  <si>
    <t>https://www.clickideacore.com/ClickHTML5/Visit.aspx?ID=//50DAEwASwAzADkAMAAxADIANQA1ADUASQBEAEUAQQAC=&amp;Tipo=2&amp;ST=1&amp;nLang=0</t>
  </si>
  <si>
    <t>https://www.clickideacore.com/ClickHTML5/Visit.aspx?ID=//5CDAEwASwAzADkAMAAxADcANgA1ADEASQBEAEUAQQA8=&amp;Tipo=2&amp;ST=1&amp;nLang=0</t>
  </si>
  <si>
    <t>https://www.clickideacore.com/ClickHTML5/Visit.aspx?ID=//51DAEwASwAzADkAMAAxADMANAAzADUASQBEAEUAQQAC=&amp;Tipo=2&amp;ST=1&amp;nLang=0</t>
  </si>
  <si>
    <t>https://www.clickideacore.com/ClickHTML5/Visit.aspx?ID=//5EDAEwASwAzADkAMAAxADkANwAwADkASQBEAEUAQQAF=&amp;Tipo=2&amp;ST=1&amp;nLang=0</t>
  </si>
  <si>
    <t>https://www.clickideacore.com/ClickHTML5/Visit.aspx?ID=//56DAEwASwAzADkAMAAwADkANAA2ADIASQBEAEUAQQA8=&amp;Tipo=2&amp;ST=1&amp;nLang=0</t>
  </si>
  <si>
    <t>https://www.clickideacore.com/ClickHTML5/Visit.aspx?ID=//54DAEwASwAzADkAMAA0ADQAMgA1ADQASQBEAEUAQQAF=&amp;Tipo=2&amp;ST=1&amp;nLang=0</t>
  </si>
  <si>
    <t>https://www.clickideacore.com/ClickHTML5/Visit.aspx?ID=//54DAEwASwAzADkAMAAzADMAOQA5ADYASQBEAEUAQQA4=&amp;Tipo=2&amp;ST=1&amp;nLang=0</t>
  </si>
  <si>
    <t>https://www.clickideacore.com/ClickHTML5/Visit.aspx?ID=//53DAEwASwAzADkAMAAzADgAMQAwADgASQBEAEUAQQA1=&amp;Tipo=2&amp;ST=1&amp;nLang=0</t>
  </si>
  <si>
    <t>https://www.clickideacore.com/ClickHTML5/Visit.aspx?ID=//55DAEwASwAzADkAMAAzADgAMQA5ADIASQBEAEUAQQA2=&amp;Tipo=2&amp;ST=1&amp;nLang=0</t>
  </si>
  <si>
    <t>https://www.clickideacore.com/ClickHTML5/Visit.aspx?ID=//5EDAEwASwAzADkAMAAzADgAOAAwADEASQBEAEUAQQAD=&amp;Tipo=2&amp;ST=1&amp;nLang=0</t>
  </si>
  <si>
    <t>https://www.clickideacore.com/ClickHTML5/Visit.aspx?ID=//54DAEwASwAzADkAMAAzADYANQAwADQASQBEAEUAQQAA=&amp;Tipo=2&amp;ST=1&amp;nLang=0</t>
  </si>
  <si>
    <t>https://www.clickideacore.com/ClickHTML5/Visit.aspx?ID=//55DAEwASwAzADkAMAAzADkANQAzADgASQBEAEUAQQA5=&amp;Tipo=2&amp;ST=1&amp;nLang=0</t>
  </si>
  <si>
    <t>https://www.clickideacore.com/ClickHTML5/Visit.aspx?ID=//51DAEwASwAzADkAMAAzADYANAA5ADYASQBEAEUAQQA3=&amp;Tipo=2&amp;ST=1&amp;nLang=0</t>
  </si>
  <si>
    <t>https://www.clickideacore.com/ClickHTML5/Visit.aspx?ID=//58DAEwASwAzADkAMAAzADIAMQA5ADkASQBEAEUAQQA5=&amp;Tipo=2&amp;ST=1&amp;nLang=0</t>
  </si>
  <si>
    <t>https://www.clickideacore.com/ClickHTML5/Visit.aspx?ID=//52DAEwASwAzADkAMAAzADEANgAyADgASQBEAEUAQQA4=&amp;Tipo=2&amp;ST=1&amp;nLang=0</t>
  </si>
  <si>
    <t>https://www.clickideacore.com/ClickHTML5/Visit.aspx?ID=//50DAEwASwAzADkAMAAzADgANAAyADQASQBEAEUAQQA6=&amp;Tipo=2&amp;ST=1&amp;nLang=0</t>
  </si>
  <si>
    <t>https://www.clickideacore.com/ClickHTML5/Visit.aspx?ID=//54DAEwASwAzADkAMAAzADAAOQA5ADYASQBEAEUAQQAA=&amp;Tipo=2&amp;ST=1&amp;nLang=0</t>
  </si>
  <si>
    <t>https://www.clickideacore.com/ClickHTML5/Visit.aspx?ID=//5ADAEwASwAzADkAMAAzADgAOAA5ADcASQBEAEUAQQA8=&amp;Tipo=2&amp;ST=1&amp;nLang=0</t>
  </si>
  <si>
    <t>https://www.clickideacore.com/ClickHTML5/Visit.aspx?ID=//58DAEwASwAzADkAMAA0ADMAMwAzADMASQBEAEUAQQAF=&amp;Tipo=2&amp;ST=1&amp;nLang=0</t>
  </si>
  <si>
    <t>https://www.clickideacore.com/ClickHTML5/Visit.aspx?ID=//5ADAEwASwAzADkAMAA0ADAAMgAyADAASQBEAEUAQQAD=&amp;Tipo=2&amp;ST=1&amp;nLang=0</t>
  </si>
  <si>
    <t>https://www.clickideacore.com/ClickHTML5/Visit.aspx?ID=//5DDAEwASwAzADkAMAAzADQAOQA0ADgASQBEAEUAQQA7=&amp;Tipo=2&amp;ST=1&amp;nLang=0</t>
  </si>
  <si>
    <t>https://www.clickideacore.com/ClickHTML5/Visit.aspx?ID=//52DAEwASwAzADkAMAA1ADgAOAAxADQASQBEAEUAQQA1=&amp;Tipo=2&amp;ST=1&amp;nLang=0</t>
  </si>
  <si>
    <t>https://www.clickideacore.com/ClickHTML5/Visit.aspx?ID=//58DAEwASwAzADkAMAA0ADQANwA4ADkASQBEAEUAQQA8=&amp;Tipo=2&amp;ST=1&amp;nLang=0</t>
  </si>
  <si>
    <t>https://www.clickideacore.com/ClickHTML5/Visit.aspx?ID=//53DAEwASwAzADkAMAA1ADcANAA0ADMASQBEAEUAQQA8=&amp;Tipo=2&amp;ST=1&amp;nLang=0</t>
  </si>
  <si>
    <t>https://www.clickideacore.com/ClickHTML5/Visit.aspx?ID=//58DAEwASwAzADkAMAA2ADcAMgAwADcASQBEAEUAQQA1=&amp;Tipo=2&amp;ST=1&amp;nLang=0</t>
  </si>
  <si>
    <t>https://www.clickideacore.com/ClickHTML5/Visit.aspx?ID=//5BDAEwASwAzADkAMAA2ADYANwA3ADMASQBEAEUAQQAA=&amp;Tipo=2&amp;ST=1&amp;nLang=0</t>
  </si>
  <si>
    <t>https://www.clickideacore.com/ClickHTML5/Visit.aspx?ID=//58DAEwASwAzADkAMAA5ADMANwA4ADUASQBEAEUAQQAE=&amp;Tipo=2&amp;ST=1&amp;nLang=0</t>
  </si>
  <si>
    <t>https://www.clickideacore.com/ClickHTML5/Visit.aspx?ID=//5FDAEwASwAzADkAMAA5ADEAOQAwADEASQBEAEUAQQAF=&amp;Tipo=2&amp;ST=1&amp;nLang=0</t>
  </si>
  <si>
    <t>https://www.clickideacore.com/ClickHTML5/Visit.aspx?ID=//5EDAEwASwAzADkAMAA4ADUAOAAzADMASQBEAEUAQQA4=&amp;Tipo=2&amp;ST=1&amp;nLang=0</t>
  </si>
  <si>
    <t>https://www.clickideacore.com/ClickHTML5/Visit.aspx?ID=//59DAEwASwAzADkAMAA5ADIAOAAwADYASQBEAEUAQQA9=&amp;Tipo=2&amp;ST=1&amp;nLang=0</t>
  </si>
  <si>
    <t>https://www.clickideacore.com/ClickHTML5/Visit.aspx?ID=//58DAEwASwAzADkAMAA4ADIAOAA0ADUASQBEAEUAQQAA=&amp;Tipo=2&amp;ST=1&amp;nLang=0</t>
  </si>
  <si>
    <t>https://www.clickideacore.com/ClickHTML5/Visit.aspx?ID=//5DDAEwASwAzADkAMAA3ADgANQA4ADQASQBEAEUAQQA4=&amp;Tipo=2&amp;ST=1&amp;nLang=0</t>
  </si>
  <si>
    <t>https://www.clickideacore.com/ClickHTML5/Visit.aspx?ID=//5DDAEwASwAzADkAMAA4ADIANQA4ADgASQBEAEUAQQA9=&amp;Tipo=2&amp;ST=1&amp;nLang=0</t>
  </si>
  <si>
    <t>https://www.clickideacore.com/ClickHTML5/Visit.aspx?ID=//5ADAEwASwAzADkAMAA4ADIANwAzADMASQBEAEUAQQAB=&amp;Tipo=2&amp;ST=1&amp;nLang=0</t>
  </si>
  <si>
    <t>https://www.clickideacore.com/ClickHTML5/Visit.aspx?ID=//56DAEwASwAzADkAMAA4ADQAMgA4ADcASQBEAEUAQQA4=&amp;Tipo=2&amp;ST=1&amp;nLang=0</t>
  </si>
  <si>
    <t>https://www.clickideacore.com/ClickHTML5/Visit.aspx?ID=//5FDAEwASwAzADkAMAA3ADYANgAxADAASQBEAEUAQQA8=&amp;Tipo=2&amp;ST=1&amp;nLang=0</t>
  </si>
  <si>
    <t>https://www.clickideacore.com/ClickHTML5/Visit.aspx?ID=//53DAEwASwAzADkAMAA5ADEAMwA1ADgASQBEAEUAQQA7=&amp;Tipo=2&amp;ST=1&amp;nLang=0</t>
  </si>
  <si>
    <t>https://www.clickideacore.com/ClickHTML5/Visit.aspx?ID=//59DAEwASwAzADkAMAA4ADQANAA4ADEASQBEAEUAQQA9=&amp;Tipo=2&amp;ST=1&amp;nLang=0</t>
  </si>
  <si>
    <t>https://www.clickideacore.com/ClickHTML5/Visit.aspx?ID=//5FDAEwASwAzADkAMAA5ADEAMQAxADEASQBEAEUAQQA6=&amp;Tipo=2&amp;ST=1&amp;nLang=0</t>
  </si>
  <si>
    <t>https://www.clickideacore.com/ClickHTML5/Visit.aspx?ID=//5DDAEwASwAzADkAMAA3ADgANgA5ADcASQBEAEUAQQA0=&amp;Tipo=2&amp;ST=1&amp;nLang=0</t>
  </si>
  <si>
    <t>https://www.clickideacore.com/ClickHTML5/Visit.aspx?ID=//54DAEwASwAzADkAMAA4ADIANwA2ADgASQBEAEUAQQA4=&amp;Tipo=2&amp;ST=1&amp;nLang=0</t>
  </si>
  <si>
    <t>https://www.clickideacore.com/ClickHTML5/Visit.aspx?ID=//5FDAEwASwAzADkAMAA5ADEAOQA0ADEASQBEAEUAQQA3=&amp;Tipo=2&amp;ST=1&amp;nLang=0</t>
  </si>
  <si>
    <t>https://www.clickideacore.com/ClickHTML5/Visit.aspx?ID=//52DAEwASwAzADkAMAA4ADUAMgA1ADIASQBEAEUAQQA1=&amp;Tipo=2&amp;ST=1&amp;nLang=0</t>
  </si>
  <si>
    <t>https://www.clickideacore.com/ClickHTML5/Visit.aspx?ID=//5DDAEwASwAzADkAMAA5ADMAOAAzADMASQBEAEUAQQA0=&amp;Tipo=2&amp;ST=1&amp;nLang=0</t>
  </si>
  <si>
    <t>https://www.clickideacore.com/ClickHTML5/Visit.aspx?ID=//59DAEwASwAzADkAMAA5ADIANwA0ADYASQBEAEUAQQA7=&amp;Tipo=2&amp;ST=1&amp;nLang=0</t>
  </si>
  <si>
    <t>https://www.clickideacore.com/ClickHTML5/Visit.aspx?ID=//5FDAEwASwAzADkAMQAxADgANwA3ADAASQBEAEUAQQAE=&amp;Tipo=2&amp;ST=1&amp;nLang=0</t>
  </si>
  <si>
    <t>https://www.clickideacore.com/ClickHTML5/Visit.aspx?ID=//59DAEwASwAzADkAMAA5ADgAOAA3ADcASQBEAEUAQQA9=&amp;Tipo=2&amp;ST=1&amp;nLang=0</t>
  </si>
  <si>
    <t>https://www.clickideacore.com/ClickHTML5/Visit.aspx?ID=//52DAEwASwAzADkAMQAxADgAMwAyADQASQBEAEUAQQA6=&amp;Tipo=2&amp;ST=1&amp;nLang=0</t>
  </si>
  <si>
    <t>https://www.clickideacore.com/ClickHTML5/Visit.aspx?ID=//51DAEwASwAzADkAMQAwADYANAA2ADkASQBEAEUAQQA5=&amp;Tipo=2&amp;ST=1&amp;nLang=0</t>
  </si>
  <si>
    <t>https://www.clickideacore.com/ClickHTML5/Visit.aspx?ID=//53DAEwASwAzADkAMQAwADgANwAxADAASQBEAEUAQQA5=&amp;Tipo=2&amp;ST=1&amp;nLang=0</t>
  </si>
  <si>
    <t>https://www.clickideacore.com/ClickHTML5/Visit.aspx?ID=//53DAEwASwAzADkAMQAxADcAMQA0ADUASQBEAEUAQQA9=&amp;Tipo=2&amp;ST=1&amp;nLang=0</t>
  </si>
  <si>
    <t>https://www.clickideacore.com/ClickHTML5/Visit.aspx?ID=//5BDAEwASwAzADkAMQAxADUAOQAwADEASQBEAEUAQQA0=&amp;Tipo=2&amp;ST=1&amp;nLang=0</t>
  </si>
  <si>
    <t>https://www.clickideacore.com/ClickHTML5/Visit.aspx?ID=//54DAEwASwAzADkAMQAwADgAOAA0ADAASQBEAEUAQQA3=&amp;Tipo=2&amp;ST=1&amp;nLang=0</t>
  </si>
  <si>
    <t>https://www.clickideacore.com/ClickHTML5/Visit.aspx?ID=//57DAEwASwAzADkAMQAwADUAMAAwADkASQBEAEUAQQAB=&amp;Tipo=2&amp;ST=1&amp;nLang=0</t>
  </si>
  <si>
    <t>https://www.clickideacore.com/ClickHTML5/Visit.aspx?ID=//5BDAEwASwAzADkAMQAxADcAMQA0ADkASQBEAEUAQQA3=&amp;Tipo=2&amp;ST=1&amp;nLang=0</t>
  </si>
  <si>
    <t>https://www.clickideacore.com/ClickHTML5/Visit.aspx?ID=//55DAEwASwAzADkAMQAxADAANQA1ADEASQBEAEUAQQA8=&amp;Tipo=2&amp;ST=1&amp;nLang=0</t>
  </si>
  <si>
    <t>https://www.clickideacore.com/ClickHTML5/Visit.aspx?ID=//55DAEwASwAzADkAMQAwADMANAA0ADMASQBEAEUAQQA6=&amp;Tipo=2&amp;ST=1&amp;nLang=0</t>
  </si>
  <si>
    <t>https://www.clickideacore.com/ClickHTML5/Visit.aspx?ID=//58DAEwASwAzADkAMQAwADkAMAA5ADcASQBEAEUAQQAF=&amp;Tipo=2&amp;ST=1&amp;nLang=0</t>
  </si>
  <si>
    <t>https://www.clickideacore.com/ClickHTML5/Visit.aspx?ID=//55DAEwASwAzADkAMQAxADkAMgAzADkASQBEAEUAQQAC=&amp;Tipo=2&amp;ST=1&amp;nLang=0</t>
  </si>
  <si>
    <t>https://www.clickideacore.com/ClickHTML5/Visit.aspx?ID=//55DAEwASwAzADkAMQAwADUANAA3ADgASQBEAEUAQQA3=&amp;Tipo=2&amp;ST=1&amp;nLang=0</t>
  </si>
  <si>
    <t>https://www.clickideacore.com/ClickHTML5/Visit.aspx?ID=//5DDAEwASwAzADkAMQAxADkANQAwADEASQBEAEUAQQA2=&amp;Tipo=2&amp;ST=1&amp;nLang=0</t>
  </si>
  <si>
    <t>https://www.clickideacore.com/ClickHTML5/Visit.aspx?ID=//5EDAEwASwAzADkAMQA0ADQAMQA3ADkASQBEAEUAQQA0=&amp;Tipo=2&amp;ST=1&amp;nLang=0</t>
  </si>
  <si>
    <t>https://www.clickideacore.com/ClickHTML5/Visit.aspx?ID=//57DAEwASwAzADkAMQA0ADQANQA3ADIASQBEAEUAQQA0=&amp;Tipo=2&amp;ST=1&amp;nLang=0</t>
  </si>
  <si>
    <t>https://www.clickideacore.com/ClickHTML5/Visit.aspx?ID=//5DDAEwASwAzADkAMQAzADMAOAAyADMASQBEAEUAQQAA=&amp;Tipo=2&amp;ST=1&amp;nLang=0</t>
  </si>
  <si>
    <t>https://www.clickideacore.com/ClickHTML5/Visit.aspx?ID=//51DAEwASwAzADkAMQA0ADIANgA0ADUASQBEAEUAQQA3=&amp;Tipo=2&amp;ST=1&amp;nLang=0</t>
  </si>
  <si>
    <t>https://www.clickideacore.com/ClickHTML5/Visit.aspx?ID=//58DAEwASwAzADkAMQAyADcAOQAxADMASQBEAEUAQQA3=&amp;Tipo=2&amp;ST=1&amp;nLang=0</t>
  </si>
  <si>
    <t>https://www.clickideacore.com/ClickHTML5/Visit.aspx?ID=//54DAEwASwAzADkAMQA0ADIANQA1ADMASQBEAEUAQQAD=&amp;Tipo=2&amp;ST=1&amp;nLang=0</t>
  </si>
  <si>
    <t>https://www.clickideacore.com/ClickHTML5/Visit.aspx?ID=//50DAEwASwAzADkAMQAzADkANQAxADUASQBEAEUAQQAC=&amp;Tipo=2&amp;ST=1&amp;nLang=0</t>
  </si>
  <si>
    <t>https://www.clickideacore.com/ClickHTML5/Visit.aspx?ID=//5DDAEwASwAzADkAMQAzADQANQAwADMASQBEAEUAQQAE=&amp;Tipo=2&amp;ST=1&amp;nLang=0</t>
  </si>
  <si>
    <t>https://www.clickideacore.com/ClickHTML5/Visit.aspx?ID=//5ADAEwASwAzADkAMQAyADkAMQA0ADMASQBEAEUAQQAE=&amp;Tipo=2&amp;ST=1&amp;nLang=0</t>
  </si>
  <si>
    <t>https://www.clickideacore.com/ClickHTML5/Visit.aspx?ID=//54DAEwASwAzADkAMQA0ADIAMAA2ADYASQBEAEUAQQAC=&amp;Tipo=2&amp;ST=1&amp;nLang=0</t>
  </si>
  <si>
    <t>https://www.clickideacore.com/ClickHTML5/Visit.aspx?ID=//59DAEwASwAzADkAMQAzADMAMQA0ADEASQBEAEUAQQA1=&amp;Tipo=2&amp;ST=1&amp;nLang=0</t>
  </si>
  <si>
    <t>https://www.clickideacore.com/ClickHTML5/Visit.aspx?ID=//55DAEwASwAzADkAMQAzADkAMQA4ADcASQBEAEUAQQAB=&amp;Tipo=2&amp;ST=1&amp;nLang=0</t>
  </si>
  <si>
    <t>https://www.clickideacore.com/ClickHTML5/Visit.aspx?ID=//56DAEwASwAzADkAMQAzADAANQA3ADkASQBEAEUAQQAF=&amp;Tipo=2&amp;ST=1&amp;nLang=0</t>
  </si>
  <si>
    <t>https://www.clickideacore.com/ClickHTML5/Visit.aspx?ID=//5CDAEwASwAzADkAMQAzADIAMwAwADMASQBEAEUAQQA1=&amp;Tipo=2&amp;ST=1&amp;nLang=0</t>
  </si>
  <si>
    <t>https://www.clickideacore.com/ClickHTML5/Visit.aspx?ID=//54DAEwASwAzADkAMQA0ADIANAA4ADAASQBEAEUAQQAF=&amp;Tipo=2&amp;ST=1&amp;nLang=0</t>
  </si>
  <si>
    <t>https://www.clickideacore.com/ClickHTML5/Visit.aspx?ID=//55DAEwASwAzADkAMQAzADQANwA4ADgASQBEAEUAQQAE=&amp;Tipo=2&amp;ST=1&amp;nLang=0</t>
  </si>
  <si>
    <t>https://www.clickideacore.com/ClickHTML5/Visit.aspx?ID=//54DAEwASwAzADkAMQA0ADMANAAxADEASQBEAEUAQQAA=&amp;Tipo=2&amp;ST=1&amp;nLang=0</t>
  </si>
  <si>
    <t>https://www.clickideacore.com/ClickHTML5/Visit.aspx?ID=//5DDAEwASwAzADkAMQA0ADQANQA1ADcASQBEAEUAQQA8=&amp;Tipo=2&amp;ST=1&amp;nLang=0</t>
  </si>
  <si>
    <t>https://www.clickideacore.com/ClickHTML5/Visit.aspx?ID=//52DAEwASwAzADkAMQA3ADAAMwA2ADAASQBEAEUAQQAC=&amp;Tipo=2&amp;ST=1&amp;nLang=0</t>
  </si>
  <si>
    <t>https://www.clickideacore.com/ClickHTML5/Visit.aspx?ID=//57DAEwASwAzADkAMQA1ADYANgA3ADQASQBEAEUAQQA3=&amp;Tipo=2&amp;ST=1&amp;nLang=0</t>
  </si>
  <si>
    <t>https://www.clickideacore.com/ClickHTML5/Visit.aspx?ID=//59DAEwASwAzADkAMQA2ADcAOQA4ADQASQBEAEUAQQA4=&amp;Tipo=2&amp;ST=1&amp;nLang=0</t>
  </si>
  <si>
    <t>https://www.clickideacore.com/ClickHTML5/Visit.aspx?ID=//51DAEwASwAzADkAMQA2ADgANgAwADMASQBEAEUAQQA9=&amp;Tipo=2&amp;ST=1&amp;nLang=0</t>
  </si>
  <si>
    <t>https://www.clickideacore.com/ClickHTML5/Visit.aspx?ID=//59DAEwASwAzADkAMQA2ADMAMAA1ADkASQBEAEUAQQA8=&amp;Tipo=2&amp;ST=1&amp;nLang=0</t>
  </si>
  <si>
    <t>https://www.clickideacore.com/ClickHTML5/Visit.aspx?ID=//55DAEwASwAzADkAMQA2ADEAMwAwADcASQBEAEUAQQA7=&amp;Tipo=2&amp;ST=1&amp;nLang=0</t>
  </si>
  <si>
    <t>https://www.clickideacore.com/ClickHTML5/Visit.aspx?ID=//5DDAEwASwAzADkAMQA2ADgAMQA2ADIASQBEAEUAQQA9=&amp;Tipo=2&amp;ST=1&amp;nLang=0</t>
  </si>
  <si>
    <t>https://www.clickideacore.com/ClickHTML5/Visit.aspx?ID=//51DAEwASwAzADkAMQA2ADUANAAxADIASQBEAEUAQQAB=&amp;Tipo=2&amp;ST=1&amp;nLang=0</t>
  </si>
  <si>
    <t>https://www.clickideacore.com/ClickHTML5/Visit.aspx?ID=//5FDAEwASwAzADkAMQA2ADYAMQAxADMASQBEAEUAQQAB=&amp;Tipo=2&amp;ST=1&amp;nLang=0</t>
  </si>
  <si>
    <t>https://www.clickideacore.com/ClickHTML5/Visit.aspx?ID=//56DAEwASwAzADkAMQA2ADkAOQAxADYASQBEAEUAQQA5=&amp;Tipo=2&amp;ST=1&amp;nLang=0</t>
  </si>
  <si>
    <t>https://www.clickideacore.com/ClickHTML5/Visit.aspx?ID=//54DAEwASwAzADkAMQA2ADMANgAwADEASQBEAEUAQQAA=&amp;Tipo=2&amp;ST=1&amp;nLang=0</t>
  </si>
  <si>
    <t>https://www.clickideacore.com/ClickHTML5/Visit.aspx?ID=//5ADAEwASwAzADkAMQA1ADQAMwA0ADUASQBEAEUAQQAB=&amp;Tipo=2&amp;ST=1&amp;nLang=0</t>
  </si>
  <si>
    <t>https://www.clickideacore.com/ClickHTML5/Visit.aspx?ID=//57DAEwASwAzADkAMQA2ADMANQA3ADAASQBEAEUAQQAA=&amp;Tipo=2&amp;ST=1&amp;nLang=0</t>
  </si>
  <si>
    <t>https://www.clickideacore.com/ClickHTML5/Visit.aspx?ID=//57DAEwASwAzADkAMQA2ADgAOAAwADYASQBEAEUAQQA2=&amp;Tipo=2&amp;ST=1&amp;nLang=0</t>
  </si>
  <si>
    <t>https://www.clickideacore.com/ClickHTML5/Visit.aspx?ID=//58DAEwASwAzADkAMQA1ADQAOQA3ADcASQBEAEUAQQA4=&amp;Tipo=2&amp;ST=1&amp;nLang=0</t>
  </si>
  <si>
    <t>https://www.clickideacore.com/ClickHTML5/Visit.aspx?ID=//56DAEwASwAzADkAMQA2ADkAOAA2ADkASQBEAEUAQQA4=&amp;Tipo=2&amp;ST=1&amp;nLang=0</t>
  </si>
  <si>
    <t>https://www.clickideacore.com/ClickHTML5/Visit.aspx?ID=//51DAEwASwAzADkAMQA3ADAAMwA5ADIASQBEAEUAQQAB=&amp;Tipo=2&amp;ST=1&amp;nLang=0</t>
  </si>
  <si>
    <t>https://www.clickideacore.com/ClickHTML5/Visit.aspx?ID=//5EDAEwASwAzADkAMQA4ADcAMQA5ADUASQBEAEUAQQA9=&amp;Tipo=2&amp;ST=1&amp;nLang=0</t>
  </si>
  <si>
    <t>https://www.clickideacore.com/ClickHTML5/Visit.aspx?ID=//50DAEwASwAzADkAMQA4ADEAOAAyADcASQBEAEUAQQAD=&amp;Tipo=2&amp;ST=1&amp;nLang=0</t>
  </si>
  <si>
    <t>https://www.clickideacore.com/ClickHTML5/Visit.aspx?ID=//59DAEwASwAzADkAMQA5ADQAMQA1ADcASQBEAEUAQQA2=&amp;Tipo=2&amp;ST=1&amp;nLang=0</t>
  </si>
  <si>
    <t>https://www.clickideacore.com/ClickHTML5/Visit.aspx?ID=//5DDAEwASwAzADkAMQA5ADAAMQA4ADkASQBEAEUAQQAD=&amp;Tipo=2&amp;ST=1&amp;nLang=0</t>
  </si>
  <si>
    <t>https://www.clickideacore.com/ClickHTML5/Visit.aspx?ID=//59DAEwASwAzADkAMQA4ADEAOAAxADIASQBEAEUAQQA6=&amp;Tipo=2&amp;ST=1&amp;nLang=0</t>
  </si>
  <si>
    <t>https://www.clickideacore.com/ClickHTML5/Visit.aspx?ID=//59DAEwASwAzADkAMQA5ADQAMgA2ADYASQBEAEUAQQA8=&amp;Tipo=2&amp;ST=1&amp;nLang=0</t>
  </si>
  <si>
    <t>https://www.clickideacore.com/ClickHTML5/Visit.aspx?ID=//55DAEwASwAzADkAMQA4ADMAOAA3ADIASQBEAEUAQQAF=&amp;Tipo=2&amp;ST=1&amp;nLang=0</t>
  </si>
  <si>
    <t>https://www.clickideacore.com/ClickHTML5/Visit.aspx?ID=//5BDAEwASwAzADkAMQA5ADQAOAAwADcASQBEAEUAQQAF=&amp;Tipo=2&amp;ST=1&amp;nLang=0</t>
  </si>
  <si>
    <t>https://www.clickideacore.com/ClickHTML5/Visit.aspx?ID=//56DAEwASwAzADkAMQA4ADkAOQA4ADUASQBEAEUAQQA4=&amp;Tipo=2&amp;ST=1&amp;nLang=0</t>
  </si>
  <si>
    <t>https://www.clickideacore.com/ClickHTML5/Visit.aspx?ID=//53DAEwASwAzADkAMQA4ADgANAA2ADMASQBEAEUAQQA3=&amp;Tipo=2&amp;ST=1&amp;nLang=0</t>
  </si>
  <si>
    <t>https://www.clickideacore.com/ClickHTML5/Visit.aspx?ID=//52DAEwASwAzADkAMQA5ADMAMAAwADIASQBEAEUAQQA1=&amp;Tipo=2&amp;ST=1&amp;nLang=0</t>
  </si>
  <si>
    <t>https://www.clickideacore.com/ClickHTML5/Visit.aspx?ID=//5ADAEwASwAzADkAMQA4ADgANwA2ADUASQBEAEUAQQAC=&amp;Tipo=2&amp;ST=1&amp;nLang=0</t>
  </si>
  <si>
    <t>https://www.clickideacore.com/ClickHTML5/Visit.aspx?ID=//56DAEwASwAzADkAMQA5ADAAOAAzADUASQBEAEUAQQA4=&amp;Tipo=2&amp;ST=1&amp;nLang=0</t>
  </si>
  <si>
    <t>https://www.clickideacore.com/ClickHTML5/Visit.aspx?ID=//50DAEwASwAzADkAMQA5ADQAOAAzADcASQBEAEUAQQAE=&amp;Tipo=2&amp;ST=1&amp;nLang=0</t>
  </si>
  <si>
    <t>https://www.clickideacore.com/ClickHTML5/Visit.aspx?ID=//5CDAEwASwAzADkAMQA5ADAANgAzADAASQBEAEUAQQA6=&amp;Tipo=2&amp;ST=1&amp;nLang=0</t>
  </si>
  <si>
    <t>https://www.clickideacore.com/ClickHTML5/Visit.aspx?ID=//50DAEwASwAzADkAMQA5ADUANQAwADEASQBEAEUAQQAB=&amp;Tipo=2&amp;ST=1&amp;nLang=0</t>
  </si>
  <si>
    <t>https://www.clickideacore.com/ClickHTML5/Visit.aspx?ID=//58DAEwASwAzADkAMQA3ADkAMAA5ADUASQBEAEUAQQA3=&amp;Tipo=2&amp;ST=1&amp;nLang=0</t>
  </si>
  <si>
    <t>https://www.clickideacore.com/ClickHTML5/Visit.aspx?ID=//5BDAEwASwAzADkAMQA5ADUAMgAzADcASQBEAEUAQQAB=&amp;Tipo=2&amp;ST=1&amp;nLang=0</t>
  </si>
  <si>
    <t>https://www.clickideacore.com/ClickHTML5/Visit.aspx?ID=//5ADAEwASwAzADkAMgA0ADQANwAyADAASQBEAEUAQQAC=&amp;Tipo=2&amp;ST=1&amp;nLang=0</t>
  </si>
  <si>
    <t>https://www.clickideacore.com/ClickHTML5/Visit.aspx?ID=//57DAEwASwAzADkAMgA0ADAAOAAyADkASQBEAEUAQQAE=&amp;Tipo=2&amp;ST=1&amp;nLang=0</t>
  </si>
  <si>
    <t>https://www.clickideacore.com/ClickHTML5/Visit.aspx?ID=//59DAEwASwAzADkAMgAzADkAOQA4ADUASQBEAEUAQQA6=&amp;Tipo=2&amp;ST=1&amp;nLang=0</t>
  </si>
  <si>
    <t>https://www.clickideacore.com/ClickHTML5/Visit.aspx?ID=//53DAEwASwAzADkAMgA0ADIAMQA3ADEASQBEAEUAQQAB=&amp;Tipo=2&amp;ST=1&amp;nLang=0</t>
  </si>
  <si>
    <t>https://www.clickideacore.com/ClickHTML5/Visit.aspx?ID=//51DAEwASwAzADkAMgAzADUAMQA0ADAASQBEAEUAQQAF=&amp;Tipo=2&amp;ST=1&amp;nLang=0</t>
  </si>
  <si>
    <t>https://www.clickideacore.com/ClickHTML5/Visit.aspx?ID=//57DAEwASwAzADkAMgA0ADIANwA1ADAASQBEAEUAQQA4=&amp;Tipo=2&amp;ST=1&amp;nLang=0</t>
  </si>
  <si>
    <t>https://www.clickideacore.com/ClickHTML5/Visit.aspx?ID=//5DDAEwASwAzADkAMgAzADgAMQA3ADkASQBEAEUAQQA0=&amp;Tipo=2&amp;ST=1&amp;nLang=0</t>
  </si>
  <si>
    <t>https://www.clickideacore.com/ClickHTML5/Visit.aspx?ID=//5CDAEwASwAzADkAMgAzADcAMAA4ADQASQBEAEUAQQAB=&amp;Tipo=2&amp;ST=1&amp;nLang=0</t>
  </si>
  <si>
    <t>https://www.clickideacore.com/ClickHTML5/Visit.aspx?ID=//52DAEwASwAzADkAMgAyADgAMgA2ADQASQBEAEUAQQA4=&amp;Tipo=2&amp;ST=1&amp;nLang=0</t>
  </si>
  <si>
    <t>https://www.clickideacore.com/ClickHTML5/Visit.aspx?ID=//5ADAEwASwAzADkAMgA0ADMAMwAzADAASQBEAEUAQQAC=&amp;Tipo=2&amp;ST=1&amp;nLang=0</t>
  </si>
  <si>
    <t>https://www.clickideacore.com/ClickHTML5/Visit.aspx?ID=//5ADAEwASwAzADkAMgA0ADIAOAAxADgASQBEAEUAQQA4=&amp;Tipo=2&amp;ST=1&amp;nLang=0</t>
  </si>
  <si>
    <t>https://www.clickideacore.com/ClickHTML5/Visit.aspx?ID=//5BDAEwASwAzADkAMgAzADgANQA3ADMASQBEAEUAQQA1=&amp;Tipo=2&amp;ST=1&amp;nLang=0</t>
  </si>
  <si>
    <t>https://www.clickideacore.com/ClickHTML5/Visit.aspx?ID=//59DAEwASwAzADkAMgAzADAAOAA5ADMASQBEAEUAQQAA=&amp;Tipo=2&amp;ST=1&amp;nLang=0</t>
  </si>
  <si>
    <t>https://www.clickideacore.com/ClickHTML5/Visit.aspx?ID=//5FDAEwASwAzADkAMgAzADUANQAyADIASQBEAEUAQQA8=&amp;Tipo=2&amp;ST=1&amp;nLang=0</t>
  </si>
  <si>
    <t>https://www.clickideacore.com/ClickHTML5/Visit.aspx?ID=//5CDAEwASwAzADkAMgA0ADIAOAAxADcASQBEAEUAQQAF=&amp;Tipo=2&amp;ST=1&amp;nLang=0</t>
  </si>
  <si>
    <t>https://www.clickideacore.com/ClickHTML5/Visit.aspx?ID=//5FDAEwASwAzADkAMgAzADcAOQA1ADMASQBEAEUAQQA8=&amp;Tipo=2&amp;ST=1&amp;nLang=0</t>
  </si>
  <si>
    <t>https://www.clickideacore.com/ClickHTML5/Visit.aspx?ID=//5ADAEwASwAzADkAMgA0ADQANwAxADcASQBEAEUAQQAD=&amp;Tipo=2&amp;ST=1&amp;nLang=0</t>
  </si>
  <si>
    <t>https://www.clickideacore.com/ClickHTML5/Visit.aspx?ID=//57DAEwASwAzADkAMgA2ADgANgAzADQASQBEAEUAQQA0=&amp;Tipo=2&amp;ST=1&amp;nLang=0</t>
  </si>
  <si>
    <t>https://www.clickideacore.com/ClickHTML5/Visit.aspx?ID=//52DAEwASwAzADkAMgA1ADkANwA2ADQASQBEAEUAQQA3=&amp;Tipo=2&amp;ST=1&amp;nLang=0</t>
  </si>
  <si>
    <t>https://www.clickideacore.com/ClickHTML5/Visit.aspx?ID=//55DAEwASwAzADkAMgA2ADgANwAzADYASQBEAEUAQQAD=&amp;Tipo=2&amp;ST=1&amp;nLang=0</t>
  </si>
  <si>
    <t>https://www.clickideacore.com/ClickHTML5/Visit.aspx?ID=//5CDAEwASwAzADkAMgA1ADgAMAA4ADEASQBEAEUAQQA9=&amp;Tipo=2&amp;ST=1&amp;nLang=0</t>
  </si>
  <si>
    <t>https://www.clickideacore.com/ClickHTML5/Visit.aspx?ID=//5CDAEwASwAzADkAMgA2ADUAMAA0ADYASQBEAEUAQQA0=&amp;Tipo=2&amp;ST=1&amp;nLang=0</t>
  </si>
  <si>
    <t>https://www.clickideacore.com/ClickHTML5/Visit.aspx?ID=//59DAEwASwAzADkAMgA2ADIANAAyADIASQBEAEUAQQA9=&amp;Tipo=2&amp;ST=1&amp;nLang=0</t>
  </si>
  <si>
    <t>https://www.clickideacore.com/ClickHTML5/Visit.aspx?ID=//5EDAEwASwAzADkAMgA2ADYANAA3ADkASQBEAEUAQQA2=&amp;Tipo=2&amp;ST=1&amp;nLang=0</t>
  </si>
  <si>
    <t>https://www.clickideacore.com/ClickHTML5/Visit.aspx?ID=//5BDAEwASwAzADkAMgA2ADMAMQA0ADAASQBEAEUAQQAD=&amp;Tipo=2&amp;ST=1&amp;nLang=0</t>
  </si>
  <si>
    <t>https://www.clickideacore.com/ClickHTML5/Visit.aspx?ID=//5BDAEwASwAzADkAMgA1ADkAMwAwADcASQBEAEUAQQA6=&amp;Tipo=2&amp;ST=1&amp;nLang=0</t>
  </si>
  <si>
    <t>https://www.clickideacore.com/ClickHTML5/Visit.aspx?ID=//5FDAEwASwAzADkAMgA2ADcANAA2ADUASQBEAEUAQQA8=&amp;Tipo=2&amp;ST=1&amp;nLang=0</t>
  </si>
  <si>
    <t>https://www.clickideacore.com/ClickHTML5/Visit.aspx?ID=//5EDAEwASwAzADkAMgA2ADMAOAA2ADYASQBEAEUAQQAA=&amp;Tipo=2&amp;ST=1&amp;nLang=0</t>
  </si>
  <si>
    <t>https://www.clickideacore.com/ClickHTML5/Visit.aspx?ID=//52DAEwASwAzADkAMgA1ADYAMAAzADgASQBEAEUAQQAE=&amp;Tipo=2&amp;ST=1&amp;nLang=0</t>
  </si>
  <si>
    <t>https://www.clickideacore.com/ClickHTML5/Visit.aspx?ID=//55DAEwASwAzADkAMgA2ADEAMwAyADQASQBEAEUAQQA3=&amp;Tipo=2&amp;ST=1&amp;nLang=0</t>
  </si>
  <si>
    <t>https://www.clickideacore.com/ClickHTML5/Visit.aspx?ID=//5FDAEwASwAzADkAMgA2ADcANgAxADIASQBEAEUAQQA6=&amp;Tipo=2&amp;ST=1&amp;nLang=0</t>
  </si>
  <si>
    <t>https://www.clickideacore.com/ClickHTML5/Visit.aspx?ID=//56DAEwASwAzADkAMgA1ADkAOQAyADcASQBEAEUAQQA3=&amp;Tipo=2&amp;ST=1&amp;nLang=0</t>
  </si>
  <si>
    <t>https://www.clickideacore.com/ClickHTML5/Visit.aspx?ID=//5FDAEwASwAzADkAMgA2ADUAMgA0ADAASQBEAEUAQQAA=&amp;Tipo=2&amp;ST=1&amp;nLang=0</t>
  </si>
  <si>
    <t>https://www.clickideacore.com/ClickHTML5/Visit.aspx?ID=//5FDAEwASwAzADkAMgA1ADkAMgA3ADMASQBEAEUAQQA2=&amp;Tipo=2&amp;ST=1&amp;nLang=0</t>
  </si>
  <si>
    <t>https://www.clickideacore.com/ClickHTML5/Visit.aspx?ID=//53DAEwASwAzADkAMgA5ADIAOAA3ADMASQBEAEUAQQAF=&amp;Tipo=2&amp;ST=1&amp;nLang=0</t>
  </si>
  <si>
    <t>https://www.clickideacore.com/ClickHTML5/Visit.aspx?ID=//51DAEwASwAzADkAMgA3ADkAMgA2ADIASQBEAEUAQQAA=&amp;Tipo=2&amp;ST=1&amp;nLang=0</t>
  </si>
  <si>
    <t>https://www.clickideacore.com/ClickHTML5/Visit.aspx?ID=//5EDAEwASwAzADkAMgA4ADUAOAA1ADkASQBEAEUAQQA8=&amp;Tipo=2&amp;ST=1&amp;nLang=0</t>
  </si>
  <si>
    <t>https://www.clickideacore.com/ClickHTML5/Visit.aspx?ID=//56DAEwASwAzADkAMgA5ADAAOQAxADgASQBEAEUAQQA3=&amp;Tipo=2&amp;ST=1&amp;nLang=0</t>
  </si>
  <si>
    <t>https://www.clickideacore.com/ClickHTML5/Visit.aspx?ID=//56DAEwASwAzADkAMgA3ADcAOQAxADcASQBEAEUAQQAE=&amp;Tipo=2&amp;ST=1&amp;nLang=0</t>
  </si>
  <si>
    <t>https://www.clickideacore.com/ClickHTML5/Visit.aspx?ID=//50DAEwASwAzADkAMgA4ADEANgA1ADcASQBEAEUAQQAE=&amp;Tipo=2&amp;ST=1&amp;nLang=0</t>
  </si>
  <si>
    <t>https://www.clickideacore.com/ClickHTML5/Visit.aspx?ID=//57DAEwASwAzADkAMgA4ADcAMgA1ADEASQBEAEUAQQA9=&amp;Tipo=2&amp;ST=1&amp;nLang=0</t>
  </si>
  <si>
    <t>https://www.clickideacore.com/ClickHTML5/Visit.aspx?ID=//52DAEwASwAzADkAMgA4ADQAMwAyADgASQBEAEUAQQA1=&amp;Tipo=2&amp;ST=1&amp;nLang=0</t>
  </si>
  <si>
    <t>https://www.clickideacore.com/ClickHTML5/Visit.aspx?ID=//58DAEwASwAzADkAMgA4ADEAMwA5ADYASQBEAEUAQQA9=&amp;Tipo=2&amp;ST=1&amp;nLang=0</t>
  </si>
  <si>
    <t>https://www.clickideacore.com/ClickHTML5/Visit.aspx?ID=//56DAEwASwAzADkAMgA5ADEAMAA5ADEASQBEAEUAQQA9=&amp;Tipo=2&amp;ST=1&amp;nLang=0</t>
  </si>
  <si>
    <t>https://www.clickideacore.com/ClickHTML5/Visit.aspx?ID=//5EDAEwASwAzADkAMgA4ADQAOQAwADIASQBEAEUAQQAF=&amp;Tipo=2&amp;ST=1&amp;nLang=0</t>
  </si>
  <si>
    <t>https://www.clickideacore.com/ClickHTML5/Visit.aspx?ID=//5BDAEwASwAzADkAMgA4ADgANQAyADcASQBEAEUAQQA4=&amp;Tipo=2&amp;ST=1&amp;nLang=0</t>
  </si>
  <si>
    <t>https://www.clickideacore.com/ClickHTML5/Visit.aspx?ID=//55DAEwASwAzADkAMgA3ADkAOQAwADIASQBEAEUAQQA4=&amp;Tipo=2&amp;ST=1&amp;nLang=0</t>
  </si>
  <si>
    <t>https://www.clickideacore.com/ClickHTML5/Visit.aspx?ID=//56DAEwASwAzADkAMgA4ADQAMAAwADMASQBEAEUAQQA0=&amp;Tipo=2&amp;ST=1&amp;nLang=0</t>
  </si>
  <si>
    <t>https://www.clickideacore.com/ClickHTML5/Visit.aspx?ID=//5BDAEwASwAzADkAMgA5ADEAMgA0ADgASQBEAEUAQQA0=&amp;Tipo=2&amp;ST=1&amp;nLang=0</t>
  </si>
  <si>
    <t>https://www.clickideacore.com/ClickHTML5/Visit.aspx?ID=//5CDAEwASwAzADkAMgA4ADgAOQA2ADAASQBEAEUAQQAA=&amp;Tipo=2&amp;ST=1&amp;nLang=0</t>
  </si>
  <si>
    <t>https://www.clickideacore.com/ClickHTML5/Visit.aspx?ID=//51DAEwASwAzADkAMgA4ADgAMQA2ADkASQBEAEUAQQA5=&amp;Tipo=2&amp;ST=1&amp;nLang=0</t>
  </si>
  <si>
    <t>https://www.clickideacore.com/ClickHTML5/Visit.aspx?ID=//53DAEwASwAzADkAMgA4ADIANgA1ADMASQBEAEUAQQA1=&amp;Tipo=2&amp;ST=1&amp;nLang=0</t>
  </si>
  <si>
    <t>https://www.clickideacore.com/ClickHTML5/Visit.aspx?ID=//54DAEwASwAzADkAMwAxADcAMQAyADYASQBEAEUAQQA2=&amp;Tipo=2&amp;ST=1&amp;nLang=0</t>
  </si>
  <si>
    <t>https://www.clickideacore.com/ClickHTML5/Visit.aspx?ID=//5ADAEwASwAzADkAMwAwADQAMgAzADgASQBEAEUAQQA7=&amp;Tipo=2&amp;ST=1&amp;nLang=0</t>
  </si>
  <si>
    <t>https://www.clickideacore.com/ClickHTML5/Visit.aspx?ID=//56DAEwASwAzADkAMwAxADYAOQAyADUASQBEAEUAQQA7=&amp;Tipo=2&amp;ST=1&amp;nLang=0</t>
  </si>
  <si>
    <t>https://www.clickideacore.com/ClickHTML5/Visit.aspx?ID=//54DAEwASwAzADkAMwAwADkANwA3ADgASQBEAEUAQQAB=&amp;Tipo=2&amp;ST=1&amp;nLang=0</t>
  </si>
  <si>
    <t>https://www.clickideacore.com/ClickHTML5/Visit.aspx?ID=//51DAEwASwAzADkAMwAwADcANwAwADAASQBEAEUAQQA7=&amp;Tipo=2&amp;ST=1&amp;nLang=0</t>
  </si>
  <si>
    <t>https://www.clickideacore.com/ClickHTML5/Visit.aspx?ID=//59DAEwASwAzADkAMwAwADgANAA0ADUASQBEAEUAQQAD=&amp;Tipo=2&amp;ST=1&amp;nLang=0</t>
  </si>
  <si>
    <t>https://www.clickideacore.com/ClickHTML5/Visit.aspx?ID=//5ADAEwASwAzADkAMwAxADYAMQA1ADMASQBEAEUAQQAF=&amp;Tipo=2&amp;ST=1&amp;nLang=0</t>
  </si>
  <si>
    <t>https://www.clickideacore.com/ClickHTML5/Visit.aspx?ID=//5BDAEwASwAzADkAMwAwADgANwAxADYASQBEAEUAQQA2=&amp;Tipo=2&amp;ST=1&amp;nLang=0</t>
  </si>
  <si>
    <t>https://www.clickideacore.com/ClickHTML5/Visit.aspx?ID=//53DAEwASwAzADkAMwAxADEAOAAxADgASQBEAEUAQQA8=&amp;Tipo=2&amp;ST=1&amp;nLang=0</t>
  </si>
  <si>
    <t>https://www.clickideacore.com/ClickHTML5/Visit.aspx?ID=//52DAEwASwAzADkAMwAwADMANAA0ADUASQBEAEUAQQA1=&amp;Tipo=2&amp;ST=1&amp;nLang=0</t>
  </si>
  <si>
    <t>https://www.clickideacore.com/ClickHTML5/Visit.aspx?ID=//5DDAEwASwAzADkAMwAwADcANwA1ADkASQBEAEUAQQA2=&amp;Tipo=2&amp;ST=1&amp;nLang=0</t>
  </si>
  <si>
    <t>https://www.clickideacore.com/ClickHTML5/Visit.aspx?ID=//55DAEwASwAzADkAMwAwADcANAAwADAASQBEAEUAQQA6=&amp;Tipo=2&amp;ST=1&amp;nLang=0</t>
  </si>
  <si>
    <t>https://www.clickideacore.com/ClickHTML5/Visit.aspx?ID=//59DAEwASwAzADkAMwAxADUAOAAyADEASQBEAEUAQQAB=&amp;Tipo=2&amp;ST=1&amp;nLang=0</t>
  </si>
  <si>
    <t>https://www.clickideacore.com/ClickHTML5/Visit.aspx?ID=//5CDAEwASwAzADkAMwAxADEANgA1ADYASQBEAEUAQQA8=&amp;Tipo=2&amp;ST=1&amp;nLang=0</t>
  </si>
  <si>
    <t>https://www.clickideacore.com/ClickHTML5/Visit.aspx?ID=//53DAEwASwAzADkAMwAwADMANgA5ADUASQBEAEUAQQAA=&amp;Tipo=2&amp;ST=1&amp;nLang=0</t>
  </si>
  <si>
    <t>https://www.clickideacore.com/ClickHTML5/Visit.aspx?ID=//5DDAEwASwAzADkAMwAyADkANgAzADcASQBEAEUAQQA6=&amp;Tipo=2&amp;ST=1&amp;nLang=0</t>
  </si>
  <si>
    <t>https://www.clickideacore.com/ClickHTML5/Visit.aspx?ID=//51DAEwASwAzADkAMwAzADkAOQAwADcASQBEAEUAQQAD=&amp;Tipo=2&amp;ST=1&amp;nLang=0</t>
  </si>
  <si>
    <t>https://www.clickideacore.com/ClickHTML5/Visit.aspx?ID=//5CDAEwASwAzADkAMwAyADkANgAzADQASQBEAEUAQQAB=&amp;Tipo=2&amp;ST=1&amp;nLang=0</t>
  </si>
  <si>
    <t>https://www.clickideacore.com/ClickHTML5/Visit.aspx?ID=//51DAEwASwAzADkAMwAzADcANAAxADQASQBEAEUAQQA7=&amp;Tipo=2&amp;ST=1&amp;nLang=0</t>
  </si>
  <si>
    <t>https://www.clickideacore.com/ClickHTML5/Visit.aspx?ID=//5CDAEwASwAzADkAMwAyADkAOQAyADMASQBEAEUAQQAA=&amp;Tipo=2&amp;ST=1&amp;nLang=0</t>
  </si>
  <si>
    <t>https://www.clickideacore.com/ClickHTML5/Visit.aspx?ID=//51DAEwASwAzADkAMwAyADcAMwA5ADgASQBEAEUAQQAC=&amp;Tipo=2&amp;ST=1&amp;nLang=0</t>
  </si>
  <si>
    <t>https://www.clickideacore.com/ClickHTML5/Visit.aspx?ID=//53DAEwASwAzADkAMwAzADkANQA2ADkASQBEAEUAQQAA=&amp;Tipo=2&amp;ST=1&amp;nLang=0</t>
  </si>
  <si>
    <t>https://www.clickideacore.com/ClickHTML5/Visit.aspx?ID=//59DAEwASwAzADkAMwAyADkAOAA5ADIASQBEAEUAQQA4=&amp;Tipo=2&amp;ST=1&amp;nLang=0</t>
  </si>
  <si>
    <t>https://www.clickideacore.com/ClickHTML5/Visit.aspx?ID=//57DAEwASwAzADkAMwAyADYAOQA1ADEASQBEAEUAQQAB=&amp;Tipo=2&amp;ST=1&amp;nLang=0</t>
  </si>
  <si>
    <t>https://www.clickideacore.com/ClickHTML5/Visit.aspx?ID=//5EDAEwASwAzADkAMwAzADEAOAAwADMASQBEAEUAQQA3=&amp;Tipo=2&amp;ST=1&amp;nLang=0</t>
  </si>
  <si>
    <t>https://www.clickideacore.com/ClickHTML5/Visit.aspx?ID=//5FDAEwASwAzADkAMwAzADcANAAxADcASQBEAEUAQQA6=&amp;Tipo=2&amp;ST=1&amp;nLang=0</t>
  </si>
  <si>
    <t>https://www.clickideacore.com/ClickHTML5/Visit.aspx?ID=//52DAEwASwAzADkAMwAzADUAOQA2ADIASQBEAEUAQQAE=&amp;Tipo=2&amp;ST=1&amp;nLang=0</t>
  </si>
  <si>
    <t>https://www.clickideacore.com/ClickHTML5/Visit.aspx?ID=//52DAEwASwAzADkAMwAzADEAMAA4ADkASQBEAEUAQQAC=&amp;Tipo=2&amp;ST=1&amp;nLang=0</t>
  </si>
  <si>
    <t>https://www.clickideacore.com/ClickHTML5/Visit.aspx?ID=//51DAEwASwAzADkAMwA1ADMANgAzADcASQBEAEUAQQA9=&amp;Tipo=2&amp;ST=1&amp;nLang=0</t>
  </si>
  <si>
    <t>https://www.clickideacore.com/ClickHTML5/Visit.aspx?ID=//53DAEwASwAzADkAMwA1ADQANgA0ADEASQBEAEUAQQA7=&amp;Tipo=2&amp;ST=1&amp;nLang=0</t>
  </si>
  <si>
    <t>https://www.clickideacore.com/ClickHTML5/Visit.aspx?ID=//56DAEwASwAzADkAMwA2ADMAOQAwADQASQBEAEUAQQA1=&amp;Tipo=2&amp;ST=1&amp;nLang=0</t>
  </si>
  <si>
    <t>https://www.clickideacore.com/ClickHTML5/Visit.aspx?ID=//52DAEwASwAzADkAMwA2ADQANgA2ADQASQBEAEUAQQAF=&amp;Tipo=2&amp;ST=1&amp;nLang=0</t>
  </si>
  <si>
    <t>https://www.clickideacore.com/ClickHTML5/Visit.aspx?ID=//51DAEwASwAzADkAMwA2ADIANwAzADUASQBEAEUAQQAE=&amp;Tipo=2&amp;ST=1&amp;nLang=0</t>
  </si>
  <si>
    <t>https://www.clickideacore.com/ClickHTML5/Visit.aspx?ID=//57DAEwASwAzADkAMwA2ADkAMAA1ADEASQBEAEUAQQA0=&amp;Tipo=2&amp;ST=1&amp;nLang=0</t>
  </si>
  <si>
    <t>https://www.clickideacore.com/ClickHTML5/Visit.aspx?ID=//54DAEwASwAzADkAMwA3ADYAMwA5ADgASQBEAEUAQQA0=&amp;Tipo=2&amp;ST=1&amp;nLang=0</t>
  </si>
  <si>
    <t>https://www.clickideacore.com/ClickHTML5/Visit.aspx?ID=//5CDAEwASwAzADkAMwA3ADEAMQA5ADEASQBEAEUAQQA9=&amp;Tipo=2&amp;ST=1&amp;nLang=0</t>
  </si>
  <si>
    <t>https://www.clickideacore.com/ClickHTML5/Visit.aspx?ID=//57DAEwASwAzADkAMwA3ADUAOQAyADgASQBEAEUAQQA7=&amp;Tipo=2&amp;ST=1&amp;nLang=0</t>
  </si>
  <si>
    <t>https://www.clickideacore.com/ClickHTML5/Visit.aspx?ID=//5EDAEwASwAzADkAMwA3ADIAMAA5ADgASQBEAEUAQQA4=&amp;Tipo=2&amp;ST=1&amp;nLang=0</t>
  </si>
  <si>
    <t>https://www.clickideacore.com/ClickHTML5/Visit.aspx?ID=//51DAEwASwAzADkAMwA3ADEAMQA5ADIASQBEAEUAQQA1=&amp;Tipo=2&amp;ST=1&amp;nLang=0</t>
  </si>
  <si>
    <t>https://www.clickideacore.com/ClickHTML5/Visit.aspx?ID=//50DAEwASwAzADkAMwA3ADIANwAwADkASQBEAEUAQQAD=&amp;Tipo=2&amp;ST=1&amp;nLang=0</t>
  </si>
  <si>
    <t>https://www.clickideacore.com/ClickHTML5/Visit.aspx?ID=//52DAEwASwAzADkAMwA3ADAANwA0ADYASQBEAEUAQQA2=&amp;Tipo=2&amp;ST=1&amp;nLang=0</t>
  </si>
  <si>
    <t>https://www.clickideacore.com/ClickHTML5/Visit.aspx?ID=//55DAEwASwAzADkAMwA3ADMAMgAzADUASQBEAEUAQQAB=&amp;Tipo=2&amp;ST=1&amp;nLang=0</t>
  </si>
  <si>
    <t>https://www.clickideacore.com/ClickHTML5/Visit.aspx?ID=//56DAEwASwAzADkAMwA3ADIANgA3ADcASQBEAEUAQQA4=&amp;Tipo=2&amp;ST=1&amp;nLang=0</t>
  </si>
  <si>
    <t>https://www.clickideacore.com/ClickHTML5/Visit.aspx?ID=//5DDAEwASwAzADkAMwA3ADMAOAA5ADUASQBEAEUAQQAD=&amp;Tipo=2&amp;ST=1&amp;nLang=0</t>
  </si>
  <si>
    <t>https://www.clickideacore.com/ClickHTML5/Visit.aspx?ID=//53DAEwASwAzADkAMwA3ADUANgAzADUASQBEAEUAQQA8=&amp;Tipo=2&amp;ST=1&amp;nLang=0</t>
  </si>
  <si>
    <t>https://www.clickideacore.com/ClickHTML5/Visit.aspx?ID=//51DAEwASwAzADkAMwA3ADMANwA3ADYASQBEAEUAQQA0=&amp;Tipo=2&amp;ST=1&amp;nLang=0</t>
  </si>
  <si>
    <t>https://www.clickideacore.com/ClickHTML5/Visit.aspx?ID=//58DAEwASwAzADkAMwA3ADYAMwA4ADIASQBEAEUAQQAD=&amp;Tipo=2&amp;ST=1&amp;nLang=0</t>
  </si>
  <si>
    <t>https://www.clickideacore.com/ClickHTML5/Visit.aspx?ID=//54DAEwASwAzADkAMwA3ADEANQAxADcASQBEAEUAQQA5=&amp;Tipo=2&amp;ST=1&amp;nLang=0</t>
  </si>
  <si>
    <t>https://www.clickideacore.com/ClickHTML5/Visit.aspx?ID=//59DAEwASwAzADkAMwA4ADkANgA5ADMASQBEAEUAQQAA=&amp;Tipo=2&amp;ST=1&amp;nLang=0</t>
  </si>
  <si>
    <t>https://www.clickideacore.com/ClickHTML5/Visit.aspx?ID=//55DAEwASwAzADkANAAwADEAMwA1ADQASQBEAEUAQQAE=&amp;Tipo=2&amp;ST=1&amp;nLang=0</t>
  </si>
  <si>
    <t>https://www.clickideacore.com/ClickHTML5/Visit.aspx?ID=//5CDAEwASwAzADkAMwA4ADEAMAAxADcASQBEAEUAQQAD=&amp;Tipo=2&amp;ST=1&amp;nLang=0</t>
  </si>
  <si>
    <t>https://www.clickideacore.com/ClickHTML5/Visit.aspx?ID=//5FDAEwASwAzADkAMwA4ADgANQAyADIASQBEAEUAQQA6=&amp;Tipo=2&amp;ST=1&amp;nLang=0</t>
  </si>
  <si>
    <t>https://www.clickideacore.com/ClickHTML5/Visit.aspx?ID=//5DDAEwASwAzADkAMwA5ADcANAA2ADQASQBEAEUAQQA9=&amp;Tipo=2&amp;ST=1&amp;nLang=0</t>
  </si>
  <si>
    <t>https://www.clickideacore.com/ClickHTML5/Visit.aspx?ID=//5BDAEwASwAzADkAMwA5ADAANAA3ADIASQBEAEUAQQAB=&amp;Tipo=2&amp;ST=1&amp;nLang=0</t>
  </si>
  <si>
    <t>https://www.clickideacore.com/ClickHTML5/Visit.aspx?ID=//5ADAEwASwAzADkAMwA5ADAANgAwADYASQBEAEUAQQA2=&amp;Tipo=2&amp;ST=1&amp;nLang=0</t>
  </si>
  <si>
    <t>https://www.clickideacore.com/ClickHTML5/Visit.aspx?ID=//5FDAEwASwAzADkAMwA5ADIAMQAyADAASQBEAEUAQQAC=&amp;Tipo=2&amp;ST=1&amp;nLang=0</t>
  </si>
  <si>
    <t>https://www.clickideacore.com/ClickHTML5/Visit.aspx?ID=//5BDAEwASwAzADkAMwA5ADkAOAA0ADYASQBEAEUAQQAD=&amp;Tipo=2&amp;ST=1&amp;nLang=0</t>
  </si>
  <si>
    <t>https://www.clickideacore.com/ClickHTML5/Visit.aspx?ID=//56DAEwASwAzADkAMwA5ADYAMQAxADUASQBEAEUAQQAD=&amp;Tipo=2&amp;ST=1&amp;nLang=0</t>
  </si>
  <si>
    <t>https://www.clickideacore.com/ClickHTML5/Visit.aspx?ID=//52DAEwASwAzADkAMwA5ADAAOAA4ADEASQBEAEUAQQA3=&amp;Tipo=2&amp;ST=1&amp;nLang=0</t>
  </si>
  <si>
    <t>https://www.clickideacore.com/ClickHTML5/Visit.aspx?ID=//52DAEwASwAzADkANAAwADAAMQA0ADMASQBEAEUAQQAA=&amp;Tipo=2&amp;ST=1&amp;nLang=0</t>
  </si>
  <si>
    <t>https://www.clickideacore.com/ClickHTML5/Visit.aspx?ID=//5CDAEwASwAzADkAMwA5ADMANgAyADcASQBEAEUAQQA9=&amp;Tipo=2&amp;ST=1&amp;nLang=0</t>
  </si>
  <si>
    <t>https://www.clickideacore.com/ClickHTML5/Visit.aspx?ID=//56DAEwASwAzADkANAAwADAAOQA4ADMASQBEAEUAQQAD=&amp;Tipo=2&amp;ST=1&amp;nLang=0</t>
  </si>
  <si>
    <t>https://www.clickideacore.com/ClickHTML5/Visit.aspx?ID=//5DDAEwASwAzADkAMwA4ADgANwAxADgASQBEAEUAQQA5=&amp;Tipo=2&amp;ST=1&amp;nLang=0</t>
  </si>
  <si>
    <t>OP-S-0016</t>
  </si>
  <si>
    <t>OP-S-0017</t>
  </si>
  <si>
    <t>https://www.clickideacore.com/ClickHTML5/Visit.aspx?ID=//5FDAEwASwAzADkANAAyADcAOAAzADcASQBEAEUAQQAC=&amp;Tipo=2&amp;ST=1&amp;nLang=0</t>
  </si>
  <si>
    <t>https://www.clickideacore.com/ClickHTML5/Visit.aspx?ID=//55DAEwASwAzADkANAAxADQAMQAzADMASQBEAEUAQQAE=&amp;Tipo=2&amp;ST=1&amp;nLang=0</t>
  </si>
  <si>
    <t>https://www.clickideacore.com/ClickHTML5/Visit.aspx?ID=//59DAEwASwAzADkANAAxADYAMAA4ADMASQBEAEUAQQA5=&amp;Tipo=2&amp;ST=1&amp;nLang=0</t>
  </si>
  <si>
    <t>https://www.clickideacore.com/ClickHTML5/Visit.aspx?ID=//5EDAEwASwAzADkANAAyADUAMgA4ADYASQBEAEUAQQAD=&amp;Tipo=2&amp;ST=1&amp;nLang=0</t>
  </si>
  <si>
    <t>https://www.clickideacore.com/ClickHTML5/Visit.aspx?ID=//5CDAEwASwAzADkANAAyADMAMQAzADIASQBEAEUAQQA0=&amp;Tipo=2&amp;ST=1&amp;nLang=0</t>
  </si>
  <si>
    <t>https://www.clickideacore.com/ClickHTML5/Visit.aspx?ID=//57DAEwASwAzADkANAAxADgAMwA2ADMASQBEAEUAQQAF=&amp;Tipo=2&amp;ST=1&amp;nLang=0</t>
  </si>
  <si>
    <t>https://www.clickideacore.com/ClickHTML5/Visit.aspx?ID=//51DAEwASwAzADkANAAyADIAMwA1ADAASQBEAEUAQQAB=&amp;Tipo=2&amp;ST=1&amp;nLang=0</t>
  </si>
  <si>
    <t>https://www.clickideacore.com/ClickHTML5/Visit.aspx?ID=//5ADAEwASwAzADkANAAxADMANQA3ADgASQBEAEUAQQAE=&amp;Tipo=2&amp;ST=1&amp;nLang=0</t>
  </si>
  <si>
    <t>https://www.clickideacore.com/ClickHTML5/Visit.aspx?ID=//50DAEwASwAzADkANAAxADkAMgA3ADcASQBEAEUAQQA7=&amp;Tipo=2&amp;ST=1&amp;nLang=0</t>
  </si>
  <si>
    <t>https://www.clickideacore.com/ClickHTML5/Visit.aspx?ID=//5BDAEwASwAzADkANAAxADcAMgA5ADMASQBEAEUAQQA6=&amp;Tipo=2&amp;ST=1&amp;nLang=0</t>
  </si>
  <si>
    <t>https://www.clickideacore.com/ClickHTML5/Visit.aspx?ID=//59DAEwASwAzADkANAAxADYANwA1ADAASQBEAEUAQQA7=&amp;Tipo=2&amp;ST=1&amp;nLang=0</t>
  </si>
  <si>
    <t>https://www.clickideacore.com/ClickHTML5/Visit.aspx?ID=//50DAEwASwAzADkANAAxADUAMgA0ADgASQBEAEUAQQA5=&amp;Tipo=2&amp;ST=1&amp;nLang=0</t>
  </si>
  <si>
    <t>https://www.clickideacore.com/ClickHTML5/Visit.aspx?ID=//51DAEwASwAzADkANAAyADAAMwA2ADEASQBEAEUAQQAB=&amp;Tipo=2&amp;ST=1&amp;nLang=0</t>
  </si>
  <si>
    <t>https://www.clickideacore.com/ClickHTML5/Visit.aspx?ID=//5BDAEwASwAzADkANAAyADYAMgA2ADcASQBEAEUAQQA3=&amp;Tipo=2&amp;ST=1&amp;nLang=0</t>
  </si>
  <si>
    <t>https://www.clickideacore.com/ClickHTML5/Visit.aspx?ID=//5CDAEwASwAzADkANAAyADEANwA4ADIASQBEAEUAQQAC=&amp;Tipo=2&amp;ST=1&amp;nLang=0</t>
  </si>
  <si>
    <t>https://www.clickideacore.com/ClickHTML5/Visit.aspx?ID=//58DAEwASwAzADkANAAyADcANwAyADAASQBEAEUAQQAB=&amp;Tipo=2&amp;ST=1&amp;nLang=0</t>
  </si>
  <si>
    <t>https://www.clickideacore.com/ClickHTML5/Visit.aspx?ID=//55DAEwASwAzADkANAAxADQAOQA0ADUASQBEAEUAQQAE=&amp;Tipo=2&amp;ST=1&amp;nLang=0</t>
  </si>
  <si>
    <t>https://www.clickideacore.com/ClickHTML5/Visit.aspx?ID=//59DAEwASwAzADkANAA1ADIANwAyADgASQBEAEUAQQA5=&amp;Tipo=2&amp;ST=1&amp;nLang=0</t>
  </si>
  <si>
    <t>https://www.clickideacore.com/ClickHTML5/Visit.aspx?ID=//55DAEwASwAzADkANAAzADkANQAxADgASQBEAEUAQQA7=&amp;Tipo=2&amp;ST=1&amp;nLang=0</t>
  </si>
  <si>
    <t>https://www.clickideacore.com/ClickHTML5/Visit.aspx?ID=//5DDAEwASwAzADkANAA0ADQAMAA0ADUASQBEAEUAQQAD=&amp;Tipo=2&amp;ST=1&amp;nLang=0</t>
  </si>
  <si>
    <t>https://www.clickideacore.com/ClickHTML5/Visit.aspx?ID=//5BDAEwASwAzADkANAA1ADIANAA4ADcASQBEAEUAQQAB=&amp;Tipo=2&amp;ST=1&amp;nLang=0</t>
  </si>
  <si>
    <t>https://www.clickideacore.com/ClickHTML5/Visit.aspx?ID=//51DAEwASwAzADkANAA0ADAAOAAyADEASQBEAEUAQQAE=&amp;Tipo=2&amp;ST=1&amp;nLang=0</t>
  </si>
  <si>
    <t>https://www.clickideacore.com/ClickHTML5/Visit.aspx?ID=//53DAEwASwAzADkANAA0ADAANAAyADMASQBEAEUAQQA3=&amp;Tipo=2&amp;ST=1&amp;nLang=0</t>
  </si>
  <si>
    <t>https://www.clickideacore.com/ClickHTML5/Visit.aspx?ID=//56DAEwASwAzADkANAA0ADIANQA0ADUASQBEAEUAQQA6=&amp;Tipo=2&amp;ST=1&amp;nLang=0</t>
  </si>
  <si>
    <t>https://www.clickideacore.com/ClickHTML5/Visit.aspx?ID=//5FDAEwASwAzADkANAAzADUAOQA3ADYASQBEAEUAQQA4=&amp;Tipo=2&amp;ST=1&amp;nLang=0</t>
  </si>
  <si>
    <t>https://www.clickideacore.com/ClickHTML5/Visit.aspx?ID=//52DAEwASwAzADkANAA0ADcAMQAwADAASQBEAEUAQQAE=&amp;Tipo=2&amp;ST=1&amp;nLang=0</t>
  </si>
  <si>
    <t>https://www.clickideacore.com/ClickHTML5/Visit.aspx?ID=//50DAEwASwAzADkANAA0ADUAMwAzADEASQBEAEUAQQAE=&amp;Tipo=2&amp;ST=1&amp;nLang=0</t>
  </si>
  <si>
    <t>https://www.clickideacore.com/ClickHTML5/Visit.aspx?ID=//5FDAEwASwAzADkANAA0ADMANQA0ADIASQBEAEUAQQA2=&amp;Tipo=2&amp;ST=1&amp;nLang=0</t>
  </si>
  <si>
    <t>https://www.clickideacore.com/ClickHTML5/Visit.aspx?ID=//5FDAEwASwAzADkANAA1ADIAMgA2ADEASQBEAEUAQQA5=&amp;Tipo=2&amp;ST=1&amp;nLang=0</t>
  </si>
  <si>
    <t>https://www.clickideacore.com/ClickHTML5/Visit.aspx?ID=//53DAEwASwAzADkANAA0ADUAMgAxADUASQBEAEUAQQAB=&amp;Tipo=2&amp;ST=1&amp;nLang=0</t>
  </si>
  <si>
    <t>https://www.clickideacore.com/ClickHTML5/Visit.aspx?ID=//54DAEwASwAzADkANAA1ADMAMQA0ADYASQBEAEUAQQA1=&amp;Tipo=2&amp;ST=1&amp;nLang=0</t>
  </si>
  <si>
    <t>https://www.clickideacore.com/ClickHTML5/Visit.aspx?ID=//55DAEwASwAzADkANAA0ADEANAAwADUASQBEAEUAQQA9=&amp;Tipo=2&amp;ST=1&amp;nLang=0</t>
  </si>
  <si>
    <t>OP-S-0018</t>
  </si>
  <si>
    <t>https://www.clickideacore.com/ClickHTML5/Visit.aspx?ID=//55DAEwASwAzADkANAA2ADcANwA1ADYASQBEAEUAQQAF=&amp;Tipo=2&amp;ST=1&amp;nLang=0</t>
  </si>
  <si>
    <t>https://www.clickideacore.com/ClickHTML5/Visit.aspx?ID=//5CDAEwASwAzADkANAA2ADUAMQA0ADQASQBEAEUAQQA0=&amp;Tipo=2&amp;ST=1&amp;nLang=0</t>
  </si>
  <si>
    <t>https://www.clickideacore.com/ClickHTML5/Visit.aspx?ID=//57DAEwASwAzADkANAA2ADUAOAA3ADAASQBEAEUAQQAD=&amp;Tipo=2&amp;ST=1&amp;nLang=0</t>
  </si>
  <si>
    <t>https://www.clickideacore.com/ClickHTML5/Visit.aspx?ID=//51DAEwASwAzADkANAA3ADMAMwAzADcASQBEAEUAQQAC=&amp;Tipo=2&amp;ST=1&amp;nLang=0</t>
  </si>
  <si>
    <t>https://www.clickideacore.com/ClickHTML5/Visit.aspx?ID=//5DDAEwASwAzADkANAA3ADIANgAyADQASQBEAEUAQQAC=&amp;Tipo=2&amp;ST=1&amp;nLang=0</t>
  </si>
  <si>
    <t>https://www.clickideacore.com/ClickHTML5/Visit.aspx?ID=//59DAEwASwAzADkANAA3ADUANwAyADMASQBEAEUAQQAB=&amp;Tipo=2&amp;ST=1&amp;nLang=0</t>
  </si>
  <si>
    <t>https://www.clickideacore.com/ClickHTML5/Visit.aspx?ID=//50DAEwASwAzADkANAA2ADMANAAyADQASQBEAEUAQQA1=&amp;Tipo=2&amp;ST=1&amp;nLang=0</t>
  </si>
  <si>
    <t>https://www.clickideacore.com/ClickHTML5/Visit.aspx?ID=//5ADAEwASwAzADkANAA2ADIANgA3ADEASQBEAEUAQQAD=&amp;Tipo=2&amp;ST=1&amp;nLang=0</t>
  </si>
  <si>
    <t>https://www.clickideacore.com/ClickHTML5/Visit.aspx?ID=//5EDAEwASwAzADkANAA2ADkAMQA1ADkASQBEAEUAQQAF=&amp;Tipo=2&amp;ST=1&amp;nLang=0</t>
  </si>
  <si>
    <t>https://www.clickideacore.com/ClickHTML5/Visit.aspx?ID=//5DDAEwASwAzADkANAA3ADQANQAzADIASQBEAEUAQQA0=&amp;Tipo=2&amp;ST=1&amp;nLang=0</t>
  </si>
  <si>
    <t>https://www.clickideacore.com/ClickHTML5/Visit.aspx?ID=//5FDAEwASwAzADkANAA3ADQAOAAwADQASQBEAEUAQQA2=&amp;Tipo=2&amp;ST=1&amp;nLang=0</t>
  </si>
  <si>
    <t>https://www.clickideacore.com/ClickHTML5/Visit.aspx?ID=//57DAEwASwAzADkANAA3ADEAMQA0ADQASQBEAEUAQQAD=&amp;Tipo=2&amp;ST=1&amp;nLang=0</t>
  </si>
  <si>
    <t>https://www.clickideacore.com/ClickHTML5/Visit.aspx?ID=//5EDAEwASwAzADkANAA3ADUAMwAxADEASQBEAEUAQQA0=&amp;Tipo=2&amp;ST=1&amp;nLang=0</t>
  </si>
  <si>
    <t>https://www.clickideacore.com/ClickHTML5/Visit.aspx?ID=//51DAEwASwAzADkANAA3ADEANQA0ADEASQBEAEUAQQAA=&amp;Tipo=2&amp;ST=1&amp;nLang=0</t>
  </si>
  <si>
    <t>https://www.clickideacore.com/ClickHTML5/Visit.aspx?ID=//58DAEwASwAzADkANAA3ADYAOAAwADIASQBEAEUAQQA6=&amp;Tipo=2&amp;ST=1&amp;nLang=0</t>
  </si>
  <si>
    <t>https://www.clickideacore.com/ClickHTML5/Visit.aspx?ID=//5BDAEwASwAzADkANAA2ADUAMgA3ADAASQBEAEUAQQAE=&amp;Tipo=2&amp;ST=1&amp;nLang=0</t>
  </si>
  <si>
    <t>Despacho</t>
  </si>
  <si>
    <t>https://www.clickideacore.com/ClickHTML5/Visit.aspx?ID=//53DAEwASwAzADkANAA4ADkANgAzADAASQBEAEUAQQA0=&amp;Tipo=2&amp;ST=1&amp;nLang=0</t>
  </si>
  <si>
    <t>https://www.clickideacore.com/ClickHTML5/Visit.aspx?ID=//56DAEwASwAzADkANAA4ADQAMgA1ADcASQBEAEUAQQAA=&amp;Tipo=2&amp;ST=1&amp;nLang=0</t>
  </si>
  <si>
    <t>https://www.clickideacore.com/ClickHTML5/Visit.aspx?ID=//59DAEwASwAzADkANQAwADEAOQA0ADIASQBEAEUAQQA8=&amp;Tipo=2&amp;ST=1&amp;nLang=0</t>
  </si>
  <si>
    <t>https://www.clickideacore.com/ClickHTML5/Visit.aspx?ID=//52DAEwASwAzADkANAA5ADYANQAwADkASQBEAEUAQQA5=&amp;Tipo=2&amp;ST=1&amp;nLang=0</t>
  </si>
  <si>
    <t>https://www.clickideacore.com/ClickHTML5/Visit.aspx?ID=//56DAEwASwAzADkANAA5ADYAMwAwADkASQBEAEUAQQA4=&amp;Tipo=2&amp;ST=1&amp;nLang=0</t>
  </si>
  <si>
    <t>https://www.clickideacore.com/ClickHTML5/Visit.aspx?ID=//5DDAEwASwAzADkANQAwADAANwAzADYASQBEAEUAQQA6=&amp;Tipo=2&amp;ST=1&amp;nLang=0</t>
  </si>
  <si>
    <t>https://www.clickideacore.com/ClickHTML5/Visit.aspx?ID=//5ADAEwASwAzADkANQAwADIANQAwADQASQBEAEUAQQAE=&amp;Tipo=2&amp;ST=1&amp;nLang=0</t>
  </si>
  <si>
    <t>https://www.clickideacore.com/ClickHTML5/Visit.aspx?ID=//50DAEwASwAzADkANQAyADYANgAyADMASQBEAEUAQQA4=&amp;Tipo=2&amp;ST=1&amp;nLang=0</t>
  </si>
  <si>
    <t>https://www.clickideacore.com/ClickHTML5/Visit.aspx?ID=//59DAEwASwAzADkANQAyADYANgAzADIASQBEAEUAQQA1=&amp;Tipo=2&amp;ST=1&amp;nLang=0</t>
  </si>
  <si>
    <t>https://www.clickideacore.com/ClickHTML5/Visit.aspx?ID=//53DAEwASwAzADkANQAxADgANwA2ADkASQBEAEUAQQAD=&amp;Tipo=2&amp;ST=1&amp;nLang=0</t>
  </si>
  <si>
    <t>https://www.clickideacore.com/ClickHTML5/Visit.aspx?ID=//53DAEwASwAzADkANQAyADIAOAAyADkASQBEAEUAQQA9=&amp;Tipo=2&amp;ST=1&amp;nLang=0</t>
  </si>
  <si>
    <t>https://www.clickideacore.com/ClickHTML5/Visit.aspx?ID=//5FDAEwASwAzADkANQAxADIANwA4ADEASQBEAEUAQQA4=&amp;Tipo=2&amp;ST=1&amp;nLang=0</t>
  </si>
  <si>
    <t>https://www.clickideacore.com/ClickHTML5/Visit.aspx?ID=//5BDAEwASwAzADkANQAxADIAOQA1ADUASQBEAEUAQQAA=&amp;Tipo=2&amp;ST=1&amp;nLang=0</t>
  </si>
  <si>
    <t>https://www.clickideacore.com/ClickHTML5/Visit.aspx?ID=//57DAEwASwAzADkANQAxADcAMAAwADMASQBEAEUAQQA6=&amp;Tipo=2&amp;ST=1&amp;nLang=0</t>
  </si>
  <si>
    <t>https://www.clickideacore.com/ClickHTML5/Visit.aspx?ID=//59DAEwASwAzADkANQAxADkAMgA0ADIASQBEAEUAQQAC=&amp;Tipo=2&amp;ST=1&amp;nLang=0</t>
  </si>
  <si>
    <t>https://www.clickideacore.com/ClickHTML5/Visit.aspx?ID=//5BDAEwASwAzADkANQAxADIANAA4ADQASQBEAEUAQQAC=&amp;Tipo=2&amp;ST=1&amp;nLang=0</t>
  </si>
  <si>
    <t>https://www.clickideacore.com/ClickHTML5/Visit.aspx?ID=//50DAEwASwAzADkANQAxADIANgA3ADYASQBEAEUAQQAD=&amp;Tipo=2&amp;ST=1&amp;nLang=0</t>
  </si>
  <si>
    <t>https://www.clickideacore.com/ClickHTML5/Visit.aspx?ID=//51DAEwASwAzADkANQAxADcANAAwADMASQBEAEUAQQA5=&amp;Tipo=2&amp;ST=1&amp;nLang=0</t>
  </si>
  <si>
    <t>https://www.clickideacore.com/ClickHTML5/Visit.aspx?ID=//52DAEwASwAzADkANQAyADUANAAzADYASQBEAEUAQQA3=&amp;Tipo=2&amp;ST=1&amp;nLang=0</t>
  </si>
  <si>
    <t>https://www.clickideacore.com/ClickHTML5/Visit.aspx?ID=//50DAEwASwAzADkANQAyADEANwAwADQASQBEAEUAQQA4=&amp;Tipo=2&amp;ST=1&amp;nLang=0</t>
  </si>
  <si>
    <t>https://www.clickideacore.com/ClickHTML5/Visit.aspx?ID=//55DAEwASwAzADkANQAyADcAMwAxADEASQBEAEUAQQAD=&amp;Tipo=2&amp;ST=1&amp;nLang=0</t>
  </si>
  <si>
    <t>https://www.clickideacore.com/ClickHTML5/Visit.aspx?ID=//59DAEwASwAzADkANQAxADcANQAzADcASQBEAEUAQQAD=&amp;Tipo=2&amp;ST=1&amp;nLang=0</t>
  </si>
  <si>
    <t>https://www.clickideacore.com/ClickHTML5/Visit.aspx?ID=//5DDAEwASwAzADkANQA1ADAAMAAzADQASQBEAEUAQQAE=&amp;Tipo=2&amp;ST=1&amp;nLang=0</t>
  </si>
  <si>
    <t>https://www.clickideacore.com/ClickHTML5/Visit.aspx?ID=//52DAEwASwAzADkANQA0ADMAMQA3ADkASQBEAEUAQQAA=&amp;Tipo=2&amp;ST=1&amp;nLang=0</t>
  </si>
  <si>
    <t>https://www.clickideacore.com/ClickHTML5/Visit.aspx?ID=//5CDAEwASwAzADkANQAzADgAMwA5ADEASQBEAEUAQQAD=&amp;Tipo=2&amp;ST=1&amp;nLang=0</t>
  </si>
  <si>
    <t>https://www.clickideacore.com/ClickHTML5/Visit.aspx?ID=//56DAEwASwAzADkANQA0ADAANgAwADcASQBEAEUAQQAE=&amp;Tipo=2&amp;ST=1&amp;nLang=0</t>
  </si>
  <si>
    <t>https://www.clickideacore.com/ClickHTML5/Visit.aspx?ID=//58DAEwASwAzADkANQAzADkAMAAzADcASQBEAEUAQQA9=&amp;Tipo=2&amp;ST=1&amp;nLang=0</t>
  </si>
  <si>
    <t>https://www.clickideacore.com/ClickHTML5/Visit.aspx?ID=//54DAEwASwAzADkANQA0ADAAMwAxADMASQBEAEUAQQA2=&amp;Tipo=2&amp;ST=1&amp;nLang=0</t>
  </si>
  <si>
    <t>https://www.clickideacore.com/ClickHTML5/Visit.aspx?ID=//55DAEwASwAzADkANQA0ADAAOAAwADAASQBEAEUAQQA7=&amp;Tipo=2&amp;ST=1&amp;nLang=0</t>
  </si>
  <si>
    <t>https://www.clickideacore.com/ClickHTML5/Visit.aspx?ID=//56DAEwASwAzADkANQAzADgAMQA5ADYASQBEAEUAQQAF=&amp;Tipo=2&amp;ST=1&amp;nLang=0</t>
  </si>
  <si>
    <t>https://www.clickideacore.com/ClickHTML5/Visit.aspx?ID=//53DAEwASwAzADkANQA0ADMANAAyADkASQBEAEUAQQAA=&amp;Tipo=2&amp;ST=1&amp;nLang=0</t>
  </si>
  <si>
    <t>https://www.clickideacore.com/ClickHTML5/Visit.aspx?ID=//5DDAEwASwAzADkANQA0ADQAMwA4ADQASQBEAEUAQQA1=&amp;Tipo=2&amp;ST=1&amp;nLang=0</t>
  </si>
  <si>
    <t>https://www.clickideacore.com/ClickHTML5/Visit.aspx?ID=//5FDAEwASwAzADkANQA0ADEAMAAwADIASQBEAEUAQQA9=&amp;Tipo=2&amp;ST=1&amp;nLang=0</t>
  </si>
  <si>
    <t>https://www.clickideacore.com/ClickHTML5/Visit.aspx?ID=//5DDAEwASwAzADkANQA0ADcANwAwADUASQBEAEUAQQA8=&amp;Tipo=2&amp;ST=1&amp;nLang=0</t>
  </si>
  <si>
    <t>https://www.clickideacore.com/ClickHTML5/Visit.aspx?ID=//58DAEwASwAzADkANQA1ADAANQAwADYASQBEAEUAQQAA=&amp;Tipo=2&amp;ST=1&amp;nLang=0</t>
  </si>
  <si>
    <t>https://www.clickideacore.com/ClickHTML5/Visit.aspx?ID=//5FDAEwASwAzADkANQAzADkANAAxADMASQBEAEUAQQAB=&amp;Tipo=2&amp;ST=1&amp;nLang=0</t>
  </si>
  <si>
    <t>https://www.clickideacore.com/ClickHTML5/Visit.aspx?ID=//5DDAEwASwAzADkANQA3ADIAOQAwADQASQBEAEUAQQAB=&amp;Tipo=2&amp;ST=1&amp;nLang=0</t>
  </si>
  <si>
    <t>https://www.clickideacore.com/ClickHTML5/Visit.aspx?ID=//5EDAEwASwAzADkANQA2ADMAMAA2ADcASQBEAEUAQQA8=&amp;Tipo=2&amp;ST=1&amp;nLang=0</t>
  </si>
  <si>
    <t>https://www.clickideacore.com/ClickHTML5/Visit.aspx?ID=//56DAEwASwAzADkANQA2ADQANwA4ADQASQBEAEUAQQA1=&amp;Tipo=2&amp;ST=1&amp;nLang=0</t>
  </si>
  <si>
    <t>https://www.clickideacore.com/ClickHTML5/Visit.aspx?ID=//59DAEwASwAzADkANQA3ADIAMAAxADAASQBEAEUAQQA9=&amp;Tipo=2&amp;ST=1&amp;nLang=0</t>
  </si>
  <si>
    <t>https://www.clickideacore.com/ClickHTML5/Visit.aspx?ID=//59DAEwASwAzADkANQA2ADIANAA1ADgASQBEAEUAQQA4=&amp;Tipo=2&amp;ST=1&amp;nLang=0</t>
  </si>
  <si>
    <t>https://www.clickideacore.com/ClickHTML5/Visit.aspx?ID=//58DAEwASwAzADkANQA2ADEAMgAyADYASQBEAEUAQQA6=&amp;Tipo=2&amp;ST=1&amp;nLang=0</t>
  </si>
  <si>
    <t>https://www.clickideacore.com/ClickHTML5/Visit.aspx?ID=//53DAEwASwAzADkANQA2ADUAMwA0ADIASQBEAEUAQQA6=&amp;Tipo=2&amp;ST=1&amp;nLang=0</t>
  </si>
  <si>
    <t>https://www.clickideacore.com/ClickHTML5/Visit.aspx?ID=//5EDAEwASwAzADkANQA2ADQANwA2ADgASQBEAEUAQQAC=&amp;Tipo=2&amp;ST=1&amp;nLang=0</t>
  </si>
  <si>
    <t>https://www.clickideacore.com/ClickHTML5/Visit.aspx?ID=//5EDAEwASwAzADkANQA2ADIAMwA4ADAASQBEAEUAQQAB=&amp;Tipo=2&amp;ST=1&amp;nLang=0</t>
  </si>
  <si>
    <t>https://www.clickideacore.com/ClickHTML5/Visit.aspx?ID=//50DAEwASwAzADkANQA3ADEANQAyADYASQBEAEUAQQA0=&amp;Tipo=2&amp;ST=1&amp;nLang=0</t>
  </si>
  <si>
    <t>https://www.clickideacore.com/ClickHTML5/Visit.aspx?ID=//54DAEwASwAzADkANQA2ADUAMwAyADkASQBEAEUAQQA6=&amp;Tipo=2&amp;ST=1&amp;nLang=0</t>
  </si>
  <si>
    <t>https://www.clickideacore.com/ClickHTML5/Visit.aspx?ID=//5EDAEwASwAzADkANQA2ADQANwA3ADYASQBEAEUAQQA6=&amp;Tipo=2&amp;ST=1&amp;nLang=0</t>
  </si>
  <si>
    <t>https://www.clickideacore.com/ClickHTML5/Visit.aspx?ID=//5DDAEwASwAzADkANQA2ADUAMwAxADUASQBEAEUAQQAD=&amp;Tipo=2&amp;ST=1&amp;nLang=0</t>
  </si>
  <si>
    <t>https://www.clickideacore.com/ClickHTML5/Visit.aspx?ID=//51DAEwASwAzADkANQA3ADEAOQA4ADUASQBEAEUAQQA2=&amp;Tipo=2&amp;ST=1&amp;nLang=0</t>
  </si>
  <si>
    <t>https://www.clickideacore.com/ClickHTML5/Visit.aspx?ID=//52DAEwASwAzADkANQA3ADIAMAA0ADgASQBEAEUAQQAF=&amp;Tipo=2&amp;ST=1&amp;nLang=0</t>
  </si>
  <si>
    <t>https://www.clickideacore.com/ClickHTML5/Visit.aspx?ID=//5DDAEwASwAzADkANQA3ADIAOQAxADMASQBEAEUAQQA6=&amp;Tipo=2&amp;ST=1&amp;nLang=0</t>
  </si>
  <si>
    <t>https://www.clickideacore.com/ClickHTML5/Visit.aspx?ID=//5ADAEwASwAzADkANQA3ADQAOAAxADAASQBEAEUAQQA1=&amp;Tipo=2&amp;ST=1&amp;nLang=0</t>
  </si>
  <si>
    <t>https://www.clickideacore.com/ClickHTML5/Visit.aspx?ID=//54DAEwASwAzADkANQA4ADQAMAAxADMASQBEAEUAQQA0=&amp;Tipo=2&amp;ST=1&amp;nLang=0</t>
  </si>
  <si>
    <t>https://www.clickideacore.com/ClickHTML5/Visit.aspx?ID=//52DAEwASwAzADkANQA3ADkANwAzADkASQBEAEUAQQAE=&amp;Tipo=2&amp;ST=1&amp;nLang=0</t>
  </si>
  <si>
    <t>https://www.clickideacore.com/ClickHTML5/Visit.aspx?ID=//5CDAEwASwAzADkANQA4ADIAMwA3ADkASQBEAEUAQQA2=&amp;Tipo=2&amp;ST=1&amp;nLang=0</t>
  </si>
  <si>
    <t>https://www.clickideacore.com/ClickHTML5/Visit.aspx?ID=//5CDAEwASwAzADkANQA3ADcAOQAwADYASQBEAEUAQQAC=&amp;Tipo=2&amp;ST=1&amp;nLang=0</t>
  </si>
  <si>
    <t>https://www.clickideacore.com/ClickHTML5/Visit.aspx?ID=//57DAEwASwAzADkANQA4ADIAMQA4ADEASQBEAEUAQQA6=&amp;Tipo=2&amp;ST=1&amp;nLang=0</t>
  </si>
  <si>
    <t>https://www.clickideacore.com/ClickHTML5/Visit.aspx?ID=//56DAEwASwAzADkANQA4ADAAOQAxADAASQBEAEUAQQA3=&amp;Tipo=2&amp;ST=1&amp;nLang=0</t>
  </si>
  <si>
    <t>https://www.clickideacore.com/ClickHTML5/Visit.aspx?ID=//5ADAEwASwAzADkANQA3ADkAOAAwADgASQBEAEUAQQA4=&amp;Tipo=2&amp;ST=1&amp;nLang=0</t>
  </si>
  <si>
    <t>https://www.clickideacore.com/ClickHTML5/Visit.aspx?ID=//52DAEwASwAzADkANQA3ADgANQA2ADIASQBEAEUAQQA1=&amp;Tipo=2&amp;ST=1&amp;nLang=0</t>
  </si>
  <si>
    <t>https://www.clickideacore.com/ClickHTML5/Visit.aspx?ID=//51DAEwASwAzADkANQA4ADIAOAAxADkASQBEAEUAQQA0=&amp;Tipo=2&amp;ST=1&amp;nLang=0</t>
  </si>
  <si>
    <t>https://www.clickideacore.com/ClickHTML5/Visit.aspx?ID=//5EDAEwASwAzADkANQA4ADIAMQA2ADQASQBEAEUAQQA4=&amp;Tipo=2&amp;ST=1&amp;nLang=0</t>
  </si>
  <si>
    <t>https://www.clickideacore.com/ClickHTML5/Visit.aspx?ID=//52DAEwASwAzADkANQA3ADgANwA2ADkASQBEAEUAQQAD=&amp;Tipo=2&amp;ST=1&amp;nLang=0</t>
  </si>
  <si>
    <t>https://www.clickideacore.com/ClickHTML5/Visit.aspx?ID=//52DAEwASwAzADkANQA4ADIAOAAzADMASQBEAEUAQQA8=&amp;Tipo=2&amp;ST=1&amp;nLang=0</t>
  </si>
  <si>
    <t>https://www.clickideacore.com/ClickHTML5/Visit.aspx?ID=//56DAEwASwAzADkANQA3ADgANgA4ADkASQBEAEUAQQAA=&amp;Tipo=2&amp;ST=1&amp;nLang=0</t>
  </si>
  <si>
    <t>https://www.clickideacore.com/ClickHTML5/Visit.aspx?ID=//50DAEwASwAzADkANQA4ADMAOAAzADUASQBEAEUAQQA3=&amp;Tipo=2&amp;ST=1&amp;nLang=0</t>
  </si>
  <si>
    <t>https://www.clickideacore.com/ClickHTML5/Visit.aspx?ID=//5FDAEwASwAzADkANQA4ADMAOAA0ADYASQBEAEUAQQAF=&amp;Tipo=2&amp;ST=1&amp;nLang=0</t>
  </si>
  <si>
    <t>https://www.clickideacore.com/ClickHTML5/Visit.aspx?ID=//5FDAEwASwAzADkANQA5ADIAMwAwADMASQBEAEUAQQA1=&amp;Tipo=2&amp;ST=1&amp;nLang=0</t>
  </si>
  <si>
    <t>https://www.clickideacore.com/ClickHTML5/Visit.aspx?ID=//55DAEwASwAzADkANQA4ADYANgA3ADkASQBEAEUAQQA0=&amp;Tipo=2&amp;ST=1&amp;nLang=0</t>
  </si>
  <si>
    <t>https://www.clickideacore.com/ClickHTML5/Visit.aspx?ID=//56DAEwASwAzADkANQA5ADIAMwA3ADIASQBEAEUAQQA9=&amp;Tipo=2&amp;ST=1&amp;nLang=0</t>
  </si>
  <si>
    <t>https://www.clickideacore.com/ClickHTML5/Visit.aspx?ID=//52DAEwASwAzADkANgAwADMANQAxADMASQBEAEUAQQAE=&amp;Tipo=2&amp;ST=1&amp;nLang=0</t>
  </si>
  <si>
    <t>https://www.clickideacore.com/ClickHTML5/Visit.aspx?ID=//57DAEwASwAzADkANQA5ADYANQA0ADIASQBEAEUAQQA9=&amp;Tipo=2&amp;ST=1&amp;nLang=0</t>
  </si>
  <si>
    <t>https://www.clickideacore.com/ClickHTML5/Visit.aspx?ID=//5BDAEwASwAzADkANgAwADMAMwAyADEASQBEAEUAQQA8=&amp;Tipo=2&amp;ST=1&amp;nLang=0</t>
  </si>
  <si>
    <t>https://www.clickideacore.com/ClickHTML5/Visit.aspx?ID=//51DAEwASwAzADkANgAzADQAOQAzADAASQBEAEUAQQA1=&amp;Tipo=2&amp;ST=1&amp;nLang=0</t>
  </si>
  <si>
    <t>https://www.clickideacore.com/ClickHTML5/Visit.aspx?ID=//57DAEwASwAzADkANgAyADgAMwA0ADIASQBEAEUAQQA6=&amp;Tipo=2&amp;ST=1&amp;nLang=0</t>
  </si>
  <si>
    <t>https://www.clickideacore.com/ClickHTML5/Visit.aspx?ID=//57DAEwASwAzADkANgAyADcANwAxADgASQBEAEUAQQA3=&amp;Tipo=2&amp;ST=1&amp;nLang=0</t>
  </si>
  <si>
    <t>https://www.clickideacore.com/ClickHTML5/Visit.aspx?ID=//55DAEwASwAzADkANgAzADUAMgAxADYASQBEAEUAQQA3=&amp;Tipo=2&amp;ST=1&amp;nLang=0</t>
  </si>
  <si>
    <t>https://www.clickideacore.com/ClickHTML5/Visit.aspx?ID=//52DAEwASwAzADkANgAyADcAOQA0ADAASQBEAEUAQQA9=&amp;Tipo=2&amp;ST=1&amp;nLang=0</t>
  </si>
  <si>
    <t>https://www.clickideacore.com/ClickHTML5/Visit.aspx?ID=//5BDAEwASwAzADkANgAyADMAMgAzADYASQBEAEUAQQA0=&amp;Tipo=2&amp;ST=1&amp;nLang=0</t>
  </si>
  <si>
    <t>https://www.clickideacore.com/ClickHTML5/Visit.aspx?ID=//5BDAEwASwAzADkANgAyADgAMAA1ADUASQBEAEUAQQA9=&amp;Tipo=2&amp;ST=1&amp;nLang=0</t>
  </si>
  <si>
    <t>https://www.clickideacore.com/ClickHTML5/Visit.aspx?ID=//5ADAEwASwAzADkANgAyADYANAA4ADIASQBEAEUAQQAA=&amp;Tipo=2&amp;ST=1&amp;nLang=0</t>
  </si>
  <si>
    <t>https://www.clickideacore.com/ClickHTML5/Visit.aspx?ID=//5BDAEwASwAzADkANgAyADcAMgA5ADIASQBEAEUAQQA9=&amp;Tipo=2&amp;ST=1&amp;nLang=0</t>
  </si>
  <si>
    <t>https://www.clickideacore.com/ClickHTML5/Visit.aspx?ID=//54DAEwASwAzADkANgAzADUAMgAzADAASQBEAEUAQQAB=&amp;Tipo=2&amp;ST=1&amp;nLang=0</t>
  </si>
  <si>
    <t>https://www.clickideacore.com/ClickHTML5/Visit.aspx?ID=//5BDAEwASwAzADkANgAzADAAMwAwADIASQBEAEUAQQAF=&amp;Tipo=2&amp;ST=1&amp;nLang=0</t>
  </si>
  <si>
    <t>https://www.clickideacore.com/ClickHTML5/Visit.aspx?ID=//5EDAEwASwAzADkANgAyADcAOAAzADgASQBEAEUAQQA6=&amp;Tipo=2&amp;ST=1&amp;nLang=0</t>
  </si>
  <si>
    <t>https://www.clickideacore.com/ClickHTML5/Visit.aspx?ID=//5CDAEwASwAzADkANgAzADQANgAyADQASQBEAEUAQQA0=&amp;Tipo=2&amp;ST=1&amp;nLang=0</t>
  </si>
  <si>
    <t>https://www.clickideacore.com/ClickHTML5/Visit.aspx?ID=//5EDAEwASwAzADkANgAzADIAOQA0ADQASQBEAEUAQQA8=&amp;Tipo=2&amp;ST=1&amp;nLang=0</t>
  </si>
  <si>
    <t>https://www.clickideacore.com/ClickHTML5/Visit.aspx?ID=//5EDAEwASwAzADkANgAzADUAMwAzADEASQBEAEUAQQAB=&amp;Tipo=2&amp;ST=1&amp;nLang=0</t>
  </si>
  <si>
    <t>https://www.clickideacore.com/ClickHTML5/Visit.aspx?ID=//5DDAEwASwAzADkANgAyADYANQAyADUASQBEAEUAQQAB=&amp;Tipo=2&amp;ST=1&amp;nLang=0</t>
  </si>
  <si>
    <t>https://www.clickideacore.com/ClickHTML5/Visit.aspx?ID=//5BDAEwASwAzADkANgA1ADgANgAzADAASQBEAEUAQQA1=&amp;Tipo=2&amp;ST=1&amp;nLang=0</t>
  </si>
  <si>
    <t>https://www.clickideacore.com/ClickHTML5/Visit.aspx?ID=//5ADAEwASwAzADkANgA0ADYAOQA4ADQASQBEAEUAQQAD=&amp;Tipo=2&amp;ST=1&amp;nLang=0</t>
  </si>
  <si>
    <t>https://www.clickideacore.com/ClickHTML5/Visit.aspx?ID=//57DAEwASwAzADkANgA1ADIAMgA4ADcASQBEAEUAQQAF=&amp;Tipo=2&amp;ST=1&amp;nLang=0</t>
  </si>
  <si>
    <t>https://www.clickideacore.com/ClickHTML5/Visit.aspx?ID=//52DAEwASwAzADkANgA0ADcANwAzADkASQBEAEUAQQA6=&amp;Tipo=2&amp;ST=1&amp;nLang=0</t>
  </si>
  <si>
    <t>https://www.clickideacore.com/ClickHTML5/Visit.aspx?ID=//5DDAEwASwAzADkANgA0ADgANAAwADEASQBEAEUAQQAC=&amp;Tipo=2&amp;ST=1&amp;nLang=0</t>
  </si>
  <si>
    <t>https://www.clickideacore.com/ClickHTML5/Visit.aspx?ID=//50DAEwASwAzADkANgA1ADAANQA4ADEASQBEAEUAQQAD=&amp;Tipo=2&amp;ST=1&amp;nLang=0</t>
  </si>
  <si>
    <t>https://www.clickideacore.com/ClickHTML5/Visit.aspx?ID=//57DAEwASwAzADkANgA0ADYAOAA5ADUASQBEAEUAQQAF=&amp;Tipo=2&amp;ST=1&amp;nLang=0</t>
  </si>
  <si>
    <t>https://www.clickideacore.com/ClickHTML5/Visit.aspx?ID=//5EDAEwASwAzADkANgA1ADcAOAAzADUASQBEAEUAQQA1=&amp;Tipo=2&amp;ST=1&amp;nLang=0</t>
  </si>
  <si>
    <t>https://www.clickideacore.com/ClickHTML5/Visit.aspx?ID=//59DAEwASwAzADkANgA1ADgAMwA1ADEASQBEAEUAQQAD=&amp;Tipo=2&amp;ST=1&amp;nLang=0</t>
  </si>
  <si>
    <t>https://www.clickideacore.com/ClickHTML5/Visit.aspx?ID=//51DAEwASwAzADkANgA1ADcANgA3ADkASQBEAEUAQQAC=&amp;Tipo=2&amp;ST=1&amp;nLang=0</t>
  </si>
  <si>
    <t>https://www.clickideacore.com/ClickHTML5/Visit.aspx?ID=//55DAEwASwAzADkANgA0ADcANwA0ADQASQBEAEUAQQA4=&amp;Tipo=2&amp;ST=1&amp;nLang=0</t>
  </si>
  <si>
    <t>https://www.clickideacore.com/ClickHTML5/Visit.aspx?ID=//5BDAEwASwAzADkANgA1ADgANQA3ADQASQBEAEUAQQA8=&amp;Tipo=2&amp;ST=1&amp;nLang=0</t>
  </si>
  <si>
    <t>https://www.clickideacore.com/ClickHTML5/Visit.aspx?ID=//54DAEwASwAzADkANgA0ADkAOAAxADgASQBEAEUAQQA1=&amp;Tipo=2&amp;ST=1&amp;nLang=0</t>
  </si>
  <si>
    <t>https://www.clickideacore.com/ClickHTML5/Visit.aspx?ID=//56DAEwASwAzADkANgA4ADIAMgA5ADEASQBEAEUAQQA8=&amp;Tipo=2&amp;ST=1&amp;nLang=0</t>
  </si>
  <si>
    <t>https://www.clickideacore.com/ClickHTML5/Visit.aspx?ID=//53DAEwASwAzADkANgA3ADEANwA4ADgASQBEAEUAQQAB=&amp;Tipo=2&amp;ST=1&amp;nLang=0</t>
  </si>
  <si>
    <t>https://www.clickideacore.com/ClickHTML5/Visit.aspx?ID=//55DAEwASwAzADkANgA3ADUAMgAwADMASQBEAEUAQQA6=&amp;Tipo=2&amp;ST=1&amp;nLang=0</t>
  </si>
  <si>
    <t>https://www.clickideacore.com/ClickHTML5/Visit.aspx?ID=//50DAEwASwAzADkANgA4ADEAOAAxADYASQBEAEUAQQA7=&amp;Tipo=2&amp;ST=1&amp;nLang=0</t>
  </si>
  <si>
    <t>https://www.clickideacore.com/ClickHTML5/Visit.aspx?ID=//5EDAEwASwAzADkANgA3ADUAMwA4ADIASQBEAEUAQQA1=&amp;Tipo=2&amp;ST=1&amp;nLang=0</t>
  </si>
  <si>
    <t>https://www.clickideacore.com/ClickHTML5/Visit.aspx?ID=//5BDAEwASwAzADkANgA3ADUANAA5ADMASQBEAEUAQQA0=&amp;Tipo=2&amp;ST=1&amp;nLang=0</t>
  </si>
  <si>
    <t>https://www.clickideacore.com/ClickHTML5/Visit.aspx?ID=//55DAEwASwAzADkANgA3ADIAOAA2ADIASQBEAEUAQQA6=&amp;Tipo=2&amp;ST=1&amp;nLang=0</t>
  </si>
  <si>
    <t>https://www.clickideacore.com/ClickHTML5/Visit.aspx?ID=//53DAEwASwAzADkANgA3ADQAMgAzADIASQBEAEUAQQA7=&amp;Tipo=2&amp;ST=1&amp;nLang=0</t>
  </si>
  <si>
    <t>https://www.clickideacore.com/ClickHTML5/Visit.aspx?ID=//53DAEwASwAzADkANgA2ADYAOAA4ADcASQBEAEUAQQA2=&amp;Tipo=2&amp;ST=1&amp;nLang=0</t>
  </si>
  <si>
    <t>https://www.clickideacore.com/ClickHTML5/Visit.aspx?ID=//51DAEwASwAzADkANgA4ADIANgAzADkASQBEAEUAQQAC=&amp;Tipo=2&amp;ST=1&amp;nLang=0</t>
  </si>
  <si>
    <t>https://www.clickideacore.com/ClickHTML5/Visit.aspx?ID=//57DAEwASwAzADkANgA4ADEAOAA4ADMASQBEAEUAQQA3=&amp;Tipo=2&amp;ST=1&amp;nLang=0</t>
  </si>
  <si>
    <t>https://www.clickideacore.com/ClickHTML5/Visit.aspx?ID=//5CDAEwASwAzADkANgA3ADYAMgA1ADAASQBEAEUAQQA4=&amp;Tipo=2&amp;ST=1&amp;nLang=0</t>
  </si>
  <si>
    <t>https://www.clickideacore.com/ClickHTML5/Visit.aspx?ID=//54DAEwASwAzADkANgA3ADIANgAzADEASQBEAEUAQQA9=&amp;Tipo=2&amp;ST=1&amp;nLang=0</t>
  </si>
  <si>
    <t>https://www.clickideacore.com/ClickHTML5/Visit.aspx?ID=//57DAEwASwAzADkANgA4ADEAOAAzADcASQBEAEUAQQAD=&amp;Tipo=2&amp;ST=1&amp;nLang=0</t>
  </si>
  <si>
    <t>https://www.clickideacore.com/ClickHTML5/Visit.aspx?ID=//52DAEwASwAzADkANgA3ADYANgAwADMASQBEAEUAQQA3=&amp;Tipo=2&amp;ST=1&amp;nLang=0</t>
  </si>
  <si>
    <t>https://www.clickideacore.com/ClickHTML5/Visit.aspx?ID=//55DAEwASwAzADkANgA2ADkANwAzADYASQBEAEUAQQAC=&amp;Tipo=2&amp;ST=1&amp;nLang=0</t>
  </si>
  <si>
    <t>https://www.clickideacore.com/ClickHTML5/Visit.aspx?ID=//59DAEwASwAzADkANgA5ADkANgA1ADQASQBEAEUAQQAA=&amp;Tipo=2&amp;ST=1&amp;nLang=0</t>
  </si>
  <si>
    <t>https://www.clickideacore.com/ClickHTML5/Visit.aspx?ID=//55DAEwASwAzADkANwAwADYANgAzADQASQBEAEUAQQA2=&amp;Tipo=2&amp;ST=1&amp;nLang=0</t>
  </si>
  <si>
    <t>https://www.clickideacore.com/ClickHTML5/Visit.aspx?ID=//58DAEwASwAzADkANgA5ADYAMgA5ADAASQBEAEUAQQAB=&amp;Tipo=2&amp;ST=1&amp;nLang=0</t>
  </si>
  <si>
    <t>https://www.clickideacore.com/ClickHTML5/Visit.aspx?ID=//5BDAEwASwAzADkANgA5ADYAMAA2ADMASQBEAEUAQQAA=&amp;Tipo=2&amp;ST=1&amp;nLang=0</t>
  </si>
  <si>
    <t>https://www.clickideacore.com/ClickHTML5/Visit.aspx?ID=//5DDAEwASwAzADkANwAwADYANAA1ADgASQBEAEUAQQA4=&amp;Tipo=2&amp;ST=1&amp;nLang=0</t>
  </si>
  <si>
    <t>https://www.clickideacore.com/ClickHTML5/Visit.aspx?ID=//50DAEwASwAzADkANgA5ADUAOQA3ADQASQBEAEUAQQAC=&amp;Tipo=2&amp;ST=1&amp;nLang=0</t>
  </si>
  <si>
    <t>https://www.clickideacore.com/ClickHTML5/Visit.aspx?ID=//59DAEwASwAzADkANwAwADMAMAAzADYASQBEAEUAQQAE=&amp;Tipo=2&amp;ST=1&amp;nLang=0</t>
  </si>
  <si>
    <t>https://www.clickideacore.com/ClickHTML5/Visit.aspx?ID=//59DAEwASwAzADkANgA5ADUAOQAwADkASQBEAEUAQQA3=&amp;Tipo=2&amp;ST=1&amp;nLang=0</t>
  </si>
  <si>
    <t>https://www.clickideacore.com/ClickHTML5/Visit.aspx?ID=//5ADAEwASwAzADkANgA5ADgAMgAxADEASQBEAEUAQQA9=&amp;Tipo=2&amp;ST=1&amp;nLang=0</t>
  </si>
  <si>
    <t>https://www.clickideacore.com/ClickHTML5/Visit.aspx?ID=//58DAEwASwAzADkANgA5ADQAMAAwADQASQBEAEUAQQA2=&amp;Tipo=2&amp;ST=1&amp;nLang=0</t>
  </si>
  <si>
    <t>https://www.clickideacore.com/ClickHTML5/Visit.aspx?ID=//5DDAEwASwAzADkANwAwADYAMgA3ADcASQBEAEUAQQAA=&amp;Tipo=2&amp;ST=1&amp;nLang=0</t>
  </si>
  <si>
    <t>https://www.clickideacore.com/ClickHTML5/Visit.aspx?ID=//5FDAEwASwAzADkANwAwADUANgAxADQASQBEAEUAQQA8=&amp;Tipo=2&amp;ST=1&amp;nLang=0</t>
  </si>
  <si>
    <t>https://www.clickideacore.com/ClickHTML5/Visit.aspx?ID=//5BDAEwASwAzADkANwAwADUAMgA0ADgASQBEAEUAQQA0=&amp;Tipo=2&amp;ST=1&amp;nLang=0</t>
  </si>
  <si>
    <t>https://www.clickideacore.com/ClickHTML5/Visit.aspx?ID=//57DAEwASwAzADkANgA5ADkAMQAwADMASQBEAEUAQQAD=&amp;Tipo=2&amp;ST=1&amp;nLang=0</t>
  </si>
  <si>
    <t>https://www.clickideacore.com/ClickHTML5/Visit.aspx?ID=//5DDAEwASwAzADkANwAwADYANgA0ADMASQBEAEUAQQAB=&amp;Tipo=2&amp;ST=1&amp;nLang=0</t>
  </si>
  <si>
    <t>https://www.clickideacore.com/ClickHTML5/Visit.aspx?ID=//55DAEwASwAzADkANgA5ADQANwA0ADkASQBEAEUAQQA0=&amp;Tipo=2&amp;ST=1&amp;nLang=0</t>
  </si>
  <si>
    <t>https://www.clickideacore.com/ClickHTML5/Visit.aspx?ID=//52DAEwASwAzADkAOQA0ADgAOQAyADQASQBEAEUAQQA0=&amp;Tipo=2&amp;ST=1&amp;nLang=0</t>
  </si>
  <si>
    <t>https://www.clickideacore.com/ClickHTML5/Visit.aspx?ID=//59DAEwASwAzADkANwAyADIAMgAzADMASQBEAEUAQQA6=&amp;Tipo=2&amp;ST=1&amp;nLang=0</t>
  </si>
  <si>
    <t>https://www.clickideacore.com/ClickHTML5/Visit.aspx?ID=//5CDAEwASwAzADkANwAzADEAMAA3ADgASQBEAEUAQQA9=&amp;Tipo=2&amp;ST=1&amp;nLang=0</t>
  </si>
  <si>
    <t>https://www.clickideacore.com/ClickHTML5/Visit.aspx?ID=//50DAEwASwAzADkANwA2ADgAMAAwADkASQBEAEUAQQA7=&amp;Tipo=2&amp;ST=1&amp;nLang=0</t>
  </si>
  <si>
    <t>https://www.clickideacore.com/ClickHTML5/Visit.aspx?ID=//54DAEwASwAzADkANwAyADEAOQA2ADYASQBEAEUAQQA0=&amp;Tipo=2&amp;ST=1&amp;nLang=0</t>
  </si>
  <si>
    <t>https://www.clickideacore.com/ClickHTML5/Visit.aspx?ID=//5FDAEwASwAzADkANwAyADMAMAA1ADIASQBEAEUAQQA2=&amp;Tipo=2&amp;ST=1&amp;nLang=0</t>
  </si>
  <si>
    <t>https://www.clickideacore.com/ClickHTML5/Visit.aspx?ID=//51DAEwASwAzADkANwAxADkAMwA4ADEASQBEAEUAQQA7=&amp;Tipo=2&amp;ST=1&amp;nLang=0</t>
  </si>
  <si>
    <t>https://www.clickideacore.com/ClickHTML5/Visit.aspx?ID=//5DDAEwASwAzADkANwAyADIAOQA5ADAASQBEAEUAQQA8=&amp;Tipo=2&amp;ST=1&amp;nLang=0</t>
  </si>
  <si>
    <t>https://www.clickideacore.com/ClickHTML5/Visit.aspx?ID=//5CDAEwASwAzADkANwAxADgAOQAyADkASQBEAEUAQQAC=&amp;Tipo=2&amp;ST=1&amp;nLang=0</t>
  </si>
  <si>
    <t>https://www.clickideacore.com/ClickHTML5/Visit.aspx?ID=//54DAEwASwAzADkANwAyADQANAA5ADkASQBEAEUAQQA6=&amp;Tipo=2&amp;ST=1&amp;nLang=0</t>
  </si>
  <si>
    <t>https://www.clickideacore.com/ClickHTML5/Visit.aspx?ID=//5ADAEwASwAzADkANwAyADAANgA5ADIASQBEAEUAQQAE=&amp;Tipo=2&amp;ST=1&amp;nLang=0</t>
  </si>
  <si>
    <t>https://www.clickideacore.com/ClickHTML5/Visit.aspx?ID=//51DAEwASwAzADkANwAzADAAMgA1ADcASQBEAEUAQQA8=&amp;Tipo=2&amp;ST=1&amp;nLang=0</t>
  </si>
  <si>
    <t>https://www.clickideacore.com/ClickHTML5/Visit.aspx?ID=//59DAEwASwAzADkANwAzADAAMQA1ADAASQBEAEUAQQA9=&amp;Tipo=2&amp;ST=1&amp;nLang=0</t>
  </si>
  <si>
    <t>https://www.clickideacore.com/ClickHTML5/Visit.aspx?ID=//50DAEwASwAzADkANwAyADIAMAA1ADkASQBEAEUAQQA4=&amp;Tipo=2&amp;ST=1&amp;nLang=0</t>
  </si>
  <si>
    <t>https://www.clickideacore.com/ClickHTML5/Visit.aspx?ID=//56DAEwASwAzADkANwAzADAAMQA1ADUASQBEAEUAQQAE=&amp;Tipo=2&amp;ST=1&amp;nLang=0</t>
  </si>
  <si>
    <t>https://www.clickideacore.com/ClickHTML5/Visit.aspx?ID=//5DDAEwASwAzADkANwA3ADcAMQA5ADUASQBEAEUAQQAB=&amp;Tipo=2&amp;ST=1&amp;nLang=0</t>
  </si>
  <si>
    <t>https://www.clickideacore.com/ClickHTML5/Visit.aspx?ID=//58DAEwASwAzADkANwAyADQAMwAyADQASQBEAEUAQQAC=&amp;Tipo=2&amp;ST=1&amp;nLang=0</t>
  </si>
  <si>
    <t>https://www.clickideacore.com/ClickHTML5/Visit.aspx?ID=//57DAEwASwAzADkANwAyADUANQAxADMASQBEAEUAQQAB=&amp;Tipo=2&amp;ST=1&amp;nLang=0</t>
  </si>
  <si>
    <t>https://www.clickideacore.com/ClickHTML5/Visit.aspx?ID=//5CDAEwASwAzADkANwA0ADUANwAzADMASQBEAEUAQQA2=&amp;Tipo=2&amp;ST=1&amp;nLang=0</t>
  </si>
  <si>
    <t>https://www.clickideacore.com/ClickHTML5/Visit.aspx?ID=//5DDAEwASwAzADkANwA0ADUANwA2ADMASQBEAEUAQQAC=&amp;Tipo=2&amp;ST=1&amp;nLang=0</t>
  </si>
  <si>
    <t>https://www.clickideacore.com/ClickHTML5/Visit.aspx?ID=//50DAEwASwAzADkANwA0ADUANwA0ADcASQBEAEUAQQAB=&amp;Tipo=2&amp;ST=1&amp;nLang=0</t>
  </si>
  <si>
    <t>https://www.clickideacore.com/ClickHTML5/Visit.aspx?ID=//5DDAEwASwAzADkANwA1ADIAMgA0ADIASQBEAEUAQQA1=&amp;Tipo=2&amp;ST=1&amp;nLang=0</t>
  </si>
  <si>
    <t>https://www.clickideacore.com/ClickHTML5/Visit.aspx?ID=//5DDAEwASwAzADkANwA1ADMAMQA2ADEASQBEAEUAQQA4=&amp;Tipo=2&amp;ST=1&amp;nLang=0</t>
  </si>
  <si>
    <t>https://www.clickideacore.com/ClickHTML5/Visit.aspx?ID=//5EDAEwASwAzADkANwA1ADQANgA4ADEASQBEAEUAQQA8=&amp;Tipo=2&amp;ST=1&amp;nLang=0</t>
  </si>
  <si>
    <t>https://www.clickideacore.com/ClickHTML5/Visit.aspx?ID=//55DAEwASwAzADkAOAAwADEANAA1ADEASQBEAEUAQQA3=&amp;Tipo=2&amp;ST=1&amp;nLang=0</t>
  </si>
  <si>
    <t>Rodrigo Arenas</t>
  </si>
  <si>
    <t>https://www.clickideacore.com/ClickHTML5/Visit.aspx?ID=//56DAEwASwAzADkANwA2ADcANQAxADMASQBEAEUAQQA8=&amp;Tipo=2&amp;ST=1&amp;nLang=0</t>
  </si>
  <si>
    <t>https://www.clickideacore.com/ClickHTML5/Visit.aspx?ID=//5EDAEwASwAzADkANwA2ADkAMAAyADQASQBEAEUAQQAD=&amp;Tipo=2&amp;ST=1&amp;nLang=0</t>
  </si>
  <si>
    <t>https://www.clickideacore.com/ClickHTML5/Visit.aspx?ID=//57DAEwASwAzADkANwA2ADUAMAAyADIASQBEAEUAQQAF=&amp;Tipo=2&amp;ST=1&amp;nLang=0</t>
  </si>
  <si>
    <t>https://www.clickideacore.com/ClickHTML5/Visit.aspx?ID=//53DAEwASwAzADkANwA2ADcANgAwADMASQBEAEUAQQA4=&amp;Tipo=2&amp;ST=1&amp;nLang=0</t>
  </si>
  <si>
    <t>https://www.clickideacore.com/ClickHTML5/Visit.aspx?ID=//5DDAEwASwAzADkANwA2ADgAMgAwADIASQBEAEUAQQAC=&amp;Tipo=2&amp;ST=1&amp;nLang=0</t>
  </si>
  <si>
    <t>https://www.clickideacore.com/ClickHTML5/Visit.aspx?ID=//54DAEwASwAzADkANwA2ADIAMAA4ADQASQBEAEUAQQA1=&amp;Tipo=2&amp;ST=1&amp;nLang=0</t>
  </si>
  <si>
    <t>https://www.clickideacore.com/ClickHTML5/Visit.aspx?ID=//53DAEwASwAzADkANwA2ADkAMgAwADkASQBEAEUAQQAE=&amp;Tipo=2&amp;ST=1&amp;nLang=0</t>
  </si>
  <si>
    <t>https://www.clickideacore.com/ClickHTML5/Visit.aspx?ID=//52DAEwASwAzADkANwA2ADcAOQA1ADcASQBEAEUAQQA5=&amp;Tipo=2&amp;ST=1&amp;nLang=0</t>
  </si>
  <si>
    <t>https://www.clickideacore.com/ClickHTML5/Visit.aspx?ID=//58DAEwASwAzADkANwA3ADIANQA0ADcASQBEAEUAQQAE=&amp;Tipo=2&amp;ST=1&amp;nLang=0</t>
  </si>
  <si>
    <t>https://www.clickideacore.com/ClickHTML5/Visit.aspx?ID=//52DAEwASwAzADkANwA3ADUAOAA4ADkASQBEAEUAQQAD=&amp;Tipo=2&amp;ST=1&amp;nLang=0</t>
  </si>
  <si>
    <t>https://www.clickideacore.com/ClickHTML5/Visit.aspx?ID=//5ADAEwASwAzADkANwA2ADgANwAxADkASQBEAEUAQQAA=&amp;Tipo=2&amp;ST=1&amp;nLang=0</t>
  </si>
  <si>
    <t>https://www.clickideacore.com/ClickHTML5/Visit.aspx?ID=//53DAEwASwAzADkANwA3ADYAMAA4ADUASQBEAEUAQQAB=&amp;Tipo=2&amp;ST=1&amp;nLang=0</t>
  </si>
  <si>
    <t>https://www.clickideacore.com/ClickHTML5/Visit.aspx?ID=//5ADAEwASwAzADkANwA3ADEAMgA3ADgASQBEAEUAQQA0=&amp;Tipo=2&amp;ST=1&amp;nLang=0</t>
  </si>
  <si>
    <t>https://www.clickideacore.com/ClickHTML5/Visit.aspx?ID=//52DAEwASwAzADkANwA3ADEAMQA1ADkASQBEAEUAQQA4=&amp;Tipo=2&amp;ST=1&amp;nLang=0</t>
  </si>
  <si>
    <t>https://www.clickideacore.com/ClickHTML5/Visit.aspx?ID=//5FDAEwASwAzADkAOQAxADMANgAxADkASQBEAEUAQQAC=&amp;Tipo=2&amp;ST=1&amp;nLang=0</t>
  </si>
  <si>
    <t>https://www.clickideacore.com/ClickHTML5/Visit.aspx?ID=//53DAEwASwAzADkANwA5ADQANQAzADAASQBEAEUAQQAA=&amp;Tipo=2&amp;ST=1&amp;nLang=0</t>
  </si>
  <si>
    <t>https://www.clickideacore.com/ClickHTML5/Visit.aspx?ID=//58DAEwASwAzADkANwA5ADQAMgA1ADIASQBEAEUAQQAD=&amp;Tipo=2&amp;ST=1&amp;nLang=0</t>
  </si>
  <si>
    <t>https://www.clickideacore.com/ClickHTML5/Visit.aspx?ID=//5ADAEwASwAzADkANwA5ADEANQAyADcASQBEAEUAQQA9=&amp;Tipo=2&amp;ST=1&amp;nLang=0</t>
  </si>
  <si>
    <t>https://www.clickideacore.com/ClickHTML5/Visit.aspx?ID=//59DAEwASwAzADkANwA4ADkAMAA2ADkASQBEAEUAQQA3=&amp;Tipo=2&amp;ST=1&amp;nLang=0</t>
  </si>
  <si>
    <t>https://www.clickideacore.com/ClickHTML5/Visit.aspx?ID=//5FDAEwASwAzADkANwA5ADQAOQA3ADYASQBEAEUAQQA8=&amp;Tipo=2&amp;ST=1&amp;nLang=0</t>
  </si>
  <si>
    <t>https://www.clickideacore.com/ClickHTML5/Visit.aspx?ID=//57DAEwASwAzADkANwA4ADkAOAAwADIASQBEAEUAQQA5=&amp;Tipo=2&amp;ST=1&amp;nLang=0</t>
  </si>
  <si>
    <t>https://www.clickideacore.com/ClickHTML5/Visit.aspx?ID=//53DAEwASwAzADkANwA5ADEAOQAzADQASQBEAEUAQQAB=&amp;Tipo=2&amp;ST=1&amp;nLang=0</t>
  </si>
  <si>
    <t>https://www.clickideacore.com/ClickHTML5/Visit.aspx?ID=//56DAEwASwAzADkANwA5ADIANwAxADQASQBEAEUAQQA2=&amp;Tipo=2&amp;ST=1&amp;nLang=0</t>
  </si>
  <si>
    <t>https://www.clickideacore.com/ClickHTML5/Visit.aspx?ID=//5DDAEwASwAzADkANwA5ADIANwA4ADkASQBEAEUAQQAE=&amp;Tipo=2&amp;ST=1&amp;nLang=0</t>
  </si>
  <si>
    <t>https://www.clickideacore.com/ClickHTML5/Visit.aspx?ID=//56DAEwASwAzADkANwA5ADUANgA5ADgASQBEAEUAQQA8=&amp;Tipo=2&amp;ST=1&amp;nLang=0</t>
  </si>
  <si>
    <t>https://www.clickideacore.com/ClickHTML5/Visit.aspx?ID=//5DDAEwASwAzADkAOAAxADIANwAzADcASQBEAEUAQQA4=&amp;Tipo=2&amp;ST=1&amp;nLang=0</t>
  </si>
  <si>
    <t>https://www.clickideacore.com/ClickHTML5/Visit.aspx?ID=//50DAEwASwAzADkAOAAwADAANQA5ADQASQBEAEUAQQA5=&amp;Tipo=2&amp;ST=1&amp;nLang=0</t>
  </si>
  <si>
    <t>https://www.clickideacore.com/ClickHTML5/Visit.aspx?ID=//50DAEwASwAzADkAOAAwADEANgAwADYASQBEAEUAQQA8=&amp;Tipo=2&amp;ST=1&amp;nLang=0</t>
  </si>
  <si>
    <t>OP-S-015</t>
  </si>
  <si>
    <t>OP-S-016</t>
  </si>
  <si>
    <t>https://www.clickideacore.com/ClickHTML5/Visit.aspx?ID=//5FDAEwASwAzADkAOAAxADgANgAzADgASQBEAEUAQQA9=&amp;Tipo=2&amp;ST=1&amp;nLang=0</t>
  </si>
  <si>
    <t>https://www.clickideacore.com/ClickHTML5/Visit.aspx?ID=//5CDAEwASwAzADkAOAAyADYAMQA1ADEASQBEAEUAQQA3=&amp;Tipo=2&amp;ST=1&amp;nLang=0</t>
  </si>
  <si>
    <t>https://www.clickideacore.com/ClickHTML5/Visit.aspx?ID=//59DAEwASwAzADkAOAAxADYAMwAwADUASQBEAEUAQQAE=&amp;Tipo=2&amp;ST=1&amp;nLang=0</t>
  </si>
  <si>
    <t>https://www.clickideacore.com/ClickHTML5/Visit.aspx?ID=//57DAEwASwAzADkAOAAxADYAMwAwADgASQBEAEUAQQAA=&amp;Tipo=2&amp;ST=1&amp;nLang=0</t>
  </si>
  <si>
    <t>https://www.clickideacore.com/ClickHTML5/Visit.aspx?ID=//57DAEwASwAzADkAOAAyADUAOAA1ADIASQBEAEUAQQA5=&amp;Tipo=2&amp;ST=1&amp;nLang=0</t>
  </si>
  <si>
    <t>https://www.clickideacore.com/ClickHTML5/Visit.aspx?ID=//5DDAEwASwAzADkAOAAxADgANQA5ADQASQBEAEUAQQA5=&amp;Tipo=2&amp;ST=1&amp;nLang=0</t>
  </si>
  <si>
    <t>https://www.clickideacore.com/ClickHTML5/Visit.aspx?ID=//5ADAEwASwAzADkAOAAxADMANAA4ADQASQBEAEUAQQA8=&amp;Tipo=2&amp;ST=1&amp;nLang=0</t>
  </si>
  <si>
    <t>https://www.clickideacore.com/ClickHTML5/Visit.aspx?ID=//52DAEwASwAzADkAOAAxADcAOAAyADUASQBEAEUAQQAF=&amp;Tipo=2&amp;ST=1&amp;nLang=0</t>
  </si>
  <si>
    <t>https://www.clickideacore.com/ClickHTML5/Visit.aspx?ID=//57DAEwASwAzADkAOAAxADgAMwA3ADkASQBEAEUAQQA5=&amp;Tipo=2&amp;ST=1&amp;nLang=0</t>
  </si>
  <si>
    <t>https://www.clickideacore.com/ClickHTML5/Visit.aspx?ID=//53DAEwASwAzADkAOAAxADkANAAxADgASQBEAEUAQQA2=&amp;Tipo=2&amp;ST=1&amp;nLang=0</t>
  </si>
  <si>
    <t>https://www.clickideacore.com/ClickHTML5/Visit.aspx?ID=//59DAEwASwAzADkAOAAyADMANQA2ADAASQBEAEUAQQA3=&amp;Tipo=2&amp;ST=1&amp;nLang=0</t>
  </si>
  <si>
    <t>https://www.clickideacore.com/ClickHTML5/Visit.aspx?ID=//54DAEwASwAzADkAOAAxADcANgAxADYASQBEAEUAQQA9=&amp;Tipo=2&amp;ST=1&amp;nLang=0</t>
  </si>
  <si>
    <t>https://www.clickideacore.com/ClickHTML5/Visit.aspx?ID=//57DAEwASwAzADkAOAAyADMAOQA2ADYASQBEAEUAQQAE=&amp;Tipo=2&amp;ST=1&amp;nLang=0</t>
  </si>
  <si>
    <t>https://www.clickideacore.com/ClickHTML5/Visit.aspx?ID=//58DAEwASwAzADkAOAAyADUANgA0ADAASQBEAEUAQQA4=&amp;Tipo=2&amp;ST=1&amp;nLang=0</t>
  </si>
  <si>
    <t>https://www.clickideacore.com/ClickHTML5/Visit.aspx?ID=//5DDAEwASwAzADkAOAAxADMAMwA2ADMASQBEAEUAQQA1=&amp;Tipo=2&amp;ST=1&amp;nLang=0</t>
  </si>
  <si>
    <t>https://www.clickideacore.com/ClickHTML5/Visit.aspx?ID=//51DAEwASwAzADkAOAA2ADcAOAA0ADUASQBEAEUAQQA0=&amp;Tipo=2&amp;ST=1&amp;nLang=0</t>
  </si>
  <si>
    <t>https://www.clickideacore.com/ClickHTML5/Visit.aspx?ID=//57DAEwASwAzADkAOAAzADcANwA0ADkASQBEAEUAQQA8=&amp;Tipo=2&amp;ST=1&amp;nLang=0</t>
  </si>
  <si>
    <t>https://www.clickideacore.com/ClickHTML5/Visit.aspx?ID=//5BDAEwASwAzADkAOAA1ADAANAA1ADcASQBEAEUAQQA7=&amp;Tipo=2&amp;ST=1&amp;nLang=0</t>
  </si>
  <si>
    <t>https://www.clickideacore.com/ClickHTML5/Visit.aspx?ID=//5FDAEwASwAzADkAOAA0ADAAMAAxADQASQBEAEUAQQA3=&amp;Tipo=2&amp;ST=1&amp;nLang=0</t>
  </si>
  <si>
    <t>https://www.clickideacore.com/ClickHTML5/Visit.aspx?ID=//5DDAEwASwAzADkAOAA2ADQANgA3ADYASQBEAEUAQQAF=&amp;Tipo=2&amp;ST=1&amp;nLang=0</t>
  </si>
  <si>
    <t>https://www.clickideacore.com/ClickHTML5/Visit.aspx?ID=//53DAEwASwAzADkAOAA0ADgAMQAzADMASQBEAEUAQQAA=&amp;Tipo=2&amp;ST=1&amp;nLang=0</t>
  </si>
  <si>
    <t>https://www.clickideacore.com/ClickHTML5/Visit.aspx?ID=//5DDAEwASwAzADkAOAA0ADYAMwAwADYASQBEAEUAQQAB=&amp;Tipo=2&amp;ST=1&amp;nLang=0</t>
  </si>
  <si>
    <t>https://www.clickideacore.com/ClickHTML5/Visit.aspx?ID=//5FDAEwASwAzADkAOAA0ADQAOQA3ADgASQBEAEUAQQAF=&amp;Tipo=2&amp;ST=1&amp;nLang=0</t>
  </si>
  <si>
    <t>https://www.clickideacore.com/ClickHTML5/Visit.aspx?ID=//51DAEwASwAzADkAOAA0ADAANQA2ADgASQBEAEUAQQAD=&amp;Tipo=2&amp;ST=1&amp;nLang=0</t>
  </si>
  <si>
    <t>https://www.clickideacore.com/ClickHTML5/Visit.aspx?ID=//57DAEwASwAzADkAOAA2ADMANQAwADYASQBEAEUAQQA9=&amp;Tipo=2&amp;ST=1&amp;nLang=0</t>
  </si>
  <si>
    <t>https://www.clickideacore.com/ClickHTML5/Visit.aspx?ID=//59DAEwASwAzADkAOAA0ADIAMAAxADcASQBEAEUAQQA7=&amp;Tipo=2&amp;ST=1&amp;nLang=0</t>
  </si>
  <si>
    <t>https://www.clickideacore.com/ClickHTML5/Visit.aspx?ID=//51DAEwASwAzADkAOAA0ADUANgA1ADIASQBEAEUAQQA0=&amp;Tipo=2&amp;ST=1&amp;nLang=0</t>
  </si>
  <si>
    <t>https://www.clickideacore.com/ClickHTML5/Visit.aspx?ID=//5EDAEwASwAzADkAOAAzADcANQA1ADcASQBEAEUAQQAF=&amp;Tipo=2&amp;ST=1&amp;nLang=0</t>
  </si>
  <si>
    <t>https://www.clickideacore.com/ClickHTML5/Visit.aspx?ID=//5DDAEwASwAzADkAOAA0ADkAMQAzADIASQBEAEUAQQAE=&amp;Tipo=2&amp;ST=1&amp;nLang=0</t>
  </si>
  <si>
    <t>https://www.clickideacore.com/ClickHTML5/Visit.aspx?ID=//52DAEwASwAzADkAOAA1ADAANAA0ADkASQBEAEUAQQA2=&amp;Tipo=2&amp;ST=1&amp;nLang=0</t>
  </si>
  <si>
    <t>https://www.clickideacore.com/ClickHTML5/Visit.aspx?ID=//5DDAEwASwAzADkAOAA1ADAAMwA4ADMASQBEAEUAQQA0=&amp;Tipo=2&amp;ST=1&amp;nLang=0</t>
  </si>
  <si>
    <t>https://www.clickideacore.com/ClickHTML5/Visit.aspx?ID=//53DAEwASwAzADkAOAA2ADgANAAyADQASQBEAEUAQQAC=&amp;Tipo=2&amp;ST=1&amp;nLang=0</t>
  </si>
  <si>
    <t>https://www.clickideacore.com/ClickHTML5/Visit.aspx?ID=//5EDAEwASwAzADkAOAA3ADMAMAA5ADAASQBEAEUAQQA4=&amp;Tipo=2&amp;ST=1&amp;nLang=0</t>
  </si>
  <si>
    <t>https://www.clickideacore.com/ClickHTML5/Visit.aspx?ID=//5BDAEwASwAzADkAOAA2ADQAOAAwADcASQBEAEUAQQAC=&amp;Tipo=2&amp;ST=1&amp;nLang=0</t>
  </si>
  <si>
    <t>https://www.clickideacore.com/ClickHTML5/Visit.aspx?ID=//54DAEwASwAzADkAOAA5ADcAOAAyADUASQBEAEUAQQA4=&amp;Tipo=2&amp;ST=1&amp;nLang=0</t>
  </si>
  <si>
    <t>https://www.clickideacore.com/ClickHTML5/Visit.aspx?ID=//5EDAEwASwAzADkAOAA2ADIAMgA4ADgASQBEAEUAQQA0=&amp;Tipo=2&amp;ST=1&amp;nLang=0</t>
  </si>
  <si>
    <t>https://www.clickideacore.com/ClickHTML5/Visit.aspx?ID=//58DAEwASwAzADkAOAA2ADIAMwAzADYASQBEAEUAQQAF=&amp;Tipo=2&amp;ST=1&amp;nLang=0</t>
  </si>
  <si>
    <t>https://www.clickideacore.com/ClickHTML5/Visit.aspx?ID=//58DAEwASwAzADkAOAA2ADYANQAzADUASQBEAEUAQQA7=&amp;Tipo=2&amp;ST=1&amp;nLang=0</t>
  </si>
  <si>
    <t>https://www.clickideacore.com/ClickHTML5/Visit.aspx?ID=//56DAEwASwAzADkAOAA2ADcAMQA4ADUASQBEAEUAQQA2=&amp;Tipo=2&amp;ST=1&amp;nLang=0</t>
  </si>
  <si>
    <t>https://www.clickideacore.com/ClickHTML5/Visit.aspx?ID=//5BDAEwASwAzADkAOAA2ADIANAA0ADQASQBEAEUAQQA2=&amp;Tipo=2&amp;ST=1&amp;nLang=0</t>
  </si>
  <si>
    <t>https://www.clickideacore.com/ClickHTML5/Visit.aspx?ID=//58DAEwASwAzADkAOQAyADEAOQA0ADIASQBEAEUAQQAC=&amp;Tipo=2&amp;ST=1&amp;nLang=0</t>
  </si>
  <si>
    <t>https://www.clickideacore.com/ClickHTML5/Visit.aspx?ID=//55DAEwASwAzADkAOAA2ADkANAAzADkASQBEAEUAQQA0=&amp;Tipo=2&amp;ST=1&amp;nLang=0</t>
  </si>
  <si>
    <t>https://www.clickideacore.com/ClickHTML5/Visit.aspx?ID=//56DAEwASwAzADkAOAA3ADQAMwA2ADYASQBEAEUAQQAE=&amp;Tipo=2&amp;ST=1&amp;nLang=0</t>
  </si>
  <si>
    <t>https://www.clickideacore.com/ClickHTML5/Visit.aspx?ID=//58DAEwASwAzADkAOAA4ADcAMgAwADgASQBEAEUAQQAF=&amp;Tipo=2&amp;ST=1&amp;nLang=0</t>
  </si>
  <si>
    <t>https://www.clickideacore.com/ClickHTML5/Visit.aspx?ID=//51DAEwASwAzADkAOAA5ADcANgA3ADIASQBEAEUAQQAC=&amp;Tipo=2&amp;ST=1&amp;nLang=0</t>
  </si>
  <si>
    <t>https://www.clickideacore.com/ClickHTML5/Visit.aspx?ID=//58DAEwASwAzADkAOAA5ADcANwA0ADYASQBEAEUAQQA7=&amp;Tipo=2&amp;ST=1&amp;nLang=0</t>
  </si>
  <si>
    <t>https://www.clickideacore.com/ClickHTML5/Visit.aspx?ID=//56DAEwASwAzADkAOQAxADMAMwA1ADAASQBEAEUAQQAE=&amp;Tipo=2&amp;ST=1&amp;nLang=0</t>
  </si>
  <si>
    <t>https://www.clickideacore.com/ClickHTML5/Visit.aspx?ID=//50DAEwASwAzADkAOQAxADYAMAA2ADkASQBEAEUAQQAF=&amp;Tipo=2&amp;ST=1&amp;nLang=0</t>
  </si>
  <si>
    <t>https://www.clickideacore.com/ClickHTML5/Visit.aspx?ID=//5CDAEwASwAzADkAOQAxADIANAA3ADkASQBEAEUAQQA9=&amp;Tipo=2&amp;ST=1&amp;nLang=0</t>
  </si>
  <si>
    <t>https://www.clickideacore.com/ClickHTML5/Visit.aspx?ID=//50DAEwASwAzADkAOQAxADkAOQA5ADcASQBEAEUAQQA4=&amp;Tipo=2&amp;ST=1&amp;nLang=0</t>
  </si>
  <si>
    <t>https://www.clickideacore.com/ClickHTML5/Visit.aspx?ID=//53DAEwASwAzADkAOQAxADIANgA1ADcASQBEAEUAQQA5=&amp;Tipo=2&amp;ST=1&amp;nLang=0</t>
  </si>
  <si>
    <t>https://www.clickideacore.com/ClickHTML5/Visit.aspx?ID=//58DAEwASwAzADkAOQAxADIAMgA0ADgASQBEAEUAQQA4=&amp;Tipo=2&amp;ST=1&amp;nLang=0</t>
  </si>
  <si>
    <t>https://www.clickideacore.com/ClickHTML5/Visit.aspx?ID=//58DAEwASwAzADkAOQAxADIANQAyADkASQBEAEUAQQA1=&amp;Tipo=2&amp;ST=1&amp;nLang=0</t>
  </si>
  <si>
    <t>https://www.clickideacore.com/ClickHTML5/Visit.aspx?ID=//52DAEwASwAzADkAOQAwADkAMAA1ADcASQBEAEUAQQA6=&amp;Tipo=2&amp;ST=1&amp;nLang=0</t>
  </si>
  <si>
    <t>https://www.clickideacore.com/ClickHTML5/Visit.aspx?ID=//50DAEwASwAzADkAOQAxADEAOAAyADgASQBEAEUAQQAF=&amp;Tipo=2&amp;ST=1&amp;nLang=0</t>
  </si>
  <si>
    <t>https://www.clickideacore.com/ClickHTML5/Visit.aspx?ID=//51DAEwASwAzADkAOQAxADIANAAzADQASQBEAEUAQQA2=&amp;Tipo=2&amp;ST=1&amp;nLang=0</t>
  </si>
  <si>
    <t>https://www.clickideacore.com/ClickHTML5/Visit.aspx?ID=//58DAEwASwAzADkAOQAxADIAMgA3ADQASQBEAEUAQQA1=&amp;Tipo=2&amp;ST=1&amp;nLang=0</t>
  </si>
  <si>
    <t>https://www.clickideacore.com/ClickHTML5/Visit.aspx?ID=//51DAEwASwAzADkAOQAxADcAMgAzADgASQBEAEUAQQAC=&amp;Tipo=2&amp;ST=1&amp;nLang=0</t>
  </si>
  <si>
    <t>https://www.clickideacore.com/ClickHTML5/Visit.aspx?ID=//54DAEwASwAzADkAOQAyADMANAA3ADkASQBEAEUAQQAD=&amp;Tipo=2&amp;ST=1&amp;nLang=0</t>
  </si>
  <si>
    <t>https://www.clickideacore.com/ClickHTML5/Visit.aspx?ID=//5CDAEwASwAzADkAOQAxADYAOAAzADYASQBEAEUAQQA5=&amp;Tipo=2&amp;ST=1&amp;nLang=0</t>
  </si>
  <si>
    <t>https://www.clickideacore.com/ClickHTML5/Visit.aspx?ID=//53DAEwASwAzADkAOQAzADkANgA0ADQASQBEAEUAQQA9=&amp;Tipo=2&amp;ST=1&amp;nLang=0</t>
  </si>
  <si>
    <t>https://www.clickideacore.com/ClickHTML5/Visit.aspx?ID=//57DAEwASwAzADkAOQAzADYAOAAxADIASQBEAEUAQQAE=&amp;Tipo=2&amp;ST=1&amp;nLang=0</t>
  </si>
  <si>
    <t>https://www.clickideacore.com/ClickHTML5/Visit.aspx?ID=//59DAEwASwAzADkAOQAzADgAOQAxADMASQBEAEUAQQA4=&amp;Tipo=2&amp;ST=1&amp;nLang=0</t>
  </si>
  <si>
    <t>https://www.clickideacore.com/ClickHTML5/Visit.aspx?ID=//5CDAEwASwAzADkAOQA0ADgAMgAwADUASQBEAEUAQQA4=&amp;Tipo=2&amp;ST=1&amp;nLang=0</t>
  </si>
  <si>
    <t>https://www.clickideacore.com/ClickHTML5/Visit.aspx?ID=//53DAEwASwAzADkAOQAzADgAMwAzADMASQBEAEUAQQA8=&amp;Tipo=2&amp;ST=1&amp;nLang=0</t>
  </si>
  <si>
    <t>https://www.clickideacore.com/ClickHTML5/Visit.aspx?ID=//5DDAEwASwAzADkAOQAzADYAOQA5ADcASQBEAEUAQQA3=&amp;Tipo=2&amp;ST=1&amp;nLang=0</t>
  </si>
  <si>
    <t>https://www.clickideacore.com/ClickHTML5/Visit.aspx?ID=//5ADAEwASwAzADkAOQAzADgAMwA1ADIASQBEAEUAQQA5=&amp;Tipo=2&amp;ST=1&amp;nLang=0</t>
  </si>
  <si>
    <t>https://www.clickideacore.com/ClickHTML5/Visit.aspx?ID=//51DAEwASwAzADkAOQAzADcANwA4ADgASQBEAEUAQQAC=&amp;Tipo=2&amp;ST=1&amp;nLang=0</t>
  </si>
  <si>
    <t>https://www.clickideacore.com/ClickHTML5/Visit.aspx?ID=//56DAEwASwAzADkAOQAzADgAOQAzADEASQBEAEUAQQA7=&amp;Tipo=2&amp;ST=1&amp;nLang=0</t>
  </si>
  <si>
    <t>https://www.clickideacore.com/ClickHTML5/Visit.aspx?ID=//53DAEwASwAzADkAOQA0ADMAMQA1ADAASQBEAEUAQQA6=&amp;Tipo=2&amp;ST=1&amp;nLang=0</t>
  </si>
  <si>
    <t>https://www.clickideacore.com/ClickHTML5/Visit.aspx?ID=//5DDAEwASwAzADkAOQA0ADcANQAwADAASQBEAEUAQQAD=&amp;Tipo=2&amp;ST=1&amp;nLang=0</t>
  </si>
  <si>
    <t>achs</t>
  </si>
  <si>
    <t>,</t>
  </si>
  <si>
    <t>OK</t>
  </si>
  <si>
    <t>https://www.clickideacore.com/ClickHTML5/Visit.aspx?ID=//54DAEwASwAzADkAOQA3ADEAMAAzADAASQBEAEUAQQA4=&amp;Tipo=2&amp;ST=1&amp;nLang=0</t>
  </si>
  <si>
    <t>https://www.clickideacore.com/ClickHTML5/Visit.aspx?ID=//50DAEwASwAzADkAOQA5ADAAMwA1ADgASQBEAEUAQQAE=&amp;Tipo=2&amp;ST=1&amp;nLang=0</t>
  </si>
  <si>
    <t>https://www.clickideacore.com/ClickHTML5/Visit.aspx?ID=//56DAEwASwAzADkAOQA2ADIAOAA2ADEASQBEAEUAQQA1=&amp;Tipo=2&amp;ST=1&amp;nLang=0</t>
  </si>
  <si>
    <t>https://www.clickideacore.com/ClickHTML5/Visit.aspx?ID=//5ADAEwASwAzADkAOQA3ADIANgA0ADgASQBEAEUAQQA1=&amp;Tipo=2&amp;ST=1&amp;nLang=0</t>
  </si>
  <si>
    <t>https://www.clickideacore.com/ClickHTML5/Visit.aspx?ID=//5EDAEwASwAzADkAOQA2ADIAMAA2ADMASQBEAEUAQQA4=&amp;Tipo=2&amp;ST=1&amp;nLang=0</t>
  </si>
  <si>
    <t>https://www.clickideacore.com/ClickHTML5/Visit.aspx?ID=//59DAEwASwAzADkAOQA2ADUANwA4ADUASQBEAEUAQQA6=&amp;Tipo=2&amp;ST=1&amp;nLang=0</t>
  </si>
  <si>
    <t>https://www.clickideacore.com/ClickHTML5/Visit.aspx?ID=//51DAEwASwAzADkAOQA2ADUANwAyADAASQBEAEUAQQA4=&amp;Tipo=2&amp;ST=1&amp;nLang=0</t>
  </si>
  <si>
    <t>https://www.clickideacore.com/ClickHTML5/Visit.aspx?ID=//5BDAEwASwAzADkAOQA1ADgAMAA3ADkASQBEAEUAQQA9=&amp;Tipo=2&amp;ST=1&amp;nLang=0</t>
  </si>
  <si>
    <t>https://www.clickideacore.com/ClickHTML5/Visit.aspx?ID=//56DAEwASwAzADkAOQA2ADEANgAzADkASQBEAEUAQQA2=&amp;Tipo=2&amp;ST=1&amp;nLang=0</t>
  </si>
  <si>
    <t>https://www.clickideacore.com/ClickHTML5/Visit.aspx?ID=//5EDAEwASwAzADkAOQA2ADIAOQA4ADkASQBEAEUAQQAD=&amp;Tipo=2&amp;ST=1&amp;nLang=0</t>
  </si>
  <si>
    <t>https://www.clickideacore.com/ClickHTML5/Visit.aspx?ID=//51DAEwASwAzADkAOQA2ADkAMQAwADEASQBEAEUAQQA6=&amp;Tipo=2&amp;ST=1&amp;nLang=0</t>
  </si>
  <si>
    <t>https://www.clickideacore.com/ClickHTML5/Visit.aspx?ID=//55DAEwASwAzADkAOQA3ADEAMQAyADUASQBEAEUAQQA3=&amp;Tipo=2&amp;ST=1&amp;nLang=0</t>
  </si>
  <si>
    <t>https://www.clickideacore.com/ClickHTML5/Visit.aspx?ID=//5ADAEwASwAzADkAOQA2ADQAOAA3ADUASQBEAEUAQQAE=&amp;Tipo=2&amp;ST=1&amp;nLang=0</t>
  </si>
  <si>
    <t>https://www.clickideacore.com/ClickHTML5/Visit.aspx?ID=//58DAEwASwAzADkAOQA3ADIANAAzADgASQBEAEUAQQA4=&amp;Tipo=2&amp;ST=1&amp;nLang=0</t>
  </si>
  <si>
    <t>https://www.clickideacore.com/ClickHTML5/Visit.aspx?ID=//5BDAEwASwAzADkAOQA2ADIANQAzADUASQBEAEUAQQAD=&amp;Tipo=2&amp;ST=1&amp;nLang=0</t>
  </si>
  <si>
    <t>https://www.clickideacore.com/ClickHTML5/Visit.aspx?ID=//53DAEwASwAzADkAOQA0ADkAMQAxADkASQBEAEUAQQAE=&amp;Tipo=2&amp;ST=1&amp;nLang=0</t>
  </si>
  <si>
    <t>https://www.clickideacore.com/ClickHTML5/Visit.aspx?ID=//58DAEwASwAzADkAOQA4ADIANwA2ADMASQBEAEUAQQA7=&amp;Tipo=2&amp;ST=1&amp;nLang=0</t>
  </si>
  <si>
    <t>https://www.clickideacore.com/ClickHTML5/Visit.aspx?ID=//59DAEwASwAzADkAOQA5ADUAMwAzADIASQBEAEUAQQA3=&amp;Tipo=2&amp;ST=1&amp;nLang=0</t>
  </si>
  <si>
    <t>https://www.clickideacore.com/ClickHTML5/Visit.aspx?ID=//5EDAEwASwAzADkAOQA4ADYANQAzADYASQBEAEUAQQAE=&amp;Tipo=2&amp;ST=1&amp;nLang=0</t>
  </si>
  <si>
    <t>https://www.clickideacore.com/ClickHTML5/Visit.aspx?ID=//54DAEwASwAzADkAOQA5ADYAMgA0ADUASQBEAEUAQQAC=&amp;Tipo=2&amp;ST=1&amp;nLang=0</t>
  </si>
  <si>
    <t>https://www.clickideacore.com/ClickHTML5/Visit.aspx?ID=//56DAEwASwAzADkAOQA4ADIANgA3ADcASQBEAEUAQQA3=&amp;Tipo=2&amp;ST=1&amp;nLang=0</t>
  </si>
  <si>
    <t>https://www.clickideacore.com/ClickHTML5/Visit.aspx?ID=//5CDAEwASwAzADkAOQA4ADcANAAxADAASQBEAEUAQQA3=&amp;Tipo=2&amp;ST=1&amp;nLang=0</t>
  </si>
  <si>
    <t>https://www.clickideacore.com/ClickHTML5/Visit.aspx?ID=//5FDAEwASwAzADkAOQA4ADgAOQAxADIASQBEAEUAQQA2=&amp;Tipo=2&amp;ST=1&amp;nLang=0</t>
  </si>
  <si>
    <t>https://www.clickideacore.com/ClickHTML5/Visit.aspx?ID=//58DAEwASwAzADkAOQA4ADcAOAAzADAASQBEAEUAQQA7=&amp;Tipo=2&amp;ST=1&amp;nLang=0</t>
  </si>
  <si>
    <t>https://www.clickideacore.com/ClickHTML5/Visit.aspx?ID=//53DAEwASwAzADkAOQA4ADgAMQA1ADQASQBEAEUAQQA4=&amp;Tipo=2&amp;ST=1&amp;nLang=0</t>
  </si>
  <si>
    <t>https://www.clickideacore.com/ClickHTML5/Visit.aspx?ID=//55DAEwASwAzADkAOQA5ADIAMQAwADUASQBEAEUAQQAA=&amp;Tipo=2&amp;ST=1&amp;nLang=0</t>
  </si>
  <si>
    <t>https://www.clickideacore.com/ClickHTML5/Visit.aspx?ID=//59DAEwASwAzADkAOQA5ADQAOAA1ADAASQBEAEUAQQA6=&amp;Tipo=2&amp;ST=1&amp;nLang=0</t>
  </si>
  <si>
    <t>https://www.clickideacore.com/ClickHTML5/Visit.aspx?ID=//59DAEwASwAzADkAOQA4ADcAMgA2ADQASQBEAEUAQQAD=&amp;Tipo=2&amp;ST=1&amp;nLang=0</t>
  </si>
  <si>
    <t>https://www.clickideacore.com/ClickHTML5/Visit.aspx?ID=//51DAEwASwAzADkAOQA5ADYAMwA3ADMASQBEAEUAQQAE=&amp;Tipo=2&amp;ST=1&amp;nLang=0</t>
  </si>
  <si>
    <t>https://www.clickideacore.com/ClickHTML5/Visit.aspx?ID=//56DAEwASwA0ADAAMAAxADMAMwA2ADQASQBEAEUAQQA4=&amp;Tipo=2&amp;ST=1&amp;nLang=0</t>
  </si>
  <si>
    <t>https://www.clickideacore.com/ClickHTML5/Visit.aspx?ID=//50DAEwASwA0ADAAMAAxADgAMgA4ADYASQBEAEUAQQA9=&amp;Tipo=2&amp;ST=1&amp;nLang=0</t>
  </si>
  <si>
    <t>https://www.clickideacore.com/ClickHTML5/Visit.aspx?ID=//51DAEwASwA0ADAAMAAwADcAMgA2ADkASQBEAEUAQQAF=&amp;Tipo=2&amp;ST=1&amp;nLang=0</t>
  </si>
  <si>
    <t>https://www.clickideacore.com/ClickHTML5/Visit.aspx?ID=//56DAEwASwA0ADAAMAAxADMAMwA0ADcASQBEAEUAQQA6=&amp;Tipo=2&amp;ST=1&amp;nLang=0</t>
  </si>
  <si>
    <t>https://www.clickideacore.com/ClickHTML5/Visit.aspx?ID=//54DAEwASwA0ADAAMAAxADIAOQAxADQASQBEAEUAQQAE=&amp;Tipo=2&amp;ST=1&amp;nLang=0</t>
  </si>
  <si>
    <t>https://www.clickideacore.com/ClickHTML5/Visit.aspx?ID=//53DAEwASwA0ADAAMAAxADAAMwAyADMASQBEAEUAQQA0=&amp;Tipo=2&amp;ST=1&amp;nLang=0</t>
  </si>
  <si>
    <t>https://www.clickideacore.com/ClickHTML5/Visit.aspx?ID=//52DAEwASwA0ADAAMAAwADkANAA0ADMASQBEAEUAQQA1=&amp;Tipo=2&amp;ST=1&amp;nLang=0</t>
  </si>
  <si>
    <t>https://www.clickideacore.com/ClickHTML5/Visit.aspx?ID=//53DAEwASwA0ADAAMAAxADAANQAyADUASQBEAEUAQQA8=&amp;Tipo=2&amp;ST=1&amp;nLang=0</t>
  </si>
  <si>
    <t>https://www.clickideacore.com/ClickHTML5/Visit.aspx?ID=//5EDAEwASwA0ADAAMAAxADMAMQAxADgASQBEAEUAQQA5=&amp;Tipo=2&amp;ST=1&amp;nLang=0</t>
  </si>
  <si>
    <t>https://www.clickideacore.com/ClickHTML5/Visit.aspx?ID=//53DAEwASwA0ADAAMAAwADkAMAA2ADMASQBEAEUAQQAA=&amp;Tipo=2&amp;ST=1&amp;nLang=0</t>
  </si>
  <si>
    <t>https://www.clickideacore.com/ClickHTML5/Visit.aspx?ID=//5ADAEwASwA0ADAAMAAxADgANwAyADAASQBEAEUAQQA0=&amp;Tipo=2&amp;ST=1&amp;nLang=0</t>
  </si>
  <si>
    <t>https://www.clickideacore.com/ClickHTML5/Visit.aspx?ID=//58DAEwASwA0ADAAMAAwADkANQA4ADgASQBEAEUAQQA9=&amp;Tipo=2&amp;ST=1&amp;nLang=0</t>
  </si>
  <si>
    <t>https://www.clickideacore.com/ClickHTML5/Visit.aspx?ID=//56DAEwASwA0ADAAMAAxADgAMgAyADcASQBEAEUAQQA1=&amp;Tipo=2&amp;ST=1&amp;nLang=0</t>
  </si>
  <si>
    <t>https://www.clickideacore.com/ClickHTML5/Visit.aspx?ID=//59DAEwASwA0ADAAMAAxADMANAAwADAASQBEAEUAQQA7=&amp;Tipo=2&amp;ST=1&amp;nLang=0</t>
  </si>
  <si>
    <t>https://www.clickideacore.com/ClickHTML5/Visit.aspx?ID=//5FDAEwASwA0ADAAMAAxADkAMAAwADAASQBEAEUAQQA7=&amp;Tipo=2&amp;ST=1&amp;nLang=0</t>
  </si>
  <si>
    <t>https://www.clickideacore.com/ClickHTML5/Visit.aspx?ID=//5BDAEwASwA0ADAAMAAxADUANwA1ADcASQBEAEUAQQAE=&amp;Tipo=2&amp;ST=1&amp;nLang=0</t>
  </si>
  <si>
    <t>https://www.clickideacore.com/ClickHTML5/Visit.aspx?ID=//5BDAEwASwA0ADAAMAAzADQAMAAzADcASQBEAEUAQQAB=&amp;Tipo=2&amp;ST=1&amp;nLang=0</t>
  </si>
  <si>
    <t>https://www.clickideacore.com/ClickHTML5/Visit.aspx?ID=//5DDAEwASwA0ADAAMAAzADMAOQA3ADUASQBEAEUAQQA6=&amp;Tipo=2&amp;ST=1&amp;nLang=0</t>
  </si>
  <si>
    <t>https://www.clickideacore.com/ClickHTML5/Visit.aspx?ID=//5FDAEwASwA0ADAAMAA0ADEANQA3ADkASQBEAEUAQQA3=&amp;Tipo=2&amp;ST=1&amp;nLang=0</t>
  </si>
  <si>
    <t>https://www.clickideacore.com/ClickHTML5/Visit.aspx?ID=//5ADAEwASwA0ADAAMAA0ADMAMgA4ADkASQBEAEUAQQAA=&amp;Tipo=2&amp;ST=1&amp;nLang=0</t>
  </si>
  <si>
    <t>https://www.clickideacore.com/ClickHTML5/Visit.aspx?ID=//5CDAEwASwA0ADAAMAA0ADIANwA0ADUASQBEAEUAQQA7=&amp;Tipo=2&amp;ST=1&amp;nLang=0</t>
  </si>
  <si>
    <t>https://www.clickideacore.com/ClickHTML5/Visit.aspx?ID=//5CDAEwASwA0ADAAMAA1ADcANgA2ADEASQBEAEUAQQAE=&amp;Tipo=2&amp;ST=1&amp;nLang=0</t>
  </si>
  <si>
    <t>https://www.clickideacore.com/ClickHTML5/Visit.aspx?ID=//5CDAEwASwA0ADAAMAA2ADcANgAwADAASQBEAEUAQQAD=&amp;Tipo=2&amp;ST=1&amp;nLang=0</t>
  </si>
  <si>
    <t>https://www.clickideacore.com/ClickHTML5/Visit.aspx?ID=//58DAEwASwA0ADAAMAA2ADAANAAzADgASQBEAEUAQQAB=&amp;Tipo=2&amp;ST=1&amp;nLang=0</t>
  </si>
  <si>
    <t>https://www.clickideacore.com/ClickHTML5/Visit.aspx?ID=//5DDAEwASwA0ADAAMAA1ADYANgAwADYASQBEAEUAQQA2=&amp;Tipo=2&amp;ST=1&amp;nLang=0</t>
  </si>
  <si>
    <t>https://www.clickideacore.com/ClickHTML5/Visit.aspx?ID=//58DAEwASwA0ADAAMAA1ADkANwAyADYASQBEAEUAQQA9=&amp;Tipo=2&amp;ST=1&amp;nLang=0</t>
  </si>
  <si>
    <t>https://www.clickideacore.com/ClickHTML5/Visit.aspx?ID=//52DAEwASwA0ADAAMAA1ADQAOAA3ADMASQBEAEUAQQAD=&amp;Tipo=2&amp;ST=1&amp;nLang=0</t>
  </si>
  <si>
    <t>https://www.clickideacore.com/ClickHTML5/Visit.aspx?ID=//5CDAEwASwA0ADAAMAA1ADcANwAzADYASQBEAEUAQQAD=&amp;Tipo=2&amp;ST=1&amp;nLang=0</t>
  </si>
  <si>
    <t>https://www.clickideacore.com/ClickHTML5/Visit.aspx?ID=//52DAEwASwA0ADAAMAA1ADkANQA0ADQASQBEAEUAQQAD=&amp;Tipo=2&amp;ST=1&amp;nLang=0</t>
  </si>
  <si>
    <t>https://www.clickideacore.com/ClickHTML5/Visit.aspx?ID=//56DAEwASwA0ADAAMAA1ADgAMQAxADUASQBEAEUAQQA5=&amp;Tipo=2&amp;ST=1&amp;nLang=0</t>
  </si>
  <si>
    <t>https://www.clickideacore.com/ClickHTML5/Visit.aspx?ID=//54DAEwASwA0ADAAMAA2ADMAOAA4ADEASQBEAEUAQQAE=&amp;Tipo=2&amp;ST=1&amp;nLang=0</t>
  </si>
  <si>
    <t>https://www.clickideacore.com/ClickHTML5/Visit.aspx?ID=//5DDAEwASwA0ADAAMAA1ADgAMQA3ADYASQBEAEUAQQAD=&amp;Tipo=2&amp;ST=1&amp;nLang=0</t>
  </si>
  <si>
    <t>https://www.clickideacore.com/ClickHTML5/Visit.aspx?ID=//5DDAEwASwA0ADAAMAA2ADYAOQAxADAASQBEAEUAQQA5=&amp;Tipo=2&amp;ST=1&amp;nLang=0</t>
  </si>
  <si>
    <t>https://www.clickideacore.com/ClickHTML5/Visit.aspx?ID=//57DAEwASwA0ADAAMAA1ADgANAA3ADUASQBEAEUAQQA2=&amp;Tipo=2&amp;ST=1&amp;nLang=0</t>
  </si>
  <si>
    <t>https://www.clickideacore.com/ClickHTML5/Visit.aspx?ID=//55DAEwASwA0ADAAMAA2ADcAOQA0ADYASQBEAEUAQQA7=&amp;Tipo=2&amp;ST=1&amp;nLang=0</t>
  </si>
  <si>
    <t>https://www.clickideacore.com/ClickHTML5/Visit.aspx?ID=//56DAEwASwA0ADAAMAA1ADkANwA2ADAASQBEAEUAQQA0=&amp;Tipo=2&amp;ST=1&amp;nLang=0</t>
  </si>
  <si>
    <t>https://www.clickideacore.com/ClickHTML5/Visit.aspx?ID=//53DAEwASwA0ADAAMAA4ADIAMwAxADQASQBEAEUAQQAD=&amp;Tipo=2&amp;ST=1&amp;nLang=0</t>
  </si>
  <si>
    <t>https://www.clickideacore.com/ClickHTML5/Visit.aspx?ID=//55DAEwASwA0ADAAMAA5ADEANAAyADkASQBEAEUAQQAE=&amp;Tipo=2&amp;ST=1&amp;nLang=0</t>
  </si>
  <si>
    <t>https://www.clickideacore.com/ClickHTML5/Visit.aspx?ID=//55DAEwASwA0ADAAMAA3ADYANgA2ADcASQBEAEUAQQAF=&amp;Tipo=2&amp;ST=1&amp;nLang=0</t>
  </si>
  <si>
    <t>Pato Ramirez</t>
  </si>
  <si>
    <t>https://www.clickideacore.com/ClickHTML5/Visit.aspx?ID=//50DAEwASwA0ADAAMAA4ADAAOQA4ADAASQBEAEUAQQAE=&amp;Tipo=2&amp;ST=1&amp;nLang=0</t>
  </si>
  <si>
    <t>https://www.clickideacore.com/ClickHTML5/Visit.aspx?ID=//5DDAEwASwA0ADAAMAA4ADgANgA5ADkASQBEAEUAQQAA=&amp;Tipo=2&amp;ST=1&amp;nLang=0</t>
  </si>
  <si>
    <t>https://www.clickideacore.com/ClickHTML5/Visit.aspx?ID=//5EDAEwASwA0ADAAMAA4ADEANAAzADUASQBEAEUAQQA7=&amp;Tipo=2&amp;ST=1&amp;nLang=0</t>
  </si>
  <si>
    <t>https://www.clickideacore.com/ClickHTML5/Visit.aspx?ID=//51DAEwASwA0ADAAMAA3ADkAMQA4ADIASQBEAEUAQQA6=&amp;Tipo=2&amp;ST=1&amp;nLang=0</t>
  </si>
  <si>
    <t>https://www.clickideacore.com/ClickHTML5/Visit.aspx?ID=//5BDAEwASwA0ADAAMAA4ADEAOAAxADEASQBEAEUAQQAD=&amp;Tipo=2&amp;ST=1&amp;nLang=0</t>
  </si>
  <si>
    <t>https://www.clickideacore.com/ClickHTML5/Visit.aspx?ID=//5CDAEwASwA0ADAAMAA4ADAANgAzADcASQBEAEUAQQAC=&amp;Tipo=2&amp;ST=1&amp;nLang=0</t>
  </si>
  <si>
    <t>https://www.clickideacore.com/ClickHTML5/Visit.aspx?ID=//5DDAEwASwA0ADAAMAA4ADQAMQA1ADMASQBEAEUAQQA1=&amp;Tipo=2&amp;ST=1&amp;nLang=0</t>
  </si>
  <si>
    <t>https://www.clickideacore.com/ClickHTML5/Visit.aspx?ID=//5ADAEwASwA0ADAAMAA4ADMAOAAzADUASQBEAEUAQQA3=&amp;Tipo=2&amp;ST=1&amp;nLang=0</t>
  </si>
  <si>
    <t>https://www.clickideacore.com/ClickHTML5/Visit.aspx?ID=//59DAEwASwA0ADAAMAA4ADAANwAzADIASQBEAEUAQQA4=&amp;Tipo=2&amp;ST=1&amp;nLang=0</t>
  </si>
  <si>
    <t>https://www.clickideacore.com/ClickHTML5/Visit.aspx?ID=//5EDAEwASwA0ADAAMAA4ADkANAA0ADIASQBEAEUAQQAB=&amp;Tipo=2&amp;ST=1&amp;nLang=0</t>
  </si>
  <si>
    <t>https://www.clickideacore.com/ClickHTML5/Visit.aspx?ID=//5BDAEwASwA0ADAAMAA5ADAANQA4ADQASQBEAEUAQQA6=&amp;Tipo=2&amp;ST=1&amp;nLang=0</t>
  </si>
  <si>
    <t>https://www.clickideacore.com/ClickHTML5/Visit.aspx?ID=//5EDAEwASwA0ADAAMAA5ADEANAA0ADMASQBEAEUAQQA8=&amp;Tipo=2&amp;ST=1&amp;nLang=0</t>
  </si>
  <si>
    <t>https://www.clickideacore.com/ClickHTML5/Visit.aspx?ID=//5ADAEwASwA0ADAAMQAwADcANAA2ADgASQBEAEUAQQA1=&amp;Tipo=2&amp;ST=1&amp;nLang=0</t>
  </si>
  <si>
    <t>https://www.clickideacore.com/ClickHTML5/Visit.aspx?ID=//5BDAEwASwA0ADAAMQAxADUANAAxADEASQBEAEUAQQAB=&amp;Tipo=2&amp;ST=1&amp;nLang=0</t>
  </si>
  <si>
    <t>https://www.clickideacore.com/ClickHTML5/Visit.aspx?ID=//54DAEwASwA0ADAAMQAwADMAMAAwADkASQBEAEUAQQA0=&amp;Tipo=2&amp;ST=1&amp;nLang=0</t>
  </si>
  <si>
    <t>https://www.clickideacore.com/ClickHTML5/Visit.aspx?ID=//56DAEwASwA0ADAAMQAwADkAOAAwADUASQBEAEUAQQA9=&amp;Tipo=2&amp;ST=1&amp;nLang=0</t>
  </si>
  <si>
    <t>https://www.clickideacore.com/ClickHTML5/Visit.aspx?ID=//50DAEwASwA0ADAAMQAxADQAMAA0ADIASQBEAEUAQQA4=&amp;Tipo=2&amp;ST=1&amp;nLang=0</t>
  </si>
  <si>
    <t>https://www.clickideacore.com/ClickHTML5/Visit.aspx?ID=//5ADAEwASwA0ADAAMQAwADUAMwA1ADYASQBEAEUAQQA2=&amp;Tipo=2&amp;ST=1&amp;nLang=0</t>
  </si>
  <si>
    <t>https://www.clickideacore.com/ClickHTML5/Visit.aspx?ID=//59DAEwASwA0ADAAMQAwADMAMAA5ADgASQBEAEUAQQAF=&amp;Tipo=2&amp;ST=1&amp;nLang=0</t>
  </si>
  <si>
    <t>José Arredondo</t>
  </si>
  <si>
    <t>https://www.clickideacore.com/ClickHTML5/Visit.aspx?ID=//53DAEwASwA0ADAAMQAwADkANgA3ADgASQBEAEUAQQA6=&amp;Tipo=2&amp;ST=1&amp;nLang=0</t>
  </si>
  <si>
    <t>https://www.clickideacore.com/ClickHTML5/Visit.aspx?ID=//52DAEwASwA0ADAAMQAwADMAMwA0ADIASQBEAEUAQQAE=&amp;Tipo=2&amp;ST=1&amp;nLang=0</t>
  </si>
  <si>
    <t>https://www.clickideacore.com/ClickHTML5/Visit.aspx?ID=//5EDAEwASwA0ADAAMQAwADYAMgAzADIASQBEAEUAQQA3=&amp;Tipo=2&amp;ST=1&amp;nLang=0</t>
  </si>
  <si>
    <t>https://www.clickideacore.com/ClickHTML5/Visit.aspx?ID=//58DAEwASwA0ADAAMQAwADQANAAzADQASQBEAEUAQQAD=&amp;Tipo=2&amp;ST=1&amp;nLang=0</t>
  </si>
  <si>
    <t>https://www.clickideacore.com/ClickHTML5/Visit.aspx?ID=//59DAEwASwA0ADAAMQAxADMAOAA2ADkASQBEAEUAQQA3=&amp;Tipo=2&amp;ST=1&amp;nLang=0</t>
  </si>
  <si>
    <t>https://www.clickideacore.com/ClickHTML5/Visit.aspx?ID=//5EDAEwASwA0ADAAMQAwADgAMwA4ADAASQBEAEUAQQA4=&amp;Tipo=2&amp;ST=1&amp;nLang=0</t>
  </si>
  <si>
    <t>https://www.clickideacore.com/ClickHTML5/Visit.aspx?ID=//50DAEwASwA0ADAAMQAxADUAOAA2ADkASQBEAEUAQQAD=&amp;Tipo=2&amp;ST=1&amp;nLang=0</t>
  </si>
  <si>
    <t>https://www.clickideacore.com/ClickHTML5/Visit.aspx?ID=//59DAEwASwA0ADAAMQAwADQANwAxADAASQBEAEUAQQA5=&amp;Tipo=2&amp;ST=1&amp;nLang=0</t>
  </si>
  <si>
    <t>https://www.clickideacore.com/ClickHTML5/Visit.aspx?ID=//53DAEwASwA0ADAAMQAyADQAOQA0ADEASQBEAEUAQQA1=&amp;Tipo=2&amp;ST=1&amp;nLang=0</t>
  </si>
  <si>
    <t>https://www.clickideacore.com/ClickHTML5/Visit.aspx?ID=//5DDAEwASwA0ADAAMQAzADcANgA1ADkASQBEAEUAQQAF=&amp;Tipo=2&amp;ST=1&amp;nLang=0</t>
  </si>
  <si>
    <t>https://www.clickideacore.com/ClickHTML5/Visit.aspx?ID=//5CDAEwASwA0ADAAMQAyADcAMAA2ADgASQBEAEUAQQA8=&amp;Tipo=2&amp;ST=1&amp;nLang=0</t>
  </si>
  <si>
    <t>https://www.clickideacore.com/ClickHTML5/Visit.aspx?ID=//5DDAEwASwA0ADAAMQAzADEAMAA4ADEASQBEAEUAQQA1=&amp;Tipo=2&amp;ST=1&amp;nLang=0</t>
  </si>
  <si>
    <t>https://www.clickideacore.com/ClickHTML5/Visit.aspx?ID=//55DAEwASwA0ADAAMQAzADYAOQA4ADEASQBEAEUAQQA5=&amp;Tipo=2&amp;ST=1&amp;nLang=0</t>
  </si>
  <si>
    <t>https://www.clickideacore.com/ClickHTML5/Visit.aspx?ID=//55DAEwASwA0ADAAMQAzADEAOQA2ADgASQBEAEUAQQAD=&amp;Tipo=2&amp;ST=1&amp;nLang=0</t>
  </si>
  <si>
    <t>https://www.clickideacore.com/ClickHTML5/Visit.aspx?ID=//56DAEwASwA0ADAAMQAzADAANQA5ADYASQBEAEUAQQA7=&amp;Tipo=2&amp;ST=1&amp;nLang=0</t>
  </si>
  <si>
    <t>https://www.clickideacore.com/ClickHTML5/Visit.aspx?ID=//5EDAEwASwA0ADAAMQAyADgANQAwADYASQBEAEUAQQA8=&amp;Tipo=2&amp;ST=1&amp;nLang=0</t>
  </si>
  <si>
    <t>https://www.clickideacore.com/ClickHTML5/Visit.aspx?ID=//5BDAEwASwA0ADAAMQAyADYAMgAyADEASQBEAEUAQQA8=&amp;Tipo=2&amp;ST=1&amp;nLang=0</t>
  </si>
  <si>
    <t>https://www.clickideacore.com/ClickHTML5/Visit.aspx?ID=//59DAEwASwA0ADAAMQAzADMAOAA4ADYASQBEAEUAQQA3=&amp;Tipo=2&amp;ST=1&amp;nLang=0</t>
  </si>
  <si>
    <t>https://www.clickideacore.com/ClickHTML5/Visit.aspx?ID=//59DAEwASwA0ADAAMQAzADYAOAA4ADUASQBEAEUAQQA6=&amp;Tipo=2&amp;ST=1&amp;nLang=0</t>
  </si>
  <si>
    <t>https://www.clickideacore.com/ClickHTML5/Visit.aspx?ID=//56DAEwASwA0ADAAMQAyADkAMQA0ADUASQBEAEUAQQAD=&amp;Tipo=2&amp;ST=1&amp;nLang=0</t>
  </si>
  <si>
    <t>https://www.clickideacore.com/ClickHTML5/Visit.aspx?ID=//5ADAEwASwA0ADAAMQAzADcANgAwADIASQBEAEUAQQA9=&amp;Tipo=2&amp;ST=1&amp;nLang=0</t>
  </si>
  <si>
    <t>https://www.clickideacore.com/ClickHTML5/Visit.aspx?ID=//5ADAEwASwA0ADAAMQAyADkAMwA1ADAASQBEAEUAQQA9=&amp;Tipo=2&amp;ST=1&amp;nLang=0</t>
  </si>
  <si>
    <t>ACHS</t>
  </si>
  <si>
    <t>https://www.clickideacore.com/ClickHTML5/Visit.aspx?ID=//55DAEwASwA0ADAAMQA0ADcANAAxADUASQBEAEUAQQA8=&amp;Tipo=2&amp;ST=1&amp;nLang=0</t>
  </si>
  <si>
    <t>https://www.clickideacore.com/ClickHTML5/Visit.aspx?ID=//54DAEwASwA0ADAAMQA0ADYANAAwADQASQBEAEUAQQA3=&amp;Tipo=2&amp;ST=1&amp;nLang=0</t>
  </si>
  <si>
    <t>https://www.clickideacore.com/ClickHTML5/Visit.aspx?ID=//5FDAEwASwA0ADAAMQA1ADkAMAA0ADIASQBEAEUAQQA4=&amp;Tipo=2&amp;ST=1&amp;nLang=0</t>
  </si>
  <si>
    <t>https://www.clickideacore.com/ClickHTML5/Visit.aspx?ID=//5FDAEwASwA0ADAAMQA1ADkAMQAxADcASQBEAEUAQQA6=&amp;Tipo=2&amp;ST=1&amp;nLang=0</t>
  </si>
  <si>
    <t>https://www.clickideacore.com/ClickHTML5/Visit.aspx?ID=//57DAEwASwA0ADAAMQA2ADAAOAA0ADEASQBEAEUAQQAF=&amp;Tipo=2&amp;ST=1&amp;nLang=0</t>
  </si>
  <si>
    <t>https://www.clickideacore.com/ClickHTML5/Visit.aspx?ID=//54DAEwASwA0ADAAMQA2ADcAMwA1ADMASQBEAEUAQQAE=&amp;Tipo=2&amp;ST=1&amp;nLang=0</t>
  </si>
  <si>
    <t>https://www.clickideacore.com/ClickHTML5/Visit.aspx?ID=//54DAEwASwA0ADAAMQA2ADkAMwAyADQASQBEAEUAQQA1=&amp;Tipo=2&amp;ST=1&amp;nLang=0</t>
  </si>
  <si>
    <t>Carlos Maulen</t>
  </si>
  <si>
    <t>https://www.clickideacore.com/ClickHTML5/Visit.aspx?ID=//59DAEwASwA0ADAAMQA4ADEANQA0ADMASQBEAEUAQQA8=&amp;Tipo=2&amp;ST=1&amp;nLang=0</t>
  </si>
  <si>
    <t>https://www.clickideacore.com/ClickHTML5/Visit.aspx?ID=//50DAEwASwA0ADAAMQA4ADQAMgA2ADkASQBEAEUAQQA5=&amp;Tipo=2&amp;ST=1&amp;nLang=0</t>
  </si>
  <si>
    <t>https://www.clickideacore.com/ClickHTML5/Visit.aspx?ID=//5FDAEwASwA0ADAAMQA4ADIAMwAyADAASQBEAEUAQQAD=&amp;Tipo=2&amp;ST=1&amp;nLang=0</t>
  </si>
  <si>
    <t>https://www.clickideacore.com/ClickHTML5/Visit.aspx?ID=//5DDAEwASwA0ADAAMQA4ADEAOAAzADQASQBEAEUAQQA2=&amp;Tipo=2&amp;ST=1&amp;nLang=0</t>
  </si>
  <si>
    <t>https://www.clickideacore.com/ClickHTML5/Visit.aspx?ID=//52DAEwASwA0ADAAMQA5ADAAMAA4ADMASQBEAEUAQQA8=&amp;Tipo=2&amp;ST=1&amp;nLang=0</t>
  </si>
  <si>
    <t>https://www.clickideacore.com/ClickHTML5/Visit.aspx?ID=//5FDAEwASwA0ADAAMQA4ADAANwAxADUASQBEAEUAQQA8=&amp;Tipo=2&amp;ST=1&amp;nLang=0</t>
  </si>
  <si>
    <t>https://www.clickideacore.com/ClickHTML5/Visit.aspx?ID=//52DAEwASwA0ADAAMQA4ADEAOQAyADcASQBEAEUAQQA8=&amp;Tipo=2&amp;ST=1&amp;nLang=0</t>
  </si>
  <si>
    <t>https://www.clickideacore.com/ClickHTML5/Visit.aspx?ID=//52DAEwASwA0ADAAMQA4ADIANQA5ADUASQBEAEUAQQA7=&amp;Tipo=2&amp;ST=1&amp;nLang=0</t>
  </si>
  <si>
    <t>https://www.clickideacore.com/ClickHTML5/Visit.aspx?ID=//5FDAEwASwA0ADAAMQA4ADAAMQA1ADcASQBEAEUAQQA0=&amp;Tipo=2&amp;ST=1&amp;nLang=0</t>
  </si>
  <si>
    <t>https://www.clickideacore.com/ClickHTML5/Visit.aspx?ID=//5DDAEwASwA0ADAAMQA5ADAANQA5ADgASQBEAEUAQQAF=&amp;Tipo=2&amp;ST=1&amp;nLang=0</t>
  </si>
  <si>
    <t>https://www.clickideacore.com/ClickHTML5/Visit.aspx?ID=//53DAEwASwA0ADAAMQA4ADIANQA2ADkASQBEAEUAQQAD=&amp;Tipo=2&amp;ST=1&amp;nLang=0</t>
  </si>
  <si>
    <t>https://www.clickideacore.com/ClickHTML5/Visit.aspx?ID=//50DAEwASwA0ADAAMQA4ADAAMQAzADMASQBEAEUAQQA8=&amp;Tipo=2&amp;ST=1&amp;nLang=0</t>
  </si>
  <si>
    <t>https://www.clickideacore.com/ClickHTML5/Visit.aspx?ID=//53DAEwASwA0ADAAMQA5ADAAMAA3ADIASQBEAEUAQQA9=&amp;Tipo=2&amp;ST=1&amp;nLang=0</t>
  </si>
  <si>
    <t>https://www.clickideacore.com/ClickHTML5/Visit.aspx?ID=//58DAEwASwA0ADAAMQA4ADMANgAzADYASQBEAEUAQQA8=&amp;Tipo=2&amp;ST=1&amp;nLang=0</t>
  </si>
  <si>
    <t>https://www.clickideacore.com/ClickHTML5/Visit.aspx?ID=//5ADAEwASwA0ADAAMQA5ADEAMQA3ADYASQBEAEUAQQAC=&amp;Tipo=2&amp;ST=1&amp;nLang=0</t>
  </si>
  <si>
    <t>https://www.clickideacore.com/ClickHTML5/Visit.aspx?ID=//50DAEwASwA0ADAAMQA4ADEANQA3ADkASQBEAEUAQQA9=&amp;Tipo=2&amp;ST=1&amp;nLang=0</t>
  </si>
  <si>
    <t>https://www.clickideacore.com/ClickHTML5/Visit.aspx?ID=//53DAEwASwA0ADAAMgAxADUANAAzADMASQBEAEUAQQA3=&amp;Tipo=2&amp;ST=1&amp;nLang=0</t>
  </si>
  <si>
    <t>https://www.clickideacore.com/ClickHTML5/Visit.aspx?ID=//54DAEwASwA0ADAAMgAwADUANgA1ADUASQBEAEUAQQA5=&amp;Tipo=2&amp;ST=1&amp;nLang=0</t>
  </si>
  <si>
    <t>https://www.clickideacore.com/ClickHTML5/Visit.aspx?ID=//58DAEwASwA0ADAAMgAwADMAOAAzADQASQBEAEUAQQA3=&amp;Tipo=2&amp;ST=1&amp;nLang=0</t>
  </si>
  <si>
    <t>https://www.clickideacore.com/ClickHTML5/Visit.aspx?ID=//55DAEwASwA0ADAAMgAwADQANQA3ADcASQBEAEUAQQA6=&amp;Tipo=2&amp;ST=1&amp;nLang=0</t>
  </si>
  <si>
    <t>https://www.clickideacore.com/ClickHTML5/Visit.aspx?ID=//55DAEwASwA0ADAAMgAwADcAMwA4ADcASQBEAEUAQQA4=&amp;Tipo=2&amp;ST=1&amp;nLang=0</t>
  </si>
  <si>
    <t>https://www.clickideacore.com/ClickHTML5/Visit.aspx?ID=//52DAEwASwA0ADAAMgAwADYAMAA4ADAASQBEAEUAQQAB=&amp;Tipo=2&amp;ST=1&amp;nLang=0</t>
  </si>
  <si>
    <t>https://www.clickideacore.com/ClickHTML5/Visit.aspx?ID=//5EDAEwASwA0ADAAMgAwADAANQAyADEASQBEAEUAQQAC=&amp;Tipo=2&amp;ST=1&amp;nLang=0</t>
  </si>
  <si>
    <t>https://www.clickideacore.com/ClickHTML5/Visit.aspx?ID=//5CDAEwASwA0ADAAMgAwADEANQAzADEASQBEAEUAQQA5=&amp;Tipo=2&amp;ST=1&amp;nLang=0</t>
  </si>
  <si>
    <t>https://www.clickideacore.com/ClickHTML5/Visit.aspx?ID=//5EDAEwASwA0ADAAMgAwADQAMwA1ADkASQBEAEUAQQAD=&amp;Tipo=2&amp;ST=1&amp;nLang=0</t>
  </si>
  <si>
    <t>https://www.clickideacore.com/ClickHTML5/Visit.aspx?ID=//57DAEwASwA0ADAAMgAxADQAMwAwADIASQBEAEUAQQAD=&amp;Tipo=2&amp;ST=1&amp;nLang=0</t>
  </si>
  <si>
    <t>https://www.clickideacore.com/ClickHTML5/Visit.aspx?ID=//51DAEwASwA0ADAAMgAwADcANAA0ADIASQBEAEUAQQA8=&amp;Tipo=2&amp;ST=1&amp;nLang=0</t>
  </si>
  <si>
    <t>https://www.clickideacore.com/ClickHTML5/Visit.aspx?ID=//56DAEwASwA0ADAAMgAxADQAOQAxADMASQBEAEUAQQA7=&amp;Tipo=2&amp;ST=1&amp;nLang=0</t>
  </si>
  <si>
    <t>https://www.clickideacore.com/ClickHTML5/Visit.aspx?ID=//55DAEwASwA0ADAAMgAyADgANwA0ADAASQBEAEUAQQA7=&amp;Tipo=2&amp;ST=1&amp;nLang=0</t>
  </si>
  <si>
    <t>https://www.clickideacore.com/ClickHTML5/Visit.aspx?ID=//5DDAEwASwA0ADAAMgA0ADAAMQA0ADMASQBEAEUAQQAE=&amp;Tipo=2&amp;ST=1&amp;nLang=0</t>
  </si>
  <si>
    <t>https://www.clickideacore.com/ClickHTML5/Visit.aspx?ID=//56DAEwASwA0ADAAMgAyADYANwAwADYASQBEAEUAQQA2=&amp;Tipo=2&amp;ST=1&amp;nLang=0</t>
  </si>
  <si>
    <t>https://www.clickideacore.com/ClickHTML5/Visit.aspx?ID=//54DAEwASwA0ADAAMgAzADEAMQAxADYASQBEAEUAQQA5=&amp;Tipo=2&amp;ST=1&amp;nLang=0</t>
  </si>
  <si>
    <t>https://www.clickideacore.com/ClickHTML5/Visit.aspx?ID=//55DAEwASwA0ADAAMgAzADcAOAA5ADAASQBEAEUAQQAB=&amp;Tipo=2&amp;ST=1&amp;nLang=0</t>
  </si>
  <si>
    <t>https://www.clickideacore.com/ClickHTML5/Visit.aspx?ID=//54DAEwASwA0ADAAMgAyADkAOQA5ADYASQBEAEUAQQAF=&amp;Tipo=2&amp;ST=1&amp;nLang=0</t>
  </si>
  <si>
    <t>https://www.clickideacore.com/ClickHTML5/Visit.aspx?ID=//5FDAEwASwA0ADAAMgAyADYANAA5ADgASQBEAEUAQQAF=&amp;Tipo=2&amp;ST=1&amp;nLang=0</t>
  </si>
  <si>
    <t>https://www.clickideacore.com/ClickHTML5/Visit.aspx?ID=//51DAEwASwA0ADAAMgAzADAAMwAyADQASQBEAEUAQQA9=&amp;Tipo=2&amp;ST=1&amp;nLang=0</t>
  </si>
  <si>
    <t>https://www.clickideacore.com/ClickHTML5/Visit.aspx?ID=//53DAEwASwA0ADAAMgAyADQANAAwADEASQBEAEUAQQAA=&amp;Tipo=2&amp;ST=1&amp;nLang=0</t>
  </si>
  <si>
    <t>https://www.clickideacore.com/ClickHTML5/Visit.aspx?ID=//56DAEwASwA0ADAAMgAyADUANwA2ADUASQBEAEUAQQAC=&amp;Tipo=2&amp;ST=1&amp;nLang=0</t>
  </si>
  <si>
    <t>https://www.clickideacore.com/ClickHTML5/Visit.aspx?ID=//57DAEwASwA0ADAAMgAzADAAMAAwADYASQBEAEUAQQA7=&amp;Tipo=2&amp;ST=1&amp;nLang=0</t>
  </si>
  <si>
    <t>https://www.clickideacore.com/ClickHTML5/Visit.aspx?ID=//5EDAEwASwA0ADAAMgAyADgAMAA2ADQASQBEAEUAQQA7=&amp;Tipo=2&amp;ST=1&amp;nLang=0</t>
  </si>
  <si>
    <t>https://www.clickideacore.com/ClickHTML5/Visit.aspx?ID=//54DAEwASwA0ADAAMgAzADkAMQA3ADYASQBEAEUAQQA7=&amp;Tipo=2&amp;ST=1&amp;nLang=0</t>
  </si>
  <si>
    <t>https://www.clickideacore.com/ClickHTML5/Visit.aspx?ID=//57DAEwASwA0ADAAMgAzADEAMQAwADIASQBEAEUAQQA8=&amp;Tipo=2&amp;ST=1&amp;nLang=0</t>
  </si>
  <si>
    <t>https://www.clickideacore.com/ClickHTML5/Visit.aspx?ID=//56DAEwASwA0ADAAMgAzADgAOQA2ADUASQBEAEUAQQA9=&amp;Tipo=2&amp;ST=1&amp;nLang=0</t>
  </si>
  <si>
    <t>https://www.clickideacore.com/ClickHTML5/Visit.aspx?ID=//57DAEwASwA0ADAAMgAyADYAOAA2ADIASQBEAEUAQQA3=&amp;Tipo=2&amp;ST=1&amp;nLang=0</t>
  </si>
  <si>
    <t>https://www.clickideacore.com/ClickHTML5/Visit.aspx?ID=//55DAEwASwA0ADAAMgA1ADQANAA5ADUASQBEAEUAQQA2=&amp;Tipo=2&amp;ST=1&amp;nLang=0</t>
  </si>
  <si>
    <t>https://www.clickideacore.com/ClickHTML5/Visit.aspx?ID=//5FDAEwASwA0ADAAMgA1ADAAOQAxADIASQBEAEUAQQA6=&amp;Tipo=2&amp;ST=1&amp;nLang=0</t>
  </si>
  <si>
    <t>https://www.clickideacore.com/ClickHTML5/Visit.aspx?ID=//50DAEwASwA0ADAAMgA1ADYANAAxADQASQBEAEUAQQA2=&amp;Tipo=2&amp;ST=1&amp;nLang=0</t>
  </si>
  <si>
    <t>https://www.clickideacore.com/ClickHTML5/Visit.aspx?ID=//56DAEwASwA0ADAAMgA1ADMAMQA1ADgASQBEAEUAQQA7=&amp;Tipo=2&amp;ST=1&amp;nLang=0</t>
  </si>
  <si>
    <t>https://www.clickideacore.com/ClickHTML5/Visit.aspx?ID=//53DAEwASwA0ADAAMgA2ADIANwAzADIASQBEAEUAQQAB=&amp;Tipo=2&amp;ST=1&amp;nLang=0</t>
  </si>
  <si>
    <t>https://www.clickideacore.com/ClickHTML5/Visit.aspx?ID=//5FDAEwASwA0ADAAMgA1ADMAMQA0ADEASQBEAEUAQQAB=&amp;Tipo=2&amp;ST=1&amp;nLang=0</t>
  </si>
  <si>
    <t>https://www.clickideacore.com/ClickHTML5/Visit.aspx?ID=//5FDAEwASwA0ADAAMgA1ADAAMQA3ADEASQBEAEUAQQA4=&amp;Tipo=2&amp;ST=1&amp;nLang=0</t>
  </si>
  <si>
    <t>https://www.clickideacore.com/ClickHTML5/Visit.aspx?ID=//53DAEwASwA0ADAAMgA1ADAAMgA0ADgASQBEAEUAQQA0=&amp;Tipo=2&amp;ST=1&amp;nLang=0</t>
  </si>
  <si>
    <t>https://www.clickideacore.com/ClickHTML5/Visit.aspx?ID=//54DAEwASwA0ADAAMgA1ADYAOAA2ADMASQBEAEUAQQAE=&amp;Tipo=2&amp;ST=1&amp;nLang=0</t>
  </si>
  <si>
    <t>https://www.clickideacore.com/ClickHTML5/Visit.aspx?ID=//54DAEwASwA0ADAAMgA2ADIAMgA4ADcASQBEAEUAQQAE=&amp;Tipo=2&amp;ST=1&amp;nLang=0</t>
  </si>
  <si>
    <t>https://www.clickideacore.com/ClickHTML5/Visit.aspx?ID=//59DAEwASwA0ADAAMgA0ADkAOAA5ADQASQBEAEUAQQAC=&amp;Tipo=2&amp;ST=1&amp;nLang=0</t>
  </si>
  <si>
    <t>https://www.clickideacore.com/ClickHTML5/Visit.aspx?ID=//54DAEwASwA0ADAAMgA2ADIAMQAwADkASQBEAEUAQQAE=&amp;Tipo=2&amp;ST=1&amp;nLang=0</t>
  </si>
  <si>
    <t>https://www.clickideacore.com/ClickHTML5/Visit.aspx?ID=//5ADAEwASwA0ADAAMgA1ADYAMwAzADMASQBEAEUAQQA9=&amp;Tipo=2&amp;ST=1&amp;nLang=0</t>
  </si>
  <si>
    <t>https://www.clickideacore.com/ClickHTML5/Visit.aspx?ID=//56DAEwASwA0ADAAMgA2ADIANwAyADEASQBEAEUAQQAC=&amp;Tipo=2&amp;ST=1&amp;nLang=0</t>
  </si>
  <si>
    <t>https://www.clickideacore.com/ClickHTML5/Visit.aspx?ID=//56DAEwASwA0ADAAMgA1ADIANgA0ADgASQBEAEUAQQA1=&amp;Tipo=2&amp;ST=1&amp;nLang=0</t>
  </si>
  <si>
    <t>Libe compensatorio</t>
  </si>
  <si>
    <t>https://www.clickideacore.com/ClickHTML5/Visit.aspx?ID=//53DAEwASwA0ADAAMgA4ADEAOQA2ADUASQBEAEUAQQA4=&amp;Tipo=2&amp;ST=1&amp;nLang=0</t>
  </si>
  <si>
    <t>https://www.clickideacore.com/ClickHTML5/Visit.aspx?ID=//57DAEwASwA0ADAAMgA3ADYAMwAwADcASQBEAEUAQQA4=&amp;Tipo=2&amp;ST=1&amp;nLang=0</t>
  </si>
  <si>
    <t>https://www.clickideacore.com/ClickHTML5/Visit.aspx?ID=//54DAEwASwA0ADAAMgA3ADgAMQA1ADMASQBEAEUAQQA8=&amp;Tipo=2&amp;ST=1&amp;nLang=0</t>
  </si>
  <si>
    <t>https://www.clickideacore.com/ClickHTML5/Visit.aspx?ID=//51DAEwASwA0ADAAMgA3ADcAMwA1ADkASQBEAEUAQQA4=&amp;Tipo=2&amp;ST=1&amp;nLang=0</t>
  </si>
  <si>
    <t>https://www.clickideacore.com/ClickHTML5/Visit.aspx?ID=//53DAEwASwA0ADAAMgA3ADYANgA1ADcASQBEAEUAQQA5=&amp;Tipo=2&amp;ST=1&amp;nLang=0</t>
  </si>
  <si>
    <t>https://www.clickideacore.com/ClickHTML5/Visit.aspx?ID=//5BDAEwASwA0ADAAMgA3ADQAOQA3ADMASQBEAEUAQQAF=&amp;Tipo=2&amp;ST=1&amp;nLang=0</t>
  </si>
  <si>
    <t>https://www.clickideacore.com/ClickHTML5/Visit.aspx?ID=//55DAEwASwA0ADAAMgA4ADAANwAxADEASQBEAEUAQQA0=&amp;Tipo=2&amp;ST=1&amp;nLang=0</t>
  </si>
  <si>
    <t>https://www.clickideacore.com/ClickHTML5/Visit.aspx?ID=//50DAEwASwA0ADAAMgA4ADAANwA3ADIASQBEAEUAQQA8=&amp;Tipo=2&amp;ST=1&amp;nLang=0</t>
  </si>
  <si>
    <t>https://www.clickideacore.com/ClickHTML5/Visit.aspx?ID=//54DAEwASwA0ADAAMgA3ADkANQA5ADAASQBEAEUAQQAB=&amp;Tipo=2&amp;ST=1&amp;nLang=0</t>
  </si>
  <si>
    <t>https://www.clickideacore.com/ClickHTML5/Visit.aspx?ID=//58DAEwASwA0ADAAMgA3ADQAOQA0ADgASQBEAEUAQQA6=&amp;Tipo=2&amp;ST=1&amp;nLang=0</t>
  </si>
  <si>
    <t>https://www.clickideacore.com/ClickHTML5/Visit.aspx?ID=//5CDAEwASwA0ADAAMgA3ADUAOQA2ADYASQBEAEUAQQAC=&amp;Tipo=2&amp;ST=1&amp;nLang=0</t>
  </si>
  <si>
    <t>https://www.clickideacore.com/ClickHTML5/Visit.aspx?ID=//5ADAEwASwA0ADAAMgA4ADUAOAA3ADUASQBEAEUAQQA3=&amp;Tipo=2&amp;ST=1&amp;nLang=0</t>
  </si>
  <si>
    <t>https://www.clickideacore.com/ClickHTML5/Visit.aspx?ID=//5FDAEwASwA0ADAAMgA4ADAANQAwADIASQBEAEUAQQAA=&amp;Tipo=2&amp;ST=1&amp;nLang=0</t>
  </si>
  <si>
    <t>https://www.clickideacore.com/ClickHTML5/Visit.aspx?ID=//54DAEwASwA0ADAAMgA4ADYANQA1ADIASQBEAEUAQQAA=&amp;Tipo=2&amp;ST=1&amp;nLang=0</t>
  </si>
  <si>
    <t>https://www.clickideacore.com/ClickHTML5/Visit.aspx?ID=//5CDAEwASwA0ADAAMgA5ADkANgA5ADcASQBEAEUAQQAB=&amp;Tipo=2&amp;ST=1&amp;nLang=0</t>
  </si>
  <si>
    <t>https://www.clickideacore.com/ClickHTML5/Visit.aspx?ID=//5FDAEwASwA0ADAAMgA5ADkAMwA1ADkASQBEAEUAQQAA=&amp;Tipo=2&amp;ST=1&amp;nLang=0</t>
  </si>
  <si>
    <t>https://www.clickideacore.com/ClickHTML5/Visit.aspx?ID=//5CDAEwASwA0ADAAMwAwADkAOAAwADcASQBEAEUAQQAB=&amp;Tipo=2&amp;ST=1&amp;nLang=0</t>
  </si>
  <si>
    <t>https://www.clickideacore.com/ClickHTML5/Visit.aspx?ID=//5FDAEwASwA0ADAAMwAwADkANQAyADMASQBEAEUAQQA9=&amp;Tipo=2&amp;ST=1&amp;nLang=0</t>
  </si>
  <si>
    <t>https://www.clickideacore.com/ClickHTML5/Visit.aspx?ID=//5EDAEwASwA0ADAAMwAzADMAMgA1ADQASQBEAEUAQQAB=&amp;Tipo=2&amp;ST=1&amp;nLang=0</t>
  </si>
  <si>
    <t>https://www.clickideacore.com/ClickHTML5/Visit.aspx?ID=//5FDAEwASwA0ADAAMwAzADUAMwAzADQASQBEAEUAQQA1=&amp;Tipo=2&amp;ST=1&amp;nLang=0</t>
  </si>
  <si>
    <t>https://www.clickideacore.com/ClickHTML5/Visit.aspx?ID=//5FDAEwASwA0ADAAMwAyADQANgA1ADMASQBEAEUAQQA3=&amp;Tipo=2&amp;ST=1&amp;nLang=0</t>
  </si>
  <si>
    <t>https://www.clickideacore.com/ClickHTML5/Visit.aspx?ID=//5FDAEwASwA0ADAAMwAyADYAMAAzADIASQBEAEUAQQA3=&amp;Tipo=2&amp;ST=1&amp;nLang=0</t>
  </si>
  <si>
    <t>https://www.clickideacore.com/ClickHTML5/Visit.aspx?ID=//51DAEwASwA0ADAAMwAzADIANQA4ADUASQBEAEUAQQAB=&amp;Tipo=2&amp;ST=1&amp;nLang=0</t>
  </si>
  <si>
    <t>https://www.clickideacore.com/ClickHTML5/Visit.aspx?ID=//5FDAEwASwA0ADAAMwAyADMANAAzADMASQBEAEUAQQA9=&amp;Tipo=2&amp;ST=1&amp;nLang=0</t>
  </si>
  <si>
    <t>https://www.clickideacore.com/ClickHTML5/Visit.aspx?ID=//58DAEwASwA0ADAAMwAyADQAMAAwADUASQBEAEUAQQA6=&amp;Tipo=2&amp;ST=1&amp;nLang=0</t>
  </si>
  <si>
    <t>https://www.clickideacore.com/ClickHTML5/Visit.aspx?ID=//51DAEwASwA0ADAAMwAyADYAMgA2ADAASQBEAEUAQQA7=&amp;Tipo=2&amp;ST=1&amp;nLang=0</t>
  </si>
  <si>
    <t>https://www.clickideacore.com/ClickHTML5/Visit.aspx?ID=//58DAEwASwA0ADAAMwAyADIAMgA2ADMASQBEAEUAQQA6=&amp;Tipo=2&amp;ST=1&amp;nLang=0</t>
  </si>
  <si>
    <t>https://www.clickideacore.com/ClickHTML5/Visit.aspx?ID=//55DAEwASwA0ADAAMwAyADUAOAA1ADUASQBEAEUAQQA5=&amp;Tipo=2&amp;ST=1&amp;nLang=0</t>
  </si>
  <si>
    <t>https://www.clickideacore.com/ClickHTML5/Visit.aspx?ID=//50DAEwASwA0ADAAMwAyADEANgAyADYASQBEAEUAQQAE=&amp;Tipo=2&amp;ST=1&amp;nLang=0</t>
  </si>
  <si>
    <t>https://www.clickideacore.com/ClickHTML5/Visit.aspx?ID=//59DAEwASwA0ADAAMwAzADQANAA3ADYASQBEAEUAQQA3=&amp;Tipo=2&amp;ST=1&amp;nLang=0</t>
  </si>
  <si>
    <t>https://www.clickideacore.com/ClickHTML5/Visit.aspx?ID=//51DAEwASwA0ADAAMwAyADYAMQA0ADgASQBEAEUAQQA9=&amp;Tipo=2&amp;ST=1&amp;nLang=0</t>
  </si>
  <si>
    <t>https://www.clickideacore.com/ClickHTML5/Visit.aspx?ID=//5EDAEwASwA0ADAAMwAzADUAMAAzADgASQBEAEUAQQAF=&amp;Tipo=2&amp;ST=1&amp;nLang=0</t>
  </si>
  <si>
    <t>https://www.clickideacore.com/ClickHTML5/Visit.aspx?ID=//58DAEwASwA0ADAAMwAyADYAMwAwADcASQBEAEUAQQA2=&amp;Tipo=2&amp;ST=1&amp;nLang=0</t>
  </si>
  <si>
    <t>https://www.clickideacore.com/ClickHTML5/Visit.aspx?ID=//55DAEwASwA0ADAAMwA1ADQAOQAzADQASQBEAEUAQQA6=&amp;Tipo=2&amp;ST=1&amp;nLang=0</t>
  </si>
  <si>
    <t>https://www.clickideacore.com/ClickHTML5/Visit.aspx?ID=//54DAEwASwA0ADAAMwA0ADkAMwA3ADkASQBEAEUAQQAC=&amp;Tipo=2&amp;ST=1&amp;nLang=0</t>
  </si>
  <si>
    <t>https://www.clickideacore.com/ClickHTML5/Visit.aspx?ID=//5ADAEwASwA0ADAAMwA1ADQAMgAwADIASQBEAEUAQQA1=&amp;Tipo=2&amp;ST=1&amp;nLang=0</t>
  </si>
  <si>
    <t>https://www.clickideacore.com/ClickHTML5/Visit.aspx?ID=//50DAEwASwA0ADAAMwA1ADEAMQAzADcASQBEAEUAQQAA=&amp;Tipo=2&amp;ST=1&amp;nLang=0</t>
  </si>
  <si>
    <t>https://www.clickideacore.com/ClickHTML5/Visit.aspx?ID=//53DAEwASwA0ADAAMwA0ADgANQAxADIASQBEAEUAQQA6=&amp;Tipo=2&amp;ST=1&amp;nLang=0</t>
  </si>
  <si>
    <t>https://www.clickideacore.com/ClickHTML5/Visit.aspx?ID=//5ADAEwASwA0ADAAMwA0ADgAMAA4ADYASQBEAEUAQQA0=&amp;Tipo=2&amp;ST=1&amp;nLang=0</t>
  </si>
  <si>
    <t>https://www.clickideacore.com/ClickHTML5/Visit.aspx?ID=//54DAEwASwA0ADAAMwA1ADAANQA4ADUASQBEAEUAQQA5=&amp;Tipo=2&amp;ST=1&amp;nLang=0</t>
  </si>
  <si>
    <t>https://www.clickideacore.com/ClickHTML5/Visit.aspx?ID=//59DAEwASwA0ADAAMwA1ADQAOAA0ADEASQBEAEUAQQAE=&amp;Tipo=2&amp;ST=1&amp;nLang=0</t>
  </si>
  <si>
    <t>https://www.clickideacore.com/ClickHTML5/Visit.aspx?ID=//51DAEwASwA0ADAAMwA0ADgANgAzADEASQBEAEUAQQAC=&amp;Tipo=2&amp;ST=1&amp;nLang=0</t>
  </si>
  <si>
    <t>https://www.clickideacore.com/ClickHTML5/Visit.aspx?ID=//5ADAEwASwA0ADAAMwA1ADgANwAwADQASQBEAEUAQQA2=&amp;Tipo=2&amp;ST=1&amp;nLang=0</t>
  </si>
  <si>
    <t>https://www.clickideacore.com/ClickHTML5/Visit.aspx?ID=//53DAEwASwA0ADAAMwA0ADkAMwA4ADMASQBEAEUAQQAC=&amp;Tipo=2&amp;ST=1&amp;nLang=0</t>
  </si>
  <si>
    <t>https://www.clickideacore.com/ClickHTML5/Visit.aspx?ID=//53DAEwASwA0ADAAMwA2ADAANAA1ADQASQBEAEUAQQAA=&amp;Tipo=2&amp;ST=1&amp;nLang=0</t>
  </si>
  <si>
    <t>https://www.clickideacore.com/ClickHTML5/Visit.aspx?ID=//54DAEwASwA0ADAAMwA1ADQANAA1ADYASQBEAEUAQQA9=&amp;Tipo=2&amp;ST=1&amp;nLang=0</t>
  </si>
  <si>
    <t>Sin producción</t>
  </si>
  <si>
    <t>https://www.clickideacore.com/ClickHTML5/Visit.aspx?ID=//58DAEwASwA0ADAAMwA3ADEAMwA1ADkASQBEAEUAQQAA=&amp;Tipo=2&amp;ST=1&amp;nLang=0</t>
  </si>
  <si>
    <t>https://www.clickideacore.com/ClickHTML5/Visit.aspx?ID=//5EDAEwASwA0ADAAMwA4ADIANQA5ADEASQBEAEUAQQAA=&amp;Tipo=2&amp;ST=1&amp;nLang=0</t>
  </si>
  <si>
    <t>https://www.clickideacore.com/ClickHTML5/Visit.aspx?ID=//57DAEwASwA0ADAAMwA3ADgAOQA3ADcASQBEAEUAQQA7=&amp;Tipo=2&amp;ST=1&amp;nLang=0</t>
  </si>
  <si>
    <t>https://www.clickideacore.com/ClickHTML5/Visit.aspx?ID=//55DAEwASwA0ADAAMwA4ADAAOAA2ADgASQBEAEUAQQA0=&amp;Tipo=2&amp;ST=1&amp;nLang=0</t>
  </si>
  <si>
    <t>https://www.clickideacore.com/ClickHTML5/Visit.aspx?ID=//54DAEwASwA0ADAAMwA3ADYAOQA3ADQASQBEAEUAQQA6=&amp;Tipo=2&amp;ST=1&amp;nLang=0</t>
  </si>
  <si>
    <t>https://www.clickideacore.com/ClickHTML5/Visit.aspx?ID=//54DAEwASwA0ADAAMwA3ADUAMAA0ADAASQBEAEUAQQAC=&amp;Tipo=2&amp;ST=1&amp;nLang=0</t>
  </si>
  <si>
    <t>https://www.clickideacore.com/ClickHTML5/Visit.aspx?ID=//5DDAEwASwA0ADAAMwA3ADMANQAzADkASQBEAEUAQQAE=&amp;Tipo=2&amp;ST=1&amp;nLang=0</t>
  </si>
  <si>
    <t>https://www.clickideacore.com/ClickHTML5/Visit.aspx?ID=//53DAEwASwA0ADAAMwA3ADQAOQA2ADQASQBEAEUAQQAB=&amp;Tipo=2&amp;ST=1&amp;nLang=0</t>
  </si>
  <si>
    <t>https://www.clickideacore.com/ClickHTML5/Visit.aspx?ID=//50DAEwASwA0ADAAMwA3ADQAOQA0ADUASQBEAEUAQQA4=&amp;Tipo=2&amp;ST=1&amp;nLang=0</t>
  </si>
  <si>
    <t>https://www.clickideacore.com/ClickHTML5/Visit.aspx?ID=//5ADAEwASwA0ADAAMwA4ADAANQA0ADIASQBEAEUAQQAC=&amp;Tipo=2&amp;ST=1&amp;nLang=0</t>
  </si>
  <si>
    <t>https://www.clickideacore.com/ClickHTML5/Visit.aspx?ID=//57DAEwASwA0ADAAMwA3ADMANwA4ADMASQBEAEUAQQA3=&amp;Tipo=2&amp;ST=1&amp;nLang=0</t>
  </si>
  <si>
    <t>https://www.clickideacore.com/ClickHTML5/Visit.aspx?ID=//54DAEwASwA0ADAAMwA4ADMAOAA3ADQASQBEAEUAQQAC=&amp;Tipo=2&amp;ST=1&amp;nLang=0</t>
  </si>
  <si>
    <t>https://www.clickideacore.com/ClickHTML5/Visit.aspx?ID=//58DAEwASwA0ADAAMwA3ADcANAAwADcASQBEAEUAQQA0=&amp;Tipo=2&amp;ST=1&amp;nLang=0</t>
  </si>
  <si>
    <t>https://www.clickideacore.com/ClickHTML5/Visit.aspx?ID=//5FDAEwASwA0ADAAMwA4ADQAOQA3ADYASQBEAEUAQQA0=&amp;Tipo=2&amp;ST=1&amp;nLang=0</t>
  </si>
  <si>
    <t>https://www.clickideacore.com/ClickHTML5/Visit.aspx?ID=//5EDAEwASwA0ADAAMwA3ADIAMwAwADQASQBEAEUAQQA7=&amp;Tipo=2&amp;ST=1&amp;nLang=0</t>
  </si>
  <si>
    <t>Duelo</t>
  </si>
  <si>
    <t>https://www.clickideacore.com/ClickHTML5/Visit.aspx?ID=//5BDAEwASwA0ADAAMwA5ADkANwAwADMASQBEAEUAQQA4=&amp;Tipo=2&amp;ST=1&amp;nLang=0</t>
  </si>
  <si>
    <t>https://www.clickideacore.com/ClickHTML5/Visit.aspx?ID=//57DAEwASwA0ADAANAAwADAANgA4ADkASQBEAEUAQQA0=&amp;Tipo=2&amp;ST=1&amp;nLang=0</t>
  </si>
  <si>
    <t>https://www.clickideacore.com/ClickHTML5/Visit.aspx?ID=//54DAEwASwA0ADAANAAwADQAMgAxADcASQBEAEUAQQA3=&amp;Tipo=2&amp;ST=1&amp;nLang=0</t>
  </si>
  <si>
    <t>https://www.clickideacore.com/ClickHTML5/Visit.aspx?ID=//55DAEwASwA0ADAANAAwADUAOQA4ADcASQBEAEUAQQA7=&amp;Tipo=2&amp;ST=1&amp;nLang=0</t>
  </si>
  <si>
    <t>https://www.clickideacore.com/ClickHTML5/Visit.aspx?ID=//52DAEwASwA0ADAAMwA5ADcAOQA2ADIASQBEAEUAQQAF=&amp;Tipo=2&amp;ST=1&amp;nLang=0</t>
  </si>
  <si>
    <t>https://www.clickideacore.com/ClickHTML5/Visit.aspx?ID=//5BDAEwASwA0ADAAMwA5ADkAMQA1ADAASQBEAEUAQQAE=&amp;Tipo=2&amp;ST=1&amp;nLang=0</t>
  </si>
  <si>
    <t>https://www.clickideacore.com/ClickHTML5/Visit.aspx?ID=//51DAEwASwA0ADAAMwA5ADgANwA2ADcASQBEAEUAQQAD=&amp;Tipo=2&amp;ST=1&amp;nLang=0</t>
  </si>
  <si>
    <t>https://www.clickideacore.com/ClickHTML5/Visit.aspx?ID=//51DAEwASwA0ADAANAAwADEAMwA3ADUASQBEAEUAQQA6=&amp;Tipo=2&amp;ST=1&amp;nLang=0</t>
  </si>
  <si>
    <t>https://www.clickideacore.com/ClickHTML5/Visit.aspx?ID=//58DAEwASwA0ADAAMwA5ADYANwA5ADgASQBEAEUAQQAC=&amp;Tipo=2&amp;ST=1&amp;nLang=0</t>
  </si>
  <si>
    <t>https://www.clickideacore.com/ClickHTML5/Visit.aspx?ID=//5ADAEwASwA0ADAANAAwADkAMgAyADAASQBEAEUAQQA6=&amp;Tipo=2&amp;ST=1&amp;nLang=0</t>
  </si>
  <si>
    <t>https://www.clickideacore.com/ClickHTML5/Visit.aspx?ID=//5BDAEwASwA0ADAANAAwADMAMwA2ADMASQBEAEUAQQA6=&amp;Tipo=2&amp;ST=1&amp;nLang=0</t>
  </si>
  <si>
    <t>https://www.clickideacore.com/ClickHTML5/Visit.aspx?ID=//5CDAEwASwA0ADAANAAxADAANAA5ADMASQBEAEUAQQA5=&amp;Tipo=2&amp;ST=1&amp;nLang=0</t>
  </si>
  <si>
    <t>https://www.clickideacore.com/ClickHTML5/Visit.aspx?ID=//55DAEwASwA0ADAANAAwADAAMQAxADQASQBEAEUAQQAD=&amp;Tipo=2&amp;ST=1&amp;nLang=0</t>
  </si>
  <si>
    <t>https://www.clickideacore.com/ClickHTML5/Visit.aspx?ID=//59DAEwASwA0ADAANAAyADMAMQA4ADYASQBEAEUAQQAB=&amp;Tipo=2&amp;ST=1&amp;nLang=0</t>
  </si>
  <si>
    <t>https://www.clickideacore.com/ClickHTML5/Visit.aspx?ID=//50DAEwASwA0ADAANAAxADkAOAAzADUASQBEAEUAQQA6=&amp;Tipo=2&amp;ST=1&amp;nLang=0</t>
  </si>
  <si>
    <t>https://www.clickideacore.com/ClickHTML5/Visit.aspx?ID=//52DAEwASwA0ADAANAAzADAAMgA1ADIASQBEAEUAQQA6=&amp;Tipo=2&amp;ST=1&amp;nLang=0</t>
  </si>
  <si>
    <t>https://www.clickideacore.com/ClickHTML5/Visit.aspx?ID=//5FDAEwASwA0ADAANAAyADEANAA5ADkASQBEAEUAQQA7=&amp;Tipo=2&amp;ST=1&amp;nLang=0</t>
  </si>
  <si>
    <t>https://www.clickideacore.com/ClickHTML5/Visit.aspx?ID=//52DAEwASwA0ADAANAAzADAANgAyADEASQBEAEUAQQAD=&amp;Tipo=2&amp;ST=1&amp;nLang=0</t>
  </si>
  <si>
    <t>https://www.clickideacore.com/ClickHTML5/Visit.aspx?ID=//5CDAEwASwA0ADAANAAyADAANAA2ADQASQBEAEUAQQA3=&amp;Tipo=2&amp;ST=1&amp;nLang=0</t>
  </si>
  <si>
    <t>https://www.clickideacore.com/ClickHTML5/Visit.aspx?ID=//59DAEwASwA0ADAANAAyADUAMgA3ADgASQBEAEUAQQA7=&amp;Tipo=2&amp;ST=1&amp;nLang=0</t>
  </si>
  <si>
    <t>https://www.clickideacore.com/ClickHTML5/Visit.aspx?ID=//54DAEwASwA0ADAANAAyADMAOAA5ADMASQBEAEUAQQA4=&amp;Tipo=2&amp;ST=1&amp;nLang=0</t>
  </si>
  <si>
    <t>https://www.clickideacore.com/ClickHTML5/Visit.aspx?ID=//54DAEwASwA0ADAANAAzADAAOQA3ADUASQBEAEUAQQAF=&amp;Tipo=2&amp;ST=1&amp;nLang=0</t>
  </si>
  <si>
    <t>https://www.clickideacore.com/ClickHTML5/Visit.aspx?ID=//54DAEwASwA0ADAANAAzADEANAA3ADUASQBEAEUAQQA1=&amp;Tipo=2&amp;ST=1&amp;nLang=0</t>
  </si>
  <si>
    <t>https://www.clickideacore.com/ClickHTML5/Visit.aspx?ID=//51DAEwASwA0ADAANAAyADQAOQAwADAASQBEAEUAQQA7=&amp;Tipo=2&amp;ST=1&amp;nLang=0</t>
  </si>
  <si>
    <t>https://www.clickideacore.com/ClickHTML5/Visit.aspx?ID=//54DAEwASwA0ADAANAAzADIAMAA0ADUASQBEAEUAQQA1=&amp;Tipo=2&amp;ST=1&amp;nLang=0</t>
  </si>
  <si>
    <t>https://www.clickideacore.com/ClickHTML5/Visit.aspx?ID=//50DAEwASwA0ADAANAAyADUAMwAwADgASQBEAEUAQQA6=&amp;Tipo=2&amp;ST=1&amp;nLang=0</t>
  </si>
  <si>
    <t>https://www.clickideacore.com/ClickHTML5/Visit.aspx?ID=//50DAEwASwA0ADAANAA0ADUANgAwADkASQBEAEUAQQAD=&amp;Tipo=2&amp;ST=1&amp;nLang=0</t>
  </si>
  <si>
    <t>https://www.clickideacore.com/ClickHTML5/Visit.aspx?ID=//5CDAEwASwA0ADAANAA0ADYAOQA5ADAASQBEAEUAQQA1=&amp;Tipo=2&amp;ST=1&amp;nLang=0</t>
  </si>
  <si>
    <t>https://www.clickideacore.com/ClickHTML5/Visit.aspx?ID=//5BDAEwASwA0ADAANAA1ADUAMwA3ADEASQBEAEUAQQA1=&amp;Tipo=2&amp;ST=1&amp;nLang=0</t>
  </si>
  <si>
    <t>https://www.clickideacore.com/ClickHTML5/Visit.aspx?ID=//57DAEwASwA0ADAANAA1ADUANAA2ADYASQBEAEUAQQA2=&amp;Tipo=2&amp;ST=1&amp;nLang=0</t>
  </si>
  <si>
    <t>https://www.clickideacore.com/ClickHTML5/Visit.aspx?ID=//52DAEwASwA0ADAANAA2ADIAMwA1ADUASQBEAEUAQQA0=&amp;Tipo=2&amp;ST=1&amp;nLang=0</t>
  </si>
  <si>
    <t>https://www.clickideacore.com/ClickHTML5/Visit.aspx?ID=//59DAEwASwA0ADAANAA2ADMAMwA5ADUASQBEAEUAQQA5=&amp;Tipo=2&amp;ST=1&amp;nLang=0</t>
  </si>
  <si>
    <t>https://www.clickideacore.com/ClickHTML5/Visit.aspx?ID=//57DAEwASwA0ADAANAA2ADMANAA2ADEASQBEAEUAQQAA=&amp;Tipo=2&amp;ST=1&amp;nLang=0</t>
  </si>
  <si>
    <t>https://www.clickideacore.com/ClickHTML5/Visit.aspx?ID=//5DDAEwASwA0ADAANAA2ADIAOAA0ADcASQBEAEUAQQAC=&amp;Tipo=2&amp;ST=1&amp;nLang=0</t>
  </si>
  <si>
    <t>https://www.clickideacore.com/ClickHTML5/Visit.aspx?ID=//59DAEwASwA0ADAANAA2ADUANgAxADcASQBEAEUAQQA5=&amp;Tipo=2&amp;ST=1&amp;nLang=0</t>
  </si>
  <si>
    <t>https://www.clickideacore.com/ClickHTML5/Visit.aspx?ID=//58DAEwASwA0ADAANAA2ADYANgA4ADUASQBEAEUAQQA0=&amp;Tipo=2&amp;ST=1&amp;nLang=0</t>
  </si>
  <si>
    <t>https://www.clickideacore.com/ClickHTML5/Visit.aspx?ID=//5DDAEwASwA0ADAANAA2ADMAMgA3ADcASQBEAEUAQQA5=&amp;Tipo=2&amp;ST=1&amp;nLang=0</t>
  </si>
  <si>
    <t>https://www.clickideacore.com/ClickHTML5/Visit.aspx?ID=//53DAEwASwA0ADAANAA2ADMANgA3ADgASQBEAEUAQQA7=&amp;Tipo=2&amp;ST=1&amp;nLang=0</t>
  </si>
  <si>
    <t>https://www.clickideacore.com/ClickHTML5/Visit.aspx?ID=//5BDAEwASwA0ADAANAA2ADMANAAzADkASQBEAEUAQQAD=&amp;Tipo=2&amp;ST=1&amp;nLang=0</t>
  </si>
  <si>
    <t>https://www.clickideacore.com/ClickHTML5/Visit.aspx?ID=//50DAEwASwA0ADAANAA2ADMAMAAxADEASQBEAEUAQQA2=&amp;Tipo=2&amp;ST=1&amp;nLang=0</t>
  </si>
  <si>
    <t>https://www.clickideacore.com/ClickHTML5/Visit.aspx?ID=//58DAEwASwA0ADAANAA2ADUANQA1ADYASQBEAEUAQQA9=&amp;Tipo=2&amp;ST=1&amp;nLang=0</t>
  </si>
  <si>
    <t>https://www.clickideacore.com/ClickHTML5/Visit.aspx?ID=//50DAEwASwA0ADAANAA2ADcAMQA1ADkASQBEAEUAQQA5=&amp;Tipo=2&amp;ST=1&amp;nLang=0</t>
  </si>
  <si>
    <t>https://www.clickideacore.com/ClickHTML5/Visit.aspx?ID=//57DAEwASwA0ADAANAA2ADQAOAA2ADYASQBEAEUAQQAD=&amp;Tipo=2&amp;ST=1&amp;nLang=0</t>
  </si>
  <si>
    <t>https://www.clickideacore.com/ClickHTML5/Visit.aspx?ID=//5FDAEwASwA0ADAANAA2ADMANgAyADEASQBEAEUAQQAD=&amp;Tipo=2&amp;ST=1&amp;nLang=0</t>
  </si>
  <si>
    <t>https://www.clickideacore.com/ClickHTML5/Visit.aspx?ID=//54DAEwASwA0ADAANAA5ADAAMwA4ADAASQBEAEUAQQA2=&amp;Tipo=2&amp;ST=1&amp;nLang=0</t>
  </si>
  <si>
    <t>https://www.clickideacore.com/ClickHTML5/Visit.aspx?ID=//50DAEwASwA0ADAANAA4ADMANwA1ADUASQBEAEUAQQAC=&amp;Tipo=2&amp;ST=1&amp;nLang=0</t>
  </si>
  <si>
    <t>https://www.clickideacore.com/ClickHTML5/Visit.aspx?ID=//5DDAEwASwA0ADAANAA4ADEANgA5ADcASQBEAEUAQQA2=&amp;Tipo=2&amp;ST=1&amp;nLang=0</t>
  </si>
  <si>
    <t>https://www.clickideacore.com/ClickHTML5/Visit.aspx?ID=//5CDAEwASwA0ADAANAA4ADQAOAA1ADMASQBEAEUAQQAC=&amp;Tipo=2&amp;ST=1&amp;nLang=0</t>
  </si>
  <si>
    <t>https://www.clickideacore.com/ClickHTML5/Visit.aspx?ID=//53DAEwASwA0ADAANAA4ADAANwA0ADEASQBEAEUAQQA5=&amp;Tipo=2&amp;ST=1&amp;nLang=0</t>
  </si>
  <si>
    <t>https://www.clickideacore.com/ClickHTML5/Visit.aspx?ID=//5ADAEwASwA0ADAANAA4ADAANgAxADcASQBEAEUAQQA4=&amp;Tipo=2&amp;ST=1&amp;nLang=0</t>
  </si>
  <si>
    <t>https://www.clickideacore.com/ClickHTML5/Visit.aspx?ID=//5CDAEwASwA0ADAANAA4ADEANQA5ADAASQBEAEUAQQAA=&amp;Tipo=2&amp;ST=1&amp;nLang=0</t>
  </si>
  <si>
    <t>https://www.clickideacore.com/ClickHTML5/Visit.aspx?ID=//53DAEwASwA0ADAANAA4ADIANgAwADEASQBEAEUAQQA0=&amp;Tipo=2&amp;ST=1&amp;nLang=0</t>
  </si>
  <si>
    <t>https://www.clickideacore.com/ClickHTML5/Visit.aspx?ID=//50DAEwASwA0ADAANAA4ADAANgA2ADAASQBEAEUAQQAE=&amp;Tipo=2&amp;ST=1&amp;nLang=0</t>
  </si>
  <si>
    <t>https://www.clickideacore.com/ClickHTML5/Visit.aspx?ID=//53DAEwASwA0ADAANAA4ADAANAAzADUASQBEAEUAQQAD=&amp;Tipo=2&amp;ST=1&amp;nLang=0</t>
  </si>
  <si>
    <t>https://www.clickideacore.com/ClickHTML5/Visit.aspx?ID=//55DAEwASwA0ADAANAA4ADgANwA3ADYASQBEAEUAQQA5=&amp;Tipo=2&amp;ST=1&amp;nLang=0</t>
  </si>
  <si>
    <t>https://www.clickideacore.com/ClickHTML5/Visit.aspx?ID=//5BDAEwASwA0ADAANAA4ADIAOQA5ADQASQBEAEUAQQA1=&amp;Tipo=2&amp;ST=1&amp;nLang=0</t>
  </si>
  <si>
    <t>https://www.clickideacore.com/ClickHTML5/Visit.aspx?ID=//57DAEwASwA0ADAANAA5ADAANAA4ADYASQBEAEUAQQA7=&amp;Tipo=2&amp;ST=1&amp;nLang=0</t>
  </si>
  <si>
    <t>https://www.clickideacore.com/ClickHTML5/Visit.aspx?ID=//52DAEwASwA0ADAANAA4ADEAOQAyADQASQBEAEUAQQA8=&amp;Tipo=2&amp;ST=1&amp;nLang=0</t>
  </si>
  <si>
    <t>https://www.clickideacore.com/ClickHTML5/Visit.aspx?ID=//51DAEwASwA0ADAANQAzADgAOAAyADkASQBEAEUAQQA7=&amp;Tipo=2&amp;ST=1&amp;nLang=0</t>
  </si>
  <si>
    <t>https://www.clickideacore.com/ClickHTML5/Visit.aspx?ID=//5ADAEwASwA0ADAANQAxADQAMAA3ADcASQBEAEUAQQA3=&amp;Tipo=2&amp;ST=1&amp;nLang=0</t>
  </si>
  <si>
    <t>https://www.clickideacore.com/ClickHTML5/Visit.aspx?ID=//57DAEwASwA0ADAANQAwADQANwA5ADYASQBEAEUAQQA9=&amp;Tipo=2&amp;ST=1&amp;nLang=0</t>
  </si>
  <si>
    <t>https://www.clickideacore.com/ClickHTML5/Visit.aspx?ID=//59DAEwASwA0ADAANQAwADYAMwAzADYASQBEAEUAQQA5=&amp;Tipo=2&amp;ST=1&amp;nLang=0</t>
  </si>
  <si>
    <t>https://www.clickideacore.com/ClickHTML5/Visit.aspx?ID=//59DAEwASwA0ADAANQAxADMANwAxADcASQBEAEUAQQA8=&amp;Tipo=2&amp;ST=1&amp;nLang=0</t>
  </si>
  <si>
    <t>https://www.clickideacore.com/ClickHTML5/Visit.aspx?ID=//5EDAEwASwA0ADAANQAwADkANAAzADQASQBEAEUAQQAD=&amp;Tipo=2&amp;ST=1&amp;nLang=0</t>
  </si>
  <si>
    <t>https://www.clickideacore.com/ClickHTML5/Visit.aspx?ID=//51DAEwASwA0ADAANQAwADMAOAAwADMASQBEAEUAQQA8=&amp;Tipo=2&amp;ST=1&amp;nLang=0</t>
  </si>
  <si>
    <t>https://www.clickideacore.com/ClickHTML5/Visit.aspx?ID=//54DAEwASwA0ADAANQAwADQANgA1ADYASQBEAEUAQQAC=&amp;Tipo=2&amp;ST=1&amp;nLang=0</t>
  </si>
  <si>
    <t>https://www.clickideacore.com/ClickHTML5/Visit.aspx?ID=//53DAEwASwA0ADAANQAwADYAMwA1ADAASQBEAEUAQQA4=&amp;Tipo=2&amp;ST=1&amp;nLang=0</t>
  </si>
  <si>
    <t>https://www.clickideacore.com/ClickHTML5/Visit.aspx?ID=//50DAEwASwA0ADAANQAwADkANAA5ADgASQBEAEUAQQAE=&amp;Tipo=2&amp;ST=1&amp;nLang=0</t>
  </si>
  <si>
    <t>https://www.clickideacore.com/ClickHTML5/Visit.aspx?ID=//51DAEwASwA0ADAANQAwADIAMQAzADQASQBEAEUAQQA4=&amp;Tipo=2&amp;ST=1&amp;nLang=0</t>
  </si>
  <si>
    <t>https://www.clickideacore.com/ClickHTML5/Visit.aspx?ID=//5FDAEwASwA0ADAANQAxADMAMwA3ADQASQBEAEUAQQAF=&amp;Tipo=2&amp;ST=1&amp;nLang=0</t>
  </si>
  <si>
    <t>https://www.clickideacore.com/ClickHTML5/Visit.aspx?ID=//56DAEwASwA0ADAANQAwADgAMgA3ADMASQBEAEUAQQA1=&amp;Tipo=2&amp;ST=1&amp;nLang=0</t>
  </si>
  <si>
    <t>https://www.clickideacore.com/ClickHTML5/Visit.aspx?ID=//57DAEwASwA0ADAANQAxADMAOAA4ADcASQBEAEUAQQAB=&amp;Tipo=2&amp;ST=1&amp;nLang=0</t>
  </si>
  <si>
    <t>https://www.clickideacore.com/ClickHTML5/Visit.aspx?ID=//58DAEwASwA0ADAANQAwADQANwA3ADMASQBEAEUAQQAE=&amp;Tipo=2&amp;ST=1&amp;nLang=0</t>
  </si>
  <si>
    <t>https://www.clickideacore.com/ClickHTML5/Visit.aspx?ID=//50DAEwASwA0ADAANQAzADMAMAA1ADgASQBEAEUAQQA4=&amp;Tipo=2&amp;ST=1&amp;nLang=0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</si>
</sst>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#0;\-#0;#0"/>
    <numFmt numFmtId="166" formatCode="#0.##,&quot;K&quot;;\-#0.##,&quot;K&quot;;#0.##,&quot;K&quot;"/>
    <numFmt numFmtId="167" formatCode="#0,&quot;K&quot;;\-#0,&quot;K&quot;;#0,&quot;K&quot;"/>
    <numFmt numFmtId="168" formatCode="#0.#,&quot;K&quot;;\-#0.#,&quot;K&quot;;#0.#,&quot;K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textRotation="180"/>
    </xf>
    <xf numFmtId="164" fontId="0" fillId="2" borderId="0" xfId="0" applyNumberFormat="1" applyFill="1"/>
    <xf numFmtId="0" fontId="2" fillId="0" borderId="0" xfId="1"/>
    <xf numFmtId="164" fontId="3" fillId="0" borderId="0" xfId="0" applyNumberFormat="1" applyFont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3" fillId="0" borderId="0" xfId="0" applyFont="1"/>
    <xf numFmtId="0" fontId="3" fillId="2" borderId="0" xfId="0" applyFont="1" applyFill="1"/>
    <xf numFmtId="165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0" fillId="0" borderId="0" xfId="0" pivotButton="1" applyAlignment="1">
      <alignment textRotation="180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top"/>
    </xf>
    <xf numFmtId="0" fontId="1" fillId="0" borderId="0" xfId="0" applyFont="1" applyAlignment="1">
      <alignment horizontal="left"/>
    </xf>
    <xf numFmtId="1" fontId="0" fillId="0" borderId="0" xfId="0" applyNumberFormat="1"/>
    <xf numFmtId="1" fontId="0" fillId="2" borderId="0" xfId="0" applyNumberFormat="1" applyFill="1"/>
    <xf numFmtId="1" fontId="1" fillId="0" borderId="0" xfId="0" applyNumberFormat="1" applyFont="1"/>
    <xf numFmtId="165" fontId="0" fillId="3" borderId="0" xfId="0" applyNumberFormat="1" applyFill="1"/>
    <xf numFmtId="165" fontId="0" fillId="2" borderId="0" xfId="0" applyNumberFormat="1" applyFill="1"/>
    <xf numFmtId="165" fontId="0" fillId="0" borderId="0" xfId="0" applyNumberFormat="1" applyAlignment="1">
      <alignment horizontal="left"/>
    </xf>
    <xf numFmtId="164" fontId="4" fillId="0" borderId="0" xfId="0" applyNumberFormat="1" applyFont="1"/>
    <xf numFmtId="164" fontId="0" fillId="3" borderId="0" xfId="0" applyNumberFormat="1" applyFill="1"/>
    <xf numFmtId="0" fontId="1" fillId="3" borderId="0" xfId="0" applyFont="1" applyFill="1"/>
    <xf numFmtId="164" fontId="4" fillId="2" borderId="0" xfId="0" applyNumberFormat="1" applyFont="1" applyFill="1"/>
  </cellXfs>
  <cellStyles count="2">
    <cellStyle name="Hipervínculo" xfId="1" builtinId="8"/>
    <cellStyle name="Normal" xfId="0" builtinId="0"/>
  </cellStyles>
  <dxfs count="149"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9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  <dxf>
      <alignment textRotation="18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VILES" refreshedDate="45923.645297800926" createdVersion="8" refreshedVersion="8" minRefreshableVersion="3" recordCount="1731" xr:uid="{710EFB43-0250-46EF-AB86-6A3C54D1867B}">
  <cacheSource type="worksheet">
    <worksheetSource ref="A1:Y1048576" sheet="Base Datos"/>
  </cacheSource>
  <cacheFields count="27">
    <cacheField name="Operador" numFmtId="0">
      <sharedItems containsBlank="1" count="41">
        <s v="Alfredo Cona"/>
        <s v="Antonio Riquelme "/>
        <s v="Boris López"/>
        <s v="Byron Lopez"/>
        <s v="Cesar Moreno"/>
        <s v="Cristian Gonzalez "/>
        <s v="Jose Arredondo"/>
        <s v="Juan Santibañez"/>
        <s v="Luis Dugo"/>
        <s v="Maximiliano Arancibia"/>
        <s v="Patricio Cubillos"/>
        <s v="Pedro Arcos"/>
        <s v="Ramon Gallardo"/>
        <s v="Roberto Briones"/>
        <s v="Roberto Ramirez"/>
        <s v="Victor Reyes"/>
        <s v="N/A"/>
        <s v="Rodrigo Bascuñan"/>
        <s v="Rody Osorio"/>
        <s v="Edgar Benavides"/>
        <s v="Fernando Diaz"/>
        <s v="Antonio Riquelme"/>
        <s v="Cristian Gonzalez"/>
        <s v="Sin Auxiliar"/>
        <s v="Cristian Valdivia"/>
        <s v="Gilmar Ospino"/>
        <s v="Elias Llancaqueo"/>
        <s v="Victor Reyes "/>
        <s v="Luis Acevedo"/>
        <s v="Boris Lopez"/>
        <m/>
        <s v="Byron López" u="1"/>
        <s v="Manuel Lopez" u="1"/>
        <s v="Robero Ramirez" u="1"/>
        <s v="Patricio Cubillo" u="1"/>
        <s v="Edgar Banavides" u="1"/>
        <s v="Miguel Zamorano" u="1"/>
        <s v="Sergio Toledo" u="1"/>
        <s v="Jose Oca" u="1"/>
        <s v="Alexander Marchant" u="1"/>
        <s v="Juan Aravena" u="1"/>
      </sharedItems>
    </cacheField>
    <cacheField name="Codigo de Usuario" numFmtId="0">
      <sharedItems containsBlank="1"/>
    </cacheField>
    <cacheField name="Auxiliar1" numFmtId="0">
      <sharedItems containsBlank="1" count="41">
        <s v="Osman Perez"/>
        <s v="Cristian Araya"/>
        <s v="Gilmar Ospino"/>
        <s v="Patricio Ramirez"/>
        <s v="Alejandro Osorio"/>
        <s v="Juan Cuadra"/>
        <s v="Antonio Palma"/>
        <s v="Fernando Diaz"/>
        <s v="Victor Araneda"/>
        <s v="Carlos Correa"/>
        <s v="Juan Aravena"/>
        <s v="Sergio Toledo"/>
        <s v="Jordan Gaete"/>
        <s v="Alexander Marchant"/>
        <s v="Jose Oca"/>
        <s v="N/A"/>
        <s v="Jorge Vizcarra"/>
        <s v="Rodrigo Bascuñan"/>
        <s v="Sin Auxiliar"/>
        <s v="Yosman Perez"/>
        <s v="Hugo Troncoso"/>
        <s v="Deivis Santana"/>
        <s v="Juan Santibañez"/>
        <s v="Jorge Viscarra"/>
        <s v="Antonio Riquelme "/>
        <s v="Wilmer Villa"/>
        <s v="Pedro Arcos"/>
        <s v="Byron Lopez"/>
        <s v="Alfredo Cona"/>
        <s v="Cristian Gonzalez "/>
        <s v="Antonio Riquelme"/>
        <s v="Alexander"/>
        <m/>
        <s v="José Oca" u="1"/>
        <s v="Edgar Benavides" u="1"/>
        <s v="Victor Reyes " u="1"/>
        <s v="Davis Santana" u="1"/>
        <s v="Sergio  Toledo" u="1"/>
        <s v="Victor Reyes" u="1"/>
        <s v="Roberto Briones" u="1"/>
        <s v="Juan Caudra" u="1"/>
      </sharedItems>
    </cacheField>
    <cacheField name="Auxiliar2" numFmtId="0">
      <sharedItems containsBlank="1"/>
    </cacheField>
    <cacheField name="Fecha Inicial" numFmtId="0">
      <sharedItems containsNonDate="0" containsDate="1" containsString="0" containsBlank="1" minDate="2025-04-22T00:00:00" maxDate="2025-09-23T00:00:00" count="151"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22T00:00:00"/>
        <m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</sharedItems>
      <fieldGroup par="26"/>
    </cacheField>
    <cacheField name="Fecha Final" numFmtId="0">
      <sharedItems containsNonDate="0" containsDate="1" containsString="0" containsBlank="1" minDate="2025-05-22T00:00:00" maxDate="2025-09-23T00:00:00"/>
    </cacheField>
    <cacheField name="Duracion" numFmtId="0">
      <sharedItems containsString="0" containsBlank="1" containsNumber="1" containsInteger="1" minValue="19" maxValue="4971"/>
    </cacheField>
    <cacheField name="Estado" numFmtId="0">
      <sharedItems containsBlank="1" containsMixedTypes="1" containsNumber="1" containsInteger="1" minValue="0" maxValue="0" count="19">
        <s v="Ok"/>
        <s v="Inasistencia"/>
        <s v="Sin Producción"/>
        <s v="Libre Compensatorio"/>
        <s v="Vacaciones"/>
        <s v="Licencia Medica"/>
        <s v="Cumpleaños"/>
        <s v="Achs"/>
        <s v="fosas"/>
        <s v="Compensatorio"/>
        <s v="sin rpoduccion"/>
        <s v="sin produccion"/>
        <s v="dia Cumpleaños"/>
        <s v="cmpensatorio"/>
        <s v="falta"/>
        <s v="licencia"/>
        <s v="despacho"/>
        <m/>
        <n v="0" u="1"/>
      </sharedItems>
    </cacheField>
    <cacheField name="Aseo" numFmtId="0">
      <sharedItems containsString="0" containsBlank="1" containsNumber="1" containsInteger="1" minValue="0" maxValue="171"/>
    </cacheField>
    <cacheField name="Secado" numFmtId="0">
      <sharedItems containsString="0" containsBlank="1" containsNumber="1" containsInteger="1" minValue="0" maxValue="125"/>
    </cacheField>
    <cacheField name="Despacho / Retiro" numFmtId="0">
      <sharedItems containsString="0" containsBlank="1" containsNumber="1" containsInteger="1" minValue="0" maxValue="30"/>
    </cacheField>
    <cacheField name="Entrada &lt; 07:30" numFmtId="0">
      <sharedItems containsString="0" containsBlank="1" containsNumber="1" containsInteger="1" minValue="0" maxValue="1"/>
    </cacheField>
    <cacheField name="Salida &gt; 19:30" numFmtId="0">
      <sharedItems containsString="0" containsBlank="1" containsNumber="1" containsInteger="1" minValue="0" maxValue="1"/>
    </cacheField>
    <cacheField name="Fuera Radio Normal" numFmtId="0">
      <sharedItems containsString="0" containsBlank="1" containsNumber="1" containsInteger="1" minValue="0" maxValue="1"/>
    </cacheField>
    <cacheField name="Fuera Radio V Región" numFmtId="0">
      <sharedItems containsString="0" containsBlank="1" containsNumber="1" containsInteger="1" minValue="0" maxValue="8"/>
    </cacheField>
    <cacheField name="Entrega Kit" numFmtId="0">
      <sharedItems containsString="0" containsBlank="1" containsNumber="1" containsInteger="1" minValue="0" maxValue="12"/>
    </cacheField>
    <cacheField name="Carga Lavamanos" numFmtId="0">
      <sharedItems containsString="0" containsBlank="1" containsNumber="1" containsInteger="1" minValue="0" maxValue="155"/>
    </cacheField>
    <cacheField name="Sabado" numFmtId="0">
      <sharedItems containsString="0" containsBlank="1" containsNumber="1" containsInteger="1" minValue="0" maxValue="1"/>
    </cacheField>
    <cacheField name="Domingo" numFmtId="0">
      <sharedItems containsString="0" containsBlank="1" containsNumber="1" containsInteger="1" minValue="0" maxValue="11"/>
    </cacheField>
    <cacheField name="Aseo Fin de Semana" numFmtId="0">
      <sharedItems containsString="0" containsBlank="1" containsNumber="1" containsInteger="1" minValue="0" maxValue="110"/>
    </cacheField>
    <cacheField name="Secado Fin de Semana" numFmtId="0">
      <sharedItems containsString="0" containsBlank="1" containsNumber="1" containsInteger="1" minValue="0" maxValue="134"/>
    </cacheField>
    <cacheField name="Sabado &gt; 16:00" numFmtId="0">
      <sharedItems containsString="0" containsBlank="1" containsNumber="1" containsInteger="1" minValue="0" maxValue="1"/>
    </cacheField>
    <cacheField name="Domingo &gt; 16:00" numFmtId="0">
      <sharedItems containsString="0" containsBlank="1" containsNumber="1" containsInteger="1" minValue="0" maxValue="1"/>
    </cacheField>
    <cacheField name="Succión Riles (M3)" numFmtId="0">
      <sharedItems containsString="0" containsBlank="1" containsNumber="1" containsInteger="1" minValue="0" maxValue="22"/>
    </cacheField>
    <cacheField name="URL" numFmtId="0">
      <sharedItems containsBlank="1"/>
    </cacheField>
    <cacheField name="Días (Fecha Inicial)" numFmtId="0" databaseField="0">
      <fieldGroup base="4">
        <rangePr groupBy="days" startDate="2025-05-22T00:00:00" endDate="2025-09-23T00:00:00"/>
        <groupItems count="368">
          <s v="&lt;22-05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3-09-2025"/>
        </groupItems>
      </fieldGroup>
    </cacheField>
    <cacheField name="Meses (Fecha Inicial)" numFmtId="0" databaseField="0">
      <fieldGroup base="4">
        <rangePr groupBy="months" startDate="2025-05-22T00:00:00" endDate="2025-09-23T00:00:00"/>
        <groupItems count="14">
          <s v="&lt;22-05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3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1">
  <r>
    <x v="0"/>
    <s v="OP-S-106"/>
    <x v="0"/>
    <s v="Sin Auxiliar"/>
    <x v="0"/>
    <d v="2025-05-22T00:00:00"/>
    <n v="40"/>
    <x v="0"/>
    <n v="1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FDAEwASwAzADMANgA0ADkAMgA4ADgASQBEAEUAQQAF=&amp;Tipo=2&amp;ST=1&amp;nLang=0"/>
  </r>
  <r>
    <x v="1"/>
    <s v="OP-S-013"/>
    <x v="1"/>
    <s v="Sin Auxiliar"/>
    <x v="0"/>
    <d v="2025-05-22T00:00:00"/>
    <n v="44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MANgAzADgAOQA4ADkASQBEAEUAQQA3=&amp;Tipo=2&amp;ST=1&amp;nLang=0"/>
  </r>
  <r>
    <x v="2"/>
    <s v="OP-S-009"/>
    <x v="2"/>
    <s v="Sin Auxiliar"/>
    <x v="0"/>
    <d v="2025-05-22T00:00:00"/>
    <n v="38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NgAzADUANAA5ADAASQBEAEUAQQA8=&amp;Tipo=2&amp;ST=1&amp;nLang=0"/>
  </r>
  <r>
    <x v="3"/>
    <s v="OP-S-062"/>
    <x v="3"/>
    <s v="Sin Auxiliar"/>
    <x v="0"/>
    <d v="2025-05-22T00:00:00"/>
    <n v="25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NgAzADkAMgA4ADkASQBEAEUAQQA3=&amp;Tipo=2&amp;ST=1&amp;nLang=0"/>
  </r>
  <r>
    <x v="4"/>
    <s v="OP-S-018"/>
    <x v="4"/>
    <s v="Sin Auxiliar"/>
    <x v="0"/>
    <d v="2025-05-22T00:00:00"/>
    <n v="42"/>
    <x v="0"/>
    <n v="76"/>
    <n v="0"/>
    <n v="0"/>
    <n v="0"/>
    <n v="0"/>
    <n v="0"/>
    <n v="0"/>
    <n v="0"/>
    <n v="50"/>
    <n v="0"/>
    <n v="0"/>
    <n v="0"/>
    <n v="0"/>
    <n v="0"/>
    <n v="0"/>
    <n v="1"/>
    <s v="https://www.clickideacore.com/ClickHTML5/Visit.aspx?ID=//54DAEwASwAzADMANgAzADgANgA4ADAASQBEAEUAQQA0=&amp;Tipo=2&amp;ST=1&amp;nLang=0"/>
  </r>
  <r>
    <x v="5"/>
    <s v="OP-S-055"/>
    <x v="5"/>
    <s v="Sin Auxiliar"/>
    <x v="0"/>
    <d v="2025-05-22T00:00:00"/>
    <n v="29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MANgA0ADUANQA2ADgASQBEAEUAQQA4=&amp;Tipo=2&amp;ST=1&amp;nLang=0"/>
  </r>
  <r>
    <x v="6"/>
    <s v="OP-S-R-001"/>
    <x v="6"/>
    <s v="Sin Auxiliar"/>
    <x v="0"/>
    <d v="2025-05-22T00:00:00"/>
    <n v="36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4DAEwASwAzADMANgAzADkANQA1ADEASQBEAEUAQQAF=&amp;Tipo=2&amp;ST=1&amp;nLang=0"/>
  </r>
  <r>
    <x v="7"/>
    <s v="OP-S-010"/>
    <x v="7"/>
    <s v="Sin Auxiliar"/>
    <x v="0"/>
    <d v="2025-05-22T00:00:00"/>
    <n v="72"/>
    <x v="0"/>
    <n v="4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MANgAzADcAOAA0ADcASQBEAEUAQQAA=&amp;Tipo=2&amp;ST=1&amp;nLang=0"/>
  </r>
  <r>
    <x v="8"/>
    <s v="OP-S-004"/>
    <x v="8"/>
    <s v="Sin Auxiliar"/>
    <x v="0"/>
    <d v="2025-05-22T00:00:00"/>
    <n v="74"/>
    <x v="0"/>
    <n v="3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MANgA0ADAAOAA4ADkASQBEAEUAQQA8=&amp;Tipo=2&amp;ST=1&amp;nLang=0"/>
  </r>
  <r>
    <x v="9"/>
    <s v="OP-S-001"/>
    <x v="9"/>
    <s v="Sin Auxiliar"/>
    <x v="0"/>
    <d v="2025-05-22T00:00:00"/>
    <n v="22"/>
    <x v="0"/>
    <n v="56"/>
    <n v="0"/>
    <n v="0"/>
    <n v="1"/>
    <n v="0"/>
    <n v="0"/>
    <n v="0"/>
    <n v="0"/>
    <n v="0"/>
    <n v="0"/>
    <n v="0"/>
    <n v="0"/>
    <n v="8"/>
    <n v="0"/>
    <n v="0"/>
    <n v="0"/>
    <s v="https://www.clickideacore.com/ClickHTML5/Visit.aspx?ID=//5DDAEwASwAzADMANgA0ADgANwA3ADkASQBEAEUAQQA2=&amp;Tipo=2&amp;ST=1&amp;nLang=0"/>
  </r>
  <r>
    <x v="10"/>
    <s v="OP-S-017"/>
    <x v="10"/>
    <s v="Sin Auxiliar"/>
    <x v="0"/>
    <d v="2025-05-22T00:00:00"/>
    <n v="51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NgA0ADEAMAAxADkASQBEAEUAQQA9=&amp;Tipo=2&amp;ST=1&amp;nLang=0"/>
  </r>
  <r>
    <x v="11"/>
    <s v="OP-S-018"/>
    <x v="11"/>
    <s v="Sin Auxiliar"/>
    <x v="0"/>
    <d v="2025-05-22T00:00:00"/>
    <n v="51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NgA0ADEAMAAxADkASQBEAEUAQQA9=&amp;Tipo=2&amp;ST=1&amp;nLang=0"/>
  </r>
  <r>
    <x v="12"/>
    <s v="OP-S-70"/>
    <x v="12"/>
    <s v="Sin Auxiliar"/>
    <x v="0"/>
    <d v="2025-05-22T00:00:00"/>
    <n v="26"/>
    <x v="0"/>
    <n v="30"/>
    <n v="0"/>
    <n v="0"/>
    <n v="1"/>
    <n v="1"/>
    <n v="0"/>
    <n v="1"/>
    <n v="0"/>
    <n v="30"/>
    <n v="0"/>
    <n v="0"/>
    <n v="0"/>
    <n v="0"/>
    <n v="0"/>
    <n v="0"/>
    <n v="0"/>
    <s v="https://www.clickideacore.com/ClickHTML5/Visit.aspx?ID=//59DAEwASwAzADMANgA0ADcANQAyADUASQBEAEUAQQA1=&amp;Tipo=2&amp;ST=1&amp;nLang=0"/>
  </r>
  <r>
    <x v="13"/>
    <s v="OP-S-060"/>
    <x v="13"/>
    <s v="Sin Auxiliar"/>
    <x v="0"/>
    <d v="2025-05-22T00:00:00"/>
    <n v="44"/>
    <x v="0"/>
    <n v="2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DDAEwASwAzADMANgAzADgANwA2ADkASQBEAEUAQQAD=&amp;Tipo=2&amp;ST=1&amp;nLang=0"/>
  </r>
  <r>
    <x v="14"/>
    <s v="OP-S-011"/>
    <x v="14"/>
    <s v="Sin Auxiliar"/>
    <x v="0"/>
    <d v="2025-05-22T00:00:00"/>
    <n v="44"/>
    <x v="0"/>
    <n v="1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NgAzADgANwA2ADkASQBEAEUAQQAD=&amp;Tipo=2&amp;ST=1&amp;nLang=0"/>
  </r>
  <r>
    <x v="15"/>
    <s v="OP-S-012"/>
    <x v="15"/>
    <s v="Sin Auxiliar"/>
    <x v="0"/>
    <d v="2025-05-22T00:00:00"/>
    <n v="44"/>
    <x v="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NgAzADgANwA2ADkASQBEAEUAQQAD=&amp;Tipo=2&amp;ST=1&amp;nLang=0"/>
  </r>
  <r>
    <x v="16"/>
    <s v="OP-S-013"/>
    <x v="16"/>
    <s v="Sin Auxiliar"/>
    <x v="0"/>
    <d v="2025-05-22T00:00:00"/>
    <n v="4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NgA0ADkAMgA2ADQASQBEAEUAQQA3=&amp;Tipo=2&amp;ST=1&amp;nLang=0"/>
  </r>
  <r>
    <x v="17"/>
    <s v="OP-S-014"/>
    <x v="15"/>
    <s v="Sin Auxiliar"/>
    <x v="0"/>
    <d v="2025-05-22T00:00:00"/>
    <n v="44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NgAzADgANwA2ADkASQBEAEUAQQAD=&amp;Tipo=2&amp;ST=1&amp;nLang=0"/>
  </r>
  <r>
    <x v="0"/>
    <s v="OP-S-106"/>
    <x v="0"/>
    <s v="Sin Auxiliar"/>
    <x v="1"/>
    <d v="2025-05-23T00:00:00"/>
    <n v="38"/>
    <x v="0"/>
    <n v="4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MANgA3ADEAOAAyADQASQBEAEUAQQA0=&amp;Tipo=2&amp;ST=1&amp;nLang=0"/>
  </r>
  <r>
    <x v="1"/>
    <s v="OP-S-013"/>
    <x v="1"/>
    <s v="Sin Auxiliar"/>
    <x v="1"/>
    <d v="2025-05-23T00:00:00"/>
    <n v="37"/>
    <x v="0"/>
    <n v="9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MANgA2ADMAMQA0ADgASQBEAEUAQQA6=&amp;Tipo=2&amp;ST=1&amp;nLang=0"/>
  </r>
  <r>
    <x v="2"/>
    <s v="OP-S-009"/>
    <x v="2"/>
    <s v="Sin Auxiliar"/>
    <x v="1"/>
    <d v="2025-05-23T00:00:00"/>
    <n v="36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MANgA2ADIANwAzADIASQBEAEUAQQAA=&amp;Tipo=2&amp;ST=1&amp;nLang=0"/>
  </r>
  <r>
    <x v="3"/>
    <s v="OP-S-062"/>
    <x v="3"/>
    <s v="Sin Auxiliar"/>
    <x v="1"/>
    <d v="2025-05-23T00:00:00"/>
    <n v="24"/>
    <x v="0"/>
    <n v="6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NgA2ADkAMgA0ADUASQBEAEUAQQAE=&amp;Tipo=2&amp;ST=1&amp;nLang=0"/>
  </r>
  <r>
    <x v="4"/>
    <s v="OP-S-018"/>
    <x v="4"/>
    <s v="Sin Auxiliar"/>
    <x v="1"/>
    <d v="2025-05-23T00:00:00"/>
    <n v="90"/>
    <x v="0"/>
    <n v="90"/>
    <n v="0"/>
    <n v="0"/>
    <n v="0"/>
    <n v="0"/>
    <n v="0"/>
    <n v="0"/>
    <n v="0"/>
    <n v="50"/>
    <n v="0"/>
    <n v="0"/>
    <n v="0"/>
    <n v="0"/>
    <n v="0"/>
    <n v="0"/>
    <n v="1"/>
    <s v="https://www.clickideacore.com/ClickHTML5/Visit.aspx?ID=//5ADAEwASwAzADMANgA2ADMAOQAyADIASQBEAEUAQQA3=&amp;Tipo=2&amp;ST=1&amp;nLang=0"/>
  </r>
  <r>
    <x v="5"/>
    <s v="OP-S-055"/>
    <x v="5"/>
    <s v="Sin Auxiliar"/>
    <x v="1"/>
    <d v="2025-05-23T00:00:00"/>
    <n v="28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NgA3ADEANgAyADgASQBEAEUAQQA3=&amp;Tipo=2&amp;ST=1&amp;nLang=0"/>
  </r>
  <r>
    <x v="6"/>
    <s v="OP-S-R-001"/>
    <x v="6"/>
    <s v="Sin Auxiliar"/>
    <x v="1"/>
    <d v="2025-05-23T00:00:00"/>
    <n v="3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9DAEwASwAzADMANgA2ADMAMQAzADMASQBEAEUAQQA4=&amp;Tipo=2&amp;ST=1&amp;nLang=0"/>
  </r>
  <r>
    <x v="7"/>
    <s v="OP-S-010"/>
    <x v="7"/>
    <s v="Sin Auxiliar"/>
    <x v="1"/>
    <d v="2025-05-23T00:00:00"/>
    <n v="36"/>
    <x v="0"/>
    <n v="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MANgA1ADcANgA4ADEASQBEAEUAQQA0=&amp;Tipo=2&amp;ST=1&amp;nLang=0"/>
  </r>
  <r>
    <x v="8"/>
    <s v="OP-S-004"/>
    <x v="8"/>
    <s v="Sin Auxiliar"/>
    <x v="1"/>
    <d v="2025-05-23T00:00:00"/>
    <n v="43"/>
    <x v="0"/>
    <n v="3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MANgA2ADIAOAAwADYASQBEAEUAQQA6=&amp;Tipo=2&amp;ST=1&amp;nLang=0"/>
  </r>
  <r>
    <x v="9"/>
    <s v="OP-S-001"/>
    <x v="9"/>
    <s v="Sin Auxiliar"/>
    <x v="1"/>
    <d v="2025-05-23T00:00:00"/>
    <n v="26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MANgA2ADcANAA1ADMASQBEAEUAQQA8=&amp;Tipo=2&amp;ST=1&amp;nLang=0"/>
  </r>
  <r>
    <x v="10"/>
    <s v="OP-S-017"/>
    <x v="10"/>
    <s v="Sin Auxiliar"/>
    <x v="1"/>
    <d v="2025-05-23T00:00:00"/>
    <n v="61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NgA1ADkANwAyADAASQBEAEUAQQA8=&amp;Tipo=2&amp;ST=1&amp;nLang=0"/>
  </r>
  <r>
    <x v="11"/>
    <s v="OP-S-126"/>
    <x v="17"/>
    <s v="Sin Auxiliar"/>
    <x v="1"/>
    <d v="2025-05-23T00:00:00"/>
    <n v="30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MANgA3ADEAOQA3ADYASQBEAEUAQQA4=&amp;Tipo=2&amp;ST=1&amp;nLang=0"/>
  </r>
  <r>
    <x v="12"/>
    <s v="OP-S-70"/>
    <x v="12"/>
    <s v="Sin Auxiliar"/>
    <x v="1"/>
    <d v="2025-05-23T00:00:00"/>
    <n v="25"/>
    <x v="0"/>
    <n v="37"/>
    <n v="0"/>
    <n v="0"/>
    <n v="1"/>
    <n v="1"/>
    <n v="0"/>
    <n v="0"/>
    <n v="0"/>
    <n v="49"/>
    <n v="0"/>
    <n v="0"/>
    <n v="0"/>
    <n v="0"/>
    <n v="0"/>
    <n v="0"/>
    <n v="0"/>
    <s v="https://www.clickideacore.com/ClickHTML5/Visit.aspx?ID=//5DDAEwASwAzADMANgA3ADAANwAwADkASQBEAEUAQQA3=&amp;Tipo=2&amp;ST=1&amp;nLang=0"/>
  </r>
  <r>
    <x v="13"/>
    <s v="OP-S-060"/>
    <x v="13"/>
    <s v="Sin Auxiliar"/>
    <x v="1"/>
    <d v="2025-05-23T00:00:00"/>
    <n v="56"/>
    <x v="0"/>
    <n v="4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MANgA3ADAAOAA3ADgASQBEAEUAQQAF=&amp;Tipo=2&amp;ST=1&amp;nLang=0"/>
  </r>
  <r>
    <x v="14"/>
    <s v="OP-S-011"/>
    <x v="14"/>
    <s v="Sin Auxiliar"/>
    <x v="1"/>
    <d v="2025-05-23T00:00:00"/>
    <n v="40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MANgA3ADEANgAyADIASQBEAEUAQQAC=&amp;Tipo=2&amp;ST=1&amp;nLang=0"/>
  </r>
  <r>
    <x v="18"/>
    <s v="OP-S-002"/>
    <x v="6"/>
    <s v="Sin Auxiliar"/>
    <x v="1"/>
    <d v="2025-05-23T00:00:00"/>
    <n v="49"/>
    <x v="0"/>
    <n v="21"/>
    <n v="0"/>
    <n v="0"/>
    <n v="1"/>
    <n v="0"/>
    <n v="0"/>
    <n v="0"/>
    <n v="0"/>
    <n v="21"/>
    <n v="0"/>
    <n v="0"/>
    <n v="0"/>
    <n v="0"/>
    <n v="0"/>
    <n v="0"/>
    <n v="0"/>
    <s v="https://www.clickideacore.com/ClickHTML5/Visit.aspx?ID=//56DAEwASwAzADMANgA3ADAANAA3ADgASQBEAEUAQQA8=&amp;Tipo=2&amp;ST=1&amp;nLang=0"/>
  </r>
  <r>
    <x v="15"/>
    <s v="OP-S-054"/>
    <x v="11"/>
    <s v="Sin Auxiliar"/>
    <x v="1"/>
    <d v="2025-05-23T00:00:00"/>
    <n v="123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MANgA2ADUAMgA5ADYASQBEAEUAQQA5=&amp;Tipo=2&amp;ST=1&amp;nLang=0"/>
  </r>
  <r>
    <x v="19"/>
    <m/>
    <x v="18"/>
    <s v="Sin Auxiliar"/>
    <x v="1"/>
    <d v="2025-05-23T00:00:00"/>
    <n v="124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MANgA2ADUAMgA5ADYASQBEAEUAQQA5=&amp;Tipo=2&amp;ST=1&amp;nLang=0"/>
  </r>
  <r>
    <x v="8"/>
    <s v="OP-S-004"/>
    <x v="8"/>
    <s v="Sin Auxiliar"/>
    <x v="2"/>
    <d v="2025-05-24T00:00:00"/>
    <n v="58"/>
    <x v="0"/>
    <n v="0"/>
    <n v="0"/>
    <n v="0"/>
    <n v="0"/>
    <n v="0"/>
    <n v="0"/>
    <n v="0"/>
    <n v="0"/>
    <n v="0"/>
    <n v="1"/>
    <n v="0"/>
    <n v="13"/>
    <n v="100"/>
    <n v="1"/>
    <n v="0"/>
    <n v="3"/>
    <s v="https://www.clickideacore.com/ClickHTML5/Visit.aspx?ID=//50DAEwASwAzADMANgA4ADQAMwAzADEASQBEAEUAQQAF=&amp;Tipo=2&amp;ST=1&amp;nLang=0"/>
  </r>
  <r>
    <x v="14"/>
    <s v="OP-S-011"/>
    <x v="14"/>
    <s v="Sin Auxiliar"/>
    <x v="2"/>
    <d v="2025-05-24T00:00:00"/>
    <n v="149"/>
    <x v="0"/>
    <n v="0"/>
    <n v="0"/>
    <n v="0"/>
    <n v="0"/>
    <n v="0"/>
    <n v="0"/>
    <n v="0"/>
    <n v="0"/>
    <n v="0"/>
    <n v="1"/>
    <n v="0"/>
    <n v="7"/>
    <n v="74"/>
    <n v="1"/>
    <n v="0"/>
    <n v="6"/>
    <s v="https://www.clickideacore.com/ClickHTML5/Visit.aspx?ID=//5FDAEwASwAzADMANgA4ADQAMAAyADAASQBEAEUAQQA5=&amp;Tipo=2&amp;ST=1&amp;nLang=0"/>
  </r>
  <r>
    <x v="5"/>
    <s v="OP-S-055"/>
    <x v="13"/>
    <s v="Sin Auxiliar"/>
    <x v="3"/>
    <d v="2025-05-25T00:00:00"/>
    <n v="49"/>
    <x v="0"/>
    <n v="0"/>
    <n v="0"/>
    <n v="0"/>
    <n v="0"/>
    <n v="0"/>
    <n v="0"/>
    <n v="0"/>
    <n v="0"/>
    <n v="0"/>
    <n v="0"/>
    <n v="1"/>
    <n v="6"/>
    <n v="15"/>
    <n v="0"/>
    <n v="1"/>
    <n v="0"/>
    <s v="https://www.clickideacore.com/ClickHTML5/Visit.aspx?ID=//5DDAEwASwAzADMANgA5ADYAMgA2ADYASQBEAEUAQQAC=&amp;Tipo=2&amp;ST=1&amp;nLang=0"/>
  </r>
  <r>
    <x v="17"/>
    <s v="OP-S-0010"/>
    <x v="16"/>
    <s v="Sin Auxiliar"/>
    <x v="3"/>
    <d v="2025-05-25T00:00:00"/>
    <n v="33"/>
    <x v="0"/>
    <n v="0"/>
    <n v="0"/>
    <n v="0"/>
    <n v="0"/>
    <n v="0"/>
    <n v="0"/>
    <n v="0"/>
    <n v="0"/>
    <n v="0"/>
    <n v="0"/>
    <n v="1"/>
    <n v="6"/>
    <n v="40"/>
    <n v="0"/>
    <n v="1"/>
    <n v="2"/>
    <s v="https://www.clickideacore.com/ClickHTML5/Visit.aspx?ID=//55DAEwASwAzADMANgA5ADMANgA5ADIASQBEAEUAQQA8=&amp;Tipo=2&amp;ST=1&amp;nLang=0"/>
  </r>
  <r>
    <x v="0"/>
    <s v="OP-S-106"/>
    <x v="0"/>
    <s v="Sin Auxiliar"/>
    <x v="4"/>
    <d v="2025-05-26T00:00:00"/>
    <n v="53"/>
    <x v="0"/>
    <n v="3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MANwAxADgAOQAzADcASQBEAEUAQQA4=&amp;Tipo=2&amp;ST=1&amp;nLang=0"/>
  </r>
  <r>
    <x v="1"/>
    <s v="OP-S-013"/>
    <x v="1"/>
    <s v="Sin Auxiliar"/>
    <x v="4"/>
    <d v="2025-05-26T00:00:00"/>
    <n v="37"/>
    <x v="0"/>
    <n v="7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MANwAxADAAMQAzADgASQBEAEUAQQAC=&amp;Tipo=2&amp;ST=1&amp;nLang=0"/>
  </r>
  <r>
    <x v="2"/>
    <s v="OP-S-009"/>
    <x v="2"/>
    <s v="Sin Auxiliar"/>
    <x v="4"/>
    <d v="2025-05-26T00:00:00"/>
    <n v="78"/>
    <x v="0"/>
    <n v="4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MANwAwADUAOQAyADkASQBEAEUAQQA3=&amp;Tipo=2&amp;ST=1&amp;nLang=0"/>
  </r>
  <r>
    <x v="3"/>
    <s v="OP-S-062"/>
    <x v="3"/>
    <s v="Sin Auxiliar"/>
    <x v="4"/>
    <d v="2025-05-26T00:00:00"/>
    <n v="24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MANwAxADcAOQAwADQASQBEAEUAQQA9=&amp;Tipo=2&amp;ST=1&amp;nLang=0"/>
  </r>
  <r>
    <x v="4"/>
    <s v="OP-S-018"/>
    <x v="4"/>
    <s v="Sin Auxiliar"/>
    <x v="4"/>
    <d v="2025-05-26T00:00:00"/>
    <n v="56"/>
    <x v="0"/>
    <n v="99"/>
    <n v="0"/>
    <n v="0"/>
    <n v="1"/>
    <n v="0"/>
    <n v="0"/>
    <n v="0"/>
    <n v="0"/>
    <n v="50"/>
    <n v="0"/>
    <n v="0"/>
    <n v="0"/>
    <n v="0"/>
    <n v="0"/>
    <n v="0"/>
    <n v="0"/>
    <s v="https://www.clickideacore.com/ClickHTML5/Visit.aspx?ID=//51DAEwASwAzADMANwAwADYANwA2ADUASQBEAEUAQQA1=&amp;Tipo=2&amp;ST=1&amp;nLang=0"/>
  </r>
  <r>
    <x v="5"/>
    <s v="OP-S-055"/>
    <x v="5"/>
    <s v="Sin Auxiliar"/>
    <x v="4"/>
    <d v="2025-05-26T00:00:00"/>
    <n v="27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MANwAxADgANAAwADUASQBEAEUAQQA5=&amp;Tipo=2&amp;ST=1&amp;nLang=0"/>
  </r>
  <r>
    <x v="6"/>
    <s v="OP-S-R-001"/>
    <x v="6"/>
    <s v="Sin Auxiliar"/>
    <x v="4"/>
    <d v="2025-05-26T00:00:00"/>
    <n v="4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FDAEwASwAzADMANwAwADYAOAA2ADcASQBEAEUAQQA9=&amp;Tipo=2&amp;ST=1&amp;nLang=0"/>
  </r>
  <r>
    <x v="7"/>
    <s v="OP-S-010"/>
    <x v="7"/>
    <s v="Sin Auxiliar"/>
    <x v="4"/>
    <d v="2025-05-26T00:00:00"/>
    <n v="36"/>
    <x v="0"/>
    <n v="2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MANgA1ADcANgA4ADEASQBEAEUAQQA0=&amp;Tipo=2&amp;ST=1&amp;nLang=0"/>
  </r>
  <r>
    <x v="8"/>
    <s v="OP-S-004"/>
    <x v="8"/>
    <s v="Sin Auxiliar"/>
    <x v="4"/>
    <d v="2025-05-26T00:00:00"/>
    <n v="30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NwAxADMAMwAzADEASQBEAEUAQQA9=&amp;Tipo=2&amp;ST=1&amp;nLang=0"/>
  </r>
  <r>
    <x v="9"/>
    <s v="OP-S-001"/>
    <x v="9"/>
    <s v="Sin Auxiliar"/>
    <x v="4"/>
    <d v="2025-05-26T00:00:00"/>
    <n v="57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MANwAxADAAMAAyADAASQBEAEUAQQAC=&amp;Tipo=2&amp;ST=1&amp;nLang=0"/>
  </r>
  <r>
    <x v="10"/>
    <s v="OP-S-017"/>
    <x v="10"/>
    <s v="Sin Auxiliar"/>
    <x v="4"/>
    <d v="2025-05-26T00:00:00"/>
    <n v="63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MANwAwADUANgA5ADgASQBEAEUAQQA7=&amp;Tipo=2&amp;ST=1&amp;nLang=0"/>
  </r>
  <r>
    <x v="11"/>
    <s v="OP-S-126"/>
    <x v="17"/>
    <s v="Sin Auxiliar"/>
    <x v="4"/>
    <d v="2025-05-26T00:00:00"/>
    <n v="225"/>
    <x v="0"/>
    <n v="38"/>
    <n v="4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NwAxADgAMgA2ADYASQBEAEUAQQAA=&amp;Tipo=2&amp;ST=1&amp;nLang=0"/>
  </r>
  <r>
    <x v="12"/>
    <s v="OP-S-70"/>
    <x v="12"/>
    <s v="Sin Auxiliar"/>
    <x v="4"/>
    <d v="2025-05-26T00:00:00"/>
    <n v="34"/>
    <x v="0"/>
    <n v="30"/>
    <n v="0"/>
    <n v="0"/>
    <n v="1"/>
    <n v="1"/>
    <n v="0"/>
    <n v="0"/>
    <n v="0"/>
    <n v="30"/>
    <n v="0"/>
    <n v="0"/>
    <n v="0"/>
    <n v="0"/>
    <n v="0"/>
    <n v="0"/>
    <n v="0"/>
    <s v="https://www.clickideacore.com/ClickHTML5/Visit.aspx?ID=//58DAEwASwAzADMANwAxADgAMwA4ADIASQBEAEUAQQA4=&amp;Tipo=2&amp;ST=1&amp;nLang=0"/>
  </r>
  <r>
    <x v="13"/>
    <s v="OP-S-060"/>
    <x v="13"/>
    <s v="Sin Auxiliar"/>
    <x v="4"/>
    <d v="2025-05-26T00:00:00"/>
    <n v="79"/>
    <x v="0"/>
    <n v="3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MANwAxADMANAAwADgASQBEAEUAQQA3=&amp;Tipo=2&amp;ST=1&amp;nLang=0"/>
  </r>
  <r>
    <x v="14"/>
    <s v="OP-S-011"/>
    <x v="14"/>
    <s v="Sin Auxiliar"/>
    <x v="4"/>
    <d v="2025-05-26T00:00:00"/>
    <n v="35"/>
    <x v="0"/>
    <n v="4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NwAxADgAOQAyADkASQBEAEUAQQAB=&amp;Tipo=2&amp;ST=1&amp;nLang=0"/>
  </r>
  <r>
    <x v="18"/>
    <s v="OP-S-002"/>
    <x v="6"/>
    <s v="Sin Auxiliar"/>
    <x v="4"/>
    <d v="2025-05-26T00:00:00"/>
    <n v="64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DDAEwASwAzADMANwAwADkAMgA5ADcASQBEAEUAQQA3=&amp;Tipo=2&amp;ST=1&amp;nLang=0"/>
  </r>
  <r>
    <x v="15"/>
    <s v="OP-S-054"/>
    <x v="16"/>
    <s v="Sin Auxiliar"/>
    <x v="4"/>
    <d v="2025-05-26T00:00:00"/>
    <n v="28"/>
    <x v="0"/>
    <n v="52"/>
    <n v="0"/>
    <n v="0"/>
    <n v="1"/>
    <n v="0"/>
    <n v="0"/>
    <n v="0"/>
    <n v="2"/>
    <n v="0"/>
    <n v="0"/>
    <n v="0"/>
    <n v="0"/>
    <n v="0"/>
    <n v="0"/>
    <n v="0"/>
    <n v="0"/>
    <s v="https://www.clickideacore.com/ClickHTML5/Visit.aspx?ID=//5EDAEwASwAzADMANwAwADIANwAzADMASQBEAEUAQQA0=&amp;Tipo=2&amp;ST=1&amp;nLang=0"/>
  </r>
  <r>
    <x v="19"/>
    <s v="OP-S-055"/>
    <x v="11"/>
    <s v="Sin Auxiliar"/>
    <x v="4"/>
    <d v="2025-05-26T00:00:00"/>
    <n v="2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MANwAwADIANwAzADMASQBEAEUAQQA0=&amp;Tipo=2&amp;ST=1&amp;nLang=0"/>
  </r>
  <r>
    <x v="1"/>
    <s v="OP-S-013"/>
    <x v="1"/>
    <s v="Sin Auxiliar"/>
    <x v="5"/>
    <d v="2025-05-27T00:00:00"/>
    <n v="27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MANwAzADIAMgA2ADEASQBEAEUAQQAE=&amp;Tipo=2&amp;ST=1&amp;nLang=0"/>
  </r>
  <r>
    <x v="2"/>
    <s v="OP-S-009"/>
    <x v="2"/>
    <s v="Sin Auxiliar"/>
    <x v="5"/>
    <d v="2025-05-27T00:00:00"/>
    <n v="44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3"/>
    <s v="OP-S-009"/>
    <x v="3"/>
    <s v="Sin Auxiliar"/>
    <x v="5"/>
    <d v="2025-05-27T00:00:00"/>
    <n v="44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4"/>
    <s v="OP-S-018"/>
    <x v="4"/>
    <s v="Sin Auxiliar"/>
    <x v="5"/>
    <d v="2025-05-27T00:00:00"/>
    <n v="57"/>
    <x v="0"/>
    <n v="6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8DAEwASwAzADMANwAzADYANgAzADcASQBEAEUAQQA9=&amp;Tipo=2&amp;ST=1&amp;nLang=0"/>
  </r>
  <r>
    <x v="6"/>
    <s v="OP-S-R-001"/>
    <x v="6"/>
    <s v="Sin Auxiliar"/>
    <x v="5"/>
    <d v="2025-05-27T00:00:00"/>
    <n v="40"/>
    <x v="0"/>
    <n v="40"/>
    <n v="0"/>
    <n v="0"/>
    <n v="1"/>
    <n v="0"/>
    <n v="0"/>
    <n v="0"/>
    <n v="0"/>
    <n v="40"/>
    <n v="0"/>
    <n v="0"/>
    <n v="0"/>
    <n v="0"/>
    <n v="0"/>
    <n v="0"/>
    <n v="0"/>
    <s v="https://www.clickideacore.com/ClickHTML5/Visit.aspx?ID=//53DAEwASwAzADMANwAzADAANQAyADUASQBEAEUAQQA0=&amp;Tipo=2&amp;ST=1&amp;nLang=0"/>
  </r>
  <r>
    <x v="7"/>
    <s v="OP-S-010"/>
    <x v="7"/>
    <s v="Sin Auxiliar"/>
    <x v="5"/>
    <d v="2025-05-27T00:00:00"/>
    <n v="36"/>
    <x v="0"/>
    <n v="2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5DAEwASwAzADMANgA1ADcANgA4ADEASQBEAEUAQQA0=&amp;Tipo=2&amp;ST=1&amp;nLang=0"/>
  </r>
  <r>
    <x v="8"/>
    <s v="OP-S-004"/>
    <x v="8"/>
    <s v="Sin Auxiliar"/>
    <x v="5"/>
    <d v="2025-05-27T00:00:00"/>
    <n v="31"/>
    <x v="0"/>
    <n v="3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MANwAzADIAMAA1ADkASQBEAEUAQQAD=&amp;Tipo=2&amp;ST=1&amp;nLang=0"/>
  </r>
  <r>
    <x v="9"/>
    <s v="OP-S-001"/>
    <x v="9"/>
    <s v="Sin Auxiliar"/>
    <x v="5"/>
    <d v="2025-05-27T00:00:00"/>
    <n v="44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MANwAzADYAMQA1ADkASQBEAEUAQQAB=&amp;Tipo=2&amp;ST=1&amp;nLang=0"/>
  </r>
  <r>
    <x v="10"/>
    <s v="OP-S-017"/>
    <x v="10"/>
    <s v="Sin Auxiliar"/>
    <x v="5"/>
    <d v="2025-05-27T00:00:00"/>
    <n v="39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NgAzADQASQBEAEUAQQA3=&amp;Tipo=2&amp;ST=1&amp;nLang=0"/>
  </r>
  <r>
    <x v="11"/>
    <s v="OP-S-126"/>
    <x v="17"/>
    <s v="Sin Auxiliar"/>
    <x v="5"/>
    <d v="2025-05-27T00:00:00"/>
    <n v="29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NwAzADcAMQAyADQASQBEAEUAQQAD=&amp;Tipo=2&amp;ST=1&amp;nLang=0"/>
  </r>
  <r>
    <x v="12"/>
    <s v="OP-S-70"/>
    <x v="12"/>
    <s v="Sin Auxiliar"/>
    <x v="5"/>
    <d v="2025-05-27T00:00:00"/>
    <n v="27"/>
    <x v="0"/>
    <n v="29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5DAEwASwAzADMANwA0ADAAMwAxADEASQBEAEUAQQA8=&amp;Tipo=2&amp;ST=1&amp;nLang=0"/>
  </r>
  <r>
    <x v="13"/>
    <s v="OP-S-060"/>
    <x v="0"/>
    <s v="Sin Auxiliar"/>
    <x v="5"/>
    <d v="2025-05-27T00:00:00"/>
    <n v="36"/>
    <x v="0"/>
    <n v="5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DDAEwASwAzADMANwAzADgANQAzADAASQBEAEUAQQAF=&amp;Tipo=2&amp;ST=1&amp;nLang=0"/>
  </r>
  <r>
    <x v="14"/>
    <s v="OP-S-011"/>
    <x v="14"/>
    <s v="Sin Auxiliar"/>
    <x v="5"/>
    <d v="2025-05-27T00:00:00"/>
    <n v="42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NwA0ADIAMgA2ADgASQBEAEUAQQAE=&amp;Tipo=2&amp;ST=1&amp;nLang=0"/>
  </r>
  <r>
    <x v="18"/>
    <s v="OP-S-002"/>
    <x v="6"/>
    <s v="Sin Auxiliar"/>
    <x v="5"/>
    <d v="2025-05-27T00:00:00"/>
    <n v="38"/>
    <x v="0"/>
    <n v="16"/>
    <n v="0"/>
    <n v="0"/>
    <n v="1"/>
    <n v="0"/>
    <n v="0"/>
    <n v="0"/>
    <n v="0"/>
    <n v="16"/>
    <n v="0"/>
    <n v="0"/>
    <n v="0"/>
    <n v="0"/>
    <n v="0"/>
    <n v="0"/>
    <n v="0"/>
    <s v="https://www.clickideacore.com/ClickHTML5/Visit.aspx?ID=//5CDAEwASwAzADMANwA0ADEAMgAyADQASQBEAEUAQQA1=&amp;Tipo=2&amp;ST=1&amp;nLang=0"/>
  </r>
  <r>
    <x v="15"/>
    <s v="OP-S-054"/>
    <x v="16"/>
    <s v="Sin Auxiliar"/>
    <x v="5"/>
    <d v="2025-05-27T00:00:00"/>
    <n v="28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0"/>
  </r>
  <r>
    <x v="0"/>
    <s v="OP-S-055"/>
    <x v="18"/>
    <s v="Sin Auxiliar"/>
    <x v="5"/>
    <d v="2025-05-27T00:00:00"/>
    <n v="28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1"/>
  </r>
  <r>
    <x v="16"/>
    <s v="OP-S-056"/>
    <x v="13"/>
    <s v="Sin Auxiliar"/>
    <x v="5"/>
    <d v="2025-05-27T00:00:00"/>
    <n v="28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2"/>
  </r>
  <r>
    <x v="5"/>
    <s v="OP-S-057"/>
    <x v="18"/>
    <s v="Sin Auxiliar"/>
    <x v="5"/>
    <d v="2025-05-27T00:00:00"/>
    <n v="28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3"/>
  </r>
  <r>
    <x v="16"/>
    <s v="OP-S-058"/>
    <x v="5"/>
    <s v="Sin Auxiliar"/>
    <x v="5"/>
    <d v="2025-05-27T00:00:00"/>
    <n v="28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4"/>
  </r>
  <r>
    <x v="19"/>
    <s v="OP-S-059"/>
    <x v="18"/>
    <s v="Sin Auxiliar"/>
    <x v="5"/>
    <d v="2025-05-27T00:00:00"/>
    <n v="28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5"/>
  </r>
  <r>
    <x v="16"/>
    <s v="OP-S-060"/>
    <x v="11"/>
    <s v="Sin Auxiliar"/>
    <x v="5"/>
    <d v="2025-05-27T00:00:00"/>
    <n v="2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yADYAMAA3ADgASQBEAEUAQQAD=&amp;Tipo=2&amp;ST=1&amp;nLang=6"/>
  </r>
  <r>
    <x v="0"/>
    <s v="OP-S-106"/>
    <x v="0"/>
    <s v="Sin Auxiliar"/>
    <x v="6"/>
    <d v="2025-05-28T00:00:00"/>
    <n v="36"/>
    <x v="0"/>
    <n v="4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MANwA2ADMANQA1ADYASQBEAEUAQQAB=&amp;Tipo=2&amp;ST=1&amp;nLang=0"/>
  </r>
  <r>
    <x v="1"/>
    <s v="OP-S-013"/>
    <x v="1"/>
    <s v="Sin Auxiliar"/>
    <x v="6"/>
    <d v="2025-05-28T00:00:00"/>
    <n v="30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NwA1ADQAMgA3ADkASQBEAEUAQQA3=&amp;Tipo=2&amp;ST=1&amp;nLang=0"/>
  </r>
  <r>
    <x v="2"/>
    <s v="OP-S-009"/>
    <x v="2"/>
    <s v="Sin Auxiliar"/>
    <x v="6"/>
    <d v="2025-05-28T00:00:00"/>
    <n v="37"/>
    <x v="0"/>
    <n v="3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MANwA1ADIAMQAyADgASQBEAEUAQQAC=&amp;Tipo=2&amp;ST=1&amp;nLang=0"/>
  </r>
  <r>
    <x v="3"/>
    <s v="OP-S-009"/>
    <x v="3"/>
    <s v="Sin Auxiliar"/>
    <x v="6"/>
    <d v="2025-05-28T00:00:00"/>
    <n v="44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4"/>
    <s v="OP-S-018"/>
    <x v="4"/>
    <s v="Sin Auxiliar"/>
    <x v="6"/>
    <d v="2025-05-28T00:00:00"/>
    <n v="45"/>
    <x v="0"/>
    <n v="9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DDAEwASwAzADMANwA1ADYANgA4ADEASQBEAEUAQQAE=&amp;Tipo=2&amp;ST=1&amp;nLang=0"/>
  </r>
  <r>
    <x v="5"/>
    <s v="OP-S-055"/>
    <x v="5"/>
    <s v="Sin Auxiliar"/>
    <x v="6"/>
    <d v="2025-05-28T00:00:00"/>
    <n v="29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MANwA2ADEANAA3ADUASQBEAEUAQQAF=&amp;Tipo=2&amp;ST=1&amp;nLang=0"/>
  </r>
  <r>
    <x v="6"/>
    <s v="OP-S-R-001"/>
    <x v="6"/>
    <s v="Sin Auxiliar"/>
    <x v="6"/>
    <d v="2025-05-28T00:00:00"/>
    <n v="3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CDAEwASwAzADMANwA1ADYAMAA3ADcASQBEAEUAQQA3=&amp;Tipo=2&amp;ST=1&amp;nLang=0"/>
  </r>
  <r>
    <x v="7"/>
    <s v="OP-S-010"/>
    <x v="7"/>
    <s v="Sin Auxiliar"/>
    <x v="6"/>
    <d v="2025-05-28T00:00:00"/>
    <n v="302"/>
    <x v="0"/>
    <n v="3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EDAEwASwAzADMANwA0ADkAOAA4ADUASQBEAEUAQQA0=&amp;Tipo=2&amp;ST=1&amp;nLang=0"/>
  </r>
  <r>
    <x v="8"/>
    <s v="OP-S-004"/>
    <x v="8"/>
    <s v="Sin Auxiliar"/>
    <x v="6"/>
    <d v="2025-05-28T00:00:00"/>
    <n v="31"/>
    <x v="0"/>
    <n v="5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NwA1ADkAMwA1ADcASQBEAEUAQQA7=&amp;Tipo=2&amp;ST=1&amp;nLang=0"/>
  </r>
  <r>
    <x v="9"/>
    <s v="OP-S-001"/>
    <x v="9"/>
    <s v="Sin Auxiliar"/>
    <x v="6"/>
    <d v="2025-05-28T00:00:00"/>
    <n v="40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NwA2ADEAMQAxADcASQBEAEUAQQAF=&amp;Tipo=2&amp;ST=1&amp;nLang=0"/>
  </r>
  <r>
    <x v="10"/>
    <s v="OP-S-017"/>
    <x v="10"/>
    <s v="Sin Auxiliar"/>
    <x v="6"/>
    <d v="2025-05-28T00:00:00"/>
    <n v="73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MANwA1ADIANAA2ADYASQBEAEUAQQA2=&amp;Tipo=2&amp;ST=1&amp;nLang=0"/>
  </r>
  <r>
    <x v="11"/>
    <s v="OP-S-126"/>
    <x v="17"/>
    <s v="Sin Auxiliar"/>
    <x v="6"/>
    <d v="2025-05-28T00:00:00"/>
    <n v="2360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1ADgAOQAwADcASQBEAEUAQQA3=&amp;Tipo=2&amp;ST=1&amp;nLang=0"/>
  </r>
  <r>
    <x v="12"/>
    <s v="OP-S-70"/>
    <x v="12"/>
    <s v="Sin Auxiliar"/>
    <x v="6"/>
    <d v="2025-05-28T00:00:00"/>
    <n v="94"/>
    <x v="0"/>
    <n v="50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ADAEwASwAzADMANwA2ADIAMQA2ADAASQBEAEUAQQA5=&amp;Tipo=2&amp;ST=1&amp;nLang=0"/>
  </r>
  <r>
    <x v="13"/>
    <s v="OP-S-060"/>
    <x v="13"/>
    <s v="Sin Auxiliar"/>
    <x v="6"/>
    <d v="2025-05-28T00:00:00"/>
    <n v="87"/>
    <x v="0"/>
    <n v="5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8DAEwASwAzADMANwA2ADEAOQA5ADcASQBEAEUAQQA6=&amp;Tipo=2&amp;ST=1&amp;nLang=0"/>
  </r>
  <r>
    <x v="14"/>
    <s v="OP-S-011"/>
    <x v="14"/>
    <s v="Sin Auxiliar"/>
    <x v="6"/>
    <d v="2025-05-28T00:00:00"/>
    <n v="42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NwA0ADIAMgA2ADgASQBEAEUAQQAE=&amp;Tipo=2&amp;ST=1&amp;nLang=0"/>
  </r>
  <r>
    <x v="18"/>
    <s v="OP-S-002"/>
    <x v="6"/>
    <s v="Sin Auxiliar"/>
    <x v="6"/>
    <d v="2025-05-28T00:00:00"/>
    <n v="55"/>
    <x v="0"/>
    <n v="11"/>
    <n v="0"/>
    <n v="0"/>
    <n v="1"/>
    <n v="0"/>
    <n v="0"/>
    <n v="0"/>
    <n v="0"/>
    <n v="11"/>
    <n v="0"/>
    <n v="0"/>
    <n v="0"/>
    <n v="0"/>
    <n v="0"/>
    <n v="0"/>
    <n v="0"/>
    <s v="https://www.clickideacore.com/ClickHTML5/Visit.aspx?ID=//50DAEwASwAzADMANwA1ADkAOAA5ADkASQBEAEUAQQA9=&amp;Tipo=2&amp;ST=1&amp;nLang=0"/>
  </r>
  <r>
    <x v="15"/>
    <s v="OP-S-054"/>
    <x v="16"/>
    <s v="Sin Auxiliar"/>
    <x v="6"/>
    <d v="2025-05-28T00:00:00"/>
    <n v="24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MANwA0ADkANQAyADEASQBEAEUAQQAE=&amp;Tipo=2&amp;ST=1&amp;nLang=0"/>
  </r>
  <r>
    <x v="19"/>
    <s v="OP-S-055"/>
    <x v="11"/>
    <s v="Sin Auxiliar"/>
    <x v="6"/>
    <d v="2025-05-28T00:00:00"/>
    <n v="25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MANwA0ADkANQAyADEASQBEAEUAQQAE=&amp;Tipo=2&amp;ST=1&amp;nLang=0"/>
  </r>
  <r>
    <x v="0"/>
    <s v="OP-S-106"/>
    <x v="0"/>
    <s v="Sin Auxiliar"/>
    <x v="7"/>
    <d v="2025-05-29T00:00:00"/>
    <n v="41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MANwA4ADUANwAzADQASQBEAEUAQQA1=&amp;Tipo=2&amp;ST=1&amp;nLang=0"/>
  </r>
  <r>
    <x v="1"/>
    <s v="OP-S-013"/>
    <x v="1"/>
    <s v="Sin Auxiliar"/>
    <x v="7"/>
    <d v="2025-05-29T00:00:00"/>
    <n v="43"/>
    <x v="0"/>
    <n v="4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MANwA3ADYAMwAxADAASQBEAEUAQQAF=&amp;Tipo=2&amp;ST=1&amp;nLang=0"/>
  </r>
  <r>
    <x v="2"/>
    <s v="OP-S-009"/>
    <x v="2"/>
    <s v="Sin Auxiliar"/>
    <x v="7"/>
    <d v="2025-05-29T00:00:00"/>
    <n v="59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NwA3ADMAOQA3ADUASQBEAEUAQQA5=&amp;Tipo=2&amp;ST=1&amp;nLang=0"/>
  </r>
  <r>
    <x v="3"/>
    <s v="OP-S-009"/>
    <x v="3"/>
    <s v="Sin Auxiliar"/>
    <x v="7"/>
    <d v="2025-05-29T00:00:00"/>
    <n v="44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4"/>
    <s v="OP-S-018"/>
    <x v="4"/>
    <s v="Sin Auxiliar"/>
    <x v="7"/>
    <d v="2025-05-29T00:00:00"/>
    <n v="64"/>
    <x v="0"/>
    <n v="85"/>
    <n v="0"/>
    <n v="0"/>
    <n v="1"/>
    <n v="0"/>
    <n v="0"/>
    <n v="0"/>
    <n v="0"/>
    <n v="50"/>
    <n v="0"/>
    <n v="0"/>
    <n v="0"/>
    <n v="0"/>
    <n v="0"/>
    <n v="0"/>
    <n v="0"/>
    <s v="https://www.clickideacore.com/ClickHTML5/Visit.aspx?ID=//50DAEwASwAzADMANwA3ADcANwAyADcASQBEAEUAQQAC=&amp;Tipo=2&amp;ST=1&amp;nLang=0"/>
  </r>
  <r>
    <x v="5"/>
    <s v="OP-S-055"/>
    <x v="5"/>
    <s v="Sin Auxiliar"/>
    <x v="7"/>
    <d v="2025-05-29T00:00:00"/>
    <n v="25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4ADMAMAAwADEASQBEAEUAQQA2=&amp;Tipo=2&amp;ST=1&amp;nLang=0"/>
  </r>
  <r>
    <x v="6"/>
    <s v="OP-S-R-001"/>
    <x v="6"/>
    <s v="Sin Auxiliar"/>
    <x v="7"/>
    <d v="2025-05-29T00:00:00"/>
    <n v="36"/>
    <x v="0"/>
    <n v="34"/>
    <n v="0"/>
    <n v="0"/>
    <n v="1"/>
    <n v="0"/>
    <n v="0"/>
    <n v="0"/>
    <n v="0"/>
    <n v="34"/>
    <n v="0"/>
    <n v="0"/>
    <n v="0"/>
    <n v="0"/>
    <n v="0"/>
    <n v="0"/>
    <n v="0"/>
    <s v="https://www.clickideacore.com/ClickHTML5/Visit.aspx?ID=//52DAEwASwAzADMANwA3ADcAOQAzADMASQBEAEUAQQA5=&amp;Tipo=2&amp;ST=1&amp;nLang=0"/>
  </r>
  <r>
    <x v="7"/>
    <s v="OP-S-010"/>
    <x v="7"/>
    <s v="Sin Auxiliar"/>
    <x v="6"/>
    <d v="2025-05-28T00:00:00"/>
    <n v="302"/>
    <x v="0"/>
    <n v="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EDAEwASwAzADMANwA0ADkAOAA4ADUASQBEAEUAQQA0=&amp;Tipo=2&amp;ST=1&amp;nLang=0"/>
  </r>
  <r>
    <x v="8"/>
    <s v="OP-S-004"/>
    <x v="8"/>
    <s v="Sin Auxiliar"/>
    <x v="7"/>
    <d v="2025-05-29T00:00:00"/>
    <n v="36"/>
    <x v="0"/>
    <n v="5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NwA4ADEAOQAzADQASQBEAEUAQQAC=&amp;Tipo=2&amp;ST=1&amp;nLang=0"/>
  </r>
  <r>
    <x v="9"/>
    <s v="OP-S-001"/>
    <x v="9"/>
    <s v="Sin Auxiliar"/>
    <x v="7"/>
    <d v="2025-05-29T00:00:00"/>
    <n v="26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MANwA3ADYAMAAxADQASQBEAEUAQQAD=&amp;Tipo=2&amp;ST=1&amp;nLang=0"/>
  </r>
  <r>
    <x v="10"/>
    <s v="OP-S-017"/>
    <x v="10"/>
    <s v="Sin Auxiliar"/>
    <x v="7"/>
    <d v="2025-05-29T00:00:00"/>
    <n v="44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3ADkAMgA5ADQASQBEAEUAQQA2=&amp;Tipo=2&amp;ST=1&amp;nLang=0"/>
  </r>
  <r>
    <x v="11"/>
    <s v="OP-S-126"/>
    <x v="17"/>
    <s v="Sin Auxiliar"/>
    <x v="7"/>
    <d v="2025-05-29T00:00:00"/>
    <n v="39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MANwA3ADkAMwAyADAASQBEAEUAQQA5=&amp;Tipo=2&amp;ST=1&amp;nLang=0"/>
  </r>
  <r>
    <x v="12"/>
    <s v="OP-S-70"/>
    <x v="12"/>
    <s v="Sin Auxiliar"/>
    <x v="7"/>
    <d v="2025-05-29T00:00:00"/>
    <n v="39"/>
    <x v="0"/>
    <n v="60"/>
    <n v="0"/>
    <n v="0"/>
    <n v="1"/>
    <n v="1"/>
    <n v="0"/>
    <n v="1"/>
    <n v="0"/>
    <n v="60"/>
    <n v="0"/>
    <n v="0"/>
    <n v="0"/>
    <n v="0"/>
    <n v="0"/>
    <n v="0"/>
    <n v="0"/>
    <s v="https://www.clickideacore.com/ClickHTML5/Visit.aspx?ID=//5BDAEwASwAzADMANwA4ADQANwAzADUASQBEAEUAQQA0=&amp;Tipo=2&amp;ST=1&amp;nLang=0"/>
  </r>
  <r>
    <x v="13"/>
    <s v="OP-S-060"/>
    <x v="13"/>
    <s v="Sin Auxiliar"/>
    <x v="7"/>
    <d v="2025-05-29T00:00:00"/>
    <n v="66"/>
    <x v="0"/>
    <n v="3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MANwA4ADEAOQA4ADYASQBEAEUAQQA4=&amp;Tipo=2&amp;ST=1&amp;nLang=0"/>
  </r>
  <r>
    <x v="14"/>
    <s v="OP-S-011"/>
    <x v="14"/>
    <s v="Sin Auxiliar"/>
    <x v="7"/>
    <d v="2025-05-29T00:00:00"/>
    <n v="36"/>
    <x v="0"/>
    <n v="2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4ADUAOQAwADEASQBEAEUAQQAC=&amp;Tipo=2&amp;ST=1&amp;nLang=0"/>
  </r>
  <r>
    <x v="18"/>
    <s v="OP-S-002"/>
    <x v="6"/>
    <s v="Sin Auxiliar"/>
    <x v="7"/>
    <d v="2025-05-29T00:00:00"/>
    <n v="42"/>
    <x v="0"/>
    <n v="17"/>
    <n v="0"/>
    <n v="0"/>
    <n v="1"/>
    <n v="0"/>
    <n v="0"/>
    <n v="0"/>
    <n v="0"/>
    <n v="17"/>
    <n v="0"/>
    <n v="0"/>
    <n v="0"/>
    <n v="0"/>
    <n v="0"/>
    <n v="0"/>
    <n v="0"/>
    <s v="https://www.clickideacore.com/ClickHTML5/Visit.aspx?ID=//51DAEwASwAzADMANwA3ADcANQAwADgASQBEAEUAQQAE=&amp;Tipo=2&amp;ST=1&amp;nLang=0"/>
  </r>
  <r>
    <x v="19"/>
    <s v="OP-S-055"/>
    <x v="11"/>
    <s v="Sin Auxiliar"/>
    <x v="7"/>
    <d v="2025-05-29T00:00:00"/>
    <n v="25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MANwA0ADkANQAyADEASQBEAEUAQQAE=&amp;Tipo=2&amp;ST=1&amp;nLang=0"/>
  </r>
  <r>
    <x v="15"/>
    <s v="OP-S-056"/>
    <x v="16"/>
    <s v="Sin Auxiliar"/>
    <x v="7"/>
    <d v="2025-05-29T00:00:00"/>
    <n v="26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MANwA0ADkANQAyADEASQBEAEUAQQAE=&amp;Tipo=2&amp;ST=1&amp;nLang=1"/>
  </r>
  <r>
    <x v="0"/>
    <s v="OP-S-106"/>
    <x v="0"/>
    <s v="Sin Auxiliar"/>
    <x v="8"/>
    <d v="2025-05-30T00:00:00"/>
    <n v="39"/>
    <x v="0"/>
    <n v="4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DDAEwASwAzADMAOAAwADgAOAAwADgASQBEAEUAQQAE=&amp;Tipo=2&amp;ST=1&amp;nLang=0"/>
  </r>
  <r>
    <x v="1"/>
    <s v="OP-S-013"/>
    <x v="1"/>
    <s v="Sin Auxiliar"/>
    <x v="8"/>
    <d v="2025-05-30T00:00:00"/>
    <n v="38"/>
    <x v="0"/>
    <n v="9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NwA5ADkAOAA5ADIASQBEAEUAQQAA=&amp;Tipo=2&amp;ST=1&amp;nLang=0"/>
  </r>
  <r>
    <x v="2"/>
    <s v="OP-S-009"/>
    <x v="2"/>
    <s v="Sin Auxiliar"/>
    <x v="8"/>
    <d v="2025-05-30T00:00:00"/>
    <n v="40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MANwA5ADcANQA1ADAASQBEAEUAQQA1=&amp;Tipo=2&amp;ST=1&amp;nLang=0"/>
  </r>
  <r>
    <x v="3"/>
    <s v="OP-S-009"/>
    <x v="3"/>
    <s v="Sin Auxiliar"/>
    <x v="8"/>
    <d v="2025-05-30T00:00:00"/>
    <n v="44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4"/>
    <s v="OP-S-018"/>
    <x v="4"/>
    <s v="Sin Auxiliar"/>
    <x v="8"/>
    <d v="2025-05-30T00:00:00"/>
    <n v="39"/>
    <x v="0"/>
    <n v="8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ADAEwASwAzADMAOAAwADAAMgA2ADEASQBEAEUAQQA9=&amp;Tipo=2&amp;ST=1&amp;nLang=0"/>
  </r>
  <r>
    <x v="5"/>
    <s v="OP-S-055"/>
    <x v="5"/>
    <s v="Sin Auxiliar"/>
    <x v="8"/>
    <d v="2025-05-30T00:00:00"/>
    <n v="32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MAOAAwADgANgAxADIASQBEAEUAQQA2=&amp;Tipo=2&amp;ST=1&amp;nLang=0"/>
  </r>
  <r>
    <x v="6"/>
    <s v="OP-S-R-001"/>
    <x v="6"/>
    <s v="Sin Auxiliar"/>
    <x v="8"/>
    <d v="2025-05-30T00:00:00"/>
    <n v="3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5DAEwASwAzADMAOAAwADEAMwA0ADEASQBEAEUAQQA5=&amp;Tipo=2&amp;ST=1&amp;nLang=0"/>
  </r>
  <r>
    <x v="7"/>
    <s v="OP-S-010"/>
    <x v="7"/>
    <s v="Sin Auxiliar"/>
    <x v="8"/>
    <d v="2025-05-30T00:00:00"/>
    <n v="302"/>
    <x v="0"/>
    <n v="1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EDAEwASwAzADMANwA0ADkAOAA4ADUASQBEAEUAQQA0=&amp;Tipo=2&amp;ST=1&amp;nLang=0"/>
  </r>
  <r>
    <x v="8"/>
    <s v="OP-S-004"/>
    <x v="8"/>
    <s v="Sin Auxiliar"/>
    <x v="8"/>
    <d v="2025-05-30T00:00:00"/>
    <n v="53"/>
    <x v="0"/>
    <n v="4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MAOAAwADAAMgA3ADUASQBEAEUAQQA3=&amp;Tipo=2&amp;ST=1&amp;nLang=0"/>
  </r>
  <r>
    <x v="9"/>
    <s v="OP-S-001"/>
    <x v="9"/>
    <s v="Sin Auxiliar"/>
    <x v="8"/>
    <d v="2025-05-30T00:00:00"/>
    <n v="89"/>
    <x v="0"/>
    <n v="6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OAAwADAAMgA2ADkASQBEAEUAQQA4=&amp;Tipo=2&amp;ST=1&amp;nLang=0"/>
  </r>
  <r>
    <x v="10"/>
    <s v="OP-S-017"/>
    <x v="10"/>
    <s v="Sin Auxiliar"/>
    <x v="8"/>
    <d v="2025-05-30T00:00:00"/>
    <n v="49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MANwA5ADcAMAA2ADgASQBEAEUAQQA8=&amp;Tipo=2&amp;ST=1&amp;nLang=0"/>
  </r>
  <r>
    <x v="11"/>
    <s v="OP-S-126"/>
    <x v="17"/>
    <s v="Sin Auxiliar"/>
    <x v="8"/>
    <d v="2025-05-30T00:00:00"/>
    <n v="91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OAAwADQANgAwADEASQBEAEUAQQA7=&amp;Tipo=2&amp;ST=1&amp;nLang=0"/>
  </r>
  <r>
    <x v="12"/>
    <s v="OP-S-70"/>
    <x v="12"/>
    <s v="Sin Auxiliar"/>
    <x v="8"/>
    <d v="2025-05-30T00:00:00"/>
    <n v="32"/>
    <x v="0"/>
    <n v="44"/>
    <n v="0"/>
    <n v="0"/>
    <n v="1"/>
    <n v="1"/>
    <n v="0"/>
    <n v="0"/>
    <n v="0"/>
    <n v="49"/>
    <n v="0"/>
    <n v="0"/>
    <n v="0"/>
    <n v="0"/>
    <n v="0"/>
    <n v="0"/>
    <n v="0"/>
    <s v="https://www.clickideacore.com/ClickHTML5/Visit.aspx?ID=//57DAEwASwAzADMAOAAwADcAMQAxADgASQBEAEUAQQAE=&amp;Tipo=2&amp;ST=1&amp;nLang=0"/>
  </r>
  <r>
    <x v="13"/>
    <s v="OP-S-060"/>
    <x v="13"/>
    <s v="Sin Auxiliar"/>
    <x v="8"/>
    <d v="2025-05-30T00:00:00"/>
    <n v="162"/>
    <x v="0"/>
    <n v="4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MAOAAwADgAMQA3ADkASQBEAEUAQQAD=&amp;Tipo=2&amp;ST=1&amp;nLang=0"/>
  </r>
  <r>
    <x v="14"/>
    <s v="OP-S-011"/>
    <x v="19"/>
    <s v="Sin Auxiliar"/>
    <x v="8"/>
    <d v="2025-05-30T00:00:00"/>
    <n v="34"/>
    <x v="0"/>
    <n v="2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AAwADgANwA1ADgASQBEAEUAQQA9=&amp;Tipo=2&amp;ST=1&amp;nLang=0"/>
  </r>
  <r>
    <x v="18"/>
    <s v="OP-S-002"/>
    <x v="6"/>
    <s v="Sin Auxiliar"/>
    <x v="8"/>
    <d v="2025-05-30T00:00:00"/>
    <n v="46"/>
    <x v="0"/>
    <n v="21"/>
    <n v="0"/>
    <n v="0"/>
    <n v="1"/>
    <n v="0"/>
    <n v="0"/>
    <n v="0"/>
    <n v="0"/>
    <n v="21"/>
    <n v="0"/>
    <n v="0"/>
    <n v="0"/>
    <n v="0"/>
    <n v="0"/>
    <n v="0"/>
    <n v="0"/>
    <s v="https://www.clickideacore.com/ClickHTML5/Visit.aspx?ID=//5ADAEwASwAzADMAOAAwADQANQA5ADcASQBEAEUAQQA6=&amp;Tipo=2&amp;ST=1&amp;nLang=0"/>
  </r>
  <r>
    <x v="15"/>
    <s v="OP-S-054"/>
    <x v="16"/>
    <s v="Sin Auxiliar"/>
    <x v="8"/>
    <d v="2025-05-30T00:00:00"/>
    <n v="24"/>
    <x v="0"/>
    <n v="5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MANwA5ADQAOQA5ADUASQBEAEUAQQAD=&amp;Tipo=2&amp;ST=1&amp;nLang=0"/>
  </r>
  <r>
    <x v="16"/>
    <s v="OP-S-055"/>
    <x v="14"/>
    <s v="Sin Auxiliar"/>
    <x v="8"/>
    <d v="2025-05-30T00:00:00"/>
    <n v="25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5ADQAOQA5ADUASQBEAEUAQQAD=&amp;Tipo=2&amp;ST=1&amp;nLang=1"/>
  </r>
  <r>
    <x v="19"/>
    <s v="OP-S-056"/>
    <x v="18"/>
    <s v="Sin Auxiliar"/>
    <x v="8"/>
    <d v="2025-05-30T00:00:00"/>
    <n v="26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5ADQAOQA5ADUASQBEAEUAQQAD=&amp;Tipo=2&amp;ST=1&amp;nLang=2"/>
  </r>
  <r>
    <x v="16"/>
    <s v="OP-S-057"/>
    <x v="11"/>
    <s v="Sin Auxiliar"/>
    <x v="8"/>
    <d v="2025-05-30T00:00:00"/>
    <n v="27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NwA5ADQAOQA5ADUASQBEAEUAQQAD=&amp;Tipo=2&amp;ST=1&amp;nLang=3"/>
  </r>
  <r>
    <x v="8"/>
    <s v="OP-S-004"/>
    <x v="8"/>
    <s v="Sin Auxiliar"/>
    <x v="9"/>
    <d v="2025-05-31T00:00:00"/>
    <n v="97"/>
    <x v="0"/>
    <n v="0"/>
    <n v="0"/>
    <n v="0"/>
    <n v="0"/>
    <n v="0"/>
    <n v="1"/>
    <n v="0"/>
    <n v="0"/>
    <n v="0"/>
    <n v="1"/>
    <n v="11"/>
    <n v="31"/>
    <n v="0"/>
    <n v="1"/>
    <n v="0"/>
    <n v="3"/>
    <s v="https://www.clickideacore.com/ClickHTML5/Visit.aspx?ID=//5EDAEwASwAzADMAOAAyADAANgAzADYASQBEAEUAQQA9=&amp;Tipo=2&amp;ST=1&amp;nLang=0"/>
  </r>
  <r>
    <x v="14"/>
    <s v="OP-S-011"/>
    <x v="20"/>
    <s v="Sin Auxiliar"/>
    <x v="9"/>
    <d v="2025-05-31T00:00:00"/>
    <n v="84"/>
    <x v="0"/>
    <n v="0"/>
    <n v="0"/>
    <n v="0"/>
    <n v="1"/>
    <n v="0"/>
    <n v="0"/>
    <n v="0"/>
    <n v="0"/>
    <n v="0"/>
    <n v="1"/>
    <n v="0"/>
    <n v="24"/>
    <n v="0"/>
    <n v="1"/>
    <n v="0"/>
    <n v="0"/>
    <s v="https://www.clickideacore.com/ClickHTML5/Visit.aspx?ID=//5EDAEwASwAzADMAOAAxADMAMgA0ADkASQBEAEUAQQA7=&amp;Tipo=2&amp;ST=1&amp;nLang=0"/>
  </r>
  <r>
    <x v="5"/>
    <s v="OP-S-055"/>
    <x v="13"/>
    <s v="Sin Auxiliar"/>
    <x v="10"/>
    <d v="2025-06-01T00:00:00"/>
    <n v="76"/>
    <x v="0"/>
    <n v="0"/>
    <n v="0"/>
    <n v="0"/>
    <n v="0"/>
    <n v="0"/>
    <n v="0"/>
    <n v="0"/>
    <n v="0"/>
    <n v="53"/>
    <n v="0"/>
    <n v="1"/>
    <n v="63"/>
    <n v="30"/>
    <n v="0"/>
    <n v="1"/>
    <n v="0"/>
    <s v="https://www.clickideacore.com/ClickHTML5/Visit.aspx?ID=//52DAEwASwAzADMAOAAzADAANwAzADUASQBEAEUAQQAA=&amp;Tipo=2&amp;ST=1&amp;nLang=0"/>
  </r>
  <r>
    <x v="8"/>
    <s v="OP-S-004"/>
    <x v="8"/>
    <s v="Sin Auxiliar"/>
    <x v="10"/>
    <d v="2025-06-01T00:00:00"/>
    <n v="105"/>
    <x v="0"/>
    <n v="0"/>
    <n v="0"/>
    <n v="0"/>
    <n v="0"/>
    <n v="0"/>
    <n v="0"/>
    <n v="0"/>
    <n v="0"/>
    <n v="60"/>
    <n v="0"/>
    <n v="1"/>
    <n v="60"/>
    <n v="0"/>
    <n v="0"/>
    <n v="0"/>
    <n v="0"/>
    <s v="https://www.clickideacore.com/ClickHTML5/Visit.aspx?ID=//5FDAEwASwAzADMAOAAyADkAMwA4ADEASQBEAEUAQQAA=&amp;Tipo=2&amp;ST=1&amp;nLang=0"/>
  </r>
  <r>
    <x v="0"/>
    <s v="OP-S-106"/>
    <x v="0"/>
    <s v="Sin Auxiliar"/>
    <x v="11"/>
    <d v="2025-06-02T00:00:00"/>
    <n v="39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MAOAA0ADEANQA2ADkASQBEAEUAQQA8=&amp;Tipo=2&amp;ST=1&amp;nLang=0"/>
  </r>
  <r>
    <x v="1"/>
    <s v="OP-S-013"/>
    <x v="1"/>
    <s v="Sin Auxiliar"/>
    <x v="11"/>
    <d v="2025-06-02T00:00:00"/>
    <n v="27"/>
    <x v="0"/>
    <n v="8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MAOAAzADgAMgA0ADQASQBEAEUAQQA9=&amp;Tipo=2&amp;ST=1&amp;nLang=0"/>
  </r>
  <r>
    <x v="2"/>
    <s v="OP-S-009"/>
    <x v="21"/>
    <s v="Sin Auxiliar"/>
    <x v="11"/>
    <d v="2025-06-02T00:00:00"/>
    <n v="100"/>
    <x v="0"/>
    <n v="3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MAOAAzADYAMAAwADMASQBEAEUAQQAF=&amp;Tipo=2&amp;ST=1&amp;nLang=0"/>
  </r>
  <r>
    <x v="3"/>
    <s v="OP-S-009"/>
    <x v="3"/>
    <s v="Sin Auxiliar"/>
    <x v="11"/>
    <d v="2025-06-02T00:00:00"/>
    <n v="44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NwAzADQAMAAxADgASQBEAEUAQQA6=&amp;Tipo=2&amp;ST=1&amp;nLang=0"/>
  </r>
  <r>
    <x v="4"/>
    <s v="OP-S-018"/>
    <x v="4"/>
    <s v="Sin Auxiliar"/>
    <x v="11"/>
    <d v="2025-06-02T00:00:00"/>
    <n v="72"/>
    <x v="0"/>
    <n v="103"/>
    <n v="6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ADAEwASwAzADMAOAAzADgAMQA0ADQASQBEAEUAQQAA=&amp;Tipo=2&amp;ST=1&amp;nLang=0"/>
  </r>
  <r>
    <x v="5"/>
    <s v="OP-S-055"/>
    <x v="5"/>
    <s v="Sin Auxiliar"/>
    <x v="11"/>
    <d v="2025-06-02T00:00:00"/>
    <n v="24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AAzADkANQAzADAASQBEAEUAQQAB=&amp;Tipo=2&amp;ST=1&amp;nLang=0"/>
  </r>
  <r>
    <x v="19"/>
    <s v="OP-SDYR-001"/>
    <x v="9"/>
    <s v="Sin Auxiliar"/>
    <x v="11"/>
    <d v="2025-06-02T00:00:00"/>
    <n v="41"/>
    <x v="0"/>
    <n v="7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AA0ADEANQA2ADcASQBEAEUAQQA9=&amp;Tipo=2&amp;ST=1&amp;nLang=0"/>
  </r>
  <r>
    <x v="6"/>
    <s v="OP-S-R-001"/>
    <x v="6"/>
    <s v="Sin Auxiliar"/>
    <x v="11"/>
    <d v="2025-06-02T00:00:00"/>
    <n v="34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ADAEwASwAzADMAOAAzADcANgAxADMASQBEAEUAQQAE=&amp;Tipo=2&amp;ST=1&amp;nLang=0"/>
  </r>
  <r>
    <x v="7"/>
    <s v="OP-S-010"/>
    <x v="7"/>
    <s v="Sin Auxiliar"/>
    <x v="11"/>
    <d v="2025-06-02T00:00:00"/>
    <n v="86"/>
    <x v="0"/>
    <n v="4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FDAEwASwAzADMAOAAzADcAMwA5ADAASQBEAEUAQQA9=&amp;Tipo=2&amp;ST=1&amp;nLang=0"/>
  </r>
  <r>
    <x v="8"/>
    <s v="OP-S-004"/>
    <x v="8"/>
    <s v="Sin Auxiliar"/>
    <x v="11"/>
    <d v="2025-06-02T00:00:00"/>
    <n v="44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OAAzADkANgA3ADgASQBEAEUAQQAD=&amp;Tipo=2&amp;ST=1&amp;nLang=0"/>
  </r>
  <r>
    <x v="10"/>
    <s v="OP-S-017"/>
    <x v="10"/>
    <s v="Sin Auxiliar"/>
    <x v="11"/>
    <d v="2025-06-02T00:00:00"/>
    <n v="61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MAOAAzADUAOQA5ADkASQBEAEUAQQAA=&amp;Tipo=2&amp;ST=1&amp;nLang=0"/>
  </r>
  <r>
    <x v="12"/>
    <s v="OP-S-70"/>
    <x v="12"/>
    <s v="Sin Auxiliar"/>
    <x v="11"/>
    <d v="2025-06-02T00:00:00"/>
    <n v="42"/>
    <x v="0"/>
    <n v="26"/>
    <n v="0"/>
    <n v="0"/>
    <n v="1"/>
    <n v="1"/>
    <n v="0"/>
    <n v="0"/>
    <n v="0"/>
    <n v="39"/>
    <n v="0"/>
    <n v="0"/>
    <n v="0"/>
    <n v="0"/>
    <n v="0"/>
    <n v="0"/>
    <n v="0"/>
    <s v="https://www.clickideacore.com/ClickHTML5/Visit.aspx?ID=//58DAEwASwAzADMAOAA0ADAANwA3ADMASQBEAEUAQQA8=&amp;Tipo=2&amp;ST=1&amp;nLang=0"/>
  </r>
  <r>
    <x v="13"/>
    <s v="OP-S-060"/>
    <x v="13"/>
    <s v="Sin Auxiliar"/>
    <x v="11"/>
    <d v="2025-06-02T00:00:00"/>
    <n v="162"/>
    <x v="0"/>
    <n v="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EDAEwASwAzADMAOAAwADgAMQA3ADkASQBEAEUAQQAD=&amp;Tipo=2&amp;ST=1&amp;nLang=0"/>
  </r>
  <r>
    <x v="14"/>
    <s v="OP-S-011"/>
    <x v="14"/>
    <s v="Sin Auxiliar"/>
    <x v="11"/>
    <d v="2025-06-02T00:00:00"/>
    <n v="34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OAA0ADEAMQAxADYASQBEAEUAQQA1=&amp;Tipo=2&amp;ST=1&amp;nLang=0"/>
  </r>
  <r>
    <x v="18"/>
    <s v="OP-S-002"/>
    <x v="6"/>
    <s v="Sin Auxiliar"/>
    <x v="11"/>
    <d v="2025-06-02T00:00:00"/>
    <n v="40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1DAEwASwAzADMAOAAzADkANQA0ADAASQBEAEUAQQAD=&amp;Tipo=2&amp;ST=1&amp;nLang=0"/>
  </r>
  <r>
    <x v="15"/>
    <s v="OP-S-054"/>
    <x v="16"/>
    <s v="Sin Auxiliar"/>
    <x v="11"/>
    <d v="2025-06-02T00:00:00"/>
    <n v="35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OAAzADQANwAxADIASQBEAEUAQQA6=&amp;Tipo=2&amp;ST=1&amp;nLang=0"/>
  </r>
  <r>
    <x v="16"/>
    <s v="OP-S-055"/>
    <x v="2"/>
    <s v="Sin Auxiliar"/>
    <x v="11"/>
    <d v="2025-06-02T00:00:00"/>
    <n v="36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AAzADQANwAxADIASQBEAEUAQQA6=&amp;Tipo=2&amp;ST=1&amp;nLang=0"/>
  </r>
  <r>
    <x v="9"/>
    <s v="OP-S-056"/>
    <x v="18"/>
    <s v="Sin Auxiliar"/>
    <x v="11"/>
    <d v="2025-06-02T00:00:00"/>
    <n v="37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AAzADQANwAxADIASQBEAEUAQQA6=&amp;Tipo=2&amp;ST=1&amp;nLang=0"/>
  </r>
  <r>
    <x v="0"/>
    <s v="OP-S-106"/>
    <x v="0"/>
    <s v="Sin Auxiliar"/>
    <x v="12"/>
    <d v="2025-06-03T00:00:00"/>
    <n v="38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FDAEwASwAzADMAOAA2ADQAMQA0ADYASQBEAEUAQQA0=&amp;Tipo=2&amp;ST=1&amp;nLang=0"/>
  </r>
  <r>
    <x v="1"/>
    <s v="OP-S-013"/>
    <x v="1"/>
    <s v="Sin Auxiliar"/>
    <x v="12"/>
    <d v="2025-06-03T00:00:00"/>
    <n v="32"/>
    <x v="0"/>
    <n v="75"/>
    <n v="0"/>
    <n v="0"/>
    <n v="1"/>
    <n v="0"/>
    <n v="0"/>
    <n v="0"/>
    <n v="0"/>
    <n v="0"/>
    <n v="0"/>
    <n v="0"/>
    <n v="0"/>
    <n v="8"/>
    <n v="0"/>
    <n v="0"/>
    <n v="0"/>
    <s v="https://www.clickideacore.com/ClickHTML5/Visit.aspx?ID=//53DAEwASwAzADMAOAA1ADQAMAA5ADgASQBEAEUAQQA6=&amp;Tipo=2&amp;ST=1&amp;nLang=0"/>
  </r>
  <r>
    <x v="2"/>
    <s v="OP-S-009"/>
    <x v="21"/>
    <s v="Sin Auxiliar"/>
    <x v="12"/>
    <d v="2025-06-03T00:00:00"/>
    <n v="78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MAOAA1ADQAMgAxADEASQBEAEUAQQA6=&amp;Tipo=2&amp;ST=1&amp;nLang=0"/>
  </r>
  <r>
    <x v="3"/>
    <s v="OP-S-062"/>
    <x v="3"/>
    <s v="Sin Auxiliar"/>
    <x v="12"/>
    <d v="2025-06-03T00:00:00"/>
    <n v="37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OAA2ADQAMAA5ADAASQBEAEUAQQA3=&amp;Tipo=2&amp;ST=1&amp;nLang=0"/>
  </r>
  <r>
    <x v="4"/>
    <s v="OP-S-018"/>
    <x v="4"/>
    <s v="Sin Auxiliar"/>
    <x v="12"/>
    <d v="2025-06-03T00:00:00"/>
    <n v="54"/>
    <x v="0"/>
    <n v="7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MAOAA1ADQAMwA1ADAASQBEAEUAQQA8=&amp;Tipo=2&amp;ST=1&amp;nLang=0"/>
  </r>
  <r>
    <x v="19"/>
    <s v="OP-SDYR-001"/>
    <x v="9"/>
    <s v="Sin Auxiliar"/>
    <x v="12"/>
    <d v="2025-06-03T00:00:00"/>
    <n v="27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OAA2ADIANgAyADgASQBEAEUAQQA7=&amp;Tipo=2&amp;ST=1&amp;nLang=0"/>
  </r>
  <r>
    <x v="6"/>
    <s v="OP-S-R-001"/>
    <x v="6"/>
    <s v="Sin Auxiliar"/>
    <x v="12"/>
    <d v="2025-06-03T00:00:00"/>
    <n v="36"/>
    <x v="0"/>
    <n v="42"/>
    <n v="0"/>
    <n v="0"/>
    <n v="1"/>
    <n v="0"/>
    <n v="0"/>
    <n v="0"/>
    <n v="0"/>
    <n v="42"/>
    <n v="0"/>
    <n v="0"/>
    <n v="0"/>
    <n v="0"/>
    <n v="0"/>
    <n v="0"/>
    <n v="0"/>
    <s v="https://www.clickideacore.com/ClickHTML5/Visit.aspx?ID=//5CDAEwASwAzADMAOAA1ADYANwAxADIASQBEAEUAQQA8=&amp;Tipo=2&amp;ST=1&amp;nLang=0"/>
  </r>
  <r>
    <x v="7"/>
    <s v="OP-S-010"/>
    <x v="7"/>
    <s v="Sin Auxiliar"/>
    <x v="12"/>
    <d v="2025-06-03T00:00:00"/>
    <n v="37"/>
    <x v="0"/>
    <n v="2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MAOAA1ADcANwA2ADIASQBEAEUAQQA3=&amp;Tipo=2&amp;ST=1&amp;nLang=0"/>
  </r>
  <r>
    <x v="8"/>
    <s v="OP-S-004"/>
    <x v="8"/>
    <s v="Sin Auxiliar"/>
    <x v="12"/>
    <d v="2025-06-03T00:00:00"/>
    <n v="61"/>
    <x v="0"/>
    <n v="4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MAOAA1ADYAOQA3ADcASQBEAEUAQQAA=&amp;Tipo=2&amp;ST=1&amp;nLang=0"/>
  </r>
  <r>
    <x v="10"/>
    <s v="OP-S-017"/>
    <x v="10"/>
    <s v="Sin Auxiliar"/>
    <x v="12"/>
    <d v="2025-06-03T00:00:00"/>
    <n v="42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MAOAA1ADcANQA2ADEASQBEAEUAQQAF=&amp;Tipo=2&amp;ST=1&amp;nLang=0"/>
  </r>
  <r>
    <x v="11"/>
    <s v="OP-S-126"/>
    <x v="17"/>
    <s v="Sin Auxiliar"/>
    <x v="12"/>
    <d v="2025-06-03T00:00:00"/>
    <n v="138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AA1ADgANAA1ADgASQBEAEUAQQA7=&amp;Tipo=2&amp;ST=1&amp;nLang=0"/>
  </r>
  <r>
    <x v="12"/>
    <s v="OP-S-70"/>
    <x v="12"/>
    <s v="Sin Auxiliar"/>
    <x v="12"/>
    <d v="2025-06-03T00:00:00"/>
    <n v="26"/>
    <x v="0"/>
    <n v="56"/>
    <n v="0"/>
    <n v="0"/>
    <n v="1"/>
    <n v="1"/>
    <n v="0"/>
    <n v="1"/>
    <n v="0"/>
    <n v="56"/>
    <n v="0"/>
    <n v="0"/>
    <n v="0"/>
    <n v="0"/>
    <n v="0"/>
    <n v="0"/>
    <n v="0"/>
    <s v="https://www.clickideacore.com/ClickHTML5/Visit.aspx?ID=//5CDAEwASwAzADMAOAA2ADIAOAA2ADQASQBEAEUAQQAE=&amp;Tipo=2&amp;ST=1&amp;nLang=0"/>
  </r>
  <r>
    <x v="13"/>
    <s v="OP-S-060"/>
    <x v="13"/>
    <s v="Sin Auxiliar"/>
    <x v="12"/>
    <d v="2025-06-03T00:00:00"/>
    <n v="91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MAOAA2ADIAMgA0ADMASQBEAEUAQQAC=&amp;Tipo=2&amp;ST=1&amp;nLang=0"/>
  </r>
  <r>
    <x v="14"/>
    <s v="OP-S-011"/>
    <x v="14"/>
    <s v="Sin Auxiliar"/>
    <x v="12"/>
    <d v="2025-06-03T00:00:00"/>
    <n v="57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OAA2ADAAOAA3ADYASQBEAEUAQQAC=&amp;Tipo=2&amp;ST=1&amp;nLang=0"/>
  </r>
  <r>
    <x v="18"/>
    <s v="OP-S-002"/>
    <x v="6"/>
    <s v="Sin Auxiliar"/>
    <x v="12"/>
    <d v="2025-06-03T00:00:00"/>
    <n v="39"/>
    <x v="0"/>
    <n v="18"/>
    <n v="0"/>
    <n v="0"/>
    <n v="1"/>
    <n v="0"/>
    <n v="0"/>
    <n v="0"/>
    <n v="0"/>
    <n v="18"/>
    <n v="0"/>
    <n v="0"/>
    <n v="0"/>
    <n v="0"/>
    <n v="0"/>
    <n v="0"/>
    <n v="0"/>
    <s v="https://www.clickideacore.com/ClickHTML5/Visit.aspx?ID=//5ADAEwASwAzADMAOAA1ADQAMgAxADAASQBEAEUAQQAD=&amp;Tipo=2&amp;ST=1&amp;nLang=0"/>
  </r>
  <r>
    <x v="15"/>
    <s v="OP-S-054"/>
    <x v="16"/>
    <s v="Sin Auxiliar"/>
    <x v="12"/>
    <d v="2025-06-03T00:00:00"/>
    <n v="23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MAOAA1ADAAMQA1ADMASQBEAEUAQQA0=&amp;Tipo=2&amp;ST=1&amp;nLang=0"/>
  </r>
  <r>
    <x v="5"/>
    <s v="OP-S-055"/>
    <x v="18"/>
    <s v="Sin Auxiliar"/>
    <x v="12"/>
    <d v="2025-06-03T00:00:00"/>
    <n v="24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AA1ADAAMQA1ADMASQBEAEUAQQA0=&amp;Tipo=2&amp;ST=1&amp;nLang=0"/>
  </r>
  <r>
    <x v="16"/>
    <s v="OP-S-056"/>
    <x v="5"/>
    <s v="Sin Auxiliar"/>
    <x v="12"/>
    <d v="2025-06-03T00:00:00"/>
    <n v="25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AA1ADAAMQA1ADMASQBEAEUAQQA0=&amp;Tipo=2&amp;ST=1&amp;nLang=0"/>
  </r>
  <r>
    <x v="16"/>
    <s v="OP-S-057"/>
    <x v="2"/>
    <s v="Sin Auxiliar"/>
    <x v="12"/>
    <d v="2025-06-03T00:00:00"/>
    <n v="26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AA1ADAAMQA1ADMASQBEAEUAQQA0=&amp;Tipo=2&amp;ST=1&amp;nLang=0"/>
  </r>
  <r>
    <x v="0"/>
    <s v="OP-S-106"/>
    <x v="0"/>
    <s v="Sin Auxiliar"/>
    <x v="13"/>
    <d v="2025-06-04T00:00:00"/>
    <n v="58"/>
    <x v="0"/>
    <n v="4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MAOAA4ADcANQAzADMASQBEAEUAQQA1=&amp;Tipo=2&amp;ST=1&amp;nLang=0"/>
  </r>
  <r>
    <x v="1"/>
    <s v="OP-S-013"/>
    <x v="1"/>
    <s v="Sin Auxiliar"/>
    <x v="13"/>
    <d v="2025-06-04T00:00:00"/>
    <n v="32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MAOAA3ADYAMQAzADAASQBEAEUAQQA0=&amp;Tipo=2&amp;ST=1&amp;nLang=0"/>
  </r>
  <r>
    <x v="2"/>
    <s v="OP-S-009"/>
    <x v="21"/>
    <s v="Sin Auxiliar"/>
    <x v="13"/>
    <d v="2025-06-04T00:00:00"/>
    <n v="58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MAOAA3ADQAMwA1ADkASQBEAEUAQQA8=&amp;Tipo=2&amp;ST=1&amp;nLang=0"/>
  </r>
  <r>
    <x v="3"/>
    <s v="OP-S-062"/>
    <x v="3"/>
    <s v="Sin Auxiliar"/>
    <x v="13"/>
    <d v="2025-06-04T00:00:00"/>
    <n v="29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AA4ADcANgA2ADYASQBEAEUAQQA4=&amp;Tipo=2&amp;ST=1&amp;nLang=0"/>
  </r>
  <r>
    <x v="4"/>
    <s v="OP-S-018"/>
    <x v="4"/>
    <s v="Sin Auxiliar"/>
    <x v="13"/>
    <d v="2025-06-04T00:00:00"/>
    <n v="66"/>
    <x v="0"/>
    <n v="9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FDAEwASwAzADMAOAA4ADAANgA3ADkASQBEAEUAQQA1=&amp;Tipo=2&amp;ST=1&amp;nLang=0"/>
  </r>
  <r>
    <x v="5"/>
    <s v="OP-S-055"/>
    <x v="5"/>
    <s v="Sin Auxiliar"/>
    <x v="13"/>
    <d v="2025-06-04T00:00:00"/>
    <n v="26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MAOAA4ADUAMQAzADUASQBEAEUAQQAE=&amp;Tipo=2&amp;ST=1&amp;nLang=0"/>
  </r>
  <r>
    <x v="19"/>
    <s v="OP-SDYR-001"/>
    <x v="9"/>
    <s v="Sin Auxiliar"/>
    <x v="13"/>
    <d v="2025-06-04T00:00:00"/>
    <n v="23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AA4ADcANQAyADMASQBEAEUAQQAD=&amp;Tipo=2&amp;ST=1&amp;nLang=0"/>
  </r>
  <r>
    <x v="20"/>
    <s v="OP-S-DYR-009"/>
    <x v="14"/>
    <s v="Sin Auxiliar"/>
    <x v="13"/>
    <d v="2025-06-04T00:00:00"/>
    <n v="42"/>
    <x v="0"/>
    <n v="2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OAA4ADAAOAA3ADYASQBEAEUAQQAA=&amp;Tipo=2&amp;ST=1&amp;nLang=0"/>
  </r>
  <r>
    <x v="6"/>
    <s v="OP-S-R-001"/>
    <x v="6"/>
    <s v="Sin Auxiliar"/>
    <x v="13"/>
    <d v="2025-06-04T00:00:00"/>
    <n v="39"/>
    <x v="0"/>
    <n v="34"/>
    <n v="0"/>
    <n v="0"/>
    <n v="1"/>
    <n v="0"/>
    <n v="0"/>
    <n v="0"/>
    <n v="0"/>
    <n v="34"/>
    <n v="0"/>
    <n v="0"/>
    <n v="0"/>
    <n v="0"/>
    <n v="0"/>
    <n v="0"/>
    <n v="0"/>
    <s v="https://www.clickideacore.com/ClickHTML5/Visit.aspx?ID=//5BDAEwASwAzADMAOAA4ADAAMAAxADEASQBEAEUAQQAE=&amp;Tipo=2&amp;ST=1&amp;nLang=0"/>
  </r>
  <r>
    <x v="7"/>
    <s v="OP-S-010"/>
    <x v="22"/>
    <s v="Sin Auxiliar"/>
    <x v="13"/>
    <d v="2025-06-04T00:00:00"/>
    <n v="109"/>
    <x v="0"/>
    <n v="2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MAOAA3ADUANwAyADMASQBEAEUAQQAE=&amp;Tipo=2&amp;ST=1&amp;nLang=0"/>
  </r>
  <r>
    <x v="8"/>
    <s v="OP-S-004"/>
    <x v="8"/>
    <s v="Sin Auxiliar"/>
    <x v="13"/>
    <d v="2025-06-04T00:00:00"/>
    <n v="61"/>
    <x v="0"/>
    <n v="4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MAOAA1ADYAOQA3ADcASQBEAEUAQQAA=&amp;Tipo=2&amp;ST=1&amp;nLang=0"/>
  </r>
  <r>
    <x v="10"/>
    <s v="OP-S-017"/>
    <x v="10"/>
    <s v="Sin Auxiliar"/>
    <x v="13"/>
    <d v="2025-06-04T00:00:00"/>
    <n v="54"/>
    <x v="0"/>
    <n v="7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MAOAA3ADcAMwA3ADEASQBEAEUAQQAD=&amp;Tipo=2&amp;ST=1&amp;nLang=0"/>
  </r>
  <r>
    <x v="11"/>
    <s v="OP-S-126"/>
    <x v="17"/>
    <s v="Sin Auxiliar"/>
    <x v="13"/>
    <d v="2025-06-04T00:00:00"/>
    <n v="25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OAA3ADUAMQA3ADQASQBEAEUAQQAA=&amp;Tipo=2&amp;ST=1&amp;nLang=0"/>
  </r>
  <r>
    <x v="12"/>
    <s v="OP-S-70"/>
    <x v="12"/>
    <s v="Sin Auxiliar"/>
    <x v="13"/>
    <d v="2025-06-04T00:00:00"/>
    <n v="23"/>
    <x v="0"/>
    <n v="50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EDAEwASwAzADMAOAA4ADYAMwA3ADkASQBEAEUAQQAC=&amp;Tipo=2&amp;ST=1&amp;nLang=0"/>
  </r>
  <r>
    <x v="13"/>
    <s v="OP-S-060"/>
    <x v="13"/>
    <s v="Sin Auxiliar"/>
    <x v="13"/>
    <d v="2025-06-04T00:00:00"/>
    <n v="56"/>
    <x v="0"/>
    <n v="4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MAOAA3ADkAOAA2ADcASQBEAEUAQQAB=&amp;Tipo=2&amp;ST=1&amp;nLang=0"/>
  </r>
  <r>
    <x v="18"/>
    <s v="OP-S-002"/>
    <x v="6"/>
    <s v="Sin Auxiliar"/>
    <x v="13"/>
    <d v="2025-06-04T00:00:00"/>
    <n v="38"/>
    <x v="0"/>
    <n v="25"/>
    <n v="0"/>
    <n v="0"/>
    <n v="1"/>
    <n v="0"/>
    <n v="0"/>
    <n v="0"/>
    <n v="0"/>
    <n v="25"/>
    <n v="0"/>
    <n v="0"/>
    <n v="0"/>
    <n v="0"/>
    <n v="0"/>
    <n v="0"/>
    <n v="0"/>
    <s v="https://www.clickideacore.com/ClickHTML5/Visit.aspx?ID=//55DAEwASwAzADMAOAA4ADAAMgA3ADAASQBEAEUAQQA6=&amp;Tipo=2&amp;ST=1&amp;nLang=0"/>
  </r>
  <r>
    <x v="15"/>
    <s v="OP-S-054"/>
    <x v="16"/>
    <s v="Sin Auxiliar"/>
    <x v="13"/>
    <d v="2025-06-04T00:00:00"/>
    <n v="24"/>
    <x v="0"/>
    <n v="5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MAOAA3ADMAOQAxADkASQBEAEUAQQA5=&amp;Tipo=2&amp;ST=1&amp;nLang=0"/>
  </r>
  <r>
    <x v="14"/>
    <s v="OP-S-055"/>
    <x v="18"/>
    <s v="Sin Auxiliar"/>
    <x v="13"/>
    <d v="2025-06-04T00:00:00"/>
    <n v="25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OAA3ADMAOQAxADkASQBEAEUAQQA5=&amp;Tipo=2&amp;ST=1&amp;nLang=0"/>
  </r>
  <r>
    <x v="0"/>
    <s v="OP-S-106"/>
    <x v="0"/>
    <s v="Sin Auxiliar"/>
    <x v="14"/>
    <d v="2025-06-05T00:00:00"/>
    <n v="44"/>
    <x v="0"/>
    <n v="4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5DAEwASwAzADMAOQAxADEAOQAzADQASQBEAEUAQQA0=&amp;Tipo=2&amp;ST=1&amp;nLang=0"/>
  </r>
  <r>
    <x v="1"/>
    <s v="OP-S-013"/>
    <x v="1"/>
    <s v="Sin Auxiliar"/>
    <x v="14"/>
    <d v="2025-06-05T00:00:00"/>
    <n v="31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MAOQAwADAANgA3ADMASQBEAEUAQQA7=&amp;Tipo=2&amp;ST=1&amp;nLang=0"/>
  </r>
  <r>
    <x v="2"/>
    <s v="OP-S-009"/>
    <x v="21"/>
    <s v="Sin Auxiliar"/>
    <x v="14"/>
    <d v="2025-06-05T00:00:00"/>
    <n v="77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OAA5ADYAOAA2ADQASQBEAEUAQQA0=&amp;Tipo=2&amp;ST=1&amp;nLang=0"/>
  </r>
  <r>
    <x v="3"/>
    <s v="OP-S-062"/>
    <x v="3"/>
    <s v="Sin Auxiliar"/>
    <x v="14"/>
    <d v="2025-06-05T00:00:00"/>
    <n v="29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AA4ADcANgA2ADYASQBEAEUAQQA4=&amp;Tipo=2&amp;ST=1&amp;nLang=0"/>
  </r>
  <r>
    <x v="4"/>
    <s v="OP-S-018"/>
    <x v="4"/>
    <s v="Sin Auxiliar"/>
    <x v="14"/>
    <d v="2025-06-05T00:00:00"/>
    <n v="66"/>
    <x v="0"/>
    <n v="7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6DAEwASwAzADMAOQAwADUAOAA1ADcASQBEAEUAQQA6=&amp;Tipo=2&amp;ST=1&amp;nLang=0"/>
  </r>
  <r>
    <x v="5"/>
    <s v="OP-S-055"/>
    <x v="5"/>
    <s v="Sin Auxiliar"/>
    <x v="14"/>
    <d v="2025-06-05T00:00:00"/>
    <n v="26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MAOQAxADAAMgA0ADAASQBEAEUAQQAF=&amp;Tipo=2&amp;ST=1&amp;nLang=0"/>
  </r>
  <r>
    <x v="19"/>
    <s v="OP-SDYR-001"/>
    <x v="9"/>
    <s v="Sin Auxiliar"/>
    <x v="14"/>
    <d v="2025-06-05T00:00:00"/>
    <n v="31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MAOQAxADEAMQA4ADEASQBEAEUAQQA7=&amp;Tipo=2&amp;ST=1&amp;nLang=0"/>
  </r>
  <r>
    <x v="6"/>
    <s v="OP-S-R-001"/>
    <x v="6"/>
    <s v="Sin Auxiliar"/>
    <x v="14"/>
    <d v="2025-06-05T00:00:00"/>
    <n v="38"/>
    <x v="0"/>
    <n v="34"/>
    <n v="0"/>
    <n v="0"/>
    <n v="1"/>
    <n v="0"/>
    <n v="0"/>
    <n v="0"/>
    <n v="0"/>
    <n v="34"/>
    <n v="0"/>
    <n v="0"/>
    <n v="0"/>
    <n v="0"/>
    <n v="0"/>
    <n v="0"/>
    <n v="0"/>
    <s v="https://www.clickideacore.com/ClickHTML5/Visit.aspx?ID=//56DAEwASwAzADMAOQAwADAANgA3ADUASQBEAEUAQQAE=&amp;Tipo=2&amp;ST=1&amp;nLang=0"/>
  </r>
  <r>
    <x v="7"/>
    <s v="OP-S-010"/>
    <x v="7"/>
    <s v="Sin Auxiliar"/>
    <x v="14"/>
    <d v="2025-06-05T00:00:00"/>
    <n v="48"/>
    <x v="0"/>
    <n v="1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MAOAA5ADcAOQA0ADQASQBEAEUAQQA9=&amp;Tipo=2&amp;ST=1&amp;nLang=0"/>
  </r>
  <r>
    <x v="8"/>
    <s v="OP-S-004"/>
    <x v="8"/>
    <s v="Sin Auxiliar"/>
    <x v="14"/>
    <d v="2025-06-05T00:00:00"/>
    <n v="26"/>
    <x v="0"/>
    <n v="4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MAOQAwADUANQAxADMASQBEAEUAQQA7=&amp;Tipo=2&amp;ST=1&amp;nLang=0"/>
  </r>
  <r>
    <x v="11"/>
    <s v="OP-S-126"/>
    <x v="17"/>
    <s v="Sin Auxiliar"/>
    <x v="14"/>
    <d v="2025-06-05T00:00:00"/>
    <n v="49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OQAwADMANAAxADEASQBEAEUAQQA9=&amp;Tipo=2&amp;ST=1&amp;nLang=0"/>
  </r>
  <r>
    <x v="12"/>
    <s v="OP-S-70"/>
    <x v="12"/>
    <s v="Sin Auxiliar"/>
    <x v="14"/>
    <d v="2025-06-05T00:00:00"/>
    <n v="36"/>
    <x v="0"/>
    <n v="36"/>
    <n v="0"/>
    <n v="0"/>
    <n v="1"/>
    <n v="1"/>
    <n v="0"/>
    <n v="1"/>
    <n v="0"/>
    <n v="30"/>
    <n v="0"/>
    <n v="0"/>
    <n v="0"/>
    <n v="0"/>
    <n v="0"/>
    <n v="0"/>
    <n v="0"/>
    <s v="https://www.clickideacore.com/ClickHTML5/Visit.aspx?ID=//5EDAEwASwAzADMAOQAxADAAMQA2ADUASQBEAEUAQQA8=&amp;Tipo=2&amp;ST=1&amp;nLang=0"/>
  </r>
  <r>
    <x v="13"/>
    <s v="OP-S-060"/>
    <x v="13"/>
    <s v="Sin Auxiliar"/>
    <x v="14"/>
    <d v="2025-06-05T00:00:00"/>
    <n v="68"/>
    <x v="0"/>
    <n v="2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EDAEwASwAzADMAOAA5ADkANgAzADEASQBEAEUAQQA5=&amp;Tipo=2&amp;ST=1&amp;nLang=0"/>
  </r>
  <r>
    <x v="14"/>
    <s v="OP-S-011"/>
    <x v="14"/>
    <s v="Sin Auxiliar"/>
    <x v="14"/>
    <d v="2025-06-05T00:00:00"/>
    <n v="42"/>
    <x v="0"/>
    <n v="2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OQAxADIAMAA4ADAASQBEAEUAQQA7=&amp;Tipo=2&amp;ST=1&amp;nLang=0"/>
  </r>
  <r>
    <x v="18"/>
    <s v="OP-S-002"/>
    <x v="6"/>
    <s v="Sin Auxiliar"/>
    <x v="14"/>
    <d v="2025-06-05T00:00:00"/>
    <n v="52"/>
    <x v="0"/>
    <n v="17"/>
    <n v="0"/>
    <n v="0"/>
    <n v="1"/>
    <n v="0"/>
    <n v="0"/>
    <n v="0"/>
    <n v="0"/>
    <n v="17"/>
    <n v="0"/>
    <n v="0"/>
    <n v="0"/>
    <n v="0"/>
    <n v="0"/>
    <n v="0"/>
    <n v="0"/>
    <s v="https://www.clickideacore.com/ClickHTML5/Visit.aspx?ID=//57DAEwASwAzADMAOQAwADMAOAAwADkASQBEAEUAQQA0=&amp;Tipo=2&amp;ST=1&amp;nLang=0"/>
  </r>
  <r>
    <x v="15"/>
    <s v="OP-S-054"/>
    <x v="10"/>
    <s v="Sin Auxiliar"/>
    <x v="14"/>
    <d v="2025-06-05T00:00:00"/>
    <n v="104"/>
    <x v="0"/>
    <n v="3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OAA5ADkAOQAyADMASQBEAEUAQQA9=&amp;Tipo=2&amp;ST=1&amp;nLang=0"/>
  </r>
  <r>
    <x v="16"/>
    <s v="OP-S-055"/>
    <x v="16"/>
    <s v="Sin Auxiliar"/>
    <x v="14"/>
    <d v="2025-06-05T00:00:00"/>
    <n v="105"/>
    <x v="0"/>
    <n v="7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OAA5ADkAOQAyADMASQBEAEUAQQA9=&amp;Tipo=2&amp;ST=1&amp;nLang=0"/>
  </r>
  <r>
    <x v="10"/>
    <s v="OP-S-056"/>
    <x v="18"/>
    <s v="Sin Auxiliar"/>
    <x v="14"/>
    <d v="2025-06-05T00:00:00"/>
    <n v="106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MAOAA5ADkAOQAyADMASQBEAEUAQQA9=&amp;Tipo=2&amp;ST=1&amp;nLang=0"/>
  </r>
  <r>
    <x v="0"/>
    <s v="OP-S-106"/>
    <x v="0"/>
    <s v="Sin Auxiliar"/>
    <x v="15"/>
    <d v="2025-06-06T00:00:00"/>
    <n v="40"/>
    <x v="0"/>
    <n v="3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MAOQAzADUAMwA0ADcASQBEAEUAQQAA=&amp;Tipo=2&amp;ST=1&amp;nLang=0"/>
  </r>
  <r>
    <x v="1"/>
    <s v="OP-S-013"/>
    <x v="1"/>
    <s v="Sin Auxiliar"/>
    <x v="15"/>
    <d v="2025-06-06T00:00:00"/>
    <n v="30"/>
    <x v="0"/>
    <n v="9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MAOQAyADgAMAAwADAASQBEAEUAQQA3=&amp;Tipo=2&amp;ST=1&amp;nLang=0"/>
  </r>
  <r>
    <x v="2"/>
    <s v="OP-S-009"/>
    <x v="21"/>
    <s v="Sin Auxiliar"/>
    <x v="15"/>
    <d v="2025-06-06T00:00:00"/>
    <n v="81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OQAyADgAMwA4ADUASQBEAEUAQQA2=&amp;Tipo=2&amp;ST=1&amp;nLang=0"/>
  </r>
  <r>
    <x v="3"/>
    <s v="OP-S-062"/>
    <x v="3"/>
    <s v="Sin Auxiliar"/>
    <x v="15"/>
    <d v="2025-06-06T00:00:00"/>
    <n v="29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AA4ADcANgA2ADYASQBEAEUAQQA4=&amp;Tipo=2&amp;ST=1&amp;nLang=0"/>
  </r>
  <r>
    <x v="4"/>
    <s v="OP-S-018"/>
    <x v="4"/>
    <s v="Sin Auxiliar"/>
    <x v="15"/>
    <d v="2025-06-06T00:00:00"/>
    <n v="66"/>
    <x v="0"/>
    <n v="9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1DAEwASwAzADMAOQAyADYAMgAyADMASQBEAEUAQQAA=&amp;Tipo=2&amp;ST=1&amp;nLang=0"/>
  </r>
  <r>
    <x v="5"/>
    <s v="OP-S-055"/>
    <x v="5"/>
    <s v="Sin Auxiliar"/>
    <x v="15"/>
    <d v="2025-06-06T00:00:00"/>
    <n v="35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MAOQAzADQANgA5ADYASQBEAEUAQQA2=&amp;Tipo=2&amp;ST=1&amp;nLang=0"/>
  </r>
  <r>
    <x v="19"/>
    <s v="OP-SDYR-001"/>
    <x v="9"/>
    <s v="Sin Auxiliar"/>
    <x v="15"/>
    <d v="2025-06-06T00:00:00"/>
    <n v="26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MAOQAzADUAMQA5ADcASQBEAEUAQQA8=&amp;Tipo=2&amp;ST=1&amp;nLang=0"/>
  </r>
  <r>
    <x v="6"/>
    <s v="OP-S-R-001"/>
    <x v="6"/>
    <s v="Sin Auxiliar"/>
    <x v="15"/>
    <d v="2025-06-06T00:00:00"/>
    <n v="80"/>
    <x v="0"/>
    <n v="36"/>
    <n v="0"/>
    <n v="0"/>
    <n v="1"/>
    <n v="0"/>
    <n v="0"/>
    <n v="0"/>
    <n v="0"/>
    <n v="36"/>
    <n v="0"/>
    <n v="0"/>
    <n v="0"/>
    <n v="0"/>
    <n v="0"/>
    <n v="0"/>
    <n v="0"/>
    <s v="https://www.clickideacore.com/ClickHTML5/Visit.aspx?ID=//56DAEwASwAzADMAOQAyADkANgAzADUASQBEAEUAQQA6=&amp;Tipo=2&amp;ST=1&amp;nLang=0"/>
  </r>
  <r>
    <x v="7"/>
    <s v="OP-S-010"/>
    <x v="7"/>
    <s v="Sin Auxiliar"/>
    <x v="15"/>
    <d v="2025-06-06T00:00:00"/>
    <n v="47"/>
    <x v="0"/>
    <n v="1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MAOQAyADEAMwAzADYASQBEAEUAQQAB=&amp;Tipo=2&amp;ST=1&amp;nLang=0"/>
  </r>
  <r>
    <x v="8"/>
    <s v="OP-S-004"/>
    <x v="8"/>
    <s v="Sin Auxiliar"/>
    <x v="15"/>
    <d v="2025-06-06T00:00:00"/>
    <n v="26"/>
    <x v="0"/>
    <n v="155"/>
    <n v="7"/>
    <n v="0"/>
    <n v="1"/>
    <n v="0"/>
    <n v="0"/>
    <n v="0"/>
    <n v="0"/>
    <n v="155"/>
    <n v="0"/>
    <n v="0"/>
    <n v="0"/>
    <n v="0"/>
    <n v="0"/>
    <n v="0"/>
    <n v="0"/>
    <s v="https://www.clickideacore.com/ClickHTML5/Visit.aspx?ID=//54DAEwASwAzADMAOQAwADUANQAxADMASQBEAEUAQQA7=&amp;Tipo=2&amp;ST=1&amp;nLang=0"/>
  </r>
  <r>
    <x v="10"/>
    <s v="OP-S-017"/>
    <x v="10"/>
    <s v="Sin Auxiliar"/>
    <x v="15"/>
    <d v="2025-06-06T00:00:00"/>
    <n v="54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OQAyADMANQAyADMASQBEAEUAQQAB=&amp;Tipo=2&amp;ST=1&amp;nLang=0"/>
  </r>
  <r>
    <x v="11"/>
    <s v="OP-S-126"/>
    <x v="17"/>
    <s v="Sin Auxiliar"/>
    <x v="15"/>
    <d v="2025-06-06T00:00:00"/>
    <n v="33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MAOQAzADUANAAxADAASQBEAEUAQQA1=&amp;Tipo=2&amp;ST=1&amp;nLang=0"/>
  </r>
  <r>
    <x v="12"/>
    <s v="OP-S-70"/>
    <x v="12"/>
    <s v="Sin Auxiliar"/>
    <x v="15"/>
    <d v="2025-06-06T00:00:00"/>
    <n v="30"/>
    <x v="0"/>
    <n v="40"/>
    <n v="0"/>
    <n v="0"/>
    <n v="1"/>
    <n v="1"/>
    <n v="0"/>
    <n v="1"/>
    <n v="0"/>
    <n v="49"/>
    <n v="0"/>
    <n v="0"/>
    <n v="0"/>
    <n v="0"/>
    <n v="0"/>
    <n v="0"/>
    <n v="0"/>
    <s v="https://www.clickideacore.com/ClickHTML5/Visit.aspx?ID=//51DAEwASwAzADMAOQAzADQANgAyADEASQBEAEUAQQA4=&amp;Tipo=2&amp;ST=1&amp;nLang=0"/>
  </r>
  <r>
    <x v="13"/>
    <s v="OP-S-060"/>
    <x v="13"/>
    <s v="Sin Auxiliar"/>
    <x v="15"/>
    <d v="2025-06-06T00:00:00"/>
    <n v="63"/>
    <x v="0"/>
    <n v="4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MAOQAyADkAOQA1ADgASQBEAEUAQQAF=&amp;Tipo=2&amp;ST=1&amp;nLang=0"/>
  </r>
  <r>
    <x v="14"/>
    <s v="OP-S-011"/>
    <x v="14"/>
    <s v="Sin Auxiliar"/>
    <x v="15"/>
    <d v="2025-06-06T00:00:00"/>
    <n v="34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MAOQAzADUAMQAzADgASQBEAEUAQQA6=&amp;Tipo=2&amp;ST=1&amp;nLang=0"/>
  </r>
  <r>
    <x v="18"/>
    <s v="OP-S-002"/>
    <x v="6"/>
    <s v="Sin Auxiliar"/>
    <x v="15"/>
    <d v="2025-06-06T00:00:00"/>
    <n v="77"/>
    <x v="0"/>
    <n v="24"/>
    <n v="0"/>
    <n v="0"/>
    <n v="1"/>
    <n v="0"/>
    <n v="0"/>
    <n v="0"/>
    <n v="0"/>
    <n v="24"/>
    <n v="0"/>
    <n v="0"/>
    <n v="0"/>
    <n v="0"/>
    <n v="0"/>
    <n v="0"/>
    <n v="0"/>
    <s v="https://www.clickideacore.com/ClickHTML5/Visit.aspx?ID=//51DAEwASwAzADMAOQAyADgAOAAwADIASQBEAEUAQQA4=&amp;Tipo=2&amp;ST=1&amp;nLang=0"/>
  </r>
  <r>
    <x v="15"/>
    <s v="OP-S-054"/>
    <x v="16"/>
    <s v="Sin Auxiliar"/>
    <x v="15"/>
    <d v="2025-06-06T00:00:00"/>
    <n v="30"/>
    <x v="0"/>
    <n v="6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MAOQAyADAAMwA4ADMASQBEAEUAQQA3=&amp;Tipo=2&amp;ST=1&amp;nLang=0"/>
  </r>
  <r>
    <x v="7"/>
    <s v="OP-S-010"/>
    <x v="16"/>
    <s v="Sin Auxiliar"/>
    <x v="16"/>
    <d v="2025-06-07T00:00:00"/>
    <n v="44"/>
    <x v="0"/>
    <n v="0"/>
    <n v="0"/>
    <n v="0"/>
    <n v="1"/>
    <n v="0"/>
    <n v="0"/>
    <n v="0"/>
    <n v="0"/>
    <n v="0"/>
    <n v="1"/>
    <n v="0"/>
    <n v="3"/>
    <n v="48"/>
    <n v="1"/>
    <n v="0"/>
    <n v="6"/>
    <s v="https://www.clickideacore.com/ClickHTML5/Visit.aspx?ID=//53DAEwASwAzADMAOQA0ADgANgAyADMASQBEAEUAQQA1=&amp;Tipo=2&amp;ST=1&amp;nLang=0"/>
  </r>
  <r>
    <x v="8"/>
    <s v="OP-S-004"/>
    <x v="8"/>
    <s v="Sin Auxiliar"/>
    <x v="16"/>
    <d v="2025-06-07T00:00:00"/>
    <n v="62"/>
    <x v="0"/>
    <n v="0"/>
    <n v="0"/>
    <n v="0"/>
    <n v="0"/>
    <n v="0"/>
    <n v="0"/>
    <n v="0"/>
    <n v="0"/>
    <n v="11"/>
    <n v="1"/>
    <n v="0"/>
    <n v="37"/>
    <n v="39"/>
    <n v="1"/>
    <n v="0"/>
    <n v="5"/>
    <s v="https://www.clickideacore.com/ClickHTML5/Visit.aspx?ID=//54DAEwASwAzADMAOQA0ADcAOAA3ADQASQBEAEUAQQA6=&amp;Tipo=2&amp;ST=1&amp;nLang=0"/>
  </r>
  <r>
    <x v="7"/>
    <s v="OP-S-010"/>
    <x v="16"/>
    <s v="Sin Auxiliar"/>
    <x v="17"/>
    <d v="2025-06-08T00:00:00"/>
    <n v="56"/>
    <x v="0"/>
    <n v="0"/>
    <n v="0"/>
    <n v="0"/>
    <n v="0"/>
    <n v="0"/>
    <n v="0"/>
    <n v="0"/>
    <n v="0"/>
    <n v="0"/>
    <n v="0"/>
    <n v="1"/>
    <n v="32"/>
    <n v="66"/>
    <n v="0"/>
    <n v="1"/>
    <n v="3"/>
    <s v="https://www.clickideacore.com/ClickHTML5/Visit.aspx?ID=//53DAEwASwAzADMAOQA1ADcANwA0ADMASQBEAEUAQQA5=&amp;Tipo=2&amp;ST=1&amp;nLang=0"/>
  </r>
  <r>
    <x v="17"/>
    <s v="OP-S-0010"/>
    <x v="13"/>
    <s v="Sin Auxiliar"/>
    <x v="17"/>
    <d v="2025-06-08T00:00:00"/>
    <n v="207"/>
    <x v="0"/>
    <n v="0"/>
    <n v="0"/>
    <n v="0"/>
    <n v="0"/>
    <n v="0"/>
    <n v="0"/>
    <n v="0"/>
    <n v="0"/>
    <n v="0"/>
    <n v="0"/>
    <n v="1"/>
    <n v="0"/>
    <n v="50"/>
    <n v="0"/>
    <n v="1"/>
    <n v="0"/>
    <s v="https://www.clickideacore.com/ClickHTML5/Visit.aspx?ID=//50DAEwASwAzADMAOQA1ADkANgA5ADEASQBEAEUAQQAF=&amp;Tipo=2&amp;ST=1&amp;nLang=0"/>
  </r>
  <r>
    <x v="0"/>
    <s v="OP-S-106"/>
    <x v="0"/>
    <s v="Sin Auxiliar"/>
    <x v="18"/>
    <d v="2025-06-09T00:00:00"/>
    <n v="54"/>
    <x v="0"/>
    <n v="5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MAOQA4ADQANAA2ADIASQBEAEUAQQAA=&amp;Tipo=2&amp;ST=1&amp;nLang=0"/>
  </r>
  <r>
    <x v="2"/>
    <s v="OP-S-009"/>
    <x v="21"/>
    <s v="Sin Auxiliar"/>
    <x v="18"/>
    <d v="2025-06-09T00:00:00"/>
    <n v="65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MAOQA3ADMAMQA0ADYASQBEAEUAQQA9=&amp;Tipo=2&amp;ST=1&amp;nLang=0"/>
  </r>
  <r>
    <x v="3"/>
    <s v="OP-S-062"/>
    <x v="3"/>
    <s v="Sin Auxiliar"/>
    <x v="18"/>
    <d v="2025-06-09T00:00:00"/>
    <n v="25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MAOQA4ADMANQA2ADUASQBEAEUAQQA3=&amp;Tipo=2&amp;ST=1&amp;nLang=0"/>
  </r>
  <r>
    <x v="4"/>
    <s v="OP-S-018"/>
    <x v="4"/>
    <s v="Sin Auxiliar"/>
    <x v="18"/>
    <d v="2025-06-09T00:00:00"/>
    <n v="48"/>
    <x v="0"/>
    <n v="105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ADAEwASwAzADMAOQA3ADUANQAyADEASQBEAEUAQQA0=&amp;Tipo=2&amp;ST=1&amp;nLang=0"/>
  </r>
  <r>
    <x v="5"/>
    <s v="OP-S-055"/>
    <x v="5"/>
    <s v="Sin Auxiliar"/>
    <x v="18"/>
    <d v="2025-06-09T00:00:00"/>
    <n v="26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MAOQA3ADgAMAA1ADEASQBEAEUAQQA8=&amp;Tipo=2&amp;ST=1&amp;nLang=0"/>
  </r>
  <r>
    <x v="19"/>
    <s v="OP-SDYR-001"/>
    <x v="9"/>
    <s v="Sin Auxiliar"/>
    <x v="18"/>
    <d v="2025-06-09T00:00:00"/>
    <n v="36"/>
    <x v="0"/>
    <n v="83"/>
    <n v="1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MAOQA4ADMAMQA1ADcASQBEAEUAQQA2=&amp;Tipo=2&amp;ST=1&amp;nLang=0"/>
  </r>
  <r>
    <x v="20"/>
    <s v="OP-S-DYR-009"/>
    <x v="1"/>
    <s v="Sin Auxiliar"/>
    <x v="18"/>
    <d v="2025-06-09T00:00:00"/>
    <n v="29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MAOQA3ADUANwA4ADIASQBEAEUAQQAB=&amp;Tipo=2&amp;ST=1&amp;nLang=0"/>
  </r>
  <r>
    <x v="6"/>
    <s v="OP-S-R-001"/>
    <x v="6"/>
    <s v="Sin Auxiliar"/>
    <x v="18"/>
    <d v="2025-06-09T00:00:00"/>
    <n v="68"/>
    <x v="0"/>
    <n v="35"/>
    <n v="0"/>
    <n v="0"/>
    <n v="1"/>
    <n v="0"/>
    <n v="0"/>
    <n v="0"/>
    <n v="0"/>
    <n v="35"/>
    <n v="0"/>
    <n v="0"/>
    <n v="0"/>
    <n v="0"/>
    <n v="0"/>
    <n v="0"/>
    <n v="0"/>
    <s v="https://www.clickideacore.com/ClickHTML5/Visit.aspx?ID=//53DAEwASwAzADMAOQA3ADUAMgA3ADYASQBEAEUAQQA5=&amp;Tipo=2&amp;ST=1&amp;nLang=0"/>
  </r>
  <r>
    <x v="7"/>
    <s v="OP-S-010"/>
    <x v="10"/>
    <s v="Sin Auxiliar"/>
    <x v="18"/>
    <d v="2025-06-09T00:00:00"/>
    <n v="47"/>
    <x v="0"/>
    <n v="8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MAOQA3ADQAMgA5ADEASQBEAEUAQQA9=&amp;Tipo=2&amp;ST=1&amp;nLang=0"/>
  </r>
  <r>
    <x v="8"/>
    <s v="OP-S-004"/>
    <x v="8"/>
    <s v="Sin Auxiliar"/>
    <x v="18"/>
    <d v="2025-06-09T00:00:00"/>
    <n v="37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MAOQA3ADkAMQAyADMASQBEAEUAQQA2=&amp;Tipo=2&amp;ST=1&amp;nLang=0"/>
  </r>
  <r>
    <x v="11"/>
    <s v="OP-S-126"/>
    <x v="17"/>
    <s v="Sin Auxiliar"/>
    <x v="18"/>
    <d v="2025-06-09T00:00:00"/>
    <n v="40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MAOQA3ADUANAA4ADIASQBEAEUAQQA7=&amp;Tipo=2&amp;ST=1&amp;nLang=0"/>
  </r>
  <r>
    <x v="12"/>
    <s v="OP-S-70"/>
    <x v="12"/>
    <s v="Sin Auxiliar"/>
    <x v="18"/>
    <d v="2025-06-09T00:00:00"/>
    <n v="24"/>
    <x v="0"/>
    <n v="39"/>
    <n v="0"/>
    <n v="0"/>
    <n v="1"/>
    <n v="1"/>
    <n v="0"/>
    <n v="0"/>
    <n v="0"/>
    <n v="39"/>
    <n v="0"/>
    <n v="0"/>
    <n v="0"/>
    <n v="0"/>
    <n v="0"/>
    <n v="0"/>
    <n v="0"/>
    <s v="https://www.clickideacore.com/ClickHTML5/Visit.aspx?ID=//51DAEwASwAzADMAOQA4ADMAOQA0ADIASQBEAEUAQQA6=&amp;Tipo=2&amp;ST=1&amp;nLang=0"/>
  </r>
  <r>
    <x v="13"/>
    <s v="OP-S-060"/>
    <x v="13"/>
    <s v="Sin Auxiliar"/>
    <x v="18"/>
    <d v="2025-06-09T00:00:00"/>
    <n v="69"/>
    <x v="0"/>
    <n v="3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MAOQA4ADEANwA1ADcASQBEAEUAQQA4=&amp;Tipo=2&amp;ST=1&amp;nLang=0"/>
  </r>
  <r>
    <x v="14"/>
    <s v="OP-S-011"/>
    <x v="14"/>
    <s v="Sin Auxiliar"/>
    <x v="18"/>
    <d v="2025-06-09T00:00:00"/>
    <n v="44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MAOQA4ADYANQA2ADEASQBEAEUAQQAE=&amp;Tipo=2&amp;ST=1&amp;nLang=0"/>
  </r>
  <r>
    <x v="18"/>
    <s v="OP-S-002"/>
    <x v="6"/>
    <s v="Sin Auxiliar"/>
    <x v="18"/>
    <d v="2025-06-09T00:00:00"/>
    <n v="37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2DAEwASwAzADMAOQA3ADQANgAxADgASQBEAEUAQQAB=&amp;Tipo=2&amp;ST=1&amp;nLang=0"/>
  </r>
  <r>
    <x v="15"/>
    <s v="OP-S-054"/>
    <x v="16"/>
    <s v="Sin Auxiliar"/>
    <x v="18"/>
    <d v="2025-06-09T00:00:00"/>
    <n v="24"/>
    <x v="0"/>
    <n v="65"/>
    <n v="0"/>
    <n v="0"/>
    <n v="1"/>
    <n v="0"/>
    <n v="0"/>
    <n v="0"/>
    <n v="6"/>
    <n v="0"/>
    <n v="0"/>
    <n v="0"/>
    <n v="0"/>
    <n v="0"/>
    <n v="0"/>
    <n v="0"/>
    <n v="0"/>
    <s v="https://www.clickideacore.com/ClickHTML5/Visit.aspx?ID=//5BDAEwASwAzADMAOQA2ADgAMgA2ADcASQBEAEUAQQA1=&amp;Tipo=2&amp;ST=1&amp;nLang=0"/>
  </r>
  <r>
    <x v="21"/>
    <s v="OP-S-055"/>
    <x v="18"/>
    <s v="Sin Auxiliar"/>
    <x v="18"/>
    <d v="2025-06-09T00:00:00"/>
    <n v="25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QA2ADgAMgA2ADcASQBEAEUAQQA1=&amp;Tipo=2&amp;ST=1&amp;nLang=0"/>
  </r>
  <r>
    <x v="10"/>
    <s v="OP-S-056"/>
    <x v="18"/>
    <s v="Sin Auxiliar"/>
    <x v="18"/>
    <d v="2025-06-09T00:00:00"/>
    <n v="26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MAOQA2ADgAMgA2ADcASQBEAEUAQQA1=&amp;Tipo=2&amp;ST=1&amp;nLang=0"/>
  </r>
  <r>
    <x v="0"/>
    <s v="OP-S-106"/>
    <x v="0"/>
    <s v="Sin Auxiliar"/>
    <x v="19"/>
    <d v="2025-06-10T00:00:00"/>
    <n v="42"/>
    <x v="0"/>
    <n v="4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7DAEwASwAzADQAMAAwADkANAAzADgASQBEAEUAQQA5=&amp;Tipo=2&amp;ST=1&amp;nLang=0"/>
  </r>
  <r>
    <x v="1"/>
    <s v="OP-S-DYR-009"/>
    <x v="1"/>
    <s v="Sin Auxiliar"/>
    <x v="19"/>
    <d v="2025-06-10T00:00:00"/>
    <n v="48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MAOQA5ADkANgAwADUASQBEAEUAQQAE=&amp;Tipo=2&amp;ST=1&amp;nLang=0"/>
  </r>
  <r>
    <x v="2"/>
    <s v="OP-S-009"/>
    <x v="21"/>
    <s v="Sin Auxiliar"/>
    <x v="19"/>
    <d v="2025-06-10T00:00:00"/>
    <n v="65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MAOQA5ADcANQAwADgASQBEAEUAQQAF=&amp;Tipo=2&amp;ST=1&amp;nLang=0"/>
  </r>
  <r>
    <x v="3"/>
    <s v="OP-S-062"/>
    <x v="3"/>
    <s v="Sin Auxiliar"/>
    <x v="19"/>
    <d v="2025-06-10T00:00:00"/>
    <n v="69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MAAwADUAOQA5ADgASQBEAEUAQQA1=&amp;Tipo=2&amp;ST=1&amp;nLang=0"/>
  </r>
  <r>
    <x v="4"/>
    <s v="OP-S-018"/>
    <x v="13"/>
    <s v="Sin Auxiliar"/>
    <x v="19"/>
    <d v="2025-06-10T00:00:00"/>
    <n v="125"/>
    <x v="0"/>
    <n v="55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DDAEwASwAzADMAOQA5ADkAMgAwADEASQBEAEUAQQAD=&amp;Tipo=2&amp;ST=1&amp;nLang=0"/>
  </r>
  <r>
    <x v="19"/>
    <s v="OP-SDYR-001"/>
    <x v="9"/>
    <s v="Sin Auxiliar"/>
    <x v="19"/>
    <d v="2025-06-10T00:00:00"/>
    <n v="39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MAAwADcANQA5ADQASQBEAEUAQQA1=&amp;Tipo=2&amp;ST=1&amp;nLang=0"/>
  </r>
  <r>
    <x v="20"/>
    <s v="OP-S-DYR-009"/>
    <x v="18"/>
    <s v="Sin Auxiliar"/>
    <x v="19"/>
    <d v="2025-06-10T00:00:00"/>
    <n v="126"/>
    <x v="0"/>
    <n v="7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QAMAAwADEANAAxADMASQBEAEUAQQA8=&amp;Tipo=2&amp;ST=1&amp;nLang=0"/>
  </r>
  <r>
    <x v="6"/>
    <s v="OP-S-R-001"/>
    <x v="6"/>
    <s v="Sin Auxiliar"/>
    <x v="19"/>
    <d v="2025-06-10T00:00:00"/>
    <n v="45"/>
    <x v="0"/>
    <n v="36"/>
    <n v="0"/>
    <n v="0"/>
    <n v="1"/>
    <n v="0"/>
    <n v="0"/>
    <n v="0"/>
    <n v="0"/>
    <n v="36"/>
    <n v="0"/>
    <n v="0"/>
    <n v="0"/>
    <n v="0"/>
    <n v="0"/>
    <n v="0"/>
    <n v="0"/>
    <s v="https://www.clickideacore.com/ClickHTML5/Visit.aspx?ID=//5FDAEwASwAzADQAMAAwADIANwAxADEASQBEAEUAQQA4=&amp;Tipo=2&amp;ST=1&amp;nLang=0"/>
  </r>
  <r>
    <x v="8"/>
    <s v="OP-S-004"/>
    <x v="8"/>
    <s v="Sin Auxiliar"/>
    <x v="19"/>
    <d v="2025-06-10T00:00:00"/>
    <n v="29"/>
    <x v="0"/>
    <n v="3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MAAwADUAMQAzADgASQBEAEUAQQAD=&amp;Tipo=2&amp;ST=1&amp;nLang=0"/>
  </r>
  <r>
    <x v="10"/>
    <s v="OP-S-017"/>
    <x v="10"/>
    <s v="Sin Auxiliar"/>
    <x v="19"/>
    <d v="2025-06-10T00:00:00"/>
    <n v="380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AAwADIAMAAyADQASQBEAEUAQQAE=&amp;Tipo=2&amp;ST=1&amp;nLang=0"/>
  </r>
  <r>
    <x v="11"/>
    <s v="OP-S-126"/>
    <x v="17"/>
    <s v="Sin Auxiliar"/>
    <x v="19"/>
    <d v="2025-06-10T00:00:00"/>
    <n v="40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MAAwADEANAA2ADUASQBEAEUAQQAE=&amp;Tipo=2&amp;ST=1&amp;nLang=0"/>
  </r>
  <r>
    <x v="12"/>
    <s v="OP-S-70"/>
    <x v="12"/>
    <s v="Sin Auxiliar"/>
    <x v="19"/>
    <d v="2025-06-10T00:00:00"/>
    <n v="25"/>
    <x v="0"/>
    <n v="30"/>
    <n v="0"/>
    <n v="0"/>
    <n v="1"/>
    <n v="1"/>
    <n v="0"/>
    <n v="1"/>
    <n v="0"/>
    <n v="30"/>
    <n v="0"/>
    <n v="0"/>
    <n v="0"/>
    <n v="0"/>
    <n v="0"/>
    <n v="0"/>
    <n v="0"/>
    <s v="https://www.clickideacore.com/ClickHTML5/Visit.aspx?ID=//5ADAEwASwAzADQAMAAwADcANQA5ADEASQBEAEUAQQA2=&amp;Tipo=2&amp;ST=1&amp;nLang=0"/>
  </r>
  <r>
    <x v="13"/>
    <s v="OP-S-060"/>
    <x v="14"/>
    <s v="Sin Auxiliar"/>
    <x v="19"/>
    <d v="2025-06-10T00:00:00"/>
    <n v="44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AAwADMAOQAyADYASQBEAEUAQQAD=&amp;Tipo=2&amp;ST=1&amp;nLang=0"/>
  </r>
  <r>
    <x v="18"/>
    <s v="OP-S-002"/>
    <x v="6"/>
    <s v="Sin Auxiliar"/>
    <x v="19"/>
    <d v="2025-06-10T00:00:00"/>
    <n v="37"/>
    <x v="0"/>
    <n v="16"/>
    <n v="0"/>
    <n v="0"/>
    <n v="1"/>
    <n v="0"/>
    <n v="0"/>
    <n v="0"/>
    <n v="0"/>
    <n v="16"/>
    <n v="0"/>
    <n v="0"/>
    <n v="0"/>
    <n v="0"/>
    <n v="0"/>
    <n v="0"/>
    <n v="0"/>
    <s v="https://www.clickideacore.com/ClickHTML5/Visit.aspx?ID=//5CDAEwASwAzADQAMAAwADMAMQA3ADYASQBEAEUAQQA7=&amp;Tipo=2&amp;ST=1&amp;nLang=0"/>
  </r>
  <r>
    <x v="15"/>
    <s v="OP-S-054"/>
    <x v="16"/>
    <s v="Sin Auxiliar"/>
    <x v="19"/>
    <d v="2025-06-10T00:00:00"/>
    <n v="30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22"/>
    <s v="OP-S-055"/>
    <x v="18"/>
    <s v="Sin Auxiliar"/>
    <x v="19"/>
    <d v="2025-06-10T00:00:00"/>
    <n v="31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14"/>
    <s v="OP-S-056"/>
    <x v="18"/>
    <s v="Sin Auxiliar"/>
    <x v="19"/>
    <d v="2025-06-10T00:00:00"/>
    <n v="32"/>
    <x v="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7"/>
    <s v="OP-S-057"/>
    <x v="18"/>
    <s v="Sin Auxiliar"/>
    <x v="19"/>
    <d v="2025-06-10T00:00:00"/>
    <n v="33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16"/>
    <s v="OP-S-058"/>
    <x v="4"/>
    <s v="Sin Auxiliar"/>
    <x v="19"/>
    <d v="2025-06-10T00:00:00"/>
    <n v="34"/>
    <x v="7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16"/>
    <s v="OP-S-059"/>
    <x v="5"/>
    <s v="Sin Auxiliar"/>
    <x v="19"/>
    <d v="2025-06-10T00:00:00"/>
    <n v="35"/>
    <x v="0"/>
    <n v="2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MAOQA5ADMAMgA3ADcASQBEAEUAQQA1=&amp;Tipo=2&amp;ST=1&amp;nLang=0"/>
  </r>
  <r>
    <x v="0"/>
    <s v="OP-S-106"/>
    <x v="0"/>
    <s v="Sin Auxiliar"/>
    <x v="20"/>
    <d v="2025-06-11T00:00:00"/>
    <n v="71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FDAEwASwAzADQAMAAzADQANgA0ADYASQBEAEUAQQAD=&amp;Tipo=2&amp;ST=1&amp;nLang=0"/>
  </r>
  <r>
    <x v="1"/>
    <s v="OP-S-013"/>
    <x v="1"/>
    <s v="Sin Auxiliar"/>
    <x v="20"/>
    <d v="2025-06-11T00:00:00"/>
    <n v="46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MAAyADEAMgAzADYASQBEAEUAQQA3=&amp;Tipo=2&amp;ST=1&amp;nLang=0"/>
  </r>
  <r>
    <x v="2"/>
    <s v="OP-S-009"/>
    <x v="21"/>
    <s v="Sin Auxiliar"/>
    <x v="20"/>
    <d v="2025-06-11T00:00:00"/>
    <n v="84"/>
    <x v="0"/>
    <n v="4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MAAyADEAMAAxADEASQBEAEUAQQA6=&amp;Tipo=2&amp;ST=1&amp;nLang=0"/>
  </r>
  <r>
    <x v="3"/>
    <s v="OP-S-062"/>
    <x v="3"/>
    <s v="Sin Auxiliar"/>
    <x v="20"/>
    <d v="2025-06-11T00:00:00"/>
    <n v="49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AAyADYANQA5ADMASQBEAEUAQQAC=&amp;Tipo=2&amp;ST=1&amp;nLang=0"/>
  </r>
  <r>
    <x v="4"/>
    <s v="OP-S-018"/>
    <x v="4"/>
    <s v="Sin Auxiliar"/>
    <x v="20"/>
    <d v="2025-06-11T00:00:00"/>
    <n v="42"/>
    <x v="0"/>
    <n v="97"/>
    <n v="0"/>
    <n v="0"/>
    <n v="0"/>
    <n v="0"/>
    <n v="0"/>
    <n v="0"/>
    <n v="2"/>
    <n v="50"/>
    <n v="0"/>
    <n v="0"/>
    <n v="0"/>
    <n v="0"/>
    <n v="0"/>
    <n v="0"/>
    <n v="0"/>
    <s v="https://www.clickideacore.com/ClickHTML5/Visit.aspx?ID=//5BDAEwASwAzADQAMAAyADYAMAAzADcASQBEAEUAQQA8=&amp;Tipo=2&amp;ST=1&amp;nLang=0"/>
  </r>
  <r>
    <x v="5"/>
    <s v="OP-S-055"/>
    <x v="5"/>
    <s v="Sin Auxiliar"/>
    <x v="20"/>
    <d v="2025-06-11T00:00:00"/>
    <n v="26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AAzADIANwAzADIASQBEAEUAQQA4=&amp;Tipo=2&amp;ST=1&amp;nLang=0"/>
  </r>
  <r>
    <x v="19"/>
    <s v="OP-SDYR-001"/>
    <x v="9"/>
    <s v="Sin Auxiliar"/>
    <x v="20"/>
    <d v="2025-06-11T00:00:00"/>
    <n v="23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AAyADkAMAA0ADIASQBEAEUAQQA9=&amp;Tipo=2&amp;ST=1&amp;nLang=0"/>
  </r>
  <r>
    <x v="6"/>
    <s v="OP-S-R-001"/>
    <x v="6"/>
    <s v="Sin Auxiliar"/>
    <x v="20"/>
    <d v="2025-06-11T00:00:00"/>
    <n v="104"/>
    <x v="0"/>
    <n v="37"/>
    <n v="37"/>
    <n v="0"/>
    <n v="1"/>
    <n v="0"/>
    <n v="0"/>
    <n v="0"/>
    <n v="0"/>
    <n v="37"/>
    <n v="0"/>
    <n v="0"/>
    <n v="0"/>
    <n v="0"/>
    <n v="0"/>
    <n v="0"/>
    <n v="0"/>
    <s v="https://www.clickideacore.com/ClickHTML5/Visit.aspx?ID=//50DAEwASwAzADQAMAAyADgANgA0ADUASQBEAEUAQQA1=&amp;Tipo=2&amp;ST=1&amp;nLang=0"/>
  </r>
  <r>
    <x v="8"/>
    <s v="OP-S-010"/>
    <x v="8"/>
    <s v="Sin Auxiliar"/>
    <x v="20"/>
    <d v="2025-06-11T00:00:00"/>
    <n v="38"/>
    <x v="0"/>
    <n v="4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2DAEwASwAzADQAMAAyADEAMAAzADkASQBEAEUAQQA3=&amp;Tipo=2&amp;ST=1&amp;nLang=0"/>
  </r>
  <r>
    <x v="7"/>
    <s v="OP-S-010"/>
    <x v="7"/>
    <s v="Sin Auxiliar"/>
    <x v="20"/>
    <d v="2025-06-11T00:00:00"/>
    <n v="38"/>
    <x v="0"/>
    <n v="2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QAMAAyADEAMAAzADkASQBEAEUAQQA3=&amp;Tipo=2&amp;ST=1&amp;nLang=0"/>
  </r>
  <r>
    <x v="10"/>
    <s v="OP-S-017"/>
    <x v="10"/>
    <s v="Sin Auxiliar"/>
    <x v="20"/>
    <d v="2025-06-11T00:00:00"/>
    <n v="52"/>
    <x v="0"/>
    <n v="7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MAAyADEANAAxADYASQBEAEUAQQAA=&amp;Tipo=2&amp;ST=1&amp;nLang=0"/>
  </r>
  <r>
    <x v="11"/>
    <s v="OP-S-126"/>
    <x v="17"/>
    <s v="Sin Auxiliar"/>
    <x v="20"/>
    <d v="2025-06-11T00:00:00"/>
    <n v="34"/>
    <x v="0"/>
    <n v="42"/>
    <n v="0"/>
    <n v="0"/>
    <n v="0"/>
    <n v="0"/>
    <n v="0"/>
    <n v="0"/>
    <n v="2"/>
    <n v="0"/>
    <n v="0"/>
    <n v="0"/>
    <n v="0"/>
    <n v="0"/>
    <n v="0"/>
    <n v="0"/>
    <n v="0"/>
    <s v="https://www.clickideacore.com/ClickHTML5/Visit.aspx?ID=//54DAEwASwAzADQAMAAyADMANgA0ADUASQBEAEUAQQAC=&amp;Tipo=2&amp;ST=1&amp;nLang=0"/>
  </r>
  <r>
    <x v="12"/>
    <s v="OP-S-70"/>
    <x v="12"/>
    <s v="Sin Auxiliar"/>
    <x v="20"/>
    <d v="2025-06-11T00:00:00"/>
    <n v="29"/>
    <x v="0"/>
    <n v="43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6DAEwASwAzADQAMAAzADMAMAA1ADMASQBEAEUAQQA4=&amp;Tipo=2&amp;ST=1&amp;nLang=0"/>
  </r>
  <r>
    <x v="13"/>
    <s v="OP-S-060"/>
    <x v="13"/>
    <s v="Sin Auxiliar"/>
    <x v="20"/>
    <d v="2025-06-11T00:00:00"/>
    <n v="56"/>
    <x v="0"/>
    <n v="4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QAMAAzADEANQAzADMASQBEAEUAQQA2=&amp;Tipo=2&amp;ST=1&amp;nLang=0"/>
  </r>
  <r>
    <x v="14"/>
    <s v="OP-S-011"/>
    <x v="14"/>
    <s v="Sin Auxiliar"/>
    <x v="20"/>
    <d v="2025-06-11T00:00:00"/>
    <n v="3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AAzADQANwAzADYASQBEAEUAQQA1=&amp;Tipo=2&amp;ST=1&amp;nLang=0"/>
  </r>
  <r>
    <x v="18"/>
    <s v="OP-S-002"/>
    <x v="6"/>
    <s v="Sin Auxiliar"/>
    <x v="20"/>
    <d v="2025-06-11T00:00:00"/>
    <n v="35"/>
    <x v="0"/>
    <n v="20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ADAEwASwAzADQAMAAyADQANwA2ADgASQBEAEUAQQA3=&amp;Tipo=2&amp;ST=1&amp;nLang=0"/>
  </r>
  <r>
    <x v="15"/>
    <s v="OP-S-054"/>
    <x v="16"/>
    <s v="Sin Auxiliar"/>
    <x v="20"/>
    <d v="2025-06-11T00:00:00"/>
    <n v="31"/>
    <x v="0"/>
    <n v="56"/>
    <n v="0"/>
    <n v="0"/>
    <n v="1"/>
    <n v="0"/>
    <n v="0"/>
    <n v="0"/>
    <n v="3"/>
    <n v="0"/>
    <n v="0"/>
    <n v="0"/>
    <n v="0"/>
    <n v="0"/>
    <n v="0"/>
    <n v="0"/>
    <n v="0"/>
    <s v="https://www.clickideacore.com/ClickHTML5/Visit.aspx?ID=//52DAEwASwAzADQAMAAxADcAOQAzADIASQBEAEUAQQAE=&amp;Tipo=2&amp;ST=1&amp;nLang=0"/>
  </r>
  <r>
    <x v="0"/>
    <s v="OP-S-106"/>
    <x v="0"/>
    <s v="Sin Auxiliar"/>
    <x v="21"/>
    <d v="2025-06-12T00:00:00"/>
    <n v="68"/>
    <x v="0"/>
    <n v="4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QAMAA2ADAAMAA3ADYASQBEAEUAQQA6=&amp;Tipo=2&amp;ST=1&amp;nLang=0"/>
  </r>
  <r>
    <x v="1"/>
    <s v="OP-S-013"/>
    <x v="1"/>
    <s v="Sin Auxiliar"/>
    <x v="21"/>
    <d v="2025-06-12T00:00:00"/>
    <n v="26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AA0ADMANQAwADMASQBEAEUAQQAF=&amp;Tipo=2&amp;ST=1&amp;nLang=0"/>
  </r>
  <r>
    <x v="2"/>
    <s v="OP-S-009"/>
    <x v="21"/>
    <s v="Sin Auxiliar"/>
    <x v="21"/>
    <d v="2025-06-12T00:00:00"/>
    <n v="77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MAA0ADUAMQA1ADQASQBEAEUAQQAE=&amp;Tipo=2&amp;ST=1&amp;nLang=0"/>
  </r>
  <r>
    <x v="3"/>
    <s v="OP-S-009"/>
    <x v="3"/>
    <s v="Sin Auxiliar"/>
    <x v="21"/>
    <d v="2025-06-12T00:00:00"/>
    <n v="77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MAA0ADUAMQA1ADQASQBEAEUAQQAE=&amp;Tipo=2&amp;ST=1&amp;nLang=0"/>
  </r>
  <r>
    <x v="4"/>
    <s v="OP-S-018"/>
    <x v="4"/>
    <s v="Sin Auxiliar"/>
    <x v="21"/>
    <d v="2025-06-12T00:00:00"/>
    <n v="91"/>
    <x v="0"/>
    <n v="7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DDAEwASwAzADQAMAA0ADYANgAzADQASQBEAEUAQQAE=&amp;Tipo=2&amp;ST=1&amp;nLang=0"/>
  </r>
  <r>
    <x v="5"/>
    <s v="OP-S-055"/>
    <x v="5"/>
    <s v="Sin Auxiliar"/>
    <x v="21"/>
    <d v="2025-06-12T00:00:00"/>
    <n v="25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AA1ADYAMgA2ADcASQBEAEUAQQA1=&amp;Tipo=2&amp;ST=1&amp;nLang=0"/>
  </r>
  <r>
    <x v="19"/>
    <s v="OP-SDYR-001"/>
    <x v="9"/>
    <s v="Sin Auxiliar"/>
    <x v="21"/>
    <d v="2025-06-12T00:00:00"/>
    <n v="21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MAA1ADcAOAAxADIASQBEAEUAQQA3=&amp;Tipo=2&amp;ST=1&amp;nLang=0"/>
  </r>
  <r>
    <x v="6"/>
    <s v="OP-S-R-001"/>
    <x v="6"/>
    <s v="Sin Auxiliar"/>
    <x v="21"/>
    <d v="2025-06-12T00:00:00"/>
    <n v="124"/>
    <x v="0"/>
    <n v="28"/>
    <n v="0"/>
    <n v="0"/>
    <n v="0"/>
    <n v="0"/>
    <n v="0"/>
    <n v="0"/>
    <n v="0"/>
    <n v="28"/>
    <n v="0"/>
    <n v="0"/>
    <n v="0"/>
    <n v="0"/>
    <n v="0"/>
    <n v="0"/>
    <n v="0"/>
    <s v="https://www.clickideacore.com/ClickHTML5/Visit.aspx?ID=//50DAEwASwAzADQAMAA0ADgAMQA3ADYASQBEAEUAQQAD=&amp;Tipo=2&amp;ST=1&amp;nLang=0"/>
  </r>
  <r>
    <x v="7"/>
    <s v="OP-S-010"/>
    <x v="7"/>
    <s v="Sin Auxiliar"/>
    <x v="21"/>
    <d v="2025-06-12T00:00:00"/>
    <n v="36"/>
    <x v="0"/>
    <n v="2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QAMAA0ADYANQA4ADcASQBEAEUAQQA7=&amp;Tipo=2&amp;ST=1&amp;nLang=0"/>
  </r>
  <r>
    <x v="8"/>
    <s v="OP-S-004"/>
    <x v="8"/>
    <s v="Sin Auxiliar"/>
    <x v="21"/>
    <d v="2025-06-12T00:00:00"/>
    <n v="51"/>
    <x v="0"/>
    <n v="3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AA0ADkANgA2ADYASQBEAEUAQQAE=&amp;Tipo=2&amp;ST=1&amp;nLang=0"/>
  </r>
  <r>
    <x v="10"/>
    <s v="OP-S-017"/>
    <x v="10"/>
    <s v="Sin Auxiliar"/>
    <x v="21"/>
    <d v="2025-06-12T00:00:00"/>
    <n v="44"/>
    <x v="0"/>
    <n v="2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AA2ADEANAA4ADIASQBEAEUAQQA6=&amp;Tipo=2&amp;ST=1&amp;nLang=0"/>
  </r>
  <r>
    <x v="11"/>
    <s v="OP-S-126"/>
    <x v="17"/>
    <s v="Sin Auxiliar"/>
    <x v="21"/>
    <d v="2025-06-12T00:00:00"/>
    <n v="218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MAA1ADMAMQAxADUASQBEAEUAQQA6=&amp;Tipo=2&amp;ST=1&amp;nLang=0"/>
  </r>
  <r>
    <x v="12"/>
    <s v="OP-S-70"/>
    <x v="12"/>
    <s v="Sin Auxiliar"/>
    <x v="21"/>
    <d v="2025-06-12T00:00:00"/>
    <n v="29"/>
    <x v="0"/>
    <n v="10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6DAEwASwAzADQAMAAzADMAMAA1ADMASQBEAEUAQQA4=&amp;Tipo=2&amp;ST=1&amp;nLang=0"/>
  </r>
  <r>
    <x v="14"/>
    <s v="OP-S-011"/>
    <x v="14"/>
    <s v="Sin Auxiliar"/>
    <x v="21"/>
    <d v="2025-06-12T00:00:00"/>
    <n v="42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AA2ADAAMAA1ADgASQBEAEUAQQA4=&amp;Tipo=2&amp;ST=1&amp;nLang=0"/>
  </r>
  <r>
    <x v="18"/>
    <s v="OP-S-002"/>
    <x v="6"/>
    <s v="Sin Auxiliar"/>
    <x v="21"/>
    <d v="2025-06-12T00:00:00"/>
    <n v="197"/>
    <x v="0"/>
    <n v="22"/>
    <n v="0"/>
    <n v="0"/>
    <n v="1"/>
    <n v="0"/>
    <n v="0"/>
    <n v="0"/>
    <n v="0"/>
    <n v="22"/>
    <n v="0"/>
    <n v="0"/>
    <n v="0"/>
    <n v="0"/>
    <n v="0"/>
    <n v="0"/>
    <n v="0"/>
    <s v="https://www.clickideacore.com/ClickHTML5/Visit.aspx?ID=//58DAEwASwAzADQAMAA0ADUAOAAxADgASQBEAEUAQQAE=&amp;Tipo=2&amp;ST=1&amp;nLang=0"/>
  </r>
  <r>
    <x v="15"/>
    <s v="OP-S-054"/>
    <x v="13"/>
    <s v="Sin Auxiliar"/>
    <x v="21"/>
    <d v="2025-06-12T00:00:00"/>
    <n v="79"/>
    <x v="0"/>
    <n v="2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MAAzADgAOAA0ADkASQBEAEUAQQA4=&amp;Tipo=2&amp;ST=1&amp;nLang=0"/>
  </r>
  <r>
    <x v="13"/>
    <s v="OP-S-055"/>
    <x v="18"/>
    <s v="Sin Auxiliar"/>
    <x v="21"/>
    <d v="2025-06-12T00:00:00"/>
    <n v="80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AAzADgAOAA0ADkASQBEAEUAQQA4=&amp;Tipo=2&amp;ST=1&amp;nLang=0"/>
  </r>
  <r>
    <x v="16"/>
    <s v="OP-S-056"/>
    <x v="16"/>
    <s v="Sin Auxiliar"/>
    <x v="21"/>
    <d v="2025-06-12T00:00:00"/>
    <n v="81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AAzADgAOAA0ADkASQBEAEUAQQA4=&amp;Tipo=2&amp;ST=1&amp;nLang=0"/>
  </r>
  <r>
    <x v="0"/>
    <s v="OP-S-106"/>
    <x v="0"/>
    <s v="Sin Auxiliar"/>
    <x v="22"/>
    <d v="2025-06-13T00:00:00"/>
    <n v="51"/>
    <x v="0"/>
    <n v="5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MAA4ADMANQA5ADMASQBEAEUAQQAF=&amp;Tipo=2&amp;ST=1&amp;nLang=0"/>
  </r>
  <r>
    <x v="1"/>
    <s v="OP-S-013"/>
    <x v="1"/>
    <s v="Sin Auxiliar"/>
    <x v="22"/>
    <d v="2025-06-13T00:00:00"/>
    <n v="26"/>
    <x v="0"/>
    <n v="9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MAA3ADQANQAxADQASQBEAEUAQQA7=&amp;Tipo=2&amp;ST=1&amp;nLang=0"/>
  </r>
  <r>
    <x v="2"/>
    <s v="OP-S-009"/>
    <x v="21"/>
    <s v="Sin Auxiliar"/>
    <x v="22"/>
    <d v="2025-06-13T00:00:00"/>
    <n v="71"/>
    <x v="0"/>
    <n v="7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MAA3ADQAMgA4ADkASQBEAEUAQQA7=&amp;Tipo=2&amp;ST=1&amp;nLang=0"/>
  </r>
  <r>
    <x v="3"/>
    <s v="OP-S-009"/>
    <x v="3"/>
    <s v="Sin Auxiliar"/>
    <x v="22"/>
    <d v="2025-06-13T00:00:00"/>
    <n v="71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AA3ADQAMgA4ADkASQBEAEUAQQA7=&amp;Tipo=2&amp;ST=1&amp;nLang=0"/>
  </r>
  <r>
    <x v="4"/>
    <s v="OP-S-018"/>
    <x v="4"/>
    <s v="Sin Auxiliar"/>
    <x v="22"/>
    <d v="2025-06-13T00:00:00"/>
    <n v="40"/>
    <x v="0"/>
    <n v="92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4DAEwASwAzADQAMAA3ADEAOQA0ADgASQBEAEUAQQA0=&amp;Tipo=2&amp;ST=1&amp;nLang=0"/>
  </r>
  <r>
    <x v="5"/>
    <s v="OP-S-055"/>
    <x v="5"/>
    <s v="Sin Auxiliar"/>
    <x v="22"/>
    <d v="2025-06-13T00:00:00"/>
    <n v="26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MAA4ADMAMwA4ADIASQBEAEUAQQA7=&amp;Tipo=2&amp;ST=1&amp;nLang=0"/>
  </r>
  <r>
    <x v="19"/>
    <s v="OP-SDYR-001"/>
    <x v="9"/>
    <s v="Sin Auxiliar"/>
    <x v="22"/>
    <d v="2025-06-13T00:00:00"/>
    <n v="21"/>
    <x v="0"/>
    <n v="6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AA4ADIAOAA0ADYASQBEAEUAQQA6=&amp;Tipo=2&amp;ST=1&amp;nLang=0"/>
  </r>
  <r>
    <x v="6"/>
    <s v="OP-S-R-001"/>
    <x v="6"/>
    <s v="Sin Auxiliar"/>
    <x v="22"/>
    <d v="2025-06-13T00:00:00"/>
    <n v="39"/>
    <x v="0"/>
    <n v="34"/>
    <n v="0"/>
    <n v="0"/>
    <n v="1"/>
    <n v="0"/>
    <n v="0"/>
    <n v="0"/>
    <n v="0"/>
    <n v="34"/>
    <n v="0"/>
    <n v="0"/>
    <n v="0"/>
    <n v="0"/>
    <n v="0"/>
    <n v="0"/>
    <n v="0"/>
    <s v="https://www.clickideacore.com/ClickHTML5/Visit.aspx?ID=//5EDAEwASwAzADQAMAA3ADIANwA0ADQASQBEAEUAQQA9=&amp;Tipo=2&amp;ST=1&amp;nLang=0"/>
  </r>
  <r>
    <x v="7"/>
    <s v="OP-S-010"/>
    <x v="7"/>
    <s v="Sin Auxiliar"/>
    <x v="22"/>
    <d v="2025-06-13T00:00:00"/>
    <n v="151"/>
    <x v="0"/>
    <n v="2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QAMAA2ADcAOAAyADkASQBEAEUAQQA9=&amp;Tipo=2&amp;ST=1&amp;nLang=0"/>
  </r>
  <r>
    <x v="8"/>
    <s v="OP-S-004"/>
    <x v="8"/>
    <s v="Sin Auxiliar"/>
    <x v="22"/>
    <d v="2025-06-13T00:00:00"/>
    <n v="31"/>
    <x v="0"/>
    <n v="4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QAMAA4ADAAMQAwADgASQBEAEUAQQA8=&amp;Tipo=2&amp;ST=1&amp;nLang=0"/>
  </r>
  <r>
    <x v="10"/>
    <s v="OP-S-017"/>
    <x v="10"/>
    <s v="Sin Auxiliar"/>
    <x v="22"/>
    <d v="2025-06-13T00:00:00"/>
    <n v="45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AA3ADEAOQA5ADQASQBEAEUAQQA5=&amp;Tipo=2&amp;ST=1&amp;nLang=0"/>
  </r>
  <r>
    <x v="11"/>
    <s v="OP-S-126"/>
    <x v="17"/>
    <s v="Sin Auxiliar"/>
    <x v="22"/>
    <d v="2025-06-13T00:00:00"/>
    <n v="4971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AA3ADYAMwA2ADMASQBEAEUAQQA9=&amp;Tipo=2&amp;ST=1&amp;nLang=0"/>
  </r>
  <r>
    <x v="12"/>
    <s v="OP-S-70"/>
    <x v="12"/>
    <s v="Sin Auxiliar"/>
    <x v="22"/>
    <d v="2025-06-13T00:00:00"/>
    <n v="26"/>
    <x v="0"/>
    <n v="34"/>
    <n v="0"/>
    <n v="0"/>
    <n v="1"/>
    <n v="1"/>
    <n v="0"/>
    <n v="0"/>
    <n v="0"/>
    <n v="48"/>
    <n v="0"/>
    <n v="0"/>
    <n v="0"/>
    <n v="0"/>
    <n v="0"/>
    <n v="0"/>
    <n v="0"/>
    <s v="https://www.clickideacore.com/ClickHTML5/Visit.aspx?ID=//55DAEwASwAzADQAMAA4ADMANQA2ADgASQBEAEUAQQA2=&amp;Tipo=2&amp;ST=1&amp;nLang=0"/>
  </r>
  <r>
    <x v="14"/>
    <s v="OP-S-011"/>
    <x v="14"/>
    <s v="Sin Auxiliar"/>
    <x v="22"/>
    <d v="2025-06-13T00:00:00"/>
    <n v="49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AA4ADMANwAxADkASQBEAEUAQQA0=&amp;Tipo=2&amp;ST=1&amp;nLang=0"/>
  </r>
  <r>
    <x v="18"/>
    <s v="OP-S-002"/>
    <x v="6"/>
    <s v="Sin Auxiliar"/>
    <x v="22"/>
    <d v="2025-06-13T00:00:00"/>
    <n v="54"/>
    <x v="0"/>
    <n v="24"/>
    <n v="0"/>
    <n v="0"/>
    <n v="1"/>
    <n v="0"/>
    <n v="0"/>
    <n v="0"/>
    <n v="0"/>
    <n v="24"/>
    <n v="0"/>
    <n v="0"/>
    <n v="0"/>
    <n v="0"/>
    <n v="0"/>
    <n v="0"/>
    <n v="0"/>
    <s v="https://www.clickideacore.com/ClickHTML5/Visit.aspx?ID=//5BDAEwASwAzADQAMAA3ADYAMgA2ADYASQBEAEUAQQAA=&amp;Tipo=2&amp;ST=1&amp;nLang=0"/>
  </r>
  <r>
    <x v="15"/>
    <s v="OP-S-054"/>
    <x v="16"/>
    <s v="Sin Auxiliar"/>
    <x v="22"/>
    <d v="2025-06-13T00:00:00"/>
    <n v="36"/>
    <x v="0"/>
    <n v="5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AA2ADgAMQA3ADUASQBEAEUAQQA0=&amp;Tipo=2&amp;ST=1&amp;nLang=0"/>
  </r>
  <r>
    <x v="13"/>
    <s v="OP-S-054"/>
    <x v="13"/>
    <s v="Sin Auxiliar"/>
    <x v="22"/>
    <d v="2025-06-13T00:00:00"/>
    <n v="36"/>
    <x v="0"/>
    <n v="44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7DAEwASwAzADQAMAA2ADgAMQA3ADUASQBEAEUAQQA0=&amp;Tipo=2&amp;ST=1&amp;nLang=0"/>
  </r>
  <r>
    <x v="8"/>
    <s v="OP-S-004"/>
    <x v="8"/>
    <s v="Sin Auxiliar"/>
    <x v="23"/>
    <d v="2025-06-14T00:00:00"/>
    <n v="88"/>
    <x v="0"/>
    <n v="0"/>
    <n v="0"/>
    <n v="0"/>
    <n v="0"/>
    <n v="0"/>
    <n v="0"/>
    <n v="0"/>
    <n v="0"/>
    <n v="3"/>
    <n v="1"/>
    <n v="0"/>
    <n v="11"/>
    <n v="19"/>
    <n v="1"/>
    <n v="0"/>
    <n v="0"/>
    <s v="https://www.clickideacore.com/ClickHTML5/Visit.aspx?ID=//58DAEwASwAzADQAMAA5ADUAMgA5ADUASQBEAEUAQQA2=&amp;Tipo=2&amp;ST=1&amp;nLang=0"/>
  </r>
  <r>
    <x v="14"/>
    <s v="OP-S-004"/>
    <x v="14"/>
    <s v="Sin Auxiliar"/>
    <x v="23"/>
    <d v="2025-06-14T00:00:00"/>
    <n v="88"/>
    <x v="0"/>
    <n v="0"/>
    <n v="0"/>
    <n v="0"/>
    <n v="0"/>
    <n v="0"/>
    <n v="0"/>
    <n v="0"/>
    <n v="0"/>
    <n v="0"/>
    <n v="1"/>
    <n v="0"/>
    <n v="3"/>
    <n v="27"/>
    <n v="1"/>
    <n v="0"/>
    <n v="0"/>
    <s v="https://www.clickideacore.com/ClickHTML5/Visit.aspx?ID=//58DAEwASwAzADQAMAA5ADUAMgA5ADUASQBEAEUAQQA2=&amp;Tipo=2&amp;ST=1&amp;nLang=0"/>
  </r>
  <r>
    <x v="0"/>
    <s v="OP-S-106"/>
    <x v="0"/>
    <s v="Sin Auxiliar"/>
    <x v="24"/>
    <d v="2025-06-15T00:00:00"/>
    <n v="184"/>
    <x v="0"/>
    <n v="0"/>
    <n v="0"/>
    <n v="0"/>
    <n v="0"/>
    <n v="0"/>
    <n v="0"/>
    <n v="0"/>
    <n v="0"/>
    <n v="0"/>
    <n v="0"/>
    <n v="1"/>
    <n v="6"/>
    <n v="106"/>
    <n v="0"/>
    <n v="1"/>
    <n v="5"/>
    <s v="https://www.clickideacore.com/ClickHTML5/Visit.aspx?ID=//50DAEwASwAzADQAMQAwADYANQA5ADEASQBEAEUAQQAA=&amp;Tipo=2&amp;ST=1&amp;nLang=0"/>
  </r>
  <r>
    <x v="17"/>
    <s v="OP-S-0010"/>
    <x v="13"/>
    <s v="Sin Auxiliar"/>
    <x v="24"/>
    <d v="2025-06-15T00:00:00"/>
    <n v="135"/>
    <x v="0"/>
    <n v="0"/>
    <n v="0"/>
    <n v="0"/>
    <n v="0"/>
    <n v="0"/>
    <n v="0"/>
    <n v="0"/>
    <n v="0"/>
    <n v="0"/>
    <n v="0"/>
    <n v="1"/>
    <n v="8"/>
    <n v="87"/>
    <n v="0"/>
    <n v="1"/>
    <n v="5"/>
    <s v="https://www.clickideacore.com/ClickHTML5/Visit.aspx?ID=//5EDAEwASwAzADQAMQAwADUAMgA5ADgASQBEAEUAQQA4=&amp;Tipo=2&amp;ST=1&amp;nLang=0"/>
  </r>
  <r>
    <x v="0"/>
    <s v="OP-S-106"/>
    <x v="0"/>
    <s v="Sin Auxiliar"/>
    <x v="25"/>
    <d v="2025-06-16T00:00:00"/>
    <n v="58"/>
    <x v="0"/>
    <n v="4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QAMQAzADAAMgAyADcASQBEAEUAQQA8=&amp;Tipo=2&amp;ST=1&amp;nLang=0"/>
  </r>
  <r>
    <x v="1"/>
    <s v="OP-S-013"/>
    <x v="1"/>
    <s v="Sin Auxiliar"/>
    <x v="25"/>
    <d v="2025-06-16T00:00:00"/>
    <n v="38"/>
    <x v="0"/>
    <n v="8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MQAyADEANgA4ADQASQBEAEUAQQA6=&amp;Tipo=2&amp;ST=1&amp;nLang=0"/>
  </r>
  <r>
    <x v="2"/>
    <s v="OP-S-009"/>
    <x v="21"/>
    <s v="Sin Auxiliar"/>
    <x v="25"/>
    <d v="2025-06-16T00:00:00"/>
    <n v="64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MQAxADkANAA4ADIASQBEAEUAQQA6=&amp;Tipo=2&amp;ST=1&amp;nLang=0"/>
  </r>
  <r>
    <x v="4"/>
    <s v="OP-S-018"/>
    <x v="4"/>
    <s v="Sin Auxiliar"/>
    <x v="25"/>
    <d v="2025-06-16T00:00:00"/>
    <n v="82"/>
    <x v="0"/>
    <n v="10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EDAEwASwAzADQAMQAyADAAOAAzADEASQBEAEUAQQA4=&amp;Tipo=2&amp;ST=1&amp;nLang=0"/>
  </r>
  <r>
    <x v="5"/>
    <s v="OP-S-055"/>
    <x v="5"/>
    <s v="Sin Auxiliar"/>
    <x v="25"/>
    <d v="2025-06-16T00:00:00"/>
    <n v="37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QAyADkAMQA5ADEASQBEAEUAQQA6=&amp;Tipo=2&amp;ST=1&amp;nLang=0"/>
  </r>
  <r>
    <x v="19"/>
    <s v="OP-SDYR-001"/>
    <x v="9"/>
    <s v="Sin Auxiliar"/>
    <x v="25"/>
    <d v="2025-06-16T00:00:00"/>
    <n v="21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QAzADEANgAzADQASQBEAEUAQQAC=&amp;Tipo=2&amp;ST=1&amp;nLang=0"/>
  </r>
  <r>
    <x v="6"/>
    <s v="OP-S-R-001"/>
    <x v="6"/>
    <s v="Sin Auxiliar"/>
    <x v="25"/>
    <d v="2025-06-16T00:00:00"/>
    <n v="105"/>
    <x v="0"/>
    <n v="35"/>
    <n v="0"/>
    <n v="0"/>
    <n v="0"/>
    <n v="0"/>
    <n v="0"/>
    <n v="0"/>
    <n v="0"/>
    <n v="35"/>
    <n v="0"/>
    <n v="0"/>
    <n v="0"/>
    <n v="0"/>
    <n v="0"/>
    <n v="0"/>
    <n v="0"/>
    <s v="https://www.clickideacore.com/ClickHTML5/Visit.aspx?ID=//5DDAEwASwAzADQAMQAyADEANwAzADkASQBEAEUAQQA2=&amp;Tipo=2&amp;ST=1&amp;nLang=0"/>
  </r>
  <r>
    <x v="7"/>
    <s v="OP-S-010"/>
    <x v="7"/>
    <s v="Sin Auxiliar"/>
    <x v="25"/>
    <d v="2025-06-16T00:00:00"/>
    <n v="35"/>
    <x v="0"/>
    <n v="4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QAMQAyADIAMgA0ADUASQBEAEUAQQA6=&amp;Tipo=2&amp;ST=1&amp;nLang=0"/>
  </r>
  <r>
    <x v="8"/>
    <s v="OP-S-004"/>
    <x v="8"/>
    <s v="Sin Auxiliar"/>
    <x v="25"/>
    <d v="2025-06-16T00:00:00"/>
    <n v="34"/>
    <x v="0"/>
    <n v="5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MQAyADMAOQAyADUASQBEAEUAQQA7=&amp;Tipo=2&amp;ST=1&amp;nLang=0"/>
  </r>
  <r>
    <x v="10"/>
    <s v="OP-S-017"/>
    <x v="10"/>
    <s v="Sin Auxiliar"/>
    <x v="25"/>
    <d v="2025-06-16T00:00:00"/>
    <n v="58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QAMQAxADYANAA5ADIASQBEAEUAQQAD=&amp;Tipo=2&amp;ST=1&amp;nLang=0"/>
  </r>
  <r>
    <x v="11"/>
    <s v="OP-S-126"/>
    <x v="17"/>
    <s v="Sin Auxiliar"/>
    <x v="25"/>
    <d v="2025-06-16T00:00:00"/>
    <n v="46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MQAyADEANgAxADEASQBEAEUAQQA0=&amp;Tipo=2&amp;ST=1&amp;nLang=0"/>
  </r>
  <r>
    <x v="12"/>
    <s v="OP-S-70"/>
    <x v="12"/>
    <s v="Sin Auxiliar"/>
    <x v="25"/>
    <d v="2025-06-16T00:00:00"/>
    <n v="35"/>
    <x v="0"/>
    <n v="26"/>
    <n v="0"/>
    <n v="0"/>
    <n v="1"/>
    <n v="1"/>
    <n v="0"/>
    <n v="0"/>
    <n v="0"/>
    <n v="39"/>
    <n v="0"/>
    <n v="0"/>
    <n v="0"/>
    <n v="0"/>
    <n v="0"/>
    <n v="0"/>
    <n v="0"/>
    <s v="https://www.clickideacore.com/ClickHTML5/Visit.aspx?ID=//50DAEwASwAzADQAMQAyADgAOAA3ADQASQBEAEUAQQA9=&amp;Tipo=2&amp;ST=1&amp;nLang=0"/>
  </r>
  <r>
    <x v="13"/>
    <s v="OP-S-060"/>
    <x v="13"/>
    <s v="Sin Auxiliar"/>
    <x v="25"/>
    <d v="2025-06-16T00:00:00"/>
    <n v="64"/>
    <x v="0"/>
    <n v="3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QAMQAyADIAOAA2ADUASQBEAEUAQQAF=&amp;Tipo=2&amp;ST=1&amp;nLang=0"/>
  </r>
  <r>
    <x v="14"/>
    <s v="OP-S-011"/>
    <x v="14"/>
    <s v="Sin Auxiliar"/>
    <x v="25"/>
    <d v="2025-06-16T00:00:00"/>
    <n v="31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zADAAMAA0ADgASQBEAEUAQQA3=&amp;Tipo=2&amp;ST=1&amp;nLang=0"/>
  </r>
  <r>
    <x v="18"/>
    <s v="OP-S-002"/>
    <x v="6"/>
    <s v="Sin Auxiliar"/>
    <x v="25"/>
    <d v="2025-06-16T00:00:00"/>
    <n v="47"/>
    <x v="0"/>
    <n v="23"/>
    <n v="0"/>
    <n v="0"/>
    <n v="1"/>
    <n v="0"/>
    <n v="0"/>
    <n v="0"/>
    <n v="0"/>
    <n v="23"/>
    <n v="0"/>
    <n v="0"/>
    <n v="0"/>
    <n v="0"/>
    <n v="0"/>
    <n v="0"/>
    <n v="0"/>
    <s v="https://www.clickideacore.com/ClickHTML5/Visit.aspx?ID=//56DAEwASwAzADQAMQAyADQAMAA0ADgASQBEAEUAQQA3=&amp;Tipo=2&amp;ST=1&amp;nLang=0"/>
  </r>
  <r>
    <x v="15"/>
    <s v="OP-S-054"/>
    <x v="16"/>
    <s v="Sin Auxiliar"/>
    <x v="25"/>
    <d v="2025-06-16T00:00:00"/>
    <n v="21"/>
    <x v="0"/>
    <n v="6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MQAxADUAMwAwADUASQBEAEUAQQA8=&amp;Tipo=2&amp;ST=1&amp;nLang=0"/>
  </r>
  <r>
    <x v="3"/>
    <s v="OP-S-054"/>
    <x v="15"/>
    <s v="Sin Auxiliar"/>
    <x v="25"/>
    <d v="2025-06-16T00:00:00"/>
    <n v="21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xADUAMwAwADUASQBEAEUAQQA8=&amp;Tipo=2&amp;ST=1&amp;nLang=0"/>
  </r>
  <r>
    <x v="16"/>
    <s v="OP-S-054"/>
    <x v="3"/>
    <s v="Sin Auxiliar"/>
    <x v="25"/>
    <d v="2025-06-16T00:00:00"/>
    <n v="21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xADUAMwAwADUASQBEAEUAQQA8=&amp;Tipo=2&amp;ST=1&amp;nLang=0"/>
  </r>
  <r>
    <x v="0"/>
    <s v="OP-S-106"/>
    <x v="0"/>
    <s v="Sin Auxiliar"/>
    <x v="26"/>
    <d v="2025-06-17T00:00:00"/>
    <n v="126"/>
    <x v="0"/>
    <n v="6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QAMQA1ADQAOQAyADkASQBEAEUAQQAF=&amp;Tipo=2&amp;ST=1&amp;nLang=0"/>
  </r>
  <r>
    <x v="1"/>
    <s v="OP-S-013"/>
    <x v="1"/>
    <s v="Sin Auxiliar"/>
    <x v="26"/>
    <d v="2025-06-17T00:00:00"/>
    <n v="28"/>
    <x v="0"/>
    <n v="68"/>
    <n v="0"/>
    <n v="0"/>
    <n v="1"/>
    <n v="0"/>
    <n v="0"/>
    <n v="0"/>
    <n v="0"/>
    <n v="0"/>
    <n v="0"/>
    <n v="0"/>
    <n v="0"/>
    <n v="0"/>
    <n v="1"/>
    <n v="0"/>
    <n v="0"/>
    <s v="https://www.clickideacore.com/ClickHTML5/Visit.aspx?ID=//59DAEwASwAzADQAMQA0ADQANwAxADMASQBEAEUAQQA1=&amp;Tipo=2&amp;ST=1&amp;nLang=0"/>
  </r>
  <r>
    <x v="2"/>
    <s v="OP-S-009"/>
    <x v="21"/>
    <s v="Sin Auxiliar"/>
    <x v="26"/>
    <d v="2025-06-17T00:00:00"/>
    <n v="104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0ADMAMAA1ADYASQBEAEUAQQAA=&amp;Tipo=2&amp;ST=1&amp;nLang=0"/>
  </r>
  <r>
    <x v="3"/>
    <s v="OP-S-009"/>
    <x v="3"/>
    <s v="Sin Auxiliar"/>
    <x v="26"/>
    <d v="2025-06-17T00:00:00"/>
    <n v="104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0ADMAMAA1ADYASQBEAEUAQQAA=&amp;Tipo=2&amp;ST=1&amp;nLang=0"/>
  </r>
  <r>
    <x v="4"/>
    <s v="OP-S-018"/>
    <x v="4"/>
    <s v="Sin Auxiliar"/>
    <x v="26"/>
    <d v="2025-06-17T00:00:00"/>
    <n v="32"/>
    <x v="0"/>
    <n v="7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EDAEwASwAzADQAMQA0ADMANQA2ADMASQBEAEUAQQAF=&amp;Tipo=2&amp;ST=1&amp;nLang=0"/>
  </r>
  <r>
    <x v="19"/>
    <s v="OP-SDYR-001"/>
    <x v="9"/>
    <s v="Sin Auxiliar"/>
    <x v="26"/>
    <d v="2025-06-17T00:00:00"/>
    <n v="21"/>
    <x v="0"/>
    <n v="5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MQA1ADMANQAwADMASQBEAEUAQQAC=&amp;Tipo=2&amp;ST=1&amp;nLang=0"/>
  </r>
  <r>
    <x v="6"/>
    <s v="OP-S-R-001"/>
    <x v="6"/>
    <s v="Sin Auxiliar"/>
    <x v="26"/>
    <d v="2025-06-17T00:00:00"/>
    <n v="89"/>
    <x v="0"/>
    <n v="36"/>
    <n v="0"/>
    <n v="0"/>
    <n v="0"/>
    <n v="0"/>
    <n v="0"/>
    <n v="0"/>
    <n v="0"/>
    <n v="36"/>
    <n v="0"/>
    <n v="0"/>
    <n v="0"/>
    <n v="0"/>
    <n v="0"/>
    <n v="0"/>
    <n v="0"/>
    <s v="https://www.clickideacore.com/ClickHTML5/Visit.aspx?ID=//53DAEwASwAzADQAMQA0ADYAOQA5ADIASQBEAEUAQQA6=&amp;Tipo=2&amp;ST=1&amp;nLang=0"/>
  </r>
  <r>
    <x v="8"/>
    <s v="OP-S-004"/>
    <x v="8"/>
    <s v="Sin Auxiliar"/>
    <x v="26"/>
    <d v="2025-06-17T00:00:00"/>
    <n v="30"/>
    <x v="0"/>
    <n v="3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QA0ADYANQAwADMASQBEAEUAQQA9=&amp;Tipo=2&amp;ST=1&amp;nLang=0"/>
  </r>
  <r>
    <x v="10"/>
    <s v="OP-S-017"/>
    <x v="10"/>
    <s v="Sin Auxiliar"/>
    <x v="26"/>
    <d v="2025-06-17T00:00:00"/>
    <n v="52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QA0ADUANgAyADUASQBEAEUAQQAD=&amp;Tipo=2&amp;ST=1&amp;nLang=0"/>
  </r>
  <r>
    <x v="11"/>
    <s v="OP-S-126"/>
    <x v="17"/>
    <s v="Sin Auxiliar"/>
    <x v="26"/>
    <d v="2025-06-17T00:00:00"/>
    <n v="41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0ADUANwAwADYASQBEAEUAQQAB=&amp;Tipo=2&amp;ST=1&amp;nLang=0"/>
  </r>
  <r>
    <x v="12"/>
    <s v="OP-S-70"/>
    <x v="12"/>
    <s v="Sin Auxiliar"/>
    <x v="26"/>
    <d v="2025-06-17T00:00:00"/>
    <n v="25"/>
    <x v="0"/>
    <n v="21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EDAEwASwAzADQAMQA1ADMAMwA1ADAASQBEAEUAQQA6=&amp;Tipo=2&amp;ST=1&amp;nLang=0"/>
  </r>
  <r>
    <x v="14"/>
    <s v="OP-S-011"/>
    <x v="14"/>
    <s v="Sin Auxiliar"/>
    <x v="26"/>
    <d v="2025-06-17T00:00:00"/>
    <n v="33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1ADQAOAAwADUASQBEAEUAQQA4=&amp;Tipo=2&amp;ST=1&amp;nLang=0"/>
  </r>
  <r>
    <x v="18"/>
    <s v="OP-S-002"/>
    <x v="6"/>
    <s v="Sin Auxiliar"/>
    <x v="26"/>
    <d v="2025-06-17T00:00:00"/>
    <n v="28"/>
    <x v="0"/>
    <n v="21"/>
    <n v="0"/>
    <n v="0"/>
    <n v="1"/>
    <n v="0"/>
    <n v="0"/>
    <n v="0"/>
    <n v="0"/>
    <n v="21"/>
    <n v="0"/>
    <n v="0"/>
    <n v="0"/>
    <n v="0"/>
    <n v="0"/>
    <n v="0"/>
    <n v="0"/>
    <s v="https://www.clickideacore.com/ClickHTML5/Visit.aspx?ID=//57DAEwASwAzADQAMQA0ADcANwA2ADQASQBEAEUAQQA5=&amp;Tipo=2&amp;ST=1&amp;nLang=0"/>
  </r>
  <r>
    <x v="15"/>
    <s v="OP-S-054"/>
    <x v="16"/>
    <s v="Sin Auxiliar"/>
    <x v="26"/>
    <d v="2025-06-17T00:00:00"/>
    <n v="24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QA0ADAANgAzADIASQBEAEUAQQA9=&amp;Tipo=2&amp;ST=1&amp;nLang=0"/>
  </r>
  <r>
    <x v="5"/>
    <s v="OP-S-054"/>
    <x v="15"/>
    <s v="Sin Auxiliar"/>
    <x v="26"/>
    <d v="2025-06-17T00:00:00"/>
    <n v="24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QA0ADAANgAzADIASQBEAEUAQQA9=&amp;Tipo=2&amp;ST=1&amp;nLang=0"/>
  </r>
  <r>
    <x v="16"/>
    <s v="OP-S-054"/>
    <x v="13"/>
    <s v="Sin Auxiliar"/>
    <x v="26"/>
    <d v="2025-06-17T00:00:00"/>
    <n v="24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QA0ADAANgAzADIASQBEAEUAQQA9=&amp;Tipo=2&amp;ST=1&amp;nLang=0"/>
  </r>
  <r>
    <x v="13"/>
    <s v="OP-S-054"/>
    <x v="15"/>
    <s v="Sin Auxiliar"/>
    <x v="26"/>
    <d v="2025-06-17T00:00:00"/>
    <n v="2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QA0ADAANgAzADIASQBEAEUAQQA9=&amp;Tipo=2&amp;ST=1&amp;nLang=0"/>
  </r>
  <r>
    <x v="16"/>
    <s v="OP-S-054"/>
    <x v="5"/>
    <s v="Sin Auxiliar"/>
    <x v="26"/>
    <d v="2025-06-17T00:00:00"/>
    <n v="24"/>
    <x v="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QA0ADAANgAzADIASQBEAEUAQQA9=&amp;Tipo=2&amp;ST=1&amp;nLang=0"/>
  </r>
  <r>
    <x v="0"/>
    <s v="OP-S-106"/>
    <x v="0"/>
    <s v="Sin Auxiliar"/>
    <x v="27"/>
    <d v="2025-06-18T00:00:00"/>
    <n v="59"/>
    <x v="0"/>
    <n v="5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QAMQA4ADAANAA4ADEASQBEAEUAQQA7=&amp;Tipo=2&amp;ST=1&amp;nLang=0"/>
  </r>
  <r>
    <x v="1"/>
    <s v="OP-S-013"/>
    <x v="1"/>
    <s v="Sin Auxiliar"/>
    <x v="27"/>
    <d v="2025-06-18T00:00:00"/>
    <n v="29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MQA2ADgAMAAyADgASQBEAEUAQQA1=&amp;Tipo=2&amp;ST=1&amp;nLang=0"/>
  </r>
  <r>
    <x v="2"/>
    <s v="OP-S-009"/>
    <x v="21"/>
    <s v="Sin Auxiliar"/>
    <x v="27"/>
    <d v="2025-06-18T00:00:00"/>
    <n v="86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MQA2ADcANgA5ADkASQBEAEUAQQA4=&amp;Tipo=2&amp;ST=1&amp;nLang=0"/>
  </r>
  <r>
    <x v="3"/>
    <s v="OP-S-009"/>
    <x v="3"/>
    <s v="Sin Auxiliar"/>
    <x v="27"/>
    <d v="2025-06-18T00:00:00"/>
    <n v="86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2ADcANgA5ADkASQBEAEUAQQA4=&amp;Tipo=2&amp;ST=1&amp;nLang=0"/>
  </r>
  <r>
    <x v="4"/>
    <s v="OP-S-018"/>
    <x v="4"/>
    <s v="Sin Auxiliar"/>
    <x v="27"/>
    <d v="2025-06-18T00:00:00"/>
    <n v="69"/>
    <x v="0"/>
    <n v="11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FDAEwASwAzADQAMQA3ADMAMAAxADAASQBEAEUAQQAA=&amp;Tipo=2&amp;ST=1&amp;nLang=0"/>
  </r>
  <r>
    <x v="5"/>
    <s v="OP-S-055"/>
    <x v="5"/>
    <s v="Sin Auxiliar"/>
    <x v="27"/>
    <d v="2025-06-18T00:00:00"/>
    <n v="28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QA3ADkAMwAyADAASQBEAEUAQQAC=&amp;Tipo=2&amp;ST=1&amp;nLang=0"/>
  </r>
  <r>
    <x v="19"/>
    <s v="OP-SDYR-001"/>
    <x v="9"/>
    <s v="Sin Auxiliar"/>
    <x v="27"/>
    <d v="2025-06-18T00:00:00"/>
    <n v="23"/>
    <x v="0"/>
    <n v="7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MQA3ADkAOAAyADMASQBEAEUAQQAD=&amp;Tipo=2&amp;ST=1&amp;nLang=0"/>
  </r>
  <r>
    <x v="6"/>
    <s v="OP-S-R-001"/>
    <x v="6"/>
    <s v="Sin Auxiliar"/>
    <x v="27"/>
    <d v="2025-06-18T00:00:00"/>
    <n v="58"/>
    <x v="0"/>
    <n v="35"/>
    <n v="0"/>
    <n v="0"/>
    <n v="0"/>
    <n v="0"/>
    <n v="0"/>
    <n v="0"/>
    <n v="0"/>
    <n v="35"/>
    <n v="0"/>
    <n v="0"/>
    <n v="0"/>
    <n v="0"/>
    <n v="0"/>
    <n v="0"/>
    <n v="0"/>
    <s v="https://www.clickideacore.com/ClickHTML5/Visit.aspx?ID=//5ADAEwASwAzADQAMQA2ADkAOAA4ADcASQBEAEUAQQAF=&amp;Tipo=2&amp;ST=1&amp;nLang=0"/>
  </r>
  <r>
    <x v="7"/>
    <s v="OP-S-010"/>
    <x v="7"/>
    <s v="Sin Auxiliar"/>
    <x v="27"/>
    <d v="2025-06-18T00:00:00"/>
    <n v="126"/>
    <x v="0"/>
    <n v="3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QAMQA2ADUANwAxADUASQBEAEUAQQAA=&amp;Tipo=2&amp;ST=1&amp;nLang=0"/>
  </r>
  <r>
    <x v="8"/>
    <s v="OP-S-004"/>
    <x v="8"/>
    <s v="Sin Auxiliar"/>
    <x v="27"/>
    <d v="2025-06-18T00:00:00"/>
    <n v="64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QA2ADgAMQAyADcASQBEAEUAQQAE=&amp;Tipo=2&amp;ST=1&amp;nLang=0"/>
  </r>
  <r>
    <x v="10"/>
    <s v="OP-S-017"/>
    <x v="10"/>
    <s v="Sin Auxiliar"/>
    <x v="27"/>
    <d v="2025-06-18T00:00:00"/>
    <n v="54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MQA2ADYAMQA4ADgASQBEAEUAQQA7=&amp;Tipo=2&amp;ST=1&amp;nLang=0"/>
  </r>
  <r>
    <x v="11"/>
    <s v="OP-S-126"/>
    <x v="17"/>
    <s v="Sin Auxiliar"/>
    <x v="27"/>
    <d v="2025-06-18T00:00:00"/>
    <n v="1762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QA3ADAAMAAzADEASQBEAEUAQQAE=&amp;Tipo=2&amp;ST=1&amp;nLang=0"/>
  </r>
  <r>
    <x v="12"/>
    <s v="OP-S-70"/>
    <x v="12"/>
    <s v="Sin Auxiliar"/>
    <x v="27"/>
    <d v="2025-06-18T00:00:00"/>
    <n v="25"/>
    <x v="0"/>
    <n v="38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BDAEwASwAzADQAMQA3ADkAMQA1ADIASQBEAEUAQQAA=&amp;Tipo=2&amp;ST=1&amp;nLang=0"/>
  </r>
  <r>
    <x v="13"/>
    <s v="OP-S-060"/>
    <x v="13"/>
    <s v="Sin Auxiliar"/>
    <x v="27"/>
    <d v="2025-06-18T00:00:00"/>
    <n v="78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QAMQA3ADgANwA0ADcASQBEAEUAQQA4=&amp;Tipo=2&amp;ST=1&amp;nLang=0"/>
  </r>
  <r>
    <x v="14"/>
    <s v="OP-S-011"/>
    <x v="14"/>
    <s v="Sin Auxiliar"/>
    <x v="27"/>
    <d v="2025-06-18T00:00:00"/>
    <n v="39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QA4ADAANAA3ADAASQBEAEUAQQA7=&amp;Tipo=2&amp;ST=1&amp;nLang=0"/>
  </r>
  <r>
    <x v="18"/>
    <s v="OP-S-002"/>
    <x v="6"/>
    <s v="Sin Auxiliar"/>
    <x v="27"/>
    <d v="2025-06-18T00:00:00"/>
    <n v="42"/>
    <x v="0"/>
    <n v="28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FDAEwASwAzADQAMQA3ADIANgA2ADIASQBEAEUAQQA8=&amp;Tipo=2&amp;ST=1&amp;nLang=0"/>
  </r>
  <r>
    <x v="15"/>
    <s v="OP-S-054"/>
    <x v="16"/>
    <s v="Sin Auxiliar"/>
    <x v="27"/>
    <d v="2025-06-18T00:00:00"/>
    <n v="25"/>
    <x v="0"/>
    <n v="5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MQA2ADUAOAAzADQASQBEAEUAQQAF=&amp;Tipo=2&amp;ST=1&amp;nLang=0"/>
  </r>
  <r>
    <x v="0"/>
    <s v="OP-S-106"/>
    <x v="0"/>
    <s v="Sin Auxiliar"/>
    <x v="28"/>
    <d v="2025-06-19T00:00:00"/>
    <n v="46"/>
    <x v="0"/>
    <n v="4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QAMgAwADQANQAwADQASQBEAEUAQQA9=&amp;Tipo=2&amp;ST=1&amp;nLang=0"/>
  </r>
  <r>
    <x v="1"/>
    <s v="OP-S-013"/>
    <x v="1"/>
    <s v="Sin Auxiliar"/>
    <x v="28"/>
    <d v="2025-06-19T00:00:00"/>
    <n v="42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MQA5ADIAMAA3ADIASQBEAEUAQQA2=&amp;Tipo=2&amp;ST=1&amp;nLang=0"/>
  </r>
  <r>
    <x v="4"/>
    <s v="OP-S-018"/>
    <x v="4"/>
    <s v="Sin Auxiliar"/>
    <x v="28"/>
    <d v="2025-06-19T00:00:00"/>
    <n v="73"/>
    <x v="0"/>
    <n v="7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BDAEwASwAzADQAMQA5ADMANgAyADgASQBEAEUAQQA5=&amp;Tipo=2&amp;ST=1&amp;nLang=0"/>
  </r>
  <r>
    <x v="5"/>
    <s v="OP-S-055"/>
    <x v="5"/>
    <s v="Sin Auxiliar"/>
    <x v="28"/>
    <d v="2025-06-19T00:00:00"/>
    <n v="25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MgAwADMAOAA4ADEASQBEAEUAQQA2=&amp;Tipo=2&amp;ST=1&amp;nLang=0"/>
  </r>
  <r>
    <x v="19"/>
    <s v="OP-SDYR-001"/>
    <x v="9"/>
    <s v="Sin Auxiliar"/>
    <x v="28"/>
    <d v="2025-06-19T00:00:00"/>
    <n v="24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gAwADEANAA1ADMASQBEAEUAQQA4=&amp;Tipo=2&amp;ST=1&amp;nLang=0"/>
  </r>
  <r>
    <x v="6"/>
    <s v="OP-S-R-001"/>
    <x v="6"/>
    <s v="Sin Auxiliar"/>
    <x v="28"/>
    <d v="2025-06-19T00:00:00"/>
    <n v="49"/>
    <x v="0"/>
    <n v="32"/>
    <n v="0"/>
    <n v="0"/>
    <n v="0"/>
    <n v="0"/>
    <n v="0"/>
    <n v="0"/>
    <n v="0"/>
    <n v="32"/>
    <n v="0"/>
    <n v="0"/>
    <n v="0"/>
    <n v="0"/>
    <n v="0"/>
    <n v="0"/>
    <n v="0"/>
    <s v="https://www.clickideacore.com/ClickHTML5/Visit.aspx?ID=//5EDAEwASwAzADQAMQA5ADQAMgA4ADcASQBEAEUAQQAA=&amp;Tipo=2&amp;ST=1&amp;nLang=0"/>
  </r>
  <r>
    <x v="8"/>
    <s v="OP-S-004"/>
    <x v="8"/>
    <s v="Sin Auxiliar"/>
    <x v="28"/>
    <d v="2025-06-19T00:00:00"/>
    <n v="41"/>
    <x v="0"/>
    <n v="4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QA5ADgAOQA4ADIASQBEAEUAQQA3=&amp;Tipo=2&amp;ST=1&amp;nLang=0"/>
  </r>
  <r>
    <x v="10"/>
    <s v="OP-S-017"/>
    <x v="10"/>
    <s v="Sin Auxiliar"/>
    <x v="28"/>
    <d v="2025-06-19T00:00:00"/>
    <n v="54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4ADEASQBEAEUAQQA2=&amp;Tipo=2&amp;ST=1&amp;nLang=0"/>
  </r>
  <r>
    <x v="11"/>
    <s v="OP-S-126"/>
    <x v="17"/>
    <s v="Sin Auxiliar"/>
    <x v="28"/>
    <d v="2025-06-19T00:00:00"/>
    <n v="267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MQA5ADkANAA4ADkASQBEAEUAQQAD=&amp;Tipo=2&amp;ST=1&amp;nLang=0"/>
  </r>
  <r>
    <x v="12"/>
    <s v="OP-S-70"/>
    <x v="12"/>
    <s v="Sin Auxiliar"/>
    <x v="28"/>
    <d v="2025-06-19T00:00:00"/>
    <n v="22"/>
    <x v="0"/>
    <n v="20"/>
    <n v="0"/>
    <n v="0"/>
    <n v="1"/>
    <n v="1"/>
    <n v="0"/>
    <n v="1"/>
    <n v="0"/>
    <n v="30"/>
    <n v="0"/>
    <n v="0"/>
    <n v="0"/>
    <n v="0"/>
    <n v="0"/>
    <n v="0"/>
    <n v="0"/>
    <s v="https://www.clickideacore.com/ClickHTML5/Visit.aspx?ID=//55DAEwASwAzADQAMgAwADIANgA4ADAASQBEAEUAQQA2=&amp;Tipo=2&amp;ST=1&amp;nLang=0"/>
  </r>
  <r>
    <x v="13"/>
    <s v="OP-S-060"/>
    <x v="13"/>
    <s v="Sin Auxiliar"/>
    <x v="28"/>
    <d v="2025-06-19T00:00:00"/>
    <n v="104"/>
    <x v="0"/>
    <n v="2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QAMQA5ADkANAA1ADgASQBEAEUAQQA4=&amp;Tipo=2&amp;ST=1&amp;nLang=0"/>
  </r>
  <r>
    <x v="18"/>
    <s v="OP-S-002"/>
    <x v="6"/>
    <s v="Sin Auxiliar"/>
    <x v="28"/>
    <d v="2025-06-19T00:00:00"/>
    <n v="44"/>
    <x v="0"/>
    <n v="17"/>
    <n v="0"/>
    <n v="0"/>
    <n v="1"/>
    <n v="0"/>
    <n v="0"/>
    <n v="0"/>
    <n v="0"/>
    <n v="17"/>
    <n v="0"/>
    <n v="0"/>
    <n v="0"/>
    <n v="0"/>
    <n v="0"/>
    <n v="0"/>
    <n v="0"/>
    <s v="https://www.clickideacore.com/ClickHTML5/Visit.aspx?ID=//53DAEwASwAzADQAMQA5ADYAMgAxADYASQBEAEUAQQA2=&amp;Tipo=2&amp;ST=1&amp;nLang=0"/>
  </r>
  <r>
    <x v="3"/>
    <s v="OP-S-002"/>
    <x v="15"/>
    <s v="Sin Auxiliar"/>
    <x v="28"/>
    <d v="2025-06-19T00:00:00"/>
    <n v="44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16"/>
    <s v="OP-S-002"/>
    <x v="21"/>
    <s v="Sin Auxiliar"/>
    <x v="28"/>
    <d v="2025-06-19T00:00:00"/>
    <n v="44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16"/>
    <s v="OP-S-002"/>
    <x v="3"/>
    <s v="Sin Auxiliar"/>
    <x v="28"/>
    <d v="2025-06-19T00:00:00"/>
    <n v="44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14"/>
    <s v="OP-S-002"/>
    <x v="14"/>
    <s v="Sin Auxiliar"/>
    <x v="28"/>
    <d v="2025-06-19T00:00:00"/>
    <n v="44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16"/>
    <s v="OP-S-002"/>
    <x v="16"/>
    <s v="Sin Auxiliar"/>
    <x v="28"/>
    <d v="2025-06-19T00:00:00"/>
    <n v="44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7"/>
    <s v="OP-S-002"/>
    <x v="7"/>
    <s v="Sin Auxiliar"/>
    <x v="28"/>
    <d v="2025-06-19T00:00:00"/>
    <n v="44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2"/>
    <s v="OP-S-002"/>
    <x v="15"/>
    <s v="Sin Auxiliar"/>
    <x v="28"/>
    <d v="2025-06-19T00:00:00"/>
    <n v="44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15"/>
    <s v="OP-S-002"/>
    <x v="15"/>
    <s v="Sin Auxiliar"/>
    <x v="28"/>
    <d v="2025-06-19T00:00:00"/>
    <n v="44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QA5ADYAMgAxADYASQBEAEUAQQA2=&amp;Tipo=2&amp;ST=1&amp;nLang=0"/>
  </r>
  <r>
    <x v="8"/>
    <s v="OP-S-004"/>
    <x v="8"/>
    <s v="Sin Auxiliar"/>
    <x v="29"/>
    <d v="2025-06-20T00:00:00"/>
    <n v="129"/>
    <x v="0"/>
    <n v="0"/>
    <n v="0"/>
    <n v="0"/>
    <n v="0"/>
    <n v="0"/>
    <n v="0"/>
    <n v="0"/>
    <n v="0"/>
    <n v="10"/>
    <n v="0"/>
    <n v="1"/>
    <n v="52"/>
    <n v="5"/>
    <n v="0"/>
    <n v="1"/>
    <n v="0"/>
    <s v="https://www.clickideacore.com/ClickHTML5/Visit.aspx?ID=//58DAEwASwAzADQAMgAyADQAMAA5ADQASQBEAEUAQQA2=&amp;Tipo=2&amp;ST=1&amp;nLang=0"/>
  </r>
  <r>
    <x v="8"/>
    <s v="OP-S-004"/>
    <x v="8"/>
    <s v="Sin Auxiliar"/>
    <x v="30"/>
    <d v="2025-06-21T00:00:00"/>
    <n v="101"/>
    <x v="0"/>
    <n v="0"/>
    <n v="0"/>
    <n v="0"/>
    <n v="0"/>
    <n v="0"/>
    <n v="0"/>
    <n v="0"/>
    <n v="0"/>
    <n v="10"/>
    <n v="1"/>
    <n v="0"/>
    <n v="26"/>
    <n v="19"/>
    <n v="1"/>
    <n v="0"/>
    <n v="0"/>
    <s v="https://www.clickideacore.com/ClickHTML5/Visit.aspx?ID=//50DAEwASwAzADQAMgAzADgAMAA0ADYASQBEAEUAQQA6=&amp;Tipo=2&amp;ST=1&amp;nLang=0"/>
  </r>
  <r>
    <x v="14"/>
    <s v="OP-S-011"/>
    <x v="14"/>
    <s v="Sin Auxiliar"/>
    <x v="30"/>
    <d v="2025-06-21T00:00:00"/>
    <n v="61"/>
    <x v="0"/>
    <n v="0"/>
    <n v="0"/>
    <n v="0"/>
    <n v="0"/>
    <n v="0"/>
    <n v="0"/>
    <n v="0"/>
    <n v="0"/>
    <n v="10"/>
    <n v="1"/>
    <n v="0"/>
    <n v="29"/>
    <n v="27"/>
    <n v="1"/>
    <n v="0"/>
    <n v="0"/>
    <s v="https://www.clickideacore.com/ClickHTML5/Visit.aspx?ID=//54DAEwASwAzADQAMgAzADgANgAxADMASQBEAEUAQQA8=&amp;Tipo=2&amp;ST=1&amp;nLang=0"/>
  </r>
  <r>
    <x v="8"/>
    <s v="OP-S-004"/>
    <x v="8"/>
    <s v="Sin Auxiliar"/>
    <x v="31"/>
    <d v="2025-06-22T00:00:00"/>
    <n v="81"/>
    <x v="0"/>
    <n v="0"/>
    <n v="0"/>
    <n v="0"/>
    <n v="0"/>
    <n v="0"/>
    <n v="0"/>
    <n v="0"/>
    <n v="0"/>
    <n v="16"/>
    <n v="0"/>
    <n v="1"/>
    <n v="16"/>
    <n v="119"/>
    <n v="0"/>
    <n v="1"/>
    <n v="0"/>
    <s v="https://www.clickideacore.com/ClickHTML5/Visit.aspx?ID=//56DAEwASwAzADQAMgA0ADUANAA2ADYASQBEAEUAQQAF=&amp;Tipo=2&amp;ST=1&amp;nLang=0"/>
  </r>
  <r>
    <x v="0"/>
    <s v="OP-S-013"/>
    <x v="0"/>
    <s v="Sin Auxiliar"/>
    <x v="32"/>
    <d v="2025-06-23T00:00:00"/>
    <n v="28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MgA1ADQANgAwADMASQBEAEUAQQA1=&amp;Tipo=2&amp;ST=1&amp;nLang=0"/>
  </r>
  <r>
    <x v="1"/>
    <s v="OP-S-013"/>
    <x v="1"/>
    <s v="Sin Auxiliar"/>
    <x v="32"/>
    <d v="2025-06-23T00:00:00"/>
    <n v="28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MgA1ADQANgAwADMASQBEAEUAQQA1=&amp;Tipo=2&amp;ST=1&amp;nLang=0"/>
  </r>
  <r>
    <x v="2"/>
    <s v="OP-S-009"/>
    <x v="21"/>
    <s v="Sin Auxiliar"/>
    <x v="32"/>
    <d v="2025-06-23T00:00:00"/>
    <n v="49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MgA1ADIANgA0ADQASQBEAEUAQQAA=&amp;Tipo=2&amp;ST=1&amp;nLang=0"/>
  </r>
  <r>
    <x v="3"/>
    <s v="OP-S-062"/>
    <x v="3"/>
    <s v="Sin Auxiliar"/>
    <x v="32"/>
    <d v="2025-06-23T00:00:00"/>
    <n v="30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gA1ADUAMwA5ADAASQBEAEUAQQAC=&amp;Tipo=2&amp;ST=1&amp;nLang=0"/>
  </r>
  <r>
    <x v="4"/>
    <s v="OP-S-018"/>
    <x v="4"/>
    <s v="Sin Auxiliar"/>
    <x v="32"/>
    <d v="2025-06-23T00:00:00"/>
    <n v="52"/>
    <x v="0"/>
    <n v="11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QAMgA1ADQAMQAyADIASQBEAEUAQQA0=&amp;Tipo=2&amp;ST=1&amp;nLang=0"/>
  </r>
  <r>
    <x v="5"/>
    <s v="OP-S-055"/>
    <x v="5"/>
    <s v="Sin Auxiliar"/>
    <x v="32"/>
    <d v="2025-06-23T00:00:00"/>
    <n v="25"/>
    <x v="0"/>
    <n v="56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9DAEwASwAzADQAMgA1ADcAOQAwADYASQBEAEUAQQA3=&amp;Tipo=2&amp;ST=1&amp;nLang=0"/>
  </r>
  <r>
    <x v="23"/>
    <s v="OP-S-056"/>
    <x v="10"/>
    <s v="Sin Auxiliar"/>
    <x v="32"/>
    <d v="2025-06-23T00:00:00"/>
    <n v="26"/>
    <x v="0"/>
    <n v="6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1ADcAOQAwADYASQBEAEUAQQA3=&amp;Tipo=2&amp;ST=1&amp;nLang=0"/>
  </r>
  <r>
    <x v="19"/>
    <s v="OP-SDYR-001"/>
    <x v="9"/>
    <s v="Sin Auxiliar"/>
    <x v="32"/>
    <d v="2025-06-23T00:00:00"/>
    <n v="28"/>
    <x v="0"/>
    <n v="7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gA1ADcAOQAzADMASQBEAEUAQQAB=&amp;Tipo=2&amp;ST=1&amp;nLang=0"/>
  </r>
  <r>
    <x v="6"/>
    <s v="OP-S-R-001"/>
    <x v="6"/>
    <s v="Sin Auxiliar"/>
    <x v="32"/>
    <d v="2025-06-23T00:00:00"/>
    <n v="76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MgA1ADYANwAzADYASQBEAEUAQQAC=&amp;Tipo=2&amp;ST=1&amp;nLang=0"/>
  </r>
  <r>
    <x v="7"/>
    <s v="OP-S-010"/>
    <x v="18"/>
    <s v="Sin Auxiliar"/>
    <x v="32"/>
    <d v="2025-06-23T00:00:00"/>
    <n v="182"/>
    <x v="0"/>
    <n v="3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QAMgA1ADMAOQA4ADEASQBEAEUAQQA8=&amp;Tipo=2&amp;ST=1&amp;nLang=0"/>
  </r>
  <r>
    <x v="20"/>
    <s v="OP-S-010"/>
    <x v="18"/>
    <s v="Sin Auxiliar"/>
    <x v="32"/>
    <d v="2025-06-23T00:00:00"/>
    <n v="182"/>
    <x v="0"/>
    <n v="3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QAMgA1ADMAOQA4ADEASQBEAEUAQQA8=&amp;Tipo=2&amp;ST=1&amp;nLang=0"/>
  </r>
  <r>
    <x v="8"/>
    <s v="OP-S-004"/>
    <x v="8"/>
    <s v="Sin Auxiliar"/>
    <x v="32"/>
    <d v="2025-06-23T00:00:00"/>
    <n v="43"/>
    <x v="0"/>
    <n v="5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MgA1ADQAOQAwADgASQBEAEUAQQAB=&amp;Tipo=2&amp;ST=1&amp;nLang=0"/>
  </r>
  <r>
    <x v="11"/>
    <s v="OP-S-126"/>
    <x v="18"/>
    <s v="Sin Auxiliar"/>
    <x v="32"/>
    <d v="2025-06-23T00:00:00"/>
    <n v="48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gA1ADMAMQA4ADEASQBEAEUAQQA8=&amp;Tipo=2&amp;ST=1&amp;nLang=0"/>
  </r>
  <r>
    <x v="17"/>
    <s v="OP-S-126"/>
    <x v="18"/>
    <s v="Sin Auxiliar"/>
    <x v="32"/>
    <d v="2025-06-23T00:00:00"/>
    <n v="48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gA1ADMAMQA4ADEASQBEAEUAQQA8=&amp;Tipo=2&amp;ST=1&amp;nLang=0"/>
  </r>
  <r>
    <x v="12"/>
    <s v="OP-S-70"/>
    <x v="12"/>
    <s v="Sin Auxiliar"/>
    <x v="32"/>
    <d v="2025-06-23T00:00:00"/>
    <n v="24"/>
    <x v="0"/>
    <n v="26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3DAEwASwAzADQAMgA1ADcAMwA2ADEASQBEAEUAQQA6=&amp;Tipo=2&amp;ST=1&amp;nLang=0"/>
  </r>
  <r>
    <x v="13"/>
    <s v="OP-S-060"/>
    <x v="13"/>
    <s v="Sin Auxiliar"/>
    <x v="32"/>
    <d v="2025-06-23T00:00:00"/>
    <n v="57"/>
    <x v="0"/>
    <n v="4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QAMgA1ADcAMwA5ADYASQBEAEUAQQA4=&amp;Tipo=2&amp;ST=1&amp;nLang=0"/>
  </r>
  <r>
    <x v="14"/>
    <s v="OP-S-061"/>
    <x v="14"/>
    <s v="Sin Auxiliar"/>
    <x v="32"/>
    <d v="2025-06-23T00:00:00"/>
    <n v="58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1ADcAOQAwADYASQBEAEUAQQA3=&amp;Tipo=2&amp;ST=1&amp;nLang=0"/>
  </r>
  <r>
    <x v="18"/>
    <s v="OP-S-002"/>
    <x v="6"/>
    <s v="Sin Auxiliar"/>
    <x v="32"/>
    <d v="2025-06-23T00:00:00"/>
    <n v="40"/>
    <x v="0"/>
    <n v="29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ADAEwASwAzADQAMgA1ADQANwA5ADYASQBEAEUAQQA1=&amp;Tipo=2&amp;ST=1&amp;nLang=0"/>
  </r>
  <r>
    <x v="15"/>
    <s v="OP-S-054"/>
    <x v="23"/>
    <s v="Sin Auxiliar"/>
    <x v="32"/>
    <d v="2025-06-23T00:00:00"/>
    <n v="41"/>
    <x v="0"/>
    <n v="5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gA1ADEAMQA4ADUASQBEAEUAQQAB=&amp;Tipo=2&amp;ST=1&amp;nLang=0"/>
  </r>
  <r>
    <x v="10"/>
    <s v="OP-S-055"/>
    <x v="18"/>
    <s v="Sin Auxiliar"/>
    <x v="32"/>
    <d v="2025-06-23T00:00:00"/>
    <n v="41"/>
    <x v="0"/>
    <n v="11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gA1ADEAMQA4ADUASQBEAEUAQQAB=&amp;Tipo=2&amp;ST=1&amp;nLang=0"/>
  </r>
  <r>
    <x v="9"/>
    <s v="OP-S-056"/>
    <x v="18"/>
    <s v="Sin Auxiliar"/>
    <x v="32"/>
    <d v="2025-06-23T00:00:00"/>
    <n v="26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1ADcAOQAwADYASQBEAEUAQQA3=&amp;Tipo=2&amp;ST=1&amp;nLang=0"/>
  </r>
  <r>
    <x v="0"/>
    <s v="OP-S-106"/>
    <x v="13"/>
    <s v="Sin Auxiliar"/>
    <x v="33"/>
    <d v="2025-06-24T00:00:00"/>
    <n v="50"/>
    <x v="0"/>
    <n v="4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QAMgA4ADEANQA1ADcASQBEAEUAQQAF=&amp;Tipo=2&amp;ST=1&amp;nLang=0"/>
  </r>
  <r>
    <x v="1"/>
    <s v="OP-S-013"/>
    <x v="1"/>
    <s v="Sin Auxiliar"/>
    <x v="33"/>
    <d v="2025-06-24T00:00:00"/>
    <n v="33"/>
    <x v="0"/>
    <n v="7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MgA2ADkAOQAzADAASQBEAEUAQQAB=&amp;Tipo=2&amp;ST=1&amp;nLang=0"/>
  </r>
  <r>
    <x v="2"/>
    <s v="OP-S-009"/>
    <x v="21"/>
    <s v="Sin Auxiliar"/>
    <x v="33"/>
    <d v="2025-06-24T00:00:00"/>
    <n v="71"/>
    <x v="0"/>
    <n v="5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3ADAANAAwADQASQBEAEUAQQA9=&amp;Tipo=2&amp;ST=1&amp;nLang=0"/>
  </r>
  <r>
    <x v="3"/>
    <s v="OP-S-062"/>
    <x v="3"/>
    <s v="Sin Auxiliar"/>
    <x v="32"/>
    <d v="2025-06-23T00:00:00"/>
    <n v="30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gA1ADUAMwA5ADAASQBEAEUAQQAC=&amp;Tipo=2&amp;ST=1&amp;nLang=0"/>
  </r>
  <r>
    <x v="4"/>
    <s v="OP-S-018"/>
    <x v="4"/>
    <s v="Sin Auxiliar"/>
    <x v="33"/>
    <d v="2025-06-24T00:00:00"/>
    <n v="48"/>
    <x v="0"/>
    <n v="7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CDAEwASwAzADQAMgA3ADEAMgA5ADcASQBEAEUAQQAE=&amp;Tipo=2&amp;ST=1&amp;nLang=0"/>
  </r>
  <r>
    <x v="6"/>
    <s v="OP-S-R-001"/>
    <x v="6"/>
    <s v="Sin Auxiliar"/>
    <x v="33"/>
    <d v="2025-06-24T00:00:00"/>
    <n v="65"/>
    <x v="0"/>
    <n v="36"/>
    <n v="0"/>
    <n v="0"/>
    <n v="0"/>
    <n v="0"/>
    <n v="0"/>
    <n v="0"/>
    <n v="0"/>
    <n v="36"/>
    <n v="0"/>
    <n v="0"/>
    <n v="0"/>
    <n v="0"/>
    <n v="0"/>
    <n v="0"/>
    <n v="0"/>
    <s v="https://www.clickideacore.com/ClickHTML5/Visit.aspx?ID=//50DAEwASwAzADQAMgA3ADMAOAA0ADAASQBEAEUAQQA3=&amp;Tipo=2&amp;ST=1&amp;nLang=0"/>
  </r>
  <r>
    <x v="7"/>
    <s v="OP-S-010"/>
    <x v="18"/>
    <s v="Sin Auxiliar"/>
    <x v="33"/>
    <d v="2025-06-24T00:00:00"/>
    <n v="35"/>
    <x v="0"/>
    <n v="1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EANgA5ADgASQBEAEUAQQAC=&amp;Tipo=2&amp;ST=1&amp;nLang=0"/>
  </r>
  <r>
    <x v="20"/>
    <s v="OP-S-010"/>
    <x v="18"/>
    <s v="Sin Auxiliar"/>
    <x v="33"/>
    <d v="2025-06-24T00:00:00"/>
    <n v="35"/>
    <x v="0"/>
    <n v="1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EANgA5ADgASQBEAEUAQQAC=&amp;Tipo=2&amp;ST=1&amp;nLang=0"/>
  </r>
  <r>
    <x v="8"/>
    <s v="OP-S-004"/>
    <x v="8"/>
    <s v="Sin Auxiliar"/>
    <x v="33"/>
    <d v="2025-06-24T00:00:00"/>
    <n v="54"/>
    <x v="0"/>
    <n v="3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MgA3ADMAOQAzADkASQBEAEUAQQA0=&amp;Tipo=2&amp;ST=1&amp;nLang=0"/>
  </r>
  <r>
    <x v="9"/>
    <s v="OP-S-001"/>
    <x v="9"/>
    <s v="Sin Auxiliar"/>
    <x v="33"/>
    <d v="2025-06-24T00:00:00"/>
    <n v="45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gA3ADYANgA0ADMASQBEAEUAQQAC=&amp;Tipo=2&amp;ST=1&amp;nLang=0"/>
  </r>
  <r>
    <x v="10"/>
    <s v="OP-S-017"/>
    <x v="10"/>
    <s v="Sin Auxiliar"/>
    <x v="33"/>
    <d v="2025-06-24T00:00:00"/>
    <n v="107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MgA3ADMAOQA2ADcASQBEAEUAQQA5=&amp;Tipo=2&amp;ST=1&amp;nLang=0"/>
  </r>
  <r>
    <x v="11"/>
    <s v="OP-S-126"/>
    <x v="18"/>
    <s v="Sin Auxiliar"/>
    <x v="33"/>
    <d v="2025-06-24T00:00:00"/>
    <n v="3268"/>
    <x v="0"/>
    <n v="6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gA3ADkANwA2ADgASQBEAEUAQQAC=&amp;Tipo=2&amp;ST=1&amp;nLang=0"/>
  </r>
  <r>
    <x v="17"/>
    <s v="OP-S-126"/>
    <x v="18"/>
    <s v="Sin Auxiliar"/>
    <x v="33"/>
    <d v="2025-06-24T00:00:00"/>
    <n v="3268"/>
    <x v="0"/>
    <n v="6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gA3ADkANwA2ADgASQBEAEUAQQAC=&amp;Tipo=2&amp;ST=1&amp;nLang=0"/>
  </r>
  <r>
    <x v="12"/>
    <s v="OP-S-70"/>
    <x v="12"/>
    <s v="Sin Auxiliar"/>
    <x v="33"/>
    <d v="2025-06-24T00:00:00"/>
    <n v="99"/>
    <x v="0"/>
    <n v="20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FDAEwASwAzADQAMgA4ADAAOQA3ADIASQBEAEUAQQA5=&amp;Tipo=2&amp;ST=1&amp;nLang=0"/>
  </r>
  <r>
    <x v="14"/>
    <s v="OP-S-011"/>
    <x v="14"/>
    <s v="Sin Auxiliar"/>
    <x v="33"/>
    <d v="2025-06-24T00:00:00"/>
    <n v="35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MgA4ADIAMAA4ADUASQBEAEUAQQA4=&amp;Tipo=2&amp;ST=1&amp;nLang=0"/>
  </r>
  <r>
    <x v="18"/>
    <s v="OP-S-002"/>
    <x v="6"/>
    <s v="Sin Auxiliar"/>
    <x v="33"/>
    <d v="2025-06-24T00:00:00"/>
    <n v="33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6DAEwASwAzADQAMgA3ADUANwAzADEASQBEAEUAQQAA=&amp;Tipo=2&amp;ST=1&amp;nLang=0"/>
  </r>
  <r>
    <x v="15"/>
    <s v="OP-S-054"/>
    <x v="23"/>
    <s v="Sin Auxiliar"/>
    <x v="33"/>
    <d v="2025-06-24T00:00:00"/>
    <n v="22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13"/>
    <s v="OP-S-055"/>
    <x v="18"/>
    <s v="Sin Auxiliar"/>
    <x v="33"/>
    <d v="2025-06-24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22"/>
    <s v="OP-S-056"/>
    <x v="18"/>
    <s v="Sin Auxiliar"/>
    <x v="33"/>
    <d v="2025-06-24T00:00:00"/>
    <n v="2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23"/>
    <s v="OP-S-057"/>
    <x v="5"/>
    <s v="Sin Auxiliar"/>
    <x v="33"/>
    <d v="2025-06-24T00:00:00"/>
    <n v="25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23"/>
    <s v="OP-S-058"/>
    <x v="0"/>
    <s v="Sin Auxiliar"/>
    <x v="33"/>
    <d v="2025-06-24T00:00:00"/>
    <n v="26"/>
    <x v="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19"/>
    <s v="OP-S-059"/>
    <x v="18"/>
    <s v="Sin Auxiliar"/>
    <x v="33"/>
    <d v="2025-06-24T00:00:00"/>
    <n v="2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MgA2ADcAMAA0ADEASQBEAEUAQQA4=&amp;Tipo=2&amp;ST=1&amp;nLang=0"/>
  </r>
  <r>
    <x v="0"/>
    <s v="OP-S-106"/>
    <x v="0"/>
    <s v="Sin Auxiliar"/>
    <x v="34"/>
    <d v="2025-06-25T00:00:00"/>
    <n v="41"/>
    <x v="0"/>
    <n v="5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DDAEwASwAzADQAMwAwADUANQAzADkASQBEAEUAQQA8=&amp;Tipo=2&amp;ST=1&amp;nLang=0"/>
  </r>
  <r>
    <x v="1"/>
    <s v="OP-S-013"/>
    <x v="1"/>
    <s v="Sin Auxiliar"/>
    <x v="34"/>
    <d v="2025-06-25T00:00:00"/>
    <n v="35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gA5ADIAMgA3ADIASQBEAEUAQQAC=&amp;Tipo=2&amp;ST=1&amp;nLang=0"/>
  </r>
  <r>
    <x v="2"/>
    <s v="OP-S-009"/>
    <x v="21"/>
    <s v="Sin Auxiliar"/>
    <x v="34"/>
    <d v="2025-06-25T00:00:00"/>
    <n v="78"/>
    <x v="0"/>
    <n v="5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gA5ADUAMQAxADcASQBEAEUAQQA7=&amp;Tipo=2&amp;ST=1&amp;nLang=0"/>
  </r>
  <r>
    <x v="3"/>
    <s v="OP-S-062"/>
    <x v="3"/>
    <s v="Sin Auxiliar"/>
    <x v="34"/>
    <d v="2025-06-25T00:00:00"/>
    <n v="32"/>
    <x v="0"/>
    <n v="2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MgA5ADkANAA1ADQASQBEAEUAQQA6=&amp;Tipo=2&amp;ST=1&amp;nLang=0"/>
  </r>
  <r>
    <x v="4"/>
    <s v="OP-S-018"/>
    <x v="4"/>
    <s v="Sin Auxiliar"/>
    <x v="34"/>
    <d v="2025-06-25T00:00:00"/>
    <n v="79"/>
    <x v="0"/>
    <n v="11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QAMgA5ADgAMwA4ADUASQBEAEUAQQAD=&amp;Tipo=2&amp;ST=1&amp;nLang=0"/>
  </r>
  <r>
    <x v="5"/>
    <s v="OP-S-057"/>
    <x v="5"/>
    <s v="Sin Auxiliar"/>
    <x v="34"/>
    <d v="2025-06-25T00:00:00"/>
    <n v="23"/>
    <x v="0"/>
    <n v="39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3DAEwASwAzADQAMgA2ADcAMAA0ADEASQBEAEUAQQAD=&amp;Tipo=2&amp;ST=1&amp;nLang=0"/>
  </r>
  <r>
    <x v="6"/>
    <s v="OP-S-R-001"/>
    <x v="6"/>
    <s v="Sin Auxiliar"/>
    <x v="34"/>
    <d v="2025-06-25T00:00:00"/>
    <n v="65"/>
    <x v="0"/>
    <n v="32"/>
    <n v="0"/>
    <n v="0"/>
    <n v="0"/>
    <n v="0"/>
    <n v="0"/>
    <n v="0"/>
    <n v="0"/>
    <n v="32"/>
    <n v="0"/>
    <n v="0"/>
    <n v="0"/>
    <n v="0"/>
    <n v="0"/>
    <n v="0"/>
    <n v="0"/>
    <s v="https://www.clickideacore.com/ClickHTML5/Visit.aspx?ID=//5CDAEwASwAzADQAMgA5ADgAOAAyADkASQBEAEUAQQA0=&amp;Tipo=2&amp;ST=1&amp;nLang=0"/>
  </r>
  <r>
    <x v="7"/>
    <s v="OP-S-010"/>
    <x v="18"/>
    <s v="Sin Auxiliar"/>
    <x v="34"/>
    <d v="2025-06-25T00:00:00"/>
    <n v="46"/>
    <x v="0"/>
    <n v="2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MgA4ADkANQA2ADcASQBEAEUAQQA7=&amp;Tipo=2&amp;ST=1&amp;nLang=0"/>
  </r>
  <r>
    <x v="20"/>
    <s v="OP-S-010"/>
    <x v="18"/>
    <s v="Sin Auxiliar"/>
    <x v="34"/>
    <d v="2025-06-25T00:00:00"/>
    <n v="46"/>
    <x v="0"/>
    <n v="2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MgA4ADkANQA2ADcASQBEAEUAQQA7=&amp;Tipo=2&amp;ST=1&amp;nLang=0"/>
  </r>
  <r>
    <x v="8"/>
    <s v="OP-S-004"/>
    <x v="8"/>
    <s v="Sin Auxiliar"/>
    <x v="34"/>
    <d v="2025-06-25T00:00:00"/>
    <n v="46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QAMgA5ADUAMAAyADYASQBEAEUAQQA9=&amp;Tipo=2&amp;ST=1&amp;nLang=0"/>
  </r>
  <r>
    <x v="9"/>
    <s v="OP-S-001"/>
    <x v="18"/>
    <s v="Sin Auxiliar"/>
    <x v="34"/>
    <d v="2025-06-25T00:00:00"/>
    <n v="31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wADMANgA0ADAASQBEAEUAQQA7=&amp;Tipo=2&amp;ST=1&amp;nLang=0"/>
  </r>
  <r>
    <x v="17"/>
    <s v="OP-S-001"/>
    <x v="18"/>
    <s v="Sin Auxiliar"/>
    <x v="34"/>
    <d v="2025-06-25T00:00:00"/>
    <n v="31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wADMANgA0ADAASQBEAEUAQQA7=&amp;Tipo=2&amp;ST=1&amp;nLang=0"/>
  </r>
  <r>
    <x v="10"/>
    <s v="OP-S-017"/>
    <x v="10"/>
    <s v="Sin Auxiliar"/>
    <x v="34"/>
    <d v="2025-06-25T00:00:00"/>
    <n v="72"/>
    <x v="0"/>
    <n v="8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MgA5ADQANwA3ADIASQBEAEUAQQA6=&amp;Tipo=2&amp;ST=1&amp;nLang=0"/>
  </r>
  <r>
    <x v="11"/>
    <s v="OP-S-126"/>
    <x v="18"/>
    <s v="Sin Auxiliar"/>
    <x v="34"/>
    <d v="2025-06-25T00:00:00"/>
    <n v="46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MgA5ADUANwAyADAASQBEAEUAQQA0=&amp;Tipo=2&amp;ST=1&amp;nLang=0"/>
  </r>
  <r>
    <x v="19"/>
    <s v="OP-S-126"/>
    <x v="18"/>
    <s v="Sin Auxiliar"/>
    <x v="34"/>
    <d v="2025-06-25T00:00:00"/>
    <n v="46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MgA5ADUANwAyADAASQBEAEUAQQA0=&amp;Tipo=2&amp;ST=1&amp;nLang=0"/>
  </r>
  <r>
    <x v="12"/>
    <s v="OP-S-70"/>
    <x v="12"/>
    <s v="Sin Auxiliar"/>
    <x v="34"/>
    <d v="2025-06-25T00:00:00"/>
    <n v="36"/>
    <x v="0"/>
    <n v="50"/>
    <n v="0"/>
    <n v="0"/>
    <n v="1"/>
    <n v="1"/>
    <n v="0"/>
    <n v="0"/>
    <n v="0"/>
    <n v="50"/>
    <n v="0"/>
    <n v="0"/>
    <n v="0"/>
    <n v="0"/>
    <n v="0"/>
    <n v="0"/>
    <n v="0"/>
    <s v="https://www.clickideacore.com/ClickHTML5/Visit.aspx?ID=//58DAEwASwAzADQAMwAwADQANgAwADgASQBEAEUAQQAD=&amp;Tipo=2&amp;ST=1&amp;nLang=0"/>
  </r>
  <r>
    <x v="13"/>
    <s v="OP-S-060"/>
    <x v="13"/>
    <s v="Sin Auxiliar"/>
    <x v="34"/>
    <d v="2025-06-25T00:00:00"/>
    <n v="59"/>
    <x v="0"/>
    <n v="5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QAMgA5ADkANQA5ADgASQBEAEUAQQA9=&amp;Tipo=2&amp;ST=1&amp;nLang=0"/>
  </r>
  <r>
    <x v="14"/>
    <s v="OP-S-011"/>
    <x v="14"/>
    <s v="Sin Auxiliar"/>
    <x v="34"/>
    <d v="2025-06-25T00:00:00"/>
    <n v="38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MwAwADUANQA0ADkASQBEAEUAQQA9=&amp;Tipo=2&amp;ST=1&amp;nLang=0"/>
  </r>
  <r>
    <x v="18"/>
    <s v="OP-S-002"/>
    <x v="6"/>
    <s v="Sin Auxiliar"/>
    <x v="34"/>
    <d v="2025-06-25T00:00:00"/>
    <n v="49"/>
    <x v="0"/>
    <n v="28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EDAEwASwAzADQAMgA5ADkANgA0ADkASQBEAEUAQQA8=&amp;Tipo=2&amp;ST=1&amp;nLang=0"/>
  </r>
  <r>
    <x v="15"/>
    <s v="OP-S-054"/>
    <x v="23"/>
    <s v="Sin Auxiliar"/>
    <x v="34"/>
    <d v="2025-06-25T00:00:00"/>
    <n v="25"/>
    <x v="0"/>
    <n v="65"/>
    <n v="0"/>
    <n v="0"/>
    <n v="1"/>
    <n v="0"/>
    <n v="0"/>
    <n v="0"/>
    <n v="3"/>
    <n v="0"/>
    <n v="0"/>
    <n v="0"/>
    <n v="0"/>
    <n v="0"/>
    <n v="0"/>
    <n v="0"/>
    <n v="0"/>
    <s v="https://www.clickideacore.com/ClickHTML5/Visit.aspx?ID=//54DAEwASwAzADQAMgA4ADkAMgAxADkASQBEAEUAQQA0=&amp;Tipo=2&amp;ST=1&amp;nLang=0"/>
  </r>
  <r>
    <x v="23"/>
    <s v="OP-S-055"/>
    <x v="9"/>
    <s v="Sin Auxiliar"/>
    <x v="34"/>
    <d v="2025-06-25T00:00:00"/>
    <n v="26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MgA4ADkAMgAxADkASQBEAEUAQQA0=&amp;Tipo=2&amp;ST=1&amp;nLang=0"/>
  </r>
  <r>
    <x v="0"/>
    <s v="OP-S-106"/>
    <x v="0"/>
    <s v="Sin Auxiliar"/>
    <x v="35"/>
    <d v="2025-06-26T00:00:00"/>
    <n v="39"/>
    <x v="0"/>
    <n v="5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MwAzADEAMgAwADAASQBEAEUAQQAA=&amp;Tipo=2&amp;ST=1&amp;nLang=0"/>
  </r>
  <r>
    <x v="1"/>
    <s v="OP-S-013"/>
    <x v="1"/>
    <s v="Sin Auxiliar"/>
    <x v="35"/>
    <d v="2025-06-26T00:00:00"/>
    <n v="30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wAxADkAMgAyADMASQBEAEUAQQA2=&amp;Tipo=2&amp;ST=1&amp;nLang=0"/>
  </r>
  <r>
    <x v="2"/>
    <s v="OP-S-009"/>
    <x v="21"/>
    <s v="Sin Auxiliar"/>
    <x v="35"/>
    <d v="2025-06-26T00:00:00"/>
    <n v="49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wAxADMANgA0ADUASQBEAEUAQQA6=&amp;Tipo=2&amp;ST=1&amp;nLang=0"/>
  </r>
  <r>
    <x v="4"/>
    <s v="OP-S-018"/>
    <x v="18"/>
    <s v="Sin Auxiliar"/>
    <x v="35"/>
    <d v="2025-06-26T00:00:00"/>
    <n v="62"/>
    <x v="0"/>
    <n v="72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QAMwAyADEAMgAwADUASQBEAEUAQQA7=&amp;Tipo=2&amp;ST=1&amp;nLang=0"/>
  </r>
  <r>
    <x v="15"/>
    <s v="OP-S-018"/>
    <x v="18"/>
    <s v="Sin Auxiliar"/>
    <x v="35"/>
    <d v="2025-06-26T00:00:00"/>
    <n v="62"/>
    <x v="0"/>
    <n v="72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QAMwAyADEAMgAwADUASQBEAEUAQQA7=&amp;Tipo=2&amp;ST=1&amp;nLang=0"/>
  </r>
  <r>
    <x v="5"/>
    <s v="OP-S-055"/>
    <x v="5"/>
    <s v="Sin Auxiliar"/>
    <x v="35"/>
    <d v="2025-06-26T00:00:00"/>
    <n v="31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zADAANQA0ADQASQBEAEUAQQAA=&amp;Tipo=2&amp;ST=1&amp;nLang=0"/>
  </r>
  <r>
    <x v="19"/>
    <s v="OP-SDYR-001"/>
    <x v="3"/>
    <s v="Sin Auxiliar"/>
    <x v="35"/>
    <d v="2025-06-26T00:00:00"/>
    <n v="29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MwA1ADYAOQAyADIASQBEAEUAQQAF=&amp;Tipo=2&amp;ST=1&amp;nLang=0"/>
  </r>
  <r>
    <x v="6"/>
    <s v="OP-S-R-001"/>
    <x v="6"/>
    <s v="Sin Auxiliar"/>
    <x v="35"/>
    <d v="2025-06-26T00:00:00"/>
    <n v="75"/>
    <x v="0"/>
    <n v="26"/>
    <n v="0"/>
    <n v="0"/>
    <n v="0"/>
    <n v="0"/>
    <n v="0"/>
    <n v="0"/>
    <n v="0"/>
    <n v="26"/>
    <n v="0"/>
    <n v="0"/>
    <n v="0"/>
    <n v="0"/>
    <n v="0"/>
    <n v="0"/>
    <n v="0"/>
    <s v="https://www.clickideacore.com/ClickHTML5/Visit.aspx?ID=//53DAEwASwAzADQAMwAxADkANQA3ADkASQBEAEUAQQA4=&amp;Tipo=2&amp;ST=1&amp;nLang=0"/>
  </r>
  <r>
    <x v="7"/>
    <s v="OP-S-010"/>
    <x v="18"/>
    <s v="Sin Auxiliar"/>
    <x v="35"/>
    <d v="2025-06-26T00:00:00"/>
    <n v="71"/>
    <x v="0"/>
    <n v="1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QAMwAxADEANAA1ADUASQBEAEUAQQA5=&amp;Tipo=2&amp;ST=1&amp;nLang=0"/>
  </r>
  <r>
    <x v="20"/>
    <s v="OP-S-010"/>
    <x v="18"/>
    <s v="Sin Auxiliar"/>
    <x v="35"/>
    <d v="2025-06-26T00:00:00"/>
    <n v="71"/>
    <x v="0"/>
    <n v="1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QAMwAxADEANAA1ADUASQBEAEUAQQA5=&amp;Tipo=2&amp;ST=1&amp;nLang=0"/>
  </r>
  <r>
    <x v="8"/>
    <s v="OP-S-004"/>
    <x v="8"/>
    <s v="Sin Auxiliar"/>
    <x v="35"/>
    <d v="2025-06-26T00:00:00"/>
    <n v="31"/>
    <x v="0"/>
    <n v="4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MwAyADUAMQA0ADAASQBEAEUAQQAC=&amp;Tipo=2&amp;ST=1&amp;nLang=0"/>
  </r>
  <r>
    <x v="9"/>
    <s v="OP-S-001"/>
    <x v="9"/>
    <s v="Sin Auxiliar"/>
    <x v="35"/>
    <d v="2025-06-26T00:00:00"/>
    <n v="30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MwAyADMAMgAxADAASQBEAEUAQQA3=&amp;Tipo=2&amp;ST=1&amp;nLang=0"/>
  </r>
  <r>
    <x v="10"/>
    <s v="OP-S-017"/>
    <x v="10"/>
    <s v="Sin Auxiliar"/>
    <x v="35"/>
    <d v="2025-06-26T00:00:00"/>
    <n v="51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MwAyADIANwA3ADIASQBEAEUAQQA8=&amp;Tipo=2&amp;ST=1&amp;nLang=0"/>
  </r>
  <r>
    <x v="12"/>
    <s v="OP-S-70"/>
    <x v="12"/>
    <s v="Sin Auxiliar"/>
    <x v="35"/>
    <d v="2025-06-26T00:00:00"/>
    <n v="21"/>
    <x v="0"/>
    <n v="24"/>
    <n v="0"/>
    <n v="0"/>
    <n v="1"/>
    <n v="1"/>
    <n v="0"/>
    <n v="1"/>
    <n v="0"/>
    <n v="30"/>
    <n v="0"/>
    <n v="0"/>
    <n v="0"/>
    <n v="0"/>
    <n v="0"/>
    <n v="0"/>
    <n v="0"/>
    <s v="https://www.clickideacore.com/ClickHTML5/Visit.aspx?ID=//50DAEwASwAzADQAMwAzADAAMAA2ADIASQBEAEUAQQA5=&amp;Tipo=2&amp;ST=1&amp;nLang=0"/>
  </r>
  <r>
    <x v="13"/>
    <s v="OP-S-060"/>
    <x v="13"/>
    <s v="Sin Auxiliar"/>
    <x v="35"/>
    <d v="2025-06-26T00:00:00"/>
    <n v="77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MwAyADMANwA2ADYASQBEAEUAQQA8=&amp;Tipo=2&amp;ST=1&amp;nLang=0"/>
  </r>
  <r>
    <x v="14"/>
    <s v="OP-S-011"/>
    <x v="14"/>
    <s v="Sin Auxiliar"/>
    <x v="35"/>
    <d v="2025-06-26T00:00:00"/>
    <n v="38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wAzADEANQAxADgASQBEAEUAQQA5=&amp;Tipo=2&amp;ST=1&amp;nLang=0"/>
  </r>
  <r>
    <x v="17"/>
    <s v="OP-S-0010"/>
    <x v="23"/>
    <s v="Sin Auxiliar"/>
    <x v="35"/>
    <d v="2025-06-26T00:00:00"/>
    <n v="24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MwAxADkANAA4ADQASQBEAEUAQQAF=&amp;Tipo=2&amp;ST=1&amp;nLang=0"/>
  </r>
  <r>
    <x v="18"/>
    <s v="OP-S-002"/>
    <x v="6"/>
    <s v="Sin Auxiliar"/>
    <x v="35"/>
    <d v="2025-06-26T00:00:00"/>
    <n v="37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7DAEwASwAzADQAMwAyADEANQAxADIASQBEAEUAQQAE=&amp;Tipo=2&amp;ST=1&amp;nLang=0"/>
  </r>
  <r>
    <x v="11"/>
    <m/>
    <x v="18"/>
    <s v="Sin Auxiliar"/>
    <x v="35"/>
    <d v="2025-06-26T00:00:00"/>
    <n v="38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yADEANQAxADIASQBEAEUAQQAE=&amp;Tipo=2&amp;ST=1&amp;nLang=0"/>
  </r>
  <r>
    <x v="3"/>
    <m/>
    <x v="18"/>
    <s v="Sin Auxiliar"/>
    <x v="35"/>
    <d v="2025-06-26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yADEANQAxADIASQBEAEUAQQAE=&amp;Tipo=2&amp;ST=1&amp;nLang=0"/>
  </r>
  <r>
    <x v="23"/>
    <m/>
    <x v="4"/>
    <s v="Sin Auxiliar"/>
    <x v="35"/>
    <d v="2025-06-26T00:00:00"/>
    <n v="40"/>
    <x v="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MwAyADEANQAxADIASQBEAEUAQQAE=&amp;Tipo=2&amp;ST=1&amp;nLang=0"/>
  </r>
  <r>
    <x v="0"/>
    <s v="OP-S-106"/>
    <x v="0"/>
    <s v="Sin Auxiliar"/>
    <x v="36"/>
    <d v="2025-06-27T00:00:00"/>
    <n v="36"/>
    <x v="0"/>
    <n v="4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QAMwA1ADYAMAAxADMASQBEAEUAQQA1=&amp;Tipo=2&amp;ST=1&amp;nLang=0"/>
  </r>
  <r>
    <x v="1"/>
    <s v="OP-S-013"/>
    <x v="1"/>
    <s v="Sin Auxiliar"/>
    <x v="36"/>
    <d v="2025-06-27T00:00:00"/>
    <n v="26"/>
    <x v="0"/>
    <n v="89"/>
    <n v="0"/>
    <n v="0"/>
    <n v="1"/>
    <n v="0"/>
    <n v="0"/>
    <n v="0"/>
    <n v="0"/>
    <n v="25"/>
    <n v="0"/>
    <n v="0"/>
    <n v="0"/>
    <n v="0"/>
    <n v="0"/>
    <n v="0"/>
    <n v="0"/>
    <s v="https://www.clickideacore.com/ClickHTML5/Visit.aspx?ID=//5ADAEwASwAzADQAMwA0ADYAMgA1ADEASQBEAEUAQQAB=&amp;Tipo=2&amp;ST=1&amp;nLang=0"/>
  </r>
  <r>
    <x v="2"/>
    <s v="OP-S-009"/>
    <x v="21"/>
    <s v="Sin Auxiliar"/>
    <x v="36"/>
    <d v="2025-06-27T00:00:00"/>
    <n v="60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MwA0ADYANwAwADkASQBEAEUAQQAE=&amp;Tipo=2&amp;ST=1&amp;nLang=0"/>
  </r>
  <r>
    <x v="3"/>
    <s v="OP-S-062"/>
    <x v="3"/>
    <s v="Sin Auxiliar"/>
    <x v="36"/>
    <d v="2025-06-27T00:00:00"/>
    <n v="32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MgA5ADkANAA1ADQASQBEAEUAQQA6=&amp;Tipo=2&amp;ST=1&amp;nLang=0"/>
  </r>
  <r>
    <x v="4"/>
    <s v="OP-S-018"/>
    <x v="4"/>
    <s v="Sin Auxiliar"/>
    <x v="36"/>
    <d v="2025-06-27T00:00:00"/>
    <n v="147"/>
    <x v="0"/>
    <n v="89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DDAEwASwAzADQAMwA0ADcAMQA5ADAASQBEAEUAQQA3=&amp;Tipo=2&amp;ST=1&amp;nLang=0"/>
  </r>
  <r>
    <x v="5"/>
    <s v="OP-S-055"/>
    <x v="5"/>
    <s v="Sin Auxiliar"/>
    <x v="36"/>
    <d v="2025-06-27T00:00:00"/>
    <n v="35"/>
    <x v="0"/>
    <n v="4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FDAEwASwAzADQAMwA1ADMAOQAzADMASQBEAEUAQQAF=&amp;Tipo=2&amp;ST=1&amp;nLang=0"/>
  </r>
  <r>
    <x v="6"/>
    <s v="OP-S-R-001"/>
    <x v="6"/>
    <s v="Sin Auxiliar"/>
    <x v="36"/>
    <d v="2025-06-27T00:00:00"/>
    <n v="45"/>
    <x v="0"/>
    <n v="32"/>
    <n v="0"/>
    <n v="0"/>
    <n v="0"/>
    <n v="0"/>
    <n v="0"/>
    <n v="0"/>
    <n v="0"/>
    <n v="32"/>
    <n v="0"/>
    <n v="0"/>
    <n v="0"/>
    <n v="0"/>
    <n v="0"/>
    <n v="0"/>
    <n v="0"/>
    <s v="https://www.clickideacore.com/ClickHTML5/Visit.aspx?ID=//5ADAEwASwAzADQAMwA0ADcAMgA0ADMASQBEAEUAQQAC=&amp;Tipo=2&amp;ST=1&amp;nLang=0"/>
  </r>
  <r>
    <x v="7"/>
    <s v="OP-S-010"/>
    <x v="18"/>
    <s v="Sin Auxiliar"/>
    <x v="36"/>
    <d v="2025-06-27T00:00:00"/>
    <n v="35"/>
    <x v="0"/>
    <n v="1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MwA0ADAAOAA2ADIASQBEAEUAQQA6=&amp;Tipo=2&amp;ST=1&amp;nLang=0"/>
  </r>
  <r>
    <x v="20"/>
    <s v="OP-S-010"/>
    <x v="18"/>
    <s v="Sin Auxiliar"/>
    <x v="36"/>
    <d v="2025-06-27T00:00:00"/>
    <n v="35"/>
    <x v="0"/>
    <n v="1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MwA0ADAAOAA2ADIASQBEAEUAQQA6=&amp;Tipo=2&amp;ST=1&amp;nLang=0"/>
  </r>
  <r>
    <x v="8"/>
    <s v="OP-S-004"/>
    <x v="8"/>
    <s v="Sin Auxiliar"/>
    <x v="36"/>
    <d v="2025-06-27T00:00:00"/>
    <n v="35"/>
    <x v="0"/>
    <n v="3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MwA0ADUAMQAwADAASQBEAEUAQQAC=&amp;Tipo=2&amp;ST=1&amp;nLang=0"/>
  </r>
  <r>
    <x v="9"/>
    <s v="OP-S-001"/>
    <x v="9"/>
    <s v="Sin Auxiliar"/>
    <x v="36"/>
    <d v="2025-06-27T00:00:00"/>
    <n v="39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wA4ADYANAA0ADIASQBEAEUAQQA2=&amp;Tipo=2&amp;ST=1&amp;nLang=0"/>
  </r>
  <r>
    <x v="10"/>
    <s v="OP-S-017"/>
    <x v="10"/>
    <s v="Sin Auxiliar"/>
    <x v="36"/>
    <d v="2025-06-27T00:00:00"/>
    <n v="84"/>
    <x v="0"/>
    <n v="6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MwA0ADIAOAA5ADQASQBEAEUAQQAE=&amp;Tipo=2&amp;ST=1&amp;nLang=0"/>
  </r>
  <r>
    <x v="12"/>
    <s v="OP-S-70"/>
    <x v="12"/>
    <s v="Sin Auxiliar"/>
    <x v="36"/>
    <d v="2025-06-27T00:00:00"/>
    <n v="20"/>
    <x v="0"/>
    <n v="39"/>
    <n v="0"/>
    <n v="0"/>
    <n v="1"/>
    <n v="1"/>
    <n v="0"/>
    <n v="0"/>
    <n v="0"/>
    <n v="49"/>
    <n v="0"/>
    <n v="0"/>
    <n v="0"/>
    <n v="0"/>
    <n v="0"/>
    <n v="0"/>
    <n v="0"/>
    <s v="https://www.clickideacore.com/ClickHTML5/Visit.aspx?ID=//50DAEwASwAzADQAMwA1ADQANgAyADUASQBEAEUAQQAB=&amp;Tipo=2&amp;ST=1&amp;nLang=0"/>
  </r>
  <r>
    <x v="13"/>
    <s v="OP-S-060"/>
    <x v="13"/>
    <s v="Sin Auxiliar"/>
    <x v="36"/>
    <d v="2025-06-27T00:00:00"/>
    <n v="48"/>
    <x v="0"/>
    <n v="5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MwA1ADIANQA4ADAASQBEAEUAQQA8=&amp;Tipo=2&amp;ST=1&amp;nLang=0"/>
  </r>
  <r>
    <x v="14"/>
    <s v="OP-S-011"/>
    <x v="14"/>
    <s v="Sin Auxiliar"/>
    <x v="36"/>
    <d v="2025-06-27T00:00:00"/>
    <n v="38"/>
    <x v="0"/>
    <n v="2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7"/>
    <s v="OP-S-0010"/>
    <x v="18"/>
    <s v="Sin Auxiliar"/>
    <x v="36"/>
    <d v="2025-06-27T00:00:00"/>
    <n v="37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MwA0ADUAMwAzADcASQBEAEUAQQA3=&amp;Tipo=2&amp;ST=1&amp;nLang=0"/>
  </r>
  <r>
    <x v="19"/>
    <s v="OP-S-0010"/>
    <x v="18"/>
    <s v="Sin Auxiliar"/>
    <x v="36"/>
    <d v="2025-06-27T00:00:00"/>
    <n v="37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MwA0ADUAMwAzADcASQBEAEUAQQA3=&amp;Tipo=2&amp;ST=1&amp;nLang=0"/>
  </r>
  <r>
    <x v="18"/>
    <s v="OP-S-002"/>
    <x v="6"/>
    <s v="Sin Auxiliar"/>
    <x v="36"/>
    <d v="2025-06-27T00:00:00"/>
    <n v="46"/>
    <x v="0"/>
    <n v="27"/>
    <n v="0"/>
    <n v="0"/>
    <n v="1"/>
    <n v="0"/>
    <n v="0"/>
    <n v="0"/>
    <n v="0"/>
    <n v="27"/>
    <n v="0"/>
    <n v="0"/>
    <n v="0"/>
    <n v="0"/>
    <n v="0"/>
    <n v="0"/>
    <n v="0"/>
    <s v="https://www.clickideacore.com/ClickHTML5/Visit.aspx?ID=//53DAEwASwAzADQAMwA0ADkAMAA0ADQASQBEAEUAQQA6=&amp;Tipo=2&amp;ST=1&amp;nLang=0"/>
  </r>
  <r>
    <x v="15"/>
    <s v="OP-S-054"/>
    <x v="23"/>
    <s v="Sin Auxiliar"/>
    <x v="36"/>
    <d v="2025-06-27T00:00:00"/>
    <n v="25"/>
    <x v="0"/>
    <n v="6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MwA0ADIAMQAyADAASQBEAEUAQQAA=&amp;Tipo=2&amp;ST=1&amp;nLang=0"/>
  </r>
  <r>
    <x v="11"/>
    <s v="OP-S-055"/>
    <x v="18"/>
    <s v="Sin Auxiliar"/>
    <x v="36"/>
    <d v="2025-06-27T00:00:00"/>
    <n v="26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MwA0ADIAMQAyADAASQBEAEUAQQAA=&amp;Tipo=2&amp;ST=1&amp;nLang=0"/>
  </r>
  <r>
    <x v="8"/>
    <s v="OP-S-004"/>
    <x v="8"/>
    <s v="Sin Auxiliar"/>
    <x v="37"/>
    <d v="2025-06-28T00:00:00"/>
    <n v="59"/>
    <x v="0"/>
    <n v="0"/>
    <n v="0"/>
    <n v="0"/>
    <n v="0"/>
    <n v="0"/>
    <n v="0"/>
    <n v="0"/>
    <n v="0"/>
    <n v="8"/>
    <n v="1"/>
    <n v="0"/>
    <n v="15"/>
    <n v="20"/>
    <n v="1"/>
    <n v="0"/>
    <n v="0"/>
    <s v="https://www.clickideacore.com/ClickHTML5/Visit.aspx?ID=//53DAEwASwAzADQAMwA2ADcANwAxADQASQBEAEUAQQA0=&amp;Tipo=2&amp;ST=1&amp;nLang=0"/>
  </r>
  <r>
    <x v="14"/>
    <s v="OP-S-011"/>
    <x v="14"/>
    <s v="Sin Auxiliar"/>
    <x v="37"/>
    <d v="2025-06-28T00:00:00"/>
    <n v="71"/>
    <x v="0"/>
    <n v="0"/>
    <n v="0"/>
    <n v="0"/>
    <n v="0"/>
    <n v="0"/>
    <n v="0"/>
    <n v="0"/>
    <n v="0"/>
    <n v="0"/>
    <n v="1"/>
    <n v="0"/>
    <n v="30"/>
    <n v="27"/>
    <n v="1"/>
    <n v="0"/>
    <n v="1"/>
    <s v="https://www.clickideacore.com/ClickHTML5/Visit.aspx?ID=//5FDAEwASwAzADQAMwA3ADAAMgAwADYASQBEAEUAQQA0=&amp;Tipo=2&amp;ST=1&amp;nLang=0"/>
  </r>
  <r>
    <x v="5"/>
    <s v="OP-S-055"/>
    <x v="13"/>
    <s v="Sin Auxiliar"/>
    <x v="38"/>
    <d v="2025-06-29T00:00:00"/>
    <n v="43"/>
    <x v="0"/>
    <n v="0"/>
    <n v="0"/>
    <n v="0"/>
    <n v="0"/>
    <n v="0"/>
    <n v="0"/>
    <n v="0"/>
    <n v="0"/>
    <n v="6"/>
    <n v="0"/>
    <n v="1"/>
    <n v="6"/>
    <n v="30"/>
    <n v="0"/>
    <n v="1"/>
    <n v="0"/>
    <s v="https://www.clickideacore.com/ClickHTML5/Visit.aspx?ID=//5CDAEwASwAzADQAMwA3ADcANgAwADUASQBEAEUAQQA0=&amp;Tipo=2&amp;ST=1&amp;nLang=0"/>
  </r>
  <r>
    <x v="17"/>
    <s v="OP-S-0010"/>
    <x v="0"/>
    <s v="Sin Auxiliar"/>
    <x v="38"/>
    <d v="2025-06-29T00:00:00"/>
    <n v="722"/>
    <x v="0"/>
    <n v="0"/>
    <n v="0"/>
    <n v="0"/>
    <n v="0"/>
    <n v="0"/>
    <n v="0"/>
    <n v="0"/>
    <n v="0"/>
    <n v="2"/>
    <n v="0"/>
    <n v="1"/>
    <n v="6"/>
    <n v="17"/>
    <n v="0"/>
    <n v="1"/>
    <n v="0"/>
    <s v="https://www.clickideacore.com/ClickHTML5/Visit.aspx?ID=//52DAEwASwAzADQAMwA3ADgAMAAwADUASQBEAEUAQQAC=&amp;Tipo=2&amp;ST=1&amp;nLang=0"/>
  </r>
  <r>
    <x v="0"/>
    <s v="OP-S-106"/>
    <x v="0"/>
    <s v="Sin Auxiliar"/>
    <x v="39"/>
    <d v="2025-06-30T00:00:00"/>
    <n v="50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7DAEwASwAzADQAMwA4ADcAOQA0ADgASQBEAEUAQQAF=&amp;Tipo=2&amp;ST=1&amp;nLang=0"/>
  </r>
  <r>
    <x v="1"/>
    <s v="OP-S-013"/>
    <x v="1"/>
    <s v="Sin Auxiliar"/>
    <x v="39"/>
    <d v="2025-06-30T00:00:00"/>
    <n v="38"/>
    <x v="0"/>
    <n v="73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CDAEwASwAzADQAMwA4ADQAOQA0ADUASQBEAEUAQQA0=&amp;Tipo=2&amp;ST=1&amp;nLang=0"/>
  </r>
  <r>
    <x v="2"/>
    <s v="OP-S-009"/>
    <x v="21"/>
    <s v="Sin Auxiliar"/>
    <x v="39"/>
    <d v="2025-06-30T00:00:00"/>
    <n v="56"/>
    <x v="0"/>
    <n v="44"/>
    <n v="0"/>
    <n v="0"/>
    <n v="1"/>
    <n v="0"/>
    <n v="0"/>
    <n v="0"/>
    <n v="0"/>
    <n v="8"/>
    <n v="0"/>
    <n v="0"/>
    <n v="0"/>
    <n v="0"/>
    <n v="0"/>
    <n v="0"/>
    <n v="0"/>
    <s v="https://www.clickideacore.com/ClickHTML5/Visit.aspx?ID=//5EDAEwASwAzADQAMwA4ADMAMAAyADIASQBEAEUAQQA7=&amp;Tipo=2&amp;ST=1&amp;nLang=0"/>
  </r>
  <r>
    <x v="3"/>
    <s v="OP-S-062"/>
    <x v="3"/>
    <s v="Sin Auxiliar"/>
    <x v="39"/>
    <d v="2025-06-30T00:00:00"/>
    <n v="28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MwA4ADcANwAzADYASQBEAEUAQQA8=&amp;Tipo=2&amp;ST=1&amp;nLang=0"/>
  </r>
  <r>
    <x v="4"/>
    <s v="OP-S-018"/>
    <x v="4"/>
    <s v="Sin Auxiliar"/>
    <x v="39"/>
    <d v="2025-06-30T00:00:00"/>
    <n v="82"/>
    <x v="0"/>
    <n v="105"/>
    <n v="0"/>
    <n v="0"/>
    <n v="1"/>
    <n v="0"/>
    <n v="0"/>
    <n v="0"/>
    <n v="0"/>
    <n v="50"/>
    <n v="0"/>
    <n v="0"/>
    <n v="0"/>
    <n v="0"/>
    <n v="0"/>
    <n v="0"/>
    <n v="0"/>
    <s v="https://www.clickideacore.com/ClickHTML5/Visit.aspx?ID=//5BDAEwASwAzADQAMwA4ADQANQA3ADYASQBEAEUAQQAF=&amp;Tipo=2&amp;ST=1&amp;nLang=0"/>
  </r>
  <r>
    <x v="5"/>
    <s v="OP-S-055"/>
    <x v="5"/>
    <s v="Sin Auxiliar"/>
    <x v="39"/>
    <d v="2025-06-30T00:00:00"/>
    <n v="31"/>
    <x v="0"/>
    <n v="56"/>
    <n v="1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5DAEwASwAzADQAMwA4ADUAOQA4ADYASQBEAEUAQQAB=&amp;Tipo=2&amp;ST=1&amp;nLang=0"/>
  </r>
  <r>
    <x v="19"/>
    <s v="OP-SDYR-001"/>
    <x v="23"/>
    <s v="Sin Auxiliar"/>
    <x v="39"/>
    <d v="2025-06-30T00:00:00"/>
    <n v="32"/>
    <x v="0"/>
    <n v="54"/>
    <n v="0"/>
    <n v="0"/>
    <n v="1"/>
    <n v="0"/>
    <n v="0"/>
    <n v="0"/>
    <n v="2"/>
    <n v="48"/>
    <n v="0"/>
    <n v="0"/>
    <n v="0"/>
    <n v="0"/>
    <n v="0"/>
    <n v="0"/>
    <n v="1"/>
    <s v="https://www.clickideacore.com/ClickHTML5/Visit.aspx?ID=//53DAEwASwAzADQAMwA4ADMAMQAwADYASQBEAEUAQQAB=&amp;Tipo=2&amp;ST=1&amp;nLang=0"/>
  </r>
  <r>
    <x v="6"/>
    <s v="OP-S-R-001"/>
    <x v="6"/>
    <s v="Sin Auxiliar"/>
    <x v="39"/>
    <d v="2025-06-30T00:00:00"/>
    <n v="58"/>
    <x v="0"/>
    <n v="38"/>
    <n v="0"/>
    <n v="0"/>
    <n v="0"/>
    <n v="0"/>
    <n v="0"/>
    <n v="0"/>
    <n v="0"/>
    <n v="38"/>
    <n v="0"/>
    <n v="0"/>
    <n v="0"/>
    <n v="0"/>
    <n v="0"/>
    <n v="0"/>
    <n v="0"/>
    <s v="https://www.clickideacore.com/ClickHTML5/Visit.aspx?ID=//56DAEwASwAzADQAMwA4ADYAMwAwADgASQBEAEUAQQA2=&amp;Tipo=2&amp;ST=1&amp;nLang=0"/>
  </r>
  <r>
    <x v="7"/>
    <s v="OP-S-010"/>
    <x v="22"/>
    <s v="Sin Auxiliar"/>
    <x v="39"/>
    <d v="2025-06-30T00:00:00"/>
    <n v="41"/>
    <x v="0"/>
    <n v="35"/>
    <n v="0"/>
    <n v="0"/>
    <n v="1"/>
    <n v="0"/>
    <n v="1"/>
    <n v="0"/>
    <n v="0"/>
    <n v="15"/>
    <n v="0"/>
    <n v="0"/>
    <n v="0"/>
    <n v="0"/>
    <n v="0"/>
    <n v="0"/>
    <n v="0"/>
    <s v="https://www.clickideacore.com/ClickHTML5/Visit.aspx?ID=//56DAEwASwAzADQAMwA4ADMANgAxADkASQBEAEUAQQA4=&amp;Tipo=2&amp;ST=1&amp;nLang=0"/>
  </r>
  <r>
    <x v="8"/>
    <s v="OP-S-004"/>
    <x v="8"/>
    <s v="Sin Auxiliar"/>
    <x v="39"/>
    <d v="2025-06-30T00:00:00"/>
    <n v="41"/>
    <x v="0"/>
    <n v="54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BDAEwASwAzADQAMwA4ADUAMgAwADAASQBEAEUAQQA8=&amp;Tipo=2&amp;ST=1&amp;nLang=0"/>
  </r>
  <r>
    <x v="9"/>
    <s v="OP-S-001"/>
    <x v="18"/>
    <s v="Sin Auxiliar"/>
    <x v="39"/>
    <d v="2025-06-30T00:00:00"/>
    <n v="39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wA4ADYANAA0ADIASQBEAEUAQQA2=&amp;Tipo=2&amp;ST=1&amp;nLang=0"/>
  </r>
  <r>
    <x v="20"/>
    <s v="OP-S-001"/>
    <x v="18"/>
    <s v="Sin Auxiliar"/>
    <x v="39"/>
    <d v="2025-06-30T00:00:00"/>
    <n v="39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MwA4ADYANAA0ADIASQBEAEUAQQA2=&amp;Tipo=2&amp;ST=1&amp;nLang=0"/>
  </r>
  <r>
    <x v="10"/>
    <s v="OP-S-017"/>
    <x v="10"/>
    <s v="Sin Auxiliar"/>
    <x v="39"/>
    <d v="2025-06-30T00:00:00"/>
    <n v="78"/>
    <x v="0"/>
    <n v="6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MwA4ADIAMwA4ADAASQBEAEUAQQA0=&amp;Tipo=2&amp;ST=1&amp;nLang=0"/>
  </r>
  <r>
    <x v="11"/>
    <s v="OP-S-126"/>
    <x v="18"/>
    <s v="Sin Auxiliar"/>
    <x v="39"/>
    <d v="2025-06-30T00:00:00"/>
    <n v="218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wA4ADQAMAAwADUASQBEAEUAQQAA=&amp;Tipo=2&amp;ST=1&amp;nLang=0"/>
  </r>
  <r>
    <x v="17"/>
    <s v="OP-S-126"/>
    <x v="18"/>
    <s v="Sin Auxiliar"/>
    <x v="39"/>
    <d v="2025-06-30T00:00:00"/>
    <n v="218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MwA4ADQAMAAwADUASQBEAEUAQQAA=&amp;Tipo=2&amp;ST=1&amp;nLang=0"/>
  </r>
  <r>
    <x v="12"/>
    <s v="OP-S-70"/>
    <x v="12"/>
    <s v="Sin Auxiliar"/>
    <x v="39"/>
    <d v="2025-06-30T00:00:00"/>
    <n v="32"/>
    <x v="0"/>
    <n v="27"/>
    <n v="0"/>
    <n v="0"/>
    <n v="1"/>
    <n v="1"/>
    <n v="0"/>
    <n v="0"/>
    <n v="0"/>
    <n v="40"/>
    <n v="0"/>
    <n v="0"/>
    <n v="0"/>
    <n v="0"/>
    <n v="0"/>
    <n v="0"/>
    <n v="0"/>
    <s v="https://www.clickideacore.com/ClickHTML5/Visit.aspx?ID=//59DAEwASwAzADQAMwA4ADcANQA2ADcASQBEAEUAQQA4=&amp;Tipo=2&amp;ST=1&amp;nLang=0"/>
  </r>
  <r>
    <x v="13"/>
    <s v="OP-S-060"/>
    <x v="13"/>
    <s v="Sin Auxiliar"/>
    <x v="39"/>
    <d v="2025-06-30T00:00:00"/>
    <n v="54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6DAEwASwAzADQAMwA4ADcAMQAxADcASQBEAEUAQQAC=&amp;Tipo=2&amp;ST=1&amp;nLang=0"/>
  </r>
  <r>
    <x v="18"/>
    <s v="OP-S-002"/>
    <x v="6"/>
    <s v="Sin Auxiliar"/>
    <x v="39"/>
    <d v="2025-06-30T00:00:00"/>
    <n v="31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6DAEwASwAzADQAMwA4ADUANQAwADEASQBEAEUAQQAD=&amp;Tipo=2&amp;ST=1&amp;nLang=0"/>
  </r>
  <r>
    <x v="14"/>
    <s v="OP-S-011"/>
    <x v="14"/>
    <s v="Sin Auxiliar"/>
    <x v="39"/>
    <d v="2025-06-30T00:00:00"/>
    <n v="38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5"/>
    <s v="OP-S-012"/>
    <x v="18"/>
    <s v="Sin Auxiliar"/>
    <x v="39"/>
    <d v="2025-06-30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39"/>
    <d v="2025-06-30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0"/>
    <s v="Sin Auxiliar"/>
    <x v="40"/>
    <d v="2025-07-01T00:00:00"/>
    <n v="40"/>
    <x v="0"/>
    <n v="7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AAxADEAMAA0ADAASQBEAEUAQQAF=&amp;Tipo=2&amp;ST=1&amp;nLang=0"/>
  </r>
  <r>
    <x v="1"/>
    <s v="OP-S-013"/>
    <x v="1"/>
    <s v="Sin Auxiliar"/>
    <x v="40"/>
    <d v="2025-07-01T00:00:00"/>
    <n v="29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NAAwADEANgA3ADAASQBEAEUAQQA1=&amp;Tipo=2&amp;ST=1&amp;nLang=0"/>
  </r>
  <r>
    <x v="2"/>
    <s v="OP-S-009"/>
    <x v="21"/>
    <s v="Sin Auxiliar"/>
    <x v="40"/>
    <d v="2025-07-01T00:00:00"/>
    <n v="70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AAwADAAMwA5ADEASQBEAEUAQQA7=&amp;Tipo=2&amp;ST=1&amp;nLang=0"/>
  </r>
  <r>
    <x v="4"/>
    <s v="OP-S-018"/>
    <x v="4"/>
    <s v="Sin Auxiliar"/>
    <x v="40"/>
    <d v="2025-07-01T00:00:00"/>
    <n v="53"/>
    <x v="0"/>
    <n v="6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QAMwA5ADkAOQA5ADYASQBEAEUAQQA3=&amp;Tipo=2&amp;ST=1&amp;nLang=0"/>
  </r>
  <r>
    <x v="19"/>
    <s v="OP-SDYR-001"/>
    <x v="23"/>
    <s v="Sin Auxiliar"/>
    <x v="40"/>
    <d v="2025-07-01T00:00:00"/>
    <n v="24"/>
    <x v="0"/>
    <n v="31"/>
    <n v="0"/>
    <n v="0"/>
    <n v="0"/>
    <n v="0"/>
    <n v="0"/>
    <n v="0"/>
    <n v="2"/>
    <n v="0"/>
    <n v="0"/>
    <n v="0"/>
    <n v="0"/>
    <n v="0"/>
    <n v="0"/>
    <n v="0"/>
    <n v="0"/>
    <s v="https://www.clickideacore.com/ClickHTML5/Visit.aspx?ID=//5BDAEwASwAzADQAMwA5ADgAMgA0ADgASQBEAEUAQQAF=&amp;Tipo=2&amp;ST=1&amp;nLang=0"/>
  </r>
  <r>
    <x v="6"/>
    <s v="OP-S-R-001"/>
    <x v="6"/>
    <s v="Sin Auxiliar"/>
    <x v="40"/>
    <d v="2025-07-01T00:00:00"/>
    <n v="44"/>
    <x v="0"/>
    <n v="32"/>
    <n v="0"/>
    <n v="0"/>
    <n v="0"/>
    <n v="0"/>
    <n v="0"/>
    <n v="0"/>
    <n v="0"/>
    <n v="32"/>
    <n v="0"/>
    <n v="0"/>
    <n v="0"/>
    <n v="0"/>
    <n v="0"/>
    <n v="0"/>
    <n v="0"/>
    <s v="https://www.clickideacore.com/ClickHTML5/Visit.aspx?ID=//5CDAEwASwAzADQANAAwADUAOQAxADIASQBEAEUAQQAF=&amp;Tipo=2&amp;ST=1&amp;nLang=0"/>
  </r>
  <r>
    <x v="7"/>
    <s v="OP-S-010"/>
    <x v="22"/>
    <s v="Sin Auxiliar"/>
    <x v="40"/>
    <d v="2025-07-01T00:00:00"/>
    <n v="77"/>
    <x v="0"/>
    <n v="1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MwA5ADcAMAAwADUASQBEAEUAQQA6=&amp;Tipo=2&amp;ST=1&amp;nLang=0"/>
  </r>
  <r>
    <x v="8"/>
    <s v="OP-S-004"/>
    <x v="8"/>
    <s v="Sin Auxiliar"/>
    <x v="40"/>
    <d v="2025-07-01T00:00:00"/>
    <n v="65"/>
    <x v="0"/>
    <n v="3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QANAAwADUANwA2ADYASQBEAEUAQQA7=&amp;Tipo=2&amp;ST=1&amp;nLang=0"/>
  </r>
  <r>
    <x v="9"/>
    <s v="OP-S-001"/>
    <x v="18"/>
    <s v="Sin Auxiliar"/>
    <x v="40"/>
    <d v="2025-07-01T00:00:00"/>
    <n v="34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NAAwADgANQAzADkASQBEAEUAQQA3=&amp;Tipo=2&amp;ST=1&amp;nLang=0"/>
  </r>
  <r>
    <x v="20"/>
    <s v="OP-S-001"/>
    <x v="18"/>
    <s v="Sin Auxiliar"/>
    <x v="40"/>
    <d v="2025-07-01T00:00:00"/>
    <n v="34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NAAwADgANQAzADkASQBEAEUAQQA3=&amp;Tipo=2&amp;ST=1&amp;nLang=0"/>
  </r>
  <r>
    <x v="10"/>
    <s v="OP-S-017"/>
    <x v="10"/>
    <s v="Sin Auxiliar"/>
    <x v="40"/>
    <d v="2025-07-01T00:00:00"/>
    <n v="55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NAAwADQAMAAyADYASQBEAEUAQQA7=&amp;Tipo=2&amp;ST=1&amp;nLang=0"/>
  </r>
  <r>
    <x v="11"/>
    <s v="OP-S-126"/>
    <x v="18"/>
    <s v="Sin Auxiliar"/>
    <x v="40"/>
    <d v="2025-07-01T00:00:00"/>
    <n v="29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NAAwADUANQA5ADEASQBEAEUAQQA0=&amp;Tipo=2&amp;ST=1&amp;nLang=0"/>
  </r>
  <r>
    <x v="17"/>
    <s v="OP-S-126"/>
    <x v="18"/>
    <s v="Sin Auxiliar"/>
    <x v="40"/>
    <d v="2025-07-01T00:00:00"/>
    <n v="29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NAAwADUANQA5ADEASQBEAEUAQQA0=&amp;Tipo=2&amp;ST=1&amp;nLang=0"/>
  </r>
  <r>
    <x v="12"/>
    <s v="OP-S-70"/>
    <x v="12"/>
    <s v="Sin Auxiliar"/>
    <x v="40"/>
    <d v="2025-07-01T00:00:00"/>
    <n v="32"/>
    <x v="0"/>
    <n v="28"/>
    <n v="0"/>
    <n v="0"/>
    <n v="1"/>
    <n v="1"/>
    <n v="0"/>
    <n v="0"/>
    <n v="0"/>
    <n v="28"/>
    <n v="0"/>
    <n v="0"/>
    <n v="0"/>
    <n v="0"/>
    <n v="0"/>
    <n v="0"/>
    <n v="0"/>
    <s v="https://www.clickideacore.com/ClickHTML5/Visit.aspx?ID=//5BDAEwASwAzADQANAAwADkANwAyADIASQBEAEUAQQA8=&amp;Tipo=2&amp;ST=1&amp;nLang=0"/>
  </r>
  <r>
    <x v="13"/>
    <s v="OP-S-060"/>
    <x v="3"/>
    <s v="Sin Auxiliar"/>
    <x v="40"/>
    <d v="2025-07-01T00:00:00"/>
    <n v="47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AAxADAANgAwADYASQBEAEUAQQA4=&amp;Tipo=2&amp;ST=1&amp;nLang=0"/>
  </r>
  <r>
    <x v="14"/>
    <s v="OP-S-011"/>
    <x v="14"/>
    <s v="Sin Auxiliar"/>
    <x v="40"/>
    <d v="2025-07-01T00:00:00"/>
    <n v="33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MwA4ADgAMgA1ADgASQBEAEUAQQA8=&amp;Tipo=2&amp;ST=1&amp;nLang=0"/>
  </r>
  <r>
    <x v="18"/>
    <s v="OP-S-002"/>
    <x v="6"/>
    <s v="Sin Auxiliar"/>
    <x v="40"/>
    <d v="2025-07-01T00:00:00"/>
    <n v="36"/>
    <x v="0"/>
    <n v="22"/>
    <n v="0"/>
    <n v="0"/>
    <n v="1"/>
    <n v="0"/>
    <n v="0"/>
    <n v="0"/>
    <n v="0"/>
    <n v="22"/>
    <n v="0"/>
    <n v="0"/>
    <n v="0"/>
    <n v="0"/>
    <n v="0"/>
    <n v="0"/>
    <n v="0"/>
    <s v="https://www.clickideacore.com/ClickHTML5/Visit.aspx?ID=//5BDAEwASwAzADQANAAwADMANQA1ADkASQBEAEUAQQA8=&amp;Tipo=2&amp;ST=1&amp;nLang=0"/>
  </r>
  <r>
    <x v="3"/>
    <s v="OP-S-003"/>
    <x v="18"/>
    <s v="Sin Auxiliar"/>
    <x v="40"/>
    <d v="2025-07-01T00:00:00"/>
    <n v="37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wADMANQA1ADkASQBEAEUAQQA8=&amp;Tipo=2&amp;ST=1&amp;nLang=0"/>
  </r>
  <r>
    <x v="23"/>
    <s v="OP-S-004"/>
    <x v="13"/>
    <s v="Sin Auxiliar"/>
    <x v="40"/>
    <d v="2025-07-01T00:00:00"/>
    <n v="38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wADMANQA1ADkASQBEAEUAQQA8=&amp;Tipo=2&amp;ST=1&amp;nLang=0"/>
  </r>
  <r>
    <x v="5"/>
    <s v="OP-S-005"/>
    <x v="18"/>
    <s v="Sin Auxiliar"/>
    <x v="40"/>
    <d v="2025-07-01T00:00:00"/>
    <n v="3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wADMANQA1ADkASQBEAEUAQQA8=&amp;Tipo=2&amp;ST=1&amp;nLang=0"/>
  </r>
  <r>
    <x v="23"/>
    <s v="OP-S-006"/>
    <x v="5"/>
    <s v="Sin Auxiliar"/>
    <x v="40"/>
    <d v="2025-07-01T00:00:00"/>
    <n v="40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wADMANQA1ADkASQBEAEUAQQA8=&amp;Tipo=2&amp;ST=1&amp;nLang=0"/>
  </r>
  <r>
    <x v="15"/>
    <s v="OP-S-012"/>
    <x v="18"/>
    <s v="Sin Auxiliar"/>
    <x v="40"/>
    <d v="2025-07-01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40"/>
    <d v="2025-07-01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0"/>
    <s v="Sin Auxiliar"/>
    <x v="41"/>
    <d v="2025-07-02T00:00:00"/>
    <n v="40"/>
    <x v="0"/>
    <n v="5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NAAzADQAMgAxADYASQBEAEUAQQA7=&amp;Tipo=2&amp;ST=1&amp;nLang=0"/>
  </r>
  <r>
    <x v="1"/>
    <s v="OP-S-013"/>
    <x v="1"/>
    <s v="Sin Auxiliar"/>
    <x v="41"/>
    <d v="2025-07-02T00:00:00"/>
    <n v="28"/>
    <x v="0"/>
    <n v="65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DDAEwASwAzADQANAAyADIAMgA2ADkASQBEAEUAQQA1=&amp;Tipo=2&amp;ST=1&amp;nLang=0"/>
  </r>
  <r>
    <x v="2"/>
    <s v="OP-S-009"/>
    <x v="21"/>
    <s v="Sin Auxiliar"/>
    <x v="41"/>
    <d v="2025-07-02T00:00:00"/>
    <n v="78"/>
    <x v="0"/>
    <n v="26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9DAEwASwAzADQANAAyADYAOAA3ADIASQBEAEUAQQA1=&amp;Tipo=2&amp;ST=1&amp;nLang=0"/>
  </r>
  <r>
    <x v="3"/>
    <s v="OP-S-062"/>
    <x v="3"/>
    <s v="Sin Auxiliar"/>
    <x v="41"/>
    <d v="2025-07-02T00:00:00"/>
    <n v="28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MwA4ADcANwAzADYASQBEAEUAQQA8=&amp;Tipo=2&amp;ST=1&amp;nLang=0"/>
  </r>
  <r>
    <x v="4"/>
    <s v="OP-S-018"/>
    <x v="4"/>
    <s v="Sin Auxiliar"/>
    <x v="41"/>
    <d v="2025-07-02T00:00:00"/>
    <n v="48"/>
    <x v="0"/>
    <n v="101"/>
    <n v="0"/>
    <n v="0"/>
    <n v="1"/>
    <n v="0"/>
    <n v="0"/>
    <n v="0"/>
    <n v="0"/>
    <n v="52"/>
    <n v="0"/>
    <n v="0"/>
    <n v="0"/>
    <n v="0"/>
    <n v="0"/>
    <n v="0"/>
    <n v="0"/>
    <s v="https://www.clickideacore.com/ClickHTML5/Visit.aspx?ID=//5EDAEwASwAzADQANAAyADcAMQAwADQASQBEAEUAQQAC=&amp;Tipo=2&amp;ST=1&amp;nLang=0"/>
  </r>
  <r>
    <x v="5"/>
    <s v="OP-S-055"/>
    <x v="5"/>
    <s v="Sin Auxiliar"/>
    <x v="41"/>
    <d v="2025-07-02T00:00:00"/>
    <n v="31"/>
    <x v="0"/>
    <n v="4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0DAEwASwAzADQANAAzADMAMwA3ADIASQBEAEUAQQAB=&amp;Tipo=2&amp;ST=1&amp;nLang=0"/>
  </r>
  <r>
    <x v="24"/>
    <s v="OP-S-100"/>
    <x v="10"/>
    <s v="Sin Auxiliar"/>
    <x v="41"/>
    <d v="2025-07-02T00:00:00"/>
    <n v="50"/>
    <x v="0"/>
    <n v="77"/>
    <n v="0"/>
    <n v="0"/>
    <n v="1"/>
    <n v="0"/>
    <n v="0"/>
    <n v="0"/>
    <n v="0"/>
    <n v="30"/>
    <n v="0"/>
    <n v="0"/>
    <n v="0"/>
    <n v="0"/>
    <n v="0"/>
    <n v="0"/>
    <n v="0"/>
    <s v="https://www.clickideacore.com/ClickHTML5/Visit.aspx?ID=//56DAEwASwAzADQANAAyADMANgAyADIASQBEAEUAQQA5=&amp;Tipo=2&amp;ST=1&amp;nLang=0"/>
  </r>
  <r>
    <x v="19"/>
    <s v="OP-SDYR-001"/>
    <x v="20"/>
    <s v="Sin Auxiliar"/>
    <x v="41"/>
    <d v="2025-07-02T00:00:00"/>
    <n v="34"/>
    <x v="0"/>
    <n v="65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DDAEwASwAzADQANAAyADMAMAA3ADgASQBEAEUAQQA6=&amp;Tipo=2&amp;ST=1&amp;nLang=0"/>
  </r>
  <r>
    <x v="7"/>
    <s v="OP-S-010"/>
    <x v="22"/>
    <s v="Sin Auxiliar"/>
    <x v="41"/>
    <d v="2025-07-02T00:00:00"/>
    <n v="80"/>
    <x v="0"/>
    <n v="24"/>
    <n v="0"/>
    <n v="0"/>
    <n v="1"/>
    <n v="0"/>
    <n v="1"/>
    <n v="0"/>
    <n v="0"/>
    <n v="10"/>
    <n v="0"/>
    <n v="0"/>
    <n v="0"/>
    <n v="0"/>
    <n v="0"/>
    <n v="0"/>
    <n v="0"/>
    <s v="https://www.clickideacore.com/ClickHTML5/Visit.aspx?ID=//58DAEwASwAzADQANAAyADIAMwA0ADgASQBEAEUAQQAC=&amp;Tipo=2&amp;ST=1&amp;nLang=0"/>
  </r>
  <r>
    <x v="8"/>
    <s v="OP-S-004"/>
    <x v="8"/>
    <s v="Sin Auxiliar"/>
    <x v="41"/>
    <d v="2025-07-02T00:00:00"/>
    <n v="96"/>
    <x v="0"/>
    <n v="4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QANAAyADYAMQA1ADgASQBEAEUAQQA0=&amp;Tipo=2&amp;ST=1&amp;nLang=0"/>
  </r>
  <r>
    <x v="9"/>
    <s v="OP-S-001"/>
    <x v="18"/>
    <s v="Sin Auxiliar"/>
    <x v="41"/>
    <d v="2025-07-02T00:00:00"/>
    <n v="52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AAzADMANAA3ADgASQBEAEUAQQA8=&amp;Tipo=2&amp;ST=1&amp;nLang=0"/>
  </r>
  <r>
    <x v="20"/>
    <s v="OP-S-001"/>
    <x v="18"/>
    <s v="Sin Auxiliar"/>
    <x v="41"/>
    <d v="2025-07-02T00:00:00"/>
    <n v="52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AAzADMANAA3ADgASQBEAEUAQQA8=&amp;Tipo=2&amp;ST=1&amp;nLang=0"/>
  </r>
  <r>
    <x v="11"/>
    <s v="OP-S-126"/>
    <x v="18"/>
    <s v="Sin Auxiliar"/>
    <x v="41"/>
    <d v="2025-07-02T00:00:00"/>
    <n v="39"/>
    <x v="0"/>
    <n v="6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NAAyADcAOAA3ADEASQBEAEUAQQA4=&amp;Tipo=2&amp;ST=1&amp;nLang=0"/>
  </r>
  <r>
    <x v="17"/>
    <s v="OP-S-126"/>
    <x v="18"/>
    <s v="Sin Auxiliar"/>
    <x v="41"/>
    <d v="2025-07-02T00:00:00"/>
    <n v="39"/>
    <x v="0"/>
    <n v="6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NAAyADcAOAA3ADEASQBEAEUAQQA4=&amp;Tipo=2&amp;ST=1&amp;nLang=0"/>
  </r>
  <r>
    <x v="12"/>
    <s v="OP-S-70"/>
    <x v="12"/>
    <s v="Sin Auxiliar"/>
    <x v="41"/>
    <d v="2025-07-02T00:00:00"/>
    <n v="27"/>
    <x v="0"/>
    <n v="53"/>
    <n v="0"/>
    <n v="0"/>
    <n v="1"/>
    <n v="1"/>
    <n v="0"/>
    <n v="0"/>
    <n v="0"/>
    <n v="53"/>
    <n v="0"/>
    <n v="0"/>
    <n v="0"/>
    <n v="0"/>
    <n v="0"/>
    <n v="0"/>
    <n v="0"/>
    <s v="https://www.clickideacore.com/ClickHTML5/Visit.aspx?ID=//50DAEwASwAzADQANAAzADIANQA2ADcASQBEAEUAQQA3=&amp;Tipo=2&amp;ST=1&amp;nLang=0"/>
  </r>
  <r>
    <x v="13"/>
    <s v="OP-S-060"/>
    <x v="13"/>
    <s v="Sin Auxiliar"/>
    <x v="41"/>
    <d v="2025-07-02T00:00:00"/>
    <n v="65"/>
    <x v="0"/>
    <n v="5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QANAAzADIANgA5ADEASQBEAEUAQQA7=&amp;Tipo=2&amp;ST=1&amp;nLang=0"/>
  </r>
  <r>
    <x v="14"/>
    <s v="OP-S-011"/>
    <x v="14"/>
    <s v="Sin Auxiliar"/>
    <x v="41"/>
    <d v="2025-07-02T00:00:00"/>
    <n v="34"/>
    <x v="0"/>
    <n v="28"/>
    <n v="0"/>
    <n v="0"/>
    <n v="0"/>
    <n v="0"/>
    <n v="0"/>
    <n v="0"/>
    <n v="0"/>
    <n v="12"/>
    <n v="0"/>
    <n v="0"/>
    <n v="0"/>
    <n v="0"/>
    <n v="0"/>
    <n v="0"/>
    <n v="0"/>
    <s v="https://www.clickideacore.com/ClickHTML5/Visit.aspx?ID=//50DAEwASwAzADQANAAzADQANAA3ADgASQBEAEUAQQAB=&amp;Tipo=2&amp;ST=1&amp;nLang=0"/>
  </r>
  <r>
    <x v="18"/>
    <s v="OP-S-002"/>
    <x v="6"/>
    <s v="Sin Auxiliar"/>
    <x v="41"/>
    <d v="2025-07-02T00:00:00"/>
    <n v="55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5DAEwASwAzADQANAAyADcAOQA0ADgASQBEAEUAQQA2=&amp;Tipo=2&amp;ST=1&amp;nLang=0"/>
  </r>
  <r>
    <x v="10"/>
    <s v="OP-S-003"/>
    <x v="18"/>
    <s v="Sin Auxiliar"/>
    <x v="41"/>
    <d v="2025-07-02T00:00:00"/>
    <n v="56"/>
    <x v="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AAyADcAOQA0ADgASQBEAEUAQQA2=&amp;Tipo=2&amp;ST=1&amp;nLang=0"/>
  </r>
  <r>
    <x v="23"/>
    <s v="OP-S-004"/>
    <x v="23"/>
    <s v="Sin Auxiliar"/>
    <x v="41"/>
    <d v="2025-07-02T00:00:00"/>
    <n v="57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AAyADcAOQA0ADgASQBEAEUAQQA2=&amp;Tipo=2&amp;ST=1&amp;nLang=0"/>
  </r>
  <r>
    <x v="15"/>
    <s v="OP-S-012"/>
    <x v="18"/>
    <s v="Sin Auxiliar"/>
    <x v="41"/>
    <d v="2025-07-02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41"/>
    <d v="2025-07-02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0"/>
    <s v="Sin Auxiliar"/>
    <x v="42"/>
    <d v="2025-07-03T00:00:00"/>
    <n v="42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NAA1ADgAMgA4ADAASQBEAEUAQQA4=&amp;Tipo=2&amp;ST=1&amp;nLang=0"/>
  </r>
  <r>
    <x v="1"/>
    <s v="OP-S-013"/>
    <x v="1"/>
    <s v="Sin Auxiliar"/>
    <x v="42"/>
    <d v="2025-07-03T00:00:00"/>
    <n v="48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NAA0ADYAMwA1ADAASQBEAEUAQQAE=&amp;Tipo=2&amp;ST=1&amp;nLang=0"/>
  </r>
  <r>
    <x v="2"/>
    <s v="OP-S-009"/>
    <x v="21"/>
    <s v="Sin Auxiliar"/>
    <x v="42"/>
    <d v="2025-07-03T00:00:00"/>
    <n v="59"/>
    <x v="0"/>
    <n v="4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0ADQAMQAyADEASQBEAEUAQQA0=&amp;Tipo=2&amp;ST=1&amp;nLang=0"/>
  </r>
  <r>
    <x v="3"/>
    <s v="OP-S-062"/>
    <x v="3"/>
    <s v="Sin Auxiliar"/>
    <x v="42"/>
    <d v="2025-07-03T00:00:00"/>
    <n v="27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1ADcANwA0ADIASQBEAEUAQQAC=&amp;Tipo=2&amp;ST=1&amp;nLang=0"/>
  </r>
  <r>
    <x v="4"/>
    <s v="OP-S-018"/>
    <x v="4"/>
    <s v="Sin Auxiliar"/>
    <x v="42"/>
    <d v="2025-07-03T00:00:00"/>
    <n v="34"/>
    <x v="0"/>
    <n v="75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NAA0ADcANwAzADQASQBEAEUAQQAD=&amp;Tipo=2&amp;ST=1&amp;nLang=0"/>
  </r>
  <r>
    <x v="5"/>
    <s v="OP-S-055"/>
    <x v="5"/>
    <s v="Sin Auxiliar"/>
    <x v="42"/>
    <d v="2025-07-03T00:00:00"/>
    <n v="24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AA1ADQANgA2ADIASQBEAEUAQQA5=&amp;Tipo=2&amp;ST=1&amp;nLang=0"/>
  </r>
  <r>
    <x v="10"/>
    <s v="OP-S-100"/>
    <x v="10"/>
    <s v="Sin Auxiliar"/>
    <x v="42"/>
    <d v="2025-07-03T00:00:00"/>
    <n v="54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AA0ADkAOAA0ADAASQBEAEUAQQA1=&amp;Tipo=2&amp;ST=1&amp;nLang=0"/>
  </r>
  <r>
    <x v="7"/>
    <s v="OP-S-010"/>
    <x v="23"/>
    <s v="Sin Auxiliar"/>
    <x v="42"/>
    <d v="2025-07-03T00:00:00"/>
    <n v="55"/>
    <x v="0"/>
    <n v="4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7DAEwASwAzADQANAA0ADgAMgA2ADQASQBEAEUAQQA7=&amp;Tipo=2&amp;ST=1&amp;nLang=0"/>
  </r>
  <r>
    <x v="8"/>
    <s v="OP-S-004"/>
    <x v="8"/>
    <s v="Sin Auxiliar"/>
    <x v="42"/>
    <d v="2025-07-03T00:00:00"/>
    <n v="34"/>
    <x v="0"/>
    <n v="45"/>
    <n v="1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AA1ADEAOQAzADgASQBEAEUAQQA6=&amp;Tipo=2&amp;ST=1&amp;nLang=0"/>
  </r>
  <r>
    <x v="9"/>
    <s v="OP-S-001"/>
    <x v="18"/>
    <s v="Sin Auxiliar"/>
    <x v="42"/>
    <d v="2025-07-03T00:00:00"/>
    <n v="25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NAA0ADgAMQAyADkASQBEAEUAQQAF=&amp;Tipo=2&amp;ST=1&amp;nLang=0"/>
  </r>
  <r>
    <x v="20"/>
    <s v="OP-S-001"/>
    <x v="18"/>
    <s v="Sin Auxiliar"/>
    <x v="42"/>
    <d v="2025-07-03T00:00:00"/>
    <n v="25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NAA0ADgAMQAyADkASQBEAEUAQQAF=&amp;Tipo=2&amp;ST=1&amp;nLang=0"/>
  </r>
  <r>
    <x v="12"/>
    <s v="OP-S-70"/>
    <x v="12"/>
    <s v="Sin Auxiliar"/>
    <x v="42"/>
    <d v="2025-07-03T00:00:00"/>
    <n v="21"/>
    <x v="0"/>
    <n v="35"/>
    <n v="0"/>
    <n v="0"/>
    <n v="1"/>
    <n v="1"/>
    <n v="0"/>
    <n v="1"/>
    <n v="0"/>
    <n v="35"/>
    <n v="0"/>
    <n v="0"/>
    <n v="0"/>
    <n v="0"/>
    <n v="0"/>
    <n v="0"/>
    <n v="0"/>
    <s v="https://www.clickideacore.com/ClickHTML5/Visit.aspx?ID=//5ADAEwASwAzADQANAA1ADcAMQA1ADkASQBEAEUAQQA9=&amp;Tipo=2&amp;ST=1&amp;nLang=0"/>
  </r>
  <r>
    <x v="13"/>
    <s v="OP-S-060"/>
    <x v="13"/>
    <s v="Sin Auxiliar"/>
    <x v="42"/>
    <d v="2025-07-03T00:00:00"/>
    <n v="126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5DAEwASwAzADQANAA0ADcAOAA2ADEASQBEAEUAQQA1=&amp;Tipo=2&amp;ST=1&amp;nLang=0"/>
  </r>
  <r>
    <x v="18"/>
    <s v="OP-S-002"/>
    <x v="6"/>
    <s v="Sin Auxiliar"/>
    <x v="42"/>
    <d v="2025-07-03T00:00:00"/>
    <n v="59"/>
    <x v="0"/>
    <n v="21"/>
    <n v="0"/>
    <n v="0"/>
    <n v="1"/>
    <n v="0"/>
    <n v="0"/>
    <n v="0"/>
    <n v="0"/>
    <n v="21"/>
    <n v="0"/>
    <n v="0"/>
    <n v="0"/>
    <n v="0"/>
    <n v="0"/>
    <n v="0"/>
    <n v="0"/>
    <s v="https://www.clickideacore.com/ClickHTML5/Visit.aspx?ID=//57DAEwASwAzADQANAA1ADIANAAyADcASQBEAEUAQQAA=&amp;Tipo=2&amp;ST=1&amp;nLang=0"/>
  </r>
  <r>
    <x v="14"/>
    <s v="OP-S-011"/>
    <x v="14"/>
    <s v="Sin Auxiliar"/>
    <x v="42"/>
    <d v="2025-07-03T00:00:00"/>
    <n v="34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AAzADQANAA3ADgASQBEAEUAQQAB=&amp;Tipo=2&amp;ST=1&amp;nLang=0"/>
  </r>
  <r>
    <x v="19"/>
    <s v="OP-S-012"/>
    <x v="18"/>
    <s v="Sin Auxiliar"/>
    <x v="42"/>
    <d v="2025-07-03T00:00:00"/>
    <n v="35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AAzADQANAA3ADgASQBEAEUAQQAB=&amp;Tipo=2&amp;ST=1&amp;nLang=0"/>
  </r>
  <r>
    <x v="17"/>
    <s v="OP-S-013"/>
    <x v="18"/>
    <s v="Sin Auxiliar"/>
    <x v="42"/>
    <d v="2025-07-03T00:00:00"/>
    <n v="36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AAzADQANAA3ADgASQBEAEUAQQAB=&amp;Tipo=2&amp;ST=1&amp;nLang=0"/>
  </r>
  <r>
    <x v="11"/>
    <s v="OP-S-014"/>
    <x v="18"/>
    <s v="Sin Auxiliar"/>
    <x v="42"/>
    <d v="2025-07-03T00:00:00"/>
    <n v="37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AAzADQANAA3ADgASQBEAEUAQQAB=&amp;Tipo=2&amp;ST=1&amp;nLang=0"/>
  </r>
  <r>
    <x v="15"/>
    <s v="OP-S-012"/>
    <x v="18"/>
    <s v="Sin Auxiliar"/>
    <x v="42"/>
    <d v="2025-07-03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42"/>
    <d v="2025-07-03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0"/>
    <s v="Sin Auxiliar"/>
    <x v="43"/>
    <d v="2025-07-04T00:00:00"/>
    <n v="50"/>
    <x v="0"/>
    <n v="5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QANAA4ADAAMAA1ADMASQBEAEUAQQAC=&amp;Tipo=2&amp;ST=1&amp;nLang=0"/>
  </r>
  <r>
    <x v="1"/>
    <s v="OP-S-013"/>
    <x v="1"/>
    <s v="Sin Auxiliar"/>
    <x v="43"/>
    <d v="2025-07-04T00:00:00"/>
    <n v="31"/>
    <x v="0"/>
    <n v="8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AA3ADAAMQA4ADAASQBEAEUAQQA6=&amp;Tipo=2&amp;ST=1&amp;nLang=0"/>
  </r>
  <r>
    <x v="2"/>
    <s v="OP-S-009"/>
    <x v="21"/>
    <s v="Sin Auxiliar"/>
    <x v="43"/>
    <d v="2025-07-04T00:00:00"/>
    <n v="67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NAA3ADAAOAAwADIASQBEAEUAQQA0=&amp;Tipo=2&amp;ST=1&amp;nLang=0"/>
  </r>
  <r>
    <x v="3"/>
    <s v="OP-S-062"/>
    <x v="3"/>
    <s v="Sin Auxiliar"/>
    <x v="43"/>
    <d v="2025-07-04T00:00:00"/>
    <n v="27"/>
    <x v="0"/>
    <n v="6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1ADcANwA0ADIASQBEAEUAQQAC=&amp;Tipo=2&amp;ST=1&amp;nLang=0"/>
  </r>
  <r>
    <x v="4"/>
    <s v="OP-S-018"/>
    <x v="4"/>
    <s v="Sin Auxiliar"/>
    <x v="43"/>
    <d v="2025-07-04T00:00:00"/>
    <n v="34"/>
    <x v="0"/>
    <n v="8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4DAEwASwAzADQANAA3ADAANQA4ADgASQBEAEUAQQA1=&amp;Tipo=2&amp;ST=1&amp;nLang=0"/>
  </r>
  <r>
    <x v="5"/>
    <s v="OP-S-055"/>
    <x v="5"/>
    <s v="Sin Auxiliar"/>
    <x v="43"/>
    <d v="2025-07-04T00:00:00"/>
    <n v="27"/>
    <x v="0"/>
    <n v="42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0DAEwASwAzADQANAA3ADkANAA1ADAASQBEAEUAQQA8=&amp;Tipo=2&amp;ST=1&amp;nLang=0"/>
  </r>
  <r>
    <x v="10"/>
    <s v="OP-S-100"/>
    <x v="10"/>
    <s v="Sin Auxiliar"/>
    <x v="43"/>
    <d v="2025-07-04T00:00:00"/>
    <n v="52"/>
    <x v="0"/>
    <n v="6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NAA2ADcAOQA1ADMASQBEAEUAQQA5=&amp;Tipo=2&amp;ST=1&amp;nLang=0"/>
  </r>
  <r>
    <x v="19"/>
    <s v="OP-SDYR-001"/>
    <x v="23"/>
    <s v="Sin Auxiliar"/>
    <x v="43"/>
    <d v="2025-07-04T00:00:00"/>
    <n v="25"/>
    <x v="0"/>
    <n v="6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NAA2ADYAMwA5ADcASQBEAEUAQQA7=&amp;Tipo=2&amp;ST=1&amp;nLang=0"/>
  </r>
  <r>
    <x v="6"/>
    <s v="OP-S-R-001"/>
    <x v="6"/>
    <s v="Sin Auxiliar"/>
    <x v="43"/>
    <d v="2025-07-04T00:00:00"/>
    <n v="49"/>
    <x v="0"/>
    <n v="39"/>
    <n v="0"/>
    <n v="0"/>
    <n v="0"/>
    <n v="0"/>
    <n v="0"/>
    <n v="0"/>
    <n v="0"/>
    <n v="39"/>
    <n v="0"/>
    <n v="0"/>
    <n v="0"/>
    <n v="0"/>
    <n v="0"/>
    <n v="0"/>
    <n v="0"/>
    <s v="https://www.clickideacore.com/ClickHTML5/Visit.aspx?ID=//50DAEwASwAzADQANAA3ADMANQAyADQASQBEAEUAQQAA=&amp;Tipo=2&amp;ST=1&amp;nLang=0"/>
  </r>
  <r>
    <x v="7"/>
    <s v="OP-S-010"/>
    <x v="22"/>
    <s v="Sin Auxiliar"/>
    <x v="43"/>
    <d v="2025-07-04T00:00:00"/>
    <n v="46"/>
    <x v="0"/>
    <n v="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FDAEwASwAzADQANAA2ADYANAA1ADMASQBEAEUAQQA1=&amp;Tipo=2&amp;ST=1&amp;nLang=0"/>
  </r>
  <r>
    <x v="8"/>
    <s v="OP-S-004"/>
    <x v="8"/>
    <s v="Sin Auxiliar"/>
    <x v="43"/>
    <d v="2025-07-04T00:00:00"/>
    <n v="54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NAA3ADEAMwA1ADEASQBEAEUAQQA0=&amp;Tipo=2&amp;ST=1&amp;nLang=0"/>
  </r>
  <r>
    <x v="9"/>
    <s v="OP-S-001"/>
    <x v="18"/>
    <s v="Sin Auxiliar"/>
    <x v="43"/>
    <d v="2025-07-04T00:00:00"/>
    <n v="24"/>
    <x v="0"/>
    <n v="6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3ADUANAAwADMASQBEAEUAQQAE=&amp;Tipo=2&amp;ST=1&amp;nLang=0"/>
  </r>
  <r>
    <x v="20"/>
    <s v="OP-S-001"/>
    <x v="18"/>
    <s v="Sin Auxiliar"/>
    <x v="43"/>
    <d v="2025-07-04T00:00:00"/>
    <n v="24"/>
    <x v="0"/>
    <n v="6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AA3ADUANAAwADMASQBEAEUAQQAE=&amp;Tipo=2&amp;ST=1&amp;nLang=0"/>
  </r>
  <r>
    <x v="17"/>
    <s v="OP-S-126"/>
    <x v="18"/>
    <s v="Sin Auxiliar"/>
    <x v="43"/>
    <d v="2025-07-04T00:00:00"/>
    <n v="2302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AA3ADUAOQAzADEASQBEAEUAQQA5=&amp;Tipo=2&amp;ST=1&amp;nLang=0"/>
  </r>
  <r>
    <x v="11"/>
    <s v="OP-S-126"/>
    <x v="18"/>
    <s v="Sin Auxiliar"/>
    <x v="43"/>
    <d v="2025-07-04T00:00:00"/>
    <n v="2302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AA3ADUAOQAzADEASQBEAEUAQQA5=&amp;Tipo=2&amp;ST=1&amp;nLang=0"/>
  </r>
  <r>
    <x v="12"/>
    <s v="OP-S-70"/>
    <x v="12"/>
    <s v="Sin Auxiliar"/>
    <x v="43"/>
    <d v="2025-07-04T00:00:00"/>
    <n v="39"/>
    <x v="0"/>
    <n v="40"/>
    <n v="0"/>
    <n v="0"/>
    <n v="1"/>
    <n v="1"/>
    <n v="0"/>
    <n v="0"/>
    <n v="0"/>
    <n v="51"/>
    <n v="0"/>
    <n v="0"/>
    <n v="0"/>
    <n v="0"/>
    <n v="0"/>
    <n v="0"/>
    <n v="0"/>
    <s v="https://www.clickideacore.com/ClickHTML5/Visit.aspx?ID=//54DAEwASwAzADQANAA3ADgAMwA4ADYASQBEAEUAQQA3=&amp;Tipo=2&amp;ST=1&amp;nLang=0"/>
  </r>
  <r>
    <x v="13"/>
    <s v="OP-S-060"/>
    <x v="13"/>
    <s v="Sin Auxiliar"/>
    <x v="43"/>
    <d v="2025-07-04T00:00:00"/>
    <n v="58"/>
    <x v="0"/>
    <n v="6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QANAA3ADYANgAwADYASQBEAEUAQQA1=&amp;Tipo=2&amp;ST=1&amp;nLang=0"/>
  </r>
  <r>
    <x v="14"/>
    <s v="OP-S-011"/>
    <x v="14"/>
    <s v="Sin Auxiliar"/>
    <x v="43"/>
    <d v="2025-07-04T00:00:00"/>
    <n v="38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AA1ADgANAA3ADkASQBEAEUAQQAD=&amp;Tipo=2&amp;ST=1&amp;nLang=0"/>
  </r>
  <r>
    <x v="18"/>
    <s v="OP-S-002"/>
    <x v="6"/>
    <s v="Sin Auxiliar"/>
    <x v="43"/>
    <d v="2025-07-04T00:00:00"/>
    <n v="67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DDAEwASwAzADQANAA3ADEANAAwADQASQBEAEUAQQA0=&amp;Tipo=2&amp;ST=1&amp;nLang=0"/>
  </r>
  <r>
    <x v="15"/>
    <s v="OP-S-012"/>
    <x v="18"/>
    <s v="Sin Auxiliar"/>
    <x v="43"/>
    <d v="2025-07-04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43"/>
    <d v="2025-07-04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44"/>
    <d v="2025-07-05T00:00:00"/>
    <n v="73"/>
    <x v="0"/>
    <n v="0"/>
    <n v="0"/>
    <n v="0"/>
    <n v="0"/>
    <n v="0"/>
    <n v="0"/>
    <n v="0"/>
    <n v="0"/>
    <n v="0"/>
    <n v="1"/>
    <n v="0"/>
    <n v="7"/>
    <n v="78"/>
    <n v="1"/>
    <n v="0"/>
    <n v="0"/>
    <s v="https://www.clickideacore.com/ClickHTML5/Visit.aspx?ID=//5FDAEwASwAzADQANAA5ADIANwA1ADkASQBEAEUAQQAC=&amp;Tipo=2&amp;ST=1&amp;nLang=0"/>
  </r>
  <r>
    <x v="8"/>
    <s v="OP-S-004"/>
    <x v="8"/>
    <s v="Sin Auxiliar"/>
    <x v="44"/>
    <d v="2025-07-05T00:00:00"/>
    <n v="120"/>
    <x v="0"/>
    <n v="0"/>
    <n v="0"/>
    <n v="0"/>
    <n v="0"/>
    <n v="0"/>
    <n v="0"/>
    <n v="0"/>
    <n v="0"/>
    <n v="10"/>
    <n v="1"/>
    <n v="0"/>
    <n v="20"/>
    <n v="69"/>
    <n v="1"/>
    <n v="0"/>
    <n v="4"/>
    <s v="https://www.clickideacore.com/ClickHTML5/Visit.aspx?ID=//51DAEwASwAzADQANAA5ADIANgAyADMASQBEAEUAQQAE=&amp;Tipo=2&amp;ST=1&amp;nLang=0"/>
  </r>
  <r>
    <x v="1"/>
    <s v="OP-S-013"/>
    <x v="1"/>
    <s v="Sin Auxiliar"/>
    <x v="45"/>
    <d v="2025-07-06T00:00:00"/>
    <n v="65"/>
    <x v="0"/>
    <n v="0"/>
    <n v="0"/>
    <n v="0"/>
    <n v="1"/>
    <n v="0"/>
    <n v="0"/>
    <n v="0"/>
    <n v="0"/>
    <n v="37"/>
    <n v="0"/>
    <n v="1"/>
    <n v="40"/>
    <n v="20"/>
    <n v="0"/>
    <n v="1"/>
    <n v="0"/>
    <s v="https://www.clickideacore.com/ClickHTML5/Visit.aspx?ID=//58DAEwASwAzADQANQAwADIAMAAwADAASQBEAEUAQQA3=&amp;Tipo=2&amp;ST=1&amp;nLang=0"/>
  </r>
  <r>
    <x v="5"/>
    <s v="OP-S-055"/>
    <x v="13"/>
    <s v="Sin Auxiliar"/>
    <x v="45"/>
    <d v="2025-07-06T00:00:00"/>
    <n v="112"/>
    <x v="0"/>
    <n v="0"/>
    <n v="0"/>
    <n v="0"/>
    <n v="0"/>
    <n v="0"/>
    <n v="0"/>
    <n v="0"/>
    <n v="0"/>
    <n v="16"/>
    <n v="0"/>
    <n v="1"/>
    <n v="16"/>
    <n v="32"/>
    <n v="0"/>
    <n v="1"/>
    <n v="4"/>
    <s v="https://www.clickideacore.com/ClickHTML5/Visit.aspx?ID=//55DAEwASwAzADQANQAwADIAOAA4ADMASQBEAEUAQQA0=&amp;Tipo=2&amp;ST=1&amp;nLang=0"/>
  </r>
  <r>
    <x v="0"/>
    <s v="OP-S-106"/>
    <x v="0"/>
    <s v="Sin Auxiliar"/>
    <x v="46"/>
    <d v="2025-07-07T00:00:00"/>
    <n v="55"/>
    <x v="0"/>
    <n v="4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QANQAyADYAOAA5ADcASQBEAEUAQQA4=&amp;Tipo=2&amp;ST=1&amp;nLang=0"/>
  </r>
  <r>
    <x v="1"/>
    <s v="OP-S-013"/>
    <x v="1"/>
    <s v="Sin Auxiliar"/>
    <x v="46"/>
    <d v="2025-07-07T00:00:00"/>
    <n v="42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NQAxADkANAAyADAASQBEAEUAQQA7=&amp;Tipo=2&amp;ST=1&amp;nLang=0"/>
  </r>
  <r>
    <x v="2"/>
    <s v="OP-S-009"/>
    <x v="21"/>
    <s v="Sin Auxiliar"/>
    <x v="46"/>
    <d v="2025-07-07T00:00:00"/>
    <n v="54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NQAxADQAMQA3ADAASQBEAEUAQQA7=&amp;Tipo=2&amp;ST=1&amp;nLang=0"/>
  </r>
  <r>
    <x v="3"/>
    <s v="OP-S-062"/>
    <x v="3"/>
    <s v="Sin Auxiliar"/>
    <x v="46"/>
    <d v="2025-07-07T00:00:00"/>
    <n v="27"/>
    <x v="0"/>
    <n v="40"/>
    <n v="12"/>
    <n v="0"/>
    <n v="0"/>
    <n v="0"/>
    <n v="0"/>
    <n v="0"/>
    <n v="0"/>
    <n v="0"/>
    <n v="0"/>
    <n v="0"/>
    <n v="0"/>
    <n v="0"/>
    <n v="0"/>
    <n v="0"/>
    <n v="1"/>
    <s v="https://www.clickideacore.com/ClickHTML5/Visit.aspx?ID=//5BDAEwASwAzADQANAA1ADcANwA0ADIASQBEAEUAQQAC=&amp;Tipo=2&amp;ST=1&amp;nLang=0"/>
  </r>
  <r>
    <x v="4"/>
    <s v="OP-S-018"/>
    <x v="4"/>
    <s v="Sin Auxiliar"/>
    <x v="46"/>
    <d v="2025-07-07T00:00:00"/>
    <n v="53"/>
    <x v="0"/>
    <n v="100"/>
    <n v="3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QANQAxADgAMgA5ADEASQBEAEUAQQA1=&amp;Tipo=2&amp;ST=1&amp;nLang=0"/>
  </r>
  <r>
    <x v="5"/>
    <s v="OP-S-055"/>
    <x v="5"/>
    <s v="Sin Auxiliar"/>
    <x v="46"/>
    <d v="2025-07-07T00:00:00"/>
    <n v="29"/>
    <x v="0"/>
    <n v="37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2DAEwASwAzADQANQAyADYANAAyADkASQBEAEUAQQA2=&amp;Tipo=2&amp;ST=1&amp;nLang=0"/>
  </r>
  <r>
    <x v="10"/>
    <s v="OP-S-100"/>
    <x v="10"/>
    <s v="Sin Auxiliar"/>
    <x v="46"/>
    <d v="2025-07-07T00:00:00"/>
    <n v="64"/>
    <x v="0"/>
    <n v="6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NQAxADIANQA3ADUASQBEAEUAQQAB=&amp;Tipo=2&amp;ST=1&amp;nLang=0"/>
  </r>
  <r>
    <x v="19"/>
    <s v="OP-SDYR-001"/>
    <x v="23"/>
    <s v="Sin Auxiliar"/>
    <x v="46"/>
    <d v="2025-07-07T00:00:00"/>
    <n v="24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QAxADIANwAzADQASQBEAEUAQQA0=&amp;Tipo=2&amp;ST=1&amp;nLang=0"/>
  </r>
  <r>
    <x v="6"/>
    <s v="OP-S-R-001"/>
    <x v="6"/>
    <s v="Sin Auxiliar"/>
    <x v="46"/>
    <d v="2025-07-07T00:00:00"/>
    <n v="51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2DAEwASwAzADQANQAyADYANAA3ADAASQBEAEUAQQA2=&amp;Tipo=2&amp;ST=1&amp;nLang=0"/>
  </r>
  <r>
    <x v="7"/>
    <s v="OP-S-010"/>
    <x v="22"/>
    <s v="Sin Auxiliar"/>
    <x v="46"/>
    <d v="2025-07-07T00:00:00"/>
    <n v="36"/>
    <x v="0"/>
    <n v="3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QAxADUAOQAyADUASQBEAEUAQQA8=&amp;Tipo=2&amp;ST=1&amp;nLang=0"/>
  </r>
  <r>
    <x v="8"/>
    <s v="OP-S-004"/>
    <x v="8"/>
    <s v="Sin Auxiliar"/>
    <x v="46"/>
    <d v="2025-07-07T00:00:00"/>
    <n v="119"/>
    <x v="0"/>
    <n v="46"/>
    <n v="42"/>
    <n v="0"/>
    <n v="1"/>
    <n v="0"/>
    <n v="0"/>
    <n v="0"/>
    <n v="0"/>
    <n v="4"/>
    <n v="0"/>
    <n v="0"/>
    <n v="0"/>
    <n v="0"/>
    <n v="0"/>
    <n v="0"/>
    <n v="2"/>
    <s v="https://www.clickideacore.com/ClickHTML5/Visit.aspx?ID=//50DAEwASwAzADQANQAxADkAMAA2ADcASQBEAEUAQQA1=&amp;Tipo=2&amp;ST=1&amp;nLang=0"/>
  </r>
  <r>
    <x v="9"/>
    <s v="OP-S-001"/>
    <x v="18"/>
    <s v="Sin Auxiliar"/>
    <x v="46"/>
    <d v="2025-07-07T00:00:00"/>
    <n v="25"/>
    <x v="0"/>
    <n v="7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QAyADMAOAAwADYASQBEAEUAQQAC=&amp;Tipo=2&amp;ST=1&amp;nLang=0"/>
  </r>
  <r>
    <x v="20"/>
    <s v="OP-S-001"/>
    <x v="18"/>
    <s v="Sin Auxiliar"/>
    <x v="46"/>
    <d v="2025-07-07T00:00:00"/>
    <n v="25"/>
    <x v="0"/>
    <n v="7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QAyADMAOAAwADYASQBEAEUAQQAC=&amp;Tipo=2&amp;ST=1&amp;nLang=0"/>
  </r>
  <r>
    <x v="11"/>
    <s v="OP-S-126"/>
    <x v="18"/>
    <s v="Sin Auxiliar"/>
    <x v="46"/>
    <d v="2025-07-07T00:00:00"/>
    <n v="49"/>
    <x v="0"/>
    <n v="44"/>
    <n v="1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NQAxADgAMQA3ADEASQBEAEUAQQAF=&amp;Tipo=2&amp;ST=1&amp;nLang=0"/>
  </r>
  <r>
    <x v="17"/>
    <s v="OP-S-126"/>
    <x v="18"/>
    <s v="Sin Auxiliar"/>
    <x v="46"/>
    <d v="2025-07-07T00:00:00"/>
    <n v="49"/>
    <x v="0"/>
    <n v="44"/>
    <n v="1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NQAxADgAMQA3ADEASQBEAEUAQQAF=&amp;Tipo=2&amp;ST=1&amp;nLang=0"/>
  </r>
  <r>
    <x v="12"/>
    <s v="OP-S-70"/>
    <x v="12"/>
    <s v="Sin Auxiliar"/>
    <x v="46"/>
    <d v="2025-07-07T00:00:00"/>
    <n v="25"/>
    <x v="0"/>
    <n v="27"/>
    <n v="0"/>
    <n v="0"/>
    <n v="1"/>
    <n v="1"/>
    <n v="0"/>
    <n v="0"/>
    <n v="0"/>
    <n v="40"/>
    <n v="0"/>
    <n v="0"/>
    <n v="0"/>
    <n v="0"/>
    <n v="0"/>
    <n v="0"/>
    <n v="0"/>
    <s v="https://www.clickideacore.com/ClickHTML5/Visit.aspx?ID=//55DAEwASwAzADQANQAyADUAMQA5ADkASQBEAEUAQQA4=&amp;Tipo=2&amp;ST=1&amp;nLang=0"/>
  </r>
  <r>
    <x v="13"/>
    <s v="OP-S-060"/>
    <x v="13"/>
    <s v="Sin Auxiliar"/>
    <x v="46"/>
    <d v="2025-07-07T00:00:00"/>
    <n v="76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QANQAyADUAMgAyADQASQBEAEUAQQA9=&amp;Tipo=2&amp;ST=1&amp;nLang=0"/>
  </r>
  <r>
    <x v="18"/>
    <s v="OP-S-002"/>
    <x v="6"/>
    <s v="Sin Auxiliar"/>
    <x v="46"/>
    <d v="2025-07-07T00:00:00"/>
    <n v="32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8DAEwASwAzADQANQAyADMANgA1ADkASQBEAEUAQQAA=&amp;Tipo=2&amp;ST=1&amp;nLang=0"/>
  </r>
  <r>
    <x v="14"/>
    <s v="OP-S-011"/>
    <x v="14"/>
    <s v="Sin Auxiliar"/>
    <x v="46"/>
    <d v="2025-07-07T00:00:00"/>
    <n v="33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AA1ADgANAA3ADkASQBEAEUAQQAD=&amp;Tipo=2&amp;ST=1&amp;nLang=0"/>
  </r>
  <r>
    <x v="15"/>
    <s v="OP-S-012"/>
    <x v="18"/>
    <s v="Sin Auxiliar"/>
    <x v="46"/>
    <d v="2025-07-07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23"/>
    <s v="OP-S-013"/>
    <x v="9"/>
    <s v="Sin Auxiliar"/>
    <x v="46"/>
    <d v="2025-07-07T00:00:00"/>
    <n v="40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0"/>
    <s v="Sin Auxiliar"/>
    <x v="47"/>
    <d v="2025-07-08T00:00:00"/>
    <n v="40"/>
    <x v="0"/>
    <n v="6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QANQA1ADEANQAwADAASQBEAEUAQQAF=&amp;Tipo=2&amp;ST=1&amp;nLang=0"/>
  </r>
  <r>
    <x v="15"/>
    <s v="OP-S-012"/>
    <x v="18"/>
    <s v="Sin Auxiliar"/>
    <x v="47"/>
    <d v="2025-07-08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47"/>
    <d v="2025-07-08T00:00:00"/>
    <n v="29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QA0ADIAOAAxADQASQBEAEUAQQA2=&amp;Tipo=2&amp;ST=1&amp;nLang=0"/>
  </r>
  <r>
    <x v="2"/>
    <s v="OP-S-009"/>
    <x v="21"/>
    <s v="Sin Auxiliar"/>
    <x v="47"/>
    <d v="2025-07-08T00:00:00"/>
    <n v="68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QA0ADEAMAA5ADQASQBEAEUAQQAD=&amp;Tipo=2&amp;ST=1&amp;nLang=0"/>
  </r>
  <r>
    <x v="3"/>
    <s v="OP-S-062"/>
    <x v="3"/>
    <s v="Sin Auxiliar"/>
    <x v="47"/>
    <d v="2025-07-08T00:00:00"/>
    <n v="29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QA0ADkAMAA0ADYASQBEAEUAQQA2=&amp;Tipo=2&amp;ST=1&amp;nLang=0"/>
  </r>
  <r>
    <x v="4"/>
    <s v="OP-S-018"/>
    <x v="4"/>
    <s v="Sin Auxiliar"/>
    <x v="47"/>
    <d v="2025-07-08T00:00:00"/>
    <n v="37"/>
    <x v="0"/>
    <n v="72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ADAEwASwAzADQANQA0ADEAMwA0ADAASQBEAEUAQQAE=&amp;Tipo=2&amp;ST=1&amp;nLang=0"/>
  </r>
  <r>
    <x v="19"/>
    <s v="OP-SDYR-001"/>
    <x v="23"/>
    <s v="Sin Auxiliar"/>
    <x v="47"/>
    <d v="2025-07-08T00:00:00"/>
    <n v="26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NQAzADkANQA0ADgASQBEAEUAQQA9=&amp;Tipo=2&amp;ST=1&amp;nLang=0"/>
  </r>
  <r>
    <x v="6"/>
    <s v="OP-S-R-001"/>
    <x v="6"/>
    <s v="Sin Auxiliar"/>
    <x v="47"/>
    <d v="2025-07-08T00:00:00"/>
    <n v="57"/>
    <x v="0"/>
    <n v="23"/>
    <n v="0"/>
    <n v="0"/>
    <n v="0"/>
    <n v="0"/>
    <n v="0"/>
    <n v="0"/>
    <n v="0"/>
    <n v="23"/>
    <n v="0"/>
    <n v="0"/>
    <n v="0"/>
    <n v="0"/>
    <n v="0"/>
    <n v="0"/>
    <n v="0"/>
    <s v="https://www.clickideacore.com/ClickHTML5/Visit.aspx?ID=//58DAEwASwAzADQANQA1ADAAMQA0ADEASQBEAEUAQQAA=&amp;Tipo=2&amp;ST=1&amp;nLang=0"/>
  </r>
  <r>
    <x v="7"/>
    <s v="OP-S-010"/>
    <x v="22"/>
    <s v="Sin Auxiliar"/>
    <x v="47"/>
    <d v="2025-07-08T00:00:00"/>
    <n v="37"/>
    <x v="0"/>
    <n v="1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NQAzADQANgA1ADYASQBEAEUAQQA0=&amp;Tipo=2&amp;ST=1&amp;nLang=0"/>
  </r>
  <r>
    <x v="8"/>
    <s v="OP-S-004"/>
    <x v="8"/>
    <s v="Sin Auxiliar"/>
    <x v="47"/>
    <d v="2025-07-08T00:00:00"/>
    <n v="65"/>
    <x v="0"/>
    <n v="3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NQA0ADMAMAA4ADIASQBEAEUAQQAD=&amp;Tipo=2&amp;ST=1&amp;nLang=0"/>
  </r>
  <r>
    <x v="9"/>
    <s v="OP-S-001"/>
    <x v="18"/>
    <s v="Sin Auxiliar"/>
    <x v="47"/>
    <d v="2025-07-08T00:00:00"/>
    <n v="37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QA0ADUAMQAwADAASQBEAEUAQQAC=&amp;Tipo=2&amp;ST=1&amp;nLang=0"/>
  </r>
  <r>
    <x v="20"/>
    <s v="OP-S-001"/>
    <x v="18"/>
    <s v="Sin Auxiliar"/>
    <x v="47"/>
    <d v="2025-07-08T00:00:00"/>
    <n v="37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QA0ADUAMQAwADAASQBEAEUAQQAC=&amp;Tipo=2&amp;ST=1&amp;nLang=0"/>
  </r>
  <r>
    <x v="10"/>
    <s v="OP-S-017"/>
    <x v="10"/>
    <s v="Sin Auxiliar"/>
    <x v="47"/>
    <d v="2025-07-08T00:00:00"/>
    <n v="54"/>
    <x v="0"/>
    <n v="40"/>
    <n v="0"/>
    <n v="0"/>
    <n v="0"/>
    <n v="0"/>
    <n v="0"/>
    <n v="0"/>
    <n v="0"/>
    <n v="8"/>
    <n v="0"/>
    <n v="0"/>
    <n v="0"/>
    <n v="0"/>
    <n v="0"/>
    <n v="0"/>
    <n v="0"/>
    <s v="https://www.clickideacore.com/ClickHTML5/Visit.aspx?ID=//5DDAEwASwAzADQANQA0ADYAMgAxADMASQBEAEUAQQAE=&amp;Tipo=2&amp;ST=1&amp;nLang=0"/>
  </r>
  <r>
    <x v="11"/>
    <s v="OP-S-126"/>
    <x v="18"/>
    <s v="Sin Auxiliar"/>
    <x v="47"/>
    <d v="2025-07-08T00:00:00"/>
    <n v="45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QA0ADkAMQA3ADgASQBEAEUAQQAE=&amp;Tipo=2&amp;ST=1&amp;nLang=0"/>
  </r>
  <r>
    <x v="17"/>
    <s v="OP-S-126"/>
    <x v="18"/>
    <s v="Sin Auxiliar"/>
    <x v="47"/>
    <d v="2025-07-08T00:00:00"/>
    <n v="45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QA0ADkAMQA3ADgASQBEAEUAQQAE=&amp;Tipo=2&amp;ST=1&amp;nLang=0"/>
  </r>
  <r>
    <x v="12"/>
    <s v="OP-S-70"/>
    <x v="12"/>
    <s v="Sin Auxiliar"/>
    <x v="47"/>
    <d v="2025-07-08T00:00:00"/>
    <n v="22"/>
    <x v="0"/>
    <n v="24"/>
    <n v="0"/>
    <n v="0"/>
    <n v="1"/>
    <n v="1"/>
    <n v="0"/>
    <n v="1"/>
    <n v="0"/>
    <n v="35"/>
    <n v="0"/>
    <n v="0"/>
    <n v="0"/>
    <n v="0"/>
    <n v="0"/>
    <n v="0"/>
    <n v="0"/>
    <s v="https://www.clickideacore.com/ClickHTML5/Visit.aspx?ID=//5EDAEwASwAzADQANQA0ADkAOQA5ADQASQBEAEUAQQA7=&amp;Tipo=2&amp;ST=1&amp;nLang=0"/>
  </r>
  <r>
    <x v="14"/>
    <s v="OP-S-011"/>
    <x v="14"/>
    <s v="Sin Auxiliar"/>
    <x v="47"/>
    <d v="2025-07-08T00:00:00"/>
    <n v="40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NQA1ADEAMwAzADMASQBEAEUAQQA5=&amp;Tipo=2&amp;ST=1&amp;nLang=0"/>
  </r>
  <r>
    <x v="18"/>
    <s v="OP-S-002"/>
    <x v="6"/>
    <s v="Sin Auxiliar"/>
    <x v="47"/>
    <d v="2025-07-08T00:00:00"/>
    <n v="56"/>
    <x v="0"/>
    <n v="19"/>
    <n v="0"/>
    <n v="0"/>
    <n v="1"/>
    <n v="0"/>
    <n v="0"/>
    <n v="0"/>
    <n v="0"/>
    <n v="19"/>
    <n v="0"/>
    <n v="0"/>
    <n v="0"/>
    <n v="0"/>
    <n v="0"/>
    <n v="0"/>
    <n v="0"/>
    <s v="https://www.clickideacore.com/ClickHTML5/Visit.aspx?ID=//54DAEwASwAzADQANQA1ADAANAAyADcASQBEAEUAQQA1=&amp;Tipo=2&amp;ST=1&amp;nLang=0"/>
  </r>
  <r>
    <x v="13"/>
    <s v="OP-S-003"/>
    <x v="18"/>
    <s v="Sin Auxiliar"/>
    <x v="47"/>
    <d v="2025-07-08T00:00:00"/>
    <n v="57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QA1ADAANAAyADcASQBEAEUAQQA1=&amp;Tipo=2&amp;ST=1&amp;nLang=0"/>
  </r>
  <r>
    <x v="23"/>
    <s v="OP-S-004"/>
    <x v="13"/>
    <s v="Sin Auxiliar"/>
    <x v="47"/>
    <d v="2025-07-08T00:00:00"/>
    <n v="58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QA1ADAANAAyADcASQBEAEUAQQA1=&amp;Tipo=2&amp;ST=1&amp;nLang=0"/>
  </r>
  <r>
    <x v="5"/>
    <s v="OP-S-055"/>
    <x v="18"/>
    <s v="Sin Auxiliar"/>
    <x v="47"/>
    <d v="2025-07-08T00:00:00"/>
    <n v="3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QA5ADcAMgAxADcASQBEAEUAQQA8=&amp;Tipo=2&amp;ST=1&amp;nLang=0"/>
  </r>
  <r>
    <x v="0"/>
    <s v="OP-S-106"/>
    <x v="0"/>
    <s v="Sin Auxiliar"/>
    <x v="48"/>
    <d v="2025-07-09T00:00:00"/>
    <n v="60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QANQA3ADQAMwA5ADUASQBEAEUAQQA3=&amp;Tipo=2&amp;ST=1&amp;nLang=0"/>
  </r>
  <r>
    <x v="15"/>
    <s v="OP-S-012"/>
    <x v="18"/>
    <s v="Sin Auxiliar"/>
    <x v="48"/>
    <d v="2025-07-09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24"/>
    <s v="Sin Auxiliar"/>
    <x v="48"/>
    <d v="2025-07-09T00:00:00"/>
    <n v="30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NQA2ADEANQA0ADYASQBEAEUAQQA0=&amp;Tipo=2&amp;ST=1&amp;nLang=0"/>
  </r>
  <r>
    <x v="2"/>
    <s v="OP-S-009"/>
    <x v="21"/>
    <s v="Sin Auxiliar"/>
    <x v="48"/>
    <d v="2025-07-09T00:00:00"/>
    <n v="83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QA2ADIAMAA5ADcASQBEAEUAQQAA=&amp;Tipo=2&amp;ST=1&amp;nLang=0"/>
  </r>
  <r>
    <x v="3"/>
    <s v="OP-S-062"/>
    <x v="3"/>
    <s v="Sin Auxiliar"/>
    <x v="48"/>
    <d v="2025-07-09T00:00:00"/>
    <n v="29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QA0ADkAMAA0ADYASQBEAEUAQQA2=&amp;Tipo=2&amp;ST=1&amp;nLang=0"/>
  </r>
  <r>
    <x v="4"/>
    <s v="OP-S-018"/>
    <x v="4"/>
    <s v="Sin Auxiliar"/>
    <x v="48"/>
    <d v="2025-07-09T00:00:00"/>
    <n v="38"/>
    <x v="0"/>
    <n v="89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NQA2ADcAMAA3ADYASQBEAEUAQQA7=&amp;Tipo=2&amp;ST=1&amp;nLang=0"/>
  </r>
  <r>
    <x v="5"/>
    <s v="OP-S-055"/>
    <x v="5"/>
    <s v="Sin Auxiliar"/>
    <x v="48"/>
    <d v="2025-07-09T00:00:00"/>
    <n v="31"/>
    <x v="0"/>
    <n v="4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ADAEwASwAzADQANQA3ADMAMgAzADIASQBEAEUAQQAA=&amp;Tipo=2&amp;ST=1&amp;nLang=0"/>
  </r>
  <r>
    <x v="19"/>
    <s v="OP-SDYR-001"/>
    <x v="23"/>
    <s v="Sin Auxiliar"/>
    <x v="48"/>
    <d v="2025-07-09T00:00:00"/>
    <n v="32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QANQA2ADAAMwA5ADUASQBEAEUAQQA8=&amp;Tipo=2&amp;ST=1&amp;nLang=0"/>
  </r>
  <r>
    <x v="6"/>
    <s v="OP-S-R-001"/>
    <x v="6"/>
    <s v="Sin Auxiliar"/>
    <x v="48"/>
    <d v="2025-07-09T00:00:00"/>
    <n v="46"/>
    <x v="0"/>
    <n v="36"/>
    <n v="0"/>
    <n v="0"/>
    <n v="0"/>
    <n v="0"/>
    <n v="0"/>
    <n v="0"/>
    <n v="0"/>
    <n v="36"/>
    <n v="0"/>
    <n v="0"/>
    <n v="0"/>
    <n v="0"/>
    <n v="0"/>
    <n v="0"/>
    <n v="0"/>
    <s v="https://www.clickideacore.com/ClickHTML5/Visit.aspx?ID=//52DAEwASwAzADQANQA2ADcAMgAzADUASQBEAEUAQQA2=&amp;Tipo=2&amp;ST=1&amp;nLang=0"/>
  </r>
  <r>
    <x v="7"/>
    <s v="OP-S-010"/>
    <x v="22"/>
    <s v="Sin Auxiliar"/>
    <x v="48"/>
    <d v="2025-07-09T00:00:00"/>
    <n v="56"/>
    <x v="0"/>
    <n v="2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8DAEwASwAzADQANQA2ADAANQA3ADUASQBEAEUAQQA3=&amp;Tipo=2&amp;ST=1&amp;nLang=0"/>
  </r>
  <r>
    <x v="8"/>
    <s v="OP-S-004"/>
    <x v="8"/>
    <s v="Sin Auxiliar"/>
    <x v="48"/>
    <d v="2025-07-09T00:00:00"/>
    <n v="41"/>
    <x v="0"/>
    <n v="3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NQA2ADMAOQA3ADIASQBEAEUAQQA3=&amp;Tipo=2&amp;ST=1&amp;nLang=0"/>
  </r>
  <r>
    <x v="9"/>
    <s v="OP-S-001"/>
    <x v="18"/>
    <s v="Sin Auxiliar"/>
    <x v="48"/>
    <d v="2025-07-09T00:00:00"/>
    <n v="24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QA2ADYAOQAxADkASQBEAEUAQQA9=&amp;Tipo=2&amp;ST=1&amp;nLang=0"/>
  </r>
  <r>
    <x v="20"/>
    <s v="OP-S-001"/>
    <x v="18"/>
    <s v="Sin Auxiliar"/>
    <x v="48"/>
    <d v="2025-07-09T00:00:00"/>
    <n v="24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QA2ADYAOQAxADkASQBEAEUAQQA9=&amp;Tipo=2&amp;ST=1&amp;nLang=0"/>
  </r>
  <r>
    <x v="10"/>
    <s v="OP-S-017"/>
    <x v="10"/>
    <s v="Sin Auxiliar"/>
    <x v="48"/>
    <d v="2025-07-09T00:00:00"/>
    <n v="46"/>
    <x v="0"/>
    <n v="6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NQA2ADMAMQA0ADYASQBEAEUAQQAC=&amp;Tipo=2&amp;ST=1&amp;nLang=0"/>
  </r>
  <r>
    <x v="12"/>
    <s v="OP-S-70"/>
    <x v="12"/>
    <s v="Sin Auxiliar"/>
    <x v="48"/>
    <d v="2025-07-09T00:00:00"/>
    <n v="35"/>
    <x v="0"/>
    <n v="51"/>
    <n v="0"/>
    <n v="0"/>
    <n v="1"/>
    <n v="1"/>
    <n v="0"/>
    <n v="0"/>
    <n v="0"/>
    <n v="53"/>
    <n v="0"/>
    <n v="0"/>
    <n v="0"/>
    <n v="0"/>
    <n v="0"/>
    <n v="0"/>
    <n v="0"/>
    <s v="https://www.clickideacore.com/ClickHTML5/Visit.aspx?ID=//54DAEwASwAzADQANQA3ADMAMAA1ADMASQBEAEUAQQA1=&amp;Tipo=2&amp;ST=1&amp;nLang=0"/>
  </r>
  <r>
    <x v="13"/>
    <s v="OP-S-060"/>
    <x v="13"/>
    <s v="Sin Auxiliar"/>
    <x v="48"/>
    <d v="2025-07-09T00:00:00"/>
    <n v="48"/>
    <x v="0"/>
    <n v="6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QANQA3ADEAOAA1ADYASQBEAEUAQQA9=&amp;Tipo=2&amp;ST=1&amp;nLang=0"/>
  </r>
  <r>
    <x v="14"/>
    <s v="OP-S-011"/>
    <x v="14"/>
    <s v="Sin Auxiliar"/>
    <x v="48"/>
    <d v="2025-07-09T00:00:00"/>
    <n v="37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QA3ADQAMgA5ADUASQBEAEUAQQA5=&amp;Tipo=2&amp;ST=1&amp;nLang=0"/>
  </r>
  <r>
    <x v="17"/>
    <s v="OP-S-0010"/>
    <x v="25"/>
    <s v="Sin Auxiliar"/>
    <x v="48"/>
    <d v="2025-07-09T00:00:00"/>
    <n v="42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QA3ADQAMwA3ADMASQBEAEUAQQA4=&amp;Tipo=2&amp;ST=1&amp;nLang=0"/>
  </r>
  <r>
    <x v="18"/>
    <s v="OP-S-002"/>
    <x v="6"/>
    <s v="Sin Auxiliar"/>
    <x v="48"/>
    <d v="2025-07-09T00:00:00"/>
    <n v="30"/>
    <x v="0"/>
    <n v="30"/>
    <n v="0"/>
    <n v="0"/>
    <n v="1"/>
    <n v="0"/>
    <n v="0"/>
    <n v="0"/>
    <n v="0"/>
    <n v="30"/>
    <n v="0"/>
    <n v="0"/>
    <n v="0"/>
    <n v="0"/>
    <n v="0"/>
    <n v="0"/>
    <n v="0"/>
    <s v="https://www.clickideacore.com/ClickHTML5/Visit.aspx?ID=//55DAEwASwAzADQANQA2ADkAMgA0ADIASQBEAEUAQQA8=&amp;Tipo=2&amp;ST=1&amp;nLang=0"/>
  </r>
  <r>
    <x v="11"/>
    <s v="OP-S-003"/>
    <x v="18"/>
    <s v="Sin Auxiliar"/>
    <x v="48"/>
    <d v="2025-07-09T00:00:00"/>
    <n v="31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QA2ADkAMgA0ADIASQBEAEUAQQA8=&amp;Tipo=2&amp;ST=1&amp;nLang=0"/>
  </r>
  <r>
    <x v="23"/>
    <s v="OP-S-004"/>
    <x v="1"/>
    <s v="Sin Auxiliar"/>
    <x v="48"/>
    <d v="2025-07-09T00:00:00"/>
    <n v="32"/>
    <x v="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QA2ADkAMgA0ADIASQBEAEUAQQA8=&amp;Tipo=2&amp;ST=1&amp;nLang=0"/>
  </r>
  <r>
    <x v="0"/>
    <s v="OP-S-106"/>
    <x v="0"/>
    <s v="Sin Auxiliar"/>
    <x v="49"/>
    <d v="2025-07-10T00:00:00"/>
    <n v="76"/>
    <x v="0"/>
    <n v="7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QANQA5ADgAMgAzADMASQBEAEUAQQAA=&amp;Tipo=2&amp;ST=1&amp;nLang=0"/>
  </r>
  <r>
    <x v="15"/>
    <s v="OP-S-012"/>
    <x v="18"/>
    <s v="Sin Auxiliar"/>
    <x v="49"/>
    <d v="2025-07-10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49"/>
    <d v="2025-07-10T00:00:00"/>
    <n v="28"/>
    <x v="0"/>
    <n v="9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NQA4ADYAOAAwADQASQBEAEUAQQAB=&amp;Tipo=2&amp;ST=1&amp;nLang=0"/>
  </r>
  <r>
    <x v="2"/>
    <s v="OP-S-009"/>
    <x v="21"/>
    <s v="Sin Auxiliar"/>
    <x v="49"/>
    <d v="2025-07-10T00:00:00"/>
    <n v="48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QA4ADMAMgAwADAASQBEAEUAQQAB=&amp;Tipo=2&amp;ST=1&amp;nLang=0"/>
  </r>
  <r>
    <x v="3"/>
    <s v="OP-S-062"/>
    <x v="3"/>
    <s v="Sin Auxiliar"/>
    <x v="49"/>
    <d v="2025-07-10T00:00:00"/>
    <n v="40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NQA5ADgAMgA0ADYASQBEAEUAQQA9=&amp;Tipo=2&amp;ST=1&amp;nLang=0"/>
  </r>
  <r>
    <x v="4"/>
    <s v="OP-S-018"/>
    <x v="4"/>
    <s v="Sin Auxiliar"/>
    <x v="49"/>
    <d v="2025-07-10T00:00:00"/>
    <n v="51"/>
    <x v="0"/>
    <n v="71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QANQA4ADgAMwA2ADcASQBEAEUAQQAD=&amp;Tipo=2&amp;ST=1&amp;nLang=0"/>
  </r>
  <r>
    <x v="5"/>
    <s v="OP-S-055"/>
    <x v="5"/>
    <s v="Sin Auxiliar"/>
    <x v="49"/>
    <d v="2025-07-10T00:00:00"/>
    <n v="39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QA5ADcAMgAxADcASQBEAEUAQQA8=&amp;Tipo=2&amp;ST=1&amp;nLang=0"/>
  </r>
  <r>
    <x v="6"/>
    <s v="OP-S-R-001"/>
    <x v="6"/>
    <s v="Sin Auxiliar"/>
    <x v="49"/>
    <d v="2025-07-10T00:00:00"/>
    <n v="53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CDAEwASwAzADQANQA5ADYANAA2ADAASQBEAEUAQQAD=&amp;Tipo=2&amp;ST=1&amp;nLang=0"/>
  </r>
  <r>
    <x v="7"/>
    <s v="OP-S-010"/>
    <x v="22"/>
    <s v="Sin Auxiliar"/>
    <x v="49"/>
    <d v="2025-07-10T00:00:00"/>
    <n v="56"/>
    <x v="0"/>
    <n v="2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NQA4ADgAOQA2ADYASQBEAEUAQQA9=&amp;Tipo=2&amp;ST=1&amp;nLang=0"/>
  </r>
  <r>
    <x v="8"/>
    <s v="OP-S-004"/>
    <x v="8"/>
    <s v="Sin Auxiliar"/>
    <x v="49"/>
    <d v="2025-07-10T00:00:00"/>
    <n v="34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NQA5ADIAMwAxADgASQBEAEUAQQA7=&amp;Tipo=2&amp;ST=1&amp;nLang=0"/>
  </r>
  <r>
    <x v="9"/>
    <s v="OP-S-001"/>
    <x v="18"/>
    <s v="Sin Auxiliar"/>
    <x v="49"/>
    <d v="2025-07-10T00:00:00"/>
    <n v="33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NQA5ADYANAA0ADUASQBEAEUAQQA6=&amp;Tipo=2&amp;ST=1&amp;nLang=0"/>
  </r>
  <r>
    <x v="20"/>
    <s v="OP-S-001"/>
    <x v="18"/>
    <s v="Sin Auxiliar"/>
    <x v="49"/>
    <d v="2025-07-10T00:00:00"/>
    <n v="33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QANQA5ADYANAA0ADUASQBEAEUAQQA6=&amp;Tipo=2&amp;ST=1&amp;nLang=0"/>
  </r>
  <r>
    <x v="10"/>
    <s v="OP-S-017"/>
    <x v="10"/>
    <s v="Sin Auxiliar"/>
    <x v="49"/>
    <d v="2025-07-10T00:00:00"/>
    <n v="39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QA5ADAANQA4ADAASQBEAEUAQQAC=&amp;Tipo=2&amp;ST=1&amp;nLang=0"/>
  </r>
  <r>
    <x v="12"/>
    <s v="OP-S-70"/>
    <x v="12"/>
    <s v="Sin Auxiliar"/>
    <x v="49"/>
    <d v="2025-07-10T00:00:00"/>
    <n v="25"/>
    <x v="0"/>
    <n v="50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0DAEwASwAzADQANQA5ADcAMQAyADQASQBEAEUAQQA1=&amp;Tipo=2&amp;ST=1&amp;nLang=0"/>
  </r>
  <r>
    <x v="13"/>
    <s v="OP-S-060"/>
    <x v="13"/>
    <s v="Sin Auxiliar"/>
    <x v="49"/>
    <d v="2025-07-10T00:00:00"/>
    <n v="65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NQA5ADcANAAzADAASQBEAEUAQQAD=&amp;Tipo=2&amp;ST=1&amp;nLang=0"/>
  </r>
  <r>
    <x v="14"/>
    <s v="OP-S-011"/>
    <x v="14"/>
    <s v="Sin Auxiliar"/>
    <x v="49"/>
    <d v="2025-07-10T00:00:00"/>
    <n v="52"/>
    <x v="0"/>
    <n v="7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QA5ADgANAA2ADkASQBEAEUAQQA9=&amp;Tipo=2&amp;ST=1&amp;nLang=0"/>
  </r>
  <r>
    <x v="17"/>
    <s v="OP-S-0010"/>
    <x v="23"/>
    <s v="Sin Auxiliar"/>
    <x v="49"/>
    <d v="2025-07-10T00:00:00"/>
    <n v="26"/>
    <x v="0"/>
    <n v="75"/>
    <n v="0"/>
    <n v="0"/>
    <n v="0"/>
    <n v="0"/>
    <n v="0"/>
    <n v="0"/>
    <n v="8"/>
    <n v="0"/>
    <n v="0"/>
    <n v="0"/>
    <n v="0"/>
    <n v="0"/>
    <n v="0"/>
    <n v="0"/>
    <n v="0"/>
    <s v="https://www.clickideacore.com/ClickHTML5/Visit.aspx?ID=//5DDAEwASwAzADQANQA4ADgANwA2ADcASQBEAEUAQQAE=&amp;Tipo=2&amp;ST=1&amp;nLang=0"/>
  </r>
  <r>
    <x v="18"/>
    <s v="OP-S-002"/>
    <x v="6"/>
    <s v="Sin Auxiliar"/>
    <x v="49"/>
    <d v="2025-07-10T00:00:00"/>
    <n v="38"/>
    <x v="0"/>
    <n v="21"/>
    <n v="0"/>
    <n v="0"/>
    <n v="1"/>
    <n v="0"/>
    <n v="0"/>
    <n v="0"/>
    <n v="0"/>
    <n v="21"/>
    <n v="0"/>
    <n v="0"/>
    <n v="0"/>
    <n v="0"/>
    <n v="0"/>
    <n v="0"/>
    <n v="0"/>
    <s v="https://www.clickideacore.com/ClickHTML5/Visit.aspx?ID=//58DAEwASwAzADQANQA5ADUANQA2ADcASQBEAEUAQQA4=&amp;Tipo=2&amp;ST=1&amp;nLang=0"/>
  </r>
  <r>
    <x v="19"/>
    <s v="OP-S-003"/>
    <x v="18"/>
    <s v="Sin Auxiliar"/>
    <x v="49"/>
    <d v="2025-07-10T00:00:00"/>
    <n v="38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NQA5ADUANQA2ADcASQBEAEUAQQA4=&amp;Tipo=2&amp;ST=1&amp;nLang=0"/>
  </r>
  <r>
    <x v="11"/>
    <s v="OP-S-004"/>
    <x v="18"/>
    <s v="Sin Auxiliar"/>
    <x v="49"/>
    <d v="2025-07-10T00:00:00"/>
    <n v="38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NQA5ADUANQA2ADcASQBEAEUAQQA4=&amp;Tipo=2&amp;ST=1&amp;nLang=0"/>
  </r>
  <r>
    <x v="0"/>
    <s v="OP-S-106"/>
    <x v="0"/>
    <s v="Sin Auxiliar"/>
    <x v="50"/>
    <d v="2025-07-11T00:00:00"/>
    <n v="33"/>
    <x v="0"/>
    <n v="3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NgAyADIAMgA0ADYASQBEAEUAQQA5=&amp;Tipo=2&amp;ST=1&amp;nLang=0"/>
  </r>
  <r>
    <x v="15"/>
    <s v="OP-S-012"/>
    <x v="18"/>
    <s v="Sin Auxiliar"/>
    <x v="50"/>
    <d v="2025-07-11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50"/>
    <d v="2025-07-11T00:00:00"/>
    <n v="28"/>
    <x v="0"/>
    <n v="8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QANgAxADIAOAAzADAASQBEAEUAQQAC=&amp;Tipo=2&amp;ST=1&amp;nLang=0"/>
  </r>
  <r>
    <x v="2"/>
    <s v="OP-S-009"/>
    <x v="21"/>
    <s v="Sin Auxiliar"/>
    <x v="50"/>
    <d v="2025-07-11T00:00:00"/>
    <n v="72"/>
    <x v="0"/>
    <n v="66"/>
    <n v="68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NgAxADEANAA2ADYASQBEAEUAQQA1=&amp;Tipo=2&amp;ST=1&amp;nLang=0"/>
  </r>
  <r>
    <x v="3"/>
    <s v="OP-S-062"/>
    <x v="3"/>
    <s v="Sin Auxiliar"/>
    <x v="50"/>
    <d v="2025-07-11T00:00:00"/>
    <n v="40"/>
    <x v="0"/>
    <n v="6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QANQA5ADgAMgA0ADYASQBEAEUAQQA9=&amp;Tipo=2&amp;ST=1&amp;nLang=0"/>
  </r>
  <r>
    <x v="4"/>
    <s v="OP-S-018"/>
    <x v="4"/>
    <s v="Sin Auxiliar"/>
    <x v="50"/>
    <d v="2025-07-11T00:00:00"/>
    <n v="51"/>
    <x v="0"/>
    <n v="8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CDAEwASwAzADQANgAxADMAMgAzADMASQBEAEUAQQA3=&amp;Tipo=2&amp;ST=1&amp;nLang=0"/>
  </r>
  <r>
    <x v="5"/>
    <s v="OP-S-055"/>
    <x v="5"/>
    <s v="Sin Auxiliar"/>
    <x v="50"/>
    <d v="2025-07-11T00:00:00"/>
    <n v="65"/>
    <x v="0"/>
    <n v="44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1DAEwASwAzADQANgAxADYANgA1ADUASQBEAEUAQQA2=&amp;Tipo=2&amp;ST=1&amp;nLang=0"/>
  </r>
  <r>
    <x v="19"/>
    <s v="OP-SDYR-001"/>
    <x v="23"/>
    <s v="Sin Auxiliar"/>
    <x v="50"/>
    <d v="2025-07-11T00:00:00"/>
    <n v="26"/>
    <x v="0"/>
    <n v="6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NgAwADgAOQAyADEASQBEAEUAQQA1=&amp;Tipo=2&amp;ST=1&amp;nLang=0"/>
  </r>
  <r>
    <x v="6"/>
    <s v="OP-S-R-001"/>
    <x v="6"/>
    <s v="Sin Auxiliar"/>
    <x v="50"/>
    <d v="2025-07-11T00:00:00"/>
    <n v="66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NgAyADAANAAxADUASQBEAEUAQQAA=&amp;Tipo=2&amp;ST=1&amp;nLang=0"/>
  </r>
  <r>
    <x v="7"/>
    <s v="OP-S-010"/>
    <x v="22"/>
    <s v="Sin Auxiliar"/>
    <x v="50"/>
    <d v="2025-07-11T00:00:00"/>
    <n v="30"/>
    <x v="0"/>
    <n v="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QANgAwADMANwA1ADEASQBEAEUAQQAD=&amp;Tipo=2&amp;ST=1&amp;nLang=0"/>
  </r>
  <r>
    <x v="8"/>
    <s v="OP-S-004"/>
    <x v="8"/>
    <s v="Sin Auxiliar"/>
    <x v="50"/>
    <d v="2025-07-11T00:00:00"/>
    <n v="30"/>
    <x v="0"/>
    <n v="40"/>
    <n v="0"/>
    <n v="0"/>
    <n v="1"/>
    <n v="0"/>
    <n v="0"/>
    <n v="0"/>
    <n v="0"/>
    <n v="1"/>
    <n v="0"/>
    <n v="0"/>
    <n v="0"/>
    <n v="0"/>
    <n v="0"/>
    <n v="0"/>
    <n v="0"/>
    <s v="https://www.clickideacore.com/ClickHTML5/Visit.aspx?ID=//5FDAEwASwAzADQANgAxADIANQAxADIASQBEAEUAQQAB=&amp;Tipo=2&amp;ST=1&amp;nLang=0"/>
  </r>
  <r>
    <x v="9"/>
    <s v="OP-S-001"/>
    <x v="18"/>
    <s v="Sin Auxiliar"/>
    <x v="50"/>
    <d v="2025-07-11T00:00:00"/>
    <n v="63"/>
    <x v="0"/>
    <n v="6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NgAxADcANQAyADIASQBEAEUAQQA3=&amp;Tipo=2&amp;ST=1&amp;nLang=0"/>
  </r>
  <r>
    <x v="20"/>
    <s v="OP-S-001"/>
    <x v="18"/>
    <s v="Sin Auxiliar"/>
    <x v="50"/>
    <d v="2025-07-11T00:00:00"/>
    <n v="63"/>
    <x v="0"/>
    <n v="6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NgAxADcANQAyADIASQBEAEUAQQA3=&amp;Tipo=2&amp;ST=1&amp;nLang=0"/>
  </r>
  <r>
    <x v="10"/>
    <s v="OP-S-017"/>
    <x v="10"/>
    <s v="Sin Auxiliar"/>
    <x v="50"/>
    <d v="2025-07-11T00:00:00"/>
    <n v="50"/>
    <x v="0"/>
    <n v="6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NgAwADkAMwA1ADAASQBEAEUAQQA3=&amp;Tipo=2&amp;ST=1&amp;nLang=0"/>
  </r>
  <r>
    <x v="12"/>
    <s v="OP-S-70"/>
    <x v="12"/>
    <s v="Sin Auxiliar"/>
    <x v="50"/>
    <d v="2025-07-11T00:00:00"/>
    <n v="21"/>
    <x v="0"/>
    <n v="41"/>
    <n v="0"/>
    <n v="0"/>
    <n v="1"/>
    <n v="1"/>
    <n v="0"/>
    <n v="0"/>
    <n v="0"/>
    <n v="48"/>
    <n v="0"/>
    <n v="0"/>
    <n v="0"/>
    <n v="0"/>
    <n v="0"/>
    <n v="0"/>
    <n v="0"/>
    <s v="https://www.clickideacore.com/ClickHTML5/Visit.aspx?ID=//5BDAEwASwAzADQANgAyADIAMwAyADEASQBEAEUAQQA3=&amp;Tipo=2&amp;ST=1&amp;nLang=0"/>
  </r>
  <r>
    <x v="13"/>
    <s v="OP-S-060"/>
    <x v="13"/>
    <s v="Sin Auxiliar"/>
    <x v="50"/>
    <d v="2025-07-11T00:00:00"/>
    <n v="83"/>
    <x v="0"/>
    <n v="6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QANgAyADAAOQAwADUASQBEAEUAQQAF=&amp;Tipo=2&amp;ST=1&amp;nLang=0"/>
  </r>
  <r>
    <x v="14"/>
    <s v="OP-S-011"/>
    <x v="14"/>
    <s v="Sin Auxiliar"/>
    <x v="50"/>
    <d v="2025-07-11T00:00:00"/>
    <n v="38"/>
    <x v="0"/>
    <n v="4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yADIANQA2ADMASQBEAEUAQQAF=&amp;Tipo=2&amp;ST=1&amp;nLang=0"/>
  </r>
  <r>
    <x v="17"/>
    <s v="OP-S-0010"/>
    <x v="26"/>
    <s v="Sin Auxiliar"/>
    <x v="50"/>
    <d v="2025-07-11T00:00:00"/>
    <n v="31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18"/>
    <s v="OP-S-002"/>
    <x v="6"/>
    <s v="Sin Auxiliar"/>
    <x v="50"/>
    <d v="2025-07-11T00:00:00"/>
    <n v="33"/>
    <x v="0"/>
    <n v="30"/>
    <n v="0"/>
    <n v="0"/>
    <n v="1"/>
    <n v="1"/>
    <n v="0"/>
    <n v="0"/>
    <n v="0"/>
    <n v="30"/>
    <n v="0"/>
    <n v="0"/>
    <n v="0"/>
    <n v="0"/>
    <n v="0"/>
    <n v="0"/>
    <n v="0"/>
    <s v="https://www.clickideacore.com/ClickHTML5/Visit.aspx?ID=//59DAEwASwAzADQANgAyADAAOAAyADMASQBEAEUAQQA8=&amp;Tipo=2&amp;ST=1&amp;nLang=0"/>
  </r>
  <r>
    <x v="8"/>
    <s v="OP-S-004"/>
    <x v="8"/>
    <s v="Sin Auxiliar"/>
    <x v="51"/>
    <d v="2025-07-12T00:00:00"/>
    <n v="80"/>
    <x v="0"/>
    <n v="0"/>
    <n v="0"/>
    <n v="0"/>
    <n v="0"/>
    <n v="0"/>
    <n v="0"/>
    <n v="0"/>
    <n v="0"/>
    <n v="5"/>
    <n v="1"/>
    <n v="0"/>
    <n v="9"/>
    <n v="19"/>
    <n v="1"/>
    <n v="0"/>
    <n v="0"/>
    <s v="https://www.clickideacore.com/ClickHTML5/Visit.aspx?ID=//50DAEwASwAzADQANgAzADQAMAAxADkASQBEAEUAQQAE=&amp;Tipo=2&amp;ST=1&amp;nLang=0"/>
  </r>
  <r>
    <x v="15"/>
    <s v="OP-S-012"/>
    <x v="18"/>
    <s v="Sin Auxiliar"/>
    <x v="51"/>
    <d v="2025-07-12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3"/>
    <s v="OP-S-004"/>
    <x v="3"/>
    <s v="Sin Auxiliar"/>
    <x v="51"/>
    <d v="2025-07-12T00:00:00"/>
    <n v="80"/>
    <x v="0"/>
    <n v="0"/>
    <n v="0"/>
    <n v="0"/>
    <n v="0"/>
    <n v="0"/>
    <n v="0"/>
    <n v="0"/>
    <n v="0"/>
    <n v="5"/>
    <n v="1"/>
    <n v="0"/>
    <n v="3"/>
    <n v="27"/>
    <n v="1"/>
    <n v="0"/>
    <n v="0"/>
    <s v="https://www.clickideacore.com/ClickHTML5/Visit.aspx?ID=//50DAEwASwAzADQANgAzADQAMAAxADkASQBEAEUAQQAE=&amp;Tipo=2&amp;ST=1&amp;nLang=0"/>
  </r>
  <r>
    <x v="5"/>
    <s v="OP-S-055"/>
    <x v="13"/>
    <s v="Sin Auxiliar"/>
    <x v="52"/>
    <d v="2025-07-13T00:00:00"/>
    <n v="136"/>
    <x v="0"/>
    <n v="0"/>
    <n v="0"/>
    <n v="0"/>
    <n v="0"/>
    <n v="0"/>
    <n v="0"/>
    <n v="0"/>
    <n v="0"/>
    <n v="80"/>
    <n v="0"/>
    <n v="1"/>
    <n v="83"/>
    <n v="11"/>
    <n v="0"/>
    <n v="1"/>
    <n v="3"/>
    <s v="https://www.clickideacore.com/ClickHTML5/Visit.aspx?ID=//57DAEwASwAzADQANgA0ADMAOAA4ADUASQBEAEUAQQA4=&amp;Tipo=2&amp;ST=1&amp;nLang=0"/>
  </r>
  <r>
    <x v="15"/>
    <s v="OP-S-012"/>
    <x v="18"/>
    <s v="Sin Auxiliar"/>
    <x v="52"/>
    <d v="2025-07-13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3"/>
    <s v="OP-S-004"/>
    <x v="3"/>
    <s v="Sin Auxiliar"/>
    <x v="52"/>
    <d v="2025-07-13T00:00:00"/>
    <n v="80"/>
    <x v="0"/>
    <n v="0"/>
    <n v="0"/>
    <n v="0"/>
    <n v="0"/>
    <n v="0"/>
    <n v="0"/>
    <n v="0"/>
    <n v="0"/>
    <n v="5"/>
    <n v="0"/>
    <n v="1"/>
    <n v="86"/>
    <n v="30"/>
    <n v="0"/>
    <n v="1"/>
    <n v="0"/>
    <s v="https://www.clickideacore.com/ClickHTML5/Visit.aspx?ID=//50DAEwASwAzADQANgAzADQAMAAxADkASQBEAEUAQQAE=&amp;Tipo=2&amp;ST=1&amp;nLang=0"/>
  </r>
  <r>
    <x v="2"/>
    <s v="OP-S-009"/>
    <x v="21"/>
    <s v="Sin Auxiliar"/>
    <x v="52"/>
    <d v="2025-07-13T00:00:00"/>
    <n v="48"/>
    <x v="0"/>
    <n v="0"/>
    <n v="0"/>
    <n v="0"/>
    <n v="0"/>
    <n v="0"/>
    <n v="0"/>
    <n v="0"/>
    <n v="0"/>
    <n v="0"/>
    <n v="0"/>
    <n v="1"/>
    <n v="87"/>
    <n v="0"/>
    <n v="0"/>
    <n v="0"/>
    <n v="7"/>
    <s v="https://www.clickideacore.com/ClickHTML5/Visit.aspx?ID=//5CDAEwASwAzADQANQA4ADMAMgAwADAASQBEAEUAQQAB=&amp;Tipo=2&amp;ST=1&amp;nLang=0"/>
  </r>
  <r>
    <x v="0"/>
    <s v="OP-S-106"/>
    <x v="0"/>
    <s v="Sin Auxiliar"/>
    <x v="53"/>
    <d v="2025-07-14T00:00:00"/>
    <n v="39"/>
    <x v="0"/>
    <n v="5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NgA2ADgANQA2ADAASQBEAEUAQQAA=&amp;Tipo=2&amp;ST=1&amp;nLang=0"/>
  </r>
  <r>
    <x v="15"/>
    <s v="OP-S-012"/>
    <x v="18"/>
    <s v="Sin Auxiliar"/>
    <x v="53"/>
    <d v="2025-07-14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53"/>
    <d v="2025-07-14T00:00:00"/>
    <n v="39"/>
    <x v="0"/>
    <n v="93"/>
    <n v="0"/>
    <n v="0"/>
    <n v="1"/>
    <n v="0"/>
    <n v="0"/>
    <n v="0"/>
    <n v="0"/>
    <n v="0"/>
    <n v="0"/>
    <n v="0"/>
    <n v="0"/>
    <n v="0"/>
    <n v="1"/>
    <n v="0"/>
    <n v="0"/>
    <s v="https://www.clickideacore.com/ClickHTML5/Visit.aspx?ID=//59DAEwASwAzADQANgA2ADAAMAAxADkASQBEAEUAQQAE=&amp;Tipo=2&amp;ST=1&amp;nLang=0"/>
  </r>
  <r>
    <x v="2"/>
    <s v="OP-S-009"/>
    <x v="21"/>
    <s v="Sin Auxiliar"/>
    <x v="53"/>
    <d v="2025-07-14T00:00:00"/>
    <n v="48"/>
    <x v="0"/>
    <n v="3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NgA1ADQAMQAyADAASQBEAEUAQQA7=&amp;Tipo=2&amp;ST=1&amp;nLang=0"/>
  </r>
  <r>
    <x v="3"/>
    <s v="OP-S-062"/>
    <x v="3"/>
    <s v="Sin Auxiliar"/>
    <x v="53"/>
    <d v="2025-07-14T00:00:00"/>
    <n v="36"/>
    <x v="0"/>
    <n v="37"/>
    <n v="8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5DAEwASwAzADQANgA2ADUAMQA0ADQASQBEAEUAQQA1=&amp;Tipo=2&amp;ST=1&amp;nLang=0"/>
  </r>
  <r>
    <x v="4"/>
    <s v="OP-S-018"/>
    <x v="4"/>
    <s v="Sin Auxiliar"/>
    <x v="53"/>
    <d v="2025-07-14T00:00:00"/>
    <n v="43"/>
    <x v="0"/>
    <n v="101"/>
    <n v="0"/>
    <n v="0"/>
    <n v="0"/>
    <n v="0"/>
    <n v="0"/>
    <n v="0"/>
    <n v="4"/>
    <n v="50"/>
    <n v="0"/>
    <n v="0"/>
    <n v="0"/>
    <n v="0"/>
    <n v="0"/>
    <n v="0"/>
    <n v="0"/>
    <s v="https://www.clickideacore.com/ClickHTML5/Visit.aspx?ID=//57DAEwASwAzADQANgA1ADkAMQAxADIASQBEAEUAQQA8=&amp;Tipo=2&amp;ST=1&amp;nLang=0"/>
  </r>
  <r>
    <x v="5"/>
    <s v="OP-S-055"/>
    <x v="5"/>
    <s v="Sin Auxiliar"/>
    <x v="53"/>
    <d v="2025-07-14T00:00:00"/>
    <n v="25"/>
    <x v="0"/>
    <n v="55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9DAEwASwAzADQANgA2ADYANwA4ADMASQBEAEUAQQAF=&amp;Tipo=2&amp;ST=1&amp;nLang=0"/>
  </r>
  <r>
    <x v="19"/>
    <s v="OP-SDYR-001"/>
    <x v="23"/>
    <s v="Sin Auxiliar"/>
    <x v="53"/>
    <d v="2025-07-14T00:00:00"/>
    <n v="35"/>
    <x v="0"/>
    <n v="65"/>
    <n v="0"/>
    <n v="0"/>
    <n v="1"/>
    <n v="0"/>
    <n v="0"/>
    <n v="0"/>
    <n v="8"/>
    <n v="0"/>
    <n v="0"/>
    <n v="0"/>
    <n v="0"/>
    <n v="0"/>
    <n v="0"/>
    <n v="0"/>
    <n v="0"/>
    <s v="https://www.clickideacore.com/ClickHTML5/Visit.aspx?ID=//57DAEwASwAzADQANgA1ADYAOAA4ADkASQBEAEUAQQA1=&amp;Tipo=2&amp;ST=1&amp;nLang=0"/>
  </r>
  <r>
    <x v="6"/>
    <s v="OP-S-R-001"/>
    <x v="6"/>
    <s v="Sin Auxiliar"/>
    <x v="53"/>
    <d v="2025-07-14T00:00:00"/>
    <n v="68"/>
    <x v="0"/>
    <n v="34"/>
    <n v="0"/>
    <n v="0"/>
    <n v="0"/>
    <n v="0"/>
    <n v="0"/>
    <n v="0"/>
    <n v="0"/>
    <n v="34"/>
    <n v="0"/>
    <n v="0"/>
    <n v="0"/>
    <n v="0"/>
    <n v="0"/>
    <n v="0"/>
    <n v="0"/>
    <s v="https://www.clickideacore.com/ClickHTML5/Visit.aspx?ID=//52DAEwASwAzADQANgA2ADQAOQA0ADgASQBEAEUAQQAA=&amp;Tipo=2&amp;ST=1&amp;nLang=0"/>
  </r>
  <r>
    <x v="7"/>
    <s v="OP-S-010"/>
    <x v="22"/>
    <s v="Sin Auxiliar"/>
    <x v="53"/>
    <d v="2025-07-14T00:00:00"/>
    <n v="39"/>
    <x v="0"/>
    <n v="3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QANgA1ADgAMwAyADcASQBEAEUAQQAF=&amp;Tipo=2&amp;ST=1&amp;nLang=0"/>
  </r>
  <r>
    <x v="8"/>
    <s v="OP-S-004"/>
    <x v="8"/>
    <s v="Sin Auxiliar"/>
    <x v="53"/>
    <d v="2025-07-14T00:00:00"/>
    <n v="80"/>
    <x v="0"/>
    <n v="4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QANgA2ADEAOAA2ADQASQBEAEUAQQAC=&amp;Tipo=2&amp;ST=1&amp;nLang=0"/>
  </r>
  <r>
    <x v="9"/>
    <s v="OP-S-001"/>
    <x v="18"/>
    <s v="Sin Auxiliar"/>
    <x v="53"/>
    <d v="2025-07-14T00:00:00"/>
    <n v="22"/>
    <x v="0"/>
    <n v="7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gA2ADIAOQA3ADkASQBEAEUAQQAC=&amp;Tipo=2&amp;ST=1&amp;nLang=0"/>
  </r>
  <r>
    <x v="10"/>
    <s v="OP-S-017"/>
    <x v="10"/>
    <s v="Sin Auxiliar"/>
    <x v="53"/>
    <d v="2025-07-14T00:00:00"/>
    <n v="48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NgA1ADUANQA5ADYASQBEAEUAQQA2=&amp;Tipo=2&amp;ST=1&amp;nLang=0"/>
  </r>
  <r>
    <x v="12"/>
    <s v="OP-S-70"/>
    <x v="12"/>
    <s v="Sin Auxiliar"/>
    <x v="53"/>
    <d v="2025-07-14T00:00:00"/>
    <n v="34"/>
    <x v="0"/>
    <n v="36"/>
    <n v="0"/>
    <n v="0"/>
    <n v="1"/>
    <n v="1"/>
    <n v="0"/>
    <n v="0"/>
    <n v="0"/>
    <n v="78"/>
    <n v="0"/>
    <n v="0"/>
    <n v="0"/>
    <n v="0"/>
    <n v="0"/>
    <n v="0"/>
    <n v="0"/>
    <s v="https://www.clickideacore.com/ClickHTML5/Visit.aspx?ID=//51DAEwASwAzADQANgA2ADcAMQA1ADQASQBEAEUAQQA3=&amp;Tipo=2&amp;ST=1&amp;nLang=0"/>
  </r>
  <r>
    <x v="17"/>
    <s v="OP-S-0010"/>
    <x v="18"/>
    <s v="Sin Auxiliar"/>
    <x v="53"/>
    <d v="2025-07-14T00:00:00"/>
    <n v="31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13"/>
    <s v="OP-S-060"/>
    <x v="13"/>
    <s v="Sin Auxiliar"/>
    <x v="53"/>
    <d v="2025-07-14T00:00:00"/>
    <n v="60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NgA2ADYAMAA2ADgASQBEAEUAQQAE=&amp;Tipo=2&amp;ST=1&amp;nLang=0"/>
  </r>
  <r>
    <x v="14"/>
    <s v="OP-S-011"/>
    <x v="14"/>
    <s v="Sin Auxiliar"/>
    <x v="53"/>
    <d v="2025-07-14T00:00:00"/>
    <n v="49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NgA2ADgANwA4ADYASQBEAEUAQQA7=&amp;Tipo=2&amp;ST=1&amp;nLang=0"/>
  </r>
  <r>
    <x v="20"/>
    <s v="OP-S-0010"/>
    <x v="18"/>
    <s v="Sin Auxiliar"/>
    <x v="53"/>
    <d v="2025-07-14T00:00:00"/>
    <n v="36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QANgA2ADgAOAAyADcASQBEAEUAQQA1=&amp;Tipo=2&amp;ST=1&amp;nLang=0"/>
  </r>
  <r>
    <x v="11"/>
    <s v="OP-S-0011"/>
    <x v="18"/>
    <s v="Sin Auxiliar"/>
    <x v="53"/>
    <d v="2025-07-14T00:00:00"/>
    <n v="37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NgA2ADgAOAAyADcASQBEAEUAQQA1=&amp;Tipo=2&amp;ST=1&amp;nLang=0"/>
  </r>
  <r>
    <x v="0"/>
    <s v="OP-S-106"/>
    <x v="0"/>
    <s v="Sin Auxiliar"/>
    <x v="54"/>
    <d v="2025-07-15T00:00:00"/>
    <n v="39"/>
    <x v="0"/>
    <n v="4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NgA2ADgANQA2ADAASQBEAEUAQQAA=&amp;Tipo=2&amp;ST=1&amp;nLang=0"/>
  </r>
  <r>
    <x v="15"/>
    <s v="OP-S-012"/>
    <x v="18"/>
    <s v="Sin Auxiliar"/>
    <x v="54"/>
    <d v="2025-07-15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54"/>
    <d v="2025-07-15T00:00:00"/>
    <n v="41"/>
    <x v="0"/>
    <n v="79"/>
    <n v="2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NgA4ADMAMQAwADAASQBEAEUAQQA0=&amp;Tipo=2&amp;ST=1&amp;nLang=0"/>
  </r>
  <r>
    <x v="2"/>
    <s v="OP-S-009"/>
    <x v="21"/>
    <s v="Sin Auxiliar"/>
    <x v="54"/>
    <d v="2025-07-15T00:00:00"/>
    <n v="54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gA4ADEAMAA1ADYASQBEAEUAQQA6=&amp;Tipo=2&amp;ST=1&amp;nLang=0"/>
  </r>
  <r>
    <x v="3"/>
    <s v="OP-S-062"/>
    <x v="3"/>
    <s v="Sin Auxiliar"/>
    <x v="54"/>
    <d v="2025-07-15T00:00:00"/>
    <n v="36"/>
    <x v="0"/>
    <n v="43"/>
    <n v="8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5DAEwASwAzADQANgA2ADUAMQA0ADQASQBEAEUAQQA1=&amp;Tipo=2&amp;ST=1&amp;nLang=0"/>
  </r>
  <r>
    <x v="4"/>
    <s v="OP-S-018"/>
    <x v="4"/>
    <s v="Sin Auxiliar"/>
    <x v="54"/>
    <d v="2025-07-15T00:00:00"/>
    <n v="43"/>
    <x v="0"/>
    <n v="64"/>
    <n v="0"/>
    <n v="0"/>
    <n v="0"/>
    <n v="0"/>
    <n v="0"/>
    <n v="0"/>
    <n v="4"/>
    <n v="50"/>
    <n v="0"/>
    <n v="0"/>
    <n v="0"/>
    <n v="0"/>
    <n v="0"/>
    <n v="0"/>
    <n v="0"/>
    <s v="https://www.clickideacore.com/ClickHTML5/Visit.aspx?ID=//57DAEwASwAzADQANgA1ADkAMQAxADIASQBEAEUAQQA8=&amp;Tipo=2&amp;ST=1&amp;nLang=0"/>
  </r>
  <r>
    <x v="19"/>
    <s v="OP-SDYR-001"/>
    <x v="23"/>
    <s v="Sin Auxiliar"/>
    <x v="54"/>
    <d v="2025-07-15T00:00:00"/>
    <n v="35"/>
    <x v="0"/>
    <n v="30"/>
    <n v="0"/>
    <n v="0"/>
    <n v="0"/>
    <n v="0"/>
    <n v="0"/>
    <n v="0"/>
    <n v="8"/>
    <n v="0"/>
    <n v="0"/>
    <n v="0"/>
    <n v="0"/>
    <n v="0"/>
    <n v="0"/>
    <n v="0"/>
    <n v="0"/>
    <s v="https://www.clickideacore.com/ClickHTML5/Visit.aspx?ID=//57DAEwASwAzADQANgA1ADYAOAA4ADkASQBEAEUAQQA1=&amp;Tipo=2&amp;ST=1&amp;nLang=0"/>
  </r>
  <r>
    <x v="6"/>
    <s v="OP-S-R-001"/>
    <x v="6"/>
    <s v="Sin Auxiliar"/>
    <x v="54"/>
    <d v="2025-07-15T00:00:00"/>
    <n v="58"/>
    <x v="0"/>
    <n v="27"/>
    <n v="0"/>
    <n v="0"/>
    <n v="0"/>
    <n v="0"/>
    <n v="0"/>
    <n v="0"/>
    <n v="0"/>
    <n v="27"/>
    <n v="0"/>
    <n v="0"/>
    <n v="0"/>
    <n v="0"/>
    <n v="0"/>
    <n v="0"/>
    <n v="0"/>
    <s v="https://www.clickideacore.com/ClickHTML5/Visit.aspx?ID=//54DAEwASwAzADQANgA5ADEANQA2ADEASQBEAEUAQQA5=&amp;Tipo=2&amp;ST=1&amp;nLang=0"/>
  </r>
  <r>
    <x v="7"/>
    <s v="OP-S-010"/>
    <x v="22"/>
    <s v="Sin Auxiliar"/>
    <x v="54"/>
    <d v="2025-07-15T00:00:00"/>
    <n v="39"/>
    <x v="0"/>
    <n v="1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QANgA1ADgAMwAyADcASQBEAEUAQQAF=&amp;Tipo=2&amp;ST=1&amp;nLang=0"/>
  </r>
  <r>
    <x v="8"/>
    <s v="OP-S-004"/>
    <x v="8"/>
    <s v="Sin Auxiliar"/>
    <x v="54"/>
    <d v="2025-07-15T00:00:00"/>
    <n v="38"/>
    <x v="0"/>
    <n v="34"/>
    <n v="0"/>
    <n v="0"/>
    <n v="1"/>
    <n v="0"/>
    <n v="0"/>
    <n v="0"/>
    <n v="0"/>
    <n v="1"/>
    <n v="0"/>
    <n v="0"/>
    <n v="0"/>
    <n v="0"/>
    <n v="0"/>
    <n v="0"/>
    <n v="0"/>
    <s v="https://www.clickideacore.com/ClickHTML5/Visit.aspx?ID=//5DDAEwASwAzADQANgA4ADQAMQAyADEASQBEAEUAQQA9=&amp;Tipo=2&amp;ST=1&amp;nLang=0"/>
  </r>
  <r>
    <x v="9"/>
    <s v="OP-S-001"/>
    <x v="18"/>
    <s v="Sin Auxiliar"/>
    <x v="54"/>
    <d v="2025-07-15T00:00:00"/>
    <n v="27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gA4ADgANQAwADUASQBEAEUAQQAE=&amp;Tipo=2&amp;ST=1&amp;nLang=0"/>
  </r>
  <r>
    <x v="20"/>
    <s v="OP-S-001"/>
    <x v="18"/>
    <s v="Sin Auxiliar"/>
    <x v="54"/>
    <d v="2025-07-15T00:00:00"/>
    <n v="27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gA4ADgANQAwADUASQBEAEUAQQAE=&amp;Tipo=2&amp;ST=1&amp;nLang=0"/>
  </r>
  <r>
    <x v="12"/>
    <s v="OP-S-70"/>
    <x v="12"/>
    <s v="Sin Auxiliar"/>
    <x v="54"/>
    <d v="2025-07-15T00:00:00"/>
    <n v="34"/>
    <x v="0"/>
    <n v="25"/>
    <n v="0"/>
    <n v="0"/>
    <n v="1"/>
    <n v="1"/>
    <n v="0"/>
    <n v="0"/>
    <n v="0"/>
    <n v="78"/>
    <n v="0"/>
    <n v="0"/>
    <n v="0"/>
    <n v="0"/>
    <n v="0"/>
    <n v="0"/>
    <n v="0"/>
    <s v="https://www.clickideacore.com/ClickHTML5/Visit.aspx?ID=//51DAEwASwAzADQANgA2ADcAMQA1ADQASQBEAEUAQQA3=&amp;Tipo=2&amp;ST=1&amp;nLang=0"/>
  </r>
  <r>
    <x v="10"/>
    <s v="OP-S-017"/>
    <x v="18"/>
    <s v="Sin Auxiliar"/>
    <x v="54"/>
    <d v="2025-07-15T00:00:00"/>
    <n v="77"/>
    <x v="0"/>
    <n v="1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gA4ADEANwAwADMASQBEAEUAQQAA=&amp;Tipo=2&amp;ST=1&amp;nLang=0"/>
  </r>
  <r>
    <x v="13"/>
    <s v="OP-S-060"/>
    <x v="18"/>
    <s v="Sin Auxiliar"/>
    <x v="54"/>
    <d v="2025-07-15T00:00:00"/>
    <n v="60"/>
    <x v="0"/>
    <n v="4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NgA2ADYAMAA2ADgASQBEAEUAQQAE=&amp;Tipo=2&amp;ST=1&amp;nLang=0"/>
  </r>
  <r>
    <x v="23"/>
    <s v="OP-S-060"/>
    <x v="10"/>
    <s v="Sin Auxiliar"/>
    <x v="54"/>
    <d v="2025-07-15T00:00:00"/>
    <n v="60"/>
    <x v="0"/>
    <n v="5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NgA2ADYAMAA2ADgASQBEAEUAQQAE=&amp;Tipo=2&amp;ST=1&amp;nLang=0"/>
  </r>
  <r>
    <x v="14"/>
    <s v="OP-S-011"/>
    <x v="14"/>
    <s v="Sin Auxiliar"/>
    <x v="54"/>
    <d v="2025-07-15T00:00:00"/>
    <n v="49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NgA2ADgANwA4ADYASQBEAEUAQQA7=&amp;Tipo=2&amp;ST=1&amp;nLang=0"/>
  </r>
  <r>
    <x v="17"/>
    <s v="OP-S-0010"/>
    <x v="13"/>
    <s v="Sin Auxiliar"/>
    <x v="54"/>
    <d v="2025-07-15T00:00:00"/>
    <n v="31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5"/>
    <s v="OP-S-0011"/>
    <x v="18"/>
    <s v="Sin Auxiliar"/>
    <x v="54"/>
    <d v="2025-07-15T00:00:00"/>
    <n v="31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11"/>
    <s v="OP-S-0012"/>
    <x v="18"/>
    <s v="Sin Auxiliar"/>
    <x v="54"/>
    <d v="2025-07-15T00:00:00"/>
    <n v="31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23"/>
    <s v="OP-S-0013"/>
    <x v="5"/>
    <s v="Sin Auxiliar"/>
    <x v="54"/>
    <d v="2025-07-15T00:00:00"/>
    <n v="31"/>
    <x v="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8"/>
    <s v="OP-S-004"/>
    <x v="8"/>
    <s v="Sin Auxiliar"/>
    <x v="55"/>
    <d v="2025-07-16T00:00:00"/>
    <n v="200"/>
    <x v="0"/>
    <n v="0"/>
    <n v="0"/>
    <n v="0"/>
    <n v="0"/>
    <n v="0"/>
    <n v="0"/>
    <n v="0"/>
    <n v="0"/>
    <n v="10"/>
    <n v="0"/>
    <n v="1"/>
    <n v="20"/>
    <n v="17"/>
    <n v="0"/>
    <n v="1"/>
    <n v="0"/>
    <s v="https://www.clickideacore.com/ClickHTML5/Visit.aspx?ID=//55DAEwASwAzADQANwAxADUAOAA1ADUASQBEAEUAQQAE=&amp;Tipo=2&amp;ST=1&amp;nLang=0"/>
  </r>
  <r>
    <x v="15"/>
    <s v="OP-S-012"/>
    <x v="18"/>
    <s v="Sin Auxiliar"/>
    <x v="55"/>
    <d v="2025-07-16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5"/>
    <s v="OP-S-012"/>
    <x v="18"/>
    <s v="Sin Auxiliar"/>
    <x v="56"/>
    <d v="2025-07-17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23"/>
    <s v="Sin Auxiliar"/>
    <x v="56"/>
    <d v="2025-07-17T00:00:00"/>
    <n v="39"/>
    <x v="0"/>
    <n v="9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wAzADUAOQA3ADkASQBEAEUAQQAF=&amp;Tipo=2&amp;ST=1&amp;nLang=0"/>
  </r>
  <r>
    <x v="1"/>
    <s v="OP-S-013"/>
    <x v="1"/>
    <s v="Sin Auxiliar"/>
    <x v="56"/>
    <d v="2025-07-17T00:00:00"/>
    <n v="32"/>
    <x v="0"/>
    <n v="8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NwAyADkAOAA2ADcASQBEAEUAQQAE=&amp;Tipo=2&amp;ST=1&amp;nLang=0"/>
  </r>
  <r>
    <x v="3"/>
    <s v="OP-S-062"/>
    <x v="3"/>
    <s v="Sin Auxiliar"/>
    <x v="56"/>
    <d v="2025-07-17T00:00:00"/>
    <n v="36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NgA2ADUAMQA0ADQASQBEAEUAQQA1=&amp;Tipo=2&amp;ST=1&amp;nLang=0"/>
  </r>
  <r>
    <x v="4"/>
    <s v="OP-S-018"/>
    <x v="4"/>
    <s v="Sin Auxiliar"/>
    <x v="56"/>
    <d v="2025-07-17T00:00:00"/>
    <n v="53"/>
    <x v="0"/>
    <n v="8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NwAzADEAOQA2ADgASQBEAEUAQQAF=&amp;Tipo=2&amp;ST=1&amp;nLang=0"/>
  </r>
  <r>
    <x v="5"/>
    <s v="OP-S-055"/>
    <x v="5"/>
    <s v="Sin Auxiliar"/>
    <x v="56"/>
    <d v="2025-07-17T00:00:00"/>
    <n v="57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NwA0ADAANQAxADEASQBEAEUAQQAF=&amp;Tipo=2&amp;ST=1&amp;nLang=0"/>
  </r>
  <r>
    <x v="24"/>
    <s v="OP-S-100"/>
    <x v="10"/>
    <s v="Sin Auxiliar"/>
    <x v="56"/>
    <d v="2025-07-17T00:00:00"/>
    <n v="50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wAyADgAOAAyADgASQBEAEUAQQAD=&amp;Tipo=2&amp;ST=1&amp;nLang=0"/>
  </r>
  <r>
    <x v="6"/>
    <s v="OP-S-R-001"/>
    <x v="6"/>
    <s v="Sin Auxiliar"/>
    <x v="56"/>
    <d v="2025-07-17T00:00:00"/>
    <n v="44"/>
    <x v="0"/>
    <n v="26"/>
    <n v="0"/>
    <n v="0"/>
    <n v="0"/>
    <n v="0"/>
    <n v="0"/>
    <n v="0"/>
    <n v="0"/>
    <n v="26"/>
    <n v="0"/>
    <n v="0"/>
    <n v="0"/>
    <n v="0"/>
    <n v="0"/>
    <n v="0"/>
    <n v="0"/>
    <s v="https://www.clickideacore.com/ClickHTML5/Visit.aspx?ID=//5EDAEwASwAzADQANwAzADcAMAA5ADEASQBEAEUAQQA9=&amp;Tipo=2&amp;ST=1&amp;nLang=0"/>
  </r>
  <r>
    <x v="7"/>
    <s v="OP-S-010"/>
    <x v="21"/>
    <s v="Sin Auxiliar"/>
    <x v="56"/>
    <d v="2025-07-17T00:00:00"/>
    <n v="96"/>
    <x v="0"/>
    <n v="4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wAyADcAOAAzADkASQBEAEUAQQA6=&amp;Tipo=2&amp;ST=1&amp;nLang=0"/>
  </r>
  <r>
    <x v="8"/>
    <s v="OP-S-004"/>
    <x v="8"/>
    <s v="Sin Auxiliar"/>
    <x v="56"/>
    <d v="2025-07-17T00:00:00"/>
    <n v="73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QANwAzADMAOAAxADMASQBEAEUAQQA8=&amp;Tipo=2&amp;ST=1&amp;nLang=0"/>
  </r>
  <r>
    <x v="9"/>
    <s v="OP-S-001"/>
    <x v="18"/>
    <s v="Sin Auxiliar"/>
    <x v="56"/>
    <d v="2025-07-17T00:00:00"/>
    <n v="19"/>
    <x v="0"/>
    <n v="6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NwAzADcAMgAyADIASQBEAEUAQQA3=&amp;Tipo=2&amp;ST=1&amp;nLang=0"/>
  </r>
  <r>
    <x v="12"/>
    <s v="OP-S-70"/>
    <x v="12"/>
    <s v="Sin Auxiliar"/>
    <x v="56"/>
    <d v="2025-07-17T00:00:00"/>
    <n v="19"/>
    <x v="0"/>
    <n v="19"/>
    <n v="0"/>
    <n v="0"/>
    <n v="1"/>
    <n v="1"/>
    <n v="0"/>
    <n v="1"/>
    <n v="0"/>
    <n v="35"/>
    <n v="0"/>
    <n v="0"/>
    <n v="0"/>
    <n v="0"/>
    <n v="0"/>
    <n v="0"/>
    <n v="0"/>
    <s v="https://www.clickideacore.com/ClickHTML5/Visit.aspx?ID=//5CDAEwASwAzADQANwA0ADEAMgAzADUASQBEAEUAQQAA=&amp;Tipo=2&amp;ST=1&amp;nLang=0"/>
  </r>
  <r>
    <x v="13"/>
    <s v="OP-S-060"/>
    <x v="13"/>
    <s v="Sin Auxiliar"/>
    <x v="56"/>
    <d v="2025-07-17T00:00:00"/>
    <n v="52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QANwAzADMAOAA0ADEASQBEAEUAQQA9=&amp;Tipo=2&amp;ST=1&amp;nLang=0"/>
  </r>
  <r>
    <x v="14"/>
    <s v="OP-S-011"/>
    <x v="14"/>
    <s v="Sin Auxiliar"/>
    <x v="56"/>
    <d v="2025-07-17T00:00:00"/>
    <n v="32"/>
    <x v="0"/>
    <n v="1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NwA0ADEANAAzADIASQBEAEUAQQA2=&amp;Tipo=2&amp;ST=1&amp;nLang=0"/>
  </r>
  <r>
    <x v="17"/>
    <s v="OP-S-0010"/>
    <x v="18"/>
    <s v="Sin Auxiliar"/>
    <x v="56"/>
    <d v="2025-07-17T00:00:00"/>
    <n v="42"/>
    <x v="0"/>
    <n v="7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wA0ADMAMAA4ADIASQBEAEUAQQAE=&amp;Tipo=2&amp;ST=1&amp;nLang=0"/>
  </r>
  <r>
    <x v="18"/>
    <s v="OP-S-002"/>
    <x v="6"/>
    <s v="Sin Auxiliar"/>
    <x v="56"/>
    <d v="2025-07-17T00:00:00"/>
    <n v="37"/>
    <x v="0"/>
    <n v="2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NwAzADQAMAAzADIASQBEAEUAQQA3=&amp;Tipo=2&amp;ST=1&amp;nLang=0"/>
  </r>
  <r>
    <x v="11"/>
    <s v="OP-S-0012"/>
    <x v="18"/>
    <s v="Sin Auxiliar"/>
    <x v="56"/>
    <d v="2025-07-17T00:00:00"/>
    <n v="31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NgAxADcAOQAzADYASQBEAEUAQQAB=&amp;Tipo=2&amp;ST=1&amp;nLang=0"/>
  </r>
  <r>
    <x v="10"/>
    <s v="OP-S-017"/>
    <x v="18"/>
    <s v="Sin Auxiliar"/>
    <x v="56"/>
    <d v="2025-07-17T00:00:00"/>
    <n v="77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gA4ADEANwAwADMASQBEAEUAQQAA=&amp;Tipo=2&amp;ST=1&amp;nLang=0"/>
  </r>
  <r>
    <x v="2"/>
    <s v="OP-S-009"/>
    <x v="18"/>
    <s v="Sin Auxiliar"/>
    <x v="56"/>
    <d v="2025-07-17T00:00:00"/>
    <n v="5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QANgA4ADEAMAA1ADYASQBEAEUAQQA6=&amp;Tipo=2&amp;ST=1&amp;nLang=0"/>
  </r>
  <r>
    <x v="20"/>
    <s v="OP-S-001"/>
    <x v="18"/>
    <s v="Sin Auxiliar"/>
    <x v="56"/>
    <d v="2025-07-17T00:00:00"/>
    <n v="19"/>
    <x v="0"/>
    <n v="6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NwAzADcAMgAyADIASQBEAEUAQQA3=&amp;Tipo=2&amp;ST=1&amp;nLang=0"/>
  </r>
  <r>
    <x v="19"/>
    <s v="OP-S-0010"/>
    <x v="18"/>
    <s v="Sin Auxiliar"/>
    <x v="56"/>
    <d v="2025-07-17T00:00:00"/>
    <n v="42"/>
    <x v="0"/>
    <n v="7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NwA0ADMAMAA4ADIASQBEAEUAQQAE=&amp;Tipo=2&amp;ST=1&amp;nLang=0"/>
  </r>
  <r>
    <x v="15"/>
    <s v="OP-S-012"/>
    <x v="18"/>
    <s v="Sin Auxiliar"/>
    <x v="57"/>
    <d v="2025-07-18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0"/>
    <s v="OP-S-106"/>
    <x v="18"/>
    <s v="Sin Auxiliar"/>
    <x v="57"/>
    <d v="2025-07-18T00:00:00"/>
    <n v="41"/>
    <x v="0"/>
    <n v="6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QANwA2ADMANwAwADQASQBEAEUAQQA5=&amp;Tipo=2&amp;ST=1&amp;nLang=0"/>
  </r>
  <r>
    <x v="1"/>
    <s v="OP-S-013"/>
    <x v="1"/>
    <s v="Sin Auxiliar"/>
    <x v="57"/>
    <d v="2025-07-18T00:00:00"/>
    <n v="51"/>
    <x v="0"/>
    <n v="8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NwA1ADUANQAwADMASQBEAEUAQQA4=&amp;Tipo=2&amp;ST=1&amp;nLang=0"/>
  </r>
  <r>
    <x v="2"/>
    <s v="OP-S-009"/>
    <x v="21"/>
    <s v="Sin Auxiliar"/>
    <x v="57"/>
    <d v="2025-07-18T00:00:00"/>
    <n v="87"/>
    <x v="0"/>
    <n v="72"/>
    <n v="78"/>
    <n v="0"/>
    <n v="1"/>
    <n v="0"/>
    <n v="0"/>
    <n v="0"/>
    <n v="0"/>
    <n v="0"/>
    <n v="0"/>
    <n v="0"/>
    <n v="0"/>
    <n v="0"/>
    <n v="0"/>
    <n v="0"/>
    <n v="4"/>
    <s v="https://www.clickideacore.com/ClickHTML5/Visit.aspx?ID=//50DAEwASwAzADQANwA1ADcAMQA2ADIASQBEAEUAQQA7=&amp;Tipo=2&amp;ST=1&amp;nLang=0"/>
  </r>
  <r>
    <x v="3"/>
    <s v="OP-S-062"/>
    <x v="3"/>
    <s v="Sin Auxiliar"/>
    <x v="57"/>
    <d v="2025-07-18T00:00:00"/>
    <n v="36"/>
    <x v="0"/>
    <n v="58"/>
    <n v="78"/>
    <n v="0"/>
    <n v="0"/>
    <n v="0"/>
    <n v="0"/>
    <n v="0"/>
    <n v="0"/>
    <n v="5"/>
    <n v="0"/>
    <n v="0"/>
    <n v="0"/>
    <n v="0"/>
    <n v="0"/>
    <n v="0"/>
    <n v="4"/>
    <s v="https://www.clickideacore.com/ClickHTML5/Visit.aspx?ID=//55DAEwASwAzADQANgA2ADUAMQA0ADQASQBEAEUAQQA1=&amp;Tipo=2&amp;ST=1&amp;nLang=0"/>
  </r>
  <r>
    <x v="4"/>
    <s v="OP-S-018"/>
    <x v="4"/>
    <s v="Sin Auxiliar"/>
    <x v="57"/>
    <d v="2025-07-18T00:00:00"/>
    <n v="53"/>
    <x v="0"/>
    <n v="8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NwAzADEAOQA2ADgASQBEAEUAQQAF=&amp;Tipo=2&amp;ST=1&amp;nLang=0"/>
  </r>
  <r>
    <x v="5"/>
    <s v="OP-S-055"/>
    <x v="5"/>
    <s v="Sin Auxiliar"/>
    <x v="57"/>
    <d v="2025-07-18T00:00:00"/>
    <n v="33"/>
    <x v="0"/>
    <n v="3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6DAEwASwAzADQANwA2ADQANgAxADQASQBEAEUAQQA3=&amp;Tipo=2&amp;ST=1&amp;nLang=0"/>
  </r>
  <r>
    <x v="19"/>
    <s v="OP-SDYR-001"/>
    <x v="23"/>
    <s v="Sin Auxiliar"/>
    <x v="57"/>
    <d v="2025-07-18T00:00:00"/>
    <n v="42"/>
    <x v="0"/>
    <n v="65"/>
    <n v="78"/>
    <n v="0"/>
    <n v="1"/>
    <n v="0"/>
    <n v="0"/>
    <n v="0"/>
    <n v="0"/>
    <n v="0"/>
    <n v="0"/>
    <n v="0"/>
    <n v="0"/>
    <n v="0"/>
    <n v="0"/>
    <n v="0"/>
    <n v="3"/>
    <s v="https://www.clickideacore.com/ClickHTML5/Visit.aspx?ID=//54DAEwASwAzADQANwA1ADEANAA5ADIASQBEAEUAQQA5=&amp;Tipo=2&amp;ST=1&amp;nLang=0"/>
  </r>
  <r>
    <x v="6"/>
    <s v="OP-S-R-001"/>
    <x v="6"/>
    <s v="Sin Auxiliar"/>
    <x v="57"/>
    <d v="2025-07-18T00:00:00"/>
    <n v="48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NwA2ADIAMgAzADgASQBEAEUAQQA3=&amp;Tipo=2&amp;ST=1&amp;nLang=0"/>
  </r>
  <r>
    <x v="8"/>
    <s v="OP-S-004"/>
    <x v="8"/>
    <s v="Sin Auxiliar"/>
    <x v="57"/>
    <d v="2025-07-18T00:00:00"/>
    <n v="38"/>
    <x v="0"/>
    <n v="33"/>
    <n v="0"/>
    <n v="0"/>
    <n v="1"/>
    <n v="0"/>
    <n v="0"/>
    <n v="0"/>
    <n v="0"/>
    <n v="1"/>
    <n v="0"/>
    <n v="0"/>
    <n v="0"/>
    <n v="0"/>
    <n v="0"/>
    <n v="0"/>
    <n v="0"/>
    <s v="https://www.clickideacore.com/ClickHTML5/Visit.aspx?ID=//52DAEwASwAzADQANwA1ADUANAA0ADgASQBEAEUAQQA5=&amp;Tipo=2&amp;ST=1&amp;nLang=0"/>
  </r>
  <r>
    <x v="9"/>
    <s v="OP-S-001"/>
    <x v="18"/>
    <s v="Sin Auxiliar"/>
    <x v="57"/>
    <d v="2025-07-18T00:00:00"/>
    <n v="34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NwA1ADYAMQA4ADMASQBEAEUAQQA3=&amp;Tipo=2&amp;ST=1&amp;nLang=0"/>
  </r>
  <r>
    <x v="10"/>
    <s v="OP-S-017"/>
    <x v="10"/>
    <s v="Sin Auxiliar"/>
    <x v="57"/>
    <d v="2025-07-18T00:00:00"/>
    <n v="77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NgA4ADEANwAwADMASQBEAEUAQQAA=&amp;Tipo=2&amp;ST=1&amp;nLang=0"/>
  </r>
  <r>
    <x v="11"/>
    <s v="OP-S-126"/>
    <x v="18"/>
    <s v="Sin Auxiliar"/>
    <x v="57"/>
    <d v="2025-07-18T00:00:00"/>
    <n v="32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wA1ADYANgAxADcASQBEAEUAQQA3=&amp;Tipo=2&amp;ST=1&amp;nLang=0"/>
  </r>
  <r>
    <x v="17"/>
    <s v="OP-S-126"/>
    <x v="18"/>
    <s v="Sin Auxiliar"/>
    <x v="57"/>
    <d v="2025-07-18T00:00:00"/>
    <n v="32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QANwA1ADYANgAxADcASQBEAEUAQQA3=&amp;Tipo=2&amp;ST=1&amp;nLang=0"/>
  </r>
  <r>
    <x v="12"/>
    <s v="OP-S-70"/>
    <x v="12"/>
    <s v="Sin Auxiliar"/>
    <x v="57"/>
    <d v="2025-07-18T00:00:00"/>
    <n v="25"/>
    <x v="0"/>
    <n v="45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BDAEwASwAzADQANwA2ADMANQAwADkASQBEAEUAQQAC=&amp;Tipo=2&amp;ST=1&amp;nLang=0"/>
  </r>
  <r>
    <x v="13"/>
    <s v="OP-S-060"/>
    <x v="13"/>
    <s v="Sin Auxiliar"/>
    <x v="57"/>
    <d v="2025-07-18T00:00:00"/>
    <n v="97"/>
    <x v="0"/>
    <n v="6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QANwA2ADMANAAyADQASQBEAEUAQQAD=&amp;Tipo=2&amp;ST=1&amp;nLang=0"/>
  </r>
  <r>
    <x v="14"/>
    <s v="OP-S-011"/>
    <x v="14"/>
    <s v="Sin Auxiliar"/>
    <x v="57"/>
    <d v="2025-07-18T00:00:00"/>
    <n v="48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NwA2ADQANAAzADIASQBEAEUAQQAF=&amp;Tipo=2&amp;ST=1&amp;nLang=0"/>
  </r>
  <r>
    <x v="18"/>
    <s v="OP-S-002"/>
    <x v="6"/>
    <s v="Sin Auxiliar"/>
    <x v="57"/>
    <d v="2025-07-18T00:00:00"/>
    <n v="47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5DAEwASwAzADQANwA2ADIAMAA5ADIASQBEAEUAQQA3=&amp;Tipo=2&amp;ST=1&amp;nLang=0"/>
  </r>
  <r>
    <x v="23"/>
    <s v="OP-S-054"/>
    <x v="27"/>
    <s v="Sin Auxiliar"/>
    <x v="57"/>
    <d v="2025-07-18T00:00:00"/>
    <n v="47"/>
    <x v="0"/>
    <n v="0"/>
    <n v="78"/>
    <n v="0"/>
    <n v="1"/>
    <n v="0"/>
    <n v="0"/>
    <n v="0"/>
    <n v="0"/>
    <n v="0"/>
    <n v="0"/>
    <n v="0"/>
    <n v="0"/>
    <n v="0"/>
    <n v="0"/>
    <n v="0"/>
    <n v="3"/>
    <s v="https://www.clickideacore.com/ClickHTML5/Visit.aspx?ID=//5BDAEwASwAzADQANwA1ADQANQAzADUASQBEAEUAQQA7=&amp;Tipo=2&amp;ST=1&amp;nLang=0"/>
  </r>
  <r>
    <x v="7"/>
    <s v="OP-S-001"/>
    <x v="18"/>
    <s v="Sin Auxiliar"/>
    <x v="57"/>
    <d v="2025-07-18T00:00:00"/>
    <n v="34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NwA1ADYAMQA4ADMASQBEAEUAQQA3=&amp;Tipo=2&amp;ST=1&amp;nLang=0"/>
  </r>
  <r>
    <x v="20"/>
    <s v="OP-S-106"/>
    <x v="18"/>
    <s v="Sin Auxiliar"/>
    <x v="57"/>
    <d v="2025-07-18T00:00:00"/>
    <n v="41"/>
    <x v="0"/>
    <n v="6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QANwA2ADMANwAwADQASQBEAEUAQQA5=&amp;Tipo=2&amp;ST=1&amp;nLang=0"/>
  </r>
  <r>
    <x v="15"/>
    <s v="OP-S-012"/>
    <x v="18"/>
    <s v="Sin Auxiliar"/>
    <x v="58"/>
    <d v="2025-07-19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8"/>
    <s v="OP-S-004"/>
    <x v="8"/>
    <s v="Sin Auxiliar"/>
    <x v="58"/>
    <d v="2025-07-19T00:00:00"/>
    <n v="56"/>
    <x v="0"/>
    <n v="0"/>
    <n v="0"/>
    <n v="0"/>
    <n v="0"/>
    <n v="0"/>
    <n v="0"/>
    <n v="0"/>
    <n v="0"/>
    <n v="9"/>
    <n v="1"/>
    <n v="0"/>
    <n v="9"/>
    <n v="19"/>
    <n v="1"/>
    <n v="0"/>
    <n v="0"/>
    <s v="https://www.clickideacore.com/ClickHTML5/Visit.aspx?ID=//54DAEwASwAzADQANwA3ADYAMgA5ADgASQBEAEUAQQAD=&amp;Tipo=2&amp;ST=1&amp;nLang=0"/>
  </r>
  <r>
    <x v="14"/>
    <s v="OP-S-011"/>
    <x v="13"/>
    <s v="Sin Auxiliar"/>
    <x v="58"/>
    <d v="2025-07-19T00:00:00"/>
    <n v="94"/>
    <x v="0"/>
    <n v="0"/>
    <n v="0"/>
    <n v="0"/>
    <n v="0"/>
    <n v="0"/>
    <n v="0"/>
    <n v="0"/>
    <n v="0"/>
    <n v="0"/>
    <n v="1"/>
    <n v="0"/>
    <n v="27"/>
    <n v="28"/>
    <n v="1"/>
    <n v="0"/>
    <n v="0"/>
    <s v="https://www.clickideacore.com/ClickHTML5/Visit.aspx?ID=//5BDAEwASwAzADQANwA3ADgANwAwADMASQBEAEUAQQA4=&amp;Tipo=2&amp;ST=1&amp;nLang=0"/>
  </r>
  <r>
    <x v="15"/>
    <s v="OP-S-012"/>
    <x v="18"/>
    <s v="Sin Auxiliar"/>
    <x v="59"/>
    <d v="2025-07-20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5"/>
    <s v="OP-S-055"/>
    <x v="13"/>
    <s v="Sin Auxiliar"/>
    <x v="59"/>
    <d v="2025-07-20T00:00:00"/>
    <n v="43"/>
    <x v="0"/>
    <n v="0"/>
    <n v="0"/>
    <n v="0"/>
    <n v="0"/>
    <n v="0"/>
    <n v="0"/>
    <n v="0"/>
    <n v="0"/>
    <n v="0"/>
    <n v="0"/>
    <n v="1"/>
    <n v="3"/>
    <n v="17"/>
    <n v="0"/>
    <n v="1"/>
    <n v="0"/>
    <s v="https://www.clickideacore.com/ClickHTML5/Visit.aspx?ID=//56DAEwASwAzADQANwA4ADcAMgAzADMASQBEAEUAQQA9=&amp;Tipo=2&amp;ST=1&amp;nLang=0"/>
  </r>
  <r>
    <x v="17"/>
    <s v="OP-S-0010"/>
    <x v="23"/>
    <s v="Sin Auxiliar"/>
    <x v="59"/>
    <d v="2025-07-20T00:00:00"/>
    <n v="36"/>
    <x v="0"/>
    <n v="0"/>
    <n v="0"/>
    <n v="0"/>
    <n v="0"/>
    <n v="0"/>
    <n v="0"/>
    <n v="0"/>
    <n v="0"/>
    <n v="0"/>
    <n v="0"/>
    <n v="1"/>
    <n v="0"/>
    <n v="30"/>
    <n v="0"/>
    <n v="1"/>
    <n v="0"/>
    <s v="https://www.clickideacore.com/ClickHTML5/Visit.aspx?ID=//58DAEwASwAzADQANwA4ADYAOAA5ADAASQBEAEUAQQA6=&amp;Tipo=2&amp;ST=1&amp;nLang=0"/>
  </r>
  <r>
    <x v="0"/>
    <s v="OP-S-106"/>
    <x v="23"/>
    <s v="Sin Auxiliar"/>
    <x v="60"/>
    <d v="2025-07-21T00:00:00"/>
    <n v="25"/>
    <x v="0"/>
    <n v="48"/>
    <n v="0"/>
    <n v="0"/>
    <n v="0"/>
    <n v="1"/>
    <n v="1"/>
    <n v="0"/>
    <n v="0"/>
    <n v="0"/>
    <n v="0"/>
    <n v="0"/>
    <n v="0"/>
    <n v="0"/>
    <n v="0"/>
    <n v="0"/>
    <n v="0"/>
    <m/>
  </r>
  <r>
    <x v="15"/>
    <s v="OP-S-012"/>
    <x v="18"/>
    <s v="Sin Auxiliar"/>
    <x v="60"/>
    <d v="2025-07-21T00:00:00"/>
    <n v="39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MwA1ADUANgAyADMASQBEAEUAQQA6=&amp;Tipo=2&amp;ST=1&amp;nLang=0"/>
  </r>
  <r>
    <x v="1"/>
    <s v="OP-S-013"/>
    <x v="1"/>
    <s v="Sin Auxiliar"/>
    <x v="60"/>
    <d v="2025-07-21T00:00:00"/>
    <n v="41"/>
    <x v="0"/>
    <n v="72"/>
    <n v="0"/>
    <n v="0"/>
    <n v="1"/>
    <n v="0"/>
    <n v="0"/>
    <n v="0"/>
    <n v="0"/>
    <n v="0"/>
    <n v="0"/>
    <n v="0"/>
    <n v="0"/>
    <n v="0"/>
    <n v="0"/>
    <n v="0"/>
    <n v="0"/>
    <m/>
  </r>
  <r>
    <x v="2"/>
    <s v="OP-S-009"/>
    <x v="21"/>
    <s v="Sin Auxiliar"/>
    <x v="60"/>
    <d v="2025-07-21T00:00:00"/>
    <n v="59"/>
    <x v="0"/>
    <n v="42"/>
    <n v="0"/>
    <n v="0"/>
    <n v="1"/>
    <n v="0"/>
    <n v="0"/>
    <n v="0"/>
    <n v="0"/>
    <n v="7"/>
    <n v="0"/>
    <n v="0"/>
    <n v="0"/>
    <n v="0"/>
    <n v="0"/>
    <n v="0"/>
    <n v="0"/>
    <m/>
  </r>
  <r>
    <x v="3"/>
    <s v="OP-S-062"/>
    <x v="3"/>
    <s v="Sin Auxiliar"/>
    <x v="60"/>
    <d v="2025-07-21T00:00:00"/>
    <n v="36"/>
    <x v="0"/>
    <n v="41"/>
    <n v="0"/>
    <n v="0"/>
    <n v="0"/>
    <n v="0"/>
    <n v="0"/>
    <n v="0"/>
    <n v="0"/>
    <n v="5"/>
    <n v="0"/>
    <n v="0"/>
    <n v="0"/>
    <n v="0"/>
    <n v="0"/>
    <n v="0"/>
    <n v="0"/>
    <m/>
  </r>
  <r>
    <x v="5"/>
    <s v="OP-S-055"/>
    <x v="5"/>
    <s v="Sin Auxiliar"/>
    <x v="60"/>
    <d v="2025-07-21T00:00:00"/>
    <n v="26"/>
    <x v="0"/>
    <n v="58"/>
    <n v="0"/>
    <n v="0"/>
    <n v="0"/>
    <n v="0"/>
    <n v="0"/>
    <n v="0"/>
    <n v="0"/>
    <n v="18"/>
    <n v="0"/>
    <n v="0"/>
    <n v="0"/>
    <n v="0"/>
    <n v="0"/>
    <n v="0"/>
    <n v="0"/>
    <m/>
  </r>
  <r>
    <x v="4"/>
    <s v="OP-S-018"/>
    <x v="4"/>
    <s v="Sin Auxiliar"/>
    <x v="60"/>
    <d v="2025-07-21T00:00:00"/>
    <n v="53"/>
    <x v="0"/>
    <n v="9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NwAzADEAOQA2ADgASQBEAEUAQQAF=&amp;Tipo=2&amp;ST=1&amp;nLang=0"/>
  </r>
  <r>
    <x v="19"/>
    <s v="OP-SDYR-001"/>
    <x v="23"/>
    <s v="Sin Auxiliar"/>
    <x v="60"/>
    <d v="2025-07-21T00:00:00"/>
    <n v="40"/>
    <x v="0"/>
    <n v="55"/>
    <n v="0"/>
    <n v="0"/>
    <n v="1"/>
    <n v="0"/>
    <n v="0"/>
    <n v="0"/>
    <n v="0"/>
    <n v="0"/>
    <n v="0"/>
    <n v="0"/>
    <n v="0"/>
    <n v="0"/>
    <n v="0"/>
    <n v="0"/>
    <n v="0"/>
    <m/>
  </r>
  <r>
    <x v="6"/>
    <s v="OP-S-R-001"/>
    <x v="6"/>
    <s v="Sin Auxiliar"/>
    <x v="60"/>
    <d v="2025-07-21T00:00:00"/>
    <n v="73"/>
    <x v="0"/>
    <n v="34"/>
    <n v="0"/>
    <n v="0"/>
    <n v="0"/>
    <n v="0"/>
    <n v="0"/>
    <n v="0"/>
    <n v="0"/>
    <n v="34"/>
    <n v="0"/>
    <n v="0"/>
    <n v="0"/>
    <n v="0"/>
    <n v="0"/>
    <n v="0"/>
    <n v="0"/>
    <m/>
  </r>
  <r>
    <x v="7"/>
    <s v="OP-S-010"/>
    <x v="22"/>
    <s v="Sin Auxiliar"/>
    <x v="60"/>
    <d v="2025-07-21T00:00:00"/>
    <n v="63"/>
    <x v="0"/>
    <n v="36"/>
    <n v="0"/>
    <n v="0"/>
    <n v="1"/>
    <n v="0"/>
    <n v="1"/>
    <n v="0"/>
    <n v="0"/>
    <n v="0"/>
    <n v="0"/>
    <n v="0"/>
    <n v="0"/>
    <n v="0"/>
    <n v="0"/>
    <n v="0"/>
    <n v="0"/>
    <m/>
  </r>
  <r>
    <x v="8"/>
    <s v="OP-S-004"/>
    <x v="8"/>
    <s v="Sin Auxiliar"/>
    <x v="60"/>
    <d v="2025-07-21T00:00:00"/>
    <n v="37"/>
    <x v="0"/>
    <n v="54"/>
    <n v="0"/>
    <n v="0"/>
    <n v="1"/>
    <n v="0"/>
    <n v="0"/>
    <n v="0"/>
    <n v="0"/>
    <n v="0"/>
    <n v="0"/>
    <n v="0"/>
    <n v="0"/>
    <n v="0"/>
    <n v="0"/>
    <n v="0"/>
    <n v="0"/>
    <m/>
  </r>
  <r>
    <x v="9"/>
    <s v="OP-S-001"/>
    <x v="18"/>
    <s v="Sin Auxiliar"/>
    <x v="60"/>
    <d v="2025-07-21T00:00:00"/>
    <n v="42"/>
    <x v="0"/>
    <n v="59"/>
    <n v="0"/>
    <n v="0"/>
    <n v="0"/>
    <n v="0"/>
    <n v="0"/>
    <n v="0"/>
    <n v="0"/>
    <n v="0"/>
    <n v="0"/>
    <n v="0"/>
    <n v="0"/>
    <n v="0"/>
    <n v="0"/>
    <n v="0"/>
    <n v="0"/>
    <m/>
  </r>
  <r>
    <x v="10"/>
    <s v="OP-S-017"/>
    <x v="10"/>
    <s v="Sin Auxiliar"/>
    <x v="60"/>
    <d v="2025-07-21T00:00:00"/>
    <n v="77"/>
    <x v="0"/>
    <n v="65"/>
    <n v="0"/>
    <n v="0"/>
    <n v="1"/>
    <n v="0"/>
    <n v="0"/>
    <n v="0"/>
    <n v="0"/>
    <n v="0"/>
    <n v="0"/>
    <n v="0"/>
    <n v="0"/>
    <n v="0"/>
    <n v="0"/>
    <n v="0"/>
    <n v="0"/>
    <m/>
  </r>
  <r>
    <x v="12"/>
    <s v="OP-S-70"/>
    <x v="12"/>
    <s v="Sin Auxiliar"/>
    <x v="60"/>
    <d v="2025-07-21T00:00:00"/>
    <n v="34"/>
    <x v="0"/>
    <n v="42"/>
    <n v="0"/>
    <n v="0"/>
    <n v="1"/>
    <n v="1"/>
    <n v="0"/>
    <n v="0"/>
    <n v="0"/>
    <n v="39"/>
    <n v="0"/>
    <n v="0"/>
    <n v="0"/>
    <n v="0"/>
    <n v="0"/>
    <n v="0"/>
    <n v="0"/>
    <m/>
  </r>
  <r>
    <x v="13"/>
    <s v="OP-S-060"/>
    <x v="13"/>
    <s v="Sin Auxiliar"/>
    <x v="60"/>
    <d v="2025-07-21T00:00:00"/>
    <n v="49"/>
    <x v="0"/>
    <n v="94"/>
    <n v="0"/>
    <n v="0"/>
    <n v="0"/>
    <n v="0"/>
    <n v="1"/>
    <n v="0"/>
    <n v="0"/>
    <n v="0"/>
    <n v="0"/>
    <n v="0"/>
    <n v="0"/>
    <n v="0"/>
    <n v="0"/>
    <n v="0"/>
    <n v="0"/>
    <m/>
  </r>
  <r>
    <x v="17"/>
    <s v="OP-S-0010"/>
    <x v="18"/>
    <s v="Sin Auxiliar"/>
    <x v="60"/>
    <d v="2025-07-21T00:00:00"/>
    <n v="40"/>
    <x v="0"/>
    <n v="48"/>
    <n v="0"/>
    <n v="0"/>
    <n v="0"/>
    <n v="0"/>
    <n v="0"/>
    <n v="0"/>
    <n v="0"/>
    <n v="0"/>
    <n v="0"/>
    <n v="0"/>
    <n v="0"/>
    <n v="0"/>
    <n v="0"/>
    <n v="0"/>
    <n v="0"/>
    <m/>
  </r>
  <r>
    <x v="11"/>
    <s v="OP-S-0010"/>
    <x v="18"/>
    <s v="Sin Auxiliar"/>
    <x v="60"/>
    <d v="2025-07-21T00:00:00"/>
    <n v="40"/>
    <x v="0"/>
    <n v="48"/>
    <n v="0"/>
    <n v="0"/>
    <n v="0"/>
    <n v="0"/>
    <n v="0"/>
    <n v="0"/>
    <n v="0"/>
    <n v="0"/>
    <n v="0"/>
    <n v="0"/>
    <n v="0"/>
    <n v="0"/>
    <n v="0"/>
    <n v="0"/>
    <n v="0"/>
    <m/>
  </r>
  <r>
    <x v="14"/>
    <s v="OP-S-011"/>
    <x v="20"/>
    <s v="Sin Auxiliar"/>
    <x v="60"/>
    <d v="2025-07-21T00:00:00"/>
    <n v="32"/>
    <x v="0"/>
    <n v="36"/>
    <n v="0"/>
    <n v="0"/>
    <n v="0"/>
    <n v="0"/>
    <n v="0"/>
    <n v="0"/>
    <n v="0"/>
    <n v="0"/>
    <n v="0"/>
    <n v="0"/>
    <n v="0"/>
    <n v="0"/>
    <n v="0"/>
    <n v="0"/>
    <n v="0"/>
    <m/>
  </r>
  <r>
    <x v="23"/>
    <s v="OP-S-012"/>
    <x v="14"/>
    <s v="Sin Auxiliar"/>
    <x v="60"/>
    <d v="2025-07-21T00:00:00"/>
    <n v="33"/>
    <x v="6"/>
    <n v="0"/>
    <n v="0"/>
    <n v="0"/>
    <n v="0"/>
    <n v="0"/>
    <n v="0"/>
    <n v="0"/>
    <n v="0"/>
    <n v="0"/>
    <n v="0"/>
    <n v="0"/>
    <n v="0"/>
    <n v="0"/>
    <n v="0"/>
    <n v="0"/>
    <n v="0"/>
    <m/>
  </r>
  <r>
    <x v="23"/>
    <s v="OP-S-013"/>
    <x v="9"/>
    <s v="Sin Auxiliar"/>
    <x v="60"/>
    <d v="2025-07-21T00:00:00"/>
    <n v="34"/>
    <x v="4"/>
    <n v="0"/>
    <n v="0"/>
    <n v="0"/>
    <n v="0"/>
    <n v="0"/>
    <n v="0"/>
    <n v="0"/>
    <n v="0"/>
    <n v="0"/>
    <n v="0"/>
    <n v="0"/>
    <n v="0"/>
    <n v="0"/>
    <n v="0"/>
    <n v="0"/>
    <n v="0"/>
    <m/>
  </r>
  <r>
    <x v="20"/>
    <s v="OP-S-001"/>
    <x v="18"/>
    <s v="Sin Auxiliar"/>
    <x v="60"/>
    <d v="2025-07-21T00:00:00"/>
    <n v="42"/>
    <x v="0"/>
    <n v="63"/>
    <n v="0"/>
    <n v="0"/>
    <n v="0"/>
    <n v="0"/>
    <n v="0"/>
    <n v="0"/>
    <n v="0"/>
    <n v="0"/>
    <n v="0"/>
    <n v="0"/>
    <n v="0"/>
    <n v="0"/>
    <n v="0"/>
    <n v="0"/>
    <n v="0"/>
    <m/>
  </r>
  <r>
    <x v="0"/>
    <s v="OP-S-106"/>
    <x v="18"/>
    <s v="Sin Auxiliar"/>
    <x v="61"/>
    <d v="2025-07-22T00:00:00"/>
    <n v="43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QAOAAzADQANgA4ADgASQBEAEUAQQAD=&amp;Tipo=2&amp;ST=1&amp;nLang=0"/>
  </r>
  <r>
    <x v="1"/>
    <s v="OP-S-013"/>
    <x v="1"/>
    <s v="Sin Auxiliar"/>
    <x v="61"/>
    <d v="2025-07-22T00:00:00"/>
    <n v="29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OAAyADQAMwA1ADEASQBEAEUAQQAF=&amp;Tipo=2&amp;ST=1&amp;nLang=0"/>
  </r>
  <r>
    <x v="2"/>
    <s v="OP-S-009"/>
    <x v="21"/>
    <s v="Sin Auxiliar"/>
    <x v="61"/>
    <d v="2025-07-22T00:00:00"/>
    <n v="65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OAAyADUANQA5ADgASQBEAEUAQQA9=&amp;Tipo=2&amp;ST=1&amp;nLang=0"/>
  </r>
  <r>
    <x v="3"/>
    <s v="OP-S-062"/>
    <x v="3"/>
    <s v="Sin Auxiliar"/>
    <x v="61"/>
    <d v="2025-07-22T00:00:00"/>
    <n v="22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QAOAAyADQAMAAxADQASQBEAEUAQQA8=&amp;Tipo=2&amp;ST=1&amp;nLang=0"/>
  </r>
  <r>
    <x v="4"/>
    <s v="OP-S-018"/>
    <x v="4"/>
    <s v="Sin Auxiliar"/>
    <x v="61"/>
    <d v="2025-07-22T00:00:00"/>
    <n v="53"/>
    <x v="0"/>
    <n v="6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6DAEwASwAzADQAOAAyADQAOQAyADUASQBEAEUAQQA8=&amp;Tipo=2&amp;ST=1&amp;nLang=0"/>
  </r>
  <r>
    <x v="19"/>
    <s v="OP-SDYR-001"/>
    <x v="23"/>
    <s v="Sin Auxiliar"/>
    <x v="61"/>
    <d v="2025-07-22T00:00:00"/>
    <n v="27"/>
    <x v="0"/>
    <n v="2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yADIANQA0ADYASQBEAEUAQQAD=&amp;Tipo=2&amp;ST=1&amp;nLang=0"/>
  </r>
  <r>
    <x v="6"/>
    <s v="OP-S-R-001"/>
    <x v="6"/>
    <s v="Sin Auxiliar"/>
    <x v="61"/>
    <d v="2025-07-22T00:00:00"/>
    <n v="58"/>
    <x v="0"/>
    <n v="41"/>
    <n v="0"/>
    <n v="0"/>
    <n v="0"/>
    <n v="0"/>
    <n v="0"/>
    <n v="0"/>
    <n v="0"/>
    <n v="41"/>
    <n v="0"/>
    <n v="0"/>
    <n v="0"/>
    <n v="0"/>
    <n v="0"/>
    <n v="0"/>
    <n v="0"/>
    <s v="https://www.clickideacore.com/ClickHTML5/Visit.aspx?ID=//57DAEwASwAzADQAOAAzADIAOQAxADgASQBEAEUAQQAB=&amp;Tipo=2&amp;ST=1&amp;nLang=0"/>
  </r>
  <r>
    <x v="7"/>
    <s v="OP-S-010"/>
    <x v="22"/>
    <s v="Sin Auxiliar"/>
    <x v="61"/>
    <d v="2025-07-22T00:00:00"/>
    <n v="35"/>
    <x v="0"/>
    <n v="1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AAyADAAOQA3ADgASQBEAEUAQQAC=&amp;Tipo=2&amp;ST=1&amp;nLang=0"/>
  </r>
  <r>
    <x v="8"/>
    <s v="OP-S-004"/>
    <x v="8"/>
    <s v="Sin Auxiliar"/>
    <x v="61"/>
    <d v="2025-07-22T00:00:00"/>
    <n v="32"/>
    <x v="0"/>
    <n v="3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QAOAAyADcANwA0ADEASQBEAEUAQQA6=&amp;Tipo=2&amp;ST=1&amp;nLang=0"/>
  </r>
  <r>
    <x v="9"/>
    <s v="OP-S-001"/>
    <x v="9"/>
    <s v="Sin Auxiliar"/>
    <x v="61"/>
    <d v="2025-07-22T00:00:00"/>
    <n v="27"/>
    <x v="0"/>
    <n v="8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QAOAAzADAAOAA1ADEASQBEAEUAQQA5=&amp;Tipo=2&amp;ST=1&amp;nLang=0"/>
  </r>
  <r>
    <x v="10"/>
    <s v="OP-S-017"/>
    <x v="10"/>
    <s v="Sin Auxiliar"/>
    <x v="61"/>
    <d v="2025-07-22T00:00:00"/>
    <n v="61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UANgAzADMASQBEAEUAQQAC=&amp;Tipo=2&amp;ST=1&amp;nLang=0"/>
  </r>
  <r>
    <x v="12"/>
    <s v="OP-S-70"/>
    <x v="12"/>
    <s v="Sin Auxiliar"/>
    <x v="61"/>
    <d v="2025-07-22T00:00:00"/>
    <n v="69"/>
    <x v="0"/>
    <n v="31"/>
    <n v="0"/>
    <n v="0"/>
    <n v="1"/>
    <n v="1"/>
    <n v="0"/>
    <n v="1"/>
    <n v="0"/>
    <n v="34"/>
    <n v="0"/>
    <n v="0"/>
    <n v="0"/>
    <n v="0"/>
    <n v="0"/>
    <n v="0"/>
    <n v="0"/>
    <s v="https://www.clickideacore.com/ClickHTML5/Visit.aspx?ID=//53DAEwASwAzADQAOAAzADMAMAAyADIASQBEAEUAQQA5=&amp;Tipo=2&amp;ST=1&amp;nLang=0"/>
  </r>
  <r>
    <x v="14"/>
    <s v="OP-S-011"/>
    <x v="14"/>
    <s v="Sin Auxiliar"/>
    <x v="61"/>
    <d v="2025-07-22T00:00:00"/>
    <n v="51"/>
    <x v="0"/>
    <n v="44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0DAEwASwAzADQAOAAzADQAOQAyADIASQBEAEUAQQA6=&amp;Tipo=2&amp;ST=1&amp;nLang=0"/>
  </r>
  <r>
    <x v="17"/>
    <s v="OP-S-0010"/>
    <x v="18"/>
    <s v="Sin Auxiliar"/>
    <x v="61"/>
    <d v="2025-07-22T00:00:00"/>
    <n v="38"/>
    <x v="0"/>
    <n v="41"/>
    <n v="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1DAEwASwAzADQAOAAyADgAMwAwADEASQBEAEUAQQA9=&amp;Tipo=2&amp;ST=1&amp;nLang=0"/>
  </r>
  <r>
    <x v="18"/>
    <s v="OP-S-002"/>
    <x v="6"/>
    <s v="Sin Auxiliar"/>
    <x v="61"/>
    <d v="2025-07-22T00:00:00"/>
    <n v="29"/>
    <x v="0"/>
    <n v="24"/>
    <n v="0"/>
    <n v="0"/>
    <n v="1"/>
    <n v="0"/>
    <n v="0"/>
    <n v="0"/>
    <n v="0"/>
    <n v="24"/>
    <n v="0"/>
    <n v="0"/>
    <n v="0"/>
    <n v="0"/>
    <n v="0"/>
    <n v="0"/>
    <n v="0"/>
    <s v="https://www.clickideacore.com/ClickHTML5/Visit.aspx?ID=//56DAEwASwAzADQAOAAyADYAOAA5ADEASQBEAEUAQQA7=&amp;Tipo=2&amp;ST=1&amp;nLang=0"/>
  </r>
  <r>
    <x v="20"/>
    <s v="OP-S-106"/>
    <x v="18"/>
    <s v="Sin Auxiliar"/>
    <x v="61"/>
    <d v="2025-07-22T00:00:00"/>
    <n v="43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QAOAAzADQANgA4ADgASQBEAEUAQQAD=&amp;Tipo=2&amp;ST=1&amp;nLang=0"/>
  </r>
  <r>
    <x v="13"/>
    <s v="OP-S-0010"/>
    <x v="18"/>
    <s v="Sin Auxiliar"/>
    <x v="61"/>
    <d v="2025-07-22T00:00:00"/>
    <n v="38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11"/>
    <s v="OP-S-0011"/>
    <x v="18"/>
    <s v="Sin Auxiliar"/>
    <x v="61"/>
    <d v="2025-07-22T00:00:00"/>
    <n v="38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23"/>
    <s v="OP-S-0012"/>
    <x v="13"/>
    <m/>
    <x v="61"/>
    <d v="2025-07-22T00:00:00"/>
    <n v="39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15"/>
    <s v="OP-S-0013"/>
    <x v="18"/>
    <s v="Sin Auxiliar"/>
    <x v="61"/>
    <d v="2025-07-22T00:00:00"/>
    <n v="40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5"/>
    <s v="OP-S-0014"/>
    <x v="18"/>
    <s v="Sin Auxiliar"/>
    <x v="61"/>
    <d v="2025-07-22T00:00:00"/>
    <n v="38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25"/>
    <s v="OP-S-0015"/>
    <x v="18"/>
    <s v="Sin Auxiliar"/>
    <x v="61"/>
    <d v="2025-07-22T00:00:00"/>
    <n v="39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1"/>
    <s v="OP-S-013"/>
    <x v="1"/>
    <s v="Sin Auxiliar"/>
    <x v="62"/>
    <d v="2025-07-23T00:00:00"/>
    <n v="31"/>
    <x v="0"/>
    <n v="59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4DAEwASwAzADQAOAA0ADUAOQA1ADYASQBEAEUAQQA3=&amp;Tipo=2&amp;ST=1&amp;nLang=0"/>
  </r>
  <r>
    <x v="2"/>
    <s v="OP-S-009"/>
    <x v="21"/>
    <s v="Sin Auxiliar"/>
    <x v="62"/>
    <d v="2025-07-23T00:00:00"/>
    <n v="103"/>
    <x v="0"/>
    <n v="46"/>
    <n v="0"/>
    <n v="0"/>
    <n v="1"/>
    <n v="0"/>
    <n v="0"/>
    <n v="0"/>
    <n v="0"/>
    <n v="8"/>
    <n v="0"/>
    <n v="0"/>
    <n v="0"/>
    <n v="0"/>
    <n v="0"/>
    <n v="0"/>
    <n v="0"/>
    <s v="https://www.clickideacore.com/ClickHTML5/Visit.aspx?ID=//58DAEwASwAzADQAOAA0ADQAMwA1ADgASQBEAEUAQQA0=&amp;Tipo=2&amp;ST=1&amp;nLang=0"/>
  </r>
  <r>
    <x v="3"/>
    <s v="OP-S-062"/>
    <x v="3"/>
    <s v="Sin Auxiliar"/>
    <x v="62"/>
    <d v="2025-07-23T00:00:00"/>
    <n v="38"/>
    <x v="0"/>
    <n v="2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OAA1ADYAOAA2ADgASQBEAEUAQQAA=&amp;Tipo=2&amp;ST=1&amp;nLang=0"/>
  </r>
  <r>
    <x v="4"/>
    <s v="OP-S-018"/>
    <x v="4"/>
    <s v="Sin Auxiliar"/>
    <x v="62"/>
    <d v="2025-07-23T00:00:00"/>
    <n v="60"/>
    <x v="0"/>
    <n v="7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4DAEwASwAzADQAOAA0ADYAMwA2ADMASQBEAEUAQQA2=&amp;Tipo=2&amp;ST=1&amp;nLang=0"/>
  </r>
  <r>
    <x v="5"/>
    <s v="OP-S-055"/>
    <x v="5"/>
    <s v="Sin Auxiliar"/>
    <x v="62"/>
    <d v="2025-07-23T00:00:00"/>
    <n v="34"/>
    <x v="0"/>
    <n v="4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6DAEwASwAzADQAOAA1ADUANAAxADMASQBEAEUAQQAB=&amp;Tipo=2&amp;ST=1&amp;nLang=0"/>
  </r>
  <r>
    <x v="19"/>
    <s v="OP-SDYR-001"/>
    <x v="23"/>
    <s v="Sin Auxiliar"/>
    <x v="62"/>
    <d v="2025-07-23T00:00:00"/>
    <n v="31"/>
    <x v="0"/>
    <n v="6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QAOAA0ADYAMgA1ADcASQBEAEUAQQA4=&amp;Tipo=2&amp;ST=1&amp;nLang=0"/>
  </r>
  <r>
    <x v="7"/>
    <s v="OP-S-010"/>
    <x v="18"/>
    <s v="Sin Auxiliar"/>
    <x v="62"/>
    <d v="2025-07-23T00:00:00"/>
    <n v="3114"/>
    <x v="0"/>
    <n v="8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OAA1ADIANAA2ADYASQBEAEUAQQA1=&amp;Tipo=2&amp;ST=1&amp;nLang=0"/>
  </r>
  <r>
    <x v="20"/>
    <s v="OP-S-010"/>
    <x v="18"/>
    <s v="Sin Auxiliar"/>
    <x v="62"/>
    <d v="2025-07-23T00:00:00"/>
    <n v="3114"/>
    <x v="0"/>
    <n v="8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QAOAA1ADIANAA2ADYASQBEAEUAQQA1=&amp;Tipo=2&amp;ST=1&amp;nLang=0"/>
  </r>
  <r>
    <x v="8"/>
    <s v="OP-S-004"/>
    <x v="8"/>
    <s v="Sin Auxiliar"/>
    <x v="62"/>
    <d v="2025-07-23T00:00:00"/>
    <n v="34"/>
    <x v="0"/>
    <n v="4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62"/>
    <d v="2025-07-23T00:00:00"/>
    <n v="36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OAA1ADAAMQA4ADUASQBEAEUAQQA3=&amp;Tipo=2&amp;ST=1&amp;nLang=0"/>
  </r>
  <r>
    <x v="10"/>
    <s v="OP-S-017"/>
    <x v="10"/>
    <s v="Sin Auxiliar"/>
    <x v="62"/>
    <d v="2025-07-23T00:00:00"/>
    <n v="39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OAA0ADgAMAAxADgASQBEAEUAQQA4=&amp;Tipo=2&amp;ST=1&amp;nLang=0"/>
  </r>
  <r>
    <x v="12"/>
    <s v="OP-S-70"/>
    <x v="12"/>
    <s v="Sin Auxiliar"/>
    <x v="62"/>
    <d v="2025-07-23T00:00:00"/>
    <n v="53"/>
    <x v="0"/>
    <n v="52"/>
    <n v="0"/>
    <n v="0"/>
    <n v="1"/>
    <n v="1"/>
    <n v="0"/>
    <n v="0"/>
    <n v="0"/>
    <n v="49"/>
    <n v="0"/>
    <n v="0"/>
    <n v="0"/>
    <n v="0"/>
    <n v="0"/>
    <n v="0"/>
    <n v="0"/>
    <s v="https://www.clickideacore.com/ClickHTML5/Visit.aspx?ID=//57DAEwASwAzADQAOAA1ADcAMwA1ADQASQBEAEUAQQAE=&amp;Tipo=2&amp;ST=1&amp;nLang=0"/>
  </r>
  <r>
    <x v="13"/>
    <s v="OP-S-060"/>
    <x v="13"/>
    <s v="Sin Auxiliar"/>
    <x v="62"/>
    <d v="2025-07-23T00:00:00"/>
    <n v="46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QAOAA1ADUAMwA4ADcASQBEAEUAQQA2=&amp;Tipo=2&amp;ST=1&amp;nLang=0"/>
  </r>
  <r>
    <x v="14"/>
    <s v="OP-S-011"/>
    <x v="14"/>
    <s v="Sin Auxiliar"/>
    <x v="62"/>
    <d v="2025-07-23T00:00:00"/>
    <n v="41"/>
    <x v="0"/>
    <n v="26"/>
    <n v="0"/>
    <n v="0"/>
    <n v="0"/>
    <n v="0"/>
    <n v="0"/>
    <n v="0"/>
    <n v="0"/>
    <n v="6"/>
    <n v="0"/>
    <n v="0"/>
    <n v="0"/>
    <n v="0"/>
    <n v="0"/>
    <n v="0"/>
    <n v="0"/>
    <s v="https://www.clickideacore.com/ClickHTML5/Visit.aspx?ID=//5FDAEwASwAzADQAOAA1ADcANQA3ADMASQBEAEUAQQA7=&amp;Tipo=2&amp;ST=1&amp;nLang=0"/>
  </r>
  <r>
    <x v="17"/>
    <s v="OP-S-0010"/>
    <x v="18"/>
    <s v="Sin Auxiliar"/>
    <x v="62"/>
    <d v="2025-07-23T00:00:00"/>
    <n v="65"/>
    <x v="0"/>
    <n v="59"/>
    <n v="0"/>
    <n v="0"/>
    <n v="0"/>
    <n v="0"/>
    <n v="0"/>
    <n v="0"/>
    <n v="10"/>
    <n v="4"/>
    <n v="0"/>
    <n v="0"/>
    <n v="0"/>
    <n v="0"/>
    <n v="0"/>
    <n v="0"/>
    <n v="0"/>
    <s v="https://www.clickideacore.com/ClickHTML5/Visit.aspx?ID=//56DAEwASwAzADQAOAA1ADcANQA0ADAASQBEAEUAQQA9=&amp;Tipo=2&amp;ST=1&amp;nLang=0"/>
  </r>
  <r>
    <x v="18"/>
    <s v="OP-S-002"/>
    <x v="6"/>
    <s v="Sin Auxiliar"/>
    <x v="62"/>
    <d v="2025-07-23T00:00:00"/>
    <n v="32"/>
    <x v="0"/>
    <n v="30"/>
    <n v="0"/>
    <n v="0"/>
    <n v="1"/>
    <n v="0"/>
    <n v="0"/>
    <n v="0"/>
    <n v="0"/>
    <n v="30"/>
    <n v="0"/>
    <n v="0"/>
    <n v="0"/>
    <n v="0"/>
    <n v="0"/>
    <n v="0"/>
    <n v="0"/>
    <s v="https://www.clickideacore.com/ClickHTML5/Visit.aspx?ID=//54DAEwASwAzADQAOAA1ADIAMwA5ADEASQBEAEUAQQA1=&amp;Tipo=2&amp;ST=1&amp;nLang=0"/>
  </r>
  <r>
    <x v="11"/>
    <s v="OP-S-0010"/>
    <x v="18"/>
    <s v="Sin Auxiliar"/>
    <x v="62"/>
    <d v="2025-07-23T00:00:00"/>
    <n v="65"/>
    <x v="0"/>
    <n v="59"/>
    <n v="0"/>
    <n v="0"/>
    <n v="0"/>
    <n v="0"/>
    <n v="0"/>
    <n v="0"/>
    <n v="10"/>
    <n v="4"/>
    <n v="0"/>
    <n v="0"/>
    <n v="0"/>
    <n v="0"/>
    <n v="0"/>
    <n v="0"/>
    <n v="0"/>
    <s v="https://www.clickideacore.com/ClickHTML5/Visit.aspx?ID=//56DAEwASwAzADQAOAA1ADcANQA0ADAASQBEAEUAQQA9=&amp;Tipo=2&amp;ST=1&amp;nLang=0"/>
  </r>
  <r>
    <x v="0"/>
    <s v="OP-S-0011"/>
    <x v="18"/>
    <s v="Sin Auxiliar"/>
    <x v="62"/>
    <d v="2025-07-23T00:00:00"/>
    <n v="66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QAOAA1ADcANQA0ADAASQBEAEUAQQA9=&amp;Tipo=2&amp;ST=1&amp;nLang=0"/>
  </r>
  <r>
    <x v="15"/>
    <s v="OP-S-0012"/>
    <x v="18"/>
    <s v="Sin Auxiliar"/>
    <x v="62"/>
    <d v="2025-07-23T00:00:00"/>
    <n v="181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25"/>
    <s v="OP-S-0015"/>
    <x v="18"/>
    <s v="Sin Auxiliar"/>
    <x v="62"/>
    <d v="2025-07-23T00:00:00"/>
    <n v="39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0"/>
    <s v="OP-S-106"/>
    <x v="23"/>
    <s v="Sin Auxiliar"/>
    <x v="63"/>
    <d v="2025-07-24T00:00:00"/>
    <n v="29"/>
    <x v="0"/>
    <n v="7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QAOAA3ADAAMwAyADgASQBEAEUAQQAC=&amp;Tipo=2&amp;ST=1&amp;nLang=0"/>
  </r>
  <r>
    <x v="1"/>
    <s v="OP-S-013"/>
    <x v="1"/>
    <s v="Sin Auxiliar"/>
    <x v="63"/>
    <d v="2025-07-24T00:00:00"/>
    <n v="71"/>
    <x v="0"/>
    <n v="7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2ADgAMQA5ADUASQBEAEUAQQA8=&amp;Tipo=2&amp;ST=1&amp;nLang=0"/>
  </r>
  <r>
    <x v="2"/>
    <s v="OP-S-009"/>
    <x v="21"/>
    <s v="Sin Auxiliar"/>
    <x v="63"/>
    <d v="2025-07-24T00:00:00"/>
    <n v="55"/>
    <x v="0"/>
    <n v="29"/>
    <n v="32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OAA2ADUAOQA2ADMASQBEAEUAQQAE=&amp;Tipo=2&amp;ST=1&amp;nLang=0"/>
  </r>
  <r>
    <x v="4"/>
    <s v="OP-S-018"/>
    <x v="4"/>
    <s v="Sin Auxiliar"/>
    <x v="63"/>
    <d v="2025-07-24T00:00:00"/>
    <n v="70"/>
    <x v="0"/>
    <n v="85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6DAEwASwAzADQAOAA3ADEANQA0ADEASQBEAEUAQQA2=&amp;Tipo=2&amp;ST=1&amp;nLang=0"/>
  </r>
  <r>
    <x v="5"/>
    <s v="OP-S-055"/>
    <x v="5"/>
    <s v="Sin Auxiliar"/>
    <x v="63"/>
    <d v="2025-07-24T00:00:00"/>
    <n v="29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OAA3ADgAMQAyADQASQBEAEUAQQA9=&amp;Tipo=2&amp;ST=1&amp;nLang=0"/>
  </r>
  <r>
    <x v="19"/>
    <s v="OP-SDYR-001"/>
    <x v="3"/>
    <s v="Sin Auxiliar"/>
    <x v="63"/>
    <d v="2025-07-24T00:00:00"/>
    <n v="52"/>
    <x v="0"/>
    <n v="34"/>
    <n v="0"/>
    <n v="0"/>
    <n v="0"/>
    <n v="0"/>
    <n v="0"/>
    <n v="0"/>
    <n v="2"/>
    <n v="0"/>
    <n v="0"/>
    <n v="0"/>
    <n v="0"/>
    <n v="0"/>
    <n v="0"/>
    <n v="0"/>
    <n v="0"/>
    <s v="https://www.clickideacore.com/ClickHTML5/Visit.aspx?ID=//57DAEwASwAzADQAOAA4ADEAMwAzADYASQBEAEUAQQA4=&amp;Tipo=2&amp;ST=1&amp;nLang=0"/>
  </r>
  <r>
    <x v="6"/>
    <s v="OP-S-R-001"/>
    <x v="18"/>
    <s v="Sin Auxiliar"/>
    <x v="63"/>
    <d v="2025-07-24T00:00:00"/>
    <n v="46"/>
    <x v="0"/>
    <n v="32"/>
    <n v="0"/>
    <n v="0"/>
    <n v="0"/>
    <n v="0"/>
    <n v="0"/>
    <n v="0"/>
    <n v="0"/>
    <n v="32"/>
    <n v="0"/>
    <n v="0"/>
    <n v="0"/>
    <n v="0"/>
    <n v="0"/>
    <n v="0"/>
    <n v="0"/>
    <s v="https://www.clickideacore.com/ClickHTML5/Visit.aspx?ID=//5CDAEwASwAzADQAOAA3ADYANAAzADkASQBEAEUAQQA4=&amp;Tipo=2&amp;ST=1&amp;nLang=0"/>
  </r>
  <r>
    <x v="7"/>
    <s v="OP-S-010"/>
    <x v="18"/>
    <s v="Sin Auxiliar"/>
    <x v="63"/>
    <d v="2025-07-24T00:00:00"/>
    <n v="73"/>
    <x v="0"/>
    <n v="2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OAA3ADAANwA2ADcASQBEAEUAQQAA=&amp;Tipo=2&amp;ST=1&amp;nLang=0"/>
  </r>
  <r>
    <x v="20"/>
    <s v="OP-S-010"/>
    <x v="18"/>
    <s v="Sin Auxiliar"/>
    <x v="63"/>
    <d v="2025-07-24T00:00:00"/>
    <n v="73"/>
    <x v="0"/>
    <n v="22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OAA3ADAANwA2ADcASQBEAEUAQQAA=&amp;Tipo=2&amp;ST=1&amp;nLang=0"/>
  </r>
  <r>
    <x v="8"/>
    <s v="OP-S-004"/>
    <x v="8"/>
    <s v="Sin Auxiliar"/>
    <x v="63"/>
    <d v="2025-07-24T00:00:00"/>
    <n v="34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63"/>
    <d v="2025-07-24T00:00:00"/>
    <n v="22"/>
    <x v="0"/>
    <n v="6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QAOAA3ADEAOAAzADMASQBEAEUAQQAB=&amp;Tipo=2&amp;ST=1&amp;nLang=0"/>
  </r>
  <r>
    <x v="10"/>
    <s v="OP-S-017"/>
    <x v="10"/>
    <s v="Sin Auxiliar"/>
    <x v="63"/>
    <d v="2025-07-24T00:00:00"/>
    <n v="46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QAOAA3ADEAMAA5ADIASQBEAEUAQQA6=&amp;Tipo=2&amp;ST=1&amp;nLang=0"/>
  </r>
  <r>
    <x v="12"/>
    <s v="OP-S-70"/>
    <x v="12"/>
    <s v="Sin Auxiliar"/>
    <x v="63"/>
    <d v="2025-07-24T00:00:00"/>
    <n v="26"/>
    <x v="0"/>
    <n v="29"/>
    <n v="0"/>
    <n v="0"/>
    <n v="1"/>
    <n v="1"/>
    <n v="0"/>
    <n v="0"/>
    <n v="0"/>
    <n v="33"/>
    <n v="0"/>
    <n v="0"/>
    <n v="0"/>
    <n v="0"/>
    <n v="0"/>
    <n v="0"/>
    <n v="0"/>
    <s v="https://www.clickideacore.com/ClickHTML5/Visit.aspx?ID=//5DDAEwASwAzADQAOAA3ADgAMAAzADgASQBEAEUAQQAC=&amp;Tipo=2&amp;ST=1&amp;nLang=0"/>
  </r>
  <r>
    <x v="13"/>
    <s v="OP-S-060"/>
    <x v="13"/>
    <s v="Sin Auxiliar"/>
    <x v="63"/>
    <d v="2025-07-24T00:00:00"/>
    <n v="51"/>
    <x v="0"/>
    <n v="4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QAOAA4ADEANQAwADMASQBEAEUAQQAB=&amp;Tipo=2&amp;ST=1&amp;nLang=0"/>
  </r>
  <r>
    <x v="14"/>
    <s v="OP-S-011"/>
    <x v="14"/>
    <s v="Sin Auxiliar"/>
    <x v="63"/>
    <d v="2025-07-24T00:00:00"/>
    <n v="34"/>
    <x v="0"/>
    <n v="25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5DAEwASwAzADQAOAA4ADAAMQAxADkASQBEAEUAQQAB=&amp;Tipo=2&amp;ST=1&amp;nLang=0"/>
  </r>
  <r>
    <x v="17"/>
    <s v="OP-S-0010"/>
    <x v="18"/>
    <s v="Sin Auxiliar"/>
    <x v="63"/>
    <d v="2025-07-24T00:00:00"/>
    <n v="179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18"/>
    <s v="OP-S-002"/>
    <x v="6"/>
    <s v="Sin Auxiliar"/>
    <x v="63"/>
    <d v="2025-07-24T00:00:00"/>
    <n v="52"/>
    <x v="0"/>
    <n v="23"/>
    <n v="0"/>
    <n v="0"/>
    <n v="1"/>
    <n v="0"/>
    <n v="0"/>
    <n v="0"/>
    <n v="0"/>
    <n v="23"/>
    <n v="0"/>
    <n v="0"/>
    <n v="0"/>
    <n v="0"/>
    <n v="0"/>
    <n v="0"/>
    <n v="0"/>
    <s v="https://www.clickideacore.com/ClickHTML5/Visit.aspx?ID=//50DAEwASwAzADQAOAA3ADcAMgA1ADYASQBEAEUAQQA2=&amp;Tipo=2&amp;ST=1&amp;nLang=0"/>
  </r>
  <r>
    <x v="11"/>
    <s v="OP-S-0010"/>
    <x v="18"/>
    <s v="Sin Auxiliar"/>
    <x v="63"/>
    <d v="2025-07-24T00:00:00"/>
    <n v="179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3"/>
    <s v="OP-S-0011"/>
    <x v="18"/>
    <s v="Sin Auxiliar"/>
    <x v="63"/>
    <d v="2025-07-24T00:00:00"/>
    <n v="180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15"/>
    <s v="OP-S-0012"/>
    <x v="18"/>
    <s v="Sin Auxiliar"/>
    <x v="63"/>
    <d v="2025-07-24T00:00:00"/>
    <n v="181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25"/>
    <s v="OP-S-0015"/>
    <x v="18"/>
    <s v="Sin Auxiliar"/>
    <x v="61"/>
    <d v="2025-07-22T00:00:00"/>
    <n v="39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1"/>
    <s v="OP-S-013"/>
    <x v="1"/>
    <s v="Sin Auxiliar"/>
    <x v="64"/>
    <d v="2025-07-25T00:00:00"/>
    <n v="38"/>
    <x v="0"/>
    <n v="85"/>
    <n v="0"/>
    <n v="0"/>
    <n v="1"/>
    <n v="0"/>
    <n v="0"/>
    <n v="0"/>
    <n v="0"/>
    <n v="25"/>
    <n v="0"/>
    <n v="0"/>
    <n v="0"/>
    <n v="0"/>
    <n v="0"/>
    <n v="0"/>
    <n v="0"/>
    <s v="https://www.clickideacore.com/ClickHTML5/Visit.aspx?ID=//59DAEwASwAzADQAOAA5ADIANgAxADEASQBEAEUAQQA6=&amp;Tipo=2&amp;ST=1&amp;nLang=0"/>
  </r>
  <r>
    <x v="2"/>
    <s v="OP-S-009"/>
    <x v="21"/>
    <s v="Sin Auxiliar"/>
    <x v="64"/>
    <d v="2025-07-25T00:00:00"/>
    <n v="56"/>
    <x v="0"/>
    <n v="65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7DAEwASwAzADQAOAA5ADMAMwA1ADYASQBEAEUAQQA7=&amp;Tipo=2&amp;ST=1&amp;nLang=0"/>
  </r>
  <r>
    <x v="3"/>
    <s v="OP-S-062"/>
    <x v="3"/>
    <s v="Sin Auxiliar"/>
    <x v="64"/>
    <d v="2025-07-25T00:00:00"/>
    <n v="27"/>
    <x v="0"/>
    <n v="6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5DAEwASwAzADQAOQAwADEANwA1ADEASQBEAEUAQQAF=&amp;Tipo=2&amp;ST=1&amp;nLang=0"/>
  </r>
  <r>
    <x v="4"/>
    <s v="OP-S-018"/>
    <x v="4"/>
    <s v="Sin Auxiliar"/>
    <x v="64"/>
    <d v="2025-07-25T00:00:00"/>
    <n v="50"/>
    <x v="0"/>
    <n v="79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FDAEwASwAzADQAOAA5ADEAMAA4ADcASQBEAEUAQQA9=&amp;Tipo=2&amp;ST=1&amp;nLang=0"/>
  </r>
  <r>
    <x v="5"/>
    <s v="OP-S-055"/>
    <x v="5"/>
    <s v="Sin Auxiliar"/>
    <x v="64"/>
    <d v="2025-07-25T00:00:00"/>
    <n v="25"/>
    <x v="0"/>
    <n v="45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0DAEwASwAzADQAOAA5ADgAMAA2ADAASQBEAEUAQQA2=&amp;Tipo=2&amp;ST=1&amp;nLang=0"/>
  </r>
  <r>
    <x v="19"/>
    <s v="OP-SDYR-001"/>
    <x v="23"/>
    <s v="Sin Auxiliar"/>
    <x v="64"/>
    <d v="2025-07-25T00:00:00"/>
    <n v="53"/>
    <x v="0"/>
    <n v="66"/>
    <n v="0"/>
    <n v="0"/>
    <n v="1"/>
    <n v="0"/>
    <n v="0"/>
    <n v="0"/>
    <n v="0"/>
    <n v="62"/>
    <n v="0"/>
    <n v="0"/>
    <n v="0"/>
    <n v="0"/>
    <n v="0"/>
    <n v="0"/>
    <n v="0"/>
    <s v="https://www.clickideacore.com/ClickHTML5/Visit.aspx?ID=//5ADAEwASwAzADQAOAA4ADkAOQA5ADcASQBEAEUAQQA0=&amp;Tipo=2&amp;ST=1&amp;nLang=0"/>
  </r>
  <r>
    <x v="6"/>
    <s v="OP-S-R-001"/>
    <x v="18"/>
    <s v="Sin Auxiliar"/>
    <x v="64"/>
    <d v="2025-07-25T00:00:00"/>
    <n v="40"/>
    <x v="0"/>
    <n v="35"/>
    <n v="0"/>
    <n v="0"/>
    <n v="0"/>
    <n v="0"/>
    <n v="0"/>
    <n v="0"/>
    <n v="0"/>
    <n v="35"/>
    <n v="0"/>
    <n v="0"/>
    <n v="0"/>
    <n v="0"/>
    <n v="0"/>
    <n v="0"/>
    <n v="0"/>
    <s v="https://www.clickideacore.com/ClickHTML5/Visit.aspx?ID=//52DAEwASwAzADQAOAA5ADUAOQAyADUASQBEAEUAQQA3=&amp;Tipo=2&amp;ST=1&amp;nLang=0"/>
  </r>
  <r>
    <x v="7"/>
    <s v="OP-S-010"/>
    <x v="18"/>
    <s v="Sin Auxiliar"/>
    <x v="64"/>
    <d v="2025-07-25T00:00:00"/>
    <n v="59"/>
    <x v="0"/>
    <n v="71"/>
    <n v="0"/>
    <n v="0"/>
    <n v="1"/>
    <n v="0"/>
    <n v="1"/>
    <n v="0"/>
    <n v="0"/>
    <n v="30"/>
    <n v="0"/>
    <n v="0"/>
    <n v="0"/>
    <n v="0"/>
    <n v="0"/>
    <n v="0"/>
    <n v="0"/>
    <s v="https://www.clickideacore.com/ClickHTML5/Visit.aspx?ID=//5ADAEwASwAzADQAOAA5ADYANAAyADAASQBEAEUAQQA1=&amp;Tipo=2&amp;ST=1&amp;nLang=0"/>
  </r>
  <r>
    <x v="20"/>
    <s v="OP-S-010"/>
    <x v="18"/>
    <s v="Sin Auxiliar"/>
    <x v="64"/>
    <d v="2025-07-25T00:00:00"/>
    <n v="59"/>
    <x v="0"/>
    <n v="71"/>
    <n v="0"/>
    <n v="0"/>
    <n v="1"/>
    <n v="0"/>
    <n v="1"/>
    <n v="0"/>
    <n v="0"/>
    <n v="30"/>
    <n v="0"/>
    <n v="0"/>
    <n v="0"/>
    <n v="0"/>
    <n v="0"/>
    <n v="0"/>
    <n v="0"/>
    <s v="https://www.clickideacore.com/ClickHTML5/Visit.aspx?ID=//5ADAEwASwAzADQAOAA5ADYANAAyADAASQBEAEUAQQA1=&amp;Tipo=2&amp;ST=1&amp;nLang=0"/>
  </r>
  <r>
    <x v="8"/>
    <s v="OP-S-004"/>
    <x v="8"/>
    <s v="Sin Auxiliar"/>
    <x v="64"/>
    <d v="2025-07-25T00:00:00"/>
    <n v="34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64"/>
    <d v="2025-07-25T00:00:00"/>
    <n v="28"/>
    <x v="0"/>
    <n v="7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QAOAA5ADkAMgA2ADUASQBEAEUAQQAC=&amp;Tipo=2&amp;ST=1&amp;nLang=0"/>
  </r>
  <r>
    <x v="10"/>
    <s v="OP-S-017"/>
    <x v="10"/>
    <s v="Sin Auxiliar"/>
    <x v="64"/>
    <d v="2025-07-25T00:00:00"/>
    <n v="56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OAA5ADIAMgA1ADAASQBEAEUAQQA3=&amp;Tipo=2&amp;ST=1&amp;nLang=0"/>
  </r>
  <r>
    <x v="12"/>
    <s v="OP-S-70"/>
    <x v="12"/>
    <s v="Sin Auxiliar"/>
    <x v="64"/>
    <d v="2025-07-25T00:00:00"/>
    <n v="27"/>
    <x v="0"/>
    <n v="49"/>
    <n v="0"/>
    <n v="0"/>
    <n v="1"/>
    <n v="1"/>
    <n v="0"/>
    <n v="0"/>
    <n v="0"/>
    <n v="51"/>
    <n v="0"/>
    <n v="0"/>
    <n v="0"/>
    <n v="0"/>
    <n v="0"/>
    <n v="0"/>
    <n v="0"/>
    <s v="https://www.clickideacore.com/ClickHTML5/Visit.aspx?ID=//53DAEwASwAzADQAOQAwADEANQA4ADcASQBEAEUAQQA9=&amp;Tipo=2&amp;ST=1&amp;nLang=0"/>
  </r>
  <r>
    <x v="13"/>
    <s v="OP-S-060"/>
    <x v="13"/>
    <s v="Sin Auxiliar"/>
    <x v="64"/>
    <d v="2025-07-25T00:00:00"/>
    <n v="59"/>
    <x v="0"/>
    <n v="6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QAOQAwADAANQA5ADYASQBEAEUAQQA7=&amp;Tipo=2&amp;ST=1&amp;nLang=0"/>
  </r>
  <r>
    <x v="14"/>
    <s v="OP-S-011"/>
    <x v="14"/>
    <s v="Sin Auxiliar"/>
    <x v="64"/>
    <d v="2025-07-25T00:00:00"/>
    <n v="58"/>
    <x v="0"/>
    <n v="49"/>
    <n v="0"/>
    <n v="0"/>
    <n v="0"/>
    <n v="1"/>
    <n v="0"/>
    <n v="0"/>
    <n v="0"/>
    <n v="2"/>
    <n v="0"/>
    <n v="0"/>
    <n v="0"/>
    <n v="0"/>
    <n v="0"/>
    <n v="0"/>
    <n v="0"/>
    <s v="https://www.clickideacore.com/ClickHTML5/Visit.aspx?ID=//5DDAEwASwAzADQAOQAwADEAOQA2ADYASQBEAEUAQQAB=&amp;Tipo=2&amp;ST=1&amp;nLang=0"/>
  </r>
  <r>
    <x v="17"/>
    <s v="OP-S-0010"/>
    <x v="18"/>
    <s v="Sin Auxiliar"/>
    <x v="64"/>
    <d v="2025-07-25T00:00:00"/>
    <n v="167"/>
    <x v="0"/>
    <n v="59"/>
    <n v="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3DAEwASwAzADQAOAA5ADUAOQAyADkASQBEAEUAQQA4=&amp;Tipo=2&amp;ST=1&amp;nLang=0"/>
  </r>
  <r>
    <x v="18"/>
    <s v="OP-S-002"/>
    <x v="6"/>
    <s v="Sin Auxiliar"/>
    <x v="64"/>
    <d v="2025-07-25T00:00:00"/>
    <n v="45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EDAEwASwAzADQAOAA5ADYAOQA0ADkASQBEAEUAQQAF=&amp;Tipo=2&amp;ST=1&amp;nLang=0"/>
  </r>
  <r>
    <x v="11"/>
    <s v="OP-S-0010"/>
    <x v="18"/>
    <s v="Sin Auxiliar"/>
    <x v="64"/>
    <d v="2025-07-25T00:00:00"/>
    <n v="167"/>
    <x v="0"/>
    <n v="59"/>
    <n v="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3DAEwASwAzADQAOAA5ADUAOQAyADkASQBEAEUAQQA4=&amp;Tipo=2&amp;ST=1&amp;nLang=0"/>
  </r>
  <r>
    <x v="15"/>
    <s v="OP-S-0012"/>
    <x v="18"/>
    <s v="Sin Auxiliar"/>
    <x v="63"/>
    <d v="2025-07-24T00:00:00"/>
    <n v="181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25"/>
    <s v="OP-S-0015"/>
    <x v="18"/>
    <s v="Sin Auxiliar"/>
    <x v="61"/>
    <d v="2025-07-22T00:00:00"/>
    <n v="39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8"/>
    <s v="OP-S-004"/>
    <x v="8"/>
    <s v="Sin Auxiliar"/>
    <x v="65"/>
    <d v="2025-07-26T00:00:00"/>
    <n v="72"/>
    <x v="0"/>
    <n v="0"/>
    <n v="0"/>
    <n v="0"/>
    <n v="0"/>
    <n v="0"/>
    <n v="0"/>
    <n v="0"/>
    <n v="0"/>
    <n v="5"/>
    <n v="1"/>
    <n v="0"/>
    <n v="12"/>
    <n v="19"/>
    <n v="1"/>
    <n v="0"/>
    <n v="0"/>
    <s v="https://www.clickideacore.com/ClickHTML5/Visit.aspx?ID=//5DDAEwASwAzADQAOQAxADIAOAA4ADcASQBEAEUAQQAF=&amp;Tipo=2&amp;ST=1&amp;nLang=0"/>
  </r>
  <r>
    <x v="13"/>
    <s v="OP-S-060"/>
    <x v="13"/>
    <s v="Sin Auxiliar"/>
    <x v="65"/>
    <d v="2025-07-26T00:00:00"/>
    <n v="78"/>
    <x v="0"/>
    <n v="0"/>
    <n v="0"/>
    <n v="0"/>
    <n v="0"/>
    <n v="0"/>
    <n v="0"/>
    <n v="0"/>
    <n v="0"/>
    <n v="0"/>
    <n v="1"/>
    <n v="0"/>
    <n v="5"/>
    <n v="27"/>
    <n v="1"/>
    <n v="0"/>
    <n v="0"/>
    <s v="https://www.clickideacore.com/ClickHTML5/Visit.aspx?ID=//50DAEwASwAzADQAOQAxADUAMAAwADEASQBEAEUAQQA7=&amp;Tipo=2&amp;ST=1&amp;nLang=0"/>
  </r>
  <r>
    <x v="5"/>
    <s v="OP-S-055"/>
    <x v="13"/>
    <s v="Sin Auxiliar"/>
    <x v="66"/>
    <d v="2025-07-27T00:00:00"/>
    <n v="148"/>
    <x v="0"/>
    <n v="0"/>
    <n v="0"/>
    <n v="0"/>
    <n v="0"/>
    <n v="0"/>
    <n v="0"/>
    <n v="0"/>
    <n v="0"/>
    <n v="12"/>
    <n v="0"/>
    <n v="1"/>
    <n v="16"/>
    <n v="30"/>
    <n v="0"/>
    <n v="1"/>
    <n v="0"/>
    <s v="https://www.clickideacore.com/ClickHTML5/Visit.aspx?ID=//5EDAEwASwAzADQAOQAyADQAMAAzADIASQBEAEUAQQA9=&amp;Tipo=2&amp;ST=1&amp;nLang=0"/>
  </r>
  <r>
    <x v="1"/>
    <s v="OP-S-013"/>
    <x v="1"/>
    <s v="Sin Auxiliar"/>
    <x v="67"/>
    <d v="2025-07-28T00:00:00"/>
    <n v="48"/>
    <x v="0"/>
    <n v="72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CDAEwASwAzADQAOQAzADcAOAA4ADgASQBEAEUAQQAE=&amp;Tipo=2&amp;ST=1&amp;nLang=0"/>
  </r>
  <r>
    <x v="2"/>
    <s v="OP-S-009"/>
    <x v="21"/>
    <s v="Sin Auxiliar"/>
    <x v="67"/>
    <d v="2025-07-28T00:00:00"/>
    <n v="63"/>
    <x v="0"/>
    <n v="45"/>
    <n v="55"/>
    <n v="0"/>
    <n v="1"/>
    <n v="0"/>
    <n v="0"/>
    <n v="0"/>
    <n v="0"/>
    <n v="7"/>
    <n v="0"/>
    <n v="0"/>
    <n v="0"/>
    <n v="0"/>
    <n v="0"/>
    <n v="0"/>
    <n v="3"/>
    <s v="https://www.clickideacore.com/ClickHTML5/Visit.aspx?ID=//56DAEwASwAzADQAOQAzADYAOAA5ADYASQBEAEUAQQA2=&amp;Tipo=2&amp;ST=1&amp;nLang=0"/>
  </r>
  <r>
    <x v="3"/>
    <s v="OP-S-062"/>
    <x v="3"/>
    <s v="Sin Auxiliar"/>
    <x v="67"/>
    <d v="2025-07-28T00:00:00"/>
    <n v="35"/>
    <x v="0"/>
    <n v="20"/>
    <n v="55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67"/>
    <d v="2025-07-28T00:00:00"/>
    <n v="36"/>
    <x v="0"/>
    <n v="101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ADAEwASwAzADQAOQAzADYAOAA5ADgASQBEAEUAQQA2=&amp;Tipo=2&amp;ST=1&amp;nLang=0"/>
  </r>
  <r>
    <x v="5"/>
    <s v="OP-S-055"/>
    <x v="5"/>
    <s v="Sin Auxiliar"/>
    <x v="67"/>
    <d v="2025-07-28T00:00:00"/>
    <n v="31"/>
    <x v="0"/>
    <n v="57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2DAEwASwAzADQAOQA0ADMAMgAyADYASQBEAEUAQQA9=&amp;Tipo=2&amp;ST=1&amp;nLang=0"/>
  </r>
  <r>
    <x v="19"/>
    <s v="OP-SDYR-001"/>
    <x v="23"/>
    <s v="Sin Auxiliar"/>
    <x v="67"/>
    <d v="2025-07-28T00:00:00"/>
    <n v="25"/>
    <x v="0"/>
    <n v="58"/>
    <n v="2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QAOQAzADUAMAAxADkASQBEAEUAQQA1=&amp;Tipo=2&amp;ST=1&amp;nLang=0"/>
  </r>
  <r>
    <x v="6"/>
    <s v="OP-S-R-001"/>
    <x v="18"/>
    <s v="Sin Auxiliar"/>
    <x v="67"/>
    <d v="2025-07-28T00:00:00"/>
    <n v="38"/>
    <x v="0"/>
    <n v="35"/>
    <n v="0"/>
    <n v="0"/>
    <n v="0"/>
    <n v="0"/>
    <n v="0"/>
    <n v="0"/>
    <n v="0"/>
    <n v="35"/>
    <n v="0"/>
    <n v="0"/>
    <n v="0"/>
    <n v="0"/>
    <n v="0"/>
    <n v="0"/>
    <n v="0"/>
    <s v="https://www.clickideacore.com/ClickHTML5/Visit.aspx?ID=//50DAEwASwAzADQAOQAzADkANgAzADcASQBEAEUAQQAC=&amp;Tipo=2&amp;ST=1&amp;nLang=0"/>
  </r>
  <r>
    <x v="7"/>
    <s v="OP-S-010"/>
    <x v="18"/>
    <s v="Sin Auxiliar"/>
    <x v="67"/>
    <d v="2025-07-28T00:00:00"/>
    <n v="213"/>
    <x v="0"/>
    <n v="7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QAOQAzADQAOAAxADcASQBEAEUAQQA0=&amp;Tipo=2&amp;ST=1&amp;nLang=0"/>
  </r>
  <r>
    <x v="20"/>
    <s v="OP-S-010"/>
    <x v="18"/>
    <s v="Sin Auxiliar"/>
    <x v="67"/>
    <d v="2025-07-28T00:00:00"/>
    <n v="213"/>
    <x v="0"/>
    <n v="7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QAOQAzADQAOAAxADcASQBEAEUAQQA0=&amp;Tipo=2&amp;ST=1&amp;nLang=0"/>
  </r>
  <r>
    <x v="8"/>
    <s v="OP-S-004"/>
    <x v="8"/>
    <s v="Sin Auxiliar"/>
    <x v="67"/>
    <d v="2025-07-28T00:00:00"/>
    <n v="34"/>
    <x v="0"/>
    <n v="5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67"/>
    <d v="2025-07-28T00:00:00"/>
    <n v="28"/>
    <x v="0"/>
    <n v="7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QAOQA0ADMAMQAyADEASQBEAEUAQQA3=&amp;Tipo=2&amp;ST=1&amp;nLang=0"/>
  </r>
  <r>
    <x v="10"/>
    <s v="OP-S-017"/>
    <x v="10"/>
    <s v="Sin Auxiliar"/>
    <x v="67"/>
    <d v="2025-07-28T00:00:00"/>
    <n v="45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QAOQAzADQANQA3ADgASQBEAEUAQQAB=&amp;Tipo=2&amp;ST=1&amp;nLang=0"/>
  </r>
  <r>
    <x v="12"/>
    <s v="OP-S-70"/>
    <x v="12"/>
    <s v="Sin Auxiliar"/>
    <x v="67"/>
    <d v="2025-07-28T00:00:00"/>
    <n v="25"/>
    <x v="0"/>
    <n v="41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8DAEwASwAzADQAOQA0ADQAMgAwADYASQBEAEUAQQA5=&amp;Tipo=2&amp;ST=1&amp;nLang=0"/>
  </r>
  <r>
    <x v="13"/>
    <s v="OP-S-060"/>
    <x v="13"/>
    <s v="Sin Auxiliar"/>
    <x v="67"/>
    <d v="2025-07-28T00:00:00"/>
    <n v="127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14"/>
    <s v="OP-S-011"/>
    <x v="14"/>
    <s v="Sin Auxiliar"/>
    <x v="67"/>
    <d v="2025-07-28T00:00:00"/>
    <n v="50"/>
    <x v="0"/>
    <n v="41"/>
    <n v="4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ADAEwASwAzADQAOQA0ADUANwA4ADgASQBEAEUAQQA5=&amp;Tipo=2&amp;ST=1&amp;nLang=0"/>
  </r>
  <r>
    <x v="17"/>
    <s v="OP-S-0010"/>
    <x v="18"/>
    <s v="Sin Auxiliar"/>
    <x v="67"/>
    <d v="2025-07-28T00:00:00"/>
    <n v="68"/>
    <x v="0"/>
    <n v="42"/>
    <n v="2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4DAEwASwAzADQAOQA0ADUANwA5ADEASQBEAEUAQQAC=&amp;Tipo=2&amp;ST=1&amp;nLang=0"/>
  </r>
  <r>
    <x v="18"/>
    <s v="OP-S-002"/>
    <x v="6"/>
    <s v="Sin Auxiliar"/>
    <x v="67"/>
    <d v="2025-07-28T00:00:00"/>
    <n v="64"/>
    <x v="0"/>
    <n v="31"/>
    <n v="0"/>
    <n v="0"/>
    <n v="1"/>
    <n v="0"/>
    <n v="0"/>
    <n v="0"/>
    <n v="0"/>
    <n v="2"/>
    <n v="0"/>
    <n v="0"/>
    <n v="0"/>
    <n v="0"/>
    <n v="0"/>
    <n v="0"/>
    <n v="0"/>
    <s v="https://www.clickideacore.com/ClickHTML5/Visit.aspx?ID=//5ADAEwASwAzADQAOQA0ADEAOAAyADQASQBEAEUAQQAC=&amp;Tipo=2&amp;ST=1&amp;nLang=0"/>
  </r>
  <r>
    <x v="11"/>
    <s v="OP-S-0010"/>
    <x v="18"/>
    <s v="Sin Auxiliar"/>
    <x v="67"/>
    <d v="2025-07-28T00:00:00"/>
    <n v="68"/>
    <x v="0"/>
    <n v="42"/>
    <n v="2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4DAEwASwAzADQAOQA0ADUANwA5ADEASQBEAEUAQQAC=&amp;Tipo=2&amp;ST=1&amp;nLang=0"/>
  </r>
  <r>
    <x v="0"/>
    <s v="OP-S-0011"/>
    <x v="18"/>
    <s v="Sin Auxiliar"/>
    <x v="67"/>
    <d v="2025-07-28T00:00:00"/>
    <n v="69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OQA0ADUANwA5ADEASQBEAEUAQQAC=&amp;Tipo=2&amp;ST=1&amp;nLang=0"/>
  </r>
  <r>
    <x v="15"/>
    <s v="OP-S-0012"/>
    <x v="18"/>
    <s v="Sin Auxiliar"/>
    <x v="63"/>
    <d v="2025-07-24T00:00:00"/>
    <n v="181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AA4ADAAMQA4ADAASQBEAEUAQQAC=&amp;Tipo=2&amp;ST=1&amp;nLang=0"/>
  </r>
  <r>
    <x v="25"/>
    <s v="OP-S-0015"/>
    <x v="18"/>
    <s v="Sin Auxiliar"/>
    <x v="61"/>
    <d v="2025-07-22T00:00:00"/>
    <n v="39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AAyADgAMwAwADEASQBEAEUAQQA9=&amp;Tipo=2&amp;ST=1&amp;nLang=0"/>
  </r>
  <r>
    <x v="0"/>
    <s v="OP-S-106"/>
    <x v="13"/>
    <s v="Sin Auxiliar"/>
    <x v="68"/>
    <d v="2025-07-29T00:00:00"/>
    <n v="47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QAOQA2ADcAMAAyADQASQBEAEUAQQAE=&amp;Tipo=2&amp;ST=1&amp;nLang=0"/>
  </r>
  <r>
    <x v="1"/>
    <s v="OP-S-013"/>
    <x v="1"/>
    <s v="Sin Auxiliar"/>
    <x v="68"/>
    <d v="2025-07-29T00:00:00"/>
    <n v="98"/>
    <x v="0"/>
    <n v="8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QAOQA1ADgAOQA4ADIASQBEAEUAQQA6=&amp;Tipo=2&amp;ST=1&amp;nLang=0"/>
  </r>
  <r>
    <x v="2"/>
    <s v="OP-S-009"/>
    <x v="21"/>
    <s v="Sin Auxiliar"/>
    <x v="68"/>
    <d v="2025-07-29T00:00:00"/>
    <n v="71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OQA1ADgAMgA5ADIASQBEAEUAQQAD=&amp;Tipo=2&amp;ST=1&amp;nLang=0"/>
  </r>
  <r>
    <x v="3"/>
    <s v="OP-S-062"/>
    <x v="3"/>
    <s v="Sin Auxiliar"/>
    <x v="68"/>
    <d v="2025-07-29T00:00:00"/>
    <n v="35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68"/>
    <d v="2025-07-29T00:00:00"/>
    <n v="74"/>
    <x v="0"/>
    <n v="6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1DAEwASwAzADQAOQA2ADEAMAAzADIASQBEAEUAQQA2=&amp;Tipo=2&amp;ST=1&amp;nLang=0"/>
  </r>
  <r>
    <x v="19"/>
    <s v="OP-SDYR-001"/>
    <x v="23"/>
    <s v="Sin Auxiliar"/>
    <x v="68"/>
    <d v="2025-07-29T00:00:00"/>
    <n v="26"/>
    <x v="0"/>
    <n v="2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QAOQA1ADYAMAA2ADMASQBEAEUAQQA2=&amp;Tipo=2&amp;ST=1&amp;nLang=0"/>
  </r>
  <r>
    <x v="6"/>
    <s v="OP-S-R-001"/>
    <x v="18"/>
    <s v="Sin Auxiliar"/>
    <x v="68"/>
    <d v="2025-07-29T00:00:00"/>
    <n v="43"/>
    <x v="0"/>
    <n v="41"/>
    <n v="0"/>
    <n v="0"/>
    <n v="0"/>
    <n v="0"/>
    <n v="0"/>
    <n v="0"/>
    <n v="0"/>
    <n v="41"/>
    <n v="0"/>
    <n v="0"/>
    <n v="0"/>
    <n v="0"/>
    <n v="0"/>
    <n v="0"/>
    <n v="0"/>
    <s v="https://www.clickideacore.com/ClickHTML5/Visit.aspx?ID=//58DAEwASwAzADQAOQA2ADQAOQA1ADEASQBEAEUAQQA6=&amp;Tipo=2&amp;ST=1&amp;nLang=0"/>
  </r>
  <r>
    <x v="7"/>
    <s v="OP-S-010"/>
    <x v="18"/>
    <s v="Sin Auxiliar"/>
    <x v="68"/>
    <d v="2025-07-29T00:00:00"/>
    <n v="2984"/>
    <x v="0"/>
    <n v="2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QAOQA1ADYANwAwADYASQBEAEUAQQA4=&amp;Tipo=2&amp;ST=1&amp;nLang=0"/>
  </r>
  <r>
    <x v="20"/>
    <s v="OP-S-010"/>
    <x v="18"/>
    <s v="Sin Auxiliar"/>
    <x v="68"/>
    <d v="2025-07-29T00:00:00"/>
    <n v="2984"/>
    <x v="0"/>
    <n v="2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QAOQA1ADYANwAwADYASQBEAEUAQQA4=&amp;Tipo=2&amp;ST=1&amp;nLang=0"/>
  </r>
  <r>
    <x v="8"/>
    <s v="OP-S-004"/>
    <x v="8"/>
    <s v="Sin Auxiliar"/>
    <x v="68"/>
    <d v="2025-07-29T00:00:00"/>
    <n v="34"/>
    <x v="0"/>
    <n v="3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68"/>
    <d v="2025-07-29T00:00:00"/>
    <n v="32"/>
    <x v="0"/>
    <n v="8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QAOQA2ADEANQAxADAASQBEAEUAQQA0=&amp;Tipo=2&amp;ST=1&amp;nLang=0"/>
  </r>
  <r>
    <x v="10"/>
    <s v="OP-S-017"/>
    <x v="10"/>
    <s v="Sin Auxiliar"/>
    <x v="68"/>
    <d v="2025-07-29T00:00:00"/>
    <n v="50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QA1ADkANwA2ADQASQBEAEUAQQA3=&amp;Tipo=2&amp;ST=1&amp;nLang=0"/>
  </r>
  <r>
    <x v="12"/>
    <s v="OP-S-70"/>
    <x v="12"/>
    <s v="Sin Auxiliar"/>
    <x v="68"/>
    <d v="2025-07-29T00:00:00"/>
    <n v="32"/>
    <x v="0"/>
    <n v="26"/>
    <n v="0"/>
    <n v="0"/>
    <n v="1"/>
    <n v="1"/>
    <n v="0"/>
    <n v="1"/>
    <n v="0"/>
    <n v="28"/>
    <n v="0"/>
    <n v="0"/>
    <n v="0"/>
    <n v="0"/>
    <n v="0"/>
    <n v="0"/>
    <n v="0"/>
    <s v="https://www.clickideacore.com/ClickHTML5/Visit.aspx?ID=//51DAEwASwAzADQAOQA2ADUANwAyADEASQBEAEUAQQAE=&amp;Tipo=2&amp;ST=1&amp;nLang=0"/>
  </r>
  <r>
    <x v="14"/>
    <s v="OP-S-011"/>
    <x v="14"/>
    <s v="Sin Auxiliar"/>
    <x v="68"/>
    <d v="2025-07-29T00:00:00"/>
    <n v="41"/>
    <x v="0"/>
    <n v="46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7DAEwASwAzADQAOQA2ADcAMAA4ADgASQBEAEUAQQA3=&amp;Tipo=2&amp;ST=1&amp;nLang=0"/>
  </r>
  <r>
    <x v="17"/>
    <s v="OP-S-0010"/>
    <x v="18"/>
    <s v="Sin Auxiliar"/>
    <x v="68"/>
    <d v="2025-07-29T00:00:00"/>
    <n v="94"/>
    <x v="0"/>
    <n v="55"/>
    <n v="0"/>
    <n v="0"/>
    <n v="0"/>
    <n v="1"/>
    <n v="0"/>
    <n v="0"/>
    <n v="0"/>
    <n v="2"/>
    <n v="0"/>
    <n v="0"/>
    <n v="0"/>
    <n v="0"/>
    <n v="0"/>
    <n v="0"/>
    <n v="0"/>
    <s v="https://www.clickideacore.com/ClickHTML5/Visit.aspx?ID=//52DAEwASwAzADQAOQA2ADcANgAxADYASQBEAEUAQQAC=&amp;Tipo=2&amp;ST=1&amp;nLang=0"/>
  </r>
  <r>
    <x v="18"/>
    <s v="OP-S-002"/>
    <x v="6"/>
    <s v="Sin Auxiliar"/>
    <x v="68"/>
    <d v="2025-07-29T00:00:00"/>
    <n v="38"/>
    <x v="0"/>
    <n v="25"/>
    <n v="0"/>
    <n v="0"/>
    <n v="0"/>
    <n v="0"/>
    <n v="0"/>
    <n v="0"/>
    <n v="0"/>
    <n v="25"/>
    <n v="0"/>
    <n v="0"/>
    <n v="0"/>
    <n v="0"/>
    <n v="0"/>
    <n v="0"/>
    <n v="0"/>
    <s v="https://www.clickideacore.com/ClickHTML5/Visit.aspx?ID=//5EDAEwASwAzADQAOQA2ADEAMwA2ADkASQBEAEUAQQA4=&amp;Tipo=2&amp;ST=1&amp;nLang=0"/>
  </r>
  <r>
    <x v="11"/>
    <s v="OP-S-0010"/>
    <x v="18"/>
    <s v="Sin Auxiliar"/>
    <x v="68"/>
    <d v="2025-07-29T00:00:00"/>
    <n v="94"/>
    <x v="0"/>
    <n v="55"/>
    <n v="0"/>
    <n v="0"/>
    <n v="0"/>
    <n v="1"/>
    <n v="0"/>
    <n v="0"/>
    <n v="0"/>
    <n v="2"/>
    <n v="0"/>
    <n v="0"/>
    <n v="0"/>
    <n v="0"/>
    <n v="0"/>
    <n v="0"/>
    <n v="0"/>
    <s v="https://www.clickideacore.com/ClickHTML5/Visit.aspx?ID=//52DAEwASwAzADQAOQA2ADcANgAxADYASQBEAEUAQQAC=&amp;Tipo=2&amp;ST=1&amp;nLang=0"/>
  </r>
  <r>
    <x v="5"/>
    <s v="OP-S-055"/>
    <x v="18"/>
    <s v="Sin Auxiliar"/>
    <x v="68"/>
    <d v="2025-07-29T00:00:00"/>
    <n v="31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QAOQA0ADMAMgAyADYASQBEAEUAQQA9=&amp;Tipo=2&amp;ST=1&amp;nLang=0"/>
  </r>
  <r>
    <x v="13"/>
    <s v="OP-S-060"/>
    <x v="18"/>
    <s v="Sin Auxiliar"/>
    <x v="68"/>
    <d v="2025-07-29T00:00:00"/>
    <n v="12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23"/>
    <s v="OP-S-061"/>
    <x v="5"/>
    <s v="Sin Auxiliar"/>
    <x v="68"/>
    <d v="2025-07-29T00:00:00"/>
    <n v="128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15"/>
    <s v="OP-S-062"/>
    <x v="18"/>
    <s v="Sin Auxiliar"/>
    <x v="68"/>
    <d v="2025-07-29T00:00:00"/>
    <n v="12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23"/>
    <s v="OP-S-063"/>
    <x v="2"/>
    <s v="Sin Auxiliar"/>
    <x v="68"/>
    <d v="2025-07-29T00:00:00"/>
    <n v="130"/>
    <x v="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1"/>
    <s v="OP-S-013"/>
    <x v="1"/>
    <s v="Sin Auxiliar"/>
    <x v="69"/>
    <d v="2025-07-30T00:00:00"/>
    <n v="31"/>
    <x v="0"/>
    <n v="5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QAOQA3ADkAMAAwADIASQBEAEUAQQAB=&amp;Tipo=2&amp;ST=1&amp;nLang=0"/>
  </r>
  <r>
    <x v="2"/>
    <s v="OP-S-009"/>
    <x v="21"/>
    <s v="Sin Auxiliar"/>
    <x v="69"/>
    <d v="2025-07-30T00:00:00"/>
    <n v="68"/>
    <x v="0"/>
    <n v="3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OQA3ADYAMwA3ADUASQBEAEUAQQAA=&amp;Tipo=2&amp;ST=1&amp;nLang=0"/>
  </r>
  <r>
    <x v="3"/>
    <s v="OP-S-062"/>
    <x v="3"/>
    <s v="Sin Auxiliar"/>
    <x v="69"/>
    <d v="2025-07-30T00:00:00"/>
    <n v="35"/>
    <x v="0"/>
    <n v="3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28"/>
    <s v="Sin Auxiliar"/>
    <x v="69"/>
    <d v="2025-07-30T00:00:00"/>
    <n v="54"/>
    <x v="0"/>
    <n v="9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QAOQA3ADkAMQA3ADQASQBEAEUAQQA8=&amp;Tipo=2&amp;ST=1&amp;nLang=0"/>
  </r>
  <r>
    <x v="5"/>
    <s v="OP-S-055"/>
    <x v="5"/>
    <s v="Sin Auxiliar"/>
    <x v="69"/>
    <d v="2025-07-30T00:00:00"/>
    <n v="33"/>
    <x v="0"/>
    <n v="43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BDAEwASwAzADQAOQA4ADYAMwAzADQASQBEAEUAQQAB=&amp;Tipo=2&amp;ST=1&amp;nLang=0"/>
  </r>
  <r>
    <x v="19"/>
    <s v="OP-SDYR-001"/>
    <x v="9"/>
    <s v="Sin Auxiliar"/>
    <x v="69"/>
    <d v="2025-07-30T00:00:00"/>
    <n v="42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QAOQA4ADUANAA4ADkASQBEAEUAQQAD=&amp;Tipo=2&amp;ST=1&amp;nLang=0"/>
  </r>
  <r>
    <x v="6"/>
    <s v="OP-S-R-001"/>
    <x v="18"/>
    <s v="Sin Auxiliar"/>
    <x v="69"/>
    <d v="2025-07-30T00:00:00"/>
    <n v="59"/>
    <x v="0"/>
    <n v="35"/>
    <n v="0"/>
    <n v="0"/>
    <n v="0"/>
    <n v="0"/>
    <n v="0"/>
    <n v="0"/>
    <n v="0"/>
    <n v="35"/>
    <n v="0"/>
    <n v="0"/>
    <n v="0"/>
    <n v="0"/>
    <n v="0"/>
    <n v="0"/>
    <n v="0"/>
    <s v="https://www.clickideacore.com/ClickHTML5/Visit.aspx?ID=//5CDAEwASwAzADQAOQA4ADUANQA1ADAASQBEAEUAQQAB=&amp;Tipo=2&amp;ST=1&amp;nLang=0"/>
  </r>
  <r>
    <x v="7"/>
    <s v="OP-S-010"/>
    <x v="18"/>
    <s v="Sin Auxiliar"/>
    <x v="69"/>
    <d v="2025-07-30T00:00:00"/>
    <n v="173"/>
    <x v="0"/>
    <n v="7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OQA4ADIAMQA5ADgASQBEAEUAQQA4=&amp;Tipo=2&amp;ST=1&amp;nLang=0"/>
  </r>
  <r>
    <x v="20"/>
    <s v="OP-S-010"/>
    <x v="18"/>
    <s v="Sin Auxiliar"/>
    <x v="69"/>
    <d v="2025-07-30T00:00:00"/>
    <n v="173"/>
    <x v="0"/>
    <n v="7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0DAEwASwAzADQAOQA4ADIAMQA5ADgASQBEAEUAQQA4=&amp;Tipo=2&amp;ST=1&amp;nLang=0"/>
  </r>
  <r>
    <x v="8"/>
    <s v="OP-S-004"/>
    <x v="8"/>
    <s v="Sin Auxiliar"/>
    <x v="69"/>
    <d v="2025-07-30T00:00:00"/>
    <n v="34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10"/>
    <s v="OP-S-017"/>
    <x v="10"/>
    <s v="Sin Auxiliar"/>
    <x v="69"/>
    <d v="2025-07-30T00:00:00"/>
    <n v="175"/>
    <x v="0"/>
    <n v="7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QAOQA3ADgAMgA0ADMASQBEAEUAQQAC=&amp;Tipo=2&amp;ST=1&amp;nLang=0"/>
  </r>
  <r>
    <x v="12"/>
    <s v="OP-S-70"/>
    <x v="12"/>
    <s v="Sin Auxiliar"/>
    <x v="69"/>
    <d v="2025-07-30T00:00:00"/>
    <n v="31"/>
    <x v="0"/>
    <n v="53"/>
    <n v="0"/>
    <n v="0"/>
    <n v="1"/>
    <n v="1"/>
    <n v="0"/>
    <n v="0"/>
    <n v="0"/>
    <n v="53"/>
    <n v="0"/>
    <n v="0"/>
    <n v="0"/>
    <n v="0"/>
    <n v="0"/>
    <n v="0"/>
    <n v="0"/>
    <s v="https://www.clickideacore.com/ClickHTML5/Visit.aspx?ID=//5BDAEwASwAzADQAOQA4ADYANQA5ADQASQBEAEUAQQA8=&amp;Tipo=2&amp;ST=1&amp;nLang=0"/>
  </r>
  <r>
    <x v="13"/>
    <s v="OP-S-060"/>
    <x v="13"/>
    <s v="Sin Auxiliar"/>
    <x v="69"/>
    <d v="2025-07-30T00:00:00"/>
    <n v="50"/>
    <x v="0"/>
    <n v="6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QAOQA4ADQAOQAzADQASQBEAEUAQQA4=&amp;Tipo=2&amp;ST=1&amp;nLang=0"/>
  </r>
  <r>
    <x v="17"/>
    <s v="OP-S-0010"/>
    <x v="18"/>
    <s v="Sin Auxiliar"/>
    <x v="69"/>
    <d v="2025-07-30T00:00:00"/>
    <n v="35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4ADcAMwAwADAASQBEAEUAQQAF=&amp;Tipo=2&amp;ST=1&amp;nLang=0"/>
  </r>
  <r>
    <x v="18"/>
    <s v="OP-S-002"/>
    <x v="6"/>
    <s v="Sin Auxiliar"/>
    <x v="69"/>
    <d v="2025-07-30T00:00:00"/>
    <n v="64"/>
    <x v="0"/>
    <n v="30"/>
    <n v="0"/>
    <n v="0"/>
    <n v="1"/>
    <n v="0"/>
    <n v="0"/>
    <n v="0"/>
    <n v="0"/>
    <n v="30"/>
    <n v="0"/>
    <n v="0"/>
    <n v="0"/>
    <n v="0"/>
    <n v="0"/>
    <n v="0"/>
    <n v="0"/>
    <s v="https://www.clickideacore.com/ClickHTML5/Visit.aspx?ID=//54DAEwASwAzADQAOQA3ADkAOQA5ADUASQBEAEUAQQAC=&amp;Tipo=2&amp;ST=1&amp;nLang=0"/>
  </r>
  <r>
    <x v="15"/>
    <s v="OP-S-054"/>
    <x v="23"/>
    <s v="Sin Auxiliar"/>
    <x v="69"/>
    <d v="2025-07-30T00:00:00"/>
    <n v="28"/>
    <x v="0"/>
    <n v="6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OQA3ADcANwA1ADgASQBEAEUAQQA3=&amp;Tipo=2&amp;ST=1&amp;nLang=0"/>
  </r>
  <r>
    <x v="11"/>
    <s v="OP-S-0010"/>
    <x v="18"/>
    <s v="Sin Auxiliar"/>
    <x v="69"/>
    <d v="2025-07-30T00:00:00"/>
    <n v="35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4ADcAMwAwADAASQBEAEUAQQAF=&amp;Tipo=2&amp;ST=1&amp;nLang=0"/>
  </r>
  <r>
    <x v="14"/>
    <s v="OP-S-011"/>
    <x v="14"/>
    <s v="Sin Auxiliar"/>
    <x v="69"/>
    <d v="2025-07-30T00:00:00"/>
    <n v="41"/>
    <x v="0"/>
    <n v="24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7DAEwASwAzADQAOQA2ADcAMAA4ADgASQBEAEUAQQA3=&amp;Tipo=2&amp;ST=1&amp;nLang=0"/>
  </r>
  <r>
    <x v="23"/>
    <s v="OP-S-063"/>
    <x v="2"/>
    <s v="Sin Auxiliar"/>
    <x v="68"/>
    <d v="2025-07-29T00:00:00"/>
    <n v="130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QAOQA0ADAAOQA5ADgASQBEAEUAQQA6=&amp;Tipo=2&amp;ST=1&amp;nLang=0"/>
  </r>
  <r>
    <x v="0"/>
    <s v="OP-S-106"/>
    <x v="23"/>
    <s v="Sin Auxiliar"/>
    <x v="70"/>
    <d v="2025-07-31T00:00:00"/>
    <n v="31"/>
    <x v="0"/>
    <n v="7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MAAwADAAMQA1ADIASQBEAEUAQQA8=&amp;Tipo=2&amp;ST=1&amp;nLang=0"/>
  </r>
  <r>
    <x v="1"/>
    <s v="OP-S-013"/>
    <x v="1"/>
    <s v="Sin Auxiliar"/>
    <x v="70"/>
    <d v="2025-07-31T00:00:00"/>
    <n v="28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QAOQA5ADcAMgA4ADQASQBEAEUAQQAE=&amp;Tipo=2&amp;ST=1&amp;nLang=0"/>
  </r>
  <r>
    <x v="2"/>
    <s v="OP-S-009"/>
    <x v="2"/>
    <s v="Sin Auxiliar"/>
    <x v="70"/>
    <d v="2025-07-31T00:00:00"/>
    <n v="44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QAOQA5ADQAOQAwADUASQBEAEUAQQAA=&amp;Tipo=2&amp;ST=1&amp;nLang=0"/>
  </r>
  <r>
    <x v="3"/>
    <s v="OP-S-062"/>
    <x v="3"/>
    <s v="Sin Auxiliar"/>
    <x v="70"/>
    <d v="2025-07-31T00:00:00"/>
    <n v="35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70"/>
    <d v="2025-07-31T00:00:00"/>
    <n v="44"/>
    <x v="0"/>
    <n v="80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9DAEwASwAzADQAOQA5ADgANwA3ADUASQBEAEUAQQA4=&amp;Tipo=2&amp;ST=1&amp;nLang=0"/>
  </r>
  <r>
    <x v="5"/>
    <s v="OP-S-055"/>
    <x v="5"/>
    <s v="Sin Auxiliar"/>
    <x v="70"/>
    <d v="2025-07-31T00:00:00"/>
    <n v="25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MAAwADEAMwAyADUASQBEAEUAQQAD=&amp;Tipo=2&amp;ST=1&amp;nLang=0"/>
  </r>
  <r>
    <x v="6"/>
    <s v="OP-S-R-001"/>
    <x v="18"/>
    <s v="Sin Auxiliar"/>
    <x v="70"/>
    <d v="2025-07-31T00:00:00"/>
    <n v="48"/>
    <x v="0"/>
    <n v="33"/>
    <n v="0"/>
    <n v="0"/>
    <n v="0"/>
    <n v="0"/>
    <n v="0"/>
    <n v="0"/>
    <n v="0"/>
    <n v="33"/>
    <n v="0"/>
    <n v="0"/>
    <n v="0"/>
    <n v="0"/>
    <n v="0"/>
    <n v="0"/>
    <n v="0"/>
    <s v="https://www.clickideacore.com/ClickHTML5/Visit.aspx?ID=//50DAEwASwAzADUAMAAwADUAOQAwADMASQBEAEUAQQA0=&amp;Tipo=2&amp;ST=1&amp;nLang=0"/>
  </r>
  <r>
    <x v="7"/>
    <s v="OP-S-010"/>
    <x v="18"/>
    <s v="Sin Auxiliar"/>
    <x v="70"/>
    <d v="2025-07-31T00:00:00"/>
    <n v="95"/>
    <x v="0"/>
    <n v="2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3DAEwASwAzADQAOQA5ADQANAA0ADMASQBEAEUAQQAD=&amp;Tipo=2&amp;ST=1&amp;nLang=0"/>
  </r>
  <r>
    <x v="20"/>
    <s v="OP-S-010"/>
    <x v="18"/>
    <s v="Sin Auxiliar"/>
    <x v="70"/>
    <d v="2025-07-31T00:00:00"/>
    <n v="95"/>
    <x v="0"/>
    <n v="2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3DAEwASwAzADQAOQA5ADQANAA0ADMASQBEAEUAQQAD=&amp;Tipo=2&amp;ST=1&amp;nLang=0"/>
  </r>
  <r>
    <x v="8"/>
    <s v="OP-S-004"/>
    <x v="8"/>
    <s v="Sin Auxiliar"/>
    <x v="70"/>
    <d v="2025-07-31T00:00:00"/>
    <n v="34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70"/>
    <d v="2025-07-31T00:00:00"/>
    <n v="30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AAwADEAMQA3ADcASQBEAEUAQQAB=&amp;Tipo=2&amp;ST=1&amp;nLang=0"/>
  </r>
  <r>
    <x v="10"/>
    <s v="OP-S-017"/>
    <x v="10"/>
    <s v="Sin Auxiliar"/>
    <x v="70"/>
    <d v="2025-07-31T00:00:00"/>
    <n v="41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QAOQA5ADgAMQA0ADQASQBEAEUAQQAB=&amp;Tipo=2&amp;ST=1&amp;nLang=0"/>
  </r>
  <r>
    <x v="12"/>
    <s v="OP-S-70"/>
    <x v="12"/>
    <s v="Sin Auxiliar"/>
    <x v="70"/>
    <d v="2025-07-31T00:00:00"/>
    <n v="26"/>
    <x v="0"/>
    <n v="23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8DAEwASwAzADUAMAAwADUANwA4ADEASQBEAEUAQQAC=&amp;Tipo=2&amp;ST=1&amp;nLang=0"/>
  </r>
  <r>
    <x v="13"/>
    <s v="OP-S-060"/>
    <x v="13"/>
    <s v="Sin Auxiliar"/>
    <x v="70"/>
    <d v="2025-07-31T00:00:00"/>
    <n v="43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UAMAAwADAAMQAwADYASQBEAEUAQQAC=&amp;Tipo=2&amp;ST=1&amp;nLang=0"/>
  </r>
  <r>
    <x v="17"/>
    <s v="OP-S-0010"/>
    <x v="18"/>
    <s v="Sin Auxiliar"/>
    <x v="70"/>
    <d v="2025-07-31T00:00:00"/>
    <n v="51"/>
    <x v="0"/>
    <n v="63"/>
    <n v="0"/>
    <n v="0"/>
    <n v="0"/>
    <n v="0"/>
    <n v="1"/>
    <n v="0"/>
    <n v="5"/>
    <n v="0"/>
    <n v="0"/>
    <n v="0"/>
    <n v="0"/>
    <n v="0"/>
    <n v="0"/>
    <n v="0"/>
    <n v="0"/>
    <s v="https://www.clickideacore.com/ClickHTML5/Visit.aspx?ID=//5BDAEwASwAzADUAMAAwADgANwA2ADcASQBEAEUAQQA1=&amp;Tipo=2&amp;ST=1&amp;nLang=0"/>
  </r>
  <r>
    <x v="18"/>
    <s v="OP-S-002"/>
    <x v="6"/>
    <s v="Sin Auxiliar"/>
    <x v="70"/>
    <d v="2025-07-31T00:00:00"/>
    <n v="53"/>
    <x v="0"/>
    <n v="24"/>
    <n v="0"/>
    <n v="0"/>
    <n v="1"/>
    <n v="0"/>
    <n v="0"/>
    <n v="0"/>
    <n v="0"/>
    <n v="24"/>
    <n v="0"/>
    <n v="0"/>
    <n v="0"/>
    <n v="0"/>
    <n v="0"/>
    <n v="0"/>
    <n v="0"/>
    <s v="https://www.clickideacore.com/ClickHTML5/Visit.aspx?ID=//5ADAEwASwAzADUAMAAwADIAOQA4ADIASQBEAEUAQQA6=&amp;Tipo=2&amp;ST=1&amp;nLang=0"/>
  </r>
  <r>
    <x v="19"/>
    <s v="OP-S-0010"/>
    <x v="18"/>
    <s v="Sin Auxiliar"/>
    <x v="70"/>
    <d v="2025-07-31T00:00:00"/>
    <n v="51"/>
    <x v="0"/>
    <n v="63"/>
    <n v="0"/>
    <n v="0"/>
    <n v="0"/>
    <n v="0"/>
    <n v="1"/>
    <n v="0"/>
    <n v="5"/>
    <n v="0"/>
    <n v="0"/>
    <n v="0"/>
    <n v="0"/>
    <n v="0"/>
    <n v="0"/>
    <n v="0"/>
    <n v="0"/>
    <s v="https://www.clickideacore.com/ClickHTML5/Visit.aspx?ID=//5BDAEwASwAzADUAMAAwADgANwA2ADcASQBEAEUAQQA1=&amp;Tipo=2&amp;ST=1&amp;nLang=0"/>
  </r>
  <r>
    <x v="14"/>
    <s v="OP-S-011"/>
    <x v="14"/>
    <s v="Sin Auxiliar"/>
    <x v="70"/>
    <d v="2025-07-31T00:00:00"/>
    <n v="41"/>
    <x v="0"/>
    <n v="31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7DAEwASwAzADQAOQA2ADcAMAA4ADgASQBEAEUAQQA3=&amp;Tipo=2&amp;ST=1&amp;nLang=0"/>
  </r>
  <r>
    <x v="15"/>
    <s v="OP-S-012"/>
    <x v="18"/>
    <s v="Sin Auxiliar"/>
    <x v="70"/>
    <d v="2025-07-31T00:00:00"/>
    <n v="42"/>
    <x v="8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OQA2ADcAMAA4ADgASQBEAEUAQQA3=&amp;Tipo=2&amp;ST=1&amp;nLang=0"/>
  </r>
  <r>
    <x v="11"/>
    <s v="OP-S-013"/>
    <x v="18"/>
    <s v="Sin Auxiliar"/>
    <x v="70"/>
    <d v="2025-07-31T00:00:00"/>
    <n v="43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QAOQA2ADcAMAA4ADgASQBEAEUAQQA3=&amp;Tipo=2&amp;ST=1&amp;nLang=0"/>
  </r>
  <r>
    <x v="1"/>
    <s v="OP-S-013"/>
    <x v="1"/>
    <s v="Sin Auxiliar"/>
    <x v="71"/>
    <d v="2025-08-01T00:00:00"/>
    <n v="27"/>
    <x v="0"/>
    <n v="8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AAxADUANwA4ADEASQBEAEUAQQA8=&amp;Tipo=2&amp;ST=1&amp;nLang=0"/>
  </r>
  <r>
    <x v="2"/>
    <s v="OP-S-009"/>
    <x v="2"/>
    <s v="Sin Auxiliar"/>
    <x v="71"/>
    <d v="2025-08-01T00:00:00"/>
    <n v="156"/>
    <x v="0"/>
    <n v="66"/>
    <n v="0"/>
    <n v="0"/>
    <n v="1"/>
    <n v="0"/>
    <n v="0"/>
    <n v="0"/>
    <n v="10"/>
    <n v="0"/>
    <n v="0"/>
    <n v="0"/>
    <n v="0"/>
    <n v="0"/>
    <n v="0"/>
    <n v="0"/>
    <n v="0"/>
    <s v="https://www.clickideacore.com/ClickHTML5/Visit.aspx?ID=//5EDAEwASwAzADUAMAAxADYANwA4ADUASQBEAEUAQQAA=&amp;Tipo=2&amp;ST=1&amp;nLang=0"/>
  </r>
  <r>
    <x v="3"/>
    <s v="OP-S-062"/>
    <x v="3"/>
    <s v="Sin Auxiliar"/>
    <x v="71"/>
    <d v="2025-08-01T00:00:00"/>
    <n v="35"/>
    <x v="0"/>
    <n v="6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71"/>
    <d v="2025-08-01T00:00:00"/>
    <n v="36"/>
    <x v="0"/>
    <n v="83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3DAEwASwAzADUAMAAxADkAMQAxADEASQBEAEUAQQA6=&amp;Tipo=2&amp;ST=1&amp;nLang=0"/>
  </r>
  <r>
    <x v="5"/>
    <s v="OP-S-055"/>
    <x v="5"/>
    <s v="Sin Auxiliar"/>
    <x v="71"/>
    <d v="2025-08-01T00:00:00"/>
    <n v="37"/>
    <x v="0"/>
    <n v="48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BDAEwASwAzADUAMAAyADAAMgA0ADkASQBEAEUAQQA0=&amp;Tipo=2&amp;ST=1&amp;nLang=0"/>
  </r>
  <r>
    <x v="6"/>
    <s v="OP-S-R-001"/>
    <x v="18"/>
    <s v="Sin Auxiliar"/>
    <x v="71"/>
    <d v="2025-08-01T00:00:00"/>
    <n v="47"/>
    <x v="0"/>
    <n v="24"/>
    <n v="0"/>
    <n v="0"/>
    <n v="0"/>
    <n v="0"/>
    <n v="0"/>
    <n v="0"/>
    <n v="0"/>
    <n v="24"/>
    <n v="0"/>
    <n v="0"/>
    <n v="0"/>
    <n v="0"/>
    <n v="0"/>
    <n v="0"/>
    <n v="0"/>
    <s v="https://www.clickideacore.com/ClickHTML5/Visit.aspx?ID=//57DAEwASwAzADUAMAAxADgAMAA1ADgASQBEAEUAQQA6=&amp;Tipo=2&amp;ST=1&amp;nLang=0"/>
  </r>
  <r>
    <x v="7"/>
    <s v="OP-S-010"/>
    <x v="18"/>
    <s v="Sin Auxiliar"/>
    <x v="71"/>
    <d v="2025-08-01T00:00:00"/>
    <n v="198"/>
    <x v="0"/>
    <n v="8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UAMAAxADIAMwAzADQASQBEAEUAQQA9=&amp;Tipo=2&amp;ST=1&amp;nLang=0"/>
  </r>
  <r>
    <x v="20"/>
    <s v="OP-S-010"/>
    <x v="18"/>
    <s v="Sin Auxiliar"/>
    <x v="71"/>
    <d v="2025-08-01T00:00:00"/>
    <n v="198"/>
    <x v="0"/>
    <n v="8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UAMAAxADIAMwAzADQASQBEAEUAQQA9=&amp;Tipo=2&amp;ST=1&amp;nLang=0"/>
  </r>
  <r>
    <x v="8"/>
    <s v="OP-S-004"/>
    <x v="8"/>
    <s v="Sin Auxiliar"/>
    <x v="71"/>
    <d v="2025-08-01T00:00:00"/>
    <n v="34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71"/>
    <d v="2025-08-01T00:00:00"/>
    <n v="20"/>
    <x v="0"/>
    <n v="6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AAyADEAMgA3ADUASQBEAEUAQQAF=&amp;Tipo=2&amp;ST=1&amp;nLang=0"/>
  </r>
  <r>
    <x v="10"/>
    <s v="OP-S-017"/>
    <x v="10"/>
    <s v="Sin Auxiliar"/>
    <x v="71"/>
    <d v="2025-08-01T00:00:00"/>
    <n v="57"/>
    <x v="0"/>
    <n v="6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AAxADUANAA0ADQASQBEAEUAQQAB=&amp;Tipo=2&amp;ST=1&amp;nLang=0"/>
  </r>
  <r>
    <x v="12"/>
    <s v="OP-S-70"/>
    <x v="12"/>
    <s v="Sin Auxiliar"/>
    <x v="71"/>
    <d v="2025-08-01T00:00:00"/>
    <n v="31"/>
    <x v="0"/>
    <n v="69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BDAEwASwAzADUAMAAyADQAMgA0ADkASQBEAEUAQQA9=&amp;Tipo=2&amp;ST=1&amp;nLang=0"/>
  </r>
  <r>
    <x v="13"/>
    <s v="OP-S-060"/>
    <x v="13"/>
    <s v="Sin Auxiliar"/>
    <x v="71"/>
    <d v="2025-08-01T00:00:00"/>
    <n v="43"/>
    <x v="0"/>
    <n v="6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UAMAAyADAAMwA4ADEASQBEAEUAQQA5=&amp;Tipo=2&amp;ST=1&amp;nLang=0"/>
  </r>
  <r>
    <x v="14"/>
    <s v="OP-S-011"/>
    <x v="14"/>
    <s v="Sin Auxiliar"/>
    <x v="71"/>
    <d v="2025-08-01T00:00:00"/>
    <n v="37"/>
    <x v="0"/>
    <n v="52"/>
    <n v="0"/>
    <n v="0"/>
    <n v="0"/>
    <n v="1"/>
    <n v="0"/>
    <n v="0"/>
    <n v="0"/>
    <n v="2"/>
    <n v="0"/>
    <n v="0"/>
    <n v="0"/>
    <n v="0"/>
    <n v="0"/>
    <n v="0"/>
    <n v="0"/>
    <s v="https://www.clickideacore.com/ClickHTML5/Visit.aspx?ID=//5FDAEwASwAzADUAMAAyADUANAAwADYASQBEAEUAQQA3=&amp;Tipo=2&amp;ST=1&amp;nLang=0"/>
  </r>
  <r>
    <x v="17"/>
    <s v="OP-S-0010"/>
    <x v="18"/>
    <s v="Sin Auxiliar"/>
    <x v="71"/>
    <d v="2025-08-01T00:00:00"/>
    <n v="47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AAyADAAOAAzADYASQBEAEUAQQA6=&amp;Tipo=2&amp;ST=1&amp;nLang=0"/>
  </r>
  <r>
    <x v="18"/>
    <s v="OP-S-002"/>
    <x v="6"/>
    <s v="Sin Auxiliar"/>
    <x v="71"/>
    <d v="2025-08-01T00:00:00"/>
    <n v="61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3DAEwASwAzADUAMAAyADEANgA4ADMASQBEAEUAQQA0=&amp;Tipo=2&amp;ST=1&amp;nLang=0"/>
  </r>
  <r>
    <x v="15"/>
    <s v="OP-S-054"/>
    <x v="23"/>
    <s v="Sin Auxiliar"/>
    <x v="71"/>
    <d v="2025-08-01T00:00:00"/>
    <n v="23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MAAxADMAMQAzADQASQBEAEUAQQAA=&amp;Tipo=2&amp;ST=1&amp;nLang=0"/>
  </r>
  <r>
    <x v="11"/>
    <s v="OP-S-0010"/>
    <x v="18"/>
    <s v="Sin Auxiliar"/>
    <x v="71"/>
    <d v="2025-08-01T00:00:00"/>
    <n v="47"/>
    <x v="0"/>
    <n v="5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AAyADAAOAAzADYASQBEAEUAQQA6=&amp;Tipo=2&amp;ST=1&amp;nLang=0"/>
  </r>
  <r>
    <x v="0"/>
    <s v="OP-S-0010"/>
    <x v="18"/>
    <s v="Sin Auxiliar"/>
    <x v="71"/>
    <d v="2025-08-01T00:00:00"/>
    <n v="4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AAyADAAOAAzADYASQBEAEUAQQA6=&amp;Tipo=2&amp;ST=1&amp;nLang=0"/>
  </r>
  <r>
    <x v="19"/>
    <s v="OP-S-0010"/>
    <x v="18"/>
    <s v="Sin Auxiliar"/>
    <x v="71"/>
    <d v="2025-08-01T00:00:00"/>
    <n v="47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AAyADAAOAAzADYASQBEAEUAQQA6=&amp;Tipo=2&amp;ST=1&amp;nLang=0"/>
  </r>
  <r>
    <x v="8"/>
    <s v="OP-S-004"/>
    <x v="8"/>
    <s v="Sin Auxiliar"/>
    <x v="72"/>
    <d v="2025-08-02T00:00:00"/>
    <n v="120"/>
    <x v="0"/>
    <n v="9"/>
    <n v="19"/>
    <n v="0"/>
    <n v="0"/>
    <n v="0"/>
    <n v="0"/>
    <n v="0"/>
    <n v="0"/>
    <n v="5"/>
    <n v="1"/>
    <n v="0"/>
    <n v="0"/>
    <n v="0"/>
    <n v="1"/>
    <n v="0"/>
    <n v="0"/>
    <s v="https://www.clickideacore.com/ClickHTML5/Visit.aspx?ID=//52DAEwASwAzADUAMAAzADYAMwAzADEASQBEAEUAQQA0=&amp;Tipo=2&amp;ST=1&amp;nLang=0"/>
  </r>
  <r>
    <x v="5"/>
    <s v="OP-S-055"/>
    <x v="13"/>
    <s v="Sin Auxiliar"/>
    <x v="73"/>
    <d v="2025-08-03T00:00:00"/>
    <n v="47"/>
    <x v="0"/>
    <n v="0"/>
    <n v="0"/>
    <n v="0"/>
    <n v="0"/>
    <n v="0"/>
    <n v="0"/>
    <n v="0"/>
    <n v="0"/>
    <n v="0"/>
    <n v="0"/>
    <n v="1"/>
    <n v="4"/>
    <n v="41"/>
    <n v="0"/>
    <n v="1"/>
    <n v="0"/>
    <s v="https://www.clickideacore.com/ClickHTML5/Visit.aspx?ID=//53DAEwASwAzADUAMAA0ADUAMgA1ADkASQBEAEUAQQA6=&amp;Tipo=2&amp;ST=1&amp;nLang=0"/>
  </r>
  <r>
    <x v="3"/>
    <s v="OP-S-055"/>
    <x v="9"/>
    <s v="Sin Auxiliar"/>
    <x v="73"/>
    <d v="2025-08-03T00:00:00"/>
    <n v="70"/>
    <x v="0"/>
    <n v="0"/>
    <n v="0"/>
    <n v="0"/>
    <n v="0"/>
    <n v="0"/>
    <n v="0"/>
    <n v="0"/>
    <n v="0"/>
    <n v="0"/>
    <n v="0"/>
    <n v="1"/>
    <n v="6"/>
    <n v="50"/>
    <n v="0"/>
    <n v="1"/>
    <n v="0"/>
    <s v="https://www.clickideacore.com/ClickHTML5/Visit.aspx?ID=//54DAEwASwAzADUAMAA0ADUAMgA1ADEASQBEAEUAQQA5=&amp;Tipo=2&amp;ST=1&amp;nLang=0"/>
  </r>
  <r>
    <x v="1"/>
    <s v="OP-S-013"/>
    <x v="1"/>
    <s v="Sin Auxiliar"/>
    <x v="74"/>
    <d v="2025-08-04T00:00:00"/>
    <n v="32"/>
    <x v="0"/>
    <n v="62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7DAEwASwAzADUAMAA1ADkANAAyADkASQBEAEUAQQAF=&amp;Tipo=2&amp;ST=1&amp;nLang=0"/>
  </r>
  <r>
    <x v="2"/>
    <s v="OP-S-009"/>
    <x v="2"/>
    <s v="Sin Auxiliar"/>
    <x v="74"/>
    <d v="2025-08-04T00:00:00"/>
    <n v="31"/>
    <x v="0"/>
    <n v="43"/>
    <n v="0"/>
    <n v="0"/>
    <m/>
    <n v="0"/>
    <n v="0"/>
    <n v="0"/>
    <n v="10"/>
    <n v="20"/>
    <n v="0"/>
    <n v="0"/>
    <n v="0"/>
    <n v="0"/>
    <n v="0"/>
    <n v="0"/>
    <n v="0"/>
    <s v="https://www.clickideacore.com/ClickHTML5/Visit.aspx?ID=//58DAEwASwAzADUAMAA1ADcANQA3ADgASQBEAEUAQQAE=&amp;Tipo=2&amp;ST=1&amp;nLang=0"/>
  </r>
  <r>
    <x v="3"/>
    <s v="OP-S-062"/>
    <x v="3"/>
    <s v="Sin Auxiliar"/>
    <x v="74"/>
    <d v="2025-08-04T00:00:00"/>
    <n v="35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74"/>
    <d v="2025-08-04T00:00:00"/>
    <n v="41"/>
    <x v="0"/>
    <n v="104"/>
    <n v="0"/>
    <n v="0"/>
    <n v="1"/>
    <n v="0"/>
    <n v="0"/>
    <n v="0"/>
    <n v="0"/>
    <n v="50"/>
    <n v="0"/>
    <n v="0"/>
    <n v="0"/>
    <n v="0"/>
    <n v="0"/>
    <n v="0"/>
    <n v="0"/>
    <s v="https://www.clickideacore.com/ClickHTML5/Visit.aspx?ID=//54DAEwASwAzADUAMAA2ADAAMwA3ADAASQBEAEUAQQAA=&amp;Tipo=2&amp;ST=1&amp;nLang=0"/>
  </r>
  <r>
    <x v="5"/>
    <s v="OP-S-055"/>
    <x v="5"/>
    <s v="Sin Auxiliar"/>
    <x v="74"/>
    <d v="2025-08-04T00:00:00"/>
    <n v="31"/>
    <x v="0"/>
    <n v="59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EDAEwASwAzADUAMAA2ADQANgAyADIASQBEAEUAQQA3=&amp;Tipo=2&amp;ST=1&amp;nLang=0"/>
  </r>
  <r>
    <x v="6"/>
    <s v="OP-S-R-001"/>
    <x v="18"/>
    <s v="Sin Auxiliar"/>
    <x v="74"/>
    <d v="2025-08-04T00:00:00"/>
    <n v="42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5DAEwASwAzADUAMAA2ADYANAA2ADYASQBEAEUAQQAD=&amp;Tipo=2&amp;ST=1&amp;nLang=0"/>
  </r>
  <r>
    <x v="7"/>
    <s v="OP-S-010"/>
    <x v="18"/>
    <s v="Sin Auxiliar"/>
    <x v="74"/>
    <d v="2025-08-04T00:00:00"/>
    <n v="91"/>
    <x v="0"/>
    <n v="72"/>
    <n v="0"/>
    <n v="0"/>
    <n v="1"/>
    <n v="0"/>
    <n v="1"/>
    <n v="0"/>
    <n v="0"/>
    <n v="30"/>
    <n v="0"/>
    <n v="0"/>
    <n v="0"/>
    <n v="0"/>
    <n v="0"/>
    <n v="0"/>
    <n v="0"/>
    <s v="https://www.clickideacore.com/ClickHTML5/Visit.aspx?ID=//5FDAEwASwAzADUAMAA2ADIAMAA3ADIASQBEAEUAQQA5=&amp;Tipo=2&amp;ST=1&amp;nLang=0"/>
  </r>
  <r>
    <x v="20"/>
    <s v="OP-S-010"/>
    <x v="18"/>
    <s v="Sin Auxiliar"/>
    <x v="74"/>
    <d v="2025-08-04T00:00:00"/>
    <n v="91"/>
    <x v="0"/>
    <n v="72"/>
    <n v="0"/>
    <n v="0"/>
    <n v="1"/>
    <n v="0"/>
    <n v="1"/>
    <n v="0"/>
    <n v="0"/>
    <n v="30"/>
    <n v="0"/>
    <n v="0"/>
    <n v="0"/>
    <n v="0"/>
    <n v="0"/>
    <n v="0"/>
    <n v="0"/>
    <s v="https://www.clickideacore.com/ClickHTML5/Visit.aspx?ID=//5FDAEwASwAzADUAMAA2ADIAMAA3ADIASQBEAEUAQQA5=&amp;Tipo=2&amp;ST=1&amp;nLang=0"/>
  </r>
  <r>
    <x v="8"/>
    <s v="OP-S-004"/>
    <x v="8"/>
    <s v="Sin Auxiliar"/>
    <x v="74"/>
    <d v="2025-08-04T00:00:00"/>
    <n v="34"/>
    <x v="0"/>
    <n v="5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74"/>
    <d v="2025-08-04T00:00:00"/>
    <n v="44"/>
    <x v="0"/>
    <n v="7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AA2ADIAMgA3ADMASQBEAEUAQQA0=&amp;Tipo=2&amp;ST=1&amp;nLang=0"/>
  </r>
  <r>
    <x v="10"/>
    <s v="OP-S-017"/>
    <x v="10"/>
    <s v="Sin Auxiliar"/>
    <x v="74"/>
    <d v="2025-08-04T00:00:00"/>
    <n v="60"/>
    <x v="0"/>
    <n v="73"/>
    <n v="0"/>
    <n v="0"/>
    <n v="1"/>
    <n v="0"/>
    <n v="0"/>
    <n v="0"/>
    <n v="0"/>
    <n v="8"/>
    <n v="0"/>
    <n v="0"/>
    <n v="0"/>
    <n v="0"/>
    <n v="0"/>
    <n v="0"/>
    <n v="0"/>
    <s v="https://www.clickideacore.com/ClickHTML5/Visit.aspx?ID=//53DAEwASwAzADUAMAA1ADcAMAA1ADYASQBEAEUAQQAB=&amp;Tipo=2&amp;ST=1&amp;nLang=0"/>
  </r>
  <r>
    <x v="11"/>
    <s v="OP-S-126"/>
    <x v="18"/>
    <s v="Sin Auxiliar"/>
    <x v="74"/>
    <d v="2025-08-04T00:00:00"/>
    <n v="47"/>
    <x v="0"/>
    <n v="48"/>
    <n v="0"/>
    <n v="0"/>
    <n v="1"/>
    <n v="0"/>
    <n v="1"/>
    <n v="0"/>
    <n v="0"/>
    <n v="25"/>
    <n v="0"/>
    <n v="0"/>
    <n v="0"/>
    <n v="8"/>
    <n v="0"/>
    <n v="0"/>
    <n v="0"/>
    <s v="https://www.clickideacore.com/ClickHTML5/Visit.aspx?ID=//59DAEwASwAzADUAMAA1ADUAOQAyADcASQBEAEUAQQAA=&amp;Tipo=2&amp;ST=1&amp;nLang=0"/>
  </r>
  <r>
    <x v="12"/>
    <s v="OP-S-70"/>
    <x v="12"/>
    <s v="Sin Auxiliar"/>
    <x v="74"/>
    <d v="2025-08-04T00:00:00"/>
    <n v="30"/>
    <x v="0"/>
    <n v="42"/>
    <n v="0"/>
    <n v="0"/>
    <n v="1"/>
    <n v="1"/>
    <n v="0"/>
    <n v="0"/>
    <n v="0"/>
    <n v="39"/>
    <n v="0"/>
    <n v="0"/>
    <n v="0"/>
    <n v="0"/>
    <n v="0"/>
    <n v="0"/>
    <n v="0"/>
    <s v="https://www.clickideacore.com/ClickHTML5/Visit.aspx?ID=//59DAEwASwAzADUAMAA2ADYAOQA4ADMASQBEAEUAQQA4=&amp;Tipo=2&amp;ST=1&amp;nLang=0"/>
  </r>
  <r>
    <x v="13"/>
    <s v="OP-S-060"/>
    <x v="13"/>
    <s v="Sin Auxiliar"/>
    <x v="74"/>
    <d v="2025-08-04T00:00:00"/>
    <n v="60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6DAEwASwAzADUAMAA2ADMAOQA1ADQASQBEAEUAQQA6=&amp;Tipo=2&amp;ST=1&amp;nLang=0"/>
  </r>
  <r>
    <x v="14"/>
    <s v="OP-S-011"/>
    <x v="14"/>
    <s v="Sin Auxiliar"/>
    <x v="74"/>
    <d v="2025-08-04T00:00:00"/>
    <n v="33"/>
    <x v="0"/>
    <n v="45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4DAEwASwAzADUAMAA2ADgAMQA4ADcASQBEAEUAQQA4=&amp;Tipo=2&amp;ST=1&amp;nLang=0"/>
  </r>
  <r>
    <x v="18"/>
    <s v="OP-S-002"/>
    <x v="6"/>
    <s v="Sin Auxiliar"/>
    <x v="74"/>
    <d v="2025-08-04T00:00:00"/>
    <n v="56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DDAEwASwAzADUAMAA2ADMAMgAxADIASQBEAEUAQQA3=&amp;Tipo=2&amp;ST=1&amp;nLang=0"/>
  </r>
  <r>
    <x v="15"/>
    <s v="OP-S-054"/>
    <x v="23"/>
    <s v="Sin Auxiliar"/>
    <x v="74"/>
    <d v="2025-08-04T00:00:00"/>
    <n v="30"/>
    <x v="0"/>
    <n v="59"/>
    <n v="0"/>
    <n v="0"/>
    <n v="1"/>
    <n v="0"/>
    <n v="0"/>
    <n v="0"/>
    <n v="2"/>
    <n v="50"/>
    <n v="0"/>
    <n v="0"/>
    <n v="0"/>
    <n v="0"/>
    <n v="0"/>
    <n v="0"/>
    <n v="3"/>
    <s v="https://www.clickideacore.com/ClickHTML5/Visit.aspx?ID=//5BDAEwASwAzADUAMAA1ADUAMQA5ADAASQBEAEUAQQA7=&amp;Tipo=2&amp;ST=1&amp;nLang=0"/>
  </r>
  <r>
    <x v="19"/>
    <s v="OP-S-126"/>
    <x v="18"/>
    <s v="Sin Auxiliar"/>
    <x v="74"/>
    <d v="2025-08-04T00:00:00"/>
    <n v="47"/>
    <x v="0"/>
    <n v="48"/>
    <n v="0"/>
    <n v="0"/>
    <n v="1"/>
    <n v="0"/>
    <n v="1"/>
    <n v="0"/>
    <n v="0"/>
    <n v="25"/>
    <n v="0"/>
    <n v="0"/>
    <n v="0"/>
    <n v="0"/>
    <n v="0"/>
    <n v="0"/>
    <n v="0"/>
    <s v="https://www.clickideacore.com/ClickHTML5/Visit.aspx?ID=//59DAEwASwAzADUAMAA1ADUAOQAyADcASQBEAEUAQQAA=&amp;Tipo=2&amp;ST=1&amp;nLang=0"/>
  </r>
  <r>
    <x v="0"/>
    <s v="OP-S-106"/>
    <x v="18"/>
    <s v="Sin Auxiliar"/>
    <x v="74"/>
    <d v="2025-08-05T00:00:00"/>
    <n v="30"/>
    <x v="0"/>
    <n v="1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AA5ADAAOAAyADMASQBEAEUAQQAF=&amp;Tipo=2&amp;ST=1&amp;nLang=0"/>
  </r>
  <r>
    <x v="9"/>
    <s v="OP-S-001"/>
    <x v="9"/>
    <s v="Sin Auxiliar"/>
    <x v="75"/>
    <d v="2025-08-05T00:00:00"/>
    <n v="44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AA2ADIAMgA3ADMASQBEAEUAQQA0=&amp;Tipo=2&amp;ST=1&amp;nLang=0"/>
  </r>
  <r>
    <x v="0"/>
    <s v="OP-S-106"/>
    <x v="29"/>
    <s v="Sin Auxiliar"/>
    <x v="75"/>
    <d v="2025-08-05T00:00:00"/>
    <n v="30"/>
    <x v="0"/>
    <n v="8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AA5ADAAOAAyADMASQBEAEUAQQAF=&amp;Tipo=2&amp;ST=1&amp;nLang=0"/>
  </r>
  <r>
    <x v="1"/>
    <s v="OP-S-013"/>
    <x v="1"/>
    <s v="Sin Auxiliar"/>
    <x v="75"/>
    <d v="2025-08-05T00:00:00"/>
    <n v="61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MAA4ADEANgAwADIASQBEAEUAQQAA=&amp;Tipo=2&amp;ST=1&amp;nLang=0"/>
  </r>
  <r>
    <x v="2"/>
    <s v="OP-S-009"/>
    <x v="2"/>
    <s v="Sin Auxiliar"/>
    <x v="75"/>
    <d v="2025-08-05T00:00:00"/>
    <n v="40"/>
    <x v="0"/>
    <n v="48"/>
    <n v="62"/>
    <n v="0"/>
    <n v="1"/>
    <n v="0"/>
    <n v="0"/>
    <n v="0"/>
    <n v="0"/>
    <n v="0"/>
    <n v="0"/>
    <n v="0"/>
    <n v="0"/>
    <n v="0"/>
    <n v="0"/>
    <n v="0"/>
    <n v="3"/>
    <s v="https://www.clickideacore.com/ClickHTML5/Visit.aspx?ID=//59DAEwASwAzADUAMAA4ADIANQA3ADgASQBEAEUAQQA8=&amp;Tipo=2&amp;ST=1&amp;nLang=0"/>
  </r>
  <r>
    <x v="3"/>
    <s v="OP-S-062"/>
    <x v="3"/>
    <s v="Sin Auxiliar"/>
    <x v="75"/>
    <d v="2025-08-05T00:00:00"/>
    <n v="35"/>
    <x v="0"/>
    <n v="26"/>
    <n v="62"/>
    <n v="0"/>
    <n v="1"/>
    <n v="0"/>
    <n v="0"/>
    <n v="0"/>
    <n v="0"/>
    <n v="0"/>
    <n v="0"/>
    <n v="0"/>
    <n v="0"/>
    <n v="0"/>
    <n v="0"/>
    <n v="0"/>
    <n v="1"/>
    <s v="https://www.clickideacore.com/ClickHTML5/Visit.aspx?ID=//58DAEwASwAzADQAOQA0ADQAMQA2ADkASQBEAEUAQQA7=&amp;Tipo=2&amp;ST=1&amp;nLang=0"/>
  </r>
  <r>
    <x v="4"/>
    <s v="OP-S-018"/>
    <x v="4"/>
    <s v="Sin Auxiliar"/>
    <x v="75"/>
    <d v="2025-08-05T00:00:00"/>
    <n v="34"/>
    <x v="0"/>
    <n v="63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UAMAA4ADAANQA1ADEASQBEAEUAQQAB=&amp;Tipo=2&amp;ST=1&amp;nLang=0"/>
  </r>
  <r>
    <x v="19"/>
    <s v="OP-SDYR-001"/>
    <x v="18"/>
    <s v="Sin Auxiliar"/>
    <x v="75"/>
    <d v="2025-08-05T00:00:00"/>
    <n v="50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AA4ADAANgA5ADEASQBEAEUAQQA5=&amp;Tipo=2&amp;ST=1&amp;nLang=0"/>
  </r>
  <r>
    <x v="17"/>
    <s v="OP-SDYR-001"/>
    <x v="18"/>
    <s v="Sin Auxiliar"/>
    <x v="74"/>
    <d v="2025-08-04T00:00:00"/>
    <n v="50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AA4ADAANgA5ADEASQBEAEUAQQA5=&amp;Tipo=2&amp;ST=1&amp;nLang=0"/>
  </r>
  <r>
    <x v="6"/>
    <s v="OP-S-R-001"/>
    <x v="18"/>
    <s v="Sin Auxiliar"/>
    <x v="75"/>
    <d v="2025-08-05T00:00:00"/>
    <n v="77"/>
    <x v="0"/>
    <n v="40"/>
    <n v="0"/>
    <n v="0"/>
    <n v="0"/>
    <n v="0"/>
    <n v="0"/>
    <n v="0"/>
    <n v="0"/>
    <n v="40"/>
    <n v="0"/>
    <n v="0"/>
    <n v="0"/>
    <n v="0"/>
    <n v="0"/>
    <n v="0"/>
    <n v="0"/>
    <s v="https://www.clickideacore.com/ClickHTML5/Visit.aspx?ID=//5ADAEwASwAzADUAMAA4ADkAMwAwADAASQBEAEUAQQAF=&amp;Tipo=2&amp;ST=1&amp;nLang=0"/>
  </r>
  <r>
    <x v="7"/>
    <s v="OP-S-010"/>
    <x v="18"/>
    <s v="Sin Auxiliar"/>
    <x v="75"/>
    <d v="2025-08-05T00:00:00"/>
    <n v="276"/>
    <x v="0"/>
    <n v="27"/>
    <n v="62"/>
    <n v="0"/>
    <n v="1"/>
    <n v="0"/>
    <n v="1"/>
    <n v="0"/>
    <n v="0"/>
    <n v="0"/>
    <n v="0"/>
    <n v="0"/>
    <n v="0"/>
    <n v="0"/>
    <n v="0"/>
    <n v="0"/>
    <n v="3"/>
    <s v="https://www.clickideacore.com/ClickHTML5/Visit.aspx?ID=//5FDAEwASwAzADUAMAA4ADMANwA0ADcASQBEAEUAQQA6=&amp;Tipo=2&amp;ST=1&amp;nLang=0"/>
  </r>
  <r>
    <x v="20"/>
    <s v="OP-S-010"/>
    <x v="18"/>
    <s v="Sin Auxiliar"/>
    <x v="75"/>
    <d v="2025-08-05T00:00:00"/>
    <n v="276"/>
    <x v="0"/>
    <n v="27"/>
    <n v="62"/>
    <n v="0"/>
    <n v="1"/>
    <n v="0"/>
    <n v="1"/>
    <n v="0"/>
    <n v="0"/>
    <n v="0"/>
    <n v="0"/>
    <n v="0"/>
    <n v="0"/>
    <n v="0"/>
    <n v="0"/>
    <n v="0"/>
    <n v="3"/>
    <s v="https://www.clickideacore.com/ClickHTML5/Visit.aspx?ID=//5FDAEwASwAzADUAMAA4ADMANwA0ADcASQBEAEUAQQA6=&amp;Tipo=2&amp;ST=1&amp;nLang=0"/>
  </r>
  <r>
    <x v="8"/>
    <s v="OP-S-004"/>
    <x v="8"/>
    <s v="Sin Auxiliar"/>
    <x v="75"/>
    <d v="2025-08-05T00:00:00"/>
    <n v="34"/>
    <x v="0"/>
    <n v="3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10"/>
    <s v="OP-S-017"/>
    <x v="10"/>
    <s v="Sin Auxiliar"/>
    <x v="75"/>
    <d v="2025-08-05T00:00:00"/>
    <n v="47"/>
    <x v="0"/>
    <n v="3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AA4ADEANQA5ADcASQBEAEUAQQAD=&amp;Tipo=2&amp;ST=1&amp;nLang=0"/>
  </r>
  <r>
    <x v="12"/>
    <s v="OP-S-70"/>
    <x v="12"/>
    <s v="Sin Auxiliar"/>
    <x v="75"/>
    <d v="2025-08-05T00:00:00"/>
    <n v="27"/>
    <x v="0"/>
    <n v="29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3DAEwASwAzADUAMAA4ADkAOAAzADAASQBEAEUAQQA5=&amp;Tipo=2&amp;ST=1&amp;nLang=0"/>
  </r>
  <r>
    <x v="13"/>
    <s v="OP-S-060"/>
    <x v="23"/>
    <s v="Sin Auxiliar"/>
    <x v="75"/>
    <d v="2025-08-05T00:00:00"/>
    <n v="44"/>
    <x v="0"/>
    <n v="25"/>
    <n v="62"/>
    <n v="0"/>
    <n v="1"/>
    <n v="0"/>
    <n v="0"/>
    <n v="0"/>
    <n v="0"/>
    <n v="0"/>
    <n v="0"/>
    <n v="0"/>
    <n v="0"/>
    <n v="0"/>
    <n v="0"/>
    <n v="0"/>
    <n v="3"/>
    <s v="https://www.clickideacore.com/ClickHTML5/Visit.aspx?ID=//55DAEwASwAzADUAMAA3ADcAMwA4ADcASQBEAEUAQQA8=&amp;Tipo=2&amp;ST=1&amp;nLang=0"/>
  </r>
  <r>
    <x v="14"/>
    <s v="OP-S-011"/>
    <x v="14"/>
    <s v="Sin Auxiliar"/>
    <x v="75"/>
    <d v="2025-08-05T00:00:00"/>
    <n v="43"/>
    <x v="0"/>
    <n v="46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3DAEwASwAzADUAMAA5ADEAMwAxADMASQBEAEUAQQA9=&amp;Tipo=2&amp;ST=1&amp;nLang=0"/>
  </r>
  <r>
    <x v="18"/>
    <s v="OP-S-002"/>
    <x v="6"/>
    <s v="Sin Auxiliar"/>
    <x v="75"/>
    <d v="2025-08-05T00:00:00"/>
    <n v="59"/>
    <x v="0"/>
    <n v="10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BDAEwASwAzADUAMAA4ADIANwAzADMASQBEAEUAQQA9=&amp;Tipo=2&amp;ST=1&amp;nLang=0"/>
  </r>
  <r>
    <x v="15"/>
    <s v="OP-S-126"/>
    <x v="18"/>
    <s v="Sin Auxiliar"/>
    <x v="75"/>
    <d v="2025-08-05T00:00:00"/>
    <n v="47"/>
    <x v="0"/>
    <n v="1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AA1ADUAOQAyADcASQBEAEUAQQAA=&amp;Tipo=2&amp;ST=1&amp;nLang=0"/>
  </r>
  <r>
    <x v="23"/>
    <s v="OP-S-126"/>
    <x v="13"/>
    <s v="Sin Auxiliar"/>
    <x v="75"/>
    <d v="2025-08-05T00:00:00"/>
    <n v="4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AA1ADUAOQAyADcASQBEAEUAQQAA=&amp;Tipo=2&amp;ST=1&amp;nLang=0"/>
  </r>
  <r>
    <x v="23"/>
    <s v="OP-S-126"/>
    <x v="5"/>
    <s v="Sin Auxiliar"/>
    <x v="75"/>
    <d v="2025-08-05T00:00:00"/>
    <n v="4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AA1ADUAOQAyADcASQBEAEUAQQAA=&amp;Tipo=2&amp;ST=1&amp;nLang=0"/>
  </r>
  <r>
    <x v="17"/>
    <s v="OP-SDYR-001"/>
    <x v="18"/>
    <s v="Sin Auxiliar"/>
    <x v="75"/>
    <d v="2025-08-05T00:00:00"/>
    <n v="50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AA4ADAANgA5ADEASQBEAEUAQQA5=&amp;Tipo=2&amp;ST=1&amp;nLang=0"/>
  </r>
  <r>
    <x v="1"/>
    <s v="OP-S-013"/>
    <x v="1"/>
    <s v="Sin Auxiliar"/>
    <x v="76"/>
    <d v="2025-08-06T00:00:00"/>
    <n v="31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UAMQAwADIAMgA1ADQASQBEAEUAQQAF=&amp;Tipo=2&amp;ST=1&amp;nLang=0"/>
  </r>
  <r>
    <x v="2"/>
    <s v="OP-S-009"/>
    <x v="2"/>
    <s v="Sin Auxiliar"/>
    <x v="76"/>
    <d v="2025-08-06T00:00:00"/>
    <n v="46"/>
    <x v="0"/>
    <n v="45"/>
    <n v="0"/>
    <n v="0"/>
    <n v="1"/>
    <n v="0"/>
    <n v="0"/>
    <n v="0"/>
    <n v="10"/>
    <n v="0"/>
    <n v="0"/>
    <n v="0"/>
    <n v="0"/>
    <n v="0"/>
    <n v="0"/>
    <n v="0"/>
    <n v="0"/>
    <s v="https://www.clickideacore.com/ClickHTML5/Visit.aspx?ID=//5BDAEwASwAzADUAMQAwADEAMQA5ADIASQBEAEUAQQA9=&amp;Tipo=2&amp;ST=1&amp;nLang=0"/>
  </r>
  <r>
    <x v="3"/>
    <s v="OP-S-062"/>
    <x v="3"/>
    <s v="Sin Auxiliar"/>
    <x v="76"/>
    <d v="2025-08-06T00:00:00"/>
    <n v="35"/>
    <x v="0"/>
    <n v="26"/>
    <n v="0"/>
    <n v="0"/>
    <n v="0"/>
    <n v="0"/>
    <n v="0"/>
    <n v="0"/>
    <n v="0"/>
    <n v="0"/>
    <n v="0"/>
    <n v="0"/>
    <n v="0"/>
    <n v="0"/>
    <n v="0"/>
    <n v="0"/>
    <n v="1"/>
    <s v="https://www.clickideacore.com/ClickHTML5/Visit.aspx?ID=//58DAEwASwAzADQAOQA0ADQAMQA2ADkASQBEAEUAQQA7=&amp;Tipo=2&amp;ST=1&amp;nLang=0"/>
  </r>
  <r>
    <x v="4"/>
    <s v="OP-S-018"/>
    <x v="4"/>
    <s v="Sin Auxiliar"/>
    <x v="76"/>
    <d v="2025-08-06T00:00:00"/>
    <n v="34"/>
    <x v="0"/>
    <n v="63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UAMAA4ADAANQA1ADEASQBEAEUAQQAB=&amp;Tipo=2&amp;ST=1&amp;nLang=0"/>
  </r>
  <r>
    <x v="5"/>
    <s v="OP-S-055"/>
    <x v="5"/>
    <s v="Sin Auxiliar"/>
    <x v="76"/>
    <d v="2025-08-06T00:00:00"/>
    <n v="33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QAxADEAMgAzADEASQBEAEUAQQA5=&amp;Tipo=2&amp;ST=1&amp;nLang=0"/>
  </r>
  <r>
    <x v="6"/>
    <s v="OP-S-R-001"/>
    <x v="18"/>
    <s v="Sin Auxiliar"/>
    <x v="76"/>
    <d v="2025-08-06T00:00:00"/>
    <n v="54"/>
    <x v="0"/>
    <n v="30"/>
    <n v="0"/>
    <n v="0"/>
    <n v="0"/>
    <n v="0"/>
    <n v="0"/>
    <n v="0"/>
    <n v="0"/>
    <n v="30"/>
    <n v="0"/>
    <n v="0"/>
    <n v="0"/>
    <n v="0"/>
    <n v="0"/>
    <n v="0"/>
    <n v="0"/>
    <s v="https://www.clickideacore.com/ClickHTML5/Visit.aspx?ID=//53DAEwASwAzADUAMQAxADEAOQAxADMASQBEAEUAQQA8=&amp;Tipo=2&amp;ST=1&amp;nLang=0"/>
  </r>
  <r>
    <x v="7"/>
    <s v="OP-S-010"/>
    <x v="18"/>
    <s v="Sin Auxiliar"/>
    <x v="76"/>
    <d v="2025-08-06T00:00:00"/>
    <n v="177"/>
    <x v="0"/>
    <n v="8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QAwADcAMQAyADkASQBEAEUAQQA3=&amp;Tipo=2&amp;ST=1&amp;nLang=0"/>
  </r>
  <r>
    <x v="20"/>
    <s v="OP-S-010"/>
    <x v="18"/>
    <s v="Sin Auxiliar"/>
    <x v="76"/>
    <d v="2025-08-06T00:00:00"/>
    <n v="177"/>
    <x v="0"/>
    <n v="8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QAwADcAMQAyADkASQBEAEUAQQA3=&amp;Tipo=2&amp;ST=1&amp;nLang=0"/>
  </r>
  <r>
    <x v="8"/>
    <s v="OP-S-004"/>
    <x v="8"/>
    <s v="Sin Auxiliar"/>
    <x v="76"/>
    <d v="2025-08-06T00:00:00"/>
    <n v="34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76"/>
    <d v="2025-08-06T00:00:00"/>
    <n v="25"/>
    <x v="0"/>
    <n v="4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MQAxADEANQA3ADQASQBEAEUAQQAC=&amp;Tipo=2&amp;ST=1&amp;nLang=0"/>
  </r>
  <r>
    <x v="10"/>
    <s v="OP-S-017"/>
    <x v="10"/>
    <s v="Sin Auxiliar"/>
    <x v="76"/>
    <d v="2025-08-06T00:00:00"/>
    <n v="47"/>
    <x v="0"/>
    <n v="7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MQAwADIAOQAxADIASQBEAEUAQQA8=&amp;Tipo=2&amp;ST=1&amp;nLang=0"/>
  </r>
  <r>
    <x v="11"/>
    <s v="OP-S-126"/>
    <x v="18"/>
    <s v="Sin Auxiliar"/>
    <x v="76"/>
    <d v="2025-08-06T00:00:00"/>
    <n v="38"/>
    <x v="0"/>
    <n v="7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xADQANQA1ADMASQBEAEUAQQAA=&amp;Tipo=2&amp;ST=1&amp;nLang=0"/>
  </r>
  <r>
    <x v="19"/>
    <s v="OP-S-126"/>
    <x v="18"/>
    <s v="Sin Auxiliar"/>
    <x v="76"/>
    <d v="2025-08-06T00:00:00"/>
    <n v="38"/>
    <x v="0"/>
    <n v="7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xADQANQA1ADMASQBEAEUAQQAA=&amp;Tipo=2&amp;ST=1&amp;nLang=0"/>
  </r>
  <r>
    <x v="12"/>
    <s v="OP-S-70"/>
    <x v="12"/>
    <s v="Sin Auxiliar"/>
    <x v="76"/>
    <d v="2025-08-06T00:00:00"/>
    <n v="27"/>
    <x v="0"/>
    <n v="29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3DAEwASwAzADUAMAA4ADkAOAAzADAASQBEAEUAQQA5=&amp;Tipo=2&amp;ST=1&amp;nLang=0"/>
  </r>
  <r>
    <x v="13"/>
    <s v="OP-S-060"/>
    <x v="13"/>
    <s v="Sin Auxiliar"/>
    <x v="76"/>
    <d v="2025-08-06T00:00:00"/>
    <n v="53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QAxADEAMAA4ADMASQBEAEUAQQA0=&amp;Tipo=2&amp;ST=1&amp;nLang=0"/>
  </r>
  <r>
    <x v="14"/>
    <s v="OP-S-011"/>
    <x v="14"/>
    <s v="Sin Auxiliar"/>
    <x v="76"/>
    <d v="2025-08-06T00:00:00"/>
    <n v="45"/>
    <x v="0"/>
    <n v="28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1DAEwASwAzADUAMQAxADMANAA1ADEASQBEAEUAQQAD=&amp;Tipo=2&amp;ST=1&amp;nLang=0"/>
  </r>
  <r>
    <x v="18"/>
    <s v="OP-S-002"/>
    <x v="6"/>
    <s v="Sin Auxiliar"/>
    <x v="76"/>
    <d v="2025-08-06T00:00:00"/>
    <n v="4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7DAEwASwAzADUAMQAwADkANwA5ADMASQBEAEUAQQA3=&amp;Tipo=2&amp;ST=1&amp;nLang=0"/>
  </r>
  <r>
    <x v="15"/>
    <s v="OP-S-054"/>
    <x v="23"/>
    <s v="Sin Auxiliar"/>
    <x v="76"/>
    <d v="2025-08-06T00:00:00"/>
    <n v="24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AA5ADkAOAAzADcASQBEAEUAQQAB=&amp;Tipo=2&amp;ST=1&amp;nLang=0"/>
  </r>
  <r>
    <x v="17"/>
    <s v="OP-S-054"/>
    <x v="18"/>
    <s v="Sin Auxiliar"/>
    <x v="76"/>
    <d v="2025-08-06T00:00:00"/>
    <n v="2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AA5ADkAOAAzADcASQBEAEUAQQAB=&amp;Tipo=2&amp;ST=1&amp;nLang=0"/>
  </r>
  <r>
    <x v="0"/>
    <s v="OP-S-054"/>
    <x v="18"/>
    <s v="Sin Auxiliar"/>
    <x v="76"/>
    <d v="2025-08-06T00:00:00"/>
    <n v="24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AA5ADkAOAAzADcASQBEAEUAQQAB=&amp;Tipo=2&amp;ST=1&amp;nLang=0"/>
  </r>
  <r>
    <x v="0"/>
    <s v="OP-S-106"/>
    <x v="23"/>
    <s v="Sin Auxiliar"/>
    <x v="77"/>
    <d v="2025-08-07T00:00:00"/>
    <n v="23"/>
    <x v="0"/>
    <n v="7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3DAEwASwAzADUAMQAyADEAMwAwADkASQBEAEUAQQAA=&amp;Tipo=2&amp;ST=1&amp;nLang=0"/>
  </r>
  <r>
    <x v="1"/>
    <s v="OP-S-013"/>
    <x v="1"/>
    <s v="Sin Auxiliar"/>
    <x v="77"/>
    <d v="2025-08-07T00:00:00"/>
    <n v="29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QAxADgAOQAxADEASQBEAEUAQQA1=&amp;Tipo=2&amp;ST=1&amp;nLang=0"/>
  </r>
  <r>
    <x v="2"/>
    <s v="OP-S-009"/>
    <x v="2"/>
    <s v="Sin Auxiliar"/>
    <x v="77"/>
    <d v="2025-08-07T00:00:00"/>
    <n v="32"/>
    <x v="0"/>
    <n v="24"/>
    <n v="0"/>
    <n v="0"/>
    <n v="0"/>
    <n v="0"/>
    <n v="0"/>
    <n v="0"/>
    <n v="10"/>
    <n v="0"/>
    <n v="0"/>
    <n v="0"/>
    <n v="0"/>
    <n v="0"/>
    <n v="0"/>
    <n v="0"/>
    <n v="0"/>
    <s v="https://www.clickideacore.com/ClickHTML5/Visit.aspx?ID=//58DAEwASwAzADUAMQAxADcANAA4ADUASQBEAEUAQQA8=&amp;Tipo=2&amp;ST=1&amp;nLang=0"/>
  </r>
  <r>
    <x v="3"/>
    <s v="OP-S-062"/>
    <x v="3"/>
    <s v="Sin Auxiliar"/>
    <x v="77"/>
    <d v="2025-08-07T00:00:00"/>
    <n v="35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77"/>
    <d v="2025-08-07T00:00:00"/>
    <n v="44"/>
    <x v="0"/>
    <n v="7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1DAEwASwAzADUAMQAxADkAOQA2ADMASQBEAEUAQQAD=&amp;Tipo=2&amp;ST=1&amp;nLang=0"/>
  </r>
  <r>
    <x v="6"/>
    <s v="OP-S-R-001"/>
    <x v="18"/>
    <s v="Sin Auxiliar"/>
    <x v="77"/>
    <d v="2025-08-07T00:00:00"/>
    <n v="47"/>
    <x v="0"/>
    <n v="33"/>
    <n v="0"/>
    <n v="0"/>
    <n v="0"/>
    <n v="0"/>
    <n v="0"/>
    <n v="0"/>
    <n v="0"/>
    <n v="33"/>
    <n v="0"/>
    <n v="0"/>
    <n v="0"/>
    <n v="0"/>
    <n v="0"/>
    <n v="0"/>
    <n v="0"/>
    <s v="https://www.clickideacore.com/ClickHTML5/Visit.aspx?ID=//54DAEwASwAzADUAMQAyADAANgAyADkASQBEAEUAQQA9=&amp;Tipo=2&amp;ST=1&amp;nLang=0"/>
  </r>
  <r>
    <x v="5"/>
    <s v="OP-S-055"/>
    <x v="5"/>
    <s v="Sin Auxiliar"/>
    <x v="77"/>
    <d v="2025-08-07T00:00:00"/>
    <n v="33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QAxADEAMgAzADEASQBEAEUAQQA5=&amp;Tipo=2&amp;ST=1&amp;nLang=0"/>
  </r>
  <r>
    <x v="7"/>
    <s v="OP-S-010"/>
    <x v="18"/>
    <s v="Sin Auxiliar"/>
    <x v="77"/>
    <d v="2025-08-07T00:00:00"/>
    <n v="228"/>
    <x v="0"/>
    <n v="2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0DAEwASwAzADUAMQAyADAAMwA1ADgASQBEAEUAQQAD=&amp;Tipo=2&amp;ST=1&amp;nLang=0"/>
  </r>
  <r>
    <x v="20"/>
    <s v="OP-S-010"/>
    <x v="18"/>
    <s v="Sin Auxiliar"/>
    <x v="77"/>
    <d v="2025-08-07T00:00:00"/>
    <n v="228"/>
    <x v="0"/>
    <n v="25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0DAEwASwAzADUAMQAyADAAMwA1ADgASQBEAEUAQQAD=&amp;Tipo=2&amp;ST=1&amp;nLang=0"/>
  </r>
  <r>
    <x v="8"/>
    <s v="OP-S-004"/>
    <x v="8"/>
    <s v="Sin Auxiliar"/>
    <x v="77"/>
    <d v="2025-08-07T00:00:00"/>
    <n v="34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18"/>
    <s v="Sin Auxiliar"/>
    <x v="77"/>
    <d v="2025-08-07T00:00:00"/>
    <n v="33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MQAyADMAMAA5ADMASQBEAEUAQQA9=&amp;Tipo=2&amp;ST=1&amp;nLang=0"/>
  </r>
  <r>
    <x v="17"/>
    <s v="OP-S-001"/>
    <x v="18"/>
    <s v="Sin Auxiliar"/>
    <x v="77"/>
    <d v="2025-08-07T00:00:00"/>
    <n v="33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MQAyADMAMAA5ADMASQBEAEUAQQA9=&amp;Tipo=2&amp;ST=1&amp;nLang=0"/>
  </r>
  <r>
    <x v="10"/>
    <s v="OP-S-017"/>
    <x v="10"/>
    <s v="Sin Auxiliar"/>
    <x v="77"/>
    <d v="2025-08-07T00:00:00"/>
    <n v="42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QAyADAAMAA0ADMASQBEAEUAQQA2=&amp;Tipo=2&amp;ST=1&amp;nLang=0"/>
  </r>
  <r>
    <x v="11"/>
    <s v="OP-S-126"/>
    <x v="18"/>
    <s v="Sin Auxiliar"/>
    <x v="77"/>
    <d v="2025-08-07T00:00:00"/>
    <n v="33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QAxADgAOAA1ADIASQBEAEUAQQA3=&amp;Tipo=2&amp;ST=1&amp;nLang=0"/>
  </r>
  <r>
    <x v="19"/>
    <s v="OP-S-126"/>
    <x v="18"/>
    <s v="Sin Auxiliar"/>
    <x v="77"/>
    <d v="2025-08-07T00:00:00"/>
    <n v="33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QAxADgAOAA1ADIASQBEAEUAQQA3=&amp;Tipo=2&amp;ST=1&amp;nLang=0"/>
  </r>
  <r>
    <x v="12"/>
    <s v="OP-S-70"/>
    <x v="12"/>
    <s v="Sin Auxiliar"/>
    <x v="77"/>
    <d v="2025-08-07T00:00:00"/>
    <n v="35"/>
    <x v="0"/>
    <n v="31"/>
    <n v="0"/>
    <n v="0"/>
    <n v="1"/>
    <n v="1"/>
    <n v="0"/>
    <n v="1"/>
    <n v="0"/>
    <n v="31"/>
    <n v="0"/>
    <n v="0"/>
    <n v="0"/>
    <n v="0"/>
    <n v="0"/>
    <n v="0"/>
    <n v="0"/>
    <s v="https://www.clickideacore.com/ClickHTML5/Visit.aspx?ID=//52DAEwASwAzADUAMQAyADIANAA4ADcASQBEAEUAQQAF=&amp;Tipo=2&amp;ST=1&amp;nLang=0"/>
  </r>
  <r>
    <x v="13"/>
    <s v="OP-S-060"/>
    <x v="13"/>
    <s v="Sin Auxiliar"/>
    <x v="77"/>
    <d v="2025-08-07T00:00:00"/>
    <n v="47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6DAEwASwAzADUAMQAyADAAOAAzADIASQBEAEUAQQAC=&amp;Tipo=2&amp;ST=1&amp;nLang=0"/>
  </r>
  <r>
    <x v="14"/>
    <s v="OP-S-011"/>
    <x v="14"/>
    <s v="Sin Auxiliar"/>
    <x v="77"/>
    <d v="2025-08-07T00:00:00"/>
    <n v="45"/>
    <x v="0"/>
    <n v="26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1DAEwASwAzADUAMQAxADMANAA1ADEASQBEAEUAQQAD=&amp;Tipo=2&amp;ST=1&amp;nLang=0"/>
  </r>
  <r>
    <x v="18"/>
    <s v="OP-S-002"/>
    <x v="6"/>
    <s v="Sin Auxiliar"/>
    <x v="77"/>
    <d v="2025-08-07T00:00:00"/>
    <n v="69"/>
    <x v="0"/>
    <n v="26"/>
    <n v="0"/>
    <n v="0"/>
    <n v="1"/>
    <n v="0"/>
    <n v="0"/>
    <n v="0"/>
    <n v="0"/>
    <n v="26"/>
    <n v="0"/>
    <n v="0"/>
    <n v="0"/>
    <n v="0"/>
    <n v="0"/>
    <n v="0"/>
    <n v="0"/>
    <s v="https://www.clickideacore.com/ClickHTML5/Visit.aspx?ID=//51DAEwASwAzADUAMQAyADAANAA3ADYASQBEAEUAQQA8=&amp;Tipo=2&amp;ST=1&amp;nLang=0"/>
  </r>
  <r>
    <x v="26"/>
    <s v="OP-S-003"/>
    <x v="18"/>
    <s v="Sin Auxiliar"/>
    <x v="77"/>
    <d v="2025-08-07T00:00:00"/>
    <n v="70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23"/>
    <s v="OP-S-004"/>
    <x v="9"/>
    <s v="Sin Auxiliar"/>
    <x v="77"/>
    <d v="2025-08-07T00:00:00"/>
    <n v="71"/>
    <x v="9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15"/>
    <s v="OP-S-005"/>
    <x v="18"/>
    <s v="Sin Auxiliar"/>
    <x v="77"/>
    <d v="2025-08-07T00:00:00"/>
    <n v="72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0"/>
    <s v="OP-S-106"/>
    <x v="1"/>
    <s v="Sin Auxiliar"/>
    <x v="78"/>
    <d v="2025-08-08T00:00:00"/>
    <n v="23"/>
    <x v="0"/>
    <n v="8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QAzADcANQA3ADQASQBEAEUAQQA0=&amp;Tipo=2&amp;ST=1&amp;nLang=0"/>
  </r>
  <r>
    <x v="2"/>
    <s v="OP-S-009"/>
    <x v="2"/>
    <s v="Sin Auxiliar"/>
    <x v="78"/>
    <d v="2025-08-08T00:00:00"/>
    <n v="42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UAMQAzADgAMgA4ADIASQBEAEUAQQA3=&amp;Tipo=2&amp;ST=1&amp;nLang=0"/>
  </r>
  <r>
    <x v="3"/>
    <s v="OP-S-062"/>
    <x v="3"/>
    <s v="Sin Auxiliar"/>
    <x v="78"/>
    <d v="2025-08-08T00:00:00"/>
    <n v="35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78"/>
    <d v="2025-08-08T00:00:00"/>
    <n v="45"/>
    <x v="0"/>
    <n v="91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UAMQAzADYAMgA1ADkASQBEAEUAQQA9=&amp;Tipo=2&amp;ST=1&amp;nLang=0"/>
  </r>
  <r>
    <x v="5"/>
    <s v="OP-S-055"/>
    <x v="5"/>
    <s v="Sin Auxiliar"/>
    <x v="78"/>
    <d v="2025-08-08T00:00:00"/>
    <n v="27"/>
    <x v="0"/>
    <n v="46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3DAEwASwAzADUAMQA0ADQAMgAyADMASQBEAEUAQQA3=&amp;Tipo=2&amp;ST=1&amp;nLang=0"/>
  </r>
  <r>
    <x v="6"/>
    <s v="OP-S-R-001"/>
    <x v="18"/>
    <s v="Sin Auxiliar"/>
    <x v="78"/>
    <d v="2025-08-08T00:00:00"/>
    <n v="59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FDAEwASwAzADUAMQAzADgAMQA4ADAASQBEAEUAQQAA=&amp;Tipo=2&amp;ST=1&amp;nLang=0"/>
  </r>
  <r>
    <x v="7"/>
    <s v="OP-S-010"/>
    <x v="18"/>
    <s v="Sin Auxiliar"/>
    <x v="78"/>
    <d v="2025-08-08T00:00:00"/>
    <n v="96"/>
    <x v="0"/>
    <n v="5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UAMQAzADcAMQA4ADQASQBEAEUAQQAF=&amp;Tipo=2&amp;ST=1&amp;nLang=0"/>
  </r>
  <r>
    <x v="20"/>
    <s v="OP-S-010"/>
    <x v="18"/>
    <s v="Sin Auxiliar"/>
    <x v="78"/>
    <d v="2025-08-08T00:00:00"/>
    <n v="96"/>
    <x v="0"/>
    <n v="5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UAMQAzADcAMQA4ADQASQBEAEUAQQAF=&amp;Tipo=2&amp;ST=1&amp;nLang=0"/>
  </r>
  <r>
    <x v="8"/>
    <s v="OP-S-004"/>
    <x v="8"/>
    <s v="Sin Auxiliar"/>
    <x v="78"/>
    <d v="2025-08-08T00:00:00"/>
    <n v="34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QAOAA0ADgANwA4ADgASQBEAEUAQQA5=&amp;Tipo=2&amp;ST=1&amp;nLang=0"/>
  </r>
  <r>
    <x v="9"/>
    <s v="OP-S-001"/>
    <x v="9"/>
    <s v="Sin Auxiliar"/>
    <x v="78"/>
    <d v="2025-08-08T00:00:00"/>
    <n v="34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MQA0ADMANgA5ADIASQBEAEUAQQA3=&amp;Tipo=2&amp;ST=1&amp;nLang=0"/>
  </r>
  <r>
    <x v="10"/>
    <s v="OP-S-017"/>
    <x v="10"/>
    <s v="Sin Auxiliar"/>
    <x v="78"/>
    <d v="2025-08-08T00:00:00"/>
    <n v="38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MQAzADQAMgA1ADIASQBEAEUAQQA0=&amp;Tipo=2&amp;ST=1&amp;nLang=0"/>
  </r>
  <r>
    <x v="11"/>
    <s v="OP-S-126"/>
    <x v="18"/>
    <s v="Sin Auxiliar"/>
    <x v="78"/>
    <d v="2025-08-08T00:00:00"/>
    <n v="25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QAzADIANgAzADAASQBEAEUAQQA5=&amp;Tipo=2&amp;ST=1&amp;nLang=0"/>
  </r>
  <r>
    <x v="19"/>
    <s v="OP-S-126"/>
    <x v="18"/>
    <s v="Sin Auxiliar"/>
    <x v="78"/>
    <d v="2025-08-08T00:00:00"/>
    <n v="25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QAzADIANgAzADAASQBEAEUAQQA5=&amp;Tipo=2&amp;ST=1&amp;nLang=0"/>
  </r>
  <r>
    <x v="12"/>
    <s v="OP-S-70"/>
    <x v="12"/>
    <s v="Sin Auxiliar"/>
    <x v="78"/>
    <d v="2025-08-08T00:00:00"/>
    <n v="35"/>
    <x v="0"/>
    <n v="50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2DAEwASwAzADUAMQAyADIANAA4ADcASQBEAEUAQQAF=&amp;Tipo=2&amp;ST=1&amp;nLang=0"/>
  </r>
  <r>
    <x v="13"/>
    <s v="OP-S-060"/>
    <x v="13"/>
    <s v="Sin Auxiliar"/>
    <x v="78"/>
    <d v="2025-08-08T00:00:00"/>
    <n v="58"/>
    <x v="0"/>
    <n v="6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MQA0ADEANQA0ADgASQBEAEUAQQAE=&amp;Tipo=2&amp;ST=1&amp;nLang=0"/>
  </r>
  <r>
    <x v="14"/>
    <s v="OP-S-011"/>
    <x v="14"/>
    <s v="Sin Auxiliar"/>
    <x v="78"/>
    <d v="2025-08-08T00:00:00"/>
    <n v="59"/>
    <x v="0"/>
    <n v="30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0DAEwASwAzADUAMQAyADMAMwAzADcASQBEAEUAQQA8=&amp;Tipo=2&amp;ST=1&amp;nLang=0"/>
  </r>
  <r>
    <x v="18"/>
    <s v="OP-S-002"/>
    <x v="6"/>
    <s v="Sin Auxiliar"/>
    <x v="78"/>
    <d v="2025-08-08T00:00:00"/>
    <n v="51"/>
    <x v="0"/>
    <n v="28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8DAEwASwAzADUAMQA0ADEAMQA0ADIASQBEAEUAQQAA=&amp;Tipo=2&amp;ST=1&amp;nLang=0"/>
  </r>
  <r>
    <x v="15"/>
    <s v="OP-S-054"/>
    <x v="23"/>
    <s v="Sin Auxiliar"/>
    <x v="78"/>
    <d v="2025-08-08T00:00:00"/>
    <n v="25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MQAzADMANQAxADYASQBEAEUAQQA5=&amp;Tipo=2&amp;ST=1&amp;nLang=0"/>
  </r>
  <r>
    <x v="26"/>
    <s v="OP-S-003"/>
    <x v="18"/>
    <s v="Sin Auxiliar"/>
    <x v="78"/>
    <d v="2025-08-08T00:00:00"/>
    <n v="70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17"/>
    <s v="OP-S-004"/>
    <x v="18"/>
    <s v="Sin Auxiliar"/>
    <x v="78"/>
    <d v="2025-08-08T00:00:00"/>
    <n v="71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21"/>
    <s v="OP-S-005"/>
    <x v="18"/>
    <s v="Sin Auxiliar"/>
    <x v="78"/>
    <d v="2025-08-08T00:00:00"/>
    <n v="72"/>
    <x v="3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QAyADAANAA3ADYASQBEAEUAQQA8=&amp;Tipo=2&amp;ST=1&amp;nLang=0"/>
  </r>
  <r>
    <x v="8"/>
    <s v="OP-S-004"/>
    <x v="8"/>
    <s v="Sin Auxiliar"/>
    <x v="79"/>
    <d v="2025-08-09T00:00:00"/>
    <n v="99"/>
    <x v="0"/>
    <n v="0"/>
    <n v="0"/>
    <n v="0"/>
    <n v="0"/>
    <n v="0"/>
    <n v="0"/>
    <n v="0"/>
    <n v="0"/>
    <n v="5"/>
    <n v="1"/>
    <n v="0"/>
    <n v="11"/>
    <n v="23"/>
    <n v="1"/>
    <n v="0"/>
    <n v="0"/>
    <s v="https://www.clickideacore.com/ClickHTML5/Visit.aspx?ID=//53DAEwASwAzADUAMQA1ADYAMQAwADEASQBEAEUAQQA0=&amp;Tipo=2&amp;ST=1&amp;nLang=0"/>
  </r>
  <r>
    <x v="14"/>
    <s v="OP-S-011"/>
    <x v="14"/>
    <s v="Sin Auxiliar"/>
    <x v="79"/>
    <d v="2025-08-09T00:00:00"/>
    <n v="89"/>
    <x v="0"/>
    <n v="0"/>
    <n v="0"/>
    <n v="0"/>
    <n v="0"/>
    <n v="0"/>
    <n v="0"/>
    <n v="0"/>
    <n v="0"/>
    <n v="0"/>
    <n v="1"/>
    <n v="0"/>
    <n v="27"/>
    <n v="28"/>
    <n v="1"/>
    <n v="0"/>
    <n v="0"/>
    <s v="https://www.clickideacore.com/ClickHTML5/Visit.aspx?ID=//59DAEwASwAzADUAMQA1ADYANgA5ADUASQBEAEUAQQA0=&amp;Tipo=2&amp;ST=1&amp;nLang=0"/>
  </r>
  <r>
    <x v="5"/>
    <s v="OP-S-055"/>
    <x v="13"/>
    <s v="Sin Auxiliar"/>
    <x v="80"/>
    <d v="2025-08-10T00:00:00"/>
    <n v="54"/>
    <x v="0"/>
    <n v="0"/>
    <n v="0"/>
    <n v="0"/>
    <n v="0"/>
    <n v="0"/>
    <n v="0"/>
    <n v="0"/>
    <n v="0"/>
    <n v="0"/>
    <n v="0"/>
    <n v="1"/>
    <n v="4"/>
    <n v="60"/>
    <n v="0"/>
    <n v="1"/>
    <n v="4"/>
    <s v="https://www.clickideacore.com/ClickHTML5/Visit.aspx?ID=//5FDAEwASwAzADUAMQA2ADQANAAzADAASQBEAEUAQQA0=&amp;Tipo=2&amp;ST=1&amp;nLang=0"/>
  </r>
  <r>
    <x v="14"/>
    <s v="OP-S-011"/>
    <x v="14"/>
    <s v="Sin Auxiliar"/>
    <x v="80"/>
    <d v="2025-08-10T00:00:00"/>
    <n v="209"/>
    <x v="0"/>
    <n v="0"/>
    <n v="0"/>
    <n v="0"/>
    <n v="0"/>
    <n v="0"/>
    <n v="0"/>
    <n v="0"/>
    <n v="0"/>
    <n v="0"/>
    <n v="0"/>
    <n v="1"/>
    <n v="6"/>
    <n v="90"/>
    <n v="0"/>
    <n v="1"/>
    <n v="4"/>
    <s v="https://www.clickideacore.com/ClickHTML5/Visit.aspx?ID=//56DAEwASwAzADUAMQA2ADQAMgA2ADYASQBEAEUAQQAC=&amp;Tipo=2&amp;ST=1&amp;nLang=0"/>
  </r>
  <r>
    <x v="1"/>
    <s v="OP-S-013"/>
    <x v="1"/>
    <s v="Sin Auxiliar"/>
    <x v="81"/>
    <d v="2025-08-11T00:00:00"/>
    <n v="40"/>
    <x v="0"/>
    <n v="61"/>
    <n v="6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QA3ADkAMgA2ADcASQBEAEUAQQAB=&amp;Tipo=2&amp;ST=1&amp;nLang=0"/>
  </r>
  <r>
    <x v="2"/>
    <s v="OP-S-009"/>
    <x v="2"/>
    <s v="Sin Auxiliar"/>
    <x v="81"/>
    <d v="2025-08-11T00:00:00"/>
    <n v="68"/>
    <x v="0"/>
    <n v="12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UAMQA3ADcAMQA0ADYASQBEAEUAQQAE=&amp;Tipo=2&amp;ST=1&amp;nLang=0"/>
  </r>
  <r>
    <x v="3"/>
    <s v="OP-S-062"/>
    <x v="3"/>
    <s v="Sin Auxiliar"/>
    <x v="81"/>
    <d v="2025-08-11T00:00:00"/>
    <n v="35"/>
    <x v="0"/>
    <n v="10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1"/>
    <d v="2025-08-11T00:00:00"/>
    <n v="40"/>
    <x v="0"/>
    <n v="10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DDAEwASwAzADUAMQA3ADcAOQAwADcASQBEAEUAQQAE=&amp;Tipo=2&amp;ST=1&amp;nLang=0"/>
  </r>
  <r>
    <x v="5"/>
    <s v="OP-S-055"/>
    <x v="5"/>
    <s v="Sin Auxiliar"/>
    <x v="81"/>
    <d v="2025-08-11T00:00:00"/>
    <n v="29"/>
    <x v="0"/>
    <n v="18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5DAEwASwAzADUAMQA4ADUANwA5ADgASQBEAEUAQQAC=&amp;Tipo=2&amp;ST=1&amp;nLang=0"/>
  </r>
  <r>
    <x v="6"/>
    <s v="OP-S-R-001"/>
    <x v="18"/>
    <s v="Sin Auxiliar"/>
    <x v="81"/>
    <d v="2025-08-11T00:00:00"/>
    <n v="75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3ADkAMwA5ADgASQBEAEUAQQAE=&amp;Tipo=2&amp;ST=1&amp;nLang=0"/>
  </r>
  <r>
    <x v="7"/>
    <s v="OP-S-010"/>
    <x v="18"/>
    <s v="Sin Auxiliar"/>
    <x v="81"/>
    <d v="2025-08-11T00:00:00"/>
    <n v="196"/>
    <x v="0"/>
    <n v="7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QA3ADcAOAAwADIASQBEAEUAQQAD=&amp;Tipo=2&amp;ST=1&amp;nLang=0"/>
  </r>
  <r>
    <x v="20"/>
    <s v="OP-S-010"/>
    <x v="18"/>
    <s v="Sin Auxiliar"/>
    <x v="81"/>
    <d v="2025-08-11T00:00:00"/>
    <n v="196"/>
    <x v="0"/>
    <n v="7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DDAEwASwAzADUAMQA3ADcAOAAwADIASQBEAEUAQQAD=&amp;Tipo=2&amp;ST=1&amp;nLang=0"/>
  </r>
  <r>
    <x v="8"/>
    <s v="OP-S-004"/>
    <x v="8"/>
    <s v="Sin Auxiliar"/>
    <x v="81"/>
    <d v="2025-08-11T00:00:00"/>
    <n v="41"/>
    <x v="0"/>
    <n v="13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UAMQA4ADIAMAA5ADcASQBEAEUAQQAC=&amp;Tipo=2&amp;ST=1&amp;nLang=0"/>
  </r>
  <r>
    <x v="9"/>
    <s v="OP-S-001"/>
    <x v="9"/>
    <s v="Sin Auxiliar"/>
    <x v="81"/>
    <d v="2025-08-11T00:00:00"/>
    <n v="34"/>
    <x v="0"/>
    <n v="8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QA4ADUAOAA5ADcASQBEAEUAQQAD=&amp;Tipo=2&amp;ST=1&amp;nLang=0"/>
  </r>
  <r>
    <x v="10"/>
    <s v="OP-S-017"/>
    <x v="10"/>
    <s v="Sin Auxiliar"/>
    <x v="81"/>
    <d v="2025-08-11T00:00:00"/>
    <n v="46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UAMQA3ADYANgAyADEASQBEAEUAQQA0=&amp;Tipo=2&amp;ST=1&amp;nLang=0"/>
  </r>
  <r>
    <x v="11"/>
    <s v="OP-S-126"/>
    <x v="18"/>
    <s v="Sin Auxiliar"/>
    <x v="81"/>
    <d v="2025-08-11T00:00:00"/>
    <n v="31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QA3ADMAMAAwADQASQBEAEUAQQA4=&amp;Tipo=2&amp;ST=1&amp;nLang=0"/>
  </r>
  <r>
    <x v="19"/>
    <s v="OP-S-126"/>
    <x v="18"/>
    <s v="Sin Auxiliar"/>
    <x v="81"/>
    <d v="2025-08-11T00:00:00"/>
    <n v="31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QA3ADMAMAAwADQASQBEAEUAQQA4=&amp;Tipo=2&amp;ST=1&amp;nLang=0"/>
  </r>
  <r>
    <x v="12"/>
    <s v="OP-S-70"/>
    <x v="12"/>
    <s v="Sin Auxiliar"/>
    <x v="81"/>
    <d v="2025-08-11T00:00:00"/>
    <n v="45"/>
    <x v="0"/>
    <n v="41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ADAEwASwAzADUAMQA4ADYANwA3ADIASQBEAEUAQQAA=&amp;Tipo=2&amp;ST=1&amp;nLang=0"/>
  </r>
  <r>
    <x v="13"/>
    <s v="OP-S-060"/>
    <x v="13"/>
    <s v="Sin Auxiliar"/>
    <x v="81"/>
    <d v="2025-08-11T00:00:00"/>
    <n v="51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ADAEwASwAzADUAMQA4ADQAMQA2ADkASQBEAEUAQQAE=&amp;Tipo=2&amp;ST=1&amp;nLang=0"/>
  </r>
  <r>
    <x v="14"/>
    <s v="OP-S-011"/>
    <x v="14"/>
    <s v="Sin Auxiliar"/>
    <x v="81"/>
    <d v="2025-08-11T00:00:00"/>
    <n v="42"/>
    <x v="0"/>
    <n v="44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1DAEwASwAzADUAMQA4ADcAOQA0ADQASQBEAEUAQQA3=&amp;Tipo=2&amp;ST=1&amp;nLang=0"/>
  </r>
  <r>
    <x v="18"/>
    <s v="OP-S-002"/>
    <x v="6"/>
    <s v="Sin Auxiliar"/>
    <x v="81"/>
    <d v="2025-08-11T00:00:00"/>
    <n v="59"/>
    <x v="0"/>
    <n v="2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MQA3ADMANgA2ADkASQBEAEUAQQAD=&amp;Tipo=2&amp;ST=1&amp;nLang=0"/>
  </r>
  <r>
    <x v="15"/>
    <s v="OP-S-054"/>
    <x v="23"/>
    <s v="Sin Auxiliar"/>
    <x v="81"/>
    <d v="2025-08-11T00:00:00"/>
    <n v="34"/>
    <x v="0"/>
    <n v="6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MQA3ADMANgA2ADkASQBEAEUAQQAD=&amp;Tipo=2&amp;ST=1&amp;nLang=0"/>
  </r>
  <r>
    <x v="17"/>
    <s v="OP-S-055"/>
    <x v="18"/>
    <s v="Sin Auxiliar"/>
    <x v="81"/>
    <d v="2025-08-11T00:00:00"/>
    <n v="34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QA3ADMANgA2ADkASQBEAEUAQQAD=&amp;Tipo=2&amp;ST=1&amp;nLang=0"/>
  </r>
  <r>
    <x v="0"/>
    <s v="OP-S-056"/>
    <x v="18"/>
    <s v="Sin Auxiliar"/>
    <x v="81"/>
    <d v="2025-08-11T00:00:00"/>
    <n v="34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QA3ADMANgA2ADkASQBEAEUAQQAD=&amp;Tipo=2&amp;ST=1&amp;nLang=0"/>
  </r>
  <r>
    <x v="0"/>
    <s v="OP-S-106"/>
    <x v="18"/>
    <s v="Sin Auxiliar"/>
    <x v="82"/>
    <d v="2025-08-12T00:00:00"/>
    <n v="45"/>
    <x v="0"/>
    <n v="5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UAMgAxADAAOQA1ADEASQBEAEUAQQAD=&amp;Tipo=2&amp;ST=1&amp;nLang=0"/>
  </r>
  <r>
    <x v="1"/>
    <s v="OP-S-013"/>
    <x v="1"/>
    <s v="Sin Auxiliar"/>
    <x v="82"/>
    <d v="2025-08-12T00:00:00"/>
    <n v="25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UAMgAwADIAMwA0ADAASQBEAEUAQQA5=&amp;Tipo=2&amp;ST=1&amp;nLang=0"/>
  </r>
  <r>
    <x v="2"/>
    <s v="OP-S-009"/>
    <x v="2"/>
    <s v="Sin Auxiliar"/>
    <x v="82"/>
    <d v="2025-08-12T00:00:00"/>
    <n v="53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MgAwADAANgA1ADEASQBEAEUAQQAF=&amp;Tipo=2&amp;ST=1&amp;nLang=0"/>
  </r>
  <r>
    <x v="3"/>
    <s v="OP-S-062"/>
    <x v="3"/>
    <s v="Sin Auxiliar"/>
    <x v="82"/>
    <d v="2025-08-12T00:00:00"/>
    <n v="35"/>
    <x v="0"/>
    <n v="4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2"/>
    <d v="2025-08-12T00:00:00"/>
    <n v="69"/>
    <x v="0"/>
    <n v="64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UAMgAwADAANgA1ADMASQBEAEUAQQA1=&amp;Tipo=2&amp;ST=1&amp;nLang=0"/>
  </r>
  <r>
    <x v="19"/>
    <s v="OP-SDYR-001"/>
    <x v="18"/>
    <s v="Sin Auxiliar"/>
    <x v="82"/>
    <d v="2025-08-12T00:00:00"/>
    <n v="27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xADMAMQA1ADkASQBEAEUAQQAB=&amp;Tipo=2&amp;ST=1&amp;nLang=0"/>
  </r>
  <r>
    <x v="17"/>
    <s v="OP-SDYR-001"/>
    <x v="18"/>
    <s v="Sin Auxiliar"/>
    <x v="82"/>
    <d v="2025-08-12T00:00:00"/>
    <n v="27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xADMAMQA1ADkASQBEAEUAQQAB=&amp;Tipo=2&amp;ST=1&amp;nLang=0"/>
  </r>
  <r>
    <x v="7"/>
    <s v="OP-S-010"/>
    <x v="18"/>
    <s v="Sin Auxiliar"/>
    <x v="82"/>
    <d v="2025-08-12T00:00:00"/>
    <n v="4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QA5ADgANgA1ADcASQBEAEUAQQAB=&amp;Tipo=2&amp;ST=1&amp;nLang=0"/>
  </r>
  <r>
    <x v="20"/>
    <s v="OP-S-010"/>
    <x v="18"/>
    <s v="Sin Auxiliar"/>
    <x v="82"/>
    <d v="2025-08-12T00:00:00"/>
    <n v="4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QA5ADgANgA1ADcASQBEAEUAQQAB=&amp;Tipo=2&amp;ST=1&amp;nLang=0"/>
  </r>
  <r>
    <x v="8"/>
    <s v="OP-S-004"/>
    <x v="8"/>
    <s v="Sin Auxiliar"/>
    <x v="82"/>
    <d v="2025-08-12T00:00:00"/>
    <n v="41"/>
    <x v="0"/>
    <n v="4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CDAEwASwAzADUAMQA4ADIAMAA5ADcASQBEAEUAQQAC=&amp;Tipo=2&amp;ST=1&amp;nLang=0"/>
  </r>
  <r>
    <x v="9"/>
    <s v="OP-S-001"/>
    <x v="9"/>
    <s v="Sin Auxiliar"/>
    <x v="82"/>
    <d v="2025-08-12T00:00:00"/>
    <n v="34"/>
    <x v="0"/>
    <n v="8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QA4ADUAOAA5ADcASQBEAEUAQQAD=&amp;Tipo=2&amp;ST=1&amp;nLang=0"/>
  </r>
  <r>
    <x v="10"/>
    <s v="OP-S-017"/>
    <x v="10"/>
    <s v="Sin Auxiliar"/>
    <x v="82"/>
    <d v="2025-08-12T00:00:00"/>
    <n v="44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gAwADEANwA5ADAASQBEAEUAQQAE=&amp;Tipo=2&amp;ST=1&amp;nLang=0"/>
  </r>
  <r>
    <x v="12"/>
    <s v="OP-S-70"/>
    <x v="12"/>
    <s v="Sin Auxiliar"/>
    <x v="82"/>
    <d v="2025-08-12T00:00:00"/>
    <n v="20"/>
    <x v="0"/>
    <n v="29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1DAEwASwAzADUAMgAxADAANQAyADUASQBEAEUAQQA8=&amp;Tipo=2&amp;ST=1&amp;nLang=0"/>
  </r>
  <r>
    <x v="14"/>
    <s v="OP-S-011"/>
    <x v="14"/>
    <s v="Sin Auxiliar"/>
    <x v="82"/>
    <d v="2025-08-12T00:00:00"/>
    <n v="49"/>
    <x v="0"/>
    <n v="50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8DAEwASwAzADUAMgAxADEANAAxADkASQBEAEUAQQAC=&amp;Tipo=2&amp;ST=1&amp;nLang=0"/>
  </r>
  <r>
    <x v="15"/>
    <s v="OP-S-054"/>
    <x v="23"/>
    <s v="Sin Auxiliar"/>
    <x v="82"/>
    <d v="2025-08-12T00:00:00"/>
    <n v="24"/>
    <x v="0"/>
    <n v="46"/>
    <n v="0"/>
    <n v="0"/>
    <n v="0"/>
    <n v="0"/>
    <n v="0"/>
    <n v="0"/>
    <n v="3"/>
    <n v="0"/>
    <n v="0"/>
    <n v="0"/>
    <n v="0"/>
    <n v="0"/>
    <n v="0"/>
    <n v="0"/>
    <n v="0"/>
    <s v="https://www.clickideacore.com/ClickHTML5/Visit.aspx?ID=//5DDAEwASwAzADUAMQA5ADgANgA1ADMASQBEAEUAQQA3=&amp;Tipo=2&amp;ST=1&amp;nLang=0"/>
  </r>
  <r>
    <x v="13"/>
    <s v="OP-S-055"/>
    <x v="18"/>
    <s v="Sin Auxiliar"/>
    <x v="82"/>
    <d v="2025-08-12T00:00:00"/>
    <n v="2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5ADgANgA1ADMASQBEAEUAQQA3=&amp;Tipo=2&amp;ST=1&amp;nLang=0"/>
  </r>
  <r>
    <x v="11"/>
    <s v="OP-S-056"/>
    <x v="18"/>
    <s v="Sin Auxiliar"/>
    <x v="82"/>
    <d v="2025-08-12T00:00:00"/>
    <n v="26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5ADgANgA1ADMASQBEAEUAQQA3=&amp;Tipo=2&amp;ST=1&amp;nLang=0"/>
  </r>
  <r>
    <x v="23"/>
    <s v="OP-S-057"/>
    <x v="13"/>
    <s v="Sin Auxiliar"/>
    <x v="82"/>
    <d v="2025-08-12T00:00:00"/>
    <n v="27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5ADgANgA1ADMASQBEAEUAQQA3=&amp;Tipo=2&amp;ST=1&amp;nLang=0"/>
  </r>
  <r>
    <x v="23"/>
    <s v="OP-S-058"/>
    <x v="5"/>
    <s v="Sin Auxiliar"/>
    <x v="82"/>
    <d v="2025-08-12T00:00:00"/>
    <n v="28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QA5ADgANgA1ADMASQBEAEUAQQA3=&amp;Tipo=2&amp;ST=1&amp;nLang=0"/>
  </r>
  <r>
    <x v="5"/>
    <s v="OP-S-106"/>
    <x v="18"/>
    <s v="Sin Auxiliar"/>
    <x v="82"/>
    <d v="2025-08-12T00:00:00"/>
    <n v="45"/>
    <x v="0"/>
    <n v="5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MgAxADAAOQA1ADEASQBEAEUAQQAD=&amp;Tipo=2&amp;ST=1&amp;nLang=0"/>
  </r>
  <r>
    <x v="1"/>
    <s v="OP-S-013"/>
    <x v="1"/>
    <s v="Sin Auxiliar"/>
    <x v="83"/>
    <d v="2025-08-13T00:00:00"/>
    <n v="39"/>
    <x v="0"/>
    <n v="4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gAyADIAMAAwADAASQBEAEUAQQA7=&amp;Tipo=2&amp;ST=1&amp;nLang=0"/>
  </r>
  <r>
    <x v="2"/>
    <s v="OP-S-009"/>
    <x v="2"/>
    <s v="Sin Auxiliar"/>
    <x v="83"/>
    <d v="2025-08-13T00:00:00"/>
    <n v="33"/>
    <x v="0"/>
    <n v="4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gAyADEAOQAwADUASQBEAEUAQQAA=&amp;Tipo=2&amp;ST=1&amp;nLang=0"/>
  </r>
  <r>
    <x v="3"/>
    <s v="OP-S-062"/>
    <x v="3"/>
    <s v="Sin Auxiliar"/>
    <x v="83"/>
    <d v="2025-08-13T00:00:00"/>
    <n v="3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3"/>
    <d v="2025-08-13T00:00:00"/>
    <n v="59"/>
    <x v="0"/>
    <n v="101"/>
    <n v="0"/>
    <n v="0"/>
    <n v="0"/>
    <n v="0"/>
    <n v="0"/>
    <n v="0"/>
    <n v="2"/>
    <n v="59"/>
    <n v="0"/>
    <n v="0"/>
    <n v="0"/>
    <n v="0"/>
    <n v="0"/>
    <n v="0"/>
    <n v="0"/>
    <s v="https://www.clickideacore.com/ClickHTML5/Visit.aspx?ID=//56DAEwASwAzADUAMgAyADYAMgAzADIASQBEAEUAQQA8=&amp;Tipo=2&amp;ST=1&amp;nLang=0"/>
  </r>
  <r>
    <x v="5"/>
    <s v="OP-S-055"/>
    <x v="5"/>
    <s v="Sin Auxiliar"/>
    <x v="83"/>
    <d v="2025-08-13T00:00:00"/>
    <n v="25"/>
    <x v="0"/>
    <n v="45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7DAEwASwAzADUAMgAzADAAMQAxADUASQBEAEUAQQAC=&amp;Tipo=2&amp;ST=1&amp;nLang=0"/>
  </r>
  <r>
    <x v="6"/>
    <s v="OP-S-R-001"/>
    <x v="18"/>
    <s v="Sin Auxiliar"/>
    <x v="83"/>
    <d v="2025-08-13T00:00:00"/>
    <n v="40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gAyADUANwAxADYASQBEAEUAQQA7=&amp;Tipo=2&amp;ST=1&amp;nLang=0"/>
  </r>
  <r>
    <x v="7"/>
    <s v="OP-S-010"/>
    <x v="18"/>
    <s v="Sin Auxiliar"/>
    <x v="83"/>
    <d v="2025-08-13T00:00:00"/>
    <n v="92"/>
    <x v="0"/>
    <n v="7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UAMgAyADQAOAAwADYASQBEAEUAQQAD=&amp;Tipo=2&amp;ST=1&amp;nLang=0"/>
  </r>
  <r>
    <x v="20"/>
    <s v="OP-S-010"/>
    <x v="18"/>
    <s v="Sin Auxiliar"/>
    <x v="83"/>
    <d v="2025-08-13T00:00:00"/>
    <n v="220"/>
    <x v="0"/>
    <n v="7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UAMgAyADQANwA3ADEASQBEAEUAQQA8=&amp;Tipo=2&amp;ST=1&amp;nLang=0"/>
  </r>
  <r>
    <x v="8"/>
    <s v="OP-S-004"/>
    <x v="8"/>
    <s v="Sin Auxiliar"/>
    <x v="83"/>
    <d v="2025-08-13T00:00:00"/>
    <n v="32"/>
    <x v="0"/>
    <n v="4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gAyADQANwAxADgASQBEAEUAQQA1=&amp;Tipo=2&amp;ST=1&amp;nLang=0"/>
  </r>
  <r>
    <x v="9"/>
    <s v="OP-S-001"/>
    <x v="9"/>
    <s v="Sin Auxiliar"/>
    <x v="83"/>
    <d v="2025-08-13T00:00:00"/>
    <n v="19"/>
    <x v="0"/>
    <n v="4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gAyADYANwAyADgASQBEAEUAQQA2=&amp;Tipo=2&amp;ST=1&amp;nLang=0"/>
  </r>
  <r>
    <x v="10"/>
    <s v="OP-S-017"/>
    <x v="10"/>
    <s v="Sin Auxiliar"/>
    <x v="83"/>
    <d v="2025-08-13T00:00:00"/>
    <n v="45"/>
    <x v="0"/>
    <n v="7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MgAyADMANwA4ADIASQBEAEUAQQA5=&amp;Tipo=2&amp;ST=1&amp;nLang=0"/>
  </r>
  <r>
    <x v="12"/>
    <s v="OP-S-70"/>
    <x v="12"/>
    <s v="Sin Auxiliar"/>
    <x v="83"/>
    <d v="2025-08-13T00:00:00"/>
    <n v="20"/>
    <x v="0"/>
    <n v="57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1DAEwASwAzADUAMgAxADAANQAyADUASQBEAEUAQQA8=&amp;Tipo=2&amp;ST=1&amp;nLang=0"/>
  </r>
  <r>
    <x v="11"/>
    <s v="OP-S-126"/>
    <x v="18"/>
    <s v="Sin Auxiliar"/>
    <x v="83"/>
    <d v="2025-08-13T00:00:00"/>
    <n v="30"/>
    <x v="0"/>
    <n v="6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gAzADYANQA0ADAASQBEAEUAQQA3=&amp;Tipo=2&amp;ST=1&amp;nLang=0"/>
  </r>
  <r>
    <x v="19"/>
    <s v="OP-S-126"/>
    <x v="18"/>
    <s v="Sin Auxiliar"/>
    <x v="83"/>
    <d v="2025-08-13T00:00:00"/>
    <n v="30"/>
    <x v="0"/>
    <n v="6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gAzADYANQA0ADAASQBEAEUAQQA3=&amp;Tipo=2&amp;ST=1&amp;nLang=0"/>
  </r>
  <r>
    <x v="13"/>
    <s v="OP-S-060"/>
    <x v="13"/>
    <s v="Sin Auxiliar"/>
    <x v="83"/>
    <d v="2025-08-13T00:00:00"/>
    <n v="136"/>
    <x v="0"/>
    <n v="5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UAMgAzADIAMgA1ADkASQBEAEUAQQA2=&amp;Tipo=2&amp;ST=1&amp;nLang=0"/>
  </r>
  <r>
    <x v="14"/>
    <s v="OP-S-011"/>
    <x v="14"/>
    <s v="Sin Auxiliar"/>
    <x v="83"/>
    <d v="2025-08-13T00:00:00"/>
    <n v="49"/>
    <x v="0"/>
    <n v="19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8DAEwASwAzADUAMgAxADEANAAxADkASQBEAEUAQQAC=&amp;Tipo=2&amp;ST=1&amp;nLang=0"/>
  </r>
  <r>
    <x v="18"/>
    <s v="OP-S-002"/>
    <x v="6"/>
    <s v="Sin Auxiliar"/>
    <x v="83"/>
    <d v="2025-08-13T00:00:00"/>
    <n v="54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ADAEwASwAzADUAMgAzADEAMgAyADkASQBEAEUAQQAA=&amp;Tipo=2&amp;ST=1&amp;nLang=0"/>
  </r>
  <r>
    <x v="15"/>
    <s v="OP-S-054"/>
    <x v="23"/>
    <s v="Sin Auxiliar"/>
    <x v="83"/>
    <d v="2025-08-13T00:00:00"/>
    <n v="28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MgAyADEAMwA1ADMASQBEAEUAQQAD=&amp;Tipo=2&amp;ST=1&amp;nLang=0"/>
  </r>
  <r>
    <x v="0"/>
    <s v="OP-S-055"/>
    <x v="18"/>
    <s v="Sin Auxiliar"/>
    <x v="83"/>
    <d v="2025-08-13T00:00:00"/>
    <n v="29"/>
    <x v="0"/>
    <n v="1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gAyADEAMwA1ADMASQBEAEUAQQAD=&amp;Tipo=2&amp;ST=1&amp;nLang=0"/>
  </r>
  <r>
    <x v="17"/>
    <s v="OP-S-056"/>
    <x v="18"/>
    <s v="Sin Auxiliar"/>
    <x v="83"/>
    <d v="2025-08-13T00:00:00"/>
    <n v="30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gAyADEAMwA1ADMASQBEAEUAQQAD=&amp;Tipo=2&amp;ST=1&amp;nLang=0"/>
  </r>
  <r>
    <x v="0"/>
    <s v="OP-S-106"/>
    <x v="23"/>
    <s v="Sin Auxiliar"/>
    <x v="84"/>
    <d v="2025-08-14T00:00:00"/>
    <n v="29"/>
    <x v="0"/>
    <n v="52"/>
    <n v="0"/>
    <n v="0"/>
    <n v="1"/>
    <n v="0"/>
    <n v="1"/>
    <n v="0"/>
    <n v="0"/>
    <n v="0"/>
    <n v="0"/>
    <n v="0"/>
    <n v="0"/>
    <n v="0"/>
    <n v="0"/>
    <n v="0"/>
    <n v="1"/>
    <s v="https://www.clickideacore.com/ClickHTML5/Visit.aspx?ID=//5ADAEwASwAzADUAMgA1ADAANwAzADUASQBEAEUAQQA8=&amp;Tipo=2&amp;ST=1&amp;nLang=0"/>
  </r>
  <r>
    <x v="1"/>
    <s v="OP-S-013"/>
    <x v="1"/>
    <s v="Sin Auxiliar"/>
    <x v="84"/>
    <d v="2025-08-14T00:00:00"/>
    <n v="43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MgA0ADYANwA1ADcASQBEAEUAQQA1=&amp;Tipo=2&amp;ST=1&amp;nLang=0"/>
  </r>
  <r>
    <x v="2"/>
    <s v="OP-S-009"/>
    <x v="2"/>
    <s v="Sin Auxiliar"/>
    <x v="84"/>
    <d v="2025-08-14T00:00:00"/>
    <n v="29"/>
    <x v="0"/>
    <n v="10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UAMgA0ADUAMwAzADEASQBEAEUAQQA7=&amp;Tipo=2&amp;ST=1&amp;nLang=0"/>
  </r>
  <r>
    <x v="3"/>
    <s v="OP-S-062"/>
    <x v="3"/>
    <s v="Sin Auxiliar"/>
    <x v="84"/>
    <d v="2025-08-14T00:00:00"/>
    <n v="35"/>
    <x v="0"/>
    <n v="10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4"/>
    <d v="2025-08-14T00:00:00"/>
    <n v="59"/>
    <x v="0"/>
    <n v="75"/>
    <n v="0"/>
    <n v="0"/>
    <n v="0"/>
    <n v="0"/>
    <n v="0"/>
    <n v="0"/>
    <n v="0"/>
    <n v="59"/>
    <n v="0"/>
    <n v="0"/>
    <n v="0"/>
    <n v="0"/>
    <n v="0"/>
    <n v="0"/>
    <n v="0"/>
    <s v="https://www.clickideacore.com/ClickHTML5/Visit.aspx?ID=//56DAEwASwAzADUAMgAyADYAMgAzADIASQBEAEUAQQA8=&amp;Tipo=2&amp;ST=1&amp;nLang=0"/>
  </r>
  <r>
    <x v="5"/>
    <s v="OP-S-055"/>
    <x v="5"/>
    <s v="Sin Auxiliar"/>
    <x v="84"/>
    <d v="2025-08-14T00:00:00"/>
    <n v="35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1ADQANgA2ADUASQBEAEUAQQAB=&amp;Tipo=2&amp;ST=1&amp;nLang=0"/>
  </r>
  <r>
    <x v="6"/>
    <s v="OP-S-R-001"/>
    <x v="18"/>
    <s v="Sin Auxiliar"/>
    <x v="84"/>
    <d v="2025-08-14T00:00:00"/>
    <n v="41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MgA1ADIAMgAyADYASQBEAEUAQQAD=&amp;Tipo=2&amp;ST=1&amp;nLang=0"/>
  </r>
  <r>
    <x v="7"/>
    <s v="OP-S-010"/>
    <x v="18"/>
    <s v="Sin Auxiliar"/>
    <x v="84"/>
    <d v="2025-08-14T00:00:00"/>
    <n v="8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MgA0ADAANwA0ADAASQBEAEUAQQAA=&amp;Tipo=2&amp;ST=1&amp;nLang=0"/>
  </r>
  <r>
    <x v="20"/>
    <s v="OP-S-010"/>
    <x v="18"/>
    <s v="Sin Auxiliar"/>
    <x v="84"/>
    <d v="2025-08-14T00:00:00"/>
    <n v="85"/>
    <x v="0"/>
    <n v="2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MgA0ADAANwA0ADAASQBEAEUAQQAA=&amp;Tipo=2&amp;ST=1&amp;nLang=0"/>
  </r>
  <r>
    <x v="8"/>
    <s v="OP-S-004"/>
    <x v="8"/>
    <s v="Sin Auxiliar"/>
    <x v="84"/>
    <d v="2025-08-14T00:00:00"/>
    <n v="32"/>
    <x v="0"/>
    <n v="13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gAyADQANwAxADgASQBEAEUAQQA1=&amp;Tipo=2&amp;ST=1&amp;nLang=0"/>
  </r>
  <r>
    <x v="9"/>
    <s v="OP-S-001"/>
    <x v="17"/>
    <s v="Sin Auxiliar"/>
    <x v="84"/>
    <d v="2025-08-14T00:00:00"/>
    <n v="26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MgA0ADkAOAA3ADQASQBEAEUAQQAD=&amp;Tipo=2&amp;ST=1&amp;nLang=0"/>
  </r>
  <r>
    <x v="10"/>
    <s v="OP-S-017"/>
    <x v="10"/>
    <s v="Sin Auxiliar"/>
    <x v="84"/>
    <d v="2025-08-14T00:00:00"/>
    <n v="61"/>
    <x v="0"/>
    <n v="3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gA0ADYAOAA3ADIASQBEAEUAQQA8=&amp;Tipo=2&amp;ST=1&amp;nLang=0"/>
  </r>
  <r>
    <x v="11"/>
    <s v="OP-S-126"/>
    <x v="18"/>
    <s v="Sin Auxiliar"/>
    <x v="84"/>
    <d v="2025-08-14T00:00:00"/>
    <n v="63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gA1ADgANQA5ADAASQBEAEUAQQA8=&amp;Tipo=2&amp;ST=1&amp;nLang=0"/>
  </r>
  <r>
    <x v="19"/>
    <s v="OP-S-126"/>
    <x v="18"/>
    <s v="Sin Auxiliar"/>
    <x v="84"/>
    <d v="2025-08-14T00:00:00"/>
    <n v="63"/>
    <x v="0"/>
    <n v="5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gA1ADgANQA5ADAASQBEAEUAQQA8=&amp;Tipo=2&amp;ST=1&amp;nLang=0"/>
  </r>
  <r>
    <x v="12"/>
    <s v="OP-S-70"/>
    <x v="12"/>
    <s v="Sin Auxiliar"/>
    <x v="84"/>
    <d v="2025-08-14T00:00:00"/>
    <n v="31"/>
    <x v="0"/>
    <n v="27"/>
    <n v="0"/>
    <n v="0"/>
    <n v="1"/>
    <n v="1"/>
    <n v="0"/>
    <n v="1"/>
    <n v="0"/>
    <n v="31"/>
    <n v="0"/>
    <n v="0"/>
    <n v="0"/>
    <n v="0"/>
    <n v="0"/>
    <n v="0"/>
    <n v="0"/>
    <s v="https://www.clickideacore.com/ClickHTML5/Visit.aspx?ID=//51DAEwASwAzADUAMgA1ADYAMQAxADEASQBEAEUAQQA6=&amp;Tipo=2&amp;ST=1&amp;nLang=0"/>
  </r>
  <r>
    <x v="14"/>
    <s v="OP-S-011"/>
    <x v="14"/>
    <s v="Sin Auxiliar"/>
    <x v="84"/>
    <d v="2025-08-14T00:00:00"/>
    <n v="39"/>
    <x v="0"/>
    <n v="3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BDAEwASwAzADUAMgA1ADcAMwA1ADAASQBEAEUAQQA6=&amp;Tipo=2&amp;ST=1&amp;nLang=0"/>
  </r>
  <r>
    <x v="18"/>
    <s v="OP-S-002"/>
    <x v="6"/>
    <s v="Sin Auxiliar"/>
    <x v="84"/>
    <d v="2025-08-14T00:00:00"/>
    <n v="36"/>
    <x v="0"/>
    <n v="25"/>
    <n v="0"/>
    <n v="0"/>
    <n v="1"/>
    <n v="0"/>
    <n v="0"/>
    <n v="0"/>
    <n v="0"/>
    <n v="25"/>
    <n v="0"/>
    <n v="0"/>
    <n v="0"/>
    <n v="0"/>
    <n v="0"/>
    <n v="0"/>
    <n v="0"/>
    <s v="https://www.clickideacore.com/ClickHTML5/Visit.aspx?ID=//5ADAEwASwAzADUAMgA1ADMANAA4ADAASQBEAEUAQQA1=&amp;Tipo=2&amp;ST=1&amp;nLang=0"/>
  </r>
  <r>
    <x v="15"/>
    <s v="OP-S-054"/>
    <x v="13"/>
    <s v="Sin Auxiliar"/>
    <x v="84"/>
    <d v="2025-08-14T00:00:00"/>
    <n v="45"/>
    <x v="0"/>
    <n v="33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0DAEwASwAzADUAMgA0ADIANwA1ADUASQBEAEUAQQAB=&amp;Tipo=2&amp;ST=1&amp;nLang=0"/>
  </r>
  <r>
    <x v="14"/>
    <s v="OP-S-011"/>
    <x v="14"/>
    <s v="Sin Auxiliar"/>
    <x v="85"/>
    <d v="2025-08-15T00:00:00"/>
    <n v="124"/>
    <x v="0"/>
    <n v="0"/>
    <n v="0"/>
    <n v="0"/>
    <n v="0"/>
    <n v="0"/>
    <n v="0"/>
    <n v="0"/>
    <n v="0"/>
    <n v="0"/>
    <n v="0"/>
    <n v="1"/>
    <n v="30"/>
    <n v="27"/>
    <n v="0"/>
    <n v="1"/>
    <n v="0"/>
    <s v="https://www.clickideacore.com/ClickHTML5/Visit.aspx?ID=//54DAEwASwAzADUAMgA3ADcAMAAzADQASQBEAEUAQQAB=&amp;Tipo=2&amp;ST=1&amp;nLang=0"/>
  </r>
  <r>
    <x v="17"/>
    <s v="OP-S-0010"/>
    <x v="23"/>
    <s v="Sin Auxiliar"/>
    <x v="85"/>
    <d v="2025-08-15T00:00:00"/>
    <n v="58"/>
    <x v="0"/>
    <n v="0"/>
    <n v="0"/>
    <n v="0"/>
    <n v="1"/>
    <n v="0"/>
    <n v="1"/>
    <n v="0"/>
    <n v="0"/>
    <n v="0"/>
    <n v="0"/>
    <n v="1"/>
    <n v="42"/>
    <n v="24"/>
    <n v="0"/>
    <n v="1"/>
    <n v="0"/>
    <s v="https://www.clickideacore.com/ClickHTML5/Visit.aspx?ID=//56DAEwASwAzADUAMgA3ADMANAA4ADAASQBEAEUAQQA3=&amp;Tipo=2&amp;ST=1&amp;nLang=0"/>
  </r>
  <r>
    <x v="8"/>
    <s v="OP-S-004"/>
    <x v="8"/>
    <s v="Sin Auxiliar"/>
    <x v="86"/>
    <d v="2025-08-16T00:00:00"/>
    <n v="147"/>
    <x v="0"/>
    <n v="0"/>
    <n v="0"/>
    <n v="0"/>
    <n v="0"/>
    <n v="0"/>
    <n v="0"/>
    <n v="0"/>
    <n v="0"/>
    <n v="15"/>
    <n v="1"/>
    <n v="0"/>
    <n v="24"/>
    <n v="31"/>
    <n v="1"/>
    <n v="0"/>
    <n v="0"/>
    <s v="https://www.clickideacore.com/ClickHTML5/Visit.aspx?ID=//57DAEwASwAzADUAMgA5ADAAMAAzADcASQBEAEUAQQAB=&amp;Tipo=2&amp;ST=1&amp;nLang=0"/>
  </r>
  <r>
    <x v="13"/>
    <s v="OP-S-060"/>
    <x v="23"/>
    <s v="Sin Auxiliar"/>
    <x v="86"/>
    <d v="2025-08-16T00:00:00"/>
    <n v="38"/>
    <x v="0"/>
    <n v="0"/>
    <n v="0"/>
    <n v="0"/>
    <n v="0"/>
    <n v="0"/>
    <n v="0"/>
    <n v="0"/>
    <n v="0"/>
    <n v="0"/>
    <n v="1"/>
    <n v="0"/>
    <n v="0"/>
    <n v="27"/>
    <n v="1"/>
    <n v="0"/>
    <n v="0"/>
    <s v="https://www.clickideacore.com/ClickHTML5/Visit.aspx?ID=//53DAEwASwAzADUAMgA4ADgAMgAwADkASQBEAEUAQQAC=&amp;Tipo=2&amp;ST=1&amp;nLang=0"/>
  </r>
  <r>
    <x v="17"/>
    <s v="OP-S-0010"/>
    <x v="14"/>
    <s v="Sin Auxiliar"/>
    <x v="87"/>
    <d v="2025-08-17T00:00:00"/>
    <n v="422"/>
    <x v="0"/>
    <n v="0"/>
    <n v="0"/>
    <n v="0"/>
    <n v="0"/>
    <n v="0"/>
    <n v="0"/>
    <n v="0"/>
    <n v="0"/>
    <n v="0"/>
    <n v="0"/>
    <n v="1"/>
    <n v="9"/>
    <n v="14"/>
    <n v="0"/>
    <n v="1"/>
    <n v="0"/>
    <s v="https://www.clickideacore.com/ClickHTML5/Visit.aspx?ID=//5ADAEwASwAzADUAMwAwADAAMQA4ADcASQBEAEUAQQA2=&amp;Tipo=2&amp;ST=1&amp;nLang=0"/>
  </r>
  <r>
    <x v="1"/>
    <s v="OP-S-013"/>
    <x v="1"/>
    <s v="Sin Auxiliar"/>
    <x v="88"/>
    <d v="2025-08-18T00:00:00"/>
    <n v="42"/>
    <x v="0"/>
    <n v="5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MwAwADYAMgAxADcASQBEAEUAQQAD=&amp;Tipo=2&amp;ST=1&amp;nLang=0"/>
  </r>
  <r>
    <x v="2"/>
    <s v="OP-S-009"/>
    <x v="2"/>
    <s v="Sin Auxiliar"/>
    <x v="88"/>
    <d v="2025-08-18T00:00:00"/>
    <n v="43"/>
    <x v="0"/>
    <n v="128"/>
    <n v="0"/>
    <n v="0"/>
    <n v="1"/>
    <n v="0"/>
    <n v="0"/>
    <n v="0"/>
    <n v="0"/>
    <n v="0"/>
    <n v="0"/>
    <n v="0"/>
    <n v="0"/>
    <n v="0"/>
    <n v="0"/>
    <n v="0"/>
    <n v="3"/>
    <s v="https://www.clickideacore.com/ClickHTML5/Visit.aspx?ID=//56DAEwASwAzADUAMwAwADYAMAAxADgASQBEAEUAQQAE=&amp;Tipo=2&amp;ST=1&amp;nLang=0"/>
  </r>
  <r>
    <x v="3"/>
    <s v="OP-S-062"/>
    <x v="3"/>
    <s v="Sin Auxiliar"/>
    <x v="88"/>
    <d v="2025-08-18T00:00:00"/>
    <n v="44"/>
    <x v="0"/>
    <n v="11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8"/>
    <d v="2025-08-18T00:00:00"/>
    <n v="45"/>
    <x v="0"/>
    <n v="103"/>
    <n v="0"/>
    <n v="0"/>
    <n v="0"/>
    <n v="0"/>
    <n v="0"/>
    <n v="0"/>
    <n v="1"/>
    <n v="50"/>
    <n v="0"/>
    <n v="0"/>
    <n v="0"/>
    <n v="0"/>
    <n v="0"/>
    <n v="0"/>
    <n v="0"/>
    <s v="https://www.clickideacore.com/ClickHTML5/Visit.aspx?ID=//58DAEwASwAzADUAMwAwADYAOAAxADkASQBEAEUAQQAB=&amp;Tipo=2&amp;ST=1&amp;nLang=0"/>
  </r>
  <r>
    <x v="6"/>
    <s v="OP-S-R-001"/>
    <x v="18"/>
    <s v="Sin Auxiliar"/>
    <x v="88"/>
    <d v="2025-08-18T00:00:00"/>
    <n v="46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9DAEwASwAzADUAMwAwADYANwA0ADkASQBEAEUAQQA0=&amp;Tipo=2&amp;ST=1&amp;nLang=0"/>
  </r>
  <r>
    <x v="7"/>
    <s v="OP-S-010"/>
    <x v="18"/>
    <s v="Sin Auxiliar"/>
    <x v="88"/>
    <d v="2025-08-18T00:00:00"/>
    <n v="47"/>
    <x v="0"/>
    <n v="6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8DAEwASwAzADUAMwAwADcANAAwADMASQBEAEUAQQAE=&amp;Tipo=2&amp;ST=1&amp;nLang=0"/>
  </r>
  <r>
    <x v="20"/>
    <s v="OP-S-010"/>
    <x v="18"/>
    <s v="Sin Auxiliar"/>
    <x v="88"/>
    <d v="2025-08-18T00:00:00"/>
    <n v="47"/>
    <x v="0"/>
    <n v="6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8DAEwASwAzADUAMwAwADcANAAwADMASQBEAEUAQQAE=&amp;Tipo=2&amp;ST=1&amp;nLang=0"/>
  </r>
  <r>
    <x v="8"/>
    <s v="OP-S-004"/>
    <x v="8"/>
    <s v="Sin Auxiliar"/>
    <x v="88"/>
    <d v="2025-08-18T00:00:00"/>
    <n v="32"/>
    <x v="0"/>
    <n v="13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gAyADQANwAxADgASQBEAEUAQQA1=&amp;Tipo=2&amp;ST=1&amp;nLang=0"/>
  </r>
  <r>
    <x v="9"/>
    <s v="OP-S-001"/>
    <x v="9"/>
    <s v="Sin Auxiliar"/>
    <x v="88"/>
    <d v="2025-08-18T00:00:00"/>
    <n v="49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MwAwADcAOAA0ADUASQBEAEUAQQAF=&amp;Tipo=2&amp;ST=1&amp;nLang=0"/>
  </r>
  <r>
    <x v="10"/>
    <s v="OP-S-017"/>
    <x v="10"/>
    <s v="Sin Auxiliar"/>
    <x v="88"/>
    <d v="2025-08-18T00:00:00"/>
    <n v="50"/>
    <x v="0"/>
    <n v="7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UAMwAwADUAMgA4ADYASQBEAEUAQQAD=&amp;Tipo=2&amp;ST=1&amp;nLang=0"/>
  </r>
  <r>
    <x v="11"/>
    <s v="OP-S-126"/>
    <x v="18"/>
    <s v="Sin Auxiliar"/>
    <x v="88"/>
    <d v="2025-08-18T00:00:00"/>
    <n v="51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wAwADQANAA5ADYASQBEAEUAQQAD=&amp;Tipo=2&amp;ST=1&amp;nLang=0"/>
  </r>
  <r>
    <x v="19"/>
    <s v="OP-S-126"/>
    <x v="18"/>
    <s v="Sin Auxiliar"/>
    <x v="88"/>
    <d v="2025-08-18T00:00:00"/>
    <n v="52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MwAwADQANAA5ADYASQBEAEUAQQAD=&amp;Tipo=2&amp;ST=1&amp;nLang=0"/>
  </r>
  <r>
    <x v="12"/>
    <s v="OP-S-70"/>
    <x v="12"/>
    <s v="Sin Auxiliar"/>
    <x v="88"/>
    <d v="2025-08-18T00:00:00"/>
    <n v="53"/>
    <x v="0"/>
    <n v="42"/>
    <n v="0"/>
    <n v="0"/>
    <n v="1"/>
    <n v="1"/>
    <n v="0"/>
    <n v="0"/>
    <n v="0"/>
    <n v="39"/>
    <n v="0"/>
    <n v="0"/>
    <n v="0"/>
    <n v="0"/>
    <n v="0"/>
    <n v="0"/>
    <n v="0"/>
    <s v="https://www.clickideacore.com/ClickHTML5/Visit.aspx?ID=//5EDAEwASwAzADUAMwAwADkAMAAwADYASQBEAEUAQQAA=&amp;Tipo=2&amp;ST=1&amp;nLang=0"/>
  </r>
  <r>
    <x v="13"/>
    <s v="OP-S-060"/>
    <x v="13"/>
    <s v="Sin Auxiliar"/>
    <x v="88"/>
    <d v="2025-08-18T00:00:00"/>
    <n v="54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6DAEwASwAzADUAMwAwADgAMAAwADYASQBEAEUAQQA0=&amp;Tipo=2&amp;ST=1&amp;nLang=0"/>
  </r>
  <r>
    <x v="14"/>
    <s v="OP-S-011"/>
    <x v="14"/>
    <s v="Sin Auxiliar"/>
    <x v="88"/>
    <d v="2025-08-18T00:00:00"/>
    <n v="55"/>
    <x v="0"/>
    <n v="51"/>
    <n v="0"/>
    <n v="0"/>
    <n v="0"/>
    <n v="0"/>
    <n v="0"/>
    <n v="0"/>
    <n v="0"/>
    <n v="2"/>
    <n v="0"/>
    <n v="0"/>
    <n v="0"/>
    <n v="0"/>
    <n v="0"/>
    <n v="0"/>
    <n v="1"/>
    <s v="https://www.clickideacore.com/ClickHTML5/Visit.aspx?ID=//52DAEwASwAzADUAMwAwADkANwAwADMASQBEAEUAQQAF=&amp;Tipo=2&amp;ST=1&amp;nLang=0"/>
  </r>
  <r>
    <x v="18"/>
    <s v="OP-S-002"/>
    <x v="6"/>
    <s v="Sin Auxiliar"/>
    <x v="88"/>
    <d v="2025-08-18T00:00:00"/>
    <n v="56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5DAEwASwAzADUAMwAwADYAOQA5ADYASQBEAEUAQQAE=&amp;Tipo=2&amp;ST=1&amp;nLang=0"/>
  </r>
  <r>
    <x v="15"/>
    <s v="OP-S-054"/>
    <x v="23"/>
    <s v="Sin Auxiliar"/>
    <x v="88"/>
    <d v="2025-08-18T00:00:00"/>
    <n v="57"/>
    <x v="0"/>
    <n v="5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MwAwADQAMgAyADAASQBEAEUAQQA1=&amp;Tipo=2&amp;ST=1&amp;nLang=0"/>
  </r>
  <r>
    <x v="17"/>
    <s v="OP-S-055"/>
    <x v="5"/>
    <s v="Sin Auxiliar"/>
    <x v="88"/>
    <d v="2025-08-18T00:00:00"/>
    <n v="58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1ADQANgA2ADUASQBEAEUAQQAB=&amp;Tipo=2&amp;ST=1&amp;nLang=0"/>
  </r>
  <r>
    <x v="0"/>
    <s v="OP-S-056"/>
    <x v="18"/>
    <s v="Sin Auxiliar"/>
    <x v="88"/>
    <d v="2025-08-18T00:00:00"/>
    <n v="59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1ADQANgA2ADUASQBEAEUAQQAB=&amp;Tipo=2&amp;ST=1&amp;nLang=0"/>
  </r>
  <r>
    <x v="23"/>
    <s v="OP-S-057"/>
    <x v="0"/>
    <s v="Sin Auxiliar"/>
    <x v="88"/>
    <d v="2025-08-18T00:00:00"/>
    <n v="60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1ADQANgA2ADUASQBEAEUAQQAB=&amp;Tipo=2&amp;ST=1&amp;nLang=0"/>
  </r>
  <r>
    <x v="22"/>
    <s v="OP-S-058"/>
    <x v="18"/>
    <s v="Sin Auxiliar"/>
    <x v="88"/>
    <d v="2025-08-18T00:00:00"/>
    <n v="61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gA1ADQANgA2ADUASQBEAEUAQQAB=&amp;Tipo=2&amp;ST=1&amp;nLang=0"/>
  </r>
  <r>
    <x v="0"/>
    <s v="OP-S-106"/>
    <x v="0"/>
    <s v="Sin Auxiliar"/>
    <x v="89"/>
    <d v="2025-08-19T00:00:00"/>
    <n v="33"/>
    <x v="0"/>
    <n v="5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MwAzADAAMQAzADEASQBEAEUAQQA3=&amp;Tipo=2&amp;ST=1&amp;nLang=0"/>
  </r>
  <r>
    <x v="1"/>
    <s v="OP-S-013"/>
    <x v="1"/>
    <s v="Sin Auxiliar"/>
    <x v="89"/>
    <d v="2025-08-19T00:00:00"/>
    <n v="30"/>
    <x v="0"/>
    <n v="7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MwAyADEANgA0ADUASQBEAEUAQQA4=&amp;Tipo=2&amp;ST=1&amp;nLang=0"/>
  </r>
  <r>
    <x v="2"/>
    <s v="OP-S-009"/>
    <x v="2"/>
    <s v="Sin Auxiliar"/>
    <x v="89"/>
    <d v="2025-08-19T00:00:00"/>
    <n v="120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MwAyADEAOQA2ADcASQBEAEUAQQAD=&amp;Tipo=2&amp;ST=1&amp;nLang=0"/>
  </r>
  <r>
    <x v="3"/>
    <s v="OP-S-062"/>
    <x v="3"/>
    <s v="Sin Auxiliar"/>
    <x v="89"/>
    <d v="2025-08-19T00:00:00"/>
    <n v="44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89"/>
    <d v="2025-08-19T00:00:00"/>
    <n v="40"/>
    <x v="0"/>
    <n v="65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EDAEwASwAzADUAMwAyADIAMQAwADcASQBEAEUAQQA3=&amp;Tipo=2&amp;ST=1&amp;nLang=0"/>
  </r>
  <r>
    <x v="6"/>
    <s v="OP-S-R-001"/>
    <x v="18"/>
    <s v="Sin Auxiliar"/>
    <x v="89"/>
    <d v="2025-08-19T00:00:00"/>
    <n v="42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wAyADYAOAA3ADMASQBEAEUAQQAE=&amp;Tipo=2&amp;ST=1&amp;nLang=0"/>
  </r>
  <r>
    <x v="7"/>
    <s v="OP-S-010"/>
    <x v="18"/>
    <s v="Sin Auxiliar"/>
    <x v="89"/>
    <d v="2025-08-19T00:00:00"/>
    <n v="207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wAxADgAMwAzADMASQBEAEUAQQA6=&amp;Tipo=2&amp;ST=1&amp;nLang=0"/>
  </r>
  <r>
    <x v="20"/>
    <s v="OP-S-010"/>
    <x v="18"/>
    <s v="Sin Auxiliar"/>
    <x v="89"/>
    <d v="2025-08-19T00:00:00"/>
    <n v="207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wAxADgAMwAzADMASQBEAEUAQQA6=&amp;Tipo=2&amp;ST=1&amp;nLang=0"/>
  </r>
  <r>
    <x v="8"/>
    <s v="OP-S-004"/>
    <x v="8"/>
    <s v="Sin Auxiliar"/>
    <x v="89"/>
    <d v="2025-08-19T00:00:00"/>
    <n v="1596"/>
    <x v="0"/>
    <n v="4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MwAyADYANgA3ADcASQBEAEUAQQA1=&amp;Tipo=2&amp;ST=1&amp;nLang=0"/>
  </r>
  <r>
    <x v="9"/>
    <s v="OP-S-001"/>
    <x v="9"/>
    <s v="Sin Auxiliar"/>
    <x v="89"/>
    <d v="2025-08-19T00:00:00"/>
    <n v="28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wAyADcAOQA4ADAASQBEAEUAQQA9=&amp;Tipo=2&amp;ST=1&amp;nLang=0"/>
  </r>
  <r>
    <x v="10"/>
    <s v="OP-S-017"/>
    <x v="10"/>
    <s v="Sin Auxiliar"/>
    <x v="89"/>
    <d v="2025-08-19T00:00:00"/>
    <n v="54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MwAyADAAMwA5ADEASQBEAEUAQQA5=&amp;Tipo=2&amp;ST=1&amp;nLang=0"/>
  </r>
  <r>
    <x v="11"/>
    <s v="OP-S-126"/>
    <x v="18"/>
    <s v="Sin Auxiliar"/>
    <x v="89"/>
    <d v="2025-08-19T00:00:00"/>
    <n v="31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wAzADIANAA1ADIASQBEAEUAQQAF=&amp;Tipo=2&amp;ST=1&amp;nLang=0"/>
  </r>
  <r>
    <x v="19"/>
    <s v="OP-S-126"/>
    <x v="18"/>
    <s v="Sin Auxiliar"/>
    <x v="89"/>
    <d v="2025-08-19T00:00:00"/>
    <n v="31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wAzADIANAA1ADIASQBEAEUAQQAF=&amp;Tipo=2&amp;ST=1&amp;nLang=0"/>
  </r>
  <r>
    <x v="12"/>
    <s v="OP-S-70"/>
    <x v="12"/>
    <s v="Sin Auxiliar"/>
    <x v="89"/>
    <d v="2025-08-19T00:00:00"/>
    <n v="53"/>
    <x v="0"/>
    <n v="27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EDAEwASwAzADUAMwAwADkAMAAwADYASQBEAEUAQQAA=&amp;Tipo=2&amp;ST=1&amp;nLang=0"/>
  </r>
  <r>
    <x v="14"/>
    <s v="OP-S-011"/>
    <x v="14"/>
    <s v="Sin Auxiliar"/>
    <x v="89"/>
    <d v="2025-08-19T00:00:00"/>
    <n v="58"/>
    <x v="0"/>
    <n v="52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8DAEwASwAzADUAMwAzADAAOQA2ADAASQBEAEUAQQAD=&amp;Tipo=2&amp;ST=1&amp;nLang=0"/>
  </r>
  <r>
    <x v="18"/>
    <s v="OP-S-002"/>
    <x v="6"/>
    <s v="Sin Auxiliar"/>
    <x v="89"/>
    <d v="2025-08-19T00:00:00"/>
    <n v="70"/>
    <x v="0"/>
    <n v="2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wAyADMAMAA0ADcASQBEAEUAQQAC=&amp;Tipo=2&amp;ST=1&amp;nLang=0"/>
  </r>
  <r>
    <x v="15"/>
    <s v="OP-S-054"/>
    <x v="23"/>
    <s v="Sin Auxiliar"/>
    <x v="89"/>
    <d v="2025-08-19T00:00:00"/>
    <n v="23"/>
    <x v="0"/>
    <n v="2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13"/>
    <s v="OP-S-055"/>
    <x v="18"/>
    <s v="Sin Auxiliar"/>
    <x v="89"/>
    <d v="2025-08-19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23"/>
    <s v="OP-S-056"/>
    <x v="13"/>
    <s v="Sin Auxiliar"/>
    <x v="89"/>
    <d v="2025-08-19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22"/>
    <s v="OP-S-057"/>
    <x v="18"/>
    <s v="Sin Auxiliar"/>
    <x v="89"/>
    <d v="2025-08-19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23"/>
    <s v="OP-S-058"/>
    <x v="5"/>
    <s v="Sin Auxiliar"/>
    <x v="89"/>
    <d v="2025-08-19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17"/>
    <s v="OP-S-059"/>
    <x v="18"/>
    <s v="Sin Auxiliar"/>
    <x v="89"/>
    <d v="2025-08-19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1"/>
    <s v="OP-S-013"/>
    <x v="1"/>
    <s v="Sin Auxiliar"/>
    <x v="90"/>
    <d v="2025-08-20T00:00:00"/>
    <n v="28"/>
    <x v="0"/>
    <n v="4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wA0ADkAMQA3ADMASQBEAEUAQQAE=&amp;Tipo=2&amp;ST=1&amp;nLang=0"/>
  </r>
  <r>
    <x v="2"/>
    <s v="OP-S-009"/>
    <x v="0"/>
    <s v="Sin Auxiliar"/>
    <x v="90"/>
    <d v="2025-08-20T00:00:00"/>
    <n v="84"/>
    <x v="0"/>
    <n v="4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MwA0ADAANAAwADcASQBEAEUAQQAD=&amp;Tipo=2&amp;ST=1&amp;nLang=0"/>
  </r>
  <r>
    <x v="3"/>
    <s v="OP-S-062"/>
    <x v="3"/>
    <s v="Sin Auxiliar"/>
    <x v="90"/>
    <d v="2025-08-20T00:00:00"/>
    <n v="44"/>
    <x v="0"/>
    <n v="3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90"/>
    <d v="2025-08-20T00:00:00"/>
    <n v="43"/>
    <x v="0"/>
    <n v="93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4DAEwASwAzADUAMwA0ADUANQA5ADEASQBEAEUAQQA3=&amp;Tipo=2&amp;ST=1&amp;nLang=0"/>
  </r>
  <r>
    <x v="5"/>
    <s v="OP-S-055"/>
    <x v="5"/>
    <s v="Sin Auxiliar"/>
    <x v="90"/>
    <d v="2025-08-20T00:00:00"/>
    <n v="32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MwA0ADgAOAA0ADEASQBEAEUAQQA2=&amp;Tipo=2&amp;ST=1&amp;nLang=0"/>
  </r>
  <r>
    <x v="6"/>
    <s v="OP-S-R-001"/>
    <x v="18"/>
    <s v="Sin Auxiliar"/>
    <x v="90"/>
    <d v="2025-08-20T00:00:00"/>
    <n v="36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wA0ADQAOQAwADcASQBEAEUAQQA3=&amp;Tipo=2&amp;ST=1&amp;nLang=0"/>
  </r>
  <r>
    <x v="7"/>
    <s v="OP-S-010"/>
    <x v="18"/>
    <s v="Sin Auxiliar"/>
    <x v="90"/>
    <d v="2025-08-20T00:00:00"/>
    <n v="199"/>
    <x v="0"/>
    <n v="6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MwA0ADYAMwA5ADcASQBEAEUAQQA1=&amp;Tipo=2&amp;ST=1&amp;nLang=0"/>
  </r>
  <r>
    <x v="20"/>
    <s v="OP-S-010"/>
    <x v="18"/>
    <s v="Sin Auxiliar"/>
    <x v="90"/>
    <d v="2025-08-20T00:00:00"/>
    <n v="199"/>
    <x v="0"/>
    <n v="6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MwA0ADYAMwA5ADcASQBEAEUAQQA1=&amp;Tipo=2&amp;ST=1&amp;nLang=0"/>
  </r>
  <r>
    <x v="8"/>
    <s v="OP-S-004"/>
    <x v="8"/>
    <s v="Sin Auxiliar"/>
    <x v="90"/>
    <d v="2025-08-20T00:00:00"/>
    <n v="1596"/>
    <x v="0"/>
    <n v="3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MwAyADYANgA3ADcASQBEAEUAQQA1=&amp;Tipo=2&amp;ST=1&amp;nLang=0"/>
  </r>
  <r>
    <x v="9"/>
    <s v="OP-S-001"/>
    <x v="9"/>
    <s v="Sin Auxiliar"/>
    <x v="90"/>
    <d v="2025-08-20T00:00:00"/>
    <n v="53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MwA0ADYANQA5ADkASQBEAEUAQQA5=&amp;Tipo=2&amp;ST=1&amp;nLang=0"/>
  </r>
  <r>
    <x v="10"/>
    <s v="OP-S-017"/>
    <x v="10"/>
    <s v="Sin Auxiliar"/>
    <x v="90"/>
    <d v="2025-08-20T00:00:00"/>
    <n v="43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MwA0ADMAOAA1ADIASQBEAEUAQQA5=&amp;Tipo=2&amp;ST=1&amp;nLang=0"/>
  </r>
  <r>
    <x v="11"/>
    <s v="OP-S-126"/>
    <x v="18"/>
    <s v="Sin Auxiliar"/>
    <x v="90"/>
    <d v="2025-08-20T00:00:00"/>
    <n v="21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wA1ADYANgA1ADMASQBEAEUAQQA1=&amp;Tipo=2&amp;ST=1&amp;nLang=0"/>
  </r>
  <r>
    <x v="19"/>
    <s v="OP-S-126"/>
    <x v="18"/>
    <s v="Sin Auxiliar"/>
    <x v="90"/>
    <d v="2025-08-20T00:00:00"/>
    <n v="21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UAMwA1ADYANgA1ADMASQBEAEUAQQA1=&amp;Tipo=2&amp;ST=1&amp;nLang=0"/>
  </r>
  <r>
    <x v="12"/>
    <s v="OP-S-70"/>
    <x v="12"/>
    <s v="Sin Auxiliar"/>
    <x v="90"/>
    <d v="2025-08-20T00:00:00"/>
    <n v="53"/>
    <x v="0"/>
    <n v="62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EDAEwASwAzADUAMwAwADkAMAAwADYASQBEAEUAQQAA=&amp;Tipo=2&amp;ST=1&amp;nLang=0"/>
  </r>
  <r>
    <x v="13"/>
    <s v="OP-S-060"/>
    <x v="13"/>
    <s v="Sin Auxiliar"/>
    <x v="90"/>
    <d v="2025-08-20T00:00:00"/>
    <n v="54"/>
    <x v="0"/>
    <n v="5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6DAEwASwAzADUAMwAwADgAMAAwADYASQBEAEUAQQA0=&amp;Tipo=2&amp;ST=1&amp;nLang=0"/>
  </r>
  <r>
    <x v="14"/>
    <s v="OP-S-011"/>
    <x v="14"/>
    <s v="Sin Auxiliar"/>
    <x v="90"/>
    <d v="2025-08-20T00:00:00"/>
    <n v="42"/>
    <x v="0"/>
    <n v="24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FDAEwASwAzADUAMwA1ADUAMAA5ADcASQBEAEUAQQAE=&amp;Tipo=2&amp;ST=1&amp;nLang=0"/>
  </r>
  <r>
    <x v="18"/>
    <s v="OP-S-002"/>
    <x v="6"/>
    <s v="Sin Auxiliar"/>
    <x v="90"/>
    <d v="2025-08-20T00:00:00"/>
    <n v="32"/>
    <x v="0"/>
    <n v="3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MwA0ADUAMwA4ADgASQBEAEUAQQA9=&amp;Tipo=2&amp;ST=1&amp;nLang=0"/>
  </r>
  <r>
    <x v="15"/>
    <s v="OP-S-054"/>
    <x v="23"/>
    <s v="Sin Auxiliar"/>
    <x v="90"/>
    <d v="2025-08-20T00:00:00"/>
    <n v="23"/>
    <x v="0"/>
    <n v="5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MwA0ADAANwAxADUASQBEAEUAQQAC=&amp;Tipo=2&amp;ST=1&amp;nLang=0"/>
  </r>
  <r>
    <x v="17"/>
    <s v="OP-S-059"/>
    <x v="18"/>
    <s v="Sin Auxiliar"/>
    <x v="90"/>
    <d v="2025-08-20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0"/>
    <s v="OP-S-059"/>
    <x v="18"/>
    <s v="Sin Auxiliar"/>
    <x v="90"/>
    <d v="2025-08-20T00:00:00"/>
    <n v="23"/>
    <x v="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0"/>
    <s v="OP-S-106"/>
    <x v="0"/>
    <s v="Sin Auxiliar"/>
    <x v="91"/>
    <d v="2025-08-21T00:00:00"/>
    <n v="78"/>
    <x v="0"/>
    <n v="5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2DAEwASwAzADUAMwA3ADUAOQA1ADIASQBEAEUAQQA0=&amp;Tipo=2&amp;ST=1&amp;nLang=0"/>
  </r>
  <r>
    <x v="1"/>
    <s v="OP-S-013"/>
    <x v="1"/>
    <s v="Sin Auxiliar"/>
    <x v="91"/>
    <d v="2025-08-21T00:00:00"/>
    <n v="31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MwA2ADYANAAwADUASQBEAEUAQQA4=&amp;Tipo=2&amp;ST=1&amp;nLang=0"/>
  </r>
  <r>
    <x v="2"/>
    <s v="OP-S-009"/>
    <x v="23"/>
    <s v="Sin Auxiliar"/>
    <x v="91"/>
    <d v="2025-08-21T00:00:00"/>
    <n v="25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MwA2ADQANwAwADYASQBEAEUAQQA0=&amp;Tipo=2&amp;ST=1&amp;nLang=0"/>
  </r>
  <r>
    <x v="3"/>
    <s v="OP-S-062"/>
    <x v="3"/>
    <s v="Sin Auxiliar"/>
    <x v="91"/>
    <d v="2025-08-21T00:00:00"/>
    <n v="44"/>
    <x v="0"/>
    <n v="3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8DAEwASwAzADQAOQA0ADQAMQA2ADkASQBEAEUAQQA7=&amp;Tipo=2&amp;ST=1&amp;nLang=0"/>
  </r>
  <r>
    <x v="4"/>
    <s v="OP-S-018"/>
    <x v="4"/>
    <s v="Sin Auxiliar"/>
    <x v="91"/>
    <d v="2025-08-21T00:00:00"/>
    <n v="57"/>
    <x v="0"/>
    <n v="87"/>
    <n v="0"/>
    <n v="0"/>
    <n v="0"/>
    <n v="0"/>
    <n v="0"/>
    <n v="0"/>
    <n v="0"/>
    <n v="55"/>
    <n v="0"/>
    <n v="0"/>
    <n v="0"/>
    <n v="0"/>
    <n v="0"/>
    <n v="0"/>
    <n v="0"/>
    <s v="https://www.clickideacore.com/ClickHTML5/Visit.aspx?ID=//55DAEwASwAzADUAMwA2ADcANwA1ADAASQBEAEUAQQAE=&amp;Tipo=2&amp;ST=1&amp;nLang=0"/>
  </r>
  <r>
    <x v="5"/>
    <s v="OP-S-055"/>
    <x v="5"/>
    <s v="Sin Auxiliar"/>
    <x v="91"/>
    <d v="2025-08-21T00:00:00"/>
    <n v="28"/>
    <x v="0"/>
    <n v="3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MwA3ADYAMwAxADgASQBEAEUAQQA1=&amp;Tipo=2&amp;ST=1&amp;nLang=0"/>
  </r>
  <r>
    <x v="7"/>
    <s v="OP-S-010"/>
    <x v="18"/>
    <s v="Sin Auxiliar"/>
    <x v="91"/>
    <d v="2025-08-21T00:00:00"/>
    <n v="115"/>
    <x v="0"/>
    <n v="2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wA2ADMANgAwADkASQBEAEUAQQAA=&amp;Tipo=2&amp;ST=1&amp;nLang=0"/>
  </r>
  <r>
    <x v="20"/>
    <s v="OP-S-010"/>
    <x v="18"/>
    <s v="Sin Auxiliar"/>
    <x v="91"/>
    <d v="2025-08-21T00:00:00"/>
    <n v="115"/>
    <x v="0"/>
    <n v="2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MwA2ADMANgAwADkASQBEAEUAQQAA=&amp;Tipo=2&amp;ST=1&amp;nLang=0"/>
  </r>
  <r>
    <x v="8"/>
    <s v="OP-S-004"/>
    <x v="8"/>
    <s v="Sin Auxiliar"/>
    <x v="91"/>
    <d v="2025-08-21T00:00:00"/>
    <n v="50"/>
    <x v="0"/>
    <n v="5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MwA3ADAAMgA1ADgASQBEAEUAQQAC=&amp;Tipo=2&amp;ST=1&amp;nLang=0"/>
  </r>
  <r>
    <x v="9"/>
    <s v="OP-S-001"/>
    <x v="9"/>
    <s v="Sin Auxiliar"/>
    <x v="91"/>
    <d v="2025-08-21T00:00:00"/>
    <n v="26"/>
    <x v="0"/>
    <n v="5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wA3ADcAMwAxADIASQBEAEUAQQAA=&amp;Tipo=2&amp;ST=1&amp;nLang=0"/>
  </r>
  <r>
    <x v="10"/>
    <s v="OP-S-017"/>
    <x v="10"/>
    <s v="Sin Auxiliar"/>
    <x v="91"/>
    <d v="2025-08-21T00:00:00"/>
    <n v="40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MwA2ADcANgA5ADMASQBEAEUAQQA6=&amp;Tipo=2&amp;ST=1&amp;nLang=0"/>
  </r>
  <r>
    <x v="11"/>
    <s v="OP-S-126"/>
    <x v="18"/>
    <s v="Sin Auxiliar"/>
    <x v="91"/>
    <d v="2025-08-21T00:00:00"/>
    <n v="30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wA3ADkAOAA1ADcASQBEAEUAQQA2=&amp;Tipo=2&amp;ST=1&amp;nLang=0"/>
  </r>
  <r>
    <x v="19"/>
    <s v="OP-S-126"/>
    <x v="18"/>
    <s v="Sin Auxiliar"/>
    <x v="91"/>
    <d v="2025-08-21T00:00:00"/>
    <n v="30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MwA3ADkAOAA1ADcASQBEAEUAQQA2=&amp;Tipo=2&amp;ST=1&amp;nLang=0"/>
  </r>
  <r>
    <x v="12"/>
    <s v="OP-S-70"/>
    <x v="12"/>
    <s v="Sin Auxiliar"/>
    <x v="91"/>
    <d v="2025-08-21T00:00:00"/>
    <n v="53"/>
    <x v="0"/>
    <n v="26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EDAEwASwAzADUAMwAwADkAMAAwADYASQBEAEUAQQAA=&amp;Tipo=2&amp;ST=1&amp;nLang=0"/>
  </r>
  <r>
    <x v="13"/>
    <s v="OP-S-060"/>
    <x v="13"/>
    <s v="Sin Auxiliar"/>
    <x v="91"/>
    <d v="2025-08-21T00:00:00"/>
    <n v="75"/>
    <x v="0"/>
    <n v="3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1DAEwASwAzADUAMwA3ADIAMwA1ADQASQBEAEUAQQA8=&amp;Tipo=2&amp;ST=1&amp;nLang=0"/>
  </r>
  <r>
    <x v="14"/>
    <s v="OP-S-011"/>
    <x v="14"/>
    <s v="Sin Auxiliar"/>
    <x v="91"/>
    <d v="2025-08-21T00:00:00"/>
    <n v="36"/>
    <x v="0"/>
    <n v="29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9DAEwASwAzADUAMwA3ADcANwA0ADAASQBEAEUAQQA6=&amp;Tipo=2&amp;ST=1&amp;nLang=0"/>
  </r>
  <r>
    <x v="18"/>
    <s v="OP-S-002"/>
    <x v="6"/>
    <s v="Sin Auxiliar"/>
    <x v="91"/>
    <d v="2025-08-21T00:00:00"/>
    <n v="48"/>
    <x v="0"/>
    <n v="23"/>
    <n v="0"/>
    <n v="0"/>
    <n v="1"/>
    <n v="0"/>
    <n v="0"/>
    <n v="0"/>
    <n v="0"/>
    <n v="23"/>
    <n v="0"/>
    <n v="0"/>
    <n v="0"/>
    <n v="0"/>
    <n v="0"/>
    <n v="0"/>
    <n v="0"/>
    <s v="https://www.clickideacore.com/ClickHTML5/Visit.aspx?ID=//51DAEwASwAzADUAMwA2ADgANAA5ADAASQBEAEUAQQA4=&amp;Tipo=2&amp;ST=1&amp;nLang=0"/>
  </r>
  <r>
    <x v="15"/>
    <s v="OP-S-059"/>
    <x v="18"/>
    <s v="Sin Auxiliar"/>
    <x v="91"/>
    <d v="2025-08-21T00:00:00"/>
    <n v="23"/>
    <x v="1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17"/>
    <s v="OP-S-059"/>
    <x v="18"/>
    <s v="Sin Auxiliar"/>
    <x v="91"/>
    <d v="2025-08-21T00:00:00"/>
    <n v="23"/>
    <x v="1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MwAxADYAMAAzADIASQBEAEUAQQA2=&amp;Tipo=2&amp;ST=1&amp;nLang=0"/>
  </r>
  <r>
    <x v="1"/>
    <s v="OP-S-013"/>
    <x v="1"/>
    <s v="Sin Auxiliar"/>
    <x v="92"/>
    <d v="2025-08-22T00:00:00"/>
    <n v="30"/>
    <x v="0"/>
    <n v="7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MwA5ADEANAAyADUASQBEAEUAQQA8=&amp;Tipo=2&amp;ST=1&amp;nLang=0"/>
  </r>
  <r>
    <x v="2"/>
    <s v="OP-S-009"/>
    <x v="0"/>
    <s v="Sin Auxiliar"/>
    <x v="92"/>
    <d v="2025-08-22T00:00:00"/>
    <n v="41"/>
    <x v="0"/>
    <n v="6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MwA5ADEANQAxADkASQBEAEUAQQAB=&amp;Tipo=2&amp;ST=1&amp;nLang=0"/>
  </r>
  <r>
    <x v="3"/>
    <s v="OP-S-062"/>
    <x v="3"/>
    <s v="Sin Auxiliar"/>
    <x v="92"/>
    <d v="2025-08-22T00:00:00"/>
    <n v="25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UANAAwADAANQA5ADMASQBEAEUAQQA2=&amp;Tipo=2&amp;ST=1&amp;nLang=0"/>
  </r>
  <r>
    <x v="4"/>
    <s v="OP-S-018"/>
    <x v="4"/>
    <s v="Sin Auxiliar"/>
    <x v="92"/>
    <d v="2025-08-22T00:00:00"/>
    <n v="60"/>
    <x v="0"/>
    <n v="88"/>
    <n v="0"/>
    <n v="0"/>
    <n v="0"/>
    <n v="0"/>
    <n v="0"/>
    <n v="0"/>
    <n v="0"/>
    <n v="54"/>
    <n v="0"/>
    <n v="0"/>
    <n v="0"/>
    <n v="0"/>
    <n v="0"/>
    <n v="0"/>
    <n v="0"/>
    <s v="https://www.clickideacore.com/ClickHTML5/Visit.aspx?ID=//54DAEwASwAzADUAMwA4ADkANAA4ADQASQBEAEUAQQA1=&amp;Tipo=2&amp;ST=1&amp;nLang=0"/>
  </r>
  <r>
    <x v="5"/>
    <s v="OP-S-055"/>
    <x v="5"/>
    <s v="Sin Auxiliar"/>
    <x v="92"/>
    <d v="2025-08-22T00:00:00"/>
    <n v="24"/>
    <x v="0"/>
    <n v="45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4DAEwASwAzADUAMwA5ADcAMgA2ADkASQBEAEUAQQA1=&amp;Tipo=2&amp;ST=1&amp;nLang=0"/>
  </r>
  <r>
    <x v="6"/>
    <s v="OP-S-R-001"/>
    <x v="18"/>
    <s v="Sin Auxiliar"/>
    <x v="92"/>
    <d v="2025-08-22T00:00:00"/>
    <n v="57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BDAEwASwAzADUAMwA5ADIANAAxADYASQBEAEUAQQAC=&amp;Tipo=2&amp;ST=1&amp;nLang=0"/>
  </r>
  <r>
    <x v="8"/>
    <s v="OP-S-004"/>
    <x v="8"/>
    <s v="Sin Auxiliar"/>
    <x v="92"/>
    <d v="2025-08-22T00:00:00"/>
    <n v="104"/>
    <x v="0"/>
    <n v="48"/>
    <n v="0"/>
    <n v="0"/>
    <n v="1"/>
    <n v="0"/>
    <n v="0"/>
    <n v="0"/>
    <n v="0"/>
    <n v="1"/>
    <n v="0"/>
    <n v="0"/>
    <n v="0"/>
    <n v="0"/>
    <n v="0"/>
    <n v="0"/>
    <n v="0"/>
    <s v="https://www.clickideacore.com/ClickHTML5/Visit.aspx?ID=//53DAEwASwAzADUAMwA5ADMANAA0ADIASQBEAEUAQQAA=&amp;Tipo=2&amp;ST=1&amp;nLang=0"/>
  </r>
  <r>
    <x v="10"/>
    <s v="OP-S-017"/>
    <x v="10"/>
    <s v="Sin Auxiliar"/>
    <x v="92"/>
    <d v="2025-08-22T00:00:00"/>
    <n v="52"/>
    <x v="0"/>
    <n v="7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MwA4ADkANQAxADMASQBEAEUAQQA3=&amp;Tipo=2&amp;ST=1&amp;nLang=0"/>
  </r>
  <r>
    <x v="11"/>
    <s v="OP-S-126"/>
    <x v="18"/>
    <s v="Sin Auxiliar"/>
    <x v="92"/>
    <d v="2025-08-22T00:00:00"/>
    <n v="32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AAwADIAOAAzADUASQBEAEUAQQA6=&amp;Tipo=2&amp;ST=1&amp;nLang=0"/>
  </r>
  <r>
    <x v="19"/>
    <s v="OP-S-126"/>
    <x v="18"/>
    <s v="Sin Auxiliar"/>
    <x v="92"/>
    <d v="2025-08-22T00:00:00"/>
    <n v="32"/>
    <x v="0"/>
    <n v="6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AAwADIAOAAzADUASQBEAEUAQQA6=&amp;Tipo=2&amp;ST=1&amp;nLang=0"/>
  </r>
  <r>
    <x v="7"/>
    <s v="OP-S-010"/>
    <x v="18"/>
    <s v="Sin Auxiliar"/>
    <x v="92"/>
    <d v="2025-08-22T00:00:00"/>
    <n v="285"/>
    <x v="0"/>
    <n v="5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UANAAzADcANwA0ADEASQBEAEUAQQAB=&amp;Tipo=2&amp;ST=1&amp;nLang=0"/>
  </r>
  <r>
    <x v="20"/>
    <s v="OP-S-010"/>
    <x v="18"/>
    <s v="Sin Auxiliar"/>
    <x v="92"/>
    <d v="2025-08-22T00:00:00"/>
    <n v="285"/>
    <x v="0"/>
    <n v="5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UANAAzADcANwA0ADEASQBEAEUAQQAB=&amp;Tipo=2&amp;ST=1&amp;nLang=0"/>
  </r>
  <r>
    <x v="9"/>
    <s v="OP-S-001"/>
    <x v="9"/>
    <s v="Sin Auxiliar"/>
    <x v="92"/>
    <d v="2025-08-22T00:00:00"/>
    <n v="24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AA0ADMANwAyADAASQBEAEUAQQAD=&amp;Tipo=2&amp;ST=1&amp;nLang=0"/>
  </r>
  <r>
    <x v="12"/>
    <s v="OP-S-70"/>
    <x v="12"/>
    <s v="Sin Auxiliar"/>
    <x v="92"/>
    <d v="2025-08-22T00:00:00"/>
    <n v="62"/>
    <x v="0"/>
    <n v="73"/>
    <n v="0"/>
    <n v="0"/>
    <n v="1"/>
    <n v="1"/>
    <n v="0"/>
    <n v="0"/>
    <n v="0"/>
    <n v="47"/>
    <n v="0"/>
    <n v="0"/>
    <n v="0"/>
    <n v="0"/>
    <n v="0"/>
    <n v="0"/>
    <n v="0"/>
    <s v="https://www.clickideacore.com/ClickHTML5/Visit.aspx?ID=//5CDAEwASwAzADUANAA0ADQAOQAxADIASQBEAEUAQQAB=&amp;Tipo=2&amp;ST=1&amp;nLang=0"/>
  </r>
  <r>
    <x v="13"/>
    <s v="OP-S-060"/>
    <x v="13"/>
    <s v="Sin Auxiliar"/>
    <x v="92"/>
    <d v="2025-08-22T00:00:00"/>
    <n v="55"/>
    <x v="0"/>
    <n v="5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UAMwA5ADMANwA3ADgASQBEAEUAQQAC=&amp;Tipo=2&amp;ST=1&amp;nLang=0"/>
  </r>
  <r>
    <x v="14"/>
    <s v="OP-S-011"/>
    <x v="14"/>
    <s v="Sin Auxiliar"/>
    <x v="92"/>
    <d v="2025-08-22T00:00:00"/>
    <n v="37"/>
    <x v="0"/>
    <n v="48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2DAEwASwAzADUANAAwADEAOAA2ADMASQBEAEUAQQA3=&amp;Tipo=2&amp;ST=1&amp;nLang=0"/>
  </r>
  <r>
    <x v="18"/>
    <s v="OP-S-002"/>
    <x v="6"/>
    <s v="Sin Auxiliar"/>
    <x v="92"/>
    <d v="2025-08-22T00:00:00"/>
    <n v="47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8DAEwASwAzADUAMwA5ADkANAA5ADkASQBEAEUAQQAB=&amp;Tipo=2&amp;ST=1&amp;nLang=0"/>
  </r>
  <r>
    <x v="27"/>
    <s v="OP-S-054"/>
    <x v="23"/>
    <s v="Sin Auxiliar"/>
    <x v="92"/>
    <d v="2025-08-22T00:00:00"/>
    <n v="22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MwA4ADgANQAzADAASQBEAEUAQQA4=&amp;Tipo=2&amp;ST=1&amp;nLang=0"/>
  </r>
  <r>
    <x v="0"/>
    <s v="OP-S-055"/>
    <x v="18"/>
    <s v="Sin Auxiliar"/>
    <x v="92"/>
    <d v="2025-08-22T00:00:00"/>
    <n v="23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wA4ADgANQAzADAASQBEAEUAQQA4=&amp;Tipo=2&amp;ST=1&amp;nLang=0"/>
  </r>
  <r>
    <x v="17"/>
    <s v="OP-S-056"/>
    <x v="18"/>
    <s v="Sin Auxiliar"/>
    <x v="92"/>
    <d v="2025-08-22T00:00:00"/>
    <n v="24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MwA4ADgANQAzADAASQBEAEUAQQA4=&amp;Tipo=2&amp;ST=1&amp;nLang=0"/>
  </r>
  <r>
    <x v="8"/>
    <s v="OP-S-004"/>
    <x v="8"/>
    <s v="Sin Auxiliar"/>
    <x v="93"/>
    <d v="2025-08-23T00:00:00"/>
    <n v="1237"/>
    <x v="0"/>
    <n v="0"/>
    <n v="0"/>
    <n v="0"/>
    <n v="0"/>
    <n v="0"/>
    <n v="0"/>
    <n v="0"/>
    <n v="0"/>
    <n v="4"/>
    <n v="1"/>
    <n v="0"/>
    <n v="19"/>
    <n v="19"/>
    <n v="1"/>
    <n v="0"/>
    <n v="0"/>
    <s v="https://www.clickideacore.com/ClickHTML5/Visit.aspx?ID=//5BDAEwASwAzADUANAAxADMAMwA3ADcASQBEAEUAQQAF=&amp;Tipo=2&amp;ST=1&amp;nLang=0"/>
  </r>
  <r>
    <x v="5"/>
    <s v="OP-S-055"/>
    <x v="13"/>
    <s v="Sin Auxiliar"/>
    <x v="94"/>
    <d v="2025-08-24T00:00:00"/>
    <n v="61"/>
    <x v="0"/>
    <n v="0"/>
    <n v="0"/>
    <n v="0"/>
    <n v="0"/>
    <n v="0"/>
    <n v="0"/>
    <n v="0"/>
    <n v="0"/>
    <n v="4"/>
    <n v="0"/>
    <n v="1"/>
    <n v="8"/>
    <n v="13"/>
    <n v="0"/>
    <n v="1"/>
    <n v="1"/>
    <s v="https://www.clickideacore.com/ClickHTML5/Visit.aspx?ID=//57DAEwASwAzADUANAAyADIANwAwADIASQBEAEUAQQAB=&amp;Tipo=2&amp;ST=1&amp;nLang=0"/>
  </r>
  <r>
    <x v="1"/>
    <s v="OP-S-013"/>
    <x v="1"/>
    <s v="Sin Auxiliar"/>
    <x v="95"/>
    <d v="2025-08-25T00:00:00"/>
    <n v="47"/>
    <x v="0"/>
    <n v="59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9DAEwASwAzADUANAAzADcAOQA4ADkASQBEAEUAQQA0=&amp;Tipo=2&amp;ST=1&amp;nLang=0"/>
  </r>
  <r>
    <x v="2"/>
    <s v="OP-S-009"/>
    <x v="0"/>
    <s v="Sin Auxiliar"/>
    <x v="95"/>
    <d v="2025-08-25T00:00:00"/>
    <n v="41"/>
    <x v="0"/>
    <n v="4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NAAzADUAMQAxADgASQBEAEUAQQAB=&amp;Tipo=2&amp;ST=1&amp;nLang=0"/>
  </r>
  <r>
    <x v="3"/>
    <s v="OP-S-062"/>
    <x v="3"/>
    <s v="Sin Auxiliar"/>
    <x v="95"/>
    <d v="2025-08-25T00:00:00"/>
    <n v="31"/>
    <x v="0"/>
    <n v="29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ADAEwASwAzADUANAA0ADAAOQAyADAASQBEAEUAQQA9=&amp;Tipo=2&amp;ST=1&amp;nLang=0"/>
  </r>
  <r>
    <x v="4"/>
    <s v="OP-S-018"/>
    <x v="4"/>
    <s v="Sin Auxiliar"/>
    <x v="95"/>
    <d v="2025-08-25T00:00:00"/>
    <n v="42"/>
    <x v="0"/>
    <n v="106"/>
    <n v="0"/>
    <n v="0"/>
    <n v="0"/>
    <n v="0"/>
    <n v="0"/>
    <n v="0"/>
    <n v="0"/>
    <n v="54"/>
    <n v="0"/>
    <n v="0"/>
    <n v="0"/>
    <n v="0"/>
    <n v="0"/>
    <n v="0"/>
    <n v="1"/>
    <s v="https://www.clickideacore.com/ClickHTML5/Visit.aspx?ID=//59DAEwASwAzADUANAAzADgANwA2ADYASQBEAEUAQQA6=&amp;Tipo=2&amp;ST=1&amp;nLang=0"/>
  </r>
  <r>
    <x v="5"/>
    <s v="OP-S-055"/>
    <x v="13"/>
    <s v="Sin Auxiliar"/>
    <x v="95"/>
    <d v="2025-08-25T00:00:00"/>
    <n v="47"/>
    <x v="0"/>
    <n v="62"/>
    <n v="0"/>
    <n v="0"/>
    <n v="0"/>
    <n v="0"/>
    <n v="0"/>
    <n v="0"/>
    <n v="0"/>
    <n v="17"/>
    <n v="0"/>
    <n v="0"/>
    <n v="0"/>
    <n v="0"/>
    <n v="0"/>
    <n v="0"/>
    <n v="0"/>
    <s v="https://www.clickideacore.com/ClickHTML5/Visit.aspx?ID=//5CDAEwASwAzADUANAA0ADQANAA3ADAASQBEAEUAQQA4=&amp;Tipo=2&amp;ST=1&amp;nLang=0"/>
  </r>
  <r>
    <x v="17"/>
    <s v="OP-S-032"/>
    <x v="23"/>
    <s v="Sin Auxiliar"/>
    <x v="95"/>
    <d v="2025-08-25T00:00:00"/>
    <n v="24"/>
    <x v="0"/>
    <n v="5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NAAzADMANAAyADUASQBEAEUAQQAA=&amp;Tipo=2&amp;ST=1&amp;nLang=0"/>
  </r>
  <r>
    <x v="6"/>
    <s v="OP-S-R-001"/>
    <x v="18"/>
    <s v="Sin Auxiliar"/>
    <x v="95"/>
    <d v="2025-08-25T00:00:00"/>
    <n v="50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5DAEwASwAzADUANAAzADcAMgA2ADEASQBEAEUAQQA5=&amp;Tipo=2&amp;ST=1&amp;nLang=0"/>
  </r>
  <r>
    <x v="7"/>
    <s v="OP-S-010"/>
    <x v="18"/>
    <s v="Sin Auxiliar"/>
    <x v="95"/>
    <d v="2025-08-25T00:00:00"/>
    <n v="285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UANAAzADcANwA0ADEASQBEAEUAQQAB=&amp;Tipo=2&amp;ST=1&amp;nLang=0"/>
  </r>
  <r>
    <x v="20"/>
    <s v="OP-S-010"/>
    <x v="18"/>
    <s v="Sin Auxiliar"/>
    <x v="95"/>
    <d v="2025-08-25T00:00:00"/>
    <n v="285"/>
    <x v="0"/>
    <n v="5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9DAEwASwAzADUANAAzADcANwA0ADEASQBEAEUAQQAB=&amp;Tipo=2&amp;ST=1&amp;nLang=0"/>
  </r>
  <r>
    <x v="8"/>
    <s v="OP-S-004"/>
    <x v="8"/>
    <s v="Sin Auxiliar"/>
    <x v="95"/>
    <d v="2025-08-25T00:00:00"/>
    <n v="34"/>
    <x v="0"/>
    <n v="50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CDAEwASwAzADUANAAzADgANQAyADEASQBEAEUAQQA0=&amp;Tipo=2&amp;ST=1&amp;nLang=0"/>
  </r>
  <r>
    <x v="9"/>
    <s v="OP-S-001"/>
    <x v="9"/>
    <s v="Sin Auxiliar"/>
    <x v="95"/>
    <d v="2025-08-25T00:00:00"/>
    <n v="24"/>
    <x v="0"/>
    <n v="6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AA0ADMANwAyADAASQBEAEUAQQAD=&amp;Tipo=2&amp;ST=1&amp;nLang=0"/>
  </r>
  <r>
    <x v="10"/>
    <s v="OP-S-017"/>
    <x v="10"/>
    <s v="Sin Auxiliar"/>
    <x v="95"/>
    <d v="2025-08-25T00:00:00"/>
    <n v="65"/>
    <x v="0"/>
    <n v="8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NAAzADQAMwAyADMASQBEAEUAQQA2=&amp;Tipo=2&amp;ST=1&amp;nLang=0"/>
  </r>
  <r>
    <x v="11"/>
    <s v="OP-S-126"/>
    <x v="18"/>
    <s v="Sin Auxiliar"/>
    <x v="95"/>
    <d v="2025-08-25T00:00:00"/>
    <n v="39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NAAzADIAOAA3ADAASQBEAEUAQQA6=&amp;Tipo=2&amp;ST=1&amp;nLang=0"/>
  </r>
  <r>
    <x v="19"/>
    <s v="OP-S-126"/>
    <x v="18"/>
    <s v="Sin Auxiliar"/>
    <x v="95"/>
    <d v="2025-08-25T00:00:00"/>
    <n v="39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NAAzADIAOAA3ADAASQBEAEUAQQA6=&amp;Tipo=2&amp;ST=1&amp;nLang=0"/>
  </r>
  <r>
    <x v="13"/>
    <s v="OP-S-060"/>
    <x v="13"/>
    <s v="Sin Auxiliar"/>
    <x v="95"/>
    <d v="2025-08-25T00:00:00"/>
    <n v="50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0DAEwASwAzADUANAA0ADIANQA2ADQASQBEAEUAQQA2=&amp;Tipo=2&amp;ST=1&amp;nLang=0"/>
  </r>
  <r>
    <x v="14"/>
    <s v="OP-S-011"/>
    <x v="14"/>
    <s v="Sin Auxiliar"/>
    <x v="95"/>
    <d v="2025-08-25T00:00:00"/>
    <n v="42"/>
    <x v="0"/>
    <n v="47"/>
    <n v="0"/>
    <n v="0"/>
    <n v="0"/>
    <n v="0"/>
    <n v="0"/>
    <n v="0"/>
    <n v="0"/>
    <n v="2"/>
    <n v="0"/>
    <n v="0"/>
    <n v="0"/>
    <n v="0"/>
    <n v="0"/>
    <n v="0"/>
    <n v="1"/>
    <s v="https://www.clickideacore.com/ClickHTML5/Visit.aspx?ID=//5BDAEwASwAzADUANAA0ADYAMQA1ADYASQBEAEUAQQAD=&amp;Tipo=2&amp;ST=1&amp;nLang=0"/>
  </r>
  <r>
    <x v="18"/>
    <s v="OP-S-002"/>
    <x v="6"/>
    <s v="Sin Auxiliar"/>
    <x v="95"/>
    <d v="2025-08-25T00:00:00"/>
    <n v="47"/>
    <x v="0"/>
    <n v="30"/>
    <n v="0"/>
    <n v="0"/>
    <n v="1"/>
    <n v="0"/>
    <n v="0"/>
    <n v="0"/>
    <n v="0"/>
    <n v="30"/>
    <n v="0"/>
    <n v="0"/>
    <n v="0"/>
    <n v="0"/>
    <n v="0"/>
    <n v="0"/>
    <n v="0"/>
    <s v="https://www.clickideacore.com/ClickHTML5/Visit.aspx?ID=//56DAEwASwAzADUANAAzADYANwA1ADkASQBEAEUAQQA7=&amp;Tipo=2&amp;ST=1&amp;nLang=0"/>
  </r>
  <r>
    <x v="0"/>
    <s v="OP-S-003"/>
    <x v="18"/>
    <s v="Sin Auxiliar"/>
    <x v="95"/>
    <d v="2025-08-25T00:00:00"/>
    <n v="48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AAzADYANwA1ADkASQBEAEUAQQA7=&amp;Tipo=2&amp;ST=1&amp;nLang=0"/>
  </r>
  <r>
    <x v="15"/>
    <s v="OP-S-004"/>
    <x v="18"/>
    <s v="Sin Auxiliar"/>
    <x v="95"/>
    <d v="2025-08-25T00:00:00"/>
    <n v="49"/>
    <x v="12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AAzADYANwA1ADkASQBEAEUAQQA7=&amp;Tipo=2&amp;ST=1&amp;nLang=0"/>
  </r>
  <r>
    <x v="0"/>
    <s v="OP-S-106"/>
    <x v="0"/>
    <s v="Sin Auxiliar"/>
    <x v="96"/>
    <d v="2025-08-26T00:00:00"/>
    <n v="39"/>
    <x v="0"/>
    <n v="5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AA2ADcANgA4ADgASQBEAEUAQQA5=&amp;Tipo=2&amp;ST=1&amp;nLang=0"/>
  </r>
  <r>
    <x v="1"/>
    <s v="OP-S-013"/>
    <x v="1"/>
    <s v="Sin Auxiliar"/>
    <x v="96"/>
    <d v="2025-08-26T00:00:00"/>
    <n v="37"/>
    <x v="0"/>
    <n v="77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FDAEwASwAzADUANAA1ADkANgAwADEASQBEAEUAQQA9=&amp;Tipo=2&amp;ST=1&amp;nLang=0"/>
  </r>
  <r>
    <x v="2"/>
    <s v="OP-S-009"/>
    <x v="18"/>
    <s v="Sin Auxiliar"/>
    <x v="96"/>
    <d v="2025-08-26T00:00:00"/>
    <n v="40"/>
    <x v="0"/>
    <n v="5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NAA2ADAANwA5ADgASQBEAEUAQQA9=&amp;Tipo=2&amp;ST=1&amp;nLang=0"/>
  </r>
  <r>
    <x v="5"/>
    <s v="OP-S-009"/>
    <x v="18"/>
    <s v="Sin Auxiliar"/>
    <x v="96"/>
    <d v="2025-08-26T00:00:00"/>
    <n v="40"/>
    <x v="0"/>
    <n v="5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NAA2ADAANwA5ADgASQBEAEUAQQA9=&amp;Tipo=2&amp;ST=1&amp;nLang=0"/>
  </r>
  <r>
    <x v="3"/>
    <s v="OP-S-062"/>
    <x v="3"/>
    <s v="Sin Auxiliar"/>
    <x v="96"/>
    <d v="2025-08-26T00:00:00"/>
    <n v="25"/>
    <x v="0"/>
    <n v="4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NAA2ADkAMQAyADEASQBEAEUAQQAC=&amp;Tipo=2&amp;ST=1&amp;nLang=0"/>
  </r>
  <r>
    <x v="4"/>
    <s v="OP-S-018"/>
    <x v="4"/>
    <s v="Sin Auxiliar"/>
    <x v="96"/>
    <d v="2025-08-26T00:00:00"/>
    <n v="76"/>
    <x v="0"/>
    <n v="87"/>
    <n v="0"/>
    <n v="0"/>
    <n v="0"/>
    <n v="0"/>
    <n v="0"/>
    <n v="0"/>
    <n v="0"/>
    <n v="54"/>
    <n v="0"/>
    <n v="0"/>
    <n v="0"/>
    <n v="0"/>
    <n v="0"/>
    <n v="0"/>
    <n v="1"/>
    <s v="https://www.clickideacore.com/ClickHTML5/Visit.aspx?ID=//52DAEwASwAzADUANAA2ADAAMgA3ADEASQBEAEUAQQAD=&amp;Tipo=2&amp;ST=1&amp;nLang=0"/>
  </r>
  <r>
    <x v="6"/>
    <s v="OP-S-R-001"/>
    <x v="18"/>
    <s v="Sin Auxiliar"/>
    <x v="96"/>
    <d v="2025-08-26T00:00:00"/>
    <n v="37"/>
    <x v="0"/>
    <n v="33"/>
    <n v="0"/>
    <n v="0"/>
    <n v="1"/>
    <n v="0"/>
    <n v="0"/>
    <n v="0"/>
    <n v="0"/>
    <n v="33"/>
    <n v="0"/>
    <n v="0"/>
    <n v="0"/>
    <n v="0"/>
    <n v="0"/>
    <n v="0"/>
    <n v="0"/>
    <s v="https://www.clickideacore.com/ClickHTML5/Visit.aspx?ID=//5CDAEwASwAzADUANAA2ADIANQA0ADkASQBEAEUAQQAB=&amp;Tipo=2&amp;ST=1&amp;nLang=0"/>
  </r>
  <r>
    <x v="7"/>
    <s v="OP-S-010"/>
    <x v="18"/>
    <s v="Sin Auxiliar"/>
    <x v="96"/>
    <d v="2025-08-26T00:00:00"/>
    <n v="42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AA1ADUANAA0ADUASQBEAEUAQQA1=&amp;Tipo=2&amp;ST=1&amp;nLang=0"/>
  </r>
  <r>
    <x v="20"/>
    <s v="OP-S-010"/>
    <x v="18"/>
    <s v="Sin Auxiliar"/>
    <x v="96"/>
    <d v="2025-08-26T00:00:00"/>
    <n v="42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AA1ADUANAA0ADUASQBEAEUAQQA1=&amp;Tipo=2&amp;ST=1&amp;nLang=0"/>
  </r>
  <r>
    <x v="8"/>
    <s v="OP-S-004"/>
    <x v="8"/>
    <s v="Sin Auxiliar"/>
    <x v="96"/>
    <d v="2025-08-26T00:00:00"/>
    <n v="34"/>
    <x v="0"/>
    <n v="39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CDAEwASwAzADUANAAzADgANQAyADEASQBEAEUAQQA0=&amp;Tipo=2&amp;ST=1&amp;nLang=0"/>
  </r>
  <r>
    <x v="9"/>
    <s v="OP-S-001"/>
    <x v="9"/>
    <s v="Sin Auxiliar"/>
    <x v="96"/>
    <d v="2025-08-26T00:00:00"/>
    <n v="27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UANAA2ADUAOQAxADgASQBEAEUAQQA2=&amp;Tipo=2&amp;ST=1&amp;nLang=0"/>
  </r>
  <r>
    <x v="10"/>
    <s v="OP-S-017"/>
    <x v="10"/>
    <s v="Sin Auxiliar"/>
    <x v="96"/>
    <d v="2025-08-26T00:00:00"/>
    <n v="53"/>
    <x v="0"/>
    <n v="3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AA1ADkANAA0ADEASQBEAEUAQQAB=&amp;Tipo=2&amp;ST=1&amp;nLang=0"/>
  </r>
  <r>
    <x v="11"/>
    <s v="OP-S-126"/>
    <x v="18"/>
    <s v="Sin Auxiliar"/>
    <x v="96"/>
    <d v="2025-08-26T00:00:00"/>
    <n v="29"/>
    <x v="0"/>
    <n v="4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UANAA3ADEAMgAxADYASQBEAEUAQQA4=&amp;Tipo=2&amp;ST=1&amp;nLang=0"/>
  </r>
  <r>
    <x v="19"/>
    <s v="OP-S-126"/>
    <x v="18"/>
    <s v="Sin Auxiliar"/>
    <x v="96"/>
    <d v="2025-08-26T00:00:00"/>
    <n v="29"/>
    <x v="0"/>
    <n v="4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UANAA3ADEAMgAxADYASQBEAEUAQQA4=&amp;Tipo=2&amp;ST=1&amp;nLang=0"/>
  </r>
  <r>
    <x v="12"/>
    <s v="OP-S-70"/>
    <x v="12"/>
    <s v="Sin Auxiliar"/>
    <x v="96"/>
    <d v="2025-08-26T00:00:00"/>
    <n v="31"/>
    <x v="0"/>
    <n v="29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7DAEwASwAzADUANAA2ADgAMQA1ADMASQBEAEUAQQAE=&amp;Tipo=2&amp;ST=1&amp;nLang=0"/>
  </r>
  <r>
    <x v="14"/>
    <s v="OP-S-011"/>
    <x v="14"/>
    <s v="Sin Auxiliar"/>
    <x v="96"/>
    <d v="2025-08-26T00:00:00"/>
    <n v="46"/>
    <x v="0"/>
    <n v="4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BDAEwASwAzADUANAA2ADkAOAA5ADkASQBEAEUAQQAF=&amp;Tipo=2&amp;ST=1&amp;nLang=0"/>
  </r>
  <r>
    <x v="15"/>
    <s v="OP-S-004"/>
    <x v="23"/>
    <s v="Sin Auxiliar"/>
    <x v="96"/>
    <d v="2025-08-26T00:00:00"/>
    <n v="49"/>
    <x v="0"/>
    <n v="2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AAzADYANwA1ADkASQBEAEUAQQA7=&amp;Tipo=2&amp;ST=1&amp;nLang=0"/>
  </r>
  <r>
    <x v="18"/>
    <s v="OP-S-002"/>
    <x v="6"/>
    <s v="Sin Auxiliar"/>
    <x v="96"/>
    <d v="2025-08-26T00:00:00"/>
    <n v="36"/>
    <x v="0"/>
    <n v="26"/>
    <n v="0"/>
    <n v="0"/>
    <n v="1"/>
    <n v="0"/>
    <n v="0"/>
    <n v="0"/>
    <n v="0"/>
    <n v="26"/>
    <n v="0"/>
    <n v="0"/>
    <n v="0"/>
    <n v="0"/>
    <n v="0"/>
    <n v="0"/>
    <n v="0"/>
    <s v="https://www.clickideacore.com/ClickHTML5/Visit.aspx?ID=//54DAEwASwAzADUANAA1ADgAOAA1ADAASQBEAEUAQQA1=&amp;Tipo=2&amp;ST=1&amp;nLang=0"/>
  </r>
  <r>
    <x v="13"/>
    <s v="OP-S-003"/>
    <x v="18"/>
    <s v="Sin Auxiliar"/>
    <x v="96"/>
    <d v="2025-08-26T00:00:00"/>
    <n v="37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NAA1ADgAOAA1ADAASQBEAEUAQQA1=&amp;Tipo=2&amp;ST=1&amp;nLang=0"/>
  </r>
  <r>
    <x v="23"/>
    <s v="OP-S-004"/>
    <x v="13"/>
    <s v="Sin Auxiliar"/>
    <x v="96"/>
    <d v="2025-08-26T00:00:00"/>
    <n v="38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NAA1ADgAOAA1ADAASQBEAEUAQQA1=&amp;Tipo=2&amp;ST=1&amp;nLang=0"/>
  </r>
  <r>
    <x v="23"/>
    <s v="OP-S-005"/>
    <x v="5"/>
    <s v="Sin Auxiliar"/>
    <x v="96"/>
    <d v="2025-08-26T00:00:00"/>
    <n v="39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NAA1ADgAOAA1ADAASQBEAEUAQQA1=&amp;Tipo=2&amp;ST=1&amp;nLang=0"/>
  </r>
  <r>
    <x v="17"/>
    <s v="OP-S-006"/>
    <x v="18"/>
    <s v="Sin Auxiliar"/>
    <x v="96"/>
    <d v="2025-08-26T00:00:00"/>
    <n v="40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NAA1ADgAOAA1ADAASQBEAEUAQQA1=&amp;Tipo=2&amp;ST=1&amp;nLang=0"/>
  </r>
  <r>
    <x v="1"/>
    <s v="OP-S-013"/>
    <x v="1"/>
    <s v="Sin Auxiliar"/>
    <x v="97"/>
    <d v="2025-08-27T00:00:00"/>
    <n v="28"/>
    <x v="0"/>
    <n v="3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NAA4ADAAMQAyADMASQBEAEUAQQAF=&amp;Tipo=2&amp;ST=1&amp;nLang=0"/>
  </r>
  <r>
    <x v="2"/>
    <s v="OP-S-009"/>
    <x v="0"/>
    <s v="Sin Auxiliar"/>
    <x v="97"/>
    <d v="2025-08-27T00:00:00"/>
    <n v="39"/>
    <x v="0"/>
    <n v="4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UANAA4ADAAMAAyADgASQBEAEUAQQAD=&amp;Tipo=2&amp;ST=1&amp;nLang=0"/>
  </r>
  <r>
    <x v="3"/>
    <s v="OP-S-062"/>
    <x v="3"/>
    <s v="Sin Auxiliar"/>
    <x v="97"/>
    <d v="2025-08-27T00:00:00"/>
    <n v="29"/>
    <x v="0"/>
    <n v="2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AA4ADkAOQA5ADAASQBEAEUAQQA6=&amp;Tipo=2&amp;ST=1&amp;nLang=0"/>
  </r>
  <r>
    <x v="4"/>
    <s v="OP-S-018"/>
    <x v="4"/>
    <s v="Sin Auxiliar"/>
    <x v="97"/>
    <d v="2025-08-27T00:00:00"/>
    <n v="35"/>
    <x v="0"/>
    <n v="103"/>
    <n v="0"/>
    <n v="0"/>
    <n v="0"/>
    <n v="0"/>
    <n v="0"/>
    <n v="0"/>
    <n v="0"/>
    <n v="54"/>
    <n v="0"/>
    <n v="0"/>
    <n v="0"/>
    <n v="0"/>
    <n v="0"/>
    <n v="0"/>
    <n v="3"/>
    <s v="https://www.clickideacore.com/ClickHTML5/Visit.aspx?ID=//5DDAEwASwAzADUANAA4ADYAMwAxADEASQBEAEUAQQA3=&amp;Tipo=2&amp;ST=1&amp;nLang=0"/>
  </r>
  <r>
    <x v="5"/>
    <s v="OP-S-055"/>
    <x v="5"/>
    <s v="Sin Auxiliar"/>
    <x v="97"/>
    <d v="2025-08-27T00:00:00"/>
    <n v="26"/>
    <x v="0"/>
    <n v="4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BDAEwASwAzADUANAA4ADQANwAwADEASQBEAEUAQQA7=&amp;Tipo=2&amp;ST=1&amp;nLang=0"/>
  </r>
  <r>
    <x v="6"/>
    <s v="OP-S-R-001"/>
    <x v="18"/>
    <s v="Sin Auxiliar"/>
    <x v="97"/>
    <d v="2025-08-27T00:00:00"/>
    <n v="37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3DAEwASwAzADUANAA4ADEANQAxADAASQBEAEUAQQA9=&amp;Tipo=2&amp;ST=1&amp;nLang=0"/>
  </r>
  <r>
    <x v="7"/>
    <s v="OP-S-010"/>
    <x v="18"/>
    <s v="Sin Auxiliar"/>
    <x v="97"/>
    <d v="2025-08-27T00:00:00"/>
    <n v="132"/>
    <x v="0"/>
    <n v="6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3DAEwASwAzADUANAA4ADQANAA1ADUASQBEAEUAQQA7=&amp;Tipo=2&amp;ST=1&amp;nLang=0"/>
  </r>
  <r>
    <x v="20"/>
    <s v="OP-S-010"/>
    <x v="18"/>
    <s v="Sin Auxiliar"/>
    <x v="97"/>
    <d v="2025-08-27T00:00:00"/>
    <n v="132"/>
    <x v="0"/>
    <n v="6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3DAEwASwAzADUANAA4ADQANAA1ADUASQBEAEUAQQA7=&amp;Tipo=2&amp;ST=1&amp;nLang=0"/>
  </r>
  <r>
    <x v="8"/>
    <s v="OP-S-004"/>
    <x v="8"/>
    <s v="Sin Auxiliar"/>
    <x v="97"/>
    <d v="2025-08-27T00:00:00"/>
    <n v="34"/>
    <x v="0"/>
    <n v="41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CDAEwASwAzADUANAAzADgANQAyADEASQBEAEUAQQA0=&amp;Tipo=2&amp;ST=1&amp;nLang=0"/>
  </r>
  <r>
    <x v="9"/>
    <s v="OP-S-001"/>
    <x v="9"/>
    <s v="Sin Auxiliar"/>
    <x v="97"/>
    <d v="2025-08-27T00:00:00"/>
    <n v="23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AA4ADcANgAyADEASQBEAEUAQQA3=&amp;Tipo=2&amp;ST=1&amp;nLang=0"/>
  </r>
  <r>
    <x v="10"/>
    <s v="OP-S-017"/>
    <x v="10"/>
    <s v="Sin Auxiliar"/>
    <x v="97"/>
    <d v="2025-08-27T00:00:00"/>
    <n v="61"/>
    <x v="0"/>
    <n v="8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NAA4ADEAMwAzADYASQBEAEUAQQA9=&amp;Tipo=2&amp;ST=1&amp;nLang=0"/>
  </r>
  <r>
    <x v="11"/>
    <s v="OP-S-126"/>
    <x v="18"/>
    <s v="Sin Auxiliar"/>
    <x v="97"/>
    <d v="2025-08-27T00:00:00"/>
    <n v="30"/>
    <x v="0"/>
    <n v="60"/>
    <n v="1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AA4ADAAMgA1ADYASQBEAEUAQQAC=&amp;Tipo=2&amp;ST=1&amp;nLang=0"/>
  </r>
  <r>
    <x v="19"/>
    <s v="OP-S-126"/>
    <x v="18"/>
    <s v="Sin Auxiliar"/>
    <x v="97"/>
    <d v="2025-08-27T00:00:00"/>
    <n v="30"/>
    <x v="0"/>
    <n v="60"/>
    <n v="1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AA4ADAAMgA1ADYASQBEAEUAQQAC=&amp;Tipo=2&amp;ST=1&amp;nLang=0"/>
  </r>
  <r>
    <x v="12"/>
    <s v="OP-S-70"/>
    <x v="12"/>
    <s v="Sin Auxiliar"/>
    <x v="97"/>
    <d v="2025-08-27T00:00:00"/>
    <n v="31"/>
    <x v="0"/>
    <n v="67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7DAEwASwAzADUANAA2ADgAMQA1ADMASQBEAEUAQQAE=&amp;Tipo=2&amp;ST=1&amp;nLang=0"/>
  </r>
  <r>
    <x v="13"/>
    <s v="OP-S-060"/>
    <x v="13"/>
    <s v="Sin Auxiliar"/>
    <x v="97"/>
    <d v="2025-08-27T00:00:00"/>
    <n v="106"/>
    <x v="0"/>
    <n v="6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UANAA4ADgANwA1ADAASQBEAEUAQQA8=&amp;Tipo=2&amp;ST=1&amp;nLang=0"/>
  </r>
  <r>
    <x v="14"/>
    <s v="OP-S-011"/>
    <x v="14"/>
    <s v="Sin Auxiliar"/>
    <x v="97"/>
    <d v="2025-08-27T00:00:00"/>
    <n v="36"/>
    <x v="0"/>
    <n v="2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2DAEwASwAzADUANAA5ADAAOAA3ADYASQBEAEUAQQAC=&amp;Tipo=2&amp;ST=1&amp;nLang=0"/>
  </r>
  <r>
    <x v="18"/>
    <s v="OP-S-002"/>
    <x v="6"/>
    <s v="Sin Auxiliar"/>
    <x v="97"/>
    <d v="2025-08-27T00:00:00"/>
    <n v="30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ADAEwASwAzADUANAA4ADcAMQAzADYASQBEAEUAQQA7=&amp;Tipo=2&amp;ST=1&amp;nLang=0"/>
  </r>
  <r>
    <x v="27"/>
    <s v="OP-S-054"/>
    <x v="23"/>
    <s v="Sin Auxiliar"/>
    <x v="97"/>
    <d v="2025-08-27T00:00:00"/>
    <n v="25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AA3ADgAOAAyADgASQBEAEUAQQA0=&amp;Tipo=2&amp;ST=1&amp;nLang=0"/>
  </r>
  <r>
    <x v="17"/>
    <s v="OP-S-055"/>
    <x v="18"/>
    <s v="Sin Auxiliar"/>
    <x v="97"/>
    <d v="2025-08-27T00:00:00"/>
    <n v="26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AA3ADgAOAAyADgASQBEAEUAQQA0=&amp;Tipo=2&amp;ST=1&amp;nLang=0"/>
  </r>
  <r>
    <x v="0"/>
    <s v="OP-S-056"/>
    <x v="18"/>
    <s v="Sin Auxiliar"/>
    <x v="97"/>
    <d v="2025-08-27T00:00:00"/>
    <n v="27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AA3ADgAOAAyADgASQBEAEUAQQA0=&amp;Tipo=2&amp;ST=1&amp;nLang=0"/>
  </r>
  <r>
    <x v="0"/>
    <s v="OP-S-106"/>
    <x v="0"/>
    <s v="Sin Auxiliar"/>
    <x v="98"/>
    <d v="2025-08-28T00:00:00"/>
    <n v="43"/>
    <x v="0"/>
    <n v="41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UANQAxADIAOQA0ADQASQBEAEUAQQA2=&amp;Tipo=2&amp;ST=1&amp;nLang=0"/>
  </r>
  <r>
    <x v="1"/>
    <s v="OP-S-013"/>
    <x v="1"/>
    <s v="Sin Auxiliar"/>
    <x v="98"/>
    <d v="2025-08-28T00:00:00"/>
    <n v="34"/>
    <x v="0"/>
    <n v="69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9DAEwASwAzADUANQAwADEAMgAwADcASQBEAEUAQQA4=&amp;Tipo=2&amp;ST=1&amp;nLang=0"/>
  </r>
  <r>
    <x v="2"/>
    <s v="OP-S-009"/>
    <x v="7"/>
    <s v="Sin Auxiliar"/>
    <x v="98"/>
    <d v="2025-08-28T00:00:00"/>
    <n v="115"/>
    <x v="0"/>
    <n v="3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wADAAOAA1ADQASQBEAEUAQQAE=&amp;Tipo=2&amp;ST=1&amp;nLang=0"/>
  </r>
  <r>
    <x v="4"/>
    <s v="OP-S-018"/>
    <x v="4"/>
    <s v="Sin Auxiliar"/>
    <x v="98"/>
    <d v="2025-08-28T00:00:00"/>
    <n v="48"/>
    <x v="0"/>
    <n v="98"/>
    <n v="0"/>
    <n v="0"/>
    <n v="1"/>
    <n v="0"/>
    <n v="0"/>
    <n v="0"/>
    <n v="0"/>
    <n v="54"/>
    <n v="0"/>
    <n v="0"/>
    <n v="0"/>
    <n v="0"/>
    <n v="0"/>
    <n v="0"/>
    <n v="3"/>
    <s v="https://www.clickideacore.com/ClickHTML5/Visit.aspx?ID=//56DAEwASwAzADUANQAwADYANgAyADYASQBEAEUAQQA0=&amp;Tipo=2&amp;ST=1&amp;nLang=0"/>
  </r>
  <r>
    <x v="6"/>
    <s v="OP-S-R-001"/>
    <x v="18"/>
    <s v="Sin Auxiliar"/>
    <x v="98"/>
    <d v="2025-08-28T00:00:00"/>
    <n v="54"/>
    <x v="0"/>
    <n v="30"/>
    <n v="0"/>
    <n v="0"/>
    <n v="0"/>
    <n v="0"/>
    <n v="0"/>
    <n v="0"/>
    <n v="0"/>
    <n v="30"/>
    <n v="0"/>
    <n v="0"/>
    <n v="0"/>
    <n v="0"/>
    <n v="0"/>
    <n v="0"/>
    <n v="0"/>
    <s v="https://www.clickideacore.com/ClickHTML5/Visit.aspx?ID=//5CDAEwASwAzADUANQAxADEANAA5ADYASQBEAEUAQQA6=&amp;Tipo=2&amp;ST=1&amp;nLang=0"/>
  </r>
  <r>
    <x v="5"/>
    <s v="OP-S-055"/>
    <x v="5"/>
    <s v="Sin Auxiliar"/>
    <x v="98"/>
    <d v="2025-08-28T00:00:00"/>
    <n v="26"/>
    <x v="0"/>
    <n v="37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BDAEwASwAzADUANAA4ADQANwAwADEASQBEAEUAQQA7=&amp;Tipo=2&amp;ST=1&amp;nLang=0"/>
  </r>
  <r>
    <x v="7"/>
    <s v="OP-S-010"/>
    <x v="22"/>
    <s v="Sin Auxiliar"/>
    <x v="98"/>
    <d v="2025-08-28T00:00:00"/>
    <n v="53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QAwADIAMAAzADIASQBEAEUAQQA1=&amp;Tipo=2&amp;ST=1&amp;nLang=0"/>
  </r>
  <r>
    <x v="8"/>
    <s v="OP-S-004"/>
    <x v="8"/>
    <s v="Sin Auxiliar"/>
    <x v="98"/>
    <d v="2025-08-28T00:00:00"/>
    <n v="35"/>
    <x v="0"/>
    <n v="51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9DAEwASwAzADUANQAwADcANwA1ADIASQBEAEUAQQA8=&amp;Tipo=2&amp;ST=1&amp;nLang=0"/>
  </r>
  <r>
    <x v="9"/>
    <s v="OP-S-001"/>
    <x v="9"/>
    <s v="Sin Auxiliar"/>
    <x v="98"/>
    <d v="2025-08-28T00:00:00"/>
    <n v="24"/>
    <x v="0"/>
    <n v="5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QAwADkAMgA4ADcASQBEAEUAQQAA=&amp;Tipo=2&amp;ST=1&amp;nLang=0"/>
  </r>
  <r>
    <x v="10"/>
    <s v="OP-S-017"/>
    <x v="10"/>
    <s v="Sin Auxiliar"/>
    <x v="98"/>
    <d v="2025-08-28T00:00:00"/>
    <n v="287"/>
    <x v="0"/>
    <n v="21"/>
    <n v="7"/>
    <n v="0"/>
    <n v="0"/>
    <n v="0"/>
    <n v="0"/>
    <n v="0"/>
    <n v="0"/>
    <n v="2"/>
    <n v="0"/>
    <n v="0"/>
    <n v="0"/>
    <n v="0"/>
    <n v="0"/>
    <n v="0"/>
    <n v="4"/>
    <s v="https://www.clickideacore.com/ClickHTML5/Visit.aspx?ID=//5BDAEwASwAzADUANQAwADYAMAAwADcASQBEAEUAQQA1=&amp;Tipo=2&amp;ST=1&amp;nLang=0"/>
  </r>
  <r>
    <x v="12"/>
    <s v="OP-S-70"/>
    <x v="12"/>
    <s v="Sin Auxiliar"/>
    <x v="98"/>
    <d v="2025-08-28T00:00:00"/>
    <n v="31"/>
    <x v="0"/>
    <n v="29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7DAEwASwAzADUANAA2ADgAMQA1ADMASQBEAEUAQQAE=&amp;Tipo=2&amp;ST=1&amp;nLang=0"/>
  </r>
  <r>
    <x v="11"/>
    <s v="OP-S-126"/>
    <x v="18"/>
    <s v="Sin Auxiliar"/>
    <x v="98"/>
    <d v="2025-08-28T00:00:00"/>
    <n v="53"/>
    <x v="0"/>
    <n v="42"/>
    <n v="0"/>
    <n v="8"/>
    <n v="1"/>
    <n v="0"/>
    <n v="0"/>
    <n v="0"/>
    <n v="0"/>
    <n v="25"/>
    <n v="0"/>
    <n v="0"/>
    <n v="0"/>
    <n v="0"/>
    <n v="0"/>
    <n v="0"/>
    <n v="0"/>
    <s v="https://www.clickideacore.com/ClickHTML5/Visit.aspx?ID=//5EDAEwASwAzADUANAA5ADkANAA5ADAASQBEAEUAQQAA=&amp;Tipo=2&amp;ST=1&amp;nLang=0"/>
  </r>
  <r>
    <x v="15"/>
    <s v="OP-S-126"/>
    <x v="18"/>
    <s v="Sin Auxiliar"/>
    <x v="98"/>
    <d v="2025-08-28T00:00:00"/>
    <n v="53"/>
    <x v="0"/>
    <n v="42"/>
    <n v="0"/>
    <n v="8"/>
    <n v="1"/>
    <n v="0"/>
    <n v="0"/>
    <n v="0"/>
    <n v="0"/>
    <n v="25"/>
    <n v="0"/>
    <n v="0"/>
    <n v="0"/>
    <n v="0"/>
    <n v="0"/>
    <n v="0"/>
    <n v="0"/>
    <s v="https://www.clickideacore.com/ClickHTML5/Visit.aspx?ID=//5EDAEwASwAzADUANAA5ADkANAA5ADAASQBEAEUAQQAA=&amp;Tipo=2&amp;ST=1&amp;nLang=0"/>
  </r>
  <r>
    <x v="19"/>
    <s v="OP-S-126"/>
    <x v="18"/>
    <s v="Sin Auxiliar"/>
    <x v="98"/>
    <d v="2025-08-28T00:00:00"/>
    <n v="53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NAA5ADkANAA5ADAASQBEAEUAQQAA=&amp;Tipo=2&amp;ST=1&amp;nLang=0"/>
  </r>
  <r>
    <x v="13"/>
    <s v="OP-S-060"/>
    <x v="13"/>
    <s v="Sin Auxiliar"/>
    <x v="98"/>
    <d v="2025-08-28T00:00:00"/>
    <n v="58"/>
    <x v="0"/>
    <n v="39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NQAwADgANgA2ADgASQBEAEUAQQAC=&amp;Tipo=2&amp;ST=1&amp;nLang=0"/>
  </r>
  <r>
    <x v="14"/>
    <s v="OP-S-011"/>
    <x v="14"/>
    <s v="Sin Auxiliar"/>
    <x v="98"/>
    <d v="2025-08-28T00:00:00"/>
    <n v="42"/>
    <x v="0"/>
    <n v="32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DDAEwASwAzADUANQAxADMAMgA3ADcASQBEAEUAQQAC=&amp;Tipo=2&amp;ST=1&amp;nLang=0"/>
  </r>
  <r>
    <x v="17"/>
    <s v="OP-S-0010"/>
    <x v="3"/>
    <s v="Sin Auxiliar"/>
    <x v="98"/>
    <d v="2025-08-28T00:00:00"/>
    <n v="39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QAwADUANQA4ADkASQBEAEUAQQA5=&amp;Tipo=2&amp;ST=1&amp;nLang=0"/>
  </r>
  <r>
    <x v="18"/>
    <s v="OP-S-002"/>
    <x v="6"/>
    <s v="Sin Auxiliar"/>
    <x v="98"/>
    <d v="2025-08-28T00:00:00"/>
    <n v="81"/>
    <x v="0"/>
    <n v="20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0DAEwASwAzADUANQAwADIAOAAwADgASQBEAEUAQQAD=&amp;Tipo=2&amp;ST=1&amp;nLang=0"/>
  </r>
  <r>
    <x v="3"/>
    <s v="OP-S-003"/>
    <x v="18"/>
    <s v="Sin Auxiliar"/>
    <x v="98"/>
    <d v="2025-08-28T00:00:00"/>
    <n v="82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NQAwADIAOAAwADgASQBEAEUAQQAD=&amp;Tipo=2&amp;ST=1&amp;nLang=0"/>
  </r>
  <r>
    <x v="23"/>
    <s v="OP-S-004"/>
    <x v="23"/>
    <s v="Sin Auxiliar"/>
    <x v="98"/>
    <d v="2025-08-28T00:00:00"/>
    <n v="83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NQAwADIAOAAwADgASQBEAEUAQQAD=&amp;Tipo=2&amp;ST=1&amp;nLang=0"/>
  </r>
  <r>
    <x v="1"/>
    <s v="OP-S-013"/>
    <x v="1"/>
    <s v="Sin Auxiliar"/>
    <x v="99"/>
    <d v="2025-08-29T00:00:00"/>
    <n v="27"/>
    <x v="0"/>
    <n v="7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5DAEwASwAzADUANQAyADYAOQAwADkASQBEAEUAQQAA=&amp;Tipo=2&amp;ST=1&amp;nLang=0"/>
  </r>
  <r>
    <x v="2"/>
    <s v="OP-S-009"/>
    <x v="0"/>
    <s v="Fernando Diaz"/>
    <x v="99"/>
    <d v="2025-08-29T00:00:00"/>
    <n v="56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NQAyADYANAAzADAASQBEAEUAQQA7=&amp;Tipo=2&amp;ST=1&amp;nLang=0"/>
  </r>
  <r>
    <x v="3"/>
    <s v="OP-S-062"/>
    <x v="3"/>
    <s v="Sin Auxiliar"/>
    <x v="99"/>
    <d v="2025-08-29T00:00:00"/>
    <n v="29"/>
    <x v="0"/>
    <n v="5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AA4ADkAOQA5ADAASQBEAEUAQQA6=&amp;Tipo=2&amp;ST=1&amp;nLang=0"/>
  </r>
  <r>
    <x v="4"/>
    <s v="OP-S-018"/>
    <x v="4"/>
    <s v="Sin Auxiliar"/>
    <x v="99"/>
    <d v="2025-08-29T00:00:00"/>
    <n v="39"/>
    <x v="0"/>
    <n v="93"/>
    <n v="0"/>
    <n v="0"/>
    <n v="0"/>
    <n v="0"/>
    <n v="0"/>
    <n v="0"/>
    <n v="0"/>
    <n v="54"/>
    <n v="0"/>
    <n v="0"/>
    <n v="0"/>
    <n v="0"/>
    <n v="0"/>
    <n v="0"/>
    <n v="3"/>
    <s v="https://www.clickideacore.com/ClickHTML5/Visit.aspx?ID=//5CDAEwASwAzADUANQAyADYAMwA5ADgASQBEAEUAQQA6=&amp;Tipo=2&amp;ST=1&amp;nLang=0"/>
  </r>
  <r>
    <x v="5"/>
    <s v="OP-S-055"/>
    <x v="18"/>
    <s v="Sin Auxiliar"/>
    <x v="99"/>
    <d v="2025-08-29T00:00:00"/>
    <n v="34"/>
    <x v="0"/>
    <n v="44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7DAEwASwAzADUANQAzADAANAAxADgASQBEAEUAQQA3=&amp;Tipo=2&amp;ST=1&amp;nLang=0"/>
  </r>
  <r>
    <x v="0"/>
    <s v="OP-S-055"/>
    <x v="18"/>
    <s v="Sin Auxiliar"/>
    <x v="99"/>
    <d v="2025-08-29T00:00:00"/>
    <n v="34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7DAEwASwAzADUANQAzADAANAAxADgASQBEAEUAQQA3=&amp;Tipo=2&amp;ST=1&amp;nLang=0"/>
  </r>
  <r>
    <x v="6"/>
    <s v="OP-S-R-001"/>
    <x v="18"/>
    <s v="Sin Auxiliar"/>
    <x v="99"/>
    <d v="2025-08-29T00:00:00"/>
    <n v="47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4DAEwASwAzADUANQAzADAAMwA1ADgASQBEAEUAQQA0=&amp;Tipo=2&amp;ST=1&amp;nLang=0"/>
  </r>
  <r>
    <x v="7"/>
    <s v="OP-S-010"/>
    <x v="18"/>
    <s v="Sin Auxiliar"/>
    <x v="99"/>
    <d v="2025-08-29T00:00:00"/>
    <n v="172"/>
    <x v="0"/>
    <n v="4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UANQAyADcAMAAzADIASQBEAEUAQQA7=&amp;Tipo=2&amp;ST=1&amp;nLang=0"/>
  </r>
  <r>
    <x v="20"/>
    <s v="OP-S-010"/>
    <x v="18"/>
    <s v="Sin Auxiliar"/>
    <x v="99"/>
    <d v="2025-08-29T00:00:00"/>
    <n v="172"/>
    <x v="0"/>
    <n v="47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BDAEwASwAzADUANQAyADcAMAAzADIASQBEAEUAQQA7=&amp;Tipo=2&amp;ST=1&amp;nLang=0"/>
  </r>
  <r>
    <x v="8"/>
    <s v="OP-S-004"/>
    <x v="8"/>
    <s v="Sin Auxiliar"/>
    <x v="99"/>
    <d v="2025-08-29T00:00:00"/>
    <n v="35"/>
    <x v="0"/>
    <n v="55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9DAEwASwAzADUANQAwADcANwA1ADIASQBEAEUAQQA8=&amp;Tipo=2&amp;ST=1&amp;nLang=0"/>
  </r>
  <r>
    <x v="9"/>
    <s v="OP-S-001"/>
    <x v="9"/>
    <s v="Sin Auxiliar"/>
    <x v="99"/>
    <d v="2025-08-29T00:00:00"/>
    <n v="27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NQAyADgANwA5ADUASQBEAEUAQQA0=&amp;Tipo=2&amp;ST=1&amp;nLang=0"/>
  </r>
  <r>
    <x v="10"/>
    <s v="OP-S-017"/>
    <x v="10"/>
    <s v="Sin Auxiliar"/>
    <x v="99"/>
    <d v="2025-08-29T00:00:00"/>
    <n v="73"/>
    <x v="0"/>
    <n v="8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NQAyADUAOQA0ADMASQBEAEUAQQA6=&amp;Tipo=2&amp;ST=1&amp;nLang=0"/>
  </r>
  <r>
    <x v="11"/>
    <s v="OP-S-126"/>
    <x v="18"/>
    <s v="Sin Auxiliar"/>
    <x v="99"/>
    <d v="2025-08-29T00:00:00"/>
    <n v="31"/>
    <x v="0"/>
    <n v="6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QA1ADgANwAyADQASQBEAEUAQQA4=&amp;Tipo=2&amp;ST=1&amp;nLang=0"/>
  </r>
  <r>
    <x v="19"/>
    <s v="OP-S-126"/>
    <x v="18"/>
    <s v="Sin Auxiliar"/>
    <x v="99"/>
    <d v="2025-08-29T00:00:00"/>
    <n v="31"/>
    <x v="0"/>
    <n v="6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QA1ADgANwAyADQASQBEAEUAQQA4=&amp;Tipo=2&amp;ST=1&amp;nLang=0"/>
  </r>
  <r>
    <x v="14"/>
    <s v="OP-S-011"/>
    <x v="14"/>
    <s v="Sin Auxiliar"/>
    <x v="99"/>
    <d v="2025-08-29T00:00:00"/>
    <n v="83"/>
    <x v="0"/>
    <n v="52"/>
    <n v="0"/>
    <n v="0"/>
    <n v="0"/>
    <n v="1"/>
    <n v="0"/>
    <n v="0"/>
    <n v="0"/>
    <n v="0"/>
    <n v="0"/>
    <n v="0"/>
    <n v="0"/>
    <n v="0"/>
    <n v="0"/>
    <n v="0"/>
    <n v="0"/>
    <s v="https://www.clickideacore.com/ClickHTML5/Visit.aspx?ID=//51DAEwASwAzADUANQAzADMAOAA2ADQASQBEAEUAQQA8=&amp;Tipo=2&amp;ST=1&amp;nLang=0"/>
  </r>
  <r>
    <x v="18"/>
    <s v="OP-S-002"/>
    <x v="6"/>
    <s v="Sin Auxiliar"/>
    <x v="99"/>
    <d v="2025-08-29T00:00:00"/>
    <n v="58"/>
    <x v="0"/>
    <n v="33"/>
    <n v="0"/>
    <n v="0"/>
    <n v="1"/>
    <n v="0"/>
    <n v="0"/>
    <n v="0"/>
    <n v="0"/>
    <n v="33"/>
    <n v="0"/>
    <n v="0"/>
    <n v="0"/>
    <n v="0"/>
    <n v="0"/>
    <n v="0"/>
    <n v="0"/>
    <s v="https://www.clickideacore.com/ClickHTML5/Visit.aspx?ID=//5EDAEwASwAzADUANQAyADYAOAA2ADAASQBEAEUAQQA4=&amp;Tipo=2&amp;ST=1&amp;nLang=0"/>
  </r>
  <r>
    <x v="27"/>
    <s v="OP-S-054"/>
    <x v="23"/>
    <s v="Sin Auxiliar"/>
    <x v="99"/>
    <d v="2025-08-29T00:00:00"/>
    <n v="30"/>
    <x v="0"/>
    <n v="64"/>
    <n v="0"/>
    <n v="0"/>
    <n v="1"/>
    <n v="1"/>
    <n v="0"/>
    <n v="0"/>
    <n v="0"/>
    <n v="0"/>
    <n v="0"/>
    <n v="0"/>
    <n v="0"/>
    <n v="0"/>
    <n v="0"/>
    <n v="0"/>
    <n v="0"/>
    <s v="https://www.clickideacore.com/ClickHTML5/Visit.aspx?ID=//5BDAEwASwAzADUANQAyADMAMAAzADUASQBEAEUAQQA1=&amp;Tipo=2&amp;ST=1&amp;nLang=0"/>
  </r>
  <r>
    <x v="12"/>
    <s v="OP-S-70"/>
    <x v="12"/>
    <s v="Sin Auxiliar"/>
    <x v="99"/>
    <d v="2025-08-29T00:00:00"/>
    <n v="31"/>
    <x v="0"/>
    <n v="35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7DAEwASwAzADUANAA2ADgAMQA1ADMASQBEAEUAQQAE=&amp;Tipo=2&amp;ST=1&amp;nLang=0"/>
  </r>
  <r>
    <x v="13"/>
    <s v="OP-S-060"/>
    <x v="13"/>
    <s v="Sin Auxiliar"/>
    <x v="99"/>
    <d v="2025-08-29T00:00:00"/>
    <n v="58"/>
    <x v="0"/>
    <n v="5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NQAwADgANgA2ADgASQBEAEUAQQAC=&amp;Tipo=2&amp;ST=1&amp;nLang=0"/>
  </r>
  <r>
    <x v="23"/>
    <s v="OP-S-060"/>
    <x v="5"/>
    <s v="Sin Auxiliar"/>
    <x v="99"/>
    <d v="2025-08-29T00:00:00"/>
    <n v="58"/>
    <x v="13"/>
    <n v="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NQAwADgANgA2ADgASQBEAEUAQQAC=&amp;Tipo=2&amp;ST=1&amp;nLang=0"/>
  </r>
  <r>
    <x v="17"/>
    <s v="OP-S-060"/>
    <x v="18"/>
    <s v="Sin Auxiliar"/>
    <x v="99"/>
    <d v="2025-08-29T00:00:00"/>
    <n v="58"/>
    <x v="11"/>
    <n v="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NQAwADgANgA2ADgASQBEAEUAQQAC=&amp;Tipo=2&amp;ST=1&amp;nLang=0"/>
  </r>
  <r>
    <x v="8"/>
    <s v="OP-S-004"/>
    <x v="8"/>
    <s v="Sin Auxiliar"/>
    <x v="100"/>
    <d v="2025-08-30T00:00:00"/>
    <n v="103"/>
    <x v="0"/>
    <n v="0"/>
    <n v="0"/>
    <n v="0"/>
    <n v="0"/>
    <n v="0"/>
    <n v="0"/>
    <n v="0"/>
    <n v="0"/>
    <n v="13"/>
    <n v="1"/>
    <n v="0"/>
    <n v="22"/>
    <n v="19"/>
    <n v="1"/>
    <n v="0"/>
    <n v="7"/>
    <s v="https://www.clickideacore.com/ClickHTML5/Visit.aspx?ID=//58DAEwASwAzADUANQA0ADcAMAA0ADEASQBEAEUAQQAF=&amp;Tipo=2&amp;ST=1&amp;nLang=0"/>
  </r>
  <r>
    <x v="17"/>
    <s v="OP-S-0010"/>
    <x v="14"/>
    <s v="Sin Auxiliar"/>
    <x v="100"/>
    <d v="2025-08-30T00:00:00"/>
    <n v="63"/>
    <x v="0"/>
    <n v="0"/>
    <n v="0"/>
    <n v="0"/>
    <n v="0"/>
    <n v="0"/>
    <n v="0"/>
    <n v="0"/>
    <n v="0"/>
    <n v="0"/>
    <n v="1"/>
    <n v="0"/>
    <n v="0"/>
    <n v="59"/>
    <n v="1"/>
    <n v="0"/>
    <n v="0"/>
    <s v="https://www.clickideacore.com/ClickHTML5/Visit.aspx?ID=//59DAEwASwAzADUANQA0ADcANwAzADQASQBEAEUAQQAB=&amp;Tipo=2&amp;ST=1&amp;nLang=0"/>
  </r>
  <r>
    <x v="5"/>
    <s v="OP-S-055"/>
    <x v="13"/>
    <s v="Sin Auxiliar"/>
    <x v="101"/>
    <d v="2025-08-31T00:00:00"/>
    <n v="60"/>
    <x v="0"/>
    <n v="0"/>
    <n v="0"/>
    <n v="0"/>
    <n v="0"/>
    <n v="0"/>
    <n v="0"/>
    <n v="0"/>
    <n v="0"/>
    <n v="0"/>
    <n v="0"/>
    <n v="1"/>
    <n v="8"/>
    <n v="61"/>
    <n v="0"/>
    <n v="1"/>
    <n v="0"/>
    <s v="https://www.clickideacore.com/ClickHTML5/Visit.aspx?ID=//55DAEwASwAzADUANQA1ADcAOAAxADkASQBEAEUAQQA1=&amp;Tipo=2&amp;ST=1&amp;nLang=0"/>
  </r>
  <r>
    <x v="8"/>
    <s v="OP-S-004"/>
    <x v="8"/>
    <s v="Sin Auxiliar"/>
    <x v="101"/>
    <d v="2025-08-31T00:00:00"/>
    <n v="184"/>
    <x v="0"/>
    <n v="0"/>
    <n v="0"/>
    <n v="0"/>
    <n v="0"/>
    <n v="0"/>
    <n v="0"/>
    <n v="0"/>
    <n v="0"/>
    <n v="0"/>
    <n v="0"/>
    <n v="1"/>
    <n v="110"/>
    <n v="0"/>
    <n v="0"/>
    <n v="1"/>
    <n v="22"/>
    <s v="https://www.clickideacore.com/ClickHTML5/Visit.aspx?ID=//51DAEwASwAzADUANQA1ADEANgAyADIASQBEAEUAQQA7=&amp;Tipo=2&amp;ST=1&amp;nLang=0"/>
  </r>
  <r>
    <x v="17"/>
    <s v="OP-S-0010"/>
    <x v="14"/>
    <s v="Sin Auxiliar"/>
    <x v="101"/>
    <d v="2025-08-31T00:00:00"/>
    <n v="64"/>
    <x v="0"/>
    <n v="0"/>
    <n v="0"/>
    <n v="0"/>
    <n v="0"/>
    <n v="0"/>
    <n v="0"/>
    <n v="0"/>
    <n v="0"/>
    <n v="0"/>
    <n v="0"/>
    <n v="1"/>
    <n v="3"/>
    <n v="84"/>
    <n v="0"/>
    <n v="1"/>
    <n v="2"/>
    <s v="https://www.clickideacore.com/ClickHTML5/Visit.aspx?ID=//55DAEwASwAzADUANQA1ADcAOQA1ADYASQBEAEUAQQA1=&amp;Tipo=2&amp;ST=1&amp;nLang=0"/>
  </r>
  <r>
    <x v="1"/>
    <s v="OP-S-013"/>
    <x v="1"/>
    <s v="Sin Auxiliar"/>
    <x v="102"/>
    <d v="2025-09-01T00:00:00"/>
    <n v="32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1DAEwASwAzADUANQA3ADIAOQAyADcASQBEAEUAQQAC=&amp;Tipo=2&amp;ST=1&amp;nLang=0"/>
  </r>
  <r>
    <x v="2"/>
    <s v="OP-S-009"/>
    <x v="0"/>
    <s v="Sin Auxiliar"/>
    <x v="102"/>
    <d v="2025-09-01T00:00:00"/>
    <n v="58"/>
    <x v="0"/>
    <n v="39"/>
    <n v="91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NQA3ADAAMgAxADMASQBEAEUAQQAE=&amp;Tipo=2&amp;ST=1&amp;nLang=0"/>
  </r>
  <r>
    <x v="3"/>
    <s v="OP-S-062"/>
    <x v="3"/>
    <s v="Sin Auxiliar"/>
    <x v="102"/>
    <d v="2025-09-01T00:00:00"/>
    <n v="32"/>
    <x v="0"/>
    <n v="23"/>
    <n v="9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NQA4ADEAMQAxADAASQBEAEUAQQA9=&amp;Tipo=2&amp;ST=1&amp;nLang=0"/>
  </r>
  <r>
    <x v="4"/>
    <s v="OP-S-018"/>
    <x v="4"/>
    <s v="Sin Auxiliar"/>
    <x v="102"/>
    <d v="2025-09-01T00:00:00"/>
    <n v="64"/>
    <x v="0"/>
    <n v="102"/>
    <n v="0"/>
    <n v="0"/>
    <n v="0"/>
    <n v="0"/>
    <n v="0"/>
    <n v="0"/>
    <n v="0"/>
    <n v="54"/>
    <n v="0"/>
    <n v="0"/>
    <n v="0"/>
    <n v="0"/>
    <n v="0"/>
    <n v="0"/>
    <n v="0"/>
    <s v="https://www.clickideacore.com/ClickHTML5/Visit.aspx?ID=//55DAEwASwAzADUANQA3ADIANgAxADAASQBEAEUAQQA7=&amp;Tipo=2&amp;ST=1&amp;nLang=0"/>
  </r>
  <r>
    <x v="5"/>
    <s v="OP-S-055"/>
    <x v="5"/>
    <s v="Sin Auxiliar"/>
    <x v="102"/>
    <d v="2025-09-01T00:00:00"/>
    <n v="30"/>
    <x v="0"/>
    <n v="6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EDAEwASwAzADUANQA4ADAANAA3ADQASQBEAEUAQQA0=&amp;Tipo=2&amp;ST=1&amp;nLang=0"/>
  </r>
  <r>
    <x v="19"/>
    <s v="OP-SDYR-001"/>
    <x v="23"/>
    <s v="Sin Auxiliar"/>
    <x v="102"/>
    <d v="2025-09-01T00:00:00"/>
    <n v="50"/>
    <x v="0"/>
    <n v="5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QA3ADEAOAAzADkASQBEAEUAQQAF=&amp;Tipo=2&amp;ST=1&amp;nLang=0"/>
  </r>
  <r>
    <x v="6"/>
    <s v="OP-S-R-001"/>
    <x v="18"/>
    <s v="Sin Auxiliar"/>
    <x v="102"/>
    <d v="2025-09-01T00:00:00"/>
    <n v="36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6DAEwASwAzADUANQA3ADEAOAAzADMASQBEAEUAQQA9=&amp;Tipo=2&amp;ST=1&amp;nLang=0"/>
  </r>
  <r>
    <x v="7"/>
    <s v="OP-S-010"/>
    <x v="18"/>
    <s v="Sin Auxiliar"/>
    <x v="102"/>
    <d v="2025-09-01T00:00:00"/>
    <n v="128"/>
    <x v="0"/>
    <n v="4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UANQA2ADgAOAA0ADgASQBEAEUAQQAF=&amp;Tipo=2&amp;ST=1&amp;nLang=0"/>
  </r>
  <r>
    <x v="20"/>
    <s v="OP-S-010"/>
    <x v="18"/>
    <s v="Sin Auxiliar"/>
    <x v="102"/>
    <d v="2025-09-01T00:00:00"/>
    <n v="128"/>
    <x v="0"/>
    <n v="48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CDAEwASwAzADUANQA2ADgAOAA0ADgASQBEAEUAQQAF=&amp;Tipo=2&amp;ST=1&amp;nLang=0"/>
  </r>
  <r>
    <x v="8"/>
    <s v="OP-S-004"/>
    <x v="8"/>
    <s v="Sin Auxiliar"/>
    <x v="102"/>
    <d v="2025-09-01T00:00:00"/>
    <n v="58"/>
    <x v="0"/>
    <n v="51"/>
    <n v="88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NQA4ADAANAA2ADAASQBEAEUAQQA4=&amp;Tipo=2&amp;ST=1&amp;nLang=0"/>
  </r>
  <r>
    <x v="9"/>
    <s v="OP-S-001"/>
    <x v="9"/>
    <s v="Sin Auxiliar"/>
    <x v="102"/>
    <d v="2025-09-01T00:00:00"/>
    <n v="25"/>
    <x v="0"/>
    <n v="6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NQA3ADUAMQA3ADAASQBEAEUAQQA2=&amp;Tipo=2&amp;ST=1&amp;nLang=0"/>
  </r>
  <r>
    <x v="10"/>
    <s v="OP-S-017"/>
    <x v="10"/>
    <s v="Sin Auxiliar"/>
    <x v="102"/>
    <d v="2025-09-01T00:00:00"/>
    <n v="89"/>
    <x v="0"/>
    <n v="83"/>
    <n v="0"/>
    <n v="0"/>
    <n v="1"/>
    <n v="0"/>
    <n v="0"/>
    <n v="0"/>
    <n v="0"/>
    <n v="8"/>
    <n v="0"/>
    <n v="0"/>
    <n v="0"/>
    <n v="0"/>
    <n v="0"/>
    <n v="0"/>
    <n v="0"/>
    <s v="https://www.clickideacore.com/ClickHTML5/Visit.aspx?ID=//5ADAEwASwAzADUANQA3ADIANwAyADYASQBEAEUAQQA7=&amp;Tipo=2&amp;ST=1&amp;nLang=0"/>
  </r>
  <r>
    <x v="11"/>
    <s v="OP-S-126"/>
    <x v="18"/>
    <s v="Sin Auxiliar"/>
    <x v="102"/>
    <d v="2025-09-01T00:00:00"/>
    <n v="46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QA3ADIAMAAxADAASQBEAEUAQQAF=&amp;Tipo=2&amp;ST=1&amp;nLang=0"/>
  </r>
  <r>
    <x v="17"/>
    <s v="OP-S-126"/>
    <x v="18"/>
    <s v="Sin Auxiliar"/>
    <x v="102"/>
    <d v="2025-09-01T00:00:00"/>
    <n v="46"/>
    <x v="0"/>
    <n v="5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FDAEwASwAzADUANQA3ADIAMAAxADAASQBEAEUAQQAF=&amp;Tipo=2&amp;ST=1&amp;nLang=0"/>
  </r>
  <r>
    <x v="12"/>
    <s v="OP-S-70"/>
    <x v="12"/>
    <s v="Sin Auxiliar"/>
    <x v="102"/>
    <d v="2025-09-01T00:00:00"/>
    <n v="31"/>
    <x v="0"/>
    <n v="41"/>
    <n v="0"/>
    <n v="0"/>
    <n v="1"/>
    <n v="1"/>
    <n v="0"/>
    <n v="1"/>
    <n v="0"/>
    <n v="29"/>
    <n v="0"/>
    <n v="0"/>
    <n v="0"/>
    <n v="0"/>
    <n v="0"/>
    <n v="0"/>
    <n v="0"/>
    <s v="https://www.clickideacore.com/ClickHTML5/Visit.aspx?ID=//57DAEwASwAzADUANAA2ADgAMQA1ADMASQBEAEUAQQAE=&amp;Tipo=2&amp;ST=1&amp;nLang=0"/>
  </r>
  <r>
    <x v="13"/>
    <s v="OP-S-060"/>
    <x v="13"/>
    <s v="Sin Auxiliar"/>
    <x v="102"/>
    <d v="2025-09-01T00:00:00"/>
    <n v="85"/>
    <x v="0"/>
    <n v="37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4DAEwASwAzADUANQA3ADUAOQAyADUASQBEAEUAQQAF=&amp;Tipo=2&amp;ST=1&amp;nLang=0"/>
  </r>
  <r>
    <x v="14"/>
    <s v="OP-S-011"/>
    <x v="14"/>
    <s v="Sin Auxiliar"/>
    <x v="102"/>
    <d v="2025-09-01T00:00:00"/>
    <n v="37"/>
    <x v="0"/>
    <n v="35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6DAEwASwAzADUANQA4ADAAOQA5ADcASQBEAEUAQQAA=&amp;Tipo=2&amp;ST=1&amp;nLang=0"/>
  </r>
  <r>
    <x v="18"/>
    <s v="OP-S-002"/>
    <x v="6"/>
    <s v="Sin Auxiliar"/>
    <x v="102"/>
    <d v="2025-09-01T00:00:00"/>
    <n v="98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3DAEwASwAzADUANQA3ADAAMwAzADUASQBEAEUAQQAD=&amp;Tipo=2&amp;ST=1&amp;nLang=0"/>
  </r>
  <r>
    <x v="15"/>
    <s v="OP-S-003"/>
    <x v="18"/>
    <s v="Sin Auxiliar"/>
    <x v="102"/>
    <d v="2025-09-01T00:00:00"/>
    <n v="99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QA3ADAAMwAzADUASQBEAEUAQQAD=&amp;Tipo=2&amp;ST=1&amp;nLang=0"/>
  </r>
  <r>
    <x v="0"/>
    <s v="OP-S-004"/>
    <x v="18"/>
    <s v="Sin Auxiliar"/>
    <x v="102"/>
    <d v="2025-09-01T00:00:00"/>
    <n v="100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QA3ADAAMwAzADUASQBEAEUAQQAD=&amp;Tipo=2&amp;ST=1&amp;nLang=0"/>
  </r>
  <r>
    <x v="0"/>
    <s v="OP-S-106"/>
    <x v="0"/>
    <s v="Sin Auxiliar"/>
    <x v="103"/>
    <d v="2025-09-02T00:00:00"/>
    <n v="41"/>
    <x v="0"/>
    <n v="6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2DAEwASwAzADUANgAwADEAMgAzADkASQBEAEUAQQA7=&amp;Tipo=2&amp;ST=1&amp;nLang=0"/>
  </r>
  <r>
    <x v="1"/>
    <s v="OP-S-013"/>
    <x v="1"/>
    <s v="Sin Auxiliar"/>
    <x v="103"/>
    <d v="2025-09-02T00:00:00"/>
    <n v="34"/>
    <x v="0"/>
    <n v="73"/>
    <n v="0"/>
    <n v="0"/>
    <n v="0"/>
    <n v="0"/>
    <n v="0"/>
    <n v="0"/>
    <n v="0"/>
    <n v="15"/>
    <n v="0"/>
    <n v="0"/>
    <n v="0"/>
    <n v="0"/>
    <n v="0"/>
    <n v="0"/>
    <n v="0"/>
    <s v="https://www.clickideacore.com/ClickHTML5/Visit.aspx?ID=//53DAEwASwAzADUANQA5ADUANQAzADcASQBEAEUAQQAE=&amp;Tipo=2&amp;ST=1&amp;nLang=0"/>
  </r>
  <r>
    <x v="2"/>
    <s v="OP-S-009"/>
    <x v="18"/>
    <s v="Sin Auxiliar"/>
    <x v="103"/>
    <d v="2025-09-02T00:00:00"/>
    <n v="146"/>
    <x v="0"/>
    <n v="53"/>
    <n v="0"/>
    <n v="0"/>
    <n v="0"/>
    <n v="0"/>
    <n v="0"/>
    <n v="0"/>
    <n v="0"/>
    <n v="5"/>
    <n v="0"/>
    <n v="0"/>
    <n v="0"/>
    <n v="0"/>
    <n v="0"/>
    <n v="0"/>
    <n v="0"/>
    <s v="https://www.clickideacore.com/ClickHTML5/Visit.aspx?ID=//58DAEwASwAzADUANQA5ADYAMgA3ADMASQBEAEUAQQA5=&amp;Tipo=2&amp;ST=1&amp;nLang=0"/>
  </r>
  <r>
    <x v="22"/>
    <s v="OP-S-009"/>
    <x v="18"/>
    <s v="Sin Auxiliar"/>
    <x v="103"/>
    <d v="2025-09-02T00:00:00"/>
    <n v="146"/>
    <x v="0"/>
    <n v="53"/>
    <n v="0"/>
    <n v="0"/>
    <n v="0"/>
    <n v="0"/>
    <n v="0"/>
    <n v="0"/>
    <n v="0"/>
    <n v="5"/>
    <n v="0"/>
    <n v="0"/>
    <n v="0"/>
    <n v="0"/>
    <n v="0"/>
    <n v="0"/>
    <n v="0"/>
    <s v="https://www.clickideacore.com/ClickHTML5/Visit.aspx?ID=//58DAEwASwAzADUANQA5ADYAMgA3ADMASQBEAEUAQQA5=&amp;Tipo=2&amp;ST=1&amp;nLang=0"/>
  </r>
  <r>
    <x v="3"/>
    <s v="OP-S-062"/>
    <x v="3"/>
    <s v="Sin Auxiliar"/>
    <x v="103"/>
    <d v="2025-09-02T00:00:00"/>
    <n v="23"/>
    <x v="0"/>
    <n v="5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gAwADUANAAxADcASQBEAEUAQQA0=&amp;Tipo=2&amp;ST=1&amp;nLang=0"/>
  </r>
  <r>
    <x v="4"/>
    <s v="OP-S-018"/>
    <x v="4"/>
    <s v="Sin Auxiliar"/>
    <x v="103"/>
    <d v="2025-09-02T00:00:00"/>
    <n v="60"/>
    <x v="0"/>
    <n v="70"/>
    <n v="4"/>
    <n v="0"/>
    <n v="0"/>
    <n v="0"/>
    <n v="0"/>
    <n v="0"/>
    <n v="0"/>
    <n v="56"/>
    <n v="0"/>
    <n v="0"/>
    <n v="0"/>
    <n v="0"/>
    <n v="0"/>
    <n v="0"/>
    <n v="0"/>
    <s v="https://www.clickideacore.com/ClickHTML5/Visit.aspx?ID=//5ADAEwASwAzADUANQA5ADcANQA2ADIASQBEAEUAQQAA=&amp;Tipo=2&amp;ST=1&amp;nLang=0"/>
  </r>
  <r>
    <x v="19"/>
    <s v="OP-SDYR-001"/>
    <x v="23"/>
    <s v="Sin Auxiliar"/>
    <x v="103"/>
    <d v="2025-09-02T00:00:00"/>
    <n v="20"/>
    <x v="0"/>
    <n v="4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QA4ADkANAAwADIASQBEAEUAQQA8=&amp;Tipo=2&amp;ST=1&amp;nLang=0"/>
  </r>
  <r>
    <x v="6"/>
    <s v="OP-S-R-001"/>
    <x v="18"/>
    <s v="Sin Auxiliar"/>
    <x v="103"/>
    <d v="2025-09-02T00:00:00"/>
    <n v="87"/>
    <x v="0"/>
    <n v="39"/>
    <n v="0"/>
    <n v="0"/>
    <n v="0"/>
    <n v="0"/>
    <n v="0"/>
    <n v="0"/>
    <n v="0"/>
    <n v="39"/>
    <n v="0"/>
    <n v="0"/>
    <n v="0"/>
    <n v="0"/>
    <n v="0"/>
    <n v="0"/>
    <n v="0"/>
    <s v="https://www.clickideacore.com/ClickHTML5/Visit.aspx?ID=//57DAEwASwAzADUANgAwADIAOAA0ADYASQBEAEUAQQAC=&amp;Tipo=2&amp;ST=1&amp;nLang=0"/>
  </r>
  <r>
    <x v="7"/>
    <s v="OP-S-010"/>
    <x v="18"/>
    <s v="Sin Auxiliar"/>
    <x v="103"/>
    <d v="2025-09-02T00:00:00"/>
    <n v="82"/>
    <x v="0"/>
    <n v="23"/>
    <n v="0"/>
    <n v="0"/>
    <n v="0"/>
    <n v="0"/>
    <n v="1"/>
    <n v="1"/>
    <n v="0"/>
    <n v="0"/>
    <n v="0"/>
    <n v="0"/>
    <n v="0"/>
    <n v="0"/>
    <n v="0"/>
    <n v="0"/>
    <n v="0"/>
    <s v="https://www.clickideacore.com/ClickHTML5/Visit.aspx?ID=//59DAEwASwAzADUANQA5ADUANgA4ADYASQBEAEUAQQAF=&amp;Tipo=2&amp;ST=1&amp;nLang=0"/>
  </r>
  <r>
    <x v="20"/>
    <s v="OP-S-010"/>
    <x v="18"/>
    <s v="Sin Auxiliar"/>
    <x v="103"/>
    <d v="2025-09-02T00:00:00"/>
    <n v="82"/>
    <x v="0"/>
    <n v="23"/>
    <n v="0"/>
    <n v="0"/>
    <n v="0"/>
    <n v="0"/>
    <n v="1"/>
    <n v="1"/>
    <n v="0"/>
    <n v="0"/>
    <n v="0"/>
    <n v="0"/>
    <n v="0"/>
    <n v="0"/>
    <n v="0"/>
    <n v="0"/>
    <n v="0"/>
    <s v="https://www.clickideacore.com/ClickHTML5/Visit.aspx?ID=//59DAEwASwAzADUANQA5ADUANgA4ADYASQBEAEUAQQAF=&amp;Tipo=2&amp;ST=1&amp;nLang=0"/>
  </r>
  <r>
    <x v="8"/>
    <s v="OP-S-004"/>
    <x v="8"/>
    <s v="Sin Auxiliar"/>
    <x v="103"/>
    <d v="2025-09-02T00:00:00"/>
    <n v="58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NQA4ADAANAA2ADAASQBEAEUAQQA4=&amp;Tipo=2&amp;ST=1&amp;nLang=0"/>
  </r>
  <r>
    <x v="9"/>
    <s v="OP-S-001"/>
    <x v="9"/>
    <s v="Sin Auxiliar"/>
    <x v="103"/>
    <d v="2025-09-02T00:00:00"/>
    <n v="28"/>
    <x v="0"/>
    <n v="73"/>
    <n v="0"/>
    <n v="0"/>
    <n v="1"/>
    <n v="0"/>
    <n v="0"/>
    <n v="8"/>
    <n v="0"/>
    <n v="0"/>
    <n v="0"/>
    <n v="0"/>
    <n v="0"/>
    <n v="0"/>
    <n v="0"/>
    <n v="0"/>
    <n v="0"/>
    <s v="https://www.clickideacore.com/ClickHTML5/Visit.aspx?ID=//52DAEwASwAzADUANgAwADAAMgA5ADYASQBEAEUAQQA6=&amp;Tipo=2&amp;ST=1&amp;nLang=0"/>
  </r>
  <r>
    <x v="11"/>
    <s v="OP-S-126"/>
    <x v="13"/>
    <s v="Sin Auxiliar"/>
    <x v="103"/>
    <d v="2025-09-02T00:00:00"/>
    <n v="50"/>
    <x v="0"/>
    <n v="5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5ADUANgA4ADQASQBEAEUAQQAB=&amp;Tipo=2&amp;ST=1&amp;nLang=0"/>
  </r>
  <r>
    <x v="12"/>
    <s v="OP-S-70"/>
    <x v="12"/>
    <s v="Sin Auxiliar"/>
    <x v="103"/>
    <d v="2025-09-02T00:00:00"/>
    <n v="40"/>
    <x v="0"/>
    <n v="34"/>
    <n v="0"/>
    <n v="8"/>
    <n v="1"/>
    <n v="1"/>
    <n v="0"/>
    <n v="1"/>
    <n v="0"/>
    <n v="36"/>
    <n v="0"/>
    <n v="0"/>
    <n v="0"/>
    <n v="0"/>
    <n v="0"/>
    <n v="0"/>
    <n v="0"/>
    <s v="https://www.clickideacore.com/ClickHTML5/Visit.aspx?ID=//53DAEwASwAzADUANgAwADQAMAA2ADAASQBEAEUAQQAD=&amp;Tipo=2&amp;ST=1&amp;nLang=0"/>
  </r>
  <r>
    <x v="13"/>
    <s v="OP-S-060"/>
    <x v="10"/>
    <s v="Sin Auxiliar"/>
    <x v="103"/>
    <d v="2025-09-02T00:00:00"/>
    <n v="49"/>
    <x v="0"/>
    <n v="4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NQA5ADIAOQA0ADgASQBEAEUAQQAE=&amp;Tipo=2&amp;ST=1&amp;nLang=0"/>
  </r>
  <r>
    <x v="14"/>
    <s v="OP-S-011"/>
    <x v="14"/>
    <s v="Sin Auxiliar"/>
    <x v="103"/>
    <d v="2025-09-02T00:00:00"/>
    <n v="48"/>
    <x v="0"/>
    <n v="56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4DAEwASwAzADUANgAwADQAOQA1ADYASQBEAEUAQQAC=&amp;Tipo=2&amp;ST=1&amp;nLang=0"/>
  </r>
  <r>
    <x v="18"/>
    <s v="OP-S-002"/>
    <x v="6"/>
    <s v="Sin Auxiliar"/>
    <x v="103"/>
    <d v="2025-09-02T00:00:00"/>
    <n v="45"/>
    <x v="0"/>
    <n v="23"/>
    <n v="0"/>
    <n v="0"/>
    <n v="1"/>
    <n v="0"/>
    <n v="0"/>
    <n v="0"/>
    <n v="0"/>
    <n v="23"/>
    <n v="0"/>
    <n v="0"/>
    <n v="0"/>
    <n v="0"/>
    <n v="0"/>
    <n v="0"/>
    <n v="0"/>
    <s v="https://www.clickideacore.com/ClickHTML5/Visit.aspx?ID=//55DAEwASwAzADUANQA5ADYAMQAxADYASQBEAEUAQQA5=&amp;Tipo=2&amp;ST=1&amp;nLang=0"/>
  </r>
  <r>
    <x v="15"/>
    <s v="OP-S-003"/>
    <x v="18"/>
    <s v="Sin Auxiliar"/>
    <x v="103"/>
    <d v="2025-09-02T00:00:00"/>
    <n v="45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5ADYAMQAxADYASQBEAEUAQQA5=&amp;Tipo=2&amp;ST=1&amp;nLang=0"/>
  </r>
  <r>
    <x v="23"/>
    <s v="OP-S-004"/>
    <x v="5"/>
    <s v="Sin Auxiliar"/>
    <x v="103"/>
    <d v="2025-09-02T00:00:00"/>
    <n v="45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5ADYAMQAxADYASQBEAEUAQQA5=&amp;Tipo=2&amp;ST=1&amp;nLang=0"/>
  </r>
  <r>
    <x v="10"/>
    <s v="OP-S-005"/>
    <x v="18"/>
    <s v="Sin Auxiliar"/>
    <x v="103"/>
    <d v="2025-09-02T00:00:00"/>
    <n v="45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5ADYAMQAxADYASQBEAEUAQQA5=&amp;Tipo=2&amp;ST=1&amp;nLang=0"/>
  </r>
  <r>
    <x v="17"/>
    <s v="OP-S-006"/>
    <x v="18"/>
    <s v="Sin Auxiliar"/>
    <x v="103"/>
    <d v="2025-09-02T00:00:00"/>
    <n v="45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5DAEwASwAzADUANQA5ADYAMQAxADYASQBEAEUAQQA5=&amp;Tipo=2&amp;ST=1&amp;nLang=0"/>
  </r>
  <r>
    <x v="1"/>
    <s v="OP-S-013"/>
    <x v="1"/>
    <s v="Sin Auxiliar"/>
    <x v="104"/>
    <d v="2025-09-03T00:00:00"/>
    <n v="28"/>
    <x v="0"/>
    <n v="77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DDAEwASwAzADUANgAxADUAMAA3ADMASQBEAEUAQQA0=&amp;Tipo=2&amp;ST=1&amp;nLang=0"/>
  </r>
  <r>
    <x v="2"/>
    <s v="OP-S-009"/>
    <x v="0"/>
    <s v="Sin Auxiliar"/>
    <x v="104"/>
    <d v="2025-09-03T00:00:00"/>
    <n v="39"/>
    <x v="0"/>
    <n v="4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UANgAxADYAOQAxADUASQBEAEUAQQA7=&amp;Tipo=2&amp;ST=1&amp;nLang=0"/>
  </r>
  <r>
    <x v="3"/>
    <s v="OP-S-062"/>
    <x v="3"/>
    <s v="Sin Auxiliar"/>
    <x v="104"/>
    <d v="2025-09-03T00:00:00"/>
    <n v="23"/>
    <x v="0"/>
    <n v="2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gAwADUANAAxADcASQBEAEUAQQA0=&amp;Tipo=2&amp;ST=1&amp;nLang=0"/>
  </r>
  <r>
    <x v="4"/>
    <s v="OP-S-018"/>
    <x v="4"/>
    <s v="Sin Auxiliar"/>
    <x v="104"/>
    <d v="2025-09-03T00:00:00"/>
    <n v="89"/>
    <x v="0"/>
    <n v="94"/>
    <n v="0"/>
    <n v="0"/>
    <n v="1"/>
    <n v="0"/>
    <n v="0"/>
    <n v="0"/>
    <n v="0"/>
    <n v="56"/>
    <n v="0"/>
    <n v="0"/>
    <n v="0"/>
    <n v="0"/>
    <n v="0"/>
    <n v="0"/>
    <n v="1"/>
    <s v="https://www.clickideacore.com/ClickHTML5/Visit.aspx?ID=//54DAEwASwAzADUANgAyADQAMgAzADAASQBEAEUAQQAF=&amp;Tipo=2&amp;ST=1&amp;nLang=0"/>
  </r>
  <r>
    <x v="5"/>
    <s v="OP-S-055"/>
    <x v="5"/>
    <s v="Sin Auxiliar"/>
    <x v="104"/>
    <d v="2025-09-03T00:00:00"/>
    <n v="28"/>
    <x v="0"/>
    <n v="46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ADAEwASwAzADUANgAyADQANQAyADMASQBEAEUAQQA1=&amp;Tipo=2&amp;ST=1&amp;nLang=0"/>
  </r>
  <r>
    <x v="6"/>
    <s v="OP-S-R-001"/>
    <x v="18"/>
    <s v="Sin Auxiliar"/>
    <x v="104"/>
    <d v="2025-09-03T00:00:00"/>
    <n v="41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2DAEwASwAzADUANgAxADkAMAA2ADMASQBEAEUAQQA7=&amp;Tipo=2&amp;ST=1&amp;nLang=0"/>
  </r>
  <r>
    <x v="7"/>
    <s v="OP-S-010"/>
    <x v="18"/>
    <s v="Sin Auxiliar"/>
    <x v="104"/>
    <d v="2025-09-03T00:00:00"/>
    <n v="80"/>
    <x v="0"/>
    <n v="6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gAyADIANQA0ADMASQBEAEUAQQAE=&amp;Tipo=2&amp;ST=1&amp;nLang=0"/>
  </r>
  <r>
    <x v="20"/>
    <s v="OP-S-010"/>
    <x v="18"/>
    <s v="Sin Auxiliar"/>
    <x v="104"/>
    <d v="2025-09-03T00:00:00"/>
    <n v="80"/>
    <x v="0"/>
    <n v="6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gAyADIANQA0ADMASQBEAEUAQQAE=&amp;Tipo=2&amp;ST=1&amp;nLang=0"/>
  </r>
  <r>
    <x v="8"/>
    <s v="OP-S-004"/>
    <x v="8"/>
    <s v="Sin Auxiliar"/>
    <x v="104"/>
    <d v="2025-09-03T00:00:00"/>
    <n v="58"/>
    <x v="0"/>
    <n v="9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NQA4ADAANAA2ADAASQBEAEUAQQA4=&amp;Tipo=2&amp;ST=1&amp;nLang=0"/>
  </r>
  <r>
    <x v="0"/>
    <s v="OP-S-001"/>
    <x v="9"/>
    <s v="Sin Auxiliar"/>
    <x v="104"/>
    <d v="2025-09-03T00:00:00"/>
    <n v="32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UANgAyADYAOQA0ADQASQBEAEUAQQA6=&amp;Tipo=2&amp;ST=1&amp;nLang=0"/>
  </r>
  <r>
    <x v="11"/>
    <s v="OP-S-126"/>
    <x v="18"/>
    <s v="Sin Auxiliar"/>
    <x v="104"/>
    <d v="2025-09-03T00:00:00"/>
    <n v="44"/>
    <x v="0"/>
    <n v="5"/>
    <n v="0"/>
    <n v="0"/>
    <n v="1"/>
    <n v="0"/>
    <n v="0"/>
    <n v="0"/>
    <n v="10"/>
    <n v="25"/>
    <n v="0"/>
    <n v="0"/>
    <n v="0"/>
    <n v="0"/>
    <n v="0"/>
    <n v="0"/>
    <n v="0"/>
    <s v="https://www.clickideacore.com/ClickHTML5/Visit.aspx?ID=//59DAEwASwAzADUANgAxADUAOQA4ADkASQBEAEUAQQA5=&amp;Tipo=2&amp;ST=1&amp;nLang=0"/>
  </r>
  <r>
    <x v="19"/>
    <s v="OP-S-126"/>
    <x v="18"/>
    <s v="Sin Auxiliar"/>
    <x v="104"/>
    <d v="2025-09-03T00:00:00"/>
    <n v="44"/>
    <x v="0"/>
    <n v="65"/>
    <n v="0"/>
    <n v="0"/>
    <n v="1"/>
    <n v="0"/>
    <n v="0"/>
    <n v="0"/>
    <n v="10"/>
    <n v="25"/>
    <n v="0"/>
    <n v="0"/>
    <n v="0"/>
    <n v="0"/>
    <n v="0"/>
    <n v="0"/>
    <n v="0"/>
    <s v="https://www.clickideacore.com/ClickHTML5/Visit.aspx?ID=//59DAEwASwAzADUANgAxADUAOQA4ADkASQBEAEUAQQA5=&amp;Tipo=2&amp;ST=1&amp;nLang=0"/>
  </r>
  <r>
    <x v="12"/>
    <s v="OP-S-70"/>
    <x v="12"/>
    <s v="Sin Auxiliar"/>
    <x v="104"/>
    <d v="2025-09-03T00:00:00"/>
    <n v="40"/>
    <x v="0"/>
    <n v="62"/>
    <n v="0"/>
    <n v="8"/>
    <n v="1"/>
    <n v="1"/>
    <n v="0"/>
    <n v="1"/>
    <n v="0"/>
    <n v="36"/>
    <n v="0"/>
    <n v="0"/>
    <n v="0"/>
    <n v="0"/>
    <n v="0"/>
    <n v="0"/>
    <n v="0"/>
    <s v="https://www.clickideacore.com/ClickHTML5/Visit.aspx?ID=//53DAEwASwAzADUANgAwADQAMAA2ADAASQBEAEUAQQAD=&amp;Tipo=2&amp;ST=1&amp;nLang=0"/>
  </r>
  <r>
    <x v="13"/>
    <s v="OP-S-060"/>
    <x v="13"/>
    <s v="Sin Auxiliar"/>
    <x v="104"/>
    <d v="2025-09-03T00:00:00"/>
    <n v="53"/>
    <x v="0"/>
    <n v="5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5DAEwASwAzADUANgAyADQAMwAxADQASQBEAEUAQQAD=&amp;Tipo=2&amp;ST=1&amp;nLang=0"/>
  </r>
  <r>
    <x v="14"/>
    <s v="OP-S-011"/>
    <x v="14"/>
    <s v="Sin Auxiliar"/>
    <x v="104"/>
    <d v="2025-09-03T00:00:00"/>
    <n v="38"/>
    <x v="0"/>
    <n v="26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CDAEwASwAzADUANgAyADcAMgA1ADgASQBEAEUAQQA8=&amp;Tipo=2&amp;ST=1&amp;nLang=0"/>
  </r>
  <r>
    <x v="17"/>
    <s v="OP-S-0010"/>
    <x v="10"/>
    <s v="Sin Auxiliar"/>
    <x v="104"/>
    <d v="2025-09-03T00:00:00"/>
    <n v="33"/>
    <x v="0"/>
    <n v="8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NgAxADcAMAA1ADEASQBEAEUAQQA0=&amp;Tipo=2&amp;ST=1&amp;nLang=0"/>
  </r>
  <r>
    <x v="18"/>
    <s v="OP-S-002"/>
    <x v="6"/>
    <s v="Sin Auxiliar"/>
    <x v="104"/>
    <d v="2025-09-03T00:00:00"/>
    <n v="48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6DAEwASwAzADUANgAxADcAMwAxADIASQBEAEUAQQA9=&amp;Tipo=2&amp;ST=1&amp;nLang=0"/>
  </r>
  <r>
    <x v="27"/>
    <s v="OP-S-054"/>
    <x v="23"/>
    <s v="Sin Auxiliar"/>
    <x v="104"/>
    <d v="2025-09-03T00:00:00"/>
    <n v="23"/>
    <x v="0"/>
    <n v="59"/>
    <n v="0"/>
    <n v="0"/>
    <n v="1"/>
    <n v="0"/>
    <n v="0"/>
    <n v="0"/>
    <n v="2"/>
    <n v="35"/>
    <n v="0"/>
    <n v="0"/>
    <n v="0"/>
    <n v="0"/>
    <n v="0"/>
    <n v="0"/>
    <n v="0"/>
    <s v="https://www.clickideacore.com/ClickHTML5/Visit.aspx?ID=//5DDAEwASwAzADUANgAxADUANAAxADgASQBEAEUAQQA4=&amp;Tipo=2&amp;ST=1&amp;nLang=0"/>
  </r>
  <r>
    <x v="9"/>
    <s v="OP-S-055"/>
    <x v="18"/>
    <s v="Sin Auxiliar"/>
    <x v="104"/>
    <d v="2025-09-03T00:00:00"/>
    <n v="24"/>
    <x v="1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gAxADUANAAxADgASQBEAEUAQQA4=&amp;Tipo=2&amp;ST=1&amp;nLang=0"/>
  </r>
  <r>
    <x v="10"/>
    <s v="OP-S-056"/>
    <x v="18"/>
    <s v="Sin Auxiliar"/>
    <x v="104"/>
    <d v="2025-09-03T00:00:00"/>
    <n v="25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gAxADUANAAxADgASQBEAEUAQQA4=&amp;Tipo=2&amp;ST=1&amp;nLang=0"/>
  </r>
  <r>
    <x v="0"/>
    <s v="OP-S-106"/>
    <x v="0"/>
    <s v="Sin Auxiliar"/>
    <x v="105"/>
    <d v="2025-09-04T00:00:00"/>
    <n v="66"/>
    <x v="0"/>
    <n v="56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1DAEwASwAzADUANgA1ADAAMwA1ADcASQBEAEUAQQAF=&amp;Tipo=2&amp;ST=1&amp;nLang=0"/>
  </r>
  <r>
    <x v="1"/>
    <s v="OP-S-013"/>
    <x v="1"/>
    <s v="Sin Auxiliar"/>
    <x v="105"/>
    <d v="2025-09-04T00:00:00"/>
    <n v="31"/>
    <x v="0"/>
    <n v="33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EDAEwASwAzADUANgAzADkANQA2ADEASQBEAEUAQQAB=&amp;Tipo=2&amp;ST=1&amp;nLang=0"/>
  </r>
  <r>
    <x v="2"/>
    <s v="OP-S-009"/>
    <x v="23"/>
    <s v="Sin Auxiliar"/>
    <x v="105"/>
    <d v="2025-09-04T00:00:00"/>
    <n v="29"/>
    <x v="0"/>
    <n v="34"/>
    <n v="0"/>
    <n v="0"/>
    <n v="0"/>
    <n v="0"/>
    <n v="0"/>
    <n v="0"/>
    <n v="8"/>
    <n v="12"/>
    <n v="0"/>
    <n v="0"/>
    <n v="0"/>
    <n v="0"/>
    <n v="0"/>
    <n v="0"/>
    <n v="1"/>
    <s v="https://www.clickideacore.com/ClickHTML5/Visit.aspx?ID=//56DAEwASwAzADUANgAzADYAOQA3ADAASQBEAEUAQQA8=&amp;Tipo=2&amp;ST=1&amp;nLang=0"/>
  </r>
  <r>
    <x v="3"/>
    <s v="OP-S-062"/>
    <x v="3"/>
    <s v="Sin Auxiliar"/>
    <x v="105"/>
    <d v="2025-09-04T00:00:00"/>
    <n v="23"/>
    <x v="0"/>
    <n v="41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gAwADUANAAxADcASQBEAEUAQQA0=&amp;Tipo=2&amp;ST=1&amp;nLang=0"/>
  </r>
  <r>
    <x v="4"/>
    <s v="OP-S-018"/>
    <x v="4"/>
    <s v="Sin Auxiliar"/>
    <x v="105"/>
    <d v="2025-09-04T00:00:00"/>
    <n v="89"/>
    <x v="0"/>
    <n v="79"/>
    <n v="0"/>
    <n v="0"/>
    <n v="1"/>
    <n v="0"/>
    <n v="0"/>
    <n v="0"/>
    <n v="0"/>
    <n v="56"/>
    <n v="0"/>
    <n v="0"/>
    <n v="0"/>
    <n v="0"/>
    <n v="0"/>
    <n v="0"/>
    <n v="1"/>
    <s v="https://www.clickideacore.com/ClickHTML5/Visit.aspx?ID=//54DAEwASwAzADUANgAyADQAMgAzADAASQBEAEUAQQAF=&amp;Tipo=2&amp;ST=1&amp;nLang=0"/>
  </r>
  <r>
    <x v="5"/>
    <s v="OP-S-055"/>
    <x v="5"/>
    <s v="Sin Auxiliar"/>
    <x v="105"/>
    <d v="2025-09-04T00:00:00"/>
    <n v="24"/>
    <x v="0"/>
    <n v="3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gA0ADIANgA4ADUASQBEAEUAQQAD=&amp;Tipo=2&amp;ST=1&amp;nLang=0"/>
  </r>
  <r>
    <x v="6"/>
    <s v="OP-S-R-001"/>
    <x v="18"/>
    <s v="Sin Auxiliar"/>
    <x v="105"/>
    <d v="2025-09-04T00:00:00"/>
    <n v="32"/>
    <x v="0"/>
    <n v="22"/>
    <n v="0"/>
    <n v="0"/>
    <n v="0"/>
    <n v="0"/>
    <n v="0"/>
    <n v="0"/>
    <n v="0"/>
    <n v="22"/>
    <n v="0"/>
    <n v="0"/>
    <n v="0"/>
    <n v="0"/>
    <n v="0"/>
    <n v="0"/>
    <n v="0"/>
    <s v="https://www.clickideacore.com/ClickHTML5/Visit.aspx?ID=//55DAEwASwAzADUANgA0ADQAMAAyADIASQBEAEUAQQA7=&amp;Tipo=2&amp;ST=1&amp;nLang=0"/>
  </r>
  <r>
    <x v="8"/>
    <s v="OP-S-004"/>
    <x v="8"/>
    <s v="Sin Auxiliar"/>
    <x v="105"/>
    <d v="2025-09-04T00:00:00"/>
    <n v="44"/>
    <x v="0"/>
    <n v="88"/>
    <n v="0"/>
    <n v="0"/>
    <n v="1"/>
    <n v="0"/>
    <n v="0"/>
    <n v="0"/>
    <n v="0"/>
    <n v="66"/>
    <n v="0"/>
    <n v="0"/>
    <n v="0"/>
    <n v="0"/>
    <n v="0"/>
    <n v="0"/>
    <n v="0"/>
    <s v="https://www.clickideacore.com/ClickHTML5/Visit.aspx?ID=//5DDAEwASwAzADUANgA0ADMAOQA1ADYASQBEAEUAQQAA=&amp;Tipo=2&amp;ST=1&amp;nLang=0"/>
  </r>
  <r>
    <x v="9"/>
    <s v="OP-S-001"/>
    <x v="9"/>
    <s v="Sin Auxiliar"/>
    <x v="105"/>
    <d v="2025-09-04T00:00:00"/>
    <n v="30"/>
    <x v="0"/>
    <n v="5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6DAEwASwAzADUANgA0ADgAOAAzADEASQBEAEUAQQA3=&amp;Tipo=2&amp;ST=1&amp;nLang=0"/>
  </r>
  <r>
    <x v="11"/>
    <s v="OP-S-126"/>
    <x v="18"/>
    <s v="Sin Auxiliar"/>
    <x v="105"/>
    <d v="2025-09-04T00:00:00"/>
    <n v="26"/>
    <x v="0"/>
    <n v="37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1DAEwASwAzADUANgA1ADIANQAwADgASQBEAEUAQQAE=&amp;Tipo=2&amp;ST=1&amp;nLang=0"/>
  </r>
  <r>
    <x v="19"/>
    <s v="OP-S-126"/>
    <x v="18"/>
    <s v="Sin Auxiliar"/>
    <x v="105"/>
    <d v="2025-09-04T00:00:00"/>
    <n v="26"/>
    <x v="0"/>
    <n v="37"/>
    <n v="0"/>
    <n v="0"/>
    <n v="1"/>
    <n v="0"/>
    <n v="0"/>
    <n v="0"/>
    <n v="0"/>
    <n v="15"/>
    <n v="0"/>
    <n v="0"/>
    <n v="0"/>
    <n v="0"/>
    <n v="0"/>
    <n v="0"/>
    <n v="0"/>
    <s v="https://www.clickideacore.com/ClickHTML5/Visit.aspx?ID=//51DAEwASwAzADUANgA1ADIANQAwADgASQBEAEUAQQAE=&amp;Tipo=2&amp;ST=1&amp;nLang=0"/>
  </r>
  <r>
    <x v="7"/>
    <s v="OP-S-010"/>
    <x v="18"/>
    <s v="Sin Auxiliar"/>
    <x v="105"/>
    <d v="2025-09-04T00:00:00"/>
    <n v="80"/>
    <x v="0"/>
    <n v="26"/>
    <m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gAyADIANQA0ADMASQBEAEUAQQAE=&amp;Tipo=2&amp;ST=1&amp;nLang=0"/>
  </r>
  <r>
    <x v="20"/>
    <s v="OP-S-010"/>
    <x v="18"/>
    <s v="Sin Auxiliar"/>
    <x v="105"/>
    <d v="2025-09-04T00:00:00"/>
    <n v="80"/>
    <x v="0"/>
    <n v="2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gAyADIANQA0ADMASQBEAEUAQQAE=&amp;Tipo=2&amp;ST=1&amp;nLang=0"/>
  </r>
  <r>
    <x v="12"/>
    <s v="OP-S-70"/>
    <x v="12"/>
    <s v="Sin Auxiliar"/>
    <x v="105"/>
    <d v="2025-09-04T00:00:00"/>
    <n v="21"/>
    <x v="0"/>
    <n v="50"/>
    <n v="0"/>
    <n v="0"/>
    <n v="1"/>
    <n v="1"/>
    <n v="0"/>
    <n v="1"/>
    <n v="0"/>
    <n v="40"/>
    <n v="0"/>
    <n v="0"/>
    <n v="0"/>
    <n v="0"/>
    <n v="0"/>
    <n v="0"/>
    <n v="0"/>
    <s v="https://www.clickideacore.com/ClickHTML5/Visit.aspx?ID=//54DAEwASwAzADUANgA1ADAANQAxADMASQBEAEUAQQA2=&amp;Tipo=2&amp;ST=1&amp;nLang=0"/>
  </r>
  <r>
    <x v="13"/>
    <s v="OP-S-060"/>
    <x v="13"/>
    <s v="Sin Auxiliar"/>
    <x v="105"/>
    <d v="2025-09-04T00:00:00"/>
    <n v="58"/>
    <x v="0"/>
    <n v="3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BDAEwASwAzADUANgA0ADkAMQAwADcASQBEAEUAQQAB=&amp;Tipo=2&amp;ST=1&amp;nLang=0"/>
  </r>
  <r>
    <x v="14"/>
    <s v="OP-S-011"/>
    <x v="14"/>
    <s v="Sin Auxiliar"/>
    <x v="105"/>
    <d v="2025-09-04T00:00:00"/>
    <n v="60"/>
    <x v="0"/>
    <n v="38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DDAEwASwAzADUANgA1ADEAMAA0ADQASQBEAEUAQQA6=&amp;Tipo=2&amp;ST=1&amp;nLang=0"/>
  </r>
  <r>
    <x v="17"/>
    <s v="OP-S-0010"/>
    <x v="10"/>
    <s v="Sin Auxiliar"/>
    <x v="105"/>
    <d v="2025-09-04T00:00:00"/>
    <n v="52"/>
    <x v="0"/>
    <n v="3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UANgA0ADIAOAA2ADIASQBEAEUAQQA1=&amp;Tipo=2&amp;ST=1&amp;nLang=0"/>
  </r>
  <r>
    <x v="18"/>
    <s v="OP-S-002"/>
    <x v="6"/>
    <s v="Sin Auxiliar"/>
    <x v="105"/>
    <d v="2025-09-04T00:00:00"/>
    <n v="45"/>
    <x v="0"/>
    <n v="28"/>
    <n v="0"/>
    <n v="0"/>
    <n v="1"/>
    <n v="0"/>
    <n v="0"/>
    <n v="0"/>
    <n v="0"/>
    <n v="28"/>
    <n v="0"/>
    <n v="0"/>
    <n v="0"/>
    <n v="0"/>
    <n v="0"/>
    <n v="0"/>
    <n v="0"/>
    <s v="https://www.clickideacore.com/ClickHTML5/Visit.aspx?ID=//52DAEwASwAzADUANgA0ADIANQA2ADQASQBEAEUAQQA7=&amp;Tipo=2&amp;ST=1&amp;nLang=0"/>
  </r>
  <r>
    <x v="10"/>
    <s v="OP-S-003"/>
    <x v="18"/>
    <s v="Sin Auxiliar"/>
    <x v="105"/>
    <d v="2025-09-04T00:00:00"/>
    <n v="46"/>
    <x v="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NgA0ADIANQA2ADQASQBEAEUAQQA7=&amp;Tipo=2&amp;ST=1&amp;nLang=0"/>
  </r>
  <r>
    <x v="15"/>
    <s v="OP-S-004"/>
    <x v="18"/>
    <s v="Sin Auxiliar"/>
    <x v="105"/>
    <d v="2025-09-04T00:00:00"/>
    <n v="47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NgA0ADIANQA2ADQASQBEAEUAQQA7=&amp;Tipo=2&amp;ST=1&amp;nLang=0"/>
  </r>
  <r>
    <x v="1"/>
    <s v="OP-S-013"/>
    <x v="1"/>
    <s v="Sin Auxiliar"/>
    <x v="106"/>
    <d v="2025-09-05T00:00:00"/>
    <n v="51"/>
    <x v="0"/>
    <n v="10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NgA2ADUAOAA5ADIASQBEAEUAQQA3=&amp;Tipo=2&amp;ST=1&amp;nLang=0"/>
  </r>
  <r>
    <x v="2"/>
    <s v="OP-S-009"/>
    <x v="0"/>
    <s v="Sin Auxiliar"/>
    <x v="106"/>
    <d v="2025-09-05T00:00:00"/>
    <n v="37"/>
    <x v="0"/>
    <n v="7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UANgA2ADQAMwAyADUASQBEAEUAQQA4=&amp;Tipo=2&amp;ST=1&amp;nLang=0"/>
  </r>
  <r>
    <x v="3"/>
    <s v="OP-S-062"/>
    <x v="3"/>
    <s v="Sin Auxiliar"/>
    <x v="106"/>
    <d v="2025-09-05T00:00:00"/>
    <n v="77"/>
    <x v="0"/>
    <n v="49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3DAEwASwAzADUANgA3ADIAOQAwADYASQBEAEUAQQAB=&amp;Tipo=2&amp;ST=1&amp;nLang=0"/>
  </r>
  <r>
    <x v="4"/>
    <s v="OP-S-018"/>
    <x v="4"/>
    <s v="Sin Auxiliar"/>
    <x v="106"/>
    <d v="2025-09-05T00:00:00"/>
    <n v="29"/>
    <x v="0"/>
    <n v="8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5DAEwASwAzADUANgA2ADQAOQA3ADYASQBEAEUAQQAD=&amp;Tipo=2&amp;ST=1&amp;nLang=0"/>
  </r>
  <r>
    <x v="5"/>
    <s v="OP-S-055"/>
    <x v="5"/>
    <s v="Sin Auxiliar"/>
    <x v="106"/>
    <d v="2025-09-05T00:00:00"/>
    <n v="33"/>
    <x v="0"/>
    <n v="49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2DAEwASwAzADUANgA2ADkANgA5ADQASQBEAEUAQQAA=&amp;Tipo=2&amp;ST=1&amp;nLang=0"/>
  </r>
  <r>
    <x v="6"/>
    <s v="OP-S-R-001"/>
    <x v="18"/>
    <s v="Sin Auxiliar"/>
    <x v="106"/>
    <d v="2025-09-05T00:00:00"/>
    <n v="46"/>
    <x v="0"/>
    <n v="29"/>
    <n v="0"/>
    <n v="0"/>
    <n v="0"/>
    <n v="0"/>
    <n v="0"/>
    <n v="0"/>
    <n v="0"/>
    <n v="29"/>
    <n v="0"/>
    <n v="0"/>
    <n v="0"/>
    <n v="0"/>
    <n v="0"/>
    <n v="0"/>
    <n v="0"/>
    <s v="https://www.clickideacore.com/ClickHTML5/Visit.aspx?ID=//54DAEwASwAzADUANgA3ADEANgAwADAASQBEAEUAQQA2=&amp;Tipo=2&amp;ST=1&amp;nLang=0"/>
  </r>
  <r>
    <x v="7"/>
    <s v="OP-S-010"/>
    <x v="18"/>
    <s v="Sin Auxiliar"/>
    <x v="106"/>
    <d v="2025-09-05T00:00:00"/>
    <n v="121"/>
    <x v="0"/>
    <n v="5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UANgA2ADgANgA1ADIASQBEAEUAQQA1=&amp;Tipo=2&amp;ST=1&amp;nLang=0"/>
  </r>
  <r>
    <x v="20"/>
    <s v="OP-S-010"/>
    <x v="18"/>
    <s v="Sin Auxiliar"/>
    <x v="106"/>
    <d v="2025-09-05T00:00:00"/>
    <n v="121"/>
    <x v="0"/>
    <n v="5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UANgA2ADgANgA1ADIASQBEAEUAQQA1=&amp;Tipo=2&amp;ST=1&amp;nLang=0"/>
  </r>
  <r>
    <x v="8"/>
    <s v="OP-S-004"/>
    <x v="8"/>
    <s v="Sin Auxiliar"/>
    <x v="106"/>
    <d v="2025-09-05T00:00:00"/>
    <n v="44"/>
    <x v="0"/>
    <n v="96"/>
    <n v="0"/>
    <n v="0"/>
    <n v="1"/>
    <n v="0"/>
    <n v="0"/>
    <n v="0"/>
    <n v="0"/>
    <n v="66"/>
    <n v="0"/>
    <n v="0"/>
    <n v="0"/>
    <n v="0"/>
    <n v="0"/>
    <n v="0"/>
    <n v="0"/>
    <s v="https://www.clickideacore.com/ClickHTML5/Visit.aspx?ID=//5DDAEwASwAzADUANgA0ADMAOQA1ADYASQBEAEUAQQAA=&amp;Tipo=2&amp;ST=1&amp;nLang=0"/>
  </r>
  <r>
    <x v="9"/>
    <s v="OP-S-001"/>
    <x v="9"/>
    <s v="Sin Auxiliar"/>
    <x v="106"/>
    <d v="2025-09-05T00:00:00"/>
    <n v="41"/>
    <x v="0"/>
    <n v="7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2DAEwASwAzADUANgA3ADEAMAA2ADUASQBEAEUAQQAF=&amp;Tipo=2&amp;ST=1&amp;nLang=0"/>
  </r>
  <r>
    <x v="11"/>
    <s v="OP-S-126"/>
    <x v="18"/>
    <s v="Sin Auxiliar"/>
    <x v="106"/>
    <d v="2025-09-05T00:00:00"/>
    <n v="25"/>
    <x v="0"/>
    <n v="6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UANgA5ADUAOQA1ADQASQBEAEUAQQA1=&amp;Tipo=2&amp;ST=1&amp;nLang=0"/>
  </r>
  <r>
    <x v="19"/>
    <s v="OP-S-126"/>
    <x v="18"/>
    <s v="Sin Auxiliar"/>
    <x v="106"/>
    <d v="2025-09-05T00:00:00"/>
    <n v="25"/>
    <x v="0"/>
    <n v="64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9DAEwASwAzADUANgA5ADUAOQA1ADQASQBEAEUAQQA1=&amp;Tipo=2&amp;ST=1&amp;nLang=0"/>
  </r>
  <r>
    <x v="12"/>
    <s v="OP-S-70"/>
    <x v="12"/>
    <s v="Sin Auxiliar"/>
    <x v="106"/>
    <d v="2025-09-05T00:00:00"/>
    <n v="21"/>
    <x v="0"/>
    <n v="63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4DAEwASwAzADUANgA1ADAANQAxADMASQBEAEUAQQA2=&amp;Tipo=2&amp;ST=1&amp;nLang=0"/>
  </r>
  <r>
    <x v="13"/>
    <s v="OP-S-060"/>
    <x v="13"/>
    <s v="Sin Auxiliar"/>
    <x v="106"/>
    <d v="2025-09-05T00:00:00"/>
    <n v="55"/>
    <x v="0"/>
    <n v="5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UANgA3ADIAMQA4ADYASQBEAEUAQQA2=&amp;Tipo=2&amp;ST=1&amp;nLang=0"/>
  </r>
  <r>
    <x v="14"/>
    <s v="OP-S-011"/>
    <x v="14"/>
    <s v="Sin Auxiliar"/>
    <x v="106"/>
    <d v="2025-09-05T00:00:00"/>
    <n v="49"/>
    <x v="0"/>
    <n v="54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FDAEwASwAzADUANgA3ADMANQAyADgASQBEAEUAQQAB=&amp;Tipo=2&amp;ST=1&amp;nLang=0"/>
  </r>
  <r>
    <x v="17"/>
    <s v="OP-S-0010"/>
    <x v="10"/>
    <s v="Sin Auxiliar"/>
    <x v="106"/>
    <d v="2025-09-05T00:00:00"/>
    <n v="54"/>
    <x v="0"/>
    <n v="83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NgA2ADMANAA2ADAASQBEAEUAQQAE=&amp;Tipo=2&amp;ST=1&amp;nLang=0"/>
  </r>
  <r>
    <x v="18"/>
    <s v="OP-S-002"/>
    <x v="6"/>
    <s v="Sin Auxiliar"/>
    <x v="106"/>
    <d v="2025-09-05T00:00:00"/>
    <n v="35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EDAEwASwAzADUANgA2ADQANwAxADcASQBEAEUAQQA9=&amp;Tipo=2&amp;ST=1&amp;nLang=0"/>
  </r>
  <r>
    <x v="27"/>
    <s v="OP-S-054"/>
    <x v="23"/>
    <s v="Sin Auxiliar"/>
    <x v="106"/>
    <d v="2025-09-05T00:00:00"/>
    <n v="24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NgA1ADkAOAA4ADYASQBEAEUAQQA9=&amp;Tipo=2&amp;ST=1&amp;nLang=0"/>
  </r>
  <r>
    <x v="10"/>
    <s v="OP-S-055"/>
    <x v="18"/>
    <s v="Sin Auxiliar"/>
    <x v="106"/>
    <d v="2025-09-05T00:00:00"/>
    <n v="25"/>
    <x v="4"/>
    <n v="0"/>
    <n v="0"/>
    <n v="0"/>
    <n v="0"/>
    <n v="0"/>
    <n v="0"/>
    <n v="0"/>
    <n v="0"/>
    <n v="0"/>
    <n v="0"/>
    <n v="0"/>
    <n v="0"/>
    <n v="0"/>
    <n v="0"/>
    <n v="0"/>
    <n v="0"/>
    <m/>
  </r>
  <r>
    <x v="1"/>
    <s v="OP-S-013"/>
    <x v="1"/>
    <s v="Sin Auxiliar"/>
    <x v="107"/>
    <d v="2025-09-06T00:00:00"/>
    <n v="105"/>
    <x v="0"/>
    <n v="0"/>
    <n v="0"/>
    <n v="0"/>
    <n v="1"/>
    <n v="1"/>
    <n v="0"/>
    <n v="0"/>
    <n v="0"/>
    <n v="4"/>
    <n v="1"/>
    <n v="0"/>
    <n v="5"/>
    <n v="45"/>
    <n v="1"/>
    <n v="0"/>
    <n v="9"/>
    <s v="https://www.clickideacore.com/ClickHTML5/Visit.aspx?ID=//5DDAEwASwAzADUANgA4ADcAMAA4ADIASQBEAEUAQQAF=&amp;Tipo=2&amp;ST=1&amp;nLang=0"/>
  </r>
  <r>
    <x v="8"/>
    <s v="OP-S-004"/>
    <x v="8"/>
    <s v="Sin Auxiliar"/>
    <x v="107"/>
    <d v="2025-09-06T00:00:00"/>
    <n v="82"/>
    <x v="0"/>
    <n v="0"/>
    <n v="0"/>
    <n v="0"/>
    <n v="0"/>
    <n v="0"/>
    <n v="0"/>
    <n v="0"/>
    <n v="0"/>
    <n v="64"/>
    <n v="1"/>
    <n v="0"/>
    <n v="74"/>
    <n v="20"/>
    <n v="1"/>
    <n v="0"/>
    <n v="0"/>
    <s v="https://www.clickideacore.com/ClickHTML5/Visit.aspx?ID=//5DDAEwASwAzADUANgA4ADUANwA5ADIASQBEAEUAQQAC=&amp;Tipo=2&amp;ST=1&amp;nLang=0"/>
  </r>
  <r>
    <x v="1"/>
    <s v="OP-S-013"/>
    <x v="1"/>
    <s v="Sin Auxiliar"/>
    <x v="108"/>
    <d v="2025-09-07T00:00:00"/>
    <n v="62"/>
    <x v="0"/>
    <n v="0"/>
    <n v="0"/>
    <n v="0"/>
    <n v="1"/>
    <n v="0"/>
    <n v="0"/>
    <n v="0"/>
    <n v="0"/>
    <n v="8"/>
    <n v="0"/>
    <n v="1"/>
    <n v="8"/>
    <n v="79"/>
    <n v="0"/>
    <n v="1"/>
    <n v="6"/>
    <s v="https://www.clickideacore.com/ClickHTML5/Visit.aspx?ID=//5FDAEwASwAzADUANgA5ADMANwA2ADEASQBEAEUAQQA6=&amp;Tipo=2&amp;ST=1&amp;nLang=0"/>
  </r>
  <r>
    <x v="5"/>
    <s v="OP-S-055"/>
    <x v="13"/>
    <s v="Sin Auxiliar"/>
    <x v="108"/>
    <d v="2025-09-07T00:00:00"/>
    <n v="3415"/>
    <x v="0"/>
    <n v="0"/>
    <n v="0"/>
    <n v="0"/>
    <n v="0"/>
    <n v="0"/>
    <n v="0"/>
    <n v="0"/>
    <n v="0"/>
    <n v="6"/>
    <n v="0"/>
    <n v="1"/>
    <n v="6"/>
    <n v="134"/>
    <n v="0"/>
    <n v="1"/>
    <n v="3"/>
    <s v="https://www.clickideacore.com/ClickHTML5/Visit.aspx?ID=//55DAEwASwAzADUANgA5ADQAOQA4ADMASQBEAEUAQQA5=&amp;Tipo=2&amp;ST=1&amp;nLang=0"/>
  </r>
  <r>
    <x v="8"/>
    <s v="OP-S-004"/>
    <x v="8"/>
    <s v="Sin Auxiliar"/>
    <x v="108"/>
    <d v="2025-09-07T00:00:00"/>
    <n v="82"/>
    <x v="0"/>
    <n v="0"/>
    <n v="0"/>
    <n v="0"/>
    <n v="0"/>
    <n v="0"/>
    <n v="0"/>
    <n v="0"/>
    <n v="0"/>
    <n v="64"/>
    <n v="0"/>
    <n v="1"/>
    <n v="62"/>
    <n v="92"/>
    <n v="0"/>
    <n v="1"/>
    <n v="0"/>
    <s v="https://www.clickideacore.com/ClickHTML5/Visit.aspx?ID=//5DDAEwASwAzADUANgA4ADUANwA5ADIASQBEAEUAQQAC=&amp;Tipo=2&amp;ST=1&amp;nLang=0"/>
  </r>
  <r>
    <x v="1"/>
    <s v="OP-S-013"/>
    <x v="1"/>
    <s v="Sin Auxiliar"/>
    <x v="109"/>
    <d v="2025-09-08T00:00:00"/>
    <n v="37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FDAEwASwAzADUANwAwADMAMgA5ADUASQBEAEUAQQAB=&amp;Tipo=2&amp;ST=1&amp;nLang=0"/>
  </r>
  <r>
    <x v="2"/>
    <s v="OP-S-009"/>
    <x v="0"/>
    <s v="Sin Auxiliar"/>
    <x v="109"/>
    <d v="2025-09-08T00:00:00"/>
    <n v="39"/>
    <x v="0"/>
    <n v="41"/>
    <n v="21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NwAwADIANwAyADcASQBEAEUAQQAC=&amp;Tipo=2&amp;ST=1&amp;nLang=0"/>
  </r>
  <r>
    <x v="3"/>
    <s v="OP-S-062"/>
    <x v="3"/>
    <s v="Sin Auxiliar"/>
    <x v="109"/>
    <d v="2025-09-08T00:00:00"/>
    <n v="28"/>
    <x v="0"/>
    <n v="2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wAxADUANAA2ADEASQBEAEUAQQAA=&amp;Tipo=2&amp;ST=1&amp;nLang=0"/>
  </r>
  <r>
    <x v="4"/>
    <s v="OP-S-018"/>
    <x v="4"/>
    <s v="Sin Auxiliar"/>
    <x v="109"/>
    <d v="2025-09-08T00:00:00"/>
    <n v="36"/>
    <x v="0"/>
    <n v="93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1DAEwASwAzADUANwAwADQANgA2ADUASQBEAEUAQQAB=&amp;Tipo=2&amp;ST=1&amp;nLang=0"/>
  </r>
  <r>
    <x v="5"/>
    <s v="OP-S-055"/>
    <x v="5"/>
    <s v="Sin Auxiliar"/>
    <x v="109"/>
    <d v="2025-09-08T00:00:00"/>
    <n v="36"/>
    <x v="0"/>
    <n v="61"/>
    <n v="0"/>
    <n v="0"/>
    <n v="0"/>
    <n v="0"/>
    <n v="0"/>
    <n v="0"/>
    <n v="0"/>
    <n v="18"/>
    <n v="0"/>
    <n v="0"/>
    <n v="0"/>
    <n v="0"/>
    <n v="0"/>
    <n v="0"/>
    <n v="0"/>
    <s v="https://www.clickideacore.com/ClickHTML5/Visit.aspx?ID=//5FDAEwASwAzADUANwAxADYANgA1ADEASQBEAEUAQQA6=&amp;Tipo=2&amp;ST=1&amp;nLang=0"/>
  </r>
  <r>
    <x v="6"/>
    <s v="OP-S-R-001"/>
    <x v="18"/>
    <s v="Sin Auxiliar"/>
    <x v="109"/>
    <d v="2025-09-08T00:00:00"/>
    <n v="37"/>
    <x v="0"/>
    <n v="28"/>
    <n v="0"/>
    <n v="0"/>
    <n v="0"/>
    <n v="0"/>
    <n v="0"/>
    <n v="0"/>
    <n v="0"/>
    <n v="28"/>
    <n v="0"/>
    <n v="0"/>
    <n v="0"/>
    <n v="0"/>
    <n v="0"/>
    <n v="0"/>
    <n v="0"/>
    <s v="https://www.clickideacore.com/ClickHTML5/Visit.aspx?ID=//54DAEwASwAzADUANwAxADEAOQA0ADgASQBEAEUAQQAA=&amp;Tipo=2&amp;ST=1&amp;nLang=0"/>
  </r>
  <r>
    <x v="7"/>
    <s v="OP-S-010"/>
    <x v="18"/>
    <s v="Sin Auxiliar"/>
    <x v="109"/>
    <d v="2025-09-08T00:00:00"/>
    <n v="88"/>
    <x v="0"/>
    <n v="4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UANwAwADQANgA1ADAASQBEAEUAQQA5=&amp;Tipo=2&amp;ST=1&amp;nLang=0"/>
  </r>
  <r>
    <x v="20"/>
    <s v="OP-S-010"/>
    <x v="18"/>
    <s v="Sin Auxiliar"/>
    <x v="109"/>
    <d v="2025-09-08T00:00:00"/>
    <n v="88"/>
    <x v="0"/>
    <n v="40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6DAEwASwAzADUANwAwADQANgA1ADAASQBEAEUAQQA5=&amp;Tipo=2&amp;ST=1&amp;nLang=0"/>
  </r>
  <r>
    <x v="8"/>
    <s v="OP-S-004"/>
    <x v="8"/>
    <s v="Sin Auxiliar"/>
    <x v="109"/>
    <d v="2025-09-08T00:00:00"/>
    <n v="48"/>
    <x v="0"/>
    <n v="37"/>
    <n v="0"/>
    <n v="0"/>
    <n v="1"/>
    <n v="0"/>
    <n v="0"/>
    <n v="0"/>
    <n v="0"/>
    <n v="66"/>
    <n v="0"/>
    <n v="0"/>
    <n v="0"/>
    <n v="0"/>
    <n v="0"/>
    <n v="0"/>
    <n v="0"/>
    <s v="https://www.clickideacore.com/ClickHTML5/Visit.aspx?ID=//53DAEwASwAzADUANwAwADUAMwAyADQASQBEAEUAQQAF=&amp;Tipo=2&amp;ST=1&amp;nLang=0"/>
  </r>
  <r>
    <x v="9"/>
    <s v="OP-S-001"/>
    <x v="9"/>
    <s v="Sin Auxiliar"/>
    <x v="109"/>
    <d v="2025-09-08T00:00:00"/>
    <n v="28"/>
    <x v="0"/>
    <n v="4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wAxADEAMgA4ADQASQBEAEUAQQA6=&amp;Tipo=2&amp;ST=1&amp;nLang=0"/>
  </r>
  <r>
    <x v="11"/>
    <s v="OP-S-126"/>
    <x v="18"/>
    <s v="Sin Auxiliar"/>
    <x v="109"/>
    <d v="2025-09-08T00:00:00"/>
    <n v="27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wAxADkAMQA2ADAASQBEAEUAQQA5=&amp;Tipo=2&amp;ST=1&amp;nLang=0"/>
  </r>
  <r>
    <x v="19"/>
    <s v="OP-S-126"/>
    <x v="18"/>
    <s v="Sin Auxiliar"/>
    <x v="109"/>
    <d v="2025-09-08T00:00:00"/>
    <n v="27"/>
    <x v="0"/>
    <n v="54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wAxADkAMQA2ADAASQBEAEUAQQA5=&amp;Tipo=2&amp;ST=1&amp;nLang=0"/>
  </r>
  <r>
    <x v="12"/>
    <s v="OP-S-70"/>
    <x v="12"/>
    <s v="Sin Auxiliar"/>
    <x v="109"/>
    <d v="2025-09-08T00:00:00"/>
    <n v="26"/>
    <x v="0"/>
    <n v="40"/>
    <n v="0"/>
    <n v="0"/>
    <n v="1"/>
    <n v="1"/>
    <n v="0"/>
    <n v="1"/>
    <n v="0"/>
    <n v="0"/>
    <n v="0"/>
    <n v="0"/>
    <n v="0"/>
    <n v="0"/>
    <n v="0"/>
    <n v="0"/>
    <n v="0"/>
    <s v="https://www.clickideacore.com/ClickHTML5/Visit.aspx?ID=//58DAEwASwAzADUANwAxADcAMgA2ADgASQBEAEUAQQAD=&amp;Tipo=2&amp;ST=1&amp;nLang=0"/>
  </r>
  <r>
    <x v="13"/>
    <s v="OP-S-060"/>
    <x v="13"/>
    <s v="Sin Auxiliar"/>
    <x v="109"/>
    <d v="2025-09-08T00:00:00"/>
    <n v="44"/>
    <x v="0"/>
    <n v="3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5DAEwASwAzADUANwAwADIANwA1ADQASQBEAEUAQQA2=&amp;Tipo=2&amp;ST=1&amp;nLang=0"/>
  </r>
  <r>
    <x v="17"/>
    <s v="OP-S-0010"/>
    <x v="10"/>
    <s v="Sin Auxiliar"/>
    <x v="109"/>
    <d v="2025-09-08T00:00:00"/>
    <n v="36"/>
    <x v="0"/>
    <n v="6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NwAwADUANAA3ADYASQBEAEUAQQA6=&amp;Tipo=2&amp;ST=1&amp;nLang=0"/>
  </r>
  <r>
    <x v="18"/>
    <s v="OP-S-002"/>
    <x v="6"/>
    <s v="Sin Auxiliar"/>
    <x v="109"/>
    <d v="2025-09-08T00:00:00"/>
    <n v="114"/>
    <x v="0"/>
    <n v="31"/>
    <n v="0"/>
    <n v="0"/>
    <n v="1"/>
    <n v="0"/>
    <n v="0"/>
    <n v="0"/>
    <n v="0"/>
    <n v="31"/>
    <n v="0"/>
    <n v="0"/>
    <n v="0"/>
    <n v="0"/>
    <n v="0"/>
    <n v="0"/>
    <n v="0"/>
    <s v="https://www.clickideacore.com/ClickHTML5/Visit.aspx?ID=//5FDAEwASwAzADUANwAwADUANQA1ADUASQBEAEUAQQAC=&amp;Tipo=2&amp;ST=1&amp;nLang=0"/>
  </r>
  <r>
    <x v="14"/>
    <s v="OP-S-011"/>
    <x v="14"/>
    <s v="Sin Auxiliar"/>
    <x v="109"/>
    <d v="2025-09-08T00:00:00"/>
    <n v="49"/>
    <x v="0"/>
    <n v="15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FDAEwASwAzADUANgA3ADMANQAyADgASQBEAEUAQQAB=&amp;Tipo=2&amp;ST=1&amp;nLang=0"/>
  </r>
  <r>
    <x v="27"/>
    <s v="OP-S-054"/>
    <x v="23"/>
    <s v="Sin Auxiliar"/>
    <x v="109"/>
    <d v="2025-09-08T00:00:00"/>
    <n v="44"/>
    <x v="0"/>
    <n v="57"/>
    <n v="21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NwAwADMAMgA3ADIASQBEAEUAQQA7=&amp;Tipo=2&amp;ST=1&amp;nLang=0"/>
  </r>
  <r>
    <x v="0"/>
    <s v="OP-S-106"/>
    <x v="0"/>
    <s v="Sin Auxiliar"/>
    <x v="110"/>
    <d v="2025-09-09T00:00:00"/>
    <n v="45"/>
    <x v="0"/>
    <n v="4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2DAEwASwAzADUANwA0ADAANgA5ADkASQBEAEUAQQA7=&amp;Tipo=2&amp;ST=1&amp;nLang=0"/>
  </r>
  <r>
    <x v="1"/>
    <s v="OP-S-013"/>
    <x v="1"/>
    <s v="Sin Auxiliar"/>
    <x v="110"/>
    <d v="2025-09-09T00:00:00"/>
    <n v="29"/>
    <x v="0"/>
    <n v="59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wAyADkAOQA3ADYASQBEAEUAQQAA=&amp;Tipo=2&amp;ST=1&amp;nLang=0"/>
  </r>
  <r>
    <x v="2"/>
    <s v="OP-S-009"/>
    <x v="2"/>
    <s v="Sin Auxiliar"/>
    <x v="110"/>
    <d v="2025-09-09T00:00:00"/>
    <n v="42"/>
    <x v="0"/>
    <n v="54"/>
    <n v="0"/>
    <n v="0"/>
    <n v="0"/>
    <n v="0"/>
    <n v="0"/>
    <n v="0"/>
    <n v="12"/>
    <n v="15"/>
    <n v="0"/>
    <n v="0"/>
    <n v="0"/>
    <n v="0"/>
    <n v="0"/>
    <n v="0"/>
    <n v="0"/>
    <s v="https://www.clickideacore.com/ClickHTML5/Visit.aspx?ID=//50DAEwASwAzADUANwAyADkAOAA0ADEASQBEAEUAQQA2=&amp;Tipo=2&amp;ST=1&amp;nLang=0"/>
  </r>
  <r>
    <x v="3"/>
    <s v="OP-S-009"/>
    <x v="13"/>
    <s v="Sin Auxiliar"/>
    <x v="110"/>
    <d v="2025-09-09T00:00:00"/>
    <n v="42"/>
    <x v="0"/>
    <n v="4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NwAyADkAOAA0ADEASQBEAEUAQQA2=&amp;Tipo=2&amp;ST=1&amp;nLang=0"/>
  </r>
  <r>
    <x v="4"/>
    <s v="OP-S-018"/>
    <x v="4"/>
    <s v="Sin Auxiliar"/>
    <x v="110"/>
    <d v="2025-09-09T00:00:00"/>
    <n v="34"/>
    <x v="0"/>
    <n v="7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4DAEwASwAzADUANwAyADcANQA2ADgASQBEAEUAQQA7=&amp;Tipo=2&amp;ST=1&amp;nLang=0"/>
  </r>
  <r>
    <x v="5"/>
    <s v="OP-S-055"/>
    <x v="23"/>
    <s v="Sin Auxiliar"/>
    <x v="110"/>
    <d v="2025-09-09T00:00:00"/>
    <n v="103"/>
    <x v="0"/>
    <n v="18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NwAyADkANQAxADgASQBEAEUAQQA8=&amp;Tipo=2&amp;ST=1&amp;nLang=0"/>
  </r>
  <r>
    <x v="6"/>
    <s v="OP-S-R-001"/>
    <x v="18"/>
    <s v="Sin Auxiliar"/>
    <x v="110"/>
    <d v="2025-09-09T00:00:00"/>
    <n v="79"/>
    <x v="0"/>
    <n v="0"/>
    <n v="30"/>
    <n v="30"/>
    <n v="0"/>
    <n v="0"/>
    <n v="0"/>
    <n v="0"/>
    <n v="0"/>
    <n v="30"/>
    <n v="0"/>
    <n v="0"/>
    <n v="0"/>
    <n v="0"/>
    <n v="0"/>
    <n v="0"/>
    <n v="0"/>
    <s v="https://www.clickideacore.com/ClickHTML5/Visit.aspx?ID=//52DAEwASwAzADUANwAzADgANAA0ADcASQBEAEUAQQA4=&amp;Tipo=2&amp;ST=1&amp;nLang=0"/>
  </r>
  <r>
    <x v="7"/>
    <s v="OP-S-010"/>
    <x v="18"/>
    <s v="Sin Auxiliar"/>
    <x v="110"/>
    <d v="2025-09-09T00:00:00"/>
    <n v="55"/>
    <x v="0"/>
    <n v="2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wAzADAANgAzADQASQBEAEUAQQA4=&amp;Tipo=2&amp;ST=1&amp;nLang=0"/>
  </r>
  <r>
    <x v="20"/>
    <s v="OP-S-010"/>
    <x v="18"/>
    <s v="Sin Auxiliar"/>
    <x v="110"/>
    <d v="2025-09-09T00:00:00"/>
    <n v="55"/>
    <x v="0"/>
    <n v="2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wAzADAANgAzADQASQBEAEUAQQA4=&amp;Tipo=2&amp;ST=1&amp;nLang=0"/>
  </r>
  <r>
    <x v="8"/>
    <s v="OP-S-004"/>
    <x v="8"/>
    <s v="Sin Auxiliar"/>
    <x v="110"/>
    <d v="2025-09-09T00:00:00"/>
    <n v="44"/>
    <x v="0"/>
    <n v="108"/>
    <n v="0"/>
    <n v="0"/>
    <n v="1"/>
    <n v="0"/>
    <n v="0"/>
    <n v="0"/>
    <n v="0"/>
    <n v="4"/>
    <n v="0"/>
    <n v="0"/>
    <n v="0"/>
    <n v="0"/>
    <n v="0"/>
    <n v="0"/>
    <n v="0"/>
    <s v="https://www.clickideacore.com/ClickHTML5/Visit.aspx?ID=//5BDAEwASwAzADUANwAzADQANgA2ADAASQBEAEUAQQA0=&amp;Tipo=2&amp;ST=1&amp;nLang=0"/>
  </r>
  <r>
    <x v="9"/>
    <s v="OP-S-001"/>
    <x v="9"/>
    <s v="Sin Auxiliar"/>
    <x v="110"/>
    <d v="2025-09-09T00:00:00"/>
    <n v="32"/>
    <x v="0"/>
    <n v="76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NwAzADUAMwAwADQASQBEAEUAQQA5=&amp;Tipo=2&amp;ST=1&amp;nLang=0"/>
  </r>
  <r>
    <x v="11"/>
    <s v="OP-S-126"/>
    <x v="18"/>
    <s v="Sin Auxiliar"/>
    <x v="110"/>
    <d v="2025-09-09T00:00:00"/>
    <n v="39"/>
    <x v="0"/>
    <n v="4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UANwAyADkANgA3ADUASQBEAEUAQQA7=&amp;Tipo=2&amp;ST=1&amp;nLang=0"/>
  </r>
  <r>
    <x v="19"/>
    <s v="OP-S-126"/>
    <x v="18"/>
    <s v="Sin Auxiliar"/>
    <x v="110"/>
    <d v="2025-09-09T00:00:00"/>
    <n v="39"/>
    <x v="0"/>
    <n v="46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2DAEwASwAzADUANwAyADkANgA3ADUASQBEAEUAQQA7=&amp;Tipo=2&amp;ST=1&amp;nLang=0"/>
  </r>
  <r>
    <x v="12"/>
    <s v="OP-S-70"/>
    <x v="12"/>
    <s v="Sin Auxiliar"/>
    <x v="110"/>
    <d v="2025-09-09T00:00:00"/>
    <n v="22"/>
    <x v="0"/>
    <n v="36"/>
    <n v="0"/>
    <n v="0"/>
    <n v="1"/>
    <n v="1"/>
    <n v="0"/>
    <n v="1"/>
    <n v="0"/>
    <n v="40"/>
    <n v="0"/>
    <n v="0"/>
    <n v="0"/>
    <n v="0"/>
    <n v="0"/>
    <n v="0"/>
    <n v="0"/>
    <s v="https://www.clickideacore.com/ClickHTML5/Visit.aspx?ID=//54DAEwASwAzADUANwA0ADAAMwA0ADEASQBEAEUAQQA4=&amp;Tipo=2&amp;ST=1&amp;nLang=0"/>
  </r>
  <r>
    <x v="14"/>
    <s v="OP-S-011"/>
    <x v="14"/>
    <s v="Sin Auxiliar"/>
    <x v="110"/>
    <d v="2025-09-09T00:00:00"/>
    <n v="73"/>
    <x v="0"/>
    <n v="48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4DAEwASwAzADUANwA0ADEAMAA5ADcASQBEAEUAQQAE=&amp;Tipo=2&amp;ST=1&amp;nLang=0"/>
  </r>
  <r>
    <x v="17"/>
    <s v="OP-S-0010"/>
    <x v="10"/>
    <s v="Sin Auxiliar"/>
    <x v="110"/>
    <d v="2025-09-09T00:00:00"/>
    <n v="32"/>
    <x v="0"/>
    <n v="3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9DAEwASwAzADUANwAzADIAMwA1ADMASQBEAEUAQQA5=&amp;Tipo=2&amp;ST=1&amp;nLang=0"/>
  </r>
  <r>
    <x v="28"/>
    <s v="OP-S-0011"/>
    <x v="18"/>
    <s v="Sin Auxiliar"/>
    <x v="110"/>
    <d v="2025-09-09T00:00:00"/>
    <n v="33"/>
    <x v="0"/>
    <n v="10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9DAEwASwAzADUANwAzADIAMwA1ADMASQBEAEUAQQA5=&amp;Tipo=2&amp;ST=1&amp;nLang=0"/>
  </r>
  <r>
    <x v="23"/>
    <s v="OP-S-0012"/>
    <x v="5"/>
    <s v="Sin Auxiliar"/>
    <x v="110"/>
    <d v="2025-09-09T00:00:00"/>
    <n v="34"/>
    <x v="11"/>
    <n v="0"/>
    <n v="0"/>
    <n v="0"/>
    <n v="0"/>
    <n v="0"/>
    <n v="0"/>
    <n v="0"/>
    <n v="0"/>
    <n v="4"/>
    <n v="0"/>
    <n v="0"/>
    <n v="0"/>
    <n v="0"/>
    <n v="0"/>
    <n v="0"/>
    <n v="0"/>
    <s v="https://www.clickideacore.com/ClickHTML5/Visit.aspx?ID=//59DAEwASwAzADUANwAzADIAMwA1ADMASQBEAEUAQQA5=&amp;Tipo=2&amp;ST=1&amp;nLang=0"/>
  </r>
  <r>
    <x v="13"/>
    <s v="OP-S-0013"/>
    <x v="18"/>
    <s v="Sin Auxiliar"/>
    <x v="110"/>
    <d v="2025-09-09T00:00:00"/>
    <n v="35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NwAzADIAMwA1ADMASQBEAEUAQQA5=&amp;Tipo=2&amp;ST=1&amp;nLang=0"/>
  </r>
  <r>
    <x v="23"/>
    <s v="OP-S-0014"/>
    <x v="3"/>
    <s v="Sin Auxiliar"/>
    <x v="110"/>
    <d v="2025-09-09T00:00:00"/>
    <n v="36"/>
    <x v="9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NwAzADIAMwA1ADMASQBEAEUAQQA5=&amp;Tipo=2&amp;ST=1&amp;nLang=0"/>
  </r>
  <r>
    <x v="1"/>
    <s v="OP-S-013"/>
    <x v="1"/>
    <s v="Sin Auxiliar"/>
    <x v="111"/>
    <d v="2025-09-10T00:00:00"/>
    <n v="31"/>
    <x v="0"/>
    <n v="7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wA0ADkANwA5ADcASQBEAEUAQQA7=&amp;Tipo=2&amp;ST=1&amp;nLang=0"/>
  </r>
  <r>
    <x v="2"/>
    <s v="OP-S-009"/>
    <x v="2"/>
    <s v="Sin Auxiliar"/>
    <x v="111"/>
    <d v="2025-09-10T00:00:00"/>
    <n v="68"/>
    <x v="0"/>
    <n v="45"/>
    <n v="38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wA0ADkANAA2ADgASQBEAEUAQQA9=&amp;Tipo=2&amp;ST=1&amp;nLang=0"/>
  </r>
  <r>
    <x v="3"/>
    <s v="OP-S-009"/>
    <x v="3"/>
    <s v="Sin Auxiliar"/>
    <x v="111"/>
    <d v="2025-09-10T00:00:00"/>
    <n v="68"/>
    <x v="0"/>
    <n v="19"/>
    <n v="38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wA0ADkANAA2ADgASQBEAEUAQQA9=&amp;Tipo=2&amp;ST=1&amp;nLang=0"/>
  </r>
  <r>
    <x v="4"/>
    <s v="OP-S-018"/>
    <x v="4"/>
    <s v="Sin Auxiliar"/>
    <x v="111"/>
    <d v="2025-09-10T00:00:00"/>
    <n v="37"/>
    <x v="0"/>
    <n v="96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2DAEwASwAzADUANwA1ADYAOQAxADUASQBEAEUAQQA1=&amp;Tipo=2&amp;ST=1&amp;nLang=0"/>
  </r>
  <r>
    <x v="5"/>
    <s v="OP-S-055"/>
    <x v="5"/>
    <s v="Sin Auxiliar"/>
    <x v="111"/>
    <d v="2025-09-10T00:00:00"/>
    <n v="29"/>
    <x v="0"/>
    <n v="51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0DAEwASwAzADUANwA2ADEANgAzADAASQBEAEUAQQAB=&amp;Tipo=2&amp;ST=1&amp;nLang=0"/>
  </r>
  <r>
    <x v="7"/>
    <s v="OP-S-010"/>
    <x v="18"/>
    <s v="Sin Auxiliar"/>
    <x v="111"/>
    <d v="2025-09-10T00:00:00"/>
    <n v="128"/>
    <x v="0"/>
    <n v="7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UANwA1ADgAOAA3ADUASQBEAEUAQQAF=&amp;Tipo=2&amp;ST=1&amp;nLang=0"/>
  </r>
  <r>
    <x v="20"/>
    <s v="OP-S-010"/>
    <x v="18"/>
    <s v="Sin Auxiliar"/>
    <x v="111"/>
    <d v="2025-09-10T00:00:00"/>
    <n v="128"/>
    <x v="0"/>
    <n v="79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4DAEwASwAzADUANwA1ADgAOAA3ADUASQBEAEUAQQAF=&amp;Tipo=2&amp;ST=1&amp;nLang=0"/>
  </r>
  <r>
    <x v="8"/>
    <s v="OP-S-004"/>
    <x v="8"/>
    <s v="Sin Auxiliar"/>
    <x v="111"/>
    <d v="2025-09-10T00:00:00"/>
    <n v="56"/>
    <x v="0"/>
    <n v="98"/>
    <n v="0"/>
    <n v="0"/>
    <n v="1"/>
    <n v="0"/>
    <n v="0"/>
    <n v="0"/>
    <n v="0"/>
    <n v="62"/>
    <n v="0"/>
    <n v="0"/>
    <n v="0"/>
    <n v="0"/>
    <n v="0"/>
    <n v="0"/>
    <n v="0"/>
    <s v="https://www.clickideacore.com/ClickHTML5/Visit.aspx?ID=//5FDAEwASwAzADUANwA1ADQAMQA4ADIASQBEAEUAQQA6=&amp;Tipo=2&amp;ST=1&amp;nLang=0"/>
  </r>
  <r>
    <x v="9"/>
    <s v="OP-S-001"/>
    <x v="9"/>
    <s v="Sin Auxiliar"/>
    <x v="111"/>
    <d v="2025-09-10T00:00:00"/>
    <n v="31"/>
    <x v="0"/>
    <n v="5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NwA1ADYAMQA5ADkASQBEAEUAQQA3=&amp;Tipo=2&amp;ST=1&amp;nLang=0"/>
  </r>
  <r>
    <x v="11"/>
    <s v="OP-S-126"/>
    <x v="18"/>
    <s v="Sin Auxiliar"/>
    <x v="111"/>
    <d v="2025-09-10T00:00:00"/>
    <n v="36"/>
    <x v="0"/>
    <n v="5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wA0ADgAOQAwADAASQBEAEUAQQAE=&amp;Tipo=2&amp;ST=1&amp;nLang=0"/>
  </r>
  <r>
    <x v="19"/>
    <s v="OP-S-126"/>
    <x v="18"/>
    <s v="Sin Auxiliar"/>
    <x v="111"/>
    <d v="2025-09-10T00:00:00"/>
    <n v="36"/>
    <x v="0"/>
    <n v="59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6DAEwASwAzADUANwA0ADgAOQAwADAASQBEAEUAQQAE=&amp;Tipo=2&amp;ST=1&amp;nLang=0"/>
  </r>
  <r>
    <x v="12"/>
    <s v="OP-S-70"/>
    <x v="12"/>
    <s v="Sin Auxiliar"/>
    <x v="111"/>
    <d v="2025-09-10T00:00:00"/>
    <n v="26"/>
    <x v="0"/>
    <n v="63"/>
    <n v="0"/>
    <n v="0"/>
    <n v="1"/>
    <n v="1"/>
    <n v="0"/>
    <n v="0"/>
    <n v="0"/>
    <n v="65"/>
    <n v="0"/>
    <n v="0"/>
    <n v="0"/>
    <n v="0"/>
    <n v="0"/>
    <n v="0"/>
    <n v="0"/>
    <s v="https://www.clickideacore.com/ClickHTML5/Visit.aspx?ID=//52DAEwASwAzADUANwA2ADIAOAAxADQASQBEAEUAQQA4=&amp;Tipo=2&amp;ST=1&amp;nLang=0"/>
  </r>
  <r>
    <x v="13"/>
    <s v="OP-S-060"/>
    <x v="13"/>
    <s v="Sin Auxiliar"/>
    <x v="111"/>
    <d v="2025-09-10T00:00:00"/>
    <n v="48"/>
    <x v="0"/>
    <n v="5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NwA1ADYAOAAzADkASQBEAEUAQQAB=&amp;Tipo=2&amp;ST=1&amp;nLang=0"/>
  </r>
  <r>
    <x v="14"/>
    <s v="OP-S-011"/>
    <x v="0"/>
    <s v="Sin Auxiliar"/>
    <x v="111"/>
    <d v="2025-09-10T00:00:00"/>
    <n v="52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DDAEwASwAzADUANwA2ADMANAAwADcASQBEAEUAQQA3=&amp;Tipo=2&amp;ST=1&amp;nLang=0"/>
  </r>
  <r>
    <x v="17"/>
    <s v="OP-S-0010"/>
    <x v="10"/>
    <s v="Sin Auxiliar"/>
    <x v="111"/>
    <d v="2025-09-10T00:00:00"/>
    <n v="41"/>
    <x v="0"/>
    <n v="9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NwA1ADMAMwA2ADcASQBEAEUAQQA4=&amp;Tipo=2&amp;ST=1&amp;nLang=0"/>
  </r>
  <r>
    <x v="18"/>
    <s v="OP-S-002"/>
    <x v="6"/>
    <s v="Sin Auxiliar"/>
    <x v="111"/>
    <d v="2025-09-10T00:00:00"/>
    <n v="42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ADAEwASwAzADUANwA1ADEAOQA4ADYASQBEAEUAQQAB=&amp;Tipo=2&amp;ST=1&amp;nLang=0"/>
  </r>
  <r>
    <x v="27"/>
    <s v="OP-S-054"/>
    <x v="23"/>
    <s v="Sin Auxiliar"/>
    <x v="111"/>
    <d v="2025-09-10T00:00:00"/>
    <n v="28"/>
    <x v="0"/>
    <n v="60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NwA0ADcAMQA5ADMASQBEAEUAQQA3=&amp;Tipo=2&amp;ST=1&amp;nLang=0"/>
  </r>
  <r>
    <x v="28"/>
    <s v="OP-S-055"/>
    <x v="18"/>
    <s v="Sin Auxiliar"/>
    <x v="111"/>
    <d v="2025-09-10T00:00:00"/>
    <n v="28"/>
    <x v="0"/>
    <n v="98"/>
    <n v="0"/>
    <n v="0"/>
    <n v="1"/>
    <n v="0"/>
    <n v="0"/>
    <n v="0"/>
    <n v="0"/>
    <n v="65"/>
    <n v="0"/>
    <n v="0"/>
    <n v="0"/>
    <n v="0"/>
    <n v="0"/>
    <n v="0"/>
    <n v="0"/>
    <s v="https://www.clickideacore.com/ClickHTML5/Visit.aspx?ID=//5BDAEwASwAzADUANwA0ADcAMQA5ADMASQBEAEUAQQA3=&amp;Tipo=2&amp;ST=1&amp;nLang=0"/>
  </r>
  <r>
    <x v="23"/>
    <s v="OP-S-056"/>
    <x v="28"/>
    <s v="Sin Auxiliar"/>
    <x v="111"/>
    <d v="2025-09-10T00:00:00"/>
    <n v="29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wA0ADcAMQA5ADMASQBEAEUAQQA3=&amp;Tipo=2&amp;ST=1&amp;nLang=0"/>
  </r>
  <r>
    <x v="23"/>
    <s v="OP-S-056"/>
    <x v="14"/>
    <s v="Sin Auxiliar"/>
    <x v="111"/>
    <d v="2025-09-10T00:00:00"/>
    <n v="29"/>
    <x v="9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NwA0ADcAMQA5ADMASQBEAEUAQQA3=&amp;Tipo=2&amp;ST=1&amp;nLang=0"/>
  </r>
  <r>
    <x v="0"/>
    <s v="OP-S-013"/>
    <x v="0"/>
    <s v="Sin Auxiliar"/>
    <x v="112"/>
    <d v="2025-09-11T00:00:00"/>
    <n v="41"/>
    <x v="0"/>
    <n v="50"/>
    <n v="0"/>
    <n v="0"/>
    <n v="0"/>
    <n v="0"/>
    <n v="1"/>
    <n v="0"/>
    <n v="0"/>
    <n v="0"/>
    <n v="0"/>
    <n v="0"/>
    <n v="0"/>
    <n v="0"/>
    <n v="0"/>
    <n v="0"/>
    <n v="0"/>
    <m/>
  </r>
  <r>
    <x v="1"/>
    <s v="OP-S-013"/>
    <x v="30"/>
    <s v="Sin Auxiliar"/>
    <x v="112"/>
    <d v="2025-09-11T00:00:00"/>
    <n v="28"/>
    <x v="0"/>
    <n v="36"/>
    <n v="0"/>
    <n v="0"/>
    <n v="1"/>
    <n v="0"/>
    <n v="0"/>
    <n v="0"/>
    <n v="0"/>
    <n v="10"/>
    <n v="0"/>
    <n v="0"/>
    <n v="0"/>
    <n v="0"/>
    <n v="0"/>
    <n v="0"/>
    <n v="0"/>
    <s v="https://www.clickideacore.com/ClickHTML5/Visit.aspx?ID=//58DAEwASwAzADUANwA3ADIAMwA4ADYASQBEAEUAQQAE=&amp;Tipo=2&amp;ST=1&amp;nLang=0"/>
  </r>
  <r>
    <x v="4"/>
    <s v="OP-S-018"/>
    <x v="4"/>
    <s v="Sin Auxiliar"/>
    <x v="112"/>
    <d v="2025-09-11T00:00:00"/>
    <n v="54"/>
    <x v="0"/>
    <n v="87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7DAEwASwAzADUANwA3ADYAMgA2ADMASQBEAEUAQQAC=&amp;Tipo=2&amp;ST=1&amp;nLang=0"/>
  </r>
  <r>
    <x v="5"/>
    <s v="OP-S-055"/>
    <x v="5"/>
    <s v="Sin Auxiliar"/>
    <x v="112"/>
    <d v="2025-09-11T00:00:00"/>
    <n v="25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0DAEwASwAzADUANwA4ADMAMwA2ADIASQBEAEUAQQAC=&amp;Tipo=2&amp;ST=1&amp;nLang=0"/>
  </r>
  <r>
    <x v="20"/>
    <s v="OP-S-DYR-009"/>
    <x v="3"/>
    <s v="Sin Auxiliar"/>
    <x v="112"/>
    <d v="2025-09-11T00:00:00"/>
    <n v="69"/>
    <x v="0"/>
    <n v="6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NwA3ADcANQA4ADQASQBEAEUAQQA2=&amp;Tipo=2&amp;ST=1&amp;nLang=0"/>
  </r>
  <r>
    <x v="6"/>
    <s v="OP-S-R-001"/>
    <x v="18"/>
    <s v="Sin Auxiliar"/>
    <x v="112"/>
    <d v="2025-09-11T00:00:00"/>
    <n v="41"/>
    <x v="0"/>
    <n v="27"/>
    <n v="0"/>
    <n v="0"/>
    <n v="0"/>
    <n v="0"/>
    <n v="0"/>
    <n v="0"/>
    <n v="0"/>
    <n v="27"/>
    <n v="0"/>
    <n v="0"/>
    <n v="0"/>
    <n v="0"/>
    <n v="0"/>
    <n v="0"/>
    <n v="0"/>
    <s v="https://www.clickideacore.com/ClickHTML5/Visit.aspx?ID=//51DAEwASwAzADUANwA3ADgAOQAzADIASQBEAEUAQQA2=&amp;Tipo=2&amp;ST=1&amp;nLang=0"/>
  </r>
  <r>
    <x v="6"/>
    <s v="OP-S-R-001"/>
    <x v="18"/>
    <s v="Sin Auxiliar"/>
    <x v="112"/>
    <d v="2025-09-11T00:00:00"/>
    <n v="67"/>
    <x v="0"/>
    <n v="28"/>
    <n v="0"/>
    <n v="0"/>
    <n v="0"/>
    <n v="0"/>
    <n v="0"/>
    <n v="0"/>
    <n v="0"/>
    <n v="28"/>
    <n v="0"/>
    <n v="0"/>
    <n v="0"/>
    <n v="0"/>
    <n v="0"/>
    <n v="0"/>
    <n v="0"/>
    <s v="https://www.clickideacore.com/ClickHTML5/Visit.aspx?ID=//56DAEwASwAzADUANwA2ADUAMwA1ADEASQBEAEUAQQA2=&amp;Tipo=2&amp;ST=1&amp;nLang=0"/>
  </r>
  <r>
    <x v="7"/>
    <s v="OP-S-010"/>
    <x v="23"/>
    <s v="Sin Auxiliar"/>
    <x v="112"/>
    <d v="2025-09-11T00:00:00"/>
    <n v="27"/>
    <x v="0"/>
    <n v="35"/>
    <n v="0"/>
    <n v="0"/>
    <n v="0"/>
    <n v="0"/>
    <n v="1"/>
    <n v="0"/>
    <n v="0"/>
    <n v="8"/>
    <n v="0"/>
    <n v="0"/>
    <n v="0"/>
    <n v="0"/>
    <n v="0"/>
    <n v="0"/>
    <n v="0"/>
    <s v="https://www.clickideacore.com/ClickHTML5/Visit.aspx?ID=//5FDAEwASwAzADUANwA3ADEAMwA3ADUASQBEAEUAQQA8=&amp;Tipo=2&amp;ST=1&amp;nLang=0"/>
  </r>
  <r>
    <x v="8"/>
    <s v="OP-S-004"/>
    <x v="8"/>
    <s v="Sin Auxiliar"/>
    <x v="112"/>
    <d v="2025-09-11T00:00:00"/>
    <n v="44"/>
    <x v="0"/>
    <n v="115"/>
    <n v="0"/>
    <n v="0"/>
    <n v="1"/>
    <n v="0"/>
    <n v="0"/>
    <n v="0"/>
    <n v="0"/>
    <n v="66"/>
    <n v="0"/>
    <n v="0"/>
    <n v="0"/>
    <n v="0"/>
    <n v="0"/>
    <n v="0"/>
    <n v="0"/>
    <s v="https://www.clickideacore.com/ClickHTML5/Visit.aspx?ID=//58DAEwASwAzADUANwA3ADgAMgAwADQASQBEAEUAQQA0=&amp;Tipo=2&amp;ST=1&amp;nLang=0"/>
  </r>
  <r>
    <x v="9"/>
    <s v="OP-S-001"/>
    <x v="18"/>
    <s v="Sin Auxiliar"/>
    <x v="112"/>
    <d v="2025-09-11T00:00:00"/>
    <n v="80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wA4ADEANwA2ADgASQBEAEUAQQAC=&amp;Tipo=2&amp;ST=1&amp;nLang=0"/>
  </r>
  <r>
    <x v="28"/>
    <s v="OP-S-001"/>
    <x v="18"/>
    <s v="Sin Auxiliar"/>
    <x v="112"/>
    <d v="2025-09-11T00:00:00"/>
    <n v="80"/>
    <x v="0"/>
    <n v="5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wA4ADEANwA2ADgASQBEAEUAQQAC=&amp;Tipo=2&amp;ST=1&amp;nLang=0"/>
  </r>
  <r>
    <x v="11"/>
    <s v="OP-S-126"/>
    <x v="18"/>
    <s v="Sin Auxiliar"/>
    <x v="112"/>
    <d v="2025-09-11T00:00:00"/>
    <n v="28"/>
    <x v="0"/>
    <n v="60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5DAEwASwAzADUANwA3ADQANQAxADUASQBEAEUAQQA5=&amp;Tipo=2&amp;ST=1&amp;nLang=0"/>
  </r>
  <r>
    <x v="19"/>
    <s v="OP-S-126"/>
    <x v="18"/>
    <s v="Sin Auxiliar"/>
    <x v="112"/>
    <d v="2025-09-11T00:00:00"/>
    <n v="28"/>
    <x v="0"/>
    <n v="60"/>
    <n v="0"/>
    <n v="0"/>
    <n v="1"/>
    <n v="0"/>
    <n v="0"/>
    <n v="0"/>
    <n v="0"/>
    <n v="20"/>
    <n v="0"/>
    <n v="0"/>
    <n v="0"/>
    <n v="0"/>
    <n v="0"/>
    <n v="0"/>
    <n v="0"/>
    <s v="https://www.clickideacore.com/ClickHTML5/Visit.aspx?ID=//55DAEwASwAzADUANwA3ADQANQAxADUASQBEAEUAQQA5=&amp;Tipo=2&amp;ST=1&amp;nLang=0"/>
  </r>
  <r>
    <x v="12"/>
    <s v="OP-S-70"/>
    <x v="12"/>
    <s v="Sin Auxiliar"/>
    <x v="112"/>
    <d v="2025-09-11T00:00:00"/>
    <n v="29"/>
    <x v="0"/>
    <n v="41"/>
    <n v="0"/>
    <n v="0"/>
    <n v="1"/>
    <n v="1"/>
    <n v="0"/>
    <n v="1"/>
    <n v="0"/>
    <n v="41"/>
    <n v="0"/>
    <n v="0"/>
    <n v="0"/>
    <n v="0"/>
    <n v="0"/>
    <n v="0"/>
    <n v="0"/>
    <s v="https://www.clickideacore.com/ClickHTML5/Visit.aspx?ID=//5BDAEwASwAzADUANwA4ADMAOQA1ADMASQBEAEUAQQA2=&amp;Tipo=2&amp;ST=1&amp;nLang=0"/>
  </r>
  <r>
    <x v="13"/>
    <s v="OP-S-060"/>
    <x v="13"/>
    <s v="Sin Auxiliar"/>
    <x v="112"/>
    <d v="2025-09-11T00:00:00"/>
    <n v="53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8DAEwASwAzADUANwA4ADAAMwA4ADIASQBEAEUAQQA0=&amp;Tipo=2&amp;ST=1&amp;nLang=0"/>
  </r>
  <r>
    <x v="14"/>
    <s v="OP-S-011"/>
    <x v="14"/>
    <s v="Sin Auxiliar"/>
    <x v="112"/>
    <d v="2025-09-11T00:00:00"/>
    <n v="37"/>
    <x v="0"/>
    <n v="31"/>
    <n v="0"/>
    <n v="0"/>
    <n v="0"/>
    <n v="0"/>
    <n v="0"/>
    <n v="0"/>
    <n v="0"/>
    <n v="2"/>
    <n v="0"/>
    <n v="0"/>
    <n v="0"/>
    <n v="0"/>
    <n v="0"/>
    <n v="0"/>
    <n v="1"/>
    <s v="https://www.clickideacore.com/ClickHTML5/Visit.aspx?ID=//5BDAEwASwAzADUANwA4ADUAMgAxADEASQBEAEUAQQA3=&amp;Tipo=2&amp;ST=1&amp;nLang=0"/>
  </r>
  <r>
    <x v="17"/>
    <s v="OP-S-0010"/>
    <x v="10"/>
    <s v="Sin Auxiliar"/>
    <x v="112"/>
    <d v="2025-09-11T00:00:00"/>
    <n v="124"/>
    <x v="0"/>
    <n v="35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2DAEwASwAzADUANwA3ADUANQA4ADYASQBEAEUAQQA4=&amp;Tipo=2&amp;ST=1&amp;nLang=0"/>
  </r>
  <r>
    <x v="18"/>
    <s v="OP-S-002"/>
    <x v="6"/>
    <s v="Sin Auxiliar"/>
    <x v="112"/>
    <d v="2025-09-11T00:00:00"/>
    <n v="41"/>
    <x v="0"/>
    <n v="29"/>
    <n v="0"/>
    <n v="0"/>
    <n v="1"/>
    <n v="0"/>
    <n v="0"/>
    <n v="0"/>
    <n v="0"/>
    <n v="29"/>
    <n v="0"/>
    <n v="0"/>
    <n v="0"/>
    <n v="0"/>
    <n v="0"/>
    <n v="0"/>
    <n v="0"/>
    <s v="https://www.clickideacore.com/ClickHTML5/Visit.aspx?ID=//51DAEwASwAzADUANwA3ADUAOQA1ADgASQBEAEUAQQA5=&amp;Tipo=2&amp;ST=1&amp;nLang=0"/>
  </r>
  <r>
    <x v="15"/>
    <s v="OP-S-003"/>
    <x v="18"/>
    <s v="Sin Auxiliar"/>
    <x v="112"/>
    <d v="2025-09-11T00:00:00"/>
    <n v="42"/>
    <x v="0"/>
    <n v="4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29"/>
    <s v="OP-S-004"/>
    <x v="18"/>
    <s v="Sin Auxiliar"/>
    <x v="112"/>
    <d v="2025-09-11T00:00:00"/>
    <n v="43"/>
    <x v="0"/>
    <n v="3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23"/>
    <s v="OP-S-005"/>
    <x v="2"/>
    <s v="Sin Auxiliar"/>
    <x v="112"/>
    <d v="2025-09-11T00:00:00"/>
    <n v="44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23"/>
    <s v="OP-S-006"/>
    <x v="1"/>
    <s v="Sin Auxiliar"/>
    <x v="112"/>
    <d v="2025-09-11T00:00:00"/>
    <n v="45"/>
    <x v="11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23"/>
    <s v="OP-S-007"/>
    <x v="9"/>
    <s v="Sin Auxiliar"/>
    <x v="112"/>
    <d v="2025-09-11T00:00:00"/>
    <n v="46"/>
    <x v="14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3"/>
    <s v="OP-S-008"/>
    <x v="18"/>
    <s v="Sin Auxiliar"/>
    <x v="112"/>
    <d v="2025-09-11T00:00:00"/>
    <n v="47"/>
    <x v="9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1DAEwASwAzADUANwA3ADUAOQA1ADgASQBEAEUAQQA5=&amp;Tipo=2&amp;ST=1&amp;nLang=0"/>
  </r>
  <r>
    <x v="0"/>
    <s v="OP-S-106"/>
    <x v="1"/>
    <s v="Sin Auxiliar"/>
    <x v="113"/>
    <d v="2025-09-12T00:00:00"/>
    <n v="31"/>
    <x v="0"/>
    <n v="12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4DAEwASwAzADUANwA5ADkANwAwADAASQBEAEUAQQA8=&amp;Tipo=2&amp;ST=1&amp;nLang=0"/>
  </r>
  <r>
    <x v="2"/>
    <s v="OP-S-009"/>
    <x v="2"/>
    <s v="Sin Auxiliar"/>
    <x v="113"/>
    <d v="2025-09-12T00:00:00"/>
    <n v="68"/>
    <x v="0"/>
    <n v="72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wA0ADkANAA2ADgASQBEAEUAQQA9=&amp;Tipo=2&amp;ST=1&amp;nLang=0"/>
  </r>
  <r>
    <x v="3"/>
    <s v="OP-S-009"/>
    <x v="3"/>
    <s v="Sin Auxiliar"/>
    <x v="113"/>
    <d v="2025-09-12T00:00:00"/>
    <n v="68"/>
    <x v="0"/>
    <n v="53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ADAEwASwAzADUANwA0ADkANAA2ADgASQBEAEUAQQA9=&amp;Tipo=2&amp;ST=1&amp;nLang=0"/>
  </r>
  <r>
    <x v="4"/>
    <s v="OP-S-018"/>
    <x v="4"/>
    <s v="Sin Auxiliar"/>
    <x v="113"/>
    <d v="2025-09-12T00:00:00"/>
    <n v="43"/>
    <x v="0"/>
    <n v="102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9DAEwASwAzADUANwA5ADgANQAxADQASQBEAEUAQQA3=&amp;Tipo=2&amp;ST=1&amp;nLang=0"/>
  </r>
  <r>
    <x v="5"/>
    <s v="OP-S-055"/>
    <x v="5"/>
    <s v="Sin Auxiliar"/>
    <x v="113"/>
    <d v="2025-09-12T00:00:00"/>
    <n v="25"/>
    <x v="0"/>
    <n v="52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EDAEwASwAzADUAOAAwADMANQAyADAASQBEAEUAQQA1=&amp;Tipo=2&amp;ST=1&amp;nLang=0"/>
  </r>
  <r>
    <x v="7"/>
    <s v="OP-S-010"/>
    <x v="18"/>
    <s v="Sin Auxiliar"/>
    <x v="113"/>
    <d v="2025-09-12T00:00:00"/>
    <n v="745"/>
    <x v="0"/>
    <n v="5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UANwA5ADkAMwAwADMASQBEAEUAQQAC=&amp;Tipo=2&amp;ST=1&amp;nLang=0"/>
  </r>
  <r>
    <x v="20"/>
    <s v="OP-S-010"/>
    <x v="18"/>
    <s v="Sin Auxiliar"/>
    <x v="113"/>
    <d v="2025-09-12T00:00:00"/>
    <n v="745"/>
    <x v="0"/>
    <n v="54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ADAEwASwAzADUANwA5ADkAMwAwADMASQBEAEUAQQAC=&amp;Tipo=2&amp;ST=1&amp;nLang=0"/>
  </r>
  <r>
    <x v="8"/>
    <s v="OP-S-004"/>
    <x v="8"/>
    <s v="Sin Auxiliar"/>
    <x v="113"/>
    <d v="2025-09-12T00:00:00"/>
    <n v="40"/>
    <x v="0"/>
    <n v="97"/>
    <n v="0"/>
    <n v="0"/>
    <n v="1"/>
    <n v="0"/>
    <n v="0"/>
    <n v="0"/>
    <n v="0"/>
    <n v="63"/>
    <n v="0"/>
    <n v="0"/>
    <n v="0"/>
    <n v="0"/>
    <n v="0"/>
    <n v="0"/>
    <n v="0"/>
    <s v="https://www.clickideacore.com/ClickHTML5/Visit.aspx?ID=//51DAEwASwAzADUAOAAwADAAOQA4ADgASQBEAEUAQQA4=&amp;Tipo=2&amp;ST=1&amp;nLang=0"/>
  </r>
  <r>
    <x v="9"/>
    <s v="OP-S-001"/>
    <x v="9"/>
    <s v="Sin Auxiliar"/>
    <x v="113"/>
    <d v="2025-09-12T00:00:00"/>
    <n v="31"/>
    <x v="0"/>
    <n v="7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9DAEwASwAzADUAOAAwADMAMwAyADkASQBEAEUAQQAD=&amp;Tipo=2&amp;ST=1&amp;nLang=0"/>
  </r>
  <r>
    <x v="11"/>
    <s v="OP-S-126"/>
    <x v="18"/>
    <s v="Sin Auxiliar"/>
    <x v="113"/>
    <d v="2025-09-12T00:00:00"/>
    <n v="65"/>
    <x v="0"/>
    <n v="124"/>
    <n v="0"/>
    <n v="0"/>
    <n v="0"/>
    <n v="0"/>
    <n v="1"/>
    <n v="0"/>
    <n v="0"/>
    <n v="25"/>
    <n v="0"/>
    <n v="0"/>
    <n v="0"/>
    <n v="0"/>
    <n v="0"/>
    <n v="0"/>
    <n v="0"/>
    <s v="https://www.clickideacore.com/ClickHTML5/Visit.aspx?ID=//59DAEwASwAzADUANwA5ADYAMAA4ADYASQBEAEUAQQA8=&amp;Tipo=2&amp;ST=1&amp;nLang=0"/>
  </r>
  <r>
    <x v="19"/>
    <s v="OP-S-126"/>
    <x v="18"/>
    <s v="Sin Auxiliar"/>
    <x v="113"/>
    <d v="2025-09-12T00:00:00"/>
    <n v="65"/>
    <x v="0"/>
    <n v="124"/>
    <n v="0"/>
    <n v="0"/>
    <n v="0"/>
    <n v="0"/>
    <n v="1"/>
    <n v="0"/>
    <n v="0"/>
    <n v="25"/>
    <n v="0"/>
    <n v="0"/>
    <n v="0"/>
    <n v="0"/>
    <n v="0"/>
    <n v="0"/>
    <n v="0"/>
    <s v="https://www.clickideacore.com/ClickHTML5/Visit.aspx?ID=//59DAEwASwAzADUANwA5ADYAMAA4ADYASQBEAEUAQQA8=&amp;Tipo=2&amp;ST=1&amp;nLang=0"/>
  </r>
  <r>
    <x v="12"/>
    <s v="OP-S-70"/>
    <x v="12"/>
    <s v="Sin Auxiliar"/>
    <x v="112"/>
    <d v="2025-09-11T00:00:00"/>
    <n v="29"/>
    <x v="0"/>
    <n v="45"/>
    <n v="0"/>
    <n v="0"/>
    <n v="1"/>
    <n v="1"/>
    <n v="0"/>
    <n v="1"/>
    <n v="0"/>
    <n v="41"/>
    <n v="0"/>
    <n v="0"/>
    <n v="0"/>
    <n v="0"/>
    <n v="0"/>
    <n v="0"/>
    <n v="0"/>
    <s v="https://www.clickideacore.com/ClickHTML5/Visit.aspx?ID=//5BDAEwASwAzADUANwA4ADMAOQA1ADMASQBEAEUAQQA2=&amp;Tipo=2&amp;ST=1&amp;nLang=0"/>
  </r>
  <r>
    <x v="13"/>
    <s v="OP-S-060"/>
    <x v="0"/>
    <s v="Sin Auxiliar"/>
    <x v="113"/>
    <d v="2025-09-12T00:00:00"/>
    <n v="67"/>
    <x v="0"/>
    <n v="45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OAAwADAAMgAzADQASQBEAEUAQQAE=&amp;Tipo=2&amp;ST=1&amp;nLang=0"/>
  </r>
  <r>
    <x v="14"/>
    <s v="OP-S-011"/>
    <x v="14"/>
    <s v="Sin Auxiliar"/>
    <x v="113"/>
    <d v="2025-09-12T00:00:00"/>
    <n v="36"/>
    <x v="0"/>
    <n v="48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1DAEwASwAzADUAOAAwADYAOQA5ADAASQBEAEUAQQA6=&amp;Tipo=2&amp;ST=1&amp;nLang=0"/>
  </r>
  <r>
    <x v="17"/>
    <s v="OP-S-0010"/>
    <x v="10"/>
    <s v="Sin Auxiliar"/>
    <x v="113"/>
    <d v="2025-09-12T00:00:00"/>
    <n v="37"/>
    <x v="0"/>
    <n v="7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NwA5ADcAOAA2ADkASQBEAEUAQQA2=&amp;Tipo=2&amp;ST=1&amp;nLang=0"/>
  </r>
  <r>
    <x v="18"/>
    <s v="OP-S-002"/>
    <x v="6"/>
    <s v="Sin Auxiliar"/>
    <x v="113"/>
    <d v="2025-09-12T00:00:00"/>
    <n v="34"/>
    <x v="0"/>
    <n v="34"/>
    <n v="0"/>
    <n v="0"/>
    <n v="1"/>
    <n v="0"/>
    <n v="0"/>
    <n v="0"/>
    <n v="0"/>
    <n v="34"/>
    <n v="0"/>
    <n v="0"/>
    <n v="0"/>
    <n v="0"/>
    <n v="0"/>
    <n v="0"/>
    <n v="0"/>
    <s v="https://www.clickideacore.com/ClickHTML5/Visit.aspx?ID=//58DAEwASwAzADUANwA5ADUANQA1ADAASQBEAEUAQQA9=&amp;Tipo=2&amp;ST=1&amp;nLang=0"/>
  </r>
  <r>
    <x v="27"/>
    <s v="OP-S-054"/>
    <x v="23"/>
    <s v="Sin Auxiliar"/>
    <x v="113"/>
    <d v="2025-09-12T00:00:00"/>
    <n v="36"/>
    <x v="0"/>
    <n v="4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7DAEwASwAzADUANwA5ADMAMgAwADMASQBEAEUAQQAE=&amp;Tipo=2&amp;ST=1&amp;nLang=0"/>
  </r>
  <r>
    <x v="23"/>
    <s v="OP-S-055"/>
    <x v="13"/>
    <s v="Sin Auxiliar"/>
    <x v="113"/>
    <d v="2025-09-12T00:00:00"/>
    <n v="37"/>
    <x v="4"/>
    <n v="0"/>
    <n v="0"/>
    <n v="0"/>
    <n v="0"/>
    <n v="0"/>
    <n v="0"/>
    <n v="0"/>
    <n v="0"/>
    <n v="0"/>
    <n v="0"/>
    <n v="0"/>
    <n v="0"/>
    <n v="0"/>
    <n v="0"/>
    <n v="0"/>
    <n v="0"/>
    <m/>
  </r>
  <r>
    <x v="23"/>
    <s v="OP-S-056"/>
    <x v="30"/>
    <s v="Sin Auxiliar"/>
    <x v="113"/>
    <d v="2025-09-12T00:00:00"/>
    <n v="38"/>
    <x v="9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s v="OP-S-057"/>
    <x v="18"/>
    <s v="Sin Auxiliar"/>
    <x v="113"/>
    <d v="2025-09-12T00:00:00"/>
    <n v="39"/>
    <x v="15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s v="OP-S-004"/>
    <x v="8"/>
    <s v="Sin Auxiliar"/>
    <x v="114"/>
    <d v="2025-09-13T00:00:00"/>
    <n v="76"/>
    <x v="0"/>
    <n v="0"/>
    <n v="0"/>
    <n v="0"/>
    <n v="0"/>
    <n v="0"/>
    <n v="0"/>
    <n v="0"/>
    <n v="0"/>
    <n v="67"/>
    <n v="1"/>
    <n v="0"/>
    <n v="91"/>
    <n v="27"/>
    <n v="1"/>
    <n v="0"/>
    <n v="0"/>
    <s v="https://www.clickideacore.com/ClickHTML5/Visit.aspx?ID=//51DAEwASwAzADUAOAAxADgANgAyADMASQBEAEUAQQAC=&amp;Tipo=2&amp;ST=1&amp;nLang=0"/>
  </r>
  <r>
    <x v="13"/>
    <s v="OP-S-060"/>
    <x v="13"/>
    <s v="Sin Auxiliar"/>
    <x v="114"/>
    <d v="2025-09-13T00:00:00"/>
    <n v="84"/>
    <x v="0"/>
    <n v="0"/>
    <n v="0"/>
    <n v="0"/>
    <n v="0"/>
    <n v="0"/>
    <n v="0"/>
    <n v="0"/>
    <n v="0"/>
    <n v="0"/>
    <n v="1"/>
    <n v="0"/>
    <n v="4"/>
    <n v="43"/>
    <n v="1"/>
    <n v="0"/>
    <n v="0"/>
    <s v="https://www.clickideacore.com/ClickHTML5/Visit.aspx?ID=//56DAEwASwAzADUAOAAxADkANAAwADYASQBEAEUAQQA5=&amp;Tipo=2&amp;ST=1&amp;nLang=0"/>
  </r>
  <r>
    <x v="5"/>
    <s v="OP-S-055"/>
    <x v="13"/>
    <s v="Sin Auxiliar"/>
    <x v="115"/>
    <d v="2025-09-14T00:00:00"/>
    <n v="77"/>
    <x v="0"/>
    <n v="0"/>
    <n v="0"/>
    <n v="0"/>
    <n v="0"/>
    <n v="0"/>
    <n v="0"/>
    <n v="0"/>
    <n v="0"/>
    <n v="0"/>
    <n v="0"/>
    <n v="1"/>
    <n v="7"/>
    <n v="73"/>
    <n v="0"/>
    <n v="1"/>
    <n v="3"/>
    <s v="https://www.clickideacore.com/ClickHTML5/Visit.aspx?ID=//53DAEwASwAzADUAOAAyADcAOQAxADMASQBEAEUAQQA9=&amp;Tipo=2&amp;ST=1&amp;nLang=0"/>
  </r>
  <r>
    <x v="17"/>
    <s v="OP-S-0010"/>
    <x v="14"/>
    <s v="Sin Auxiliar"/>
    <x v="115"/>
    <d v="2025-09-14T00:00:00"/>
    <n v="80"/>
    <x v="0"/>
    <n v="0"/>
    <n v="0"/>
    <n v="0"/>
    <n v="0"/>
    <n v="0"/>
    <n v="0"/>
    <n v="0"/>
    <n v="0"/>
    <n v="0"/>
    <n v="0"/>
    <n v="1"/>
    <n v="9"/>
    <n v="115"/>
    <n v="0"/>
    <n v="1"/>
    <n v="0"/>
    <s v="https://www.clickideacore.com/ClickHTML5/Visit.aspx?ID=//56DAEwASwAzADUAOAAyADcANAAxADMASQBEAEUAQQAD=&amp;Tipo=2&amp;ST=1&amp;nLang=0"/>
  </r>
  <r>
    <x v="8"/>
    <s v="OP-S-004"/>
    <x v="8"/>
    <s v="Sin Auxiliar"/>
    <x v="115"/>
    <d v="2025-09-14T00:00:00"/>
    <n v="76"/>
    <x v="0"/>
    <n v="0"/>
    <n v="0"/>
    <n v="0"/>
    <n v="0"/>
    <n v="0"/>
    <n v="0"/>
    <n v="0"/>
    <n v="0"/>
    <n v="62"/>
    <n v="0"/>
    <n v="1"/>
    <n v="62"/>
    <n v="0"/>
    <n v="0"/>
    <n v="0"/>
    <n v="0"/>
    <s v="https://www.clickideacore.com/ClickHTML5/Visit.aspx?ID=//51DAEwASwAzADUAOAAxADgANgAyADMASQBEAEUAQQAC=&amp;Tipo=2&amp;ST=1&amp;nLang=0"/>
  </r>
  <r>
    <x v="0"/>
    <s v="OP-S-106"/>
    <x v="3"/>
    <s v="Sin Auxiliar"/>
    <x v="116"/>
    <d v="2025-09-15T00:00:00"/>
    <n v="27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0ADYANwA3ADMASQBEAEUAQQA5=&amp;Tipo=2&amp;ST=1&amp;nLang=0"/>
  </r>
  <r>
    <x v="1"/>
    <s v="OP-S-013"/>
    <x v="1"/>
    <s v="Sin Auxiliar"/>
    <x v="116"/>
    <d v="2025-09-15T00:00:00"/>
    <n v="30"/>
    <x v="0"/>
    <n v="9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OAA0ADEAMwAxADQASQBEAEUAQQA9=&amp;Tipo=2&amp;ST=1&amp;nLang=0"/>
  </r>
  <r>
    <x v="2"/>
    <s v="OP-S-009"/>
    <x v="2"/>
    <s v="Sin Auxiliar"/>
    <x v="116"/>
    <d v="2025-09-15T00:00:00"/>
    <n v="62"/>
    <x v="0"/>
    <n v="37"/>
    <n v="1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OAAzADUANAA4ADIASQBEAEUAQQA6=&amp;Tipo=2&amp;ST=1&amp;nLang=0"/>
  </r>
  <r>
    <x v="4"/>
    <s v="OP-S-018"/>
    <x v="4"/>
    <s v="Sin Auxiliar"/>
    <x v="116"/>
    <d v="2025-09-15T00:00:00"/>
    <n v="65"/>
    <x v="0"/>
    <n v="117"/>
    <n v="2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1DAEwASwAzADUAOAA0ADEANAAyADMASQBEAEUAQQA7=&amp;Tipo=2&amp;ST=1&amp;nLang=0"/>
  </r>
  <r>
    <x v="5"/>
    <s v="OP-S-055"/>
    <x v="5"/>
    <s v="Sin Auxiliar"/>
    <x v="116"/>
    <d v="2025-09-15T00:00:00"/>
    <n v="36"/>
    <x v="0"/>
    <n v="69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9DAEwASwAzADUAOAA0ADUANAA4ADQASQBEAEUAQQA4=&amp;Tipo=2&amp;ST=1&amp;nLang=0"/>
  </r>
  <r>
    <x v="6"/>
    <s v="OP-S-R-001"/>
    <x v="18"/>
    <s v="Sin Auxiliar"/>
    <x v="116"/>
    <d v="2025-09-15T00:00:00"/>
    <n v="48"/>
    <x v="0"/>
    <n v="38"/>
    <n v="0"/>
    <n v="0"/>
    <n v="0"/>
    <n v="0"/>
    <n v="0"/>
    <n v="0"/>
    <n v="0"/>
    <n v="38"/>
    <n v="0"/>
    <n v="0"/>
    <n v="0"/>
    <n v="0"/>
    <n v="0"/>
    <n v="0"/>
    <n v="0"/>
    <s v="https://www.clickideacore.com/ClickHTML5/Visit.aspx?ID=//57DAEwASwAzADUAOAA0ADEANAAyADIASQBEAEUAQQA4=&amp;Tipo=2&amp;ST=1&amp;nLang=0"/>
  </r>
  <r>
    <x v="7"/>
    <s v="OP-S-010"/>
    <x v="18"/>
    <s v="Sin Auxiliar"/>
    <x v="116"/>
    <d v="2025-09-15T00:00:00"/>
    <n v="97"/>
    <x v="0"/>
    <n v="6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OAA0ADIAMQAxADAASQBEAEUAQQA9=&amp;Tipo=2&amp;ST=1&amp;nLang=0"/>
  </r>
  <r>
    <x v="20"/>
    <s v="OP-S-010"/>
    <x v="18"/>
    <s v="Sin Auxiliar"/>
    <x v="116"/>
    <d v="2025-09-15T00:00:00"/>
    <n v="97"/>
    <x v="0"/>
    <n v="66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7DAEwASwAzADUAOAA0ADIAMQAxADAASQBEAEUAQQA9=&amp;Tipo=2&amp;ST=1&amp;nLang=0"/>
  </r>
  <r>
    <x v="8"/>
    <s v="OP-S-004"/>
    <x v="8"/>
    <s v="Sin Auxiliar"/>
    <x v="116"/>
    <d v="2025-09-15T00:00:00"/>
    <n v="40"/>
    <x v="0"/>
    <n v="115"/>
    <n v="0"/>
    <n v="0"/>
    <n v="1"/>
    <n v="0"/>
    <n v="0"/>
    <n v="0"/>
    <n v="0"/>
    <n v="66"/>
    <n v="0"/>
    <n v="0"/>
    <n v="0"/>
    <n v="0"/>
    <n v="0"/>
    <n v="0"/>
    <n v="0"/>
    <s v="https://www.clickideacore.com/ClickHTML5/Visit.aspx?ID=//5BDAEwASwAzADUAOAA0ADEAOQA1ADkASQBEAEUAQQAC=&amp;Tipo=2&amp;ST=1&amp;nLang=0"/>
  </r>
  <r>
    <x v="9"/>
    <s v="OP-S-001"/>
    <x v="9"/>
    <s v="Sin Auxiliar"/>
    <x v="116"/>
    <d v="2025-09-15T00:00:00"/>
    <n v="28"/>
    <x v="0"/>
    <n v="6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CDAEwASwAzADUAOAA0ADIANwA0ADEASQBEAEUAQQA2=&amp;Tipo=2&amp;ST=1&amp;nLang=0"/>
  </r>
  <r>
    <x v="11"/>
    <s v="OP-S-126"/>
    <x v="18"/>
    <s v="Sin Auxiliar"/>
    <x v="116"/>
    <d v="2025-09-15T00:00:00"/>
    <n v="32"/>
    <x v="0"/>
    <n v="6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OAAzADcAMgA1ADMASQBEAEUAQQAD=&amp;Tipo=2&amp;ST=1&amp;nLang=0"/>
  </r>
  <r>
    <x v="19"/>
    <s v="OP-S-126"/>
    <x v="18"/>
    <s v="Sin Auxiliar"/>
    <x v="116"/>
    <d v="2025-09-15T00:00:00"/>
    <n v="32"/>
    <x v="0"/>
    <n v="6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OAAzADcAMgA1ADMASQBEAEUAQQAD=&amp;Tipo=2&amp;ST=1&amp;nLang=0"/>
  </r>
  <r>
    <x v="12"/>
    <s v="OP-S-70"/>
    <x v="12"/>
    <s v="Sin Auxiliar"/>
    <x v="116"/>
    <d v="2025-09-15T00:00:00"/>
    <n v="29"/>
    <x v="0"/>
    <n v="37"/>
    <n v="0"/>
    <n v="0"/>
    <n v="1"/>
    <n v="0"/>
    <n v="0"/>
    <n v="0"/>
    <n v="0"/>
    <n v="37"/>
    <n v="0"/>
    <n v="0"/>
    <n v="0"/>
    <n v="0"/>
    <n v="0"/>
    <n v="0"/>
    <n v="0"/>
    <s v="https://www.clickideacore.com/ClickHTML5/Visit.aspx?ID=//56DAEwASwAzADUAOAA1ADAANAA5ADMASQBEAEUAQQA3=&amp;Tipo=2&amp;ST=1&amp;nLang=0"/>
  </r>
  <r>
    <x v="13"/>
    <s v="OP-S-060"/>
    <x v="13"/>
    <s v="Sin Auxiliar"/>
    <x v="116"/>
    <d v="2025-09-15T00:00:00"/>
    <n v="63"/>
    <x v="0"/>
    <n v="40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3DAEwASwAzADUAOAA0ADEANgAxADMASQBEAEUAQQAC=&amp;Tipo=2&amp;ST=1&amp;nLang=0"/>
  </r>
  <r>
    <x v="14"/>
    <s v="OP-S-011"/>
    <x v="14"/>
    <s v="Sin Auxiliar"/>
    <x v="116"/>
    <d v="2025-09-15T00:00:00"/>
    <n v="32"/>
    <x v="0"/>
    <n v="3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CDAEwASwAzADUAOAA1ADEAMwAyADMASQBEAEUAQQA9=&amp;Tipo=2&amp;ST=1&amp;nLang=0"/>
  </r>
  <r>
    <x v="17"/>
    <s v="OP-S-0010"/>
    <x v="10"/>
    <s v="Sin Auxiliar"/>
    <x v="116"/>
    <d v="2025-09-15T00:00:00"/>
    <n v="39"/>
    <x v="0"/>
    <n v="7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DDAEwASwAzADUAOAAzADkANgA5ADQASQBEAEUAQQA7=&amp;Tipo=2&amp;ST=1&amp;nLang=0"/>
  </r>
  <r>
    <x v="18"/>
    <s v="OP-S-002"/>
    <x v="6"/>
    <s v="Sin Auxiliar"/>
    <x v="116"/>
    <d v="2025-09-15T00:00:00"/>
    <n v="35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FDAEwASwAzADUAOAA0ADEAMAA0ADYASQBEAEUAQQA3=&amp;Tipo=2&amp;ST=1&amp;nLang=0"/>
  </r>
  <r>
    <x v="27"/>
    <s v="OP-S-054"/>
    <x v="23"/>
    <s v="Sin Auxiliar"/>
    <x v="116"/>
    <d v="2025-09-15T00:00:00"/>
    <n v="22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3"/>
    <s v="OP-S-055"/>
    <x v="18"/>
    <s v="Sin Auxiliar"/>
    <x v="116"/>
    <d v="2025-09-15T00:00:00"/>
    <n v="23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10"/>
    <s v="OP-S-056"/>
    <x v="18"/>
    <s v="Sin Auxiliar"/>
    <x v="116"/>
    <d v="2025-09-15T00:00:00"/>
    <n v="24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23"/>
    <s v="OP-S-057"/>
    <x v="0"/>
    <s v="Sin Auxiliar"/>
    <x v="116"/>
    <d v="2025-09-15T00:00:00"/>
    <n v="25"/>
    <x v="11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s v="OP-S-106"/>
    <x v="3"/>
    <s v="Sin Auxiliar"/>
    <x v="117"/>
    <d v="2025-09-16T00:00:00"/>
    <n v="54"/>
    <x v="0"/>
    <n v="45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EDAEwASwAzADUAOAA3ADYAMwA1ADQASQBEAEUAQQA0=&amp;Tipo=2&amp;ST=1&amp;nLang=0"/>
  </r>
  <r>
    <x v="1"/>
    <s v="OP-S-013"/>
    <x v="1"/>
    <s v="Sin Auxiliar"/>
    <x v="117"/>
    <d v="2025-09-16T00:00:00"/>
    <n v="29"/>
    <x v="0"/>
    <n v="45"/>
    <n v="0"/>
    <n v="0"/>
    <n v="1"/>
    <n v="0"/>
    <n v="0"/>
    <n v="0"/>
    <n v="0"/>
    <n v="5"/>
    <n v="0"/>
    <n v="0"/>
    <n v="0"/>
    <n v="0"/>
    <n v="0"/>
    <n v="0"/>
    <n v="0"/>
    <s v="https://www.clickideacore.com/ClickHTML5/Visit.aspx?ID=//55DAEwASwAzADUAOAA2ADMANQAxADYASQBEAEUAQQA1=&amp;Tipo=2&amp;ST=1&amp;nLang=0"/>
  </r>
  <r>
    <x v="2"/>
    <s v="OP-S-009"/>
    <x v="2"/>
    <s v="Sin Auxiliar"/>
    <x v="117"/>
    <d v="2025-09-16T00:00:00"/>
    <n v="55"/>
    <x v="0"/>
    <n v="62"/>
    <n v="0"/>
    <n v="0"/>
    <n v="0"/>
    <n v="0"/>
    <n v="0"/>
    <n v="0"/>
    <n v="0"/>
    <n v="17"/>
    <n v="0"/>
    <n v="0"/>
    <n v="0"/>
    <n v="0"/>
    <n v="0"/>
    <n v="0"/>
    <n v="0"/>
    <s v="https://www.clickideacore.com/ClickHTML5/Visit.aspx?ID=//5EDAEwASwAzADUAOAA2ADEANAA1ADQASQBEAEUAQQAD=&amp;Tipo=2&amp;ST=1&amp;nLang=0"/>
  </r>
  <r>
    <x v="5"/>
    <s v="OP-S-055"/>
    <x v="0"/>
    <s v="Sin Auxiliar"/>
    <x v="116"/>
    <d v="2025-09-15T00:00:00"/>
    <n v="36"/>
    <x v="0"/>
    <n v="69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9DAEwASwAzADUAOAA0ADUANAA4ADQASQBEAEUAQQA4=&amp;Tipo=2&amp;ST=1&amp;nLang=0"/>
  </r>
  <r>
    <x v="4"/>
    <s v="OP-S-018"/>
    <x v="4"/>
    <s v="Sin Auxiliar"/>
    <x v="117"/>
    <d v="2025-09-16T00:00:00"/>
    <n v="36"/>
    <x v="0"/>
    <n v="8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EDAEwASwAzADUAOAA2ADEAMQA2ADMASQBEAEUAQQAC=&amp;Tipo=2&amp;ST=1&amp;nLang=0"/>
  </r>
  <r>
    <x v="6"/>
    <s v="OP-S-R-001"/>
    <x v="18"/>
    <s v="Sin Auxiliar"/>
    <x v="117"/>
    <d v="2025-09-16T00:00:00"/>
    <n v="44"/>
    <x v="0"/>
    <n v="30"/>
    <n v="0"/>
    <n v="0"/>
    <n v="0"/>
    <n v="0"/>
    <n v="0"/>
    <n v="0"/>
    <n v="0"/>
    <n v="30"/>
    <n v="0"/>
    <n v="0"/>
    <n v="0"/>
    <n v="0"/>
    <n v="0"/>
    <n v="0"/>
    <n v="0"/>
    <s v="https://www.clickideacore.com/ClickHTML5/Visit.aspx?ID=//5ADAEwASwAzADUAOAA2ADUANgAxADAASQBEAEUAQQA8=&amp;Tipo=2&amp;ST=1&amp;nLang=0"/>
  </r>
  <r>
    <x v="7"/>
    <s v="OP-S-010"/>
    <x v="18"/>
    <s v="Sin Auxiliar"/>
    <x v="117"/>
    <d v="2025-09-16T00:00:00"/>
    <n v="116"/>
    <x v="0"/>
    <n v="2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OAA2ADMAOQAyADIASQBEAEUAQQA1=&amp;Tipo=2&amp;ST=1&amp;nLang=0"/>
  </r>
  <r>
    <x v="20"/>
    <s v="OP-S-010"/>
    <x v="18"/>
    <s v="Sin Auxiliar"/>
    <x v="117"/>
    <d v="2025-09-16T00:00:00"/>
    <n v="116"/>
    <x v="0"/>
    <n v="26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OAA2ADMAOQAyADIASQBEAEUAQQA1=&amp;Tipo=2&amp;ST=1&amp;nLang=0"/>
  </r>
  <r>
    <x v="8"/>
    <s v="OP-S-004"/>
    <x v="8"/>
    <s v="Sin Auxiliar"/>
    <x v="117"/>
    <d v="2025-09-16T00:00:00"/>
    <n v="29"/>
    <x v="0"/>
    <n v="104"/>
    <n v="0"/>
    <n v="0"/>
    <n v="1"/>
    <n v="0"/>
    <n v="0"/>
    <n v="0"/>
    <n v="0"/>
    <n v="63"/>
    <n v="0"/>
    <n v="0"/>
    <n v="0"/>
    <n v="0"/>
    <n v="0"/>
    <n v="0"/>
    <n v="0"/>
    <s v="https://www.clickideacore.com/ClickHTML5/Visit.aspx?ID=//53DAEwASwAzADUAOAA2ADUAOAA2ADUASQBEAEUAQQAF=&amp;Tipo=2&amp;ST=1&amp;nLang=0"/>
  </r>
  <r>
    <x v="9"/>
    <s v="OP-S-001"/>
    <x v="9"/>
    <s v="Sin Auxiliar"/>
    <x v="117"/>
    <d v="2025-09-16T00:00:00"/>
    <n v="23"/>
    <x v="0"/>
    <n v="72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OAA2ADkANAAxADcASQBEAEUAQQA1=&amp;Tipo=2&amp;ST=1&amp;nLang=0"/>
  </r>
  <r>
    <x v="12"/>
    <s v="OP-S-70"/>
    <x v="12"/>
    <s v="Sin Auxiliar"/>
    <x v="117"/>
    <d v="2025-09-16T00:00:00"/>
    <n v="29"/>
    <x v="0"/>
    <n v="37"/>
    <n v="0"/>
    <n v="0"/>
    <n v="1"/>
    <n v="0"/>
    <n v="0"/>
    <n v="0"/>
    <n v="0"/>
    <n v="37"/>
    <n v="0"/>
    <n v="0"/>
    <n v="0"/>
    <n v="0"/>
    <n v="0"/>
    <n v="0"/>
    <n v="0"/>
    <s v="https://www.clickideacore.com/ClickHTML5/Visit.aspx?ID=//56DAEwASwAzADUAOAA1ADAANAA5ADMASQBEAEUAQQA3=&amp;Tipo=2&amp;ST=1&amp;nLang=0"/>
  </r>
  <r>
    <x v="11"/>
    <s v="OP-S-126"/>
    <x v="18"/>
    <s v="Sin Auxiliar"/>
    <x v="117"/>
    <d v="2025-09-16T00:00:00"/>
    <n v="29"/>
    <x v="0"/>
    <n v="53"/>
    <n v="0"/>
    <n v="0"/>
    <n v="0"/>
    <n v="0"/>
    <n v="0"/>
    <n v="0"/>
    <n v="2"/>
    <n v="15"/>
    <n v="0"/>
    <n v="0"/>
    <n v="0"/>
    <n v="0"/>
    <n v="0"/>
    <n v="0"/>
    <n v="0"/>
    <s v="https://www.clickideacore.com/ClickHTML5/Visit.aspx?ID=//55DAEwASwAzADUAOAA2ADMANAA2ADQASQBEAEUAQQA3=&amp;Tipo=2&amp;ST=1&amp;nLang=0"/>
  </r>
  <r>
    <x v="19"/>
    <s v="OP-S-126"/>
    <x v="18"/>
    <s v="Sin Auxiliar"/>
    <x v="117"/>
    <d v="2025-09-16T00:00:00"/>
    <n v="29"/>
    <x v="0"/>
    <n v="53"/>
    <n v="0"/>
    <n v="0"/>
    <n v="0"/>
    <n v="0"/>
    <n v="0"/>
    <n v="0"/>
    <n v="2"/>
    <n v="15"/>
    <n v="0"/>
    <n v="0"/>
    <n v="0"/>
    <n v="0"/>
    <n v="0"/>
    <n v="0"/>
    <n v="0"/>
    <s v="https://www.clickideacore.com/ClickHTML5/Visit.aspx?ID=//55DAEwASwAzADUAOAA2ADMANAA2ADQASQBEAEUAQQA3=&amp;Tipo=2&amp;ST=1&amp;nLang=0"/>
  </r>
  <r>
    <x v="14"/>
    <s v="OP-S-011"/>
    <x v="14"/>
    <s v="Sin Auxiliar"/>
    <x v="117"/>
    <d v="2025-09-16T00:00:00"/>
    <n v="40"/>
    <x v="0"/>
    <n v="60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4DAEwASwAzADUAOAA3ADYAMQA4ADQASQBEAEUAQQAA=&amp;Tipo=2&amp;ST=1&amp;nLang=0"/>
  </r>
  <r>
    <x v="17"/>
    <s v="OP-S-0010"/>
    <x v="10"/>
    <s v="Sin Auxiliar"/>
    <x v="117"/>
    <d v="2025-09-16T00:00:00"/>
    <n v="67"/>
    <x v="0"/>
    <n v="39"/>
    <n v="0"/>
    <n v="0"/>
    <n v="0"/>
    <n v="0"/>
    <n v="0"/>
    <n v="0"/>
    <n v="0"/>
    <n v="3"/>
    <n v="0"/>
    <n v="0"/>
    <n v="0"/>
    <n v="0"/>
    <n v="0"/>
    <n v="0"/>
    <n v="0"/>
    <s v="https://www.clickideacore.com/ClickHTML5/Visit.aspx?ID=//56DAEwASwAzADUAOAA3ADYANQA4ADQASQBEAEUAQQAB=&amp;Tipo=2&amp;ST=1&amp;nLang=0"/>
  </r>
  <r>
    <x v="18"/>
    <s v="OP-S-002"/>
    <x v="6"/>
    <s v="Sin Auxiliar"/>
    <x v="117"/>
    <d v="2025-09-16T00:00:00"/>
    <n v="57"/>
    <x v="0"/>
    <n v="32"/>
    <n v="0"/>
    <n v="0"/>
    <n v="1"/>
    <n v="0"/>
    <n v="0"/>
    <n v="0"/>
    <n v="0"/>
    <n v="32"/>
    <n v="0"/>
    <n v="0"/>
    <n v="0"/>
    <n v="0"/>
    <n v="0"/>
    <n v="0"/>
    <n v="0"/>
    <s v="https://www.clickideacore.com/ClickHTML5/Visit.aspx?ID=//57DAEwASwAzADUAOAA2ADUANgA1ADkASQBEAEUAQQAF=&amp;Tipo=2&amp;ST=1&amp;nLang=0"/>
  </r>
  <r>
    <x v="27"/>
    <s v="OP-S-054"/>
    <x v="18"/>
    <s v="Sin Auxiliar"/>
    <x v="117"/>
    <d v="2025-09-16T00:00:00"/>
    <n v="211"/>
    <x v="0"/>
    <n v="27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OAA1ADYANwA5ADYASQBEAEUAQQA2=&amp;Tipo=2&amp;ST=1&amp;nLang=0"/>
  </r>
  <r>
    <x v="13"/>
    <s v="OP-S-054"/>
    <x v="18"/>
    <s v="Sin Auxiliar"/>
    <x v="117"/>
    <d v="2025-09-16T00:00:00"/>
    <n v="211"/>
    <x v="0"/>
    <n v="2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OAA1ADYANwA5ADYASQBEAEUAQQA2=&amp;Tipo=2&amp;ST=1&amp;nLang=0"/>
  </r>
  <r>
    <x v="23"/>
    <s v="OP-S-055"/>
    <x v="23"/>
    <s v="Sin Auxiliar"/>
    <x v="117"/>
    <d v="2025-09-16T00:00:00"/>
    <n v="211"/>
    <x v="1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OAA1ADYANwA5ADYASQBEAEUAQQA2=&amp;Tipo=2&amp;ST=1&amp;nLang=0"/>
  </r>
  <r>
    <x v="23"/>
    <s v="OP-S-056"/>
    <x v="31"/>
    <s v="Sin Auxiliar"/>
    <x v="117"/>
    <d v="2025-09-16T00:00:00"/>
    <n v="211"/>
    <x v="1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3DAEwASwAzADUAOAA1ADYANwA5ADYASQBEAEUAQQA2=&amp;Tipo=2&amp;ST=1&amp;nLang=0"/>
  </r>
  <r>
    <x v="3"/>
    <s v="OP-S-057"/>
    <x v="18"/>
    <s v="Sin Auxiliar"/>
    <x v="117"/>
    <d v="2025-09-16T00:00:00"/>
    <n v="23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10"/>
    <s v="OP-S-056"/>
    <x v="18"/>
    <s v="Sin Auxiliar"/>
    <x v="117"/>
    <d v="2025-09-16T00:00:00"/>
    <n v="24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0"/>
    <s v="OP-S-106"/>
    <x v="3"/>
    <s v="Sin Auxiliar"/>
    <x v="118"/>
    <d v="2025-09-17T00:00:00"/>
    <n v="31"/>
    <x v="0"/>
    <n v="4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OAA5ADkAMwA4ADQASQBEAEUAQQAC=&amp;Tipo=2&amp;ST=1&amp;nLang=0"/>
  </r>
  <r>
    <x v="1"/>
    <s v="OP-S-013"/>
    <x v="1"/>
    <s v="Sin Auxiliar"/>
    <x v="118"/>
    <d v="2025-09-17T00:00:00"/>
    <n v="52"/>
    <x v="0"/>
    <n v="7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8DAEwASwAzADUAOAA4ADMAMwAyADMASQBEAEUAQQAF=&amp;Tipo=2&amp;ST=1&amp;nLang=0"/>
  </r>
  <r>
    <x v="2"/>
    <s v="OP-S-009"/>
    <x v="2"/>
    <s v="Sin Auxiliar"/>
    <x v="118"/>
    <d v="2025-09-17T00:00:00"/>
    <n v="35"/>
    <x v="0"/>
    <n v="41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ADAEwASwAzADUAOAA4ADEANQA4ADQASQBEAEUAQQA8=&amp;Tipo=2&amp;ST=1&amp;nLang=0"/>
  </r>
  <r>
    <x v="4"/>
    <s v="OP-S-018"/>
    <x v="4"/>
    <s v="Sin Auxiliar"/>
    <x v="118"/>
    <d v="2025-09-17T00:00:00"/>
    <n v="36"/>
    <x v="0"/>
    <n v="88"/>
    <n v="0"/>
    <n v="0"/>
    <n v="0"/>
    <n v="0"/>
    <n v="0"/>
    <n v="0"/>
    <n v="0"/>
    <n v="50"/>
    <n v="0"/>
    <n v="0"/>
    <n v="0"/>
    <n v="0"/>
    <n v="0"/>
    <n v="0"/>
    <n v="0"/>
    <s v="https://www.clickideacore.com/ClickHTML5/Visit.aspx?ID=//5EDAEwASwAzADUAOAA2ADEAMQA2ADMASQBEAEUAQQAC=&amp;Tipo=2&amp;ST=1&amp;nLang=0"/>
  </r>
  <r>
    <x v="5"/>
    <s v="OP-S-055"/>
    <x v="5"/>
    <s v="Sin Auxiliar"/>
    <x v="118"/>
    <d v="2025-09-17T00:00:00"/>
    <n v="28"/>
    <x v="0"/>
    <n v="47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DDAEwASwAzADUAOAA5ADAAMgAxADYASQBEAEUAQQAE=&amp;Tipo=2&amp;ST=1&amp;nLang=0"/>
  </r>
  <r>
    <x v="6"/>
    <s v="OP-S-R-001"/>
    <x v="18"/>
    <s v="Sin Auxiliar"/>
    <x v="118"/>
    <d v="2025-09-17T00:00:00"/>
    <n v="37"/>
    <x v="0"/>
    <n v="37"/>
    <n v="0"/>
    <n v="0"/>
    <n v="0"/>
    <n v="0"/>
    <n v="0"/>
    <n v="0"/>
    <n v="0"/>
    <n v="37"/>
    <n v="0"/>
    <n v="0"/>
    <n v="0"/>
    <n v="0"/>
    <n v="0"/>
    <n v="0"/>
    <n v="0"/>
    <s v="https://www.clickideacore.com/ClickHTML5/Visit.aspx?ID=//50DAEwASwAzADUAOAA5ADEAMgAxADYASQBEAEUAQQAB=&amp;Tipo=2&amp;ST=1&amp;nLang=0"/>
  </r>
  <r>
    <x v="7"/>
    <s v="OP-S-010"/>
    <x v="18"/>
    <s v="Sin Auxiliar"/>
    <x v="118"/>
    <d v="2025-09-17T00:00:00"/>
    <n v="200"/>
    <x v="0"/>
    <n v="17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UAOAA5ADMAMAAxADcASQBEAEUAQQA4=&amp;Tipo=2&amp;ST=1&amp;nLang=0"/>
  </r>
  <r>
    <x v="20"/>
    <s v="OP-S-010"/>
    <x v="18"/>
    <s v="Sin Auxiliar"/>
    <x v="118"/>
    <d v="2025-09-17T00:00:00"/>
    <n v="200"/>
    <x v="0"/>
    <n v="171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1DAEwASwAzADUAOAA5ADMAMAAxADcASQBEAEUAQQA4=&amp;Tipo=2&amp;ST=1&amp;nLang=0"/>
  </r>
  <r>
    <x v="8"/>
    <s v="OP-S-004"/>
    <x v="8"/>
    <s v="Sin Auxiliar"/>
    <x v="118"/>
    <d v="2025-09-17T00:00:00"/>
    <n v="29"/>
    <x v="0"/>
    <n v="104"/>
    <n v="0"/>
    <n v="0"/>
    <n v="1"/>
    <n v="0"/>
    <n v="0"/>
    <n v="0"/>
    <n v="0"/>
    <n v="63"/>
    <n v="0"/>
    <n v="0"/>
    <n v="0"/>
    <n v="0"/>
    <n v="0"/>
    <n v="0"/>
    <n v="0"/>
    <s v="https://www.clickideacore.com/ClickHTML5/Visit.aspx?ID=//53DAEwASwAzADUAOAA2ADUAOAA2ADUASQBEAEUAQQAF=&amp;Tipo=2&amp;ST=1&amp;nLang=0"/>
  </r>
  <r>
    <x v="9"/>
    <s v="OP-S-001"/>
    <x v="9"/>
    <s v="Sin Auxiliar"/>
    <x v="118"/>
    <d v="2025-09-17T00:00:00"/>
    <n v="27"/>
    <x v="0"/>
    <n v="1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OAA5ADkAMgA0ADYASQBEAEUAQQAF=&amp;Tipo=2&amp;ST=1&amp;nLang=0"/>
  </r>
  <r>
    <x v="12"/>
    <s v="OP-S-70"/>
    <x v="12"/>
    <s v="Sin Auxiliar"/>
    <x v="118"/>
    <d v="2025-09-17T00:00:00"/>
    <n v="29"/>
    <x v="0"/>
    <n v="37"/>
    <n v="0"/>
    <n v="0"/>
    <n v="1"/>
    <n v="0"/>
    <n v="0"/>
    <n v="0"/>
    <n v="0"/>
    <n v="37"/>
    <n v="0"/>
    <n v="0"/>
    <n v="0"/>
    <n v="0"/>
    <n v="0"/>
    <n v="0"/>
    <n v="0"/>
    <s v="https://www.clickideacore.com/ClickHTML5/Visit.aspx?ID=//56DAEwASwAzADUAOAA1ADAANAA5ADMASQBEAEUAQQA3=&amp;Tipo=2&amp;ST=1&amp;nLang=0"/>
  </r>
  <r>
    <x v="11"/>
    <s v="OP-S-126"/>
    <x v="18"/>
    <s v="Sin Auxiliar"/>
    <x v="118"/>
    <d v="2025-09-17T00:00:00"/>
    <n v="29"/>
    <x v="0"/>
    <n v="7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OAA4ADMAMwAyADAASQBEAEUAQQAC=&amp;Tipo=2&amp;ST=1&amp;nLang=0"/>
  </r>
  <r>
    <x v="19"/>
    <s v="OP-S-126"/>
    <x v="18"/>
    <s v="Sin Auxiliar"/>
    <x v="118"/>
    <d v="2025-09-17T00:00:00"/>
    <n v="29"/>
    <x v="0"/>
    <n v="7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4DAEwASwAzADUAOAA4ADMAMwAyADAASQBEAEUAQQAC=&amp;Tipo=2&amp;ST=1&amp;nLang=0"/>
  </r>
  <r>
    <x v="13"/>
    <s v="OP-S-060"/>
    <x v="13"/>
    <s v="Sin Auxiliar"/>
    <x v="118"/>
    <d v="2025-09-17T00:00:00"/>
    <n v="46"/>
    <x v="0"/>
    <n v="43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FDAEwASwAzADUAOAA5ADAANgA0ADEASQBEAEUAQQA9=&amp;Tipo=2&amp;ST=1&amp;nLang=0"/>
  </r>
  <r>
    <x v="14"/>
    <s v="OP-S-011"/>
    <x v="14"/>
    <s v="Sin Auxiliar"/>
    <x v="118"/>
    <d v="2025-09-17T00:00:00"/>
    <n v="39"/>
    <x v="0"/>
    <n v="30"/>
    <n v="0"/>
    <n v="0"/>
    <n v="0"/>
    <n v="0"/>
    <n v="0"/>
    <n v="0"/>
    <n v="0"/>
    <n v="2"/>
    <n v="0"/>
    <n v="0"/>
    <n v="0"/>
    <n v="0"/>
    <n v="0"/>
    <n v="0"/>
    <n v="1"/>
    <s v="https://www.clickideacore.com/ClickHTML5/Visit.aspx?ID=//58DAEwASwAzADUAOAA5ADcAMwA5ADgASQBEAEUAQQA5=&amp;Tipo=2&amp;ST=1&amp;nLang=0"/>
  </r>
  <r>
    <x v="17"/>
    <s v="OP-S-0010"/>
    <x v="10"/>
    <s v="Sin Auxiliar"/>
    <x v="118"/>
    <d v="2025-09-17T00:00:00"/>
    <n v="34"/>
    <x v="0"/>
    <n v="81"/>
    <n v="0"/>
    <n v="0"/>
    <n v="1"/>
    <n v="0"/>
    <n v="0"/>
    <n v="0"/>
    <n v="0"/>
    <n v="3"/>
    <n v="0"/>
    <n v="0"/>
    <n v="0"/>
    <n v="0"/>
    <n v="0"/>
    <n v="0"/>
    <n v="0"/>
    <s v="https://www.clickideacore.com/ClickHTML5/Visit.aspx?ID=//59DAEwASwAzADUAOAA4ADkAMgA4ADkASQBEAEUAQQA8=&amp;Tipo=2&amp;ST=1&amp;nLang=0"/>
  </r>
  <r>
    <x v="27"/>
    <s v="OP-S-054"/>
    <x v="23"/>
    <s v="Sin Auxiliar"/>
    <x v="118"/>
    <d v="2025-09-17T00:00:00"/>
    <n v="22"/>
    <x v="0"/>
    <n v="65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3"/>
    <s v="OP-S-057"/>
    <x v="18"/>
    <s v="Sin Auxiliar"/>
    <x v="118"/>
    <d v="2025-09-17T00:00:00"/>
    <n v="23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10"/>
    <s v="OP-S-056"/>
    <x v="18"/>
    <s v="Sin Auxiliar"/>
    <x v="118"/>
    <d v="2025-09-17T00:00:00"/>
    <n v="24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23"/>
    <s v="OP-S-057"/>
    <x v="0"/>
    <s v="Sin Auxiliar"/>
    <x v="118"/>
    <d v="2025-09-17T00:00:00"/>
    <n v="25"/>
    <x v="0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0"/>
    <s v="OP-S-106"/>
    <x v="3"/>
    <s v="Sin Auxiliar"/>
    <x v="119"/>
    <d v="2025-09-22T00:00:00"/>
    <n v="31"/>
    <x v="0"/>
    <n v="47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EDAEwASwAzADUAOAA5ADkAMwA4ADQASQBEAEUAQQAC=&amp;Tipo=2&amp;ST=1&amp;nLang=0"/>
  </r>
  <r>
    <x v="1"/>
    <s v="OP-S-013"/>
    <x v="1"/>
    <s v="Sin Auxiliar"/>
    <x v="119"/>
    <d v="2025-09-22T00:00:00"/>
    <n v="122"/>
    <x v="0"/>
    <n v="73"/>
    <n v="120"/>
    <n v="0"/>
    <n v="1"/>
    <n v="0"/>
    <n v="0"/>
    <n v="0"/>
    <n v="0"/>
    <n v="10"/>
    <n v="0"/>
    <n v="0"/>
    <n v="0"/>
    <n v="0"/>
    <n v="0"/>
    <n v="0"/>
    <n v="4"/>
    <s v="https://www.clickideacore.com/ClickHTML5/Visit.aspx?ID=//50DAEwASwAzADUAOQA3ADgAMgA0ADQASQBEAEUAQQAD=&amp;Tipo=2&amp;ST=1&amp;nLang=0"/>
  </r>
  <r>
    <x v="2"/>
    <s v="OP-S-009"/>
    <x v="2"/>
    <s v="Sin Auxiliar"/>
    <x v="119"/>
    <d v="2025-09-22T00:00:00"/>
    <n v="35"/>
    <x v="0"/>
    <n v="36"/>
    <n v="80"/>
    <n v="0"/>
    <n v="1"/>
    <n v="0"/>
    <n v="0"/>
    <n v="0"/>
    <n v="12"/>
    <n v="0"/>
    <n v="0"/>
    <n v="0"/>
    <n v="0"/>
    <n v="0"/>
    <n v="0"/>
    <n v="0"/>
    <n v="2"/>
    <s v="https://www.clickideacore.com/ClickHTML5/Visit.aspx?ID=//59DAEwASwAzADUAOQA3ADcAMQA2ADAASQBEAEUAQQA7=&amp;Tipo=2&amp;ST=1&amp;nLang=0"/>
  </r>
  <r>
    <x v="4"/>
    <s v="OP-S-018"/>
    <x v="4"/>
    <s v="Sin Auxiliar"/>
    <x v="119"/>
    <d v="2025-09-22T00:00:00"/>
    <n v="89"/>
    <x v="0"/>
    <n v="118"/>
    <n v="75"/>
    <n v="0"/>
    <n v="0"/>
    <n v="0"/>
    <n v="0"/>
    <n v="0"/>
    <n v="0"/>
    <n v="50"/>
    <n v="0"/>
    <n v="0"/>
    <n v="0"/>
    <n v="0"/>
    <n v="0"/>
    <n v="0"/>
    <n v="2"/>
    <s v="https://www.clickideacore.com/ClickHTML5/Visit.aspx?ID=//55DAEwASwAzADUAOQA4ADAAOQAxADIASQBEAEUAQQA4=&amp;Tipo=2&amp;ST=1&amp;nLang=0"/>
  </r>
  <r>
    <x v="5"/>
    <s v="OP-S-055"/>
    <x v="5"/>
    <s v="Sin Auxiliar"/>
    <x v="119"/>
    <d v="2025-09-22T00:00:00"/>
    <n v="29"/>
    <x v="0"/>
    <n v="65"/>
    <n v="0"/>
    <n v="0"/>
    <n v="0"/>
    <n v="0"/>
    <n v="0"/>
    <n v="0"/>
    <n v="0"/>
    <n v="20"/>
    <n v="0"/>
    <n v="0"/>
    <n v="0"/>
    <n v="0"/>
    <n v="0"/>
    <n v="0"/>
    <n v="0"/>
    <s v="https://www.clickideacore.com/ClickHTML5/Visit.aspx?ID=//54DAEwASwAzADUAOQA4ADYAMwA2ADEASQBEAEUAQQA9=&amp;Tipo=2&amp;ST=1&amp;nLang=0"/>
  </r>
  <r>
    <x v="6"/>
    <s v="OP-S-R-001"/>
    <x v="18"/>
    <s v="Sin Auxiliar"/>
    <x v="119"/>
    <d v="2025-09-22T00:00:00"/>
    <n v="62"/>
    <x v="0"/>
    <n v="38"/>
    <n v="0"/>
    <n v="0"/>
    <n v="0"/>
    <n v="0"/>
    <n v="0"/>
    <n v="0"/>
    <n v="0"/>
    <n v="38"/>
    <n v="0"/>
    <n v="0"/>
    <n v="0"/>
    <n v="0"/>
    <n v="0"/>
    <n v="0"/>
    <n v="0"/>
    <s v="https://www.clickideacore.com/ClickHTML5/Visit.aspx?ID=//53DAEwASwAzADUAOQA4ADAAMAAxADYASQBEAEUAQQA4=&amp;Tipo=2&amp;ST=1&amp;nLang=0"/>
  </r>
  <r>
    <x v="7"/>
    <s v="OP-S-010"/>
    <x v="18"/>
    <s v="Sin Auxiliar"/>
    <x v="119"/>
    <d v="2025-09-22T00:00:00"/>
    <n v="130"/>
    <x v="0"/>
    <n v="9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OQA3ADYAOAA0ADkASQBEAEUAQQAD=&amp;Tipo=2&amp;ST=1&amp;nLang=0"/>
  </r>
  <r>
    <x v="20"/>
    <s v="OP-S-010"/>
    <x v="18"/>
    <s v="Sin Auxiliar"/>
    <x v="119"/>
    <d v="2025-09-22T00:00:00"/>
    <n v="130"/>
    <x v="0"/>
    <n v="92"/>
    <n v="0"/>
    <n v="0"/>
    <n v="1"/>
    <n v="0"/>
    <n v="1"/>
    <n v="0"/>
    <n v="0"/>
    <n v="0"/>
    <n v="0"/>
    <n v="0"/>
    <n v="0"/>
    <n v="0"/>
    <n v="0"/>
    <n v="0"/>
    <n v="0"/>
    <s v="https://www.clickideacore.com/ClickHTML5/Visit.aspx?ID=//5EDAEwASwAzADUAOQA3ADYAOAA0ADkASQBEAEUAQQAD=&amp;Tipo=2&amp;ST=1&amp;nLang=0"/>
  </r>
  <r>
    <x v="8"/>
    <s v="OP-S-004"/>
    <x v="8"/>
    <s v="Sin Auxiliar"/>
    <x v="119"/>
    <d v="2025-09-22T00:00:00"/>
    <n v="29"/>
    <x v="0"/>
    <n v="104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3DAEwASwAzADUAOAA2ADUAOAA2ADUASQBEAEUAQQAF=&amp;Tipo=2&amp;ST=1&amp;nLang=0"/>
  </r>
  <r>
    <x v="9"/>
    <s v="OP-S-001"/>
    <x v="9"/>
    <s v="Sin Auxiliar"/>
    <x v="119"/>
    <d v="2025-09-22T00:00:00"/>
    <n v="27"/>
    <x v="0"/>
    <n v="18"/>
    <n v="0"/>
    <n v="0"/>
    <n v="1"/>
    <n v="0"/>
    <n v="0"/>
    <n v="0"/>
    <n v="0"/>
    <n v="0"/>
    <n v="0"/>
    <n v="0"/>
    <n v="0"/>
    <n v="0"/>
    <n v="0"/>
    <n v="0"/>
    <n v="0"/>
    <s v="https://www.clickideacore.com/ClickHTML5/Visit.aspx?ID=//50DAEwASwAzADUAOAA5ADkAMgA0ADYASQBEAEUAQQAF=&amp;Tipo=2&amp;ST=1&amp;nLang=0"/>
  </r>
  <r>
    <x v="12"/>
    <s v="OP-S-70"/>
    <x v="12"/>
    <s v="Sin Auxiliar"/>
    <x v="119"/>
    <d v="2025-09-22T00:00:00"/>
    <n v="29"/>
    <x v="0"/>
    <n v="37"/>
    <n v="0"/>
    <n v="0"/>
    <n v="1"/>
    <n v="0"/>
    <n v="0"/>
    <n v="0"/>
    <n v="0"/>
    <n v="37"/>
    <n v="0"/>
    <n v="0"/>
    <n v="0"/>
    <n v="0"/>
    <n v="0"/>
    <n v="0"/>
    <n v="0"/>
    <s v="https://www.clickideacore.com/ClickHTML5/Visit.aspx?ID=//56DAEwASwAzADUAOAA1ADAANAA5ADMASQBEAEUAQQA3=&amp;Tipo=2&amp;ST=1&amp;nLang=0"/>
  </r>
  <r>
    <x v="19"/>
    <s v="OP-S-126"/>
    <x v="18"/>
    <s v="Sin Auxiliar"/>
    <x v="119"/>
    <d v="2025-09-22T00:00:00"/>
    <n v="70"/>
    <x v="0"/>
    <n v="60"/>
    <n v="95"/>
    <n v="0"/>
    <n v="0"/>
    <n v="0"/>
    <n v="0"/>
    <n v="0"/>
    <n v="0"/>
    <n v="0"/>
    <n v="0"/>
    <n v="0"/>
    <n v="0"/>
    <n v="0"/>
    <n v="0"/>
    <n v="0"/>
    <n v="1"/>
    <s v="https://www.clickideacore.com/ClickHTML5/Visit.aspx?ID=//5BDAEwASwAzADUAOQA4ADgAMAA3ADUASQBEAEUAQQA6=&amp;Tipo=2&amp;ST=1&amp;nLang=0"/>
  </r>
  <r>
    <x v="13"/>
    <s v="OP-S-060"/>
    <x v="13"/>
    <s v="Sin Auxiliar"/>
    <x v="119"/>
    <d v="2025-09-22T00:00:00"/>
    <n v="64"/>
    <x v="0"/>
    <n v="38"/>
    <n v="0"/>
    <n v="0"/>
    <n v="0"/>
    <n v="0"/>
    <n v="1"/>
    <n v="0"/>
    <n v="0"/>
    <n v="0"/>
    <n v="0"/>
    <n v="0"/>
    <n v="0"/>
    <n v="0"/>
    <n v="0"/>
    <n v="0"/>
    <n v="0"/>
    <s v="https://www.clickideacore.com/ClickHTML5/Visit.aspx?ID=//5CDAEwASwAzADUAOQA4ADAAMgA1ADYASQBEAEUAQQA4=&amp;Tipo=2&amp;ST=1&amp;nLang=0"/>
  </r>
  <r>
    <x v="14"/>
    <s v="OP-S-011"/>
    <x v="14"/>
    <s v="Sin Auxiliar"/>
    <x v="119"/>
    <d v="2025-09-22T00:00:00"/>
    <n v="39"/>
    <x v="0"/>
    <n v="57"/>
    <n v="0"/>
    <n v="0"/>
    <n v="0"/>
    <n v="0"/>
    <n v="0"/>
    <n v="0"/>
    <n v="0"/>
    <n v="2"/>
    <n v="0"/>
    <n v="0"/>
    <n v="0"/>
    <n v="0"/>
    <n v="0"/>
    <n v="0"/>
    <n v="0"/>
    <s v="https://www.clickideacore.com/ClickHTML5/Visit.aspx?ID=//50DAEwASwAzADUAOQA4ADYANgAyADcASQBEAEUAQQA1=&amp;Tipo=2&amp;ST=1&amp;nLang=0"/>
  </r>
  <r>
    <x v="17"/>
    <s v="OP-S-0010"/>
    <x v="10"/>
    <s v="Sin Auxiliar"/>
    <x v="119"/>
    <d v="2025-09-22T00:00:00"/>
    <n v="79"/>
    <x v="0"/>
    <n v="72"/>
    <n v="51"/>
    <n v="0"/>
    <n v="1"/>
    <n v="0"/>
    <n v="0"/>
    <n v="0"/>
    <n v="0"/>
    <n v="4"/>
    <n v="0"/>
    <n v="0"/>
    <n v="0"/>
    <n v="0"/>
    <n v="0"/>
    <n v="0"/>
    <n v="1"/>
    <s v="https://www.clickideacore.com/ClickHTML5/Visit.aspx?ID=//52DAEwASwAzADUAOQA4ADYAOQA0ADkASQBEAEUAQQA5=&amp;Tipo=2&amp;ST=1&amp;nLang=0"/>
  </r>
  <r>
    <x v="27"/>
    <s v="OP-S-054"/>
    <x v="23"/>
    <s v="Sin Auxiliar"/>
    <x v="119"/>
    <d v="2025-09-22T00:00:00"/>
    <n v="76"/>
    <x v="0"/>
    <n v="53"/>
    <n v="125"/>
    <n v="0"/>
    <n v="1"/>
    <n v="0"/>
    <n v="0"/>
    <n v="0"/>
    <n v="0"/>
    <n v="0"/>
    <n v="0"/>
    <n v="0"/>
    <n v="0"/>
    <n v="0"/>
    <n v="0"/>
    <n v="0"/>
    <n v="4"/>
    <s v="https://www.clickideacore.com/ClickHTML5/Visit.aspx?ID=//52DAEwASwAzADUAOQA3ADYAOQAwADMASQBEAEUAQQA7=&amp;Tipo=2&amp;ST=1&amp;nLang=0"/>
  </r>
  <r>
    <x v="23"/>
    <s v="OP-S-055"/>
    <x v="0"/>
    <s v="Sin Auxiliar"/>
    <x v="119"/>
    <d v="2025-09-22T00:00:00"/>
    <n v="76"/>
    <x v="16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2DAEwASwAzADUAOQA3ADYAOQAwADMASQBEAEUAQQA7=&amp;Tipo=2&amp;ST=1&amp;nLang=0"/>
  </r>
  <r>
    <x v="3"/>
    <s v="OP-S-057"/>
    <x v="18"/>
    <s v="Sin Auxiliar"/>
    <x v="119"/>
    <d v="2025-09-22T00:00:00"/>
    <n v="23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10"/>
    <s v="OP-S-056"/>
    <x v="18"/>
    <s v="Sin Auxiliar"/>
    <x v="119"/>
    <d v="2025-09-22T00:00:00"/>
    <n v="24"/>
    <x v="15"/>
    <n v="0"/>
    <n v="0"/>
    <n v="0"/>
    <n v="0"/>
    <n v="0"/>
    <n v="0"/>
    <n v="0"/>
    <n v="0"/>
    <n v="0"/>
    <n v="0"/>
    <n v="0"/>
    <n v="0"/>
    <n v="0"/>
    <n v="0"/>
    <n v="0"/>
    <n v="0"/>
    <s v="https://www.clickideacore.com/ClickHTML5/Visit.aspx?ID=//5BDAEwASwAzADUAOAAzADUANQAxADEASQBEAEUAQQAF=&amp;Tipo=2&amp;ST=1&amp;nLang=0"/>
  </r>
  <r>
    <x v="30"/>
    <m/>
    <x v="32"/>
    <m/>
    <x v="120"/>
    <m/>
    <m/>
    <x v="17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153F6-E3D0-4445-8063-A480BDCB1DF4}" name="TablaDinámica1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.">
  <location ref="A3:V38" firstHeaderRow="1" firstDataRow="3" firstDataCol="1"/>
  <pivotFields count="27">
    <pivotField axis="axisRow" showAll="0">
      <items count="42">
        <item h="1" x="0"/>
        <item h="1" x="1"/>
        <item h="1" x="2"/>
        <item h="1" x="3"/>
        <item h="1" x="4"/>
        <item h="1" x="5"/>
        <item h="1" x="19"/>
        <item h="1" x="20"/>
        <item h="1" x="6"/>
        <item h="1" m="1" x="40"/>
        <item h="1" x="7"/>
        <item h="1" x="8"/>
        <item h="1" x="9"/>
        <item h="1" m="1" x="36"/>
        <item h="1" x="10"/>
        <item h="1" x="11"/>
        <item h="1" x="12"/>
        <item x="13"/>
        <item h="1" x="14"/>
        <item h="1" x="17"/>
        <item h="1" x="18"/>
        <item h="1" m="1" x="37"/>
        <item h="1" x="15"/>
        <item h="1" x="27"/>
        <item h="1" x="16"/>
        <item h="1" x="30"/>
        <item h="1" m="1" x="38"/>
        <item h="1" x="22"/>
        <item h="1" m="1" x="39"/>
        <item h="1" x="21"/>
        <item h="1" m="1" x="35"/>
        <item h="1" m="1" x="32"/>
        <item h="1" m="1" x="34"/>
        <item h="1" m="1" x="31"/>
        <item h="1" m="1" x="33"/>
        <item h="1" x="29"/>
        <item h="1" x="23"/>
        <item h="1" x="24"/>
        <item h="1" x="25"/>
        <item h="1" x="26"/>
        <item h="1" x="28"/>
        <item t="default"/>
      </items>
    </pivotField>
    <pivotField showAll="0"/>
    <pivotField showAll="0"/>
    <pivotField showAll="0"/>
    <pivotField numFmtId="164" showAll="0">
      <items count="152"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x="120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4" showAll="0"/>
    <pivotField showAll="0"/>
    <pivotField axis="axisCol" showAll="0">
      <items count="20">
        <item x="0"/>
        <item x="17"/>
        <item m="1" x="18"/>
        <item x="4"/>
        <item x="3"/>
        <item x="5"/>
        <item x="7"/>
        <item x="6"/>
        <item x="1"/>
        <item x="2"/>
        <item x="8"/>
        <item x="10"/>
        <item x="9"/>
        <item x="11"/>
        <item x="12"/>
        <item x="13"/>
        <item x="14"/>
        <item x="15"/>
        <item x="1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Col" showAll="0" defaultSubtotal="0">
      <items count="368">
        <item sd="0" x="31"/>
        <item sd="0" x="366"/>
        <item x="235"/>
        <item x="236"/>
        <item x="237"/>
        <item x="238"/>
        <item x="239"/>
        <item x="240"/>
        <item x="241"/>
        <item x="242"/>
        <item x="243"/>
        <item x="244"/>
        <item sd="0" x="304"/>
        <item sd="0" x="335"/>
        <item x="151"/>
        <item sd="0" x="90"/>
        <item x="182"/>
        <item sd="0" x="303"/>
        <item sd="0" x="334"/>
        <item x="150"/>
        <item sd="0" x="89"/>
        <item x="181"/>
        <item x="204"/>
        <item x="205"/>
        <item x="206"/>
        <item x="207"/>
        <item x="208"/>
        <item x="209"/>
        <item x="210"/>
        <item x="211"/>
        <item sd="0" x="60"/>
        <item sd="0" x="29"/>
        <item sd="0" x="364"/>
        <item x="120"/>
        <item sd="0" x="302"/>
        <item sd="0" x="333"/>
        <item x="149"/>
        <item sd="0" x="88"/>
        <item x="180"/>
        <item sd="0" x="59"/>
        <item sd="0" x="28"/>
        <item sd="0" x="363"/>
        <item x="119"/>
        <item sd="0" x="301"/>
        <item sd="0" x="332"/>
        <item x="148"/>
        <item sd="0" x="87"/>
        <item x="179"/>
        <item sd="0" x="58"/>
        <item sd="0" x="27"/>
        <item sd="0" x="362"/>
        <item x="118"/>
        <item sd="0" x="300"/>
        <item sd="0" x="331"/>
        <item x="147"/>
        <item sd="0" x="86"/>
        <item x="178"/>
        <item sd="0" x="57"/>
        <item sd="0" x="26"/>
        <item sd="0" x="361"/>
        <item x="117"/>
        <item sd="0" x="299"/>
        <item sd="0" x="330"/>
        <item x="146"/>
        <item sd="0" x="85"/>
        <item x="177"/>
        <item sd="0" x="56"/>
        <item sd="0" x="25"/>
        <item sd="0" x="360"/>
        <item x="116"/>
        <item sd="0" x="298"/>
        <item sd="0" x="329"/>
        <item x="145"/>
        <item sd="0" x="84"/>
        <item x="176"/>
        <item sd="0" x="55"/>
        <item sd="0" x="24"/>
        <item sd="0" x="359"/>
        <item x="115"/>
        <item sd="0" x="297"/>
        <item sd="0" x="328"/>
        <item x="144"/>
        <item sd="0" x="83"/>
        <item x="175"/>
        <item sd="0" x="54"/>
        <item sd="0" x="23"/>
        <item sd="0" x="358"/>
        <item x="114"/>
        <item sd="0" x="296"/>
        <item sd="0" x="327"/>
        <item x="143"/>
        <item sd="0" x="82"/>
        <item x="174"/>
        <item sd="0" x="53"/>
        <item sd="0" x="22"/>
        <item sd="0" x="357"/>
        <item x="113"/>
        <item sd="0" x="295"/>
        <item sd="0" x="326"/>
        <item sd="0" x="142"/>
        <item sd="0" x="81"/>
        <item x="173"/>
        <item x="203"/>
        <item sd="0" x="52"/>
        <item sd="0" x="21"/>
        <item sd="0" x="356"/>
        <item sd="0" x="112"/>
        <item sd="0" x="294"/>
        <item sd="0" x="325"/>
        <item sd="0" x="141"/>
        <item sd="0" x="80"/>
        <item x="172"/>
        <item x="202"/>
        <item sd="0" x="51"/>
        <item sd="0" x="20"/>
        <item sd="0" x="355"/>
        <item x="212"/>
        <item sd="0" x="30"/>
        <item sd="0" x="365"/>
        <item x="121"/>
        <item x="213"/>
        <item sd="0" x="293"/>
        <item sd="0" x="324"/>
        <item sd="0" x="140"/>
        <item sd="0" x="79"/>
        <item x="171"/>
        <item x="201"/>
        <item sd="0" x="50"/>
        <item sd="0" x="19"/>
        <item sd="0" x="354"/>
        <item sd="0" x="305"/>
        <item x="152"/>
        <item sd="0" x="91"/>
        <item sd="0" x="110"/>
        <item sd="0" x="292"/>
        <item sd="0" x="323"/>
        <item sd="0" x="139"/>
        <item sd="0" x="78"/>
        <item x="170"/>
        <item x="200"/>
        <item sd="0" x="49"/>
        <item sd="0" x="18"/>
        <item sd="0" x="353"/>
        <item sd="0" x="109"/>
        <item sd="0" x="291"/>
        <item sd="0" x="322"/>
        <item sd="0" x="138"/>
        <item sd="0" x="77"/>
        <item x="169"/>
        <item x="199"/>
        <item sd="0" x="48"/>
        <item sd="0" x="17"/>
        <item sd="0" x="352"/>
        <item sd="0" x="108"/>
        <item sd="0" x="290"/>
        <item sd="0" x="321"/>
        <item sd="0" x="137"/>
        <item sd="0" x="76"/>
        <item x="168"/>
        <item x="198"/>
        <item sd="0" x="47"/>
        <item sd="0" x="16"/>
        <item sd="0" x="351"/>
        <item sd="0" x="107"/>
        <item sd="0" x="289"/>
        <item sd="0" x="320"/>
        <item sd="0" x="136"/>
        <item sd="0" x="75"/>
        <item x="167"/>
        <item x="197"/>
        <item sd="0" x="46"/>
        <item sd="0" x="15"/>
        <item sd="0" x="350"/>
        <item sd="0" x="106"/>
        <item sd="0" x="288"/>
        <item sd="0" x="319"/>
        <item sd="0" x="135"/>
        <item sd="0" x="74"/>
        <item x="166"/>
        <item x="196"/>
        <item sd="0" x="45"/>
        <item sd="0" x="14"/>
        <item sd="0" x="349"/>
        <item sd="0" x="105"/>
        <item sd="0" x="287"/>
        <item sd="0" x="318"/>
        <item sd="0" x="134"/>
        <item sd="0" x="73"/>
        <item x="165"/>
        <item x="195"/>
        <item sd="0" x="44"/>
        <item sd="0" x="13"/>
        <item sd="0" x="348"/>
        <item sd="0" x="104"/>
        <item sd="0" x="286"/>
        <item sd="0" x="317"/>
        <item sd="0" x="133"/>
        <item sd="0" x="72"/>
        <item x="164"/>
        <item x="194"/>
        <item sd="0" x="43"/>
        <item sd="0" x="12"/>
        <item sd="0" x="347"/>
        <item sd="0" x="103"/>
        <item sd="0" x="285"/>
        <item sd="0" x="316"/>
        <item sd="0" x="132"/>
        <item sd="0" x="71"/>
        <item x="163"/>
        <item x="193"/>
        <item sd="0" x="42"/>
        <item sd="0" x="11"/>
        <item sd="0" x="346"/>
        <item sd="0" x="102"/>
        <item sd="0" x="284"/>
        <item sd="0" x="315"/>
        <item sd="0" x="131"/>
        <item sd="0" x="70"/>
        <item x="162"/>
        <item x="192"/>
        <item sd="0" x="41"/>
        <item sd="0" x="10"/>
        <item sd="0" x="345"/>
        <item x="223"/>
        <item sd="0" x="101"/>
        <item x="224"/>
        <item x="225"/>
        <item x="226"/>
        <item x="227"/>
        <item x="228"/>
        <item x="229"/>
        <item x="230"/>
        <item x="231"/>
        <item x="232"/>
        <item x="233"/>
        <item sd="0" x="111"/>
        <item x="234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-2"/>
  </rowFields>
  <rowItems count="33">
    <i>
      <x v="1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</rowItems>
  <colFields count="2">
    <field x="25"/>
    <field x="7"/>
  </colFields>
  <colItems count="21">
    <i>
      <x v="2"/>
      <x/>
    </i>
    <i>
      <x v="5"/>
      <x/>
    </i>
    <i>
      <x v="6"/>
      <x/>
    </i>
    <i>
      <x v="7"/>
      <x/>
    </i>
    <i>
      <x v="8"/>
      <x/>
    </i>
    <i>
      <x v="9"/>
      <x/>
    </i>
    <i>
      <x v="310"/>
      <x/>
    </i>
    <i>
      <x v="311"/>
      <x/>
    </i>
    <i>
      <x v="312"/>
      <x/>
    </i>
    <i>
      <x v="313"/>
      <x/>
    </i>
    <i>
      <x v="314"/>
      <x/>
    </i>
    <i>
      <x v="317"/>
      <x/>
    </i>
    <i>
      <x v="318"/>
      <x v="13"/>
    </i>
    <i>
      <x v="319"/>
      <x/>
    </i>
    <i>
      <x v="320"/>
      <x/>
    </i>
    <i>
      <x v="321"/>
      <x/>
    </i>
    <i>
      <x v="322"/>
      <x/>
    </i>
    <i>
      <x v="324"/>
      <x/>
    </i>
    <i>
      <x v="325"/>
      <x/>
    </i>
    <i>
      <x v="326"/>
      <x/>
    </i>
    <i t="grand">
      <x/>
    </i>
  </colItems>
  <dataFields count="16">
    <dataField name="Suma de Aseo" fld="8" baseField="0" baseItem="0"/>
    <dataField name="Suma de Secado" fld="9" baseField="0" baseItem="0"/>
    <dataField name="Suma de Despacho / Retiro" fld="10" baseField="0" baseItem="0"/>
    <dataField name="Suma de Entrada &lt; 07:30" fld="11" baseField="0" baseItem="0"/>
    <dataField name="Suma de Salida &gt; 19:30" fld="12" baseField="0" baseItem="0"/>
    <dataField name="Suma de Fuera Radio Normal" fld="13" baseField="0" baseItem="0"/>
    <dataField name="Suma de Fuera Radio V Región" fld="14" baseField="0" baseItem="0"/>
    <dataField name="Suma de Entrega Kit" fld="15" baseField="0" baseItem="0"/>
    <dataField name="Suma de Carga Lavamanos" fld="16" baseField="0" baseItem="0"/>
    <dataField name="Suma de Sabado" fld="17" baseField="0" baseItem="0"/>
    <dataField name="Suma de Domingo" fld="18" baseField="0" baseItem="0"/>
    <dataField name="Suma de Aseo Fin de Semana" fld="19" baseField="0" baseItem="0"/>
    <dataField name="Suma de Secado Fin de Semana" fld="20" baseField="0" baseItem="0"/>
    <dataField name="Suma de Sabado &gt; 16:00" fld="21" baseField="0" baseItem="0"/>
    <dataField name="Suma de Domingo &gt; 16:00" fld="22" baseField="0" baseItem="0"/>
    <dataField name="Suma de Succión Riles (M3)" fld="23" baseField="0" baseItem="0"/>
  </dataFields>
  <formats count="114">
    <format dxfId="148">
      <pivotArea dataOnly="0" labelOnly="1" fieldPosition="0">
        <references count="2">
          <reference field="7" count="1">
            <x v="0"/>
          </reference>
          <reference field="25" count="1" selected="0">
            <x v="96"/>
          </reference>
        </references>
      </pivotArea>
    </format>
    <format dxfId="147">
      <pivotArea dataOnly="0" labelOnly="1" fieldPosition="0">
        <references count="2">
          <reference field="7" count="1">
            <x v="0"/>
          </reference>
          <reference field="25" count="1" selected="0">
            <x v="87"/>
          </reference>
        </references>
      </pivotArea>
    </format>
    <format dxfId="146">
      <pivotArea dataOnly="0" labelOnly="1" fieldPosition="0">
        <references count="2">
          <reference field="7" count="1">
            <x v="0"/>
          </reference>
          <reference field="25" count="1" selected="0">
            <x v="78"/>
          </reference>
        </references>
      </pivotArea>
    </format>
    <format dxfId="145">
      <pivotArea dataOnly="0" labelOnly="1" fieldPosition="0">
        <references count="2">
          <reference field="7" count="1">
            <x v="0"/>
          </reference>
          <reference field="25" count="1" selected="0">
            <x v="69"/>
          </reference>
        </references>
      </pivotArea>
    </format>
    <format dxfId="144">
      <pivotArea dataOnly="0" labelOnly="1" fieldPosition="0">
        <references count="2">
          <reference field="7" count="1">
            <x v="0"/>
          </reference>
          <reference field="25" count="1" selected="0">
            <x v="60"/>
          </reference>
        </references>
      </pivotArea>
    </format>
    <format dxfId="143">
      <pivotArea dataOnly="0" labelOnly="1" fieldPosition="0">
        <references count="2">
          <reference field="7" count="1">
            <x v="0"/>
          </reference>
          <reference field="25" count="1" selected="0">
            <x v="51"/>
          </reference>
        </references>
      </pivotArea>
    </format>
    <format dxfId="142">
      <pivotArea dataOnly="0" labelOnly="1" fieldPosition="0">
        <references count="2">
          <reference field="7" count="1">
            <x v="0"/>
          </reference>
          <reference field="25" count="1" selected="0">
            <x v="42"/>
          </reference>
        </references>
      </pivotArea>
    </format>
    <format dxfId="141">
      <pivotArea dataOnly="0" labelOnly="1" fieldPosition="0">
        <references count="2">
          <reference field="7" count="1">
            <x v="0"/>
          </reference>
          <reference field="25" count="1" selected="0">
            <x v="33"/>
          </reference>
        </references>
      </pivotArea>
    </format>
    <format dxfId="140">
      <pivotArea dataOnly="0" labelOnly="1" fieldPosition="0">
        <references count="2">
          <reference field="7" count="1">
            <x v="0"/>
          </reference>
          <reference field="25" count="1" selected="0">
            <x v="119"/>
          </reference>
        </references>
      </pivotArea>
    </format>
    <format dxfId="139">
      <pivotArea dataOnly="0" labelOnly="1" fieldPosition="0">
        <references count="1">
          <reference field="25" count="9">
            <x v="33"/>
            <x v="42"/>
            <x v="51"/>
            <x v="60"/>
            <x v="69"/>
            <x v="78"/>
            <x v="87"/>
            <x v="96"/>
            <x v="119"/>
          </reference>
        </references>
      </pivotArea>
    </format>
    <format dxfId="138">
      <pivotArea dataOnly="0" labelOnly="1" fieldPosition="0">
        <references count="1">
          <reference field="25" count="20">
            <x v="14"/>
            <x v="19"/>
            <x v="36"/>
            <x v="45"/>
            <x v="54"/>
            <x v="63"/>
            <x v="72"/>
            <x v="81"/>
            <x v="90"/>
            <x v="125"/>
            <x v="131"/>
            <x v="138"/>
            <x v="148"/>
            <x v="158"/>
            <x v="168"/>
            <x v="178"/>
            <x v="188"/>
            <x v="198"/>
            <x v="208"/>
            <x v="218"/>
          </reference>
        </references>
      </pivotArea>
    </format>
    <format dxfId="137">
      <pivotArea dataOnly="0" labelOnly="1" fieldPosition="0">
        <references count="2">
          <reference field="7" count="2">
            <x v="0"/>
            <x v="4"/>
          </reference>
          <reference field="25" count="1" selected="0">
            <x v="90"/>
          </reference>
        </references>
      </pivotArea>
    </format>
    <format dxfId="136">
      <pivotArea dataOnly="0" labelOnly="1" fieldPosition="0">
        <references count="2">
          <reference field="7" count="1">
            <x v="0"/>
          </reference>
          <reference field="25" count="1" selected="0">
            <x v="81"/>
          </reference>
        </references>
      </pivotArea>
    </format>
    <format dxfId="135">
      <pivotArea dataOnly="0" labelOnly="1" fieldPosition="0">
        <references count="2">
          <reference field="7" count="1">
            <x v="0"/>
          </reference>
          <reference field="25" count="1" selected="0">
            <x v="72"/>
          </reference>
        </references>
      </pivotArea>
    </format>
    <format dxfId="134">
      <pivotArea dataOnly="0" labelOnly="1" fieldPosition="0">
        <references count="2">
          <reference field="7" count="1">
            <x v="0"/>
          </reference>
          <reference field="25" count="1" selected="0">
            <x v="63"/>
          </reference>
        </references>
      </pivotArea>
    </format>
    <format dxfId="133">
      <pivotArea dataOnly="0" labelOnly="1" fieldPosition="0">
        <references count="2">
          <reference field="7" count="1">
            <x v="0"/>
          </reference>
          <reference field="25" count="1" selected="0">
            <x v="54"/>
          </reference>
        </references>
      </pivotArea>
    </format>
    <format dxfId="132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45"/>
          </reference>
        </references>
      </pivotArea>
    </format>
    <format dxfId="131">
      <pivotArea dataOnly="0" labelOnly="1" fieldPosition="0">
        <references count="2">
          <reference field="7" count="1">
            <x v="0"/>
          </reference>
          <reference field="25" count="1" selected="0">
            <x v="36"/>
          </reference>
        </references>
      </pivotArea>
    </format>
    <format dxfId="130">
      <pivotArea dataOnly="0" labelOnly="1" fieldPosition="0">
        <references count="2">
          <reference field="7" count="1">
            <x v="0"/>
          </reference>
          <reference field="25" count="1" selected="0">
            <x v="19"/>
          </reference>
        </references>
      </pivotArea>
    </format>
    <format dxfId="129">
      <pivotArea dataOnly="0" labelOnly="1" fieldPosition="0">
        <references count="2">
          <reference field="7" count="2">
            <x v="0"/>
            <x v="4"/>
          </reference>
          <reference field="25" count="1" selected="0">
            <x v="14"/>
          </reference>
        </references>
      </pivotArea>
    </format>
    <format dxfId="128">
      <pivotArea dataOnly="0" labelOnly="1" fieldPosition="0">
        <references count="2">
          <reference field="7" count="1">
            <x v="0"/>
          </reference>
          <reference field="25" count="1" selected="0">
            <x v="131"/>
          </reference>
        </references>
      </pivotArea>
    </format>
    <format dxfId="127">
      <pivotArea dataOnly="0" labelOnly="1" fieldPosition="0">
        <references count="2">
          <reference field="7" count="3">
            <x v="0"/>
            <x v="4"/>
            <x v="6"/>
          </reference>
          <reference field="25" count="1" selected="0">
            <x v="218"/>
          </reference>
        </references>
      </pivotArea>
    </format>
    <format dxfId="126">
      <pivotArea dataOnly="0" labelOnly="1" fieldPosition="0">
        <references count="2">
          <reference field="7" count="1">
            <x v="0"/>
          </reference>
          <reference field="25" count="1" selected="0">
            <x v="208"/>
          </reference>
        </references>
      </pivotArea>
    </format>
    <format dxfId="125">
      <pivotArea dataOnly="0" labelOnly="1" fieldPosition="0">
        <references count="2">
          <reference field="7" count="1">
            <x v="0"/>
          </reference>
          <reference field="25" count="1" selected="0">
            <x v="198"/>
          </reference>
        </references>
      </pivotArea>
    </format>
    <format dxfId="124">
      <pivotArea dataOnly="0" labelOnly="1" fieldPosition="0">
        <references count="2">
          <reference field="7" count="1">
            <x v="0"/>
          </reference>
          <reference field="25" count="1" selected="0">
            <x v="188"/>
          </reference>
        </references>
      </pivotArea>
    </format>
    <format dxfId="123">
      <pivotArea dataOnly="0" labelOnly="1" fieldPosition="0">
        <references count="2">
          <reference field="7" count="1">
            <x v="0"/>
          </reference>
          <reference field="25" count="1" selected="0">
            <x v="178"/>
          </reference>
        </references>
      </pivotArea>
    </format>
    <format dxfId="122">
      <pivotArea dataOnly="0" labelOnly="1" fieldPosition="0">
        <references count="2">
          <reference field="7" count="1">
            <x v="0"/>
          </reference>
          <reference field="25" count="1" selected="0">
            <x v="168"/>
          </reference>
        </references>
      </pivotArea>
    </format>
    <format dxfId="121">
      <pivotArea dataOnly="0" labelOnly="1" fieldPosition="0">
        <references count="2">
          <reference field="7" count="1">
            <x v="0"/>
          </reference>
          <reference field="25" count="1" selected="0">
            <x v="158"/>
          </reference>
        </references>
      </pivotArea>
    </format>
    <format dxfId="120">
      <pivotArea dataOnly="0" labelOnly="1" fieldPosition="0">
        <references count="2">
          <reference field="7" count="1">
            <x v="0"/>
          </reference>
          <reference field="25" count="1" selected="0">
            <x v="148"/>
          </reference>
        </references>
      </pivotArea>
    </format>
    <format dxfId="119">
      <pivotArea dataOnly="0" labelOnly="1" fieldPosition="0">
        <references count="2">
          <reference field="7" count="1">
            <x v="0"/>
          </reference>
          <reference field="25" count="1" selected="0">
            <x v="138"/>
          </reference>
        </references>
      </pivotArea>
    </format>
    <format dxfId="118">
      <pivotArea dataOnly="0" labelOnly="1" fieldPosition="0">
        <references count="2">
          <reference field="7" count="3">
            <x v="0"/>
            <x v="3"/>
            <x v="4"/>
          </reference>
          <reference field="25" count="1" selected="0">
            <x v="125"/>
          </reference>
        </references>
      </pivotArea>
    </format>
    <format dxfId="117">
      <pivotArea dataOnly="0" labelOnly="1" fieldPosition="0">
        <references count="1">
          <reference field="25" count="13">
            <x v="16"/>
            <x v="21"/>
            <x v="38"/>
            <x v="47"/>
            <x v="56"/>
            <x v="65"/>
            <x v="74"/>
            <x v="83"/>
            <x v="92"/>
            <x v="189"/>
            <x v="199"/>
            <x v="209"/>
            <x v="219"/>
          </reference>
        </references>
      </pivotArea>
    </format>
    <format dxfId="116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16"/>
          </reference>
        </references>
      </pivotArea>
    </format>
    <format dxfId="115">
      <pivotArea dataOnly="0" labelOnly="1" fieldPosition="0">
        <references count="2">
          <reference field="7" count="1">
            <x v="0"/>
          </reference>
          <reference field="25" count="1" selected="0">
            <x v="21"/>
          </reference>
        </references>
      </pivotArea>
    </format>
    <format dxfId="114">
      <pivotArea dataOnly="0" labelOnly="1" fieldPosition="0">
        <references count="2">
          <reference field="7" count="1">
            <x v="0"/>
          </reference>
          <reference field="25" count="1" selected="0">
            <x v="38"/>
          </reference>
        </references>
      </pivotArea>
    </format>
    <format dxfId="113">
      <pivotArea dataOnly="0" labelOnly="1" fieldPosition="0">
        <references count="2">
          <reference field="7" count="1">
            <x v="0"/>
          </reference>
          <reference field="25" count="1" selected="0">
            <x v="47"/>
          </reference>
        </references>
      </pivotArea>
    </format>
    <format dxfId="112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56"/>
          </reference>
        </references>
      </pivotArea>
    </format>
    <format dxfId="111">
      <pivotArea dataOnly="0" labelOnly="1" fieldPosition="0">
        <references count="2">
          <reference field="7" count="1">
            <x v="0"/>
          </reference>
          <reference field="25" count="1" selected="0">
            <x v="65"/>
          </reference>
        </references>
      </pivotArea>
    </format>
    <format dxfId="110">
      <pivotArea dataOnly="0" labelOnly="1" fieldPosition="0">
        <references count="2">
          <reference field="7" count="2">
            <x v="0"/>
            <x v="7"/>
          </reference>
          <reference field="25" count="1" selected="0">
            <x v="74"/>
          </reference>
        </references>
      </pivotArea>
    </format>
    <format dxfId="109">
      <pivotArea dataOnly="0" labelOnly="1" fieldPosition="0">
        <references count="2">
          <reference field="7" count="1">
            <x v="0"/>
          </reference>
          <reference field="25" count="1" selected="0">
            <x v="83"/>
          </reference>
        </references>
      </pivotArea>
    </format>
    <format dxfId="108">
      <pivotArea dataOnly="0" labelOnly="1" fieldPosition="0">
        <references count="2">
          <reference field="7" count="1">
            <x v="0"/>
          </reference>
          <reference field="25" count="1" selected="0">
            <x v="92"/>
          </reference>
        </references>
      </pivotArea>
    </format>
    <format dxfId="107">
      <pivotArea dataOnly="0" labelOnly="1" fieldPosition="0">
        <references count="2">
          <reference field="7" count="1">
            <x v="0"/>
          </reference>
          <reference field="25" count="1" selected="0">
            <x v="189"/>
          </reference>
        </references>
      </pivotArea>
    </format>
    <format dxfId="106">
      <pivotArea dataOnly="0" labelOnly="1" fieldPosition="0">
        <references count="2">
          <reference field="7" count="1">
            <x v="0"/>
          </reference>
          <reference field="25" count="1" selected="0">
            <x v="199"/>
          </reference>
        </references>
      </pivotArea>
    </format>
    <format dxfId="105">
      <pivotArea dataOnly="0" labelOnly="1" fieldPosition="0">
        <references count="2">
          <reference field="7" count="1">
            <x v="0"/>
          </reference>
          <reference field="25" count="1" selected="0">
            <x v="209"/>
          </reference>
        </references>
      </pivotArea>
    </format>
    <format dxfId="104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219"/>
          </reference>
        </references>
      </pivotArea>
    </format>
    <format dxfId="103">
      <pivotArea dataOnly="0" labelOnly="1" fieldPosition="0">
        <references count="1">
          <reference field="25" count="13">
            <x v="16"/>
            <x v="21"/>
            <x v="38"/>
            <x v="47"/>
            <x v="56"/>
            <x v="65"/>
            <x v="74"/>
            <x v="83"/>
            <x v="92"/>
            <x v="189"/>
            <x v="199"/>
            <x v="209"/>
            <x v="219"/>
          </reference>
        </references>
      </pivotArea>
    </format>
    <format dxfId="102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16"/>
          </reference>
        </references>
      </pivotArea>
    </format>
    <format dxfId="101">
      <pivotArea dataOnly="0" labelOnly="1" fieldPosition="0">
        <references count="2">
          <reference field="7" count="1">
            <x v="0"/>
          </reference>
          <reference field="25" count="1" selected="0">
            <x v="21"/>
          </reference>
        </references>
      </pivotArea>
    </format>
    <format dxfId="100">
      <pivotArea dataOnly="0" labelOnly="1" fieldPosition="0">
        <references count="2">
          <reference field="7" count="1">
            <x v="0"/>
          </reference>
          <reference field="25" count="1" selected="0">
            <x v="38"/>
          </reference>
        </references>
      </pivotArea>
    </format>
    <format dxfId="99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56"/>
          </reference>
        </references>
      </pivotArea>
    </format>
    <format dxfId="98">
      <pivotArea dataOnly="0" labelOnly="1" fieldPosition="0">
        <references count="2">
          <reference field="7" count="2">
            <x v="0"/>
            <x v="7"/>
          </reference>
          <reference field="25" count="1" selected="0">
            <x v="74"/>
          </reference>
        </references>
      </pivotArea>
    </format>
    <format dxfId="97">
      <pivotArea dataOnly="0" labelOnly="1" fieldPosition="0">
        <references count="2">
          <reference field="7" count="1">
            <x v="0"/>
          </reference>
          <reference field="25" count="1" selected="0">
            <x v="92"/>
          </reference>
        </references>
      </pivotArea>
    </format>
    <format dxfId="96">
      <pivotArea dataOnly="0" labelOnly="1" fieldPosition="0">
        <references count="2">
          <reference field="7" count="1">
            <x v="0"/>
          </reference>
          <reference field="25" count="1" selected="0">
            <x v="189"/>
          </reference>
        </references>
      </pivotArea>
    </format>
    <format dxfId="95">
      <pivotArea dataOnly="0" labelOnly="1" fieldPosition="0">
        <references count="2">
          <reference field="7" count="1">
            <x v="0"/>
          </reference>
          <reference field="25" count="1" selected="0">
            <x v="199"/>
          </reference>
        </references>
      </pivotArea>
    </format>
    <format dxfId="94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219"/>
          </reference>
        </references>
      </pivotArea>
    </format>
    <format dxfId="93">
      <pivotArea dataOnly="0" labelOnly="1" fieldPosition="0">
        <references count="2">
          <reference field="7" count="1">
            <x v="0"/>
          </reference>
          <reference field="25" count="1" selected="0">
            <x v="149"/>
          </reference>
        </references>
      </pivotArea>
    </format>
    <format dxfId="92">
      <pivotArea dataOnly="0" labelOnly="1" fieldPosition="0">
        <references count="2">
          <reference field="7" count="1">
            <x v="0"/>
          </reference>
          <reference field="25" count="1" selected="0">
            <x v="169"/>
          </reference>
        </references>
      </pivotArea>
    </format>
    <format dxfId="91">
      <pivotArea dataOnly="0" labelOnly="1" fieldPosition="0">
        <references count="2">
          <reference field="7" count="1">
            <x v="0"/>
          </reference>
          <reference field="25" count="1" selected="0">
            <x v="209"/>
          </reference>
        </references>
      </pivotArea>
    </format>
    <format dxfId="90">
      <pivotArea dataOnly="0" labelOnly="1" fieldPosition="0">
        <references count="1">
          <reference field="25" count="18">
            <x v="16"/>
            <x v="47"/>
            <x v="56"/>
            <x v="65"/>
            <x v="74"/>
            <x v="83"/>
            <x v="102"/>
            <x v="112"/>
            <x v="126"/>
            <x v="139"/>
            <x v="149"/>
            <x v="159"/>
            <x v="169"/>
            <x v="179"/>
            <x v="189"/>
            <x v="199"/>
            <x v="209"/>
            <x v="219"/>
          </reference>
        </references>
      </pivotArea>
    </format>
    <format dxfId="89">
      <pivotArea dataOnly="0" labelOnly="1" fieldPosition="0">
        <references count="2">
          <reference field="7" count="1">
            <x v="0"/>
          </reference>
          <reference field="25" count="1" selected="0">
            <x v="56"/>
          </reference>
        </references>
      </pivotArea>
    </format>
    <format dxfId="88">
      <pivotArea dataOnly="0" labelOnly="1" fieldPosition="0">
        <references count="2">
          <reference field="7" count="1">
            <x v="3"/>
          </reference>
          <reference field="25" count="1" selected="0">
            <x v="112"/>
          </reference>
        </references>
      </pivotArea>
    </format>
    <format dxfId="87">
      <pivotArea dataOnly="0" labelOnly="1" fieldPosition="0">
        <references count="2">
          <reference field="7" count="1">
            <x v="3"/>
          </reference>
          <reference field="25" count="1" selected="0">
            <x v="102"/>
          </reference>
        </references>
      </pivotArea>
    </format>
    <format dxfId="86">
      <pivotArea dataOnly="0" labelOnly="1" fieldPosition="0">
        <references count="2">
          <reference field="7" count="1">
            <x v="3"/>
          </reference>
          <reference field="25" count="1" selected="0">
            <x v="126"/>
          </reference>
        </references>
      </pivotArea>
    </format>
    <format dxfId="85">
      <pivotArea dataOnly="0" labelOnly="1" fieldPosition="0">
        <references count="2">
          <reference field="7" count="1">
            <x v="3"/>
          </reference>
          <reference field="25" count="1" selected="0">
            <x v="139"/>
          </reference>
        </references>
      </pivotArea>
    </format>
    <format dxfId="84">
      <pivotArea dataOnly="0" labelOnly="1" fieldPosition="0">
        <references count="2">
          <reference field="7" count="1">
            <x v="3"/>
          </reference>
          <reference field="25" count="1" selected="0">
            <x v="159"/>
          </reference>
        </references>
      </pivotArea>
    </format>
    <format dxfId="83">
      <pivotArea dataOnly="0" labelOnly="1" fieldPosition="0">
        <references count="2">
          <reference field="7" count="1">
            <x v="3"/>
          </reference>
          <reference field="25" count="1" selected="0">
            <x v="179"/>
          </reference>
        </references>
      </pivotArea>
    </format>
    <format dxfId="82">
      <pivotArea dataOnly="0" labelOnly="1" fieldPosition="0">
        <references count="2">
          <reference field="7" count="1">
            <x v="0"/>
          </reference>
          <reference field="25" count="1" selected="0">
            <x v="47"/>
          </reference>
        </references>
      </pivotArea>
    </format>
    <format dxfId="81">
      <pivotArea dataOnly="0" labelOnly="1" fieldPosition="0">
        <references count="2">
          <reference field="7" count="1">
            <x v="3"/>
          </reference>
          <reference field="25" count="1" selected="0">
            <x v="16"/>
          </reference>
        </references>
      </pivotArea>
    </format>
    <format dxfId="80">
      <pivotArea dataOnly="0" labelOnly="1" fieldPosition="0">
        <references count="2">
          <reference field="7" count="1">
            <x v="3"/>
          </reference>
          <reference field="25" count="1" selected="0">
            <x v="209"/>
          </reference>
        </references>
      </pivotArea>
    </format>
    <format dxfId="79">
      <pivotArea dataOnly="0" labelOnly="1" fieldPosition="0">
        <references count="2">
          <reference field="7" count="1">
            <x v="3"/>
          </reference>
          <reference field="25" count="1" selected="0">
            <x v="199"/>
          </reference>
        </references>
      </pivotArea>
    </format>
    <format dxfId="78">
      <pivotArea dataOnly="0" labelOnly="1" fieldPosition="0">
        <references count="2">
          <reference field="7" count="1">
            <x v="3"/>
          </reference>
          <reference field="25" count="1" selected="0">
            <x v="189"/>
          </reference>
        </references>
      </pivotArea>
    </format>
    <format dxfId="77">
      <pivotArea field="0" type="button" dataOnly="0" labelOnly="1" outline="0" axis="axisRow" fieldPosition="0"/>
    </format>
    <format dxfId="76">
      <pivotArea dataOnly="0" labelOnly="1" grandCol="1" outline="0" fieldPosition="0"/>
    </format>
    <format dxfId="75">
      <pivotArea dataOnly="0" labelOnly="1" fieldPosition="0">
        <references count="2">
          <reference field="7" count="1">
            <x v="0"/>
          </reference>
          <reference field="25" count="1" selected="0">
            <x v="83"/>
          </reference>
        </references>
      </pivotArea>
    </format>
    <format dxfId="74">
      <pivotArea dataOnly="0" labelOnly="1" fieldPosition="0">
        <references count="2">
          <reference field="7" count="1">
            <x v="0"/>
          </reference>
          <reference field="25" count="1" selected="0">
            <x v="74"/>
          </reference>
        </references>
      </pivotArea>
    </format>
    <format dxfId="73">
      <pivotArea dataOnly="0" labelOnly="1" fieldPosition="0">
        <references count="2">
          <reference field="7" count="1">
            <x v="0"/>
          </reference>
          <reference field="25" count="1" selected="0">
            <x v="65"/>
          </reference>
        </references>
      </pivotArea>
    </format>
    <format dxfId="72">
      <pivotArea dataOnly="0" labelOnly="1" fieldPosition="0">
        <references count="2">
          <reference field="7" count="1">
            <x v="4"/>
          </reference>
          <reference field="25" count="1" selected="0">
            <x v="56"/>
          </reference>
        </references>
      </pivotArea>
    </format>
    <format dxfId="71">
      <pivotArea dataOnly="0" labelOnly="1" fieldPosition="0">
        <references count="2">
          <reference field="7" count="1">
            <x v="4"/>
          </reference>
          <reference field="25" count="1" selected="0">
            <x v="47"/>
          </reference>
        </references>
      </pivotArea>
    </format>
    <format dxfId="70">
      <pivotArea dataOnly="0" labelOnly="1" fieldPosition="0">
        <references count="2">
          <reference field="7" count="1">
            <x v="0"/>
          </reference>
          <reference field="25" count="1" selected="0">
            <x v="16"/>
          </reference>
        </references>
      </pivotArea>
    </format>
    <format dxfId="69">
      <pivotArea dataOnly="0" labelOnly="1" fieldPosition="0">
        <references count="2">
          <reference field="7" count="1">
            <x v="3"/>
          </reference>
          <reference field="25" count="1" selected="0">
            <x v="219"/>
          </reference>
        </references>
      </pivotArea>
    </format>
    <format dxfId="68">
      <pivotArea dataOnly="0" labelOnly="1" fieldPosition="0">
        <references count="2">
          <reference field="7" count="1">
            <x v="0"/>
          </reference>
          <reference field="25" count="1" selected="0">
            <x v="179"/>
          </reference>
        </references>
      </pivotArea>
    </format>
    <format dxfId="67">
      <pivotArea dataOnly="0" labelOnly="1" fieldPosition="0">
        <references count="2">
          <reference field="7" count="1">
            <x v="3"/>
          </reference>
          <reference field="25" count="1" selected="0">
            <x v="169"/>
          </reference>
        </references>
      </pivotArea>
    </format>
    <format dxfId="66">
      <pivotArea dataOnly="0" labelOnly="1" fieldPosition="0">
        <references count="2">
          <reference field="7" count="1">
            <x v="3"/>
          </reference>
          <reference field="25" count="1" selected="0">
            <x v="149"/>
          </reference>
        </references>
      </pivotArea>
    </format>
    <format dxfId="65">
      <pivotArea dataOnly="0" labelOnly="1" fieldPosition="0">
        <references count="2">
          <reference field="7" count="1">
            <x v="0"/>
          </reference>
          <reference field="25" count="1" selected="0">
            <x v="139"/>
          </reference>
        </references>
      </pivotArea>
    </format>
    <format dxfId="64">
      <pivotArea dataOnly="0" labelOnly="1" fieldPosition="0">
        <references count="2">
          <reference field="7" count="1">
            <x v="0"/>
          </reference>
          <reference field="25" count="1" selected="0">
            <x v="102"/>
          </reference>
        </references>
      </pivotArea>
    </format>
    <format dxfId="63">
      <pivotArea dataOnly="0" labelOnly="1" fieldPosition="0">
        <references count="1">
          <reference field="25" count="26">
            <x v="2"/>
            <x v="3"/>
            <x v="4"/>
            <x v="5"/>
            <x v="6"/>
            <x v="7"/>
            <x v="8"/>
            <x v="9"/>
            <x v="10"/>
            <x v="11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</reference>
        </references>
      </pivotArea>
    </format>
    <format dxfId="62">
      <pivotArea dataOnly="0" labelOnly="1" fieldPosition="0">
        <references count="1">
          <reference field="25" count="1">
            <x v="326"/>
          </reference>
        </references>
      </pivotArea>
    </format>
    <format dxfId="61">
      <pivotArea dataOnly="0" labelOnly="1" fieldPosition="0">
        <references count="2">
          <reference field="7" count="1">
            <x v="0"/>
          </reference>
          <reference field="25" count="1" selected="0">
            <x v="2"/>
          </reference>
        </references>
      </pivotArea>
    </format>
    <format dxfId="60">
      <pivotArea dataOnly="0" labelOnly="1" fieldPosition="0">
        <references count="2">
          <reference field="7" count="1">
            <x v="0"/>
          </reference>
          <reference field="25" count="1" selected="0">
            <x v="3"/>
          </reference>
        </references>
      </pivotArea>
    </format>
    <format dxfId="59">
      <pivotArea dataOnly="0" labelOnly="1" fieldPosition="0">
        <references count="2">
          <reference field="7" count="1">
            <x v="0"/>
          </reference>
          <reference field="25" count="1" selected="0">
            <x v="4"/>
          </reference>
        </references>
      </pivotArea>
    </format>
    <format dxfId="58">
      <pivotArea dataOnly="0" labelOnly="1" fieldPosition="0">
        <references count="2">
          <reference field="7" count="3">
            <x v="0"/>
            <x v="13"/>
            <x v="14"/>
          </reference>
          <reference field="25" count="1" selected="0">
            <x v="5"/>
          </reference>
        </references>
      </pivotArea>
    </format>
    <format dxfId="57">
      <pivotArea dataOnly="0" labelOnly="1" fieldPosition="0">
        <references count="2">
          <reference field="7" count="1">
            <x v="0"/>
          </reference>
          <reference field="25" count="1" selected="0">
            <x v="6"/>
          </reference>
        </references>
      </pivotArea>
    </format>
    <format dxfId="56">
      <pivotArea dataOnly="0" labelOnly="1" fieldPosition="0">
        <references count="2">
          <reference field="7" count="2">
            <x v="0"/>
            <x v="13"/>
          </reference>
          <reference field="25" count="1" selected="0">
            <x v="7"/>
          </reference>
        </references>
      </pivotArea>
    </format>
    <format dxfId="55">
      <pivotArea dataOnly="0" labelOnly="1" fieldPosition="0">
        <references count="2">
          <reference field="7" count="2">
            <x v="0"/>
            <x v="13"/>
          </reference>
          <reference field="25" count="1" selected="0">
            <x v="8"/>
          </reference>
        </references>
      </pivotArea>
    </format>
    <format dxfId="54">
      <pivotArea dataOnly="0" labelOnly="1" fieldPosition="0">
        <references count="2">
          <reference field="7" count="3">
            <x v="0"/>
            <x v="13"/>
            <x v="15"/>
          </reference>
          <reference field="25" count="1" selected="0">
            <x v="9"/>
          </reference>
        </references>
      </pivotArea>
    </format>
    <format dxfId="53">
      <pivotArea dataOnly="0" labelOnly="1" fieldPosition="0">
        <references count="2">
          <reference field="7" count="1">
            <x v="0"/>
          </reference>
          <reference field="25" count="1" selected="0">
            <x v="10"/>
          </reference>
        </references>
      </pivotArea>
    </format>
    <format dxfId="52">
      <pivotArea dataOnly="0" labelOnly="1" fieldPosition="0">
        <references count="2">
          <reference field="7" count="1">
            <x v="0"/>
          </reference>
          <reference field="25" count="1" selected="0">
            <x v="11"/>
          </reference>
        </references>
      </pivotArea>
    </format>
    <format dxfId="51">
      <pivotArea dataOnly="0" labelOnly="1" fieldPosition="0">
        <references count="2">
          <reference field="7" count="2">
            <x v="0"/>
            <x v="13"/>
          </reference>
          <reference field="25" count="1" selected="0">
            <x v="310"/>
          </reference>
        </references>
      </pivotArea>
    </format>
    <format dxfId="50">
      <pivotArea dataOnly="0" labelOnly="1" fieldPosition="0">
        <references count="2">
          <reference field="7" count="3">
            <x v="0"/>
            <x v="3"/>
            <x v="13"/>
          </reference>
          <reference field="25" count="1" selected="0">
            <x v="311"/>
          </reference>
        </references>
      </pivotArea>
    </format>
    <format dxfId="49">
      <pivotArea dataOnly="0" labelOnly="1" fieldPosition="0">
        <references count="2">
          <reference field="7" count="3">
            <x v="0"/>
            <x v="16"/>
            <x v="17"/>
          </reference>
          <reference field="25" count="1" selected="0">
            <x v="312"/>
          </reference>
        </references>
      </pivotArea>
    </format>
    <format dxfId="48">
      <pivotArea dataOnly="0" labelOnly="1" fieldPosition="0">
        <references count="2">
          <reference field="7" count="3">
            <x v="0"/>
            <x v="3"/>
            <x v="13"/>
          </reference>
          <reference field="25" count="1" selected="0">
            <x v="313"/>
          </reference>
        </references>
      </pivotArea>
    </format>
    <format dxfId="47">
      <pivotArea dataOnly="0" labelOnly="1" fieldPosition="0">
        <references count="2">
          <reference field="7" count="2">
            <x v="0"/>
            <x v="3"/>
          </reference>
          <reference field="25" count="1" selected="0">
            <x v="314"/>
          </reference>
        </references>
      </pivotArea>
    </format>
    <format dxfId="46">
      <pivotArea dataOnly="0" labelOnly="1" fieldPosition="0">
        <references count="2">
          <reference field="7" count="1">
            <x v="0"/>
          </reference>
          <reference field="25" count="1" selected="0">
            <x v="315"/>
          </reference>
        </references>
      </pivotArea>
    </format>
    <format dxfId="45">
      <pivotArea dataOnly="0" labelOnly="1" fieldPosition="0">
        <references count="2">
          <reference field="7" count="1">
            <x v="0"/>
          </reference>
          <reference field="25" count="1" selected="0">
            <x v="316"/>
          </reference>
        </references>
      </pivotArea>
    </format>
    <format dxfId="44">
      <pivotArea dataOnly="0" labelOnly="1" fieldPosition="0">
        <references count="2">
          <reference field="7" count="1">
            <x v="0"/>
          </reference>
          <reference field="25" count="1" selected="0">
            <x v="317"/>
          </reference>
        </references>
      </pivotArea>
    </format>
    <format dxfId="43">
      <pivotArea dataOnly="0" labelOnly="1" fieldPosition="0">
        <references count="2">
          <reference field="7" count="3">
            <x v="0"/>
            <x v="12"/>
            <x v="13"/>
          </reference>
          <reference field="25" count="1" selected="0">
            <x v="318"/>
          </reference>
        </references>
      </pivotArea>
    </format>
    <format dxfId="42">
      <pivotArea dataOnly="0" labelOnly="1" fieldPosition="0">
        <references count="2">
          <reference field="7" count="3">
            <x v="0"/>
            <x v="12"/>
            <x v="13"/>
          </reference>
          <reference field="25" count="1" selected="0">
            <x v="319"/>
          </reference>
        </references>
      </pivotArea>
    </format>
    <format dxfId="41">
      <pivotArea dataOnly="0" labelOnly="1" fieldPosition="0">
        <references count="2">
          <reference field="7" count="4">
            <x v="0"/>
            <x v="12"/>
            <x v="13"/>
            <x v="16"/>
          </reference>
          <reference field="25" count="1" selected="0">
            <x v="320"/>
          </reference>
        </references>
      </pivotArea>
    </format>
    <format dxfId="40">
      <pivotArea dataOnly="0" labelOnly="1" fieldPosition="0">
        <references count="2">
          <reference field="7" count="4">
            <x v="0"/>
            <x v="3"/>
            <x v="12"/>
            <x v="17"/>
          </reference>
          <reference field="25" count="1" selected="0">
            <x v="321"/>
          </reference>
        </references>
      </pivotArea>
    </format>
    <format dxfId="39">
      <pivotArea dataOnly="0" labelOnly="1" fieldPosition="0">
        <references count="2">
          <reference field="7" count="1">
            <x v="0"/>
          </reference>
          <reference field="25" count="1" selected="0">
            <x v="322"/>
          </reference>
        </references>
      </pivotArea>
    </format>
    <format dxfId="38">
      <pivotArea dataOnly="0" labelOnly="1" fieldPosition="0">
        <references count="2">
          <reference field="7" count="1">
            <x v="0"/>
          </reference>
          <reference field="25" count="1" selected="0">
            <x v="323"/>
          </reference>
        </references>
      </pivotArea>
    </format>
    <format dxfId="37">
      <pivotArea dataOnly="0" labelOnly="1" fieldPosition="0">
        <references count="2">
          <reference field="7" count="3">
            <x v="0"/>
            <x v="13"/>
            <x v="17"/>
          </reference>
          <reference field="25" count="1" selected="0">
            <x v="324"/>
          </reference>
        </references>
      </pivotArea>
    </format>
    <format dxfId="36">
      <pivotArea dataOnly="0" labelOnly="1" fieldPosition="0">
        <references count="2">
          <reference field="7" count="3">
            <x v="0"/>
            <x v="17"/>
            <x v="18"/>
          </reference>
          <reference field="25" count="1" selected="0">
            <x v="325"/>
          </reference>
        </references>
      </pivotArea>
    </format>
    <format dxfId="35">
      <pivotArea dataOnly="0" labelOnly="1" fieldPosition="0">
        <references count="2">
          <reference field="7" count="1">
            <x v="0"/>
          </reference>
          <reference field="25" count="1" selected="0">
            <x v="32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dateBetween" evalOrder="-1" id="6">
      <autoFilter ref="A1">
        <filterColumn colId="0">
          <customFilters and="1">
            <customFilter operator="greaterThanOrEqual" val="45891"/>
            <customFilter operator="lessThanOrEqual" val="4592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1EA1A-6FDA-47C7-BE3C-8447A055E414}" name="TablaDinámica1" cacheId="0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.">
  <location ref="A3:BH361" firstHeaderRow="1" firstDataRow="3" firstDataCol="1"/>
  <pivotFields count="27">
    <pivotField showAll="0"/>
    <pivotField showAll="0"/>
    <pivotField axis="axisRow" showAll="0">
      <items count="42">
        <item x="4"/>
        <item x="13"/>
        <item x="6"/>
        <item x="27"/>
        <item x="9"/>
        <item x="1"/>
        <item x="21"/>
        <item m="1" x="34"/>
        <item x="7"/>
        <item x="2"/>
        <item x="12"/>
        <item x="16"/>
        <item x="14"/>
        <item x="10"/>
        <item x="5"/>
        <item x="0"/>
        <item x="3"/>
        <item x="17"/>
        <item x="11"/>
        <item x="18"/>
        <item x="8"/>
        <item x="32"/>
        <item m="1" x="37"/>
        <item x="23"/>
        <item x="29"/>
        <item m="1" x="38"/>
        <item m="1" x="39"/>
        <item x="22"/>
        <item m="1" x="40"/>
        <item x="15"/>
        <item x="19"/>
        <item x="20"/>
        <item m="1" x="36"/>
        <item m="1" x="33"/>
        <item m="1" x="35"/>
        <item x="26"/>
        <item x="24"/>
        <item x="25"/>
        <item x="28"/>
        <item x="30"/>
        <item x="31"/>
        <item t="default"/>
      </items>
    </pivotField>
    <pivotField showAll="0"/>
    <pivotField numFmtId="164" showAll="0">
      <items count="152"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x="120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4" showAll="0"/>
    <pivotField showAll="0"/>
    <pivotField axis="axisCol" showAll="0">
      <items count="20">
        <item m="1" x="18"/>
        <item x="7"/>
        <item x="3"/>
        <item x="5"/>
        <item x="0"/>
        <item x="4"/>
        <item x="17"/>
        <item x="6"/>
        <item x="1"/>
        <item x="2"/>
        <item x="8"/>
        <item x="10"/>
        <item x="9"/>
        <item x="11"/>
        <item x="12"/>
        <item x="13"/>
        <item x="14"/>
        <item x="15"/>
        <item x="1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Col" showAll="0" defaultSubtotal="0">
      <items count="368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sd="0" x="172"/>
        <item sd="0" x="173"/>
        <item x="174"/>
        <item x="175"/>
        <item x="176"/>
        <item x="177"/>
        <item x="178"/>
        <item x="179"/>
        <item x="180"/>
        <item x="181"/>
        <item x="182"/>
        <item sd="0" x="196"/>
        <item sd="0" x="197"/>
        <item sd="0" x="198"/>
        <item sd="0" x="199"/>
        <item sd="0" x="200"/>
        <item sd="0" x="201"/>
        <item sd="0" x="202"/>
        <item sd="0"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192"/>
        <item x="193"/>
        <item x="194"/>
        <item sd="0" x="195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-2"/>
  </rowFields>
  <rowItems count="356">
    <i>
      <x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2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9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0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2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3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5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19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20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23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24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27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>
      <x v="38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</rowItems>
  <colFields count="2">
    <field x="25"/>
    <field x="7"/>
  </colFields>
  <colItems count="59">
    <i>
      <x v="136"/>
      <x v="2"/>
    </i>
    <i r="1">
      <x v="3"/>
    </i>
    <i r="1">
      <x v="4"/>
    </i>
    <i r="1">
      <x v="5"/>
    </i>
    <i>
      <x v="137"/>
      <x v="3"/>
    </i>
    <i r="1">
      <x v="4"/>
    </i>
    <i r="1">
      <x v="9"/>
    </i>
    <i>
      <x v="138"/>
      <x v="2"/>
    </i>
    <i r="1">
      <x v="3"/>
    </i>
    <i r="1">
      <x v="4"/>
    </i>
    <i>
      <x v="139"/>
      <x v="4"/>
    </i>
    <i>
      <x v="140"/>
      <x v="4"/>
    </i>
    <i>
      <x v="141"/>
      <x v="4"/>
    </i>
    <i>
      <x v="142"/>
      <x v="4"/>
    </i>
    <i>
      <x v="143"/>
      <x v="3"/>
    </i>
    <i r="1">
      <x v="4"/>
    </i>
    <i r="1">
      <x v="9"/>
    </i>
    <i>
      <x v="144"/>
      <x v="4"/>
    </i>
    <i>
      <x v="145"/>
      <x v="4"/>
    </i>
    <i r="1">
      <x v="5"/>
    </i>
    <i r="1">
      <x v="10"/>
    </i>
    <i>
      <x v="146"/>
      <x v="4"/>
    </i>
    <i>
      <x v="147"/>
      <x v="4"/>
    </i>
    <i r="1">
      <x v="9"/>
    </i>
    <i>
      <x v="148"/>
      <x v="4"/>
    </i>
    <i r="1">
      <x v="5"/>
    </i>
    <i r="1">
      <x v="9"/>
    </i>
    <i>
      <x v="149"/>
      <x v="4"/>
    </i>
    <i>
      <x v="150"/>
      <x v="4"/>
    </i>
    <i>
      <x v="151"/>
      <x v="4"/>
    </i>
    <i>
      <x v="152"/>
      <x v="4"/>
    </i>
    <i>
      <x v="153"/>
      <x v="4"/>
    </i>
    <i>
      <x v="154"/>
      <x v="4"/>
    </i>
    <i r="1">
      <x v="5"/>
    </i>
    <i r="1">
      <x v="9"/>
    </i>
    <i>
      <x v="155"/>
      <x v="4"/>
    </i>
    <i r="1">
      <x v="9"/>
    </i>
    <i>
      <x v="156"/>
      <x v="4"/>
    </i>
    <i r="1">
      <x v="9"/>
    </i>
    <i>
      <x v="157"/>
      <x v="4"/>
    </i>
    <i r="1">
      <x v="11"/>
    </i>
    <i>
      <x v="301"/>
      <x v="2"/>
    </i>
    <i r="1">
      <x v="4"/>
    </i>
    <i r="1">
      <x v="9"/>
    </i>
    <i>
      <x v="302"/>
      <x v="4"/>
    </i>
    <i>
      <x v="303"/>
      <x v="4"/>
    </i>
    <i>
      <x v="304"/>
      <x v="4"/>
    </i>
    <i r="1">
      <x v="9"/>
    </i>
    <i>
      <x v="305"/>
      <x v="4"/>
    </i>
    <i r="1">
      <x v="9"/>
    </i>
    <i>
      <x v="306"/>
      <x v="4"/>
    </i>
    <i r="1">
      <x v="9"/>
    </i>
    <i>
      <x v="307"/>
      <x v="4"/>
    </i>
    <i r="1">
      <x v="12"/>
    </i>
    <i>
      <x v="308"/>
      <x v="2"/>
    </i>
    <i r="1">
      <x v="4"/>
    </i>
    <i r="1">
      <x v="9"/>
    </i>
    <i>
      <x v="309"/>
      <x v="4"/>
    </i>
    <i t="grand">
      <x/>
    </i>
  </colItems>
  <dataFields count="16">
    <dataField name="Suma de Aseo" fld="8" baseField="0" baseItem="0"/>
    <dataField name="Suma de Secado" fld="9" baseField="0" baseItem="0"/>
    <dataField name="Suma de Despacho / Retiro" fld="10" baseField="0" baseItem="0"/>
    <dataField name="Suma de Entrada &lt; 07:30" fld="11" baseField="0" baseItem="0"/>
    <dataField name="Suma de Salida &gt; 19:30" fld="12" baseField="0" baseItem="0"/>
    <dataField name="Suma de Fuera Radio Normal" fld="13" baseField="0" baseItem="0"/>
    <dataField name="Suma de Fuera Radio V Región" fld="14" baseField="0" baseItem="0"/>
    <dataField name="Suma de Entrega Kit" fld="15" baseField="0" baseItem="0"/>
    <dataField name="Suma de Carga Lavamanos" fld="16" baseField="0" baseItem="0"/>
    <dataField name="Suma de Sabado" fld="17" baseField="0" baseItem="0"/>
    <dataField name="Suma de Domingo" fld="18" baseField="0" baseItem="0"/>
    <dataField name="Suma de Aseo Fin de Semana" fld="19" baseField="0" baseItem="0"/>
    <dataField name="Suma de Secado Fin de Semana" fld="20" baseField="0" baseItem="0"/>
    <dataField name="Suma de Sabado &gt; 16:00" fld="21" baseField="0" baseItem="0"/>
    <dataField name="Suma de Domingo &gt; 16:00" fld="22" baseField="0" baseItem="0"/>
    <dataField name="Suma de Succión Riles (M3)" fld="23" baseField="0" baseItem="0"/>
  </dataFields>
  <formats count="35">
    <format dxfId="34">
      <pivotArea dataOnly="0" labelOnly="1" fieldPosition="0">
        <references count="1">
          <reference field="25" count="20"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</reference>
        </references>
      </pivotArea>
    </format>
    <format dxfId="33">
      <pivotArea dataOnly="0" labelOnly="1" fieldPosition="0">
        <references count="2">
          <reference field="7" count="2">
            <x v="2"/>
            <x v="4"/>
          </reference>
          <reference field="25" count="1" selected="0">
            <x v="97"/>
          </reference>
        </references>
      </pivotArea>
    </format>
    <format dxfId="32">
      <pivotArea dataOnly="0" labelOnly="1" fieldPosition="0">
        <references count="2">
          <reference field="7" count="1">
            <x v="4"/>
          </reference>
          <reference field="25" count="1" selected="0">
            <x v="98"/>
          </reference>
        </references>
      </pivotArea>
    </format>
    <format dxfId="31">
      <pivotArea dataOnly="0" labelOnly="1" fieldPosition="0">
        <references count="2">
          <reference field="7" count="1">
            <x v="4"/>
          </reference>
          <reference field="25" count="1" selected="0">
            <x v="99"/>
          </reference>
        </references>
      </pivotArea>
    </format>
    <format dxfId="30">
      <pivotArea dataOnly="0" labelOnly="1" fieldPosition="0">
        <references count="2">
          <reference field="7" count="1">
            <x v="4"/>
          </reference>
          <reference field="25" count="1" selected="0">
            <x v="100"/>
          </reference>
        </references>
      </pivotArea>
    </format>
    <format dxfId="29">
      <pivotArea dataOnly="0" labelOnly="1" fieldPosition="0">
        <references count="2">
          <reference field="7" count="1">
            <x v="4"/>
          </reference>
          <reference field="25" count="1" selected="0">
            <x v="101"/>
          </reference>
        </references>
      </pivotArea>
    </format>
    <format dxfId="28">
      <pivotArea dataOnly="0" labelOnly="1" fieldPosition="0">
        <references count="2">
          <reference field="7" count="2">
            <x v="4"/>
            <x v="5"/>
          </reference>
          <reference field="25" count="1" selected="0">
            <x v="102"/>
          </reference>
        </references>
      </pivotArea>
    </format>
    <format dxfId="27">
      <pivotArea dataOnly="0" labelOnly="1" fieldPosition="0">
        <references count="2">
          <reference field="7" count="1">
            <x v="4"/>
          </reference>
          <reference field="25" count="1" selected="0">
            <x v="103"/>
          </reference>
        </references>
      </pivotArea>
    </format>
    <format dxfId="26">
      <pivotArea dataOnly="0" labelOnly="1" fieldPosition="0">
        <references count="2">
          <reference field="7" count="1">
            <x v="4"/>
          </reference>
          <reference field="25" count="1" selected="0">
            <x v="104"/>
          </reference>
        </references>
      </pivotArea>
    </format>
    <format dxfId="25">
      <pivotArea dataOnly="0" labelOnly="1" fieldPosition="0">
        <references count="2">
          <reference field="7" count="2">
            <x v="2"/>
            <x v="4"/>
          </reference>
          <reference field="25" count="1" selected="0">
            <x v="105"/>
          </reference>
        </references>
      </pivotArea>
    </format>
    <format dxfId="24">
      <pivotArea dataOnly="0" labelOnly="1" fieldPosition="0">
        <references count="2">
          <reference field="7" count="1">
            <x v="4"/>
          </reference>
          <reference field="25" count="1" selected="0">
            <x v="106"/>
          </reference>
        </references>
      </pivotArea>
    </format>
    <format dxfId="23">
      <pivotArea dataOnly="0" labelOnly="1" fieldPosition="0">
        <references count="2">
          <reference field="7" count="3">
            <x v="1"/>
            <x v="2"/>
            <x v="4"/>
          </reference>
          <reference field="25" count="1" selected="0">
            <x v="107"/>
          </reference>
        </references>
      </pivotArea>
    </format>
    <format dxfId="22">
      <pivotArea dataOnly="0" labelOnly="1" fieldPosition="0">
        <references count="2">
          <reference field="7" count="1">
            <x v="4"/>
          </reference>
          <reference field="25" count="1" selected="0">
            <x v="108"/>
          </reference>
        </references>
      </pivotArea>
    </format>
    <format dxfId="21">
      <pivotArea dataOnly="0" labelOnly="1" fieldPosition="0">
        <references count="2">
          <reference field="7" count="1">
            <x v="4"/>
          </reference>
          <reference field="25" count="1" selected="0">
            <x v="109"/>
          </reference>
        </references>
      </pivotArea>
    </format>
    <format dxfId="20">
      <pivotArea dataOnly="0" labelOnly="1" fieldPosition="0">
        <references count="2">
          <reference field="7" count="1">
            <x v="4"/>
          </reference>
          <reference field="25" count="1" selected="0">
            <x v="110"/>
          </reference>
        </references>
      </pivotArea>
    </format>
    <format dxfId="19">
      <pivotArea dataOnly="0" labelOnly="1" fieldPosition="0">
        <references count="2">
          <reference field="7" count="1">
            <x v="4"/>
          </reference>
          <reference field="25" count="1" selected="0">
            <x v="111"/>
          </reference>
        </references>
      </pivotArea>
    </format>
    <format dxfId="18">
      <pivotArea dataOnly="0" labelOnly="1" fieldPosition="0">
        <references count="2">
          <reference field="7" count="1">
            <x v="4"/>
          </reference>
          <reference field="25" count="1" selected="0">
            <x v="112"/>
          </reference>
        </references>
      </pivotArea>
    </format>
    <format dxfId="17">
      <pivotArea dataOnly="0" labelOnly="1" fieldPosition="0">
        <references count="2">
          <reference field="7" count="1">
            <x v="4"/>
          </reference>
          <reference field="25" count="1" selected="0">
            <x v="113"/>
          </reference>
        </references>
      </pivotArea>
    </format>
    <format dxfId="16">
      <pivotArea dataOnly="0" labelOnly="1" fieldPosition="0">
        <references count="2">
          <reference field="7" count="1">
            <x v="4"/>
          </reference>
          <reference field="25" count="1" selected="0">
            <x v="114"/>
          </reference>
        </references>
      </pivotArea>
    </format>
    <format dxfId="15">
      <pivotArea dataOnly="0" labelOnly="1" fieldPosition="0">
        <references count="2">
          <reference field="7" count="1">
            <x v="4"/>
          </reference>
          <reference field="25" count="1" selected="0">
            <x v="115"/>
          </reference>
        </references>
      </pivotArea>
    </format>
    <format dxfId="14">
      <pivotArea dataOnly="0" labelOnly="1" fieldPosition="0">
        <references count="2">
          <reference field="7" count="3">
            <x v="2"/>
            <x v="4"/>
            <x v="5"/>
          </reference>
          <reference field="25" count="1" selected="0">
            <x v="116"/>
          </reference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1">
          <reference field="25" count="13">
            <x v="119"/>
            <x v="120"/>
            <x v="121"/>
            <x v="122"/>
            <x v="123"/>
            <x v="124"/>
            <x v="125"/>
            <x v="126"/>
            <x v="127"/>
            <x v="233"/>
            <x v="234"/>
            <x v="235"/>
            <x v="236"/>
          </reference>
        </references>
      </pivotArea>
    </format>
    <format dxfId="11">
      <pivotArea dataOnly="0" labelOnly="1" fieldPosition="0">
        <references count="2">
          <reference field="7" count="1">
            <x v="4"/>
          </reference>
          <reference field="25" count="1" selected="0">
            <x v="119"/>
          </reference>
        </references>
      </pivotArea>
    </format>
    <format dxfId="10">
      <pivotArea dataOnly="0" labelOnly="1" fieldPosition="0">
        <references count="2">
          <reference field="7" count="1">
            <x v="4"/>
          </reference>
          <reference field="25" count="1" selected="0">
            <x v="120"/>
          </reference>
        </references>
      </pivotArea>
    </format>
    <format dxfId="9">
      <pivotArea dataOnly="0" labelOnly="1" fieldPosition="0">
        <references count="2">
          <reference field="7" count="2">
            <x v="4"/>
            <x v="7"/>
          </reference>
          <reference field="25" count="1" selected="0">
            <x v="121"/>
          </reference>
        </references>
      </pivotArea>
    </format>
    <format dxfId="8">
      <pivotArea dataOnly="0" labelOnly="1" fieldPosition="0">
        <references count="2">
          <reference field="7" count="1">
            <x v="4"/>
          </reference>
          <reference field="25" count="1" selected="0">
            <x v="122"/>
          </reference>
        </references>
      </pivotArea>
    </format>
    <format dxfId="7">
      <pivotArea dataOnly="0" labelOnly="1" fieldPosition="0">
        <references count="2">
          <reference field="7" count="2">
            <x v="4"/>
            <x v="5"/>
          </reference>
          <reference field="25" count="1" selected="0">
            <x v="123"/>
          </reference>
        </references>
      </pivotArea>
    </format>
    <format dxfId="6">
      <pivotArea dataOnly="0" labelOnly="1" fieldPosition="0">
        <references count="2">
          <reference field="7" count="1">
            <x v="4"/>
          </reference>
          <reference field="25" count="1" selected="0">
            <x v="124"/>
          </reference>
        </references>
      </pivotArea>
    </format>
    <format dxfId="5">
      <pivotArea dataOnly="0" labelOnly="1" fieldPosition="0">
        <references count="2">
          <reference field="7" count="1">
            <x v="4"/>
          </reference>
          <reference field="25" count="1" selected="0">
            <x v="125"/>
          </reference>
        </references>
      </pivotArea>
    </format>
    <format dxfId="4">
      <pivotArea dataOnly="0" labelOnly="1" fieldPosition="0">
        <references count="2">
          <reference field="7" count="1">
            <x v="4"/>
          </reference>
          <reference field="25" count="1" selected="0">
            <x v="126"/>
          </reference>
        </references>
      </pivotArea>
    </format>
    <format dxfId="3">
      <pivotArea dataOnly="0" labelOnly="1" fieldPosition="0">
        <references count="2">
          <reference field="7" count="2">
            <x v="4"/>
            <x v="5"/>
          </reference>
          <reference field="25" count="1" selected="0">
            <x v="127"/>
          </reference>
        </references>
      </pivotArea>
    </format>
    <format dxfId="2">
      <pivotArea dataOnly="0" labelOnly="1" fieldPosition="0">
        <references count="2">
          <reference field="7" count="2">
            <x v="4"/>
            <x v="5"/>
          </reference>
          <reference field="25" count="1" selected="0">
            <x v="233"/>
          </reference>
        </references>
      </pivotArea>
    </format>
    <format dxfId="1">
      <pivotArea dataOnly="0" labelOnly="1" fieldPosition="0">
        <references count="2">
          <reference field="7" count="1">
            <x v="4"/>
          </reference>
          <reference field="25" count="1" selected="0">
            <x v="234"/>
          </reference>
        </references>
      </pivotArea>
    </format>
    <format dxfId="0">
      <pivotArea dataOnly="0" labelOnly="1" fieldPosition="0">
        <references count="2">
          <reference field="7" count="1">
            <x v="4"/>
          </reference>
          <reference field="25" count="1" selected="0">
            <x v="23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4" type="dateBetween" evalOrder="-1" id="2">
      <autoFilter ref="A1">
        <filterColumn colId="0">
          <customFilters and="1">
            <customFilter operator="greaterThanOrEqual" val="45860"/>
            <customFilter operator="lessThanOrEqual" val="458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lickideacore.com/ClickHTML5/Visit.aspx?ID=//5CDAEwASwAzADcAOAA2ADkANgA1ADMASQBEAEUAQQA7=&amp;Tipo=2&amp;ST=1&amp;nLang=0" TargetMode="External"/><Relationship Id="rId2" Type="http://schemas.openxmlformats.org/officeDocument/2006/relationships/hyperlink" Target="https://www.clickideacore.com/ClickHTML5/Visit.aspx?ID=//5DDAEwASwAzADUANgAxADUANAAxADgASQBEAEUAQQA4=&amp;Tipo=2&amp;ST=1&amp;nLang=0" TargetMode="External"/><Relationship Id="rId1" Type="http://schemas.openxmlformats.org/officeDocument/2006/relationships/hyperlink" Target="https://www.clickideacore.com/ClickHTML5/Visit.aspx?ID=//59DAEwASwAzADMANgA0ADkAMgA2ADQASQBEAEUAQQA3=&amp;Tipo=2&amp;ST=1&amp;nLang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6178-F4D4-4E31-9FD6-DD74DFFB4D30}">
  <dimension ref="A3:BH38"/>
  <sheetViews>
    <sheetView workbookViewId="0">
      <selection activeCell="B4" sqref="B4"/>
    </sheetView>
  </sheetViews>
  <sheetFormatPr baseColWidth="10" defaultColWidth="5.42578125" defaultRowHeight="15" x14ac:dyDescent="0.25"/>
  <cols>
    <col min="1" max="1" width="34" bestFit="1" customWidth="1"/>
    <col min="2" max="21" width="5.5703125" bestFit="1" customWidth="1"/>
    <col min="22" max="22" width="4" bestFit="1" customWidth="1"/>
    <col min="23" max="23" width="5.5703125" bestFit="1" customWidth="1"/>
    <col min="24" max="25" width="3.7109375" bestFit="1" customWidth="1"/>
    <col min="26" max="26" width="5.5703125" bestFit="1" customWidth="1"/>
    <col min="27" max="28" width="3.7109375" bestFit="1" customWidth="1"/>
    <col min="29" max="29" width="5.5703125" bestFit="1" customWidth="1"/>
    <col min="30" max="30" width="3.7109375" bestFit="1" customWidth="1"/>
    <col min="31" max="34" width="5.5703125" bestFit="1" customWidth="1"/>
    <col min="35" max="36" width="3.7109375" bestFit="1" customWidth="1"/>
    <col min="37" max="37" width="5.5703125" bestFit="1" customWidth="1"/>
    <col min="38" max="39" width="3.7109375" bestFit="1" customWidth="1"/>
    <col min="40" max="40" width="5.5703125" bestFit="1" customWidth="1"/>
    <col min="41" max="43" width="3.7109375" bestFit="1" customWidth="1"/>
    <col min="44" max="44" width="5.5703125" bestFit="1" customWidth="1"/>
    <col min="45" max="47" width="3.7109375" bestFit="1" customWidth="1"/>
    <col min="48" max="50" width="5.5703125" bestFit="1" customWidth="1"/>
    <col min="51" max="52" width="3.7109375" bestFit="1" customWidth="1"/>
    <col min="53" max="53" width="5.5703125" bestFit="1" customWidth="1"/>
    <col min="54" max="55" width="3.7109375" bestFit="1" customWidth="1"/>
    <col min="56" max="56" width="5.5703125" bestFit="1" customWidth="1"/>
    <col min="57" max="57" width="7.7109375" bestFit="1" customWidth="1"/>
    <col min="58" max="58" width="6" bestFit="1" customWidth="1"/>
    <col min="59" max="59" width="8.7109375" bestFit="1" customWidth="1"/>
    <col min="60" max="60" width="6" bestFit="1" customWidth="1"/>
    <col min="61" max="61" width="3.7109375" bestFit="1" customWidth="1"/>
    <col min="62" max="62" width="5.5703125" bestFit="1" customWidth="1"/>
    <col min="63" max="63" width="3.7109375" bestFit="1" customWidth="1"/>
    <col min="64" max="64" width="5.5703125" bestFit="1" customWidth="1"/>
    <col min="65" max="65" width="3.7109375" bestFit="1" customWidth="1"/>
    <col min="66" max="66" width="5.5703125" bestFit="1" customWidth="1"/>
    <col min="67" max="67" width="3.7109375" bestFit="1" customWidth="1"/>
    <col min="68" max="68" width="5.5703125" bestFit="1" customWidth="1"/>
    <col min="69" max="69" width="3.7109375" bestFit="1" customWidth="1"/>
    <col min="70" max="70" width="14" bestFit="1" customWidth="1"/>
    <col min="71" max="71" width="11.42578125" bestFit="1" customWidth="1"/>
    <col min="72" max="72" width="5.5703125" bestFit="1" customWidth="1"/>
    <col min="73" max="73" width="3.7109375" bestFit="1" customWidth="1"/>
    <col min="74" max="74" width="5.5703125" bestFit="1" customWidth="1"/>
    <col min="75" max="75" width="3.7109375" bestFit="1" customWidth="1"/>
    <col min="76" max="76" width="19.5703125" bestFit="1" customWidth="1"/>
    <col min="77" max="77" width="14" bestFit="1" customWidth="1"/>
    <col min="78" max="78" width="5.5703125" bestFit="1" customWidth="1"/>
    <col min="79" max="79" width="3.7109375" bestFit="1" customWidth="1"/>
    <col min="80" max="80" width="5.5703125" bestFit="1" customWidth="1"/>
    <col min="81" max="81" width="3.7109375" bestFit="1" customWidth="1"/>
    <col min="82" max="82" width="5.5703125" bestFit="1" customWidth="1"/>
    <col min="83" max="83" width="3.7109375" bestFit="1" customWidth="1"/>
    <col min="84" max="84" width="5.5703125" bestFit="1" customWidth="1"/>
    <col min="85" max="85" width="3.7109375" bestFit="1" customWidth="1"/>
    <col min="86" max="86" width="12" bestFit="1" customWidth="1"/>
    <col min="87" max="88" width="5.5703125" bestFit="1" customWidth="1"/>
    <col min="89" max="89" width="14" bestFit="1" customWidth="1"/>
    <col min="90" max="90" width="5.5703125" bestFit="1" customWidth="1"/>
    <col min="91" max="91" width="3.7109375" bestFit="1" customWidth="1"/>
    <col min="92" max="92" width="5.5703125" bestFit="1" customWidth="1"/>
    <col min="93" max="94" width="3.7109375" bestFit="1" customWidth="1"/>
    <col min="95" max="95" width="12" bestFit="1" customWidth="1"/>
    <col min="96" max="97" width="5.5703125" bestFit="1" customWidth="1"/>
    <col min="98" max="98" width="19.5703125" bestFit="1" customWidth="1"/>
    <col min="99" max="102" width="5.5703125" bestFit="1" customWidth="1"/>
    <col min="103" max="103" width="10.85546875" bestFit="1" customWidth="1"/>
    <col min="104" max="104" width="14" bestFit="1" customWidth="1"/>
    <col min="105" max="105" width="5.5703125" bestFit="1" customWidth="1"/>
    <col min="106" max="106" width="14" bestFit="1" customWidth="1"/>
    <col min="107" max="107" width="11.42578125" bestFit="1" customWidth="1"/>
    <col min="108" max="109" width="5.5703125" bestFit="1" customWidth="1"/>
    <col min="110" max="111" width="3.7109375" bestFit="1" customWidth="1"/>
    <col min="112" max="112" width="5.5703125" bestFit="1" customWidth="1"/>
    <col min="113" max="113" width="13.28515625" bestFit="1" customWidth="1"/>
    <col min="114" max="115" width="8.42578125" bestFit="1" customWidth="1"/>
    <col min="116" max="116" width="10.85546875" bestFit="1" customWidth="1"/>
    <col min="117" max="117" width="15" bestFit="1" customWidth="1"/>
    <col min="118" max="118" width="8.42578125" bestFit="1" customWidth="1"/>
    <col min="119" max="119" width="10.85546875" bestFit="1" customWidth="1"/>
    <col min="120" max="120" width="15" bestFit="1" customWidth="1"/>
    <col min="121" max="121" width="14" bestFit="1" customWidth="1"/>
    <col min="122" max="122" width="8.42578125" bestFit="1" customWidth="1"/>
    <col min="123" max="123" width="19.5703125" bestFit="1" customWidth="1"/>
    <col min="124" max="124" width="8.42578125" bestFit="1" customWidth="1"/>
    <col min="125" max="125" width="14" bestFit="1" customWidth="1"/>
    <col min="126" max="129" width="8.42578125" bestFit="1" customWidth="1"/>
    <col min="130" max="130" width="10.85546875" bestFit="1" customWidth="1"/>
    <col min="131" max="131" width="14" bestFit="1" customWidth="1"/>
    <col min="132" max="132" width="6" bestFit="1" customWidth="1"/>
  </cols>
  <sheetData>
    <row r="3" spans="1:60" x14ac:dyDescent="0.25">
      <c r="B3" s="6" t="s">
        <v>77</v>
      </c>
    </row>
    <row r="4" spans="1:60" s="9" customFormat="1" ht="66" x14ac:dyDescent="0.25">
      <c r="A4"/>
      <c r="B4" s="9" t="s">
        <v>1431</v>
      </c>
      <c r="C4" s="9" t="s">
        <v>1432</v>
      </c>
      <c r="D4" s="9" t="s">
        <v>1433</v>
      </c>
      <c r="E4" s="9" t="s">
        <v>1434</v>
      </c>
      <c r="F4" s="9" t="s">
        <v>1435</v>
      </c>
      <c r="G4" s="9" t="s">
        <v>1436</v>
      </c>
      <c r="H4" s="9" t="s">
        <v>1437</v>
      </c>
      <c r="I4" s="9" t="s">
        <v>1438</v>
      </c>
      <c r="J4" s="9" t="s">
        <v>1439</v>
      </c>
      <c r="K4" s="9" t="s">
        <v>1440</v>
      </c>
      <c r="L4" s="9" t="s">
        <v>1441</v>
      </c>
      <c r="M4" s="9" t="s">
        <v>1442</v>
      </c>
      <c r="N4" s="9" t="s">
        <v>1428</v>
      </c>
      <c r="O4" s="9" t="s">
        <v>1429</v>
      </c>
      <c r="P4" s="9" t="s">
        <v>1430</v>
      </c>
      <c r="Q4" s="9" t="s">
        <v>1443</v>
      </c>
      <c r="R4" s="9" t="s">
        <v>1444</v>
      </c>
      <c r="S4" s="9" t="s">
        <v>1445</v>
      </c>
      <c r="T4" s="9" t="s">
        <v>1446</v>
      </c>
      <c r="U4" s="9" t="s">
        <v>1447</v>
      </c>
      <c r="V4" s="9" t="s">
        <v>59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 s="9" customFormat="1" ht="80.25" x14ac:dyDescent="0.25">
      <c r="A5" s="21" t="s">
        <v>60</v>
      </c>
      <c r="B5" s="9" t="s">
        <v>28</v>
      </c>
      <c r="C5" s="9" t="s">
        <v>28</v>
      </c>
      <c r="D5" s="9" t="s">
        <v>28</v>
      </c>
      <c r="E5" s="9" t="s">
        <v>28</v>
      </c>
      <c r="F5" s="9" t="s">
        <v>28</v>
      </c>
      <c r="G5" s="9" t="s">
        <v>28</v>
      </c>
      <c r="H5" s="9" t="s">
        <v>28</v>
      </c>
      <c r="I5" s="9" t="s">
        <v>28</v>
      </c>
      <c r="J5" s="9" t="s">
        <v>28</v>
      </c>
      <c r="K5" s="9" t="s">
        <v>28</v>
      </c>
      <c r="L5" s="9" t="s">
        <v>28</v>
      </c>
      <c r="M5" s="9" t="s">
        <v>28</v>
      </c>
      <c r="N5" s="9" t="s">
        <v>1153</v>
      </c>
      <c r="O5" s="9" t="s">
        <v>28</v>
      </c>
      <c r="P5" s="9" t="s">
        <v>28</v>
      </c>
      <c r="Q5" s="9" t="s">
        <v>28</v>
      </c>
      <c r="R5" s="9" t="s">
        <v>28</v>
      </c>
      <c r="S5" s="9" t="s">
        <v>28</v>
      </c>
      <c r="T5" s="9" t="s">
        <v>28</v>
      </c>
      <c r="U5" s="9" t="s">
        <v>28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 x14ac:dyDescent="0.25">
      <c r="A6" s="7" t="s">
        <v>51</v>
      </c>
    </row>
    <row r="7" spans="1:60" x14ac:dyDescent="0.25">
      <c r="A7" s="8" t="s">
        <v>79</v>
      </c>
      <c r="B7">
        <v>56</v>
      </c>
      <c r="C7">
        <v>37</v>
      </c>
      <c r="D7">
        <v>0</v>
      </c>
      <c r="E7">
        <v>60</v>
      </c>
      <c r="F7">
        <v>39</v>
      </c>
      <c r="G7">
        <v>58</v>
      </c>
      <c r="H7">
        <v>37</v>
      </c>
      <c r="I7">
        <v>48</v>
      </c>
      <c r="J7">
        <v>53</v>
      </c>
      <c r="K7">
        <v>36</v>
      </c>
      <c r="L7">
        <v>53</v>
      </c>
      <c r="M7">
        <v>36</v>
      </c>
      <c r="N7">
        <v>0</v>
      </c>
      <c r="O7">
        <v>51</v>
      </c>
      <c r="P7">
        <v>40</v>
      </c>
      <c r="Q7">
        <v>45</v>
      </c>
      <c r="R7">
        <v>0</v>
      </c>
      <c r="S7">
        <v>40</v>
      </c>
      <c r="T7">
        <v>27</v>
      </c>
      <c r="U7">
        <v>43</v>
      </c>
      <c r="V7">
        <v>759</v>
      </c>
    </row>
    <row r="8" spans="1:60" x14ac:dyDescent="0.25">
      <c r="A8" s="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60" x14ac:dyDescent="0.25">
      <c r="A9" s="8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60" x14ac:dyDescent="0.25">
      <c r="A10" s="8" t="s">
        <v>81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8</v>
      </c>
    </row>
    <row r="11" spans="1:60" x14ac:dyDescent="0.25">
      <c r="A11" s="8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60" x14ac:dyDescent="0.25">
      <c r="A12" s="8" t="s">
        <v>63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15</v>
      </c>
    </row>
    <row r="13" spans="1:60" x14ac:dyDescent="0.25">
      <c r="A13" s="8" t="s">
        <v>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60" x14ac:dyDescent="0.25">
      <c r="A14" s="8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60" x14ac:dyDescent="0.25">
      <c r="A15" s="8" t="s">
        <v>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60" x14ac:dyDescent="0.25">
      <c r="A16" s="8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</row>
    <row r="17" spans="1:22" x14ac:dyDescent="0.25">
      <c r="A17" s="8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s="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4</v>
      </c>
    </row>
    <row r="19" spans="1:22" x14ac:dyDescent="0.25">
      <c r="A19" s="8" t="s">
        <v>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43</v>
      </c>
      <c r="S19">
        <v>0</v>
      </c>
      <c r="T19">
        <v>0</v>
      </c>
      <c r="U19">
        <v>0</v>
      </c>
      <c r="V19">
        <v>43</v>
      </c>
    </row>
    <row r="20" spans="1:22" x14ac:dyDescent="0.25">
      <c r="A20" s="8" t="s">
        <v>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</row>
    <row r="21" spans="1:22" x14ac:dyDescent="0.25">
      <c r="A21" s="8" t="s">
        <v>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s="8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s="7" t="s">
        <v>78</v>
      </c>
      <c r="B23">
        <v>56</v>
      </c>
      <c r="C23">
        <v>37</v>
      </c>
      <c r="D23">
        <v>0</v>
      </c>
      <c r="E23">
        <v>60</v>
      </c>
      <c r="F23">
        <v>39</v>
      </c>
      <c r="G23">
        <v>58</v>
      </c>
      <c r="H23">
        <v>37</v>
      </c>
      <c r="I23">
        <v>48</v>
      </c>
      <c r="J23">
        <v>53</v>
      </c>
      <c r="K23">
        <v>36</v>
      </c>
      <c r="L23">
        <v>53</v>
      </c>
      <c r="M23">
        <v>36</v>
      </c>
      <c r="N23">
        <v>0</v>
      </c>
      <c r="O23">
        <v>51</v>
      </c>
      <c r="P23">
        <v>40</v>
      </c>
      <c r="Q23">
        <v>45</v>
      </c>
      <c r="R23">
        <v>0</v>
      </c>
      <c r="S23">
        <v>40</v>
      </c>
      <c r="T23">
        <v>27</v>
      </c>
      <c r="U23">
        <v>43</v>
      </c>
      <c r="V23">
        <v>759</v>
      </c>
    </row>
    <row r="24" spans="1:22" x14ac:dyDescent="0.25">
      <c r="A24" s="7" t="s">
        <v>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s="7" t="s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s="7" t="s">
        <v>80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8</v>
      </c>
    </row>
    <row r="27" spans="1:22" x14ac:dyDescent="0.25">
      <c r="A27" s="7" t="s">
        <v>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s="7" t="s">
        <v>71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15</v>
      </c>
    </row>
    <row r="29" spans="1:22" x14ac:dyDescent="0.25">
      <c r="A29" s="7" t="s">
        <v>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s="7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s="7" t="s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s="7" t="s">
        <v>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</row>
    <row r="33" spans="1:22" x14ac:dyDescent="0.25">
      <c r="A33" s="7" t="s">
        <v>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7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</v>
      </c>
      <c r="S34">
        <v>0</v>
      </c>
      <c r="T34">
        <v>0</v>
      </c>
      <c r="U34">
        <v>0</v>
      </c>
      <c r="V34">
        <v>4</v>
      </c>
    </row>
    <row r="35" spans="1:22" x14ac:dyDescent="0.25">
      <c r="A35" s="7" t="s">
        <v>88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43</v>
      </c>
      <c r="S35">
        <v>0</v>
      </c>
      <c r="T35">
        <v>0</v>
      </c>
      <c r="U35">
        <v>0</v>
      </c>
      <c r="V35">
        <v>43</v>
      </c>
    </row>
    <row r="36" spans="1:22" x14ac:dyDescent="0.25">
      <c r="A36" s="7" t="s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</row>
    <row r="37" spans="1:22" x14ac:dyDescent="0.25">
      <c r="A37" s="7" t="s">
        <v>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s="7" t="s">
        <v>92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C6CF-99C1-469B-A45D-A9CE168996A4}">
  <dimension ref="A3:BH361"/>
  <sheetViews>
    <sheetView workbookViewId="0">
      <selection activeCell="A6" sqref="A6"/>
    </sheetView>
  </sheetViews>
  <sheetFormatPr baseColWidth="10" defaultRowHeight="15" x14ac:dyDescent="0.25"/>
  <cols>
    <col min="1" max="1" width="34" bestFit="1" customWidth="1"/>
    <col min="2" max="2" width="19.5703125" bestFit="1" customWidth="1"/>
    <col min="3" max="3" width="15" bestFit="1" customWidth="1"/>
    <col min="4" max="4" width="4" bestFit="1" customWidth="1"/>
    <col min="5" max="5" width="10.85546875" bestFit="1" customWidth="1"/>
    <col min="6" max="6" width="15" bestFit="1" customWidth="1"/>
    <col min="7" max="7" width="4" bestFit="1" customWidth="1"/>
    <col min="8" max="8" width="14" bestFit="1" customWidth="1"/>
    <col min="9" max="9" width="19.5703125" bestFit="1" customWidth="1"/>
    <col min="10" max="10" width="15" bestFit="1" customWidth="1"/>
    <col min="11" max="11" width="4" bestFit="1" customWidth="1"/>
    <col min="12" max="15" width="7.85546875" bestFit="1" customWidth="1"/>
    <col min="16" max="16" width="15" bestFit="1" customWidth="1"/>
    <col min="17" max="17" width="4" bestFit="1" customWidth="1"/>
    <col min="18" max="18" width="14" bestFit="1" customWidth="1"/>
    <col min="19" max="20" width="7.85546875" bestFit="1" customWidth="1"/>
    <col min="21" max="21" width="10.85546875" bestFit="1" customWidth="1"/>
    <col min="22" max="22" width="5.5703125" bestFit="1" customWidth="1"/>
    <col min="23" max="24" width="8.7109375" bestFit="1" customWidth="1"/>
    <col min="25" max="25" width="14" bestFit="1" customWidth="1"/>
    <col min="26" max="26" width="8.7109375" bestFit="1" customWidth="1"/>
    <col min="27" max="27" width="10.85546875" bestFit="1" customWidth="1"/>
    <col min="28" max="28" width="14" bestFit="1" customWidth="1"/>
    <col min="29" max="34" width="8.7109375" bestFit="1" customWidth="1"/>
    <col min="35" max="35" width="10.85546875" bestFit="1" customWidth="1"/>
    <col min="36" max="36" width="14" bestFit="1" customWidth="1"/>
    <col min="37" max="37" width="8.7109375" bestFit="1" customWidth="1"/>
    <col min="38" max="38" width="14" bestFit="1" customWidth="1"/>
    <col min="39" max="39" width="8.7109375" bestFit="1" customWidth="1"/>
    <col min="40" max="40" width="14" bestFit="1" customWidth="1"/>
    <col min="41" max="41" width="8.7109375" bestFit="1" customWidth="1"/>
    <col min="42" max="42" width="13.85546875" bestFit="1" customWidth="1"/>
    <col min="43" max="43" width="19.5703125" bestFit="1" customWidth="1"/>
    <col min="44" max="44" width="5" bestFit="1" customWidth="1"/>
    <col min="45" max="45" width="14" bestFit="1" customWidth="1"/>
    <col min="46" max="48" width="8.7109375" bestFit="1" customWidth="1"/>
    <col min="49" max="49" width="14" bestFit="1" customWidth="1"/>
    <col min="50" max="50" width="8.7109375" bestFit="1" customWidth="1"/>
    <col min="51" max="51" width="14" bestFit="1" customWidth="1"/>
    <col min="52" max="52" width="8.7109375" bestFit="1" customWidth="1"/>
    <col min="53" max="53" width="14" bestFit="1" customWidth="1"/>
    <col min="54" max="54" width="8.7109375" bestFit="1" customWidth="1"/>
    <col min="55" max="55" width="14.5703125" bestFit="1" customWidth="1"/>
    <col min="56" max="56" width="19.5703125" bestFit="1" customWidth="1"/>
    <col min="57" max="57" width="5" bestFit="1" customWidth="1"/>
    <col min="58" max="58" width="14" bestFit="1" customWidth="1"/>
    <col min="59" max="59" width="8.7109375" bestFit="1" customWidth="1"/>
    <col min="60" max="60" width="6" bestFit="1" customWidth="1"/>
    <col min="61" max="64" width="6.85546875" bestFit="1" customWidth="1"/>
    <col min="65" max="71" width="7.7109375" bestFit="1" customWidth="1"/>
    <col min="72" max="72" width="5" bestFit="1" customWidth="1"/>
    <col min="73" max="73" width="4" bestFit="1" customWidth="1"/>
    <col min="74" max="74" width="11.42578125" bestFit="1" customWidth="1"/>
    <col min="75" max="75" width="8.42578125" bestFit="1" customWidth="1"/>
    <col min="76" max="76" width="14" bestFit="1" customWidth="1"/>
    <col min="77" max="77" width="11.42578125" bestFit="1" customWidth="1"/>
    <col min="78" max="78" width="8.42578125" bestFit="1" customWidth="1"/>
    <col min="79" max="79" width="11.42578125" bestFit="1" customWidth="1"/>
    <col min="80" max="80" width="8.42578125" bestFit="1" customWidth="1"/>
    <col min="81" max="81" width="11.42578125" bestFit="1" customWidth="1"/>
    <col min="82" max="82" width="8.42578125" bestFit="1" customWidth="1"/>
    <col min="83" max="83" width="11.42578125" bestFit="1" customWidth="1"/>
    <col min="84" max="84" width="8.42578125" bestFit="1" customWidth="1"/>
    <col min="85" max="85" width="4" bestFit="1" customWidth="1"/>
    <col min="86" max="86" width="14" bestFit="1" customWidth="1"/>
    <col min="87" max="87" width="11.42578125" bestFit="1" customWidth="1"/>
    <col min="88" max="88" width="12.5703125" bestFit="1" customWidth="1"/>
    <col min="89" max="89" width="15.28515625" bestFit="1" customWidth="1"/>
    <col min="90" max="90" width="25" bestFit="1" customWidth="1"/>
    <col min="91" max="91" width="22.42578125" bestFit="1" customWidth="1"/>
    <col min="92" max="92" width="20.85546875" bestFit="1" customWidth="1"/>
    <col min="93" max="93" width="26.85546875" bestFit="1" customWidth="1"/>
    <col min="94" max="94" width="28.140625" bestFit="1" customWidth="1"/>
    <col min="95" max="95" width="18.7109375" bestFit="1" customWidth="1"/>
    <col min="96" max="96" width="24.28515625" bestFit="1" customWidth="1"/>
    <col min="97" max="97" width="15.42578125" bestFit="1" customWidth="1"/>
    <col min="98" max="98" width="17.140625" bestFit="1" customWidth="1"/>
    <col min="99" max="99" width="27.140625" bestFit="1" customWidth="1"/>
    <col min="100" max="100" width="29" bestFit="1" customWidth="1"/>
    <col min="101" max="101" width="22.140625" bestFit="1" customWidth="1"/>
    <col min="102" max="102" width="23.7109375" bestFit="1" customWidth="1"/>
    <col min="103" max="103" width="25.42578125" bestFit="1" customWidth="1"/>
    <col min="104" max="104" width="16.42578125" bestFit="1" customWidth="1"/>
    <col min="105" max="105" width="13.42578125" bestFit="1" customWidth="1"/>
    <col min="106" max="106" width="15.28515625" bestFit="1" customWidth="1"/>
    <col min="107" max="107" width="25" bestFit="1" customWidth="1"/>
    <col min="108" max="108" width="22.42578125" bestFit="1" customWidth="1"/>
    <col min="109" max="109" width="20.85546875" bestFit="1" customWidth="1"/>
    <col min="110" max="110" width="26.85546875" bestFit="1" customWidth="1"/>
    <col min="111" max="111" width="28.140625" bestFit="1" customWidth="1"/>
    <col min="112" max="112" width="18.7109375" bestFit="1" customWidth="1"/>
    <col min="113" max="113" width="24.28515625" bestFit="1" customWidth="1"/>
    <col min="114" max="114" width="15.42578125" bestFit="1" customWidth="1"/>
    <col min="115" max="115" width="17.140625" bestFit="1" customWidth="1"/>
    <col min="116" max="116" width="27.140625" bestFit="1" customWidth="1"/>
    <col min="117" max="117" width="29" bestFit="1" customWidth="1"/>
    <col min="118" max="118" width="22.140625" bestFit="1" customWidth="1"/>
    <col min="119" max="119" width="23.7109375" bestFit="1" customWidth="1"/>
    <col min="120" max="120" width="25.42578125" bestFit="1" customWidth="1"/>
    <col min="121" max="121" width="16.42578125" bestFit="1" customWidth="1"/>
    <col min="122" max="122" width="13.42578125" bestFit="1" customWidth="1"/>
    <col min="123" max="123" width="15.28515625" bestFit="1" customWidth="1"/>
    <col min="124" max="124" width="25" bestFit="1" customWidth="1"/>
    <col min="125" max="125" width="22.42578125" bestFit="1" customWidth="1"/>
    <col min="126" max="126" width="20.85546875" bestFit="1" customWidth="1"/>
    <col min="127" max="127" width="26.85546875" bestFit="1" customWidth="1"/>
    <col min="128" max="128" width="28.140625" bestFit="1" customWidth="1"/>
    <col min="129" max="129" width="18.7109375" bestFit="1" customWidth="1"/>
    <col min="130" max="130" width="24.28515625" bestFit="1" customWidth="1"/>
    <col min="131" max="131" width="15.42578125" bestFit="1" customWidth="1"/>
    <col min="132" max="132" width="17.140625" bestFit="1" customWidth="1"/>
    <col min="133" max="133" width="27.140625" bestFit="1" customWidth="1"/>
    <col min="134" max="134" width="29" bestFit="1" customWidth="1"/>
    <col min="135" max="135" width="22.140625" bestFit="1" customWidth="1"/>
    <col min="136" max="136" width="23.7109375" bestFit="1" customWidth="1"/>
    <col min="137" max="137" width="25.42578125" bestFit="1" customWidth="1"/>
    <col min="138" max="138" width="16.42578125" bestFit="1" customWidth="1"/>
    <col min="139" max="139" width="13.42578125" bestFit="1" customWidth="1"/>
    <col min="140" max="140" width="15.28515625" bestFit="1" customWidth="1"/>
    <col min="141" max="141" width="25" bestFit="1" customWidth="1"/>
    <col min="142" max="142" width="22.42578125" bestFit="1" customWidth="1"/>
    <col min="143" max="143" width="20.85546875" bestFit="1" customWidth="1"/>
    <col min="144" max="144" width="26.85546875" bestFit="1" customWidth="1"/>
    <col min="145" max="145" width="28.140625" bestFit="1" customWidth="1"/>
    <col min="146" max="146" width="18.7109375" bestFit="1" customWidth="1"/>
    <col min="147" max="147" width="24.28515625" bestFit="1" customWidth="1"/>
    <col min="148" max="148" width="15.42578125" bestFit="1" customWidth="1"/>
    <col min="149" max="149" width="17.140625" bestFit="1" customWidth="1"/>
    <col min="150" max="150" width="27.140625" bestFit="1" customWidth="1"/>
    <col min="151" max="151" width="29" bestFit="1" customWidth="1"/>
    <col min="152" max="152" width="22.140625" bestFit="1" customWidth="1"/>
    <col min="153" max="153" width="23.7109375" bestFit="1" customWidth="1"/>
    <col min="154" max="154" width="25.42578125" bestFit="1" customWidth="1"/>
    <col min="155" max="155" width="16.42578125" bestFit="1" customWidth="1"/>
    <col min="156" max="156" width="13.42578125" bestFit="1" customWidth="1"/>
    <col min="157" max="157" width="15.28515625" bestFit="1" customWidth="1"/>
    <col min="158" max="158" width="25" bestFit="1" customWidth="1"/>
    <col min="159" max="159" width="22.42578125" bestFit="1" customWidth="1"/>
    <col min="160" max="160" width="20.85546875" bestFit="1" customWidth="1"/>
    <col min="161" max="161" width="26.85546875" bestFit="1" customWidth="1"/>
    <col min="162" max="162" width="28.140625" bestFit="1" customWidth="1"/>
    <col min="163" max="163" width="18.7109375" bestFit="1" customWidth="1"/>
    <col min="164" max="164" width="24.28515625" bestFit="1" customWidth="1"/>
    <col min="165" max="165" width="15.42578125" bestFit="1" customWidth="1"/>
    <col min="166" max="166" width="17.140625" bestFit="1" customWidth="1"/>
    <col min="167" max="167" width="27.140625" bestFit="1" customWidth="1"/>
    <col min="168" max="168" width="29" bestFit="1" customWidth="1"/>
    <col min="169" max="169" width="22.140625" bestFit="1" customWidth="1"/>
    <col min="170" max="170" width="23.7109375" bestFit="1" customWidth="1"/>
    <col min="171" max="171" width="25.42578125" bestFit="1" customWidth="1"/>
    <col min="172" max="172" width="16.42578125" bestFit="1" customWidth="1"/>
    <col min="173" max="173" width="13.42578125" bestFit="1" customWidth="1"/>
    <col min="174" max="174" width="15.28515625" bestFit="1" customWidth="1"/>
    <col min="175" max="175" width="25" bestFit="1" customWidth="1"/>
    <col min="176" max="176" width="22.42578125" bestFit="1" customWidth="1"/>
    <col min="177" max="177" width="20.85546875" bestFit="1" customWidth="1"/>
    <col min="178" max="178" width="26.85546875" bestFit="1" customWidth="1"/>
    <col min="179" max="179" width="28.140625" bestFit="1" customWidth="1"/>
    <col min="180" max="180" width="18.7109375" bestFit="1" customWidth="1"/>
    <col min="181" max="181" width="24.28515625" bestFit="1" customWidth="1"/>
    <col min="182" max="182" width="15.42578125" bestFit="1" customWidth="1"/>
    <col min="183" max="183" width="17.140625" bestFit="1" customWidth="1"/>
    <col min="184" max="184" width="27.140625" bestFit="1" customWidth="1"/>
    <col min="185" max="185" width="29" bestFit="1" customWidth="1"/>
    <col min="186" max="186" width="22.140625" bestFit="1" customWidth="1"/>
    <col min="187" max="187" width="23.7109375" bestFit="1" customWidth="1"/>
    <col min="188" max="188" width="25.42578125" bestFit="1" customWidth="1"/>
    <col min="189" max="189" width="16.42578125" bestFit="1" customWidth="1"/>
    <col min="190" max="190" width="13.42578125" bestFit="1" customWidth="1"/>
    <col min="191" max="191" width="15.28515625" bestFit="1" customWidth="1"/>
    <col min="192" max="192" width="25" bestFit="1" customWidth="1"/>
    <col min="193" max="193" width="22.42578125" bestFit="1" customWidth="1"/>
    <col min="194" max="194" width="20.85546875" bestFit="1" customWidth="1"/>
    <col min="195" max="195" width="26.85546875" bestFit="1" customWidth="1"/>
    <col min="196" max="196" width="28.140625" bestFit="1" customWidth="1"/>
    <col min="197" max="197" width="18.7109375" bestFit="1" customWidth="1"/>
    <col min="198" max="198" width="24.28515625" bestFit="1" customWidth="1"/>
    <col min="199" max="199" width="15.42578125" bestFit="1" customWidth="1"/>
    <col min="200" max="200" width="17.140625" bestFit="1" customWidth="1"/>
    <col min="201" max="201" width="27.140625" bestFit="1" customWidth="1"/>
    <col min="202" max="202" width="29" bestFit="1" customWidth="1"/>
    <col min="203" max="203" width="22.140625" bestFit="1" customWidth="1"/>
    <col min="204" max="204" width="23.7109375" bestFit="1" customWidth="1"/>
    <col min="205" max="205" width="25.42578125" bestFit="1" customWidth="1"/>
    <col min="206" max="206" width="16.42578125" bestFit="1" customWidth="1"/>
    <col min="207" max="207" width="13.42578125" bestFit="1" customWidth="1"/>
    <col min="208" max="208" width="15.28515625" bestFit="1" customWidth="1"/>
    <col min="209" max="209" width="25" bestFit="1" customWidth="1"/>
    <col min="210" max="210" width="22.42578125" bestFit="1" customWidth="1"/>
    <col min="211" max="211" width="20.85546875" bestFit="1" customWidth="1"/>
    <col min="212" max="212" width="26.85546875" bestFit="1" customWidth="1"/>
    <col min="213" max="213" width="28.140625" bestFit="1" customWidth="1"/>
    <col min="214" max="214" width="18.7109375" bestFit="1" customWidth="1"/>
    <col min="215" max="215" width="24.28515625" bestFit="1" customWidth="1"/>
    <col min="216" max="216" width="15.42578125" bestFit="1" customWidth="1"/>
    <col min="217" max="217" width="17.140625" bestFit="1" customWidth="1"/>
    <col min="218" max="218" width="27.140625" bestFit="1" customWidth="1"/>
    <col min="219" max="219" width="29" bestFit="1" customWidth="1"/>
    <col min="220" max="220" width="22.140625" bestFit="1" customWidth="1"/>
    <col min="221" max="221" width="23.7109375" bestFit="1" customWidth="1"/>
    <col min="222" max="222" width="25.42578125" bestFit="1" customWidth="1"/>
    <col min="223" max="223" width="16.42578125" bestFit="1" customWidth="1"/>
    <col min="224" max="224" width="13.42578125" bestFit="1" customWidth="1"/>
    <col min="225" max="225" width="15.28515625" bestFit="1" customWidth="1"/>
    <col min="226" max="226" width="25" bestFit="1" customWidth="1"/>
    <col min="227" max="227" width="22.42578125" bestFit="1" customWidth="1"/>
    <col min="228" max="228" width="20.85546875" bestFit="1" customWidth="1"/>
    <col min="229" max="229" width="26.85546875" bestFit="1" customWidth="1"/>
    <col min="230" max="230" width="28.140625" bestFit="1" customWidth="1"/>
    <col min="231" max="231" width="18.7109375" bestFit="1" customWidth="1"/>
    <col min="232" max="232" width="24.28515625" bestFit="1" customWidth="1"/>
    <col min="233" max="233" width="15.42578125" bestFit="1" customWidth="1"/>
    <col min="234" max="234" width="17.140625" bestFit="1" customWidth="1"/>
    <col min="235" max="235" width="27.140625" bestFit="1" customWidth="1"/>
    <col min="236" max="236" width="29" bestFit="1" customWidth="1"/>
    <col min="237" max="237" width="22.140625" bestFit="1" customWidth="1"/>
    <col min="238" max="238" width="23.7109375" bestFit="1" customWidth="1"/>
    <col min="239" max="239" width="25.42578125" bestFit="1" customWidth="1"/>
    <col min="240" max="240" width="16.42578125" bestFit="1" customWidth="1"/>
    <col min="241" max="241" width="13.42578125" bestFit="1" customWidth="1"/>
    <col min="242" max="242" width="15.28515625" bestFit="1" customWidth="1"/>
    <col min="243" max="243" width="25" bestFit="1" customWidth="1"/>
    <col min="244" max="244" width="22.42578125" bestFit="1" customWidth="1"/>
    <col min="245" max="245" width="20.85546875" bestFit="1" customWidth="1"/>
    <col min="246" max="246" width="26.85546875" bestFit="1" customWidth="1"/>
    <col min="247" max="247" width="28.140625" bestFit="1" customWidth="1"/>
    <col min="248" max="248" width="18.7109375" bestFit="1" customWidth="1"/>
    <col min="249" max="249" width="24.28515625" bestFit="1" customWidth="1"/>
    <col min="250" max="250" width="15.42578125" bestFit="1" customWidth="1"/>
    <col min="251" max="251" width="17.140625" bestFit="1" customWidth="1"/>
    <col min="252" max="252" width="27.140625" bestFit="1" customWidth="1"/>
    <col min="253" max="253" width="29" bestFit="1" customWidth="1"/>
    <col min="254" max="254" width="22.140625" bestFit="1" customWidth="1"/>
    <col min="255" max="255" width="23.7109375" bestFit="1" customWidth="1"/>
    <col min="256" max="256" width="25.42578125" bestFit="1" customWidth="1"/>
    <col min="257" max="257" width="21.42578125" bestFit="1" customWidth="1"/>
    <col min="258" max="258" width="18.42578125" bestFit="1" customWidth="1"/>
    <col min="259" max="259" width="20.28515625" bestFit="1" customWidth="1"/>
    <col min="260" max="260" width="30" bestFit="1" customWidth="1"/>
    <col min="261" max="261" width="27.42578125" bestFit="1" customWidth="1"/>
    <col min="262" max="262" width="25.85546875" bestFit="1" customWidth="1"/>
    <col min="263" max="263" width="31.85546875" bestFit="1" customWidth="1"/>
    <col min="264" max="264" width="33.140625" bestFit="1" customWidth="1"/>
    <col min="265" max="265" width="23.7109375" bestFit="1" customWidth="1"/>
    <col min="266" max="266" width="29.28515625" bestFit="1" customWidth="1"/>
    <col min="267" max="267" width="20.42578125" bestFit="1" customWidth="1"/>
    <col min="268" max="268" width="22.140625" bestFit="1" customWidth="1"/>
    <col min="269" max="269" width="32.140625" bestFit="1" customWidth="1"/>
    <col min="270" max="270" width="34" bestFit="1" customWidth="1"/>
    <col min="271" max="271" width="27.140625" bestFit="1" customWidth="1"/>
    <col min="272" max="272" width="28.7109375" bestFit="1" customWidth="1"/>
    <col min="273" max="273" width="30.42578125" bestFit="1" customWidth="1"/>
  </cols>
  <sheetData>
    <row r="3" spans="1:60" x14ac:dyDescent="0.25">
      <c r="B3" s="6" t="s">
        <v>77</v>
      </c>
    </row>
    <row r="4" spans="1:60" s="9" customFormat="1" ht="66" x14ac:dyDescent="0.25">
      <c r="A4"/>
      <c r="B4" t="s">
        <v>1103</v>
      </c>
      <c r="C4"/>
      <c r="D4"/>
      <c r="E4"/>
      <c r="F4" t="s">
        <v>1102</v>
      </c>
      <c r="G4"/>
      <c r="H4"/>
      <c r="I4" t="s">
        <v>1101</v>
      </c>
      <c r="J4"/>
      <c r="K4"/>
      <c r="L4" t="s">
        <v>1112</v>
      </c>
      <c r="M4" t="s">
        <v>1114</v>
      </c>
      <c r="N4" t="s">
        <v>1115</v>
      </c>
      <c r="O4" t="s">
        <v>1100</v>
      </c>
      <c r="P4" t="s">
        <v>1099</v>
      </c>
      <c r="Q4"/>
      <c r="R4"/>
      <c r="S4" t="s">
        <v>1113</v>
      </c>
      <c r="T4" t="s">
        <v>1098</v>
      </c>
      <c r="U4"/>
      <c r="V4"/>
      <c r="W4" t="s">
        <v>1116</v>
      </c>
      <c r="X4" t="s">
        <v>1111</v>
      </c>
      <c r="Y4"/>
      <c r="Z4" t="s">
        <v>1110</v>
      </c>
      <c r="AA4"/>
      <c r="AB4"/>
      <c r="AC4" t="s">
        <v>1109</v>
      </c>
      <c r="AD4" t="s">
        <v>1108</v>
      </c>
      <c r="AE4" t="s">
        <v>1117</v>
      </c>
      <c r="AF4" t="s">
        <v>1118</v>
      </c>
      <c r="AG4" t="s">
        <v>1119</v>
      </c>
      <c r="AH4" t="s">
        <v>1107</v>
      </c>
      <c r="AI4"/>
      <c r="AJ4"/>
      <c r="AK4" t="s">
        <v>1106</v>
      </c>
      <c r="AL4"/>
      <c r="AM4" t="s">
        <v>1105</v>
      </c>
      <c r="AN4"/>
      <c r="AO4" t="s">
        <v>1104</v>
      </c>
      <c r="AP4"/>
      <c r="AQ4" t="s">
        <v>1419</v>
      </c>
      <c r="AR4"/>
      <c r="AS4"/>
      <c r="AT4" t="s">
        <v>1420</v>
      </c>
      <c r="AU4" t="s">
        <v>1421</v>
      </c>
      <c r="AV4" t="s">
        <v>1422</v>
      </c>
      <c r="AW4"/>
      <c r="AX4" t="s">
        <v>1423</v>
      </c>
      <c r="AY4"/>
      <c r="AZ4" t="s">
        <v>1424</v>
      </c>
      <c r="BA4"/>
      <c r="BB4" t="s">
        <v>1425</v>
      </c>
      <c r="BC4"/>
      <c r="BD4" t="s">
        <v>1426</v>
      </c>
      <c r="BE4"/>
      <c r="BF4"/>
      <c r="BG4" t="s">
        <v>1427</v>
      </c>
      <c r="BH4" s="9" t="s">
        <v>59</v>
      </c>
    </row>
    <row r="5" spans="1:60" s="9" customFormat="1" x14ac:dyDescent="0.25">
      <c r="A5" s="6" t="s">
        <v>60</v>
      </c>
      <c r="B5" t="s">
        <v>250</v>
      </c>
      <c r="C5" t="s">
        <v>248</v>
      </c>
      <c r="D5" t="s">
        <v>28</v>
      </c>
      <c r="E5" t="s">
        <v>180</v>
      </c>
      <c r="F5" t="s">
        <v>248</v>
      </c>
      <c r="G5" t="s">
        <v>28</v>
      </c>
      <c r="H5" t="s">
        <v>959</v>
      </c>
      <c r="I5" t="s">
        <v>250</v>
      </c>
      <c r="J5" t="s">
        <v>248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248</v>
      </c>
      <c r="Q5" t="s">
        <v>28</v>
      </c>
      <c r="R5" t="s">
        <v>959</v>
      </c>
      <c r="S5" t="s">
        <v>28</v>
      </c>
      <c r="T5" t="s">
        <v>28</v>
      </c>
      <c r="U5" t="s">
        <v>180</v>
      </c>
      <c r="V5" t="s">
        <v>903</v>
      </c>
      <c r="W5" t="s">
        <v>28</v>
      </c>
      <c r="X5" t="s">
        <v>28</v>
      </c>
      <c r="Y5" t="s">
        <v>959</v>
      </c>
      <c r="Z5" t="s">
        <v>28</v>
      </c>
      <c r="AA5" t="s">
        <v>180</v>
      </c>
      <c r="AB5" t="s">
        <v>959</v>
      </c>
      <c r="AC5" t="s">
        <v>28</v>
      </c>
      <c r="AD5" t="s">
        <v>28</v>
      </c>
      <c r="AE5" t="s">
        <v>28</v>
      </c>
      <c r="AF5" t="s">
        <v>28</v>
      </c>
      <c r="AG5" t="s">
        <v>28</v>
      </c>
      <c r="AH5" t="s">
        <v>28</v>
      </c>
      <c r="AI5" t="s">
        <v>180</v>
      </c>
      <c r="AJ5" t="s">
        <v>959</v>
      </c>
      <c r="AK5" t="s">
        <v>28</v>
      </c>
      <c r="AL5" t="s">
        <v>959</v>
      </c>
      <c r="AM5" t="s">
        <v>28</v>
      </c>
      <c r="AN5" t="s">
        <v>959</v>
      </c>
      <c r="AO5" t="s">
        <v>28</v>
      </c>
      <c r="AP5" t="s">
        <v>1097</v>
      </c>
      <c r="AQ5" t="s">
        <v>250</v>
      </c>
      <c r="AR5" t="s">
        <v>28</v>
      </c>
      <c r="AS5" t="s">
        <v>959</v>
      </c>
      <c r="AT5" t="s">
        <v>28</v>
      </c>
      <c r="AU5" t="s">
        <v>28</v>
      </c>
      <c r="AV5" t="s">
        <v>28</v>
      </c>
      <c r="AW5" t="s">
        <v>959</v>
      </c>
      <c r="AX5" t="s">
        <v>28</v>
      </c>
      <c r="AY5" t="s">
        <v>959</v>
      </c>
      <c r="AZ5" t="s">
        <v>28</v>
      </c>
      <c r="BA5" t="s">
        <v>959</v>
      </c>
      <c r="BB5" t="s">
        <v>28</v>
      </c>
      <c r="BC5" t="s">
        <v>1120</v>
      </c>
      <c r="BD5" t="s">
        <v>250</v>
      </c>
      <c r="BE5" t="s">
        <v>28</v>
      </c>
      <c r="BF5" t="s">
        <v>959</v>
      </c>
      <c r="BG5" t="s">
        <v>28</v>
      </c>
    </row>
    <row r="6" spans="1:60" x14ac:dyDescent="0.25">
      <c r="A6" s="7" t="s">
        <v>32</v>
      </c>
    </row>
    <row r="7" spans="1:60" x14ac:dyDescent="0.25">
      <c r="A7" s="8" t="s">
        <v>79</v>
      </c>
      <c r="D7">
        <v>67</v>
      </c>
      <c r="G7">
        <v>77</v>
      </c>
      <c r="K7">
        <v>85</v>
      </c>
      <c r="L7">
        <v>79</v>
      </c>
      <c r="O7">
        <v>101</v>
      </c>
      <c r="Q7">
        <v>67</v>
      </c>
      <c r="T7">
        <v>80</v>
      </c>
      <c r="X7">
        <v>104</v>
      </c>
      <c r="Z7">
        <v>64</v>
      </c>
      <c r="AC7">
        <v>101</v>
      </c>
      <c r="AD7">
        <v>75</v>
      </c>
      <c r="AH7">
        <v>103</v>
      </c>
      <c r="AK7">
        <v>65</v>
      </c>
      <c r="AM7">
        <v>93</v>
      </c>
      <c r="AO7">
        <v>87</v>
      </c>
      <c r="AR7">
        <v>83</v>
      </c>
      <c r="AV7">
        <v>104</v>
      </c>
      <c r="AX7">
        <v>63</v>
      </c>
      <c r="AZ7">
        <v>63</v>
      </c>
      <c r="BB7">
        <v>77</v>
      </c>
      <c r="BE7">
        <v>91</v>
      </c>
      <c r="BH7">
        <v>1729</v>
      </c>
    </row>
    <row r="8" spans="1:60" x14ac:dyDescent="0.25">
      <c r="A8" s="8" t="s">
        <v>68</v>
      </c>
      <c r="D8">
        <v>0</v>
      </c>
      <c r="G8">
        <v>0</v>
      </c>
      <c r="K8">
        <v>0</v>
      </c>
      <c r="L8">
        <v>0</v>
      </c>
      <c r="O8">
        <v>0</v>
      </c>
      <c r="Q8">
        <v>0</v>
      </c>
      <c r="T8">
        <v>0</v>
      </c>
      <c r="X8">
        <v>0</v>
      </c>
      <c r="Z8">
        <v>0</v>
      </c>
      <c r="AC8">
        <v>0</v>
      </c>
      <c r="AD8">
        <v>0</v>
      </c>
      <c r="AH8">
        <v>0</v>
      </c>
      <c r="AK8">
        <v>0</v>
      </c>
      <c r="AM8">
        <v>0</v>
      </c>
      <c r="AO8">
        <v>0</v>
      </c>
      <c r="AR8">
        <v>0</v>
      </c>
      <c r="AV8">
        <v>0</v>
      </c>
      <c r="AX8">
        <v>0</v>
      </c>
      <c r="AZ8">
        <v>0</v>
      </c>
      <c r="BB8">
        <v>0</v>
      </c>
      <c r="BE8">
        <v>0</v>
      </c>
      <c r="BH8">
        <v>0</v>
      </c>
    </row>
    <row r="9" spans="1:60" x14ac:dyDescent="0.25">
      <c r="A9" s="8" t="s">
        <v>61</v>
      </c>
      <c r="D9">
        <v>0</v>
      </c>
      <c r="G9">
        <v>0</v>
      </c>
      <c r="K9">
        <v>0</v>
      </c>
      <c r="L9">
        <v>0</v>
      </c>
      <c r="O9">
        <v>0</v>
      </c>
      <c r="Q9">
        <v>0</v>
      </c>
      <c r="T9">
        <v>0</v>
      </c>
      <c r="X9">
        <v>0</v>
      </c>
      <c r="Z9">
        <v>0</v>
      </c>
      <c r="AC9">
        <v>0</v>
      </c>
      <c r="AD9">
        <v>0</v>
      </c>
      <c r="AH9">
        <v>0</v>
      </c>
      <c r="AK9">
        <v>0</v>
      </c>
      <c r="AM9">
        <v>0</v>
      </c>
      <c r="AO9">
        <v>0</v>
      </c>
      <c r="AR9">
        <v>0</v>
      </c>
      <c r="AV9">
        <v>0</v>
      </c>
      <c r="AX9">
        <v>0</v>
      </c>
      <c r="AZ9">
        <v>0</v>
      </c>
      <c r="BB9">
        <v>0</v>
      </c>
      <c r="BE9">
        <v>0</v>
      </c>
      <c r="BH9">
        <v>0</v>
      </c>
    </row>
    <row r="10" spans="1:60" x14ac:dyDescent="0.25">
      <c r="A10" s="8" t="s">
        <v>81</v>
      </c>
      <c r="D10">
        <v>0</v>
      </c>
      <c r="G10">
        <v>0</v>
      </c>
      <c r="K10">
        <v>0</v>
      </c>
      <c r="L10">
        <v>0</v>
      </c>
      <c r="O10">
        <v>0</v>
      </c>
      <c r="Q10">
        <v>0</v>
      </c>
      <c r="T10">
        <v>0</v>
      </c>
      <c r="X10">
        <v>0</v>
      </c>
      <c r="Z10">
        <v>0</v>
      </c>
      <c r="AC10">
        <v>0</v>
      </c>
      <c r="AD10">
        <v>0</v>
      </c>
      <c r="AH10">
        <v>0</v>
      </c>
      <c r="AK10">
        <v>0</v>
      </c>
      <c r="AM10">
        <v>0</v>
      </c>
      <c r="AO10">
        <v>0</v>
      </c>
      <c r="AR10">
        <v>0</v>
      </c>
      <c r="AV10">
        <v>1</v>
      </c>
      <c r="AX10">
        <v>0</v>
      </c>
      <c r="AZ10">
        <v>0</v>
      </c>
      <c r="BB10">
        <v>0</v>
      </c>
      <c r="BE10">
        <v>0</v>
      </c>
      <c r="BH10">
        <v>1</v>
      </c>
    </row>
    <row r="11" spans="1:60" x14ac:dyDescent="0.25">
      <c r="A11" s="8" t="s">
        <v>62</v>
      </c>
      <c r="D11">
        <v>0</v>
      </c>
      <c r="G11">
        <v>0</v>
      </c>
      <c r="K11">
        <v>0</v>
      </c>
      <c r="L11">
        <v>0</v>
      </c>
      <c r="O11">
        <v>0</v>
      </c>
      <c r="Q11">
        <v>0</v>
      </c>
      <c r="T11">
        <v>0</v>
      </c>
      <c r="X11">
        <v>0</v>
      </c>
      <c r="Z11">
        <v>0</v>
      </c>
      <c r="AC11">
        <v>0</v>
      </c>
      <c r="AD11">
        <v>0</v>
      </c>
      <c r="AH11">
        <v>0</v>
      </c>
      <c r="AK11">
        <v>0</v>
      </c>
      <c r="AM11">
        <v>0</v>
      </c>
      <c r="AO11">
        <v>0</v>
      </c>
      <c r="AR11">
        <v>0</v>
      </c>
      <c r="AV11">
        <v>0</v>
      </c>
      <c r="AX11">
        <v>0</v>
      </c>
      <c r="AZ11">
        <v>0</v>
      </c>
      <c r="BB11">
        <v>0</v>
      </c>
      <c r="BE11">
        <v>0</v>
      </c>
      <c r="BH11">
        <v>0</v>
      </c>
    </row>
    <row r="12" spans="1:60" x14ac:dyDescent="0.25">
      <c r="A12" s="8" t="s">
        <v>63</v>
      </c>
      <c r="D12">
        <v>0</v>
      </c>
      <c r="G12">
        <v>0</v>
      </c>
      <c r="K12">
        <v>0</v>
      </c>
      <c r="L12">
        <v>0</v>
      </c>
      <c r="O12">
        <v>0</v>
      </c>
      <c r="Q12">
        <v>0</v>
      </c>
      <c r="T12">
        <v>0</v>
      </c>
      <c r="X12">
        <v>0</v>
      </c>
      <c r="Z12">
        <v>0</v>
      </c>
      <c r="AC12">
        <v>0</v>
      </c>
      <c r="AD12">
        <v>0</v>
      </c>
      <c r="AH12">
        <v>0</v>
      </c>
      <c r="AK12">
        <v>0</v>
      </c>
      <c r="AM12">
        <v>0</v>
      </c>
      <c r="AO12">
        <v>0</v>
      </c>
      <c r="AR12">
        <v>0</v>
      </c>
      <c r="AV12">
        <v>0</v>
      </c>
      <c r="AX12">
        <v>0</v>
      </c>
      <c r="AZ12">
        <v>0</v>
      </c>
      <c r="BB12">
        <v>0</v>
      </c>
      <c r="BE12">
        <v>0</v>
      </c>
      <c r="BH12">
        <v>0</v>
      </c>
    </row>
    <row r="13" spans="1:60" x14ac:dyDescent="0.25">
      <c r="A13" s="8" t="s">
        <v>64</v>
      </c>
      <c r="D13">
        <v>0</v>
      </c>
      <c r="G13">
        <v>0</v>
      </c>
      <c r="K13">
        <v>0</v>
      </c>
      <c r="L13">
        <v>0</v>
      </c>
      <c r="O13">
        <v>0</v>
      </c>
      <c r="Q13">
        <v>0</v>
      </c>
      <c r="T13">
        <v>0</v>
      </c>
      <c r="X13">
        <v>0</v>
      </c>
      <c r="Z13">
        <v>0</v>
      </c>
      <c r="AC13">
        <v>0</v>
      </c>
      <c r="AD13">
        <v>0</v>
      </c>
      <c r="AH13">
        <v>0</v>
      </c>
      <c r="AK13">
        <v>0</v>
      </c>
      <c r="AM13">
        <v>0</v>
      </c>
      <c r="AO13">
        <v>0</v>
      </c>
      <c r="AR13">
        <v>0</v>
      </c>
      <c r="AV13">
        <v>0</v>
      </c>
      <c r="AX13">
        <v>0</v>
      </c>
      <c r="AZ13">
        <v>0</v>
      </c>
      <c r="BB13">
        <v>0</v>
      </c>
      <c r="BE13">
        <v>0</v>
      </c>
      <c r="BH13">
        <v>0</v>
      </c>
    </row>
    <row r="14" spans="1:60" x14ac:dyDescent="0.25">
      <c r="A14" s="8" t="s">
        <v>83</v>
      </c>
      <c r="D14">
        <v>0</v>
      </c>
      <c r="G14">
        <v>0</v>
      </c>
      <c r="K14">
        <v>0</v>
      </c>
      <c r="L14">
        <v>0</v>
      </c>
      <c r="O14">
        <v>0</v>
      </c>
      <c r="Q14">
        <v>0</v>
      </c>
      <c r="T14">
        <v>0</v>
      </c>
      <c r="X14">
        <v>0</v>
      </c>
      <c r="Z14">
        <v>0</v>
      </c>
      <c r="AC14">
        <v>2</v>
      </c>
      <c r="AD14">
        <v>0</v>
      </c>
      <c r="AH14">
        <v>1</v>
      </c>
      <c r="AK14">
        <v>0</v>
      </c>
      <c r="AM14">
        <v>0</v>
      </c>
      <c r="AO14">
        <v>0</v>
      </c>
      <c r="AR14">
        <v>0</v>
      </c>
      <c r="AV14">
        <v>0</v>
      </c>
      <c r="AX14">
        <v>0</v>
      </c>
      <c r="AZ14">
        <v>0</v>
      </c>
      <c r="BB14">
        <v>0</v>
      </c>
      <c r="BE14">
        <v>0</v>
      </c>
      <c r="BH14">
        <v>3</v>
      </c>
    </row>
    <row r="15" spans="1:60" x14ac:dyDescent="0.25">
      <c r="A15" s="8" t="s">
        <v>85</v>
      </c>
      <c r="D15">
        <v>50</v>
      </c>
      <c r="G15">
        <v>50</v>
      </c>
      <c r="K15">
        <v>50</v>
      </c>
      <c r="L15">
        <v>50</v>
      </c>
      <c r="O15">
        <v>50</v>
      </c>
      <c r="Q15">
        <v>50</v>
      </c>
      <c r="T15">
        <v>50</v>
      </c>
      <c r="X15">
        <v>50</v>
      </c>
      <c r="Z15">
        <v>50</v>
      </c>
      <c r="AC15">
        <v>59</v>
      </c>
      <c r="AD15">
        <v>59</v>
      </c>
      <c r="AH15">
        <v>50</v>
      </c>
      <c r="AK15">
        <v>50</v>
      </c>
      <c r="AM15">
        <v>50</v>
      </c>
      <c r="AO15">
        <v>55</v>
      </c>
      <c r="AR15">
        <v>50</v>
      </c>
      <c r="AV15">
        <v>50</v>
      </c>
      <c r="AX15">
        <v>50</v>
      </c>
      <c r="AZ15">
        <v>50</v>
      </c>
      <c r="BB15">
        <v>50</v>
      </c>
      <c r="BE15">
        <v>50</v>
      </c>
      <c r="BH15">
        <v>1073</v>
      </c>
    </row>
    <row r="16" spans="1:60" x14ac:dyDescent="0.25">
      <c r="A16" s="8" t="s">
        <v>65</v>
      </c>
      <c r="D16">
        <v>0</v>
      </c>
      <c r="G16">
        <v>0</v>
      </c>
      <c r="K16">
        <v>0</v>
      </c>
      <c r="L16">
        <v>0</v>
      </c>
      <c r="O16">
        <v>0</v>
      </c>
      <c r="Q16">
        <v>0</v>
      </c>
      <c r="T16">
        <v>0</v>
      </c>
      <c r="X16">
        <v>0</v>
      </c>
      <c r="Z16">
        <v>0</v>
      </c>
      <c r="AC16">
        <v>0</v>
      </c>
      <c r="AD16">
        <v>0</v>
      </c>
      <c r="AH16">
        <v>0</v>
      </c>
      <c r="AK16">
        <v>0</v>
      </c>
      <c r="AM16">
        <v>0</v>
      </c>
      <c r="AO16">
        <v>0</v>
      </c>
      <c r="AR16">
        <v>0</v>
      </c>
      <c r="AV16">
        <v>0</v>
      </c>
      <c r="AX16">
        <v>0</v>
      </c>
      <c r="AZ16">
        <v>0</v>
      </c>
      <c r="BB16">
        <v>0</v>
      </c>
      <c r="BE16">
        <v>0</v>
      </c>
      <c r="BH16">
        <v>0</v>
      </c>
    </row>
    <row r="17" spans="1:60" x14ac:dyDescent="0.25">
      <c r="A17" s="8" t="s">
        <v>66</v>
      </c>
      <c r="D17">
        <v>0</v>
      </c>
      <c r="G17">
        <v>0</v>
      </c>
      <c r="K17">
        <v>0</v>
      </c>
      <c r="L17">
        <v>0</v>
      </c>
      <c r="O17">
        <v>0</v>
      </c>
      <c r="Q17">
        <v>0</v>
      </c>
      <c r="T17">
        <v>0</v>
      </c>
      <c r="X17">
        <v>0</v>
      </c>
      <c r="Z17">
        <v>0</v>
      </c>
      <c r="AC17">
        <v>0</v>
      </c>
      <c r="AD17">
        <v>0</v>
      </c>
      <c r="AH17">
        <v>0</v>
      </c>
      <c r="AK17">
        <v>0</v>
      </c>
      <c r="AM17">
        <v>0</v>
      </c>
      <c r="AO17">
        <v>0</v>
      </c>
      <c r="AR17">
        <v>0</v>
      </c>
      <c r="AV17">
        <v>0</v>
      </c>
      <c r="AX17">
        <v>0</v>
      </c>
      <c r="AZ17">
        <v>0</v>
      </c>
      <c r="BB17">
        <v>0</v>
      </c>
      <c r="BE17">
        <v>0</v>
      </c>
      <c r="BH17">
        <v>0</v>
      </c>
    </row>
    <row r="18" spans="1:60" x14ac:dyDescent="0.25">
      <c r="A18" s="8" t="s">
        <v>87</v>
      </c>
      <c r="D18">
        <v>0</v>
      </c>
      <c r="G18">
        <v>0</v>
      </c>
      <c r="K18">
        <v>0</v>
      </c>
      <c r="L18">
        <v>0</v>
      </c>
      <c r="O18">
        <v>0</v>
      </c>
      <c r="Q18">
        <v>0</v>
      </c>
      <c r="T18">
        <v>0</v>
      </c>
      <c r="X18">
        <v>0</v>
      </c>
      <c r="Z18">
        <v>0</v>
      </c>
      <c r="AC18">
        <v>0</v>
      </c>
      <c r="AD18">
        <v>0</v>
      </c>
      <c r="AH18">
        <v>0</v>
      </c>
      <c r="AK18">
        <v>0</v>
      </c>
      <c r="AM18">
        <v>0</v>
      </c>
      <c r="AO18">
        <v>0</v>
      </c>
      <c r="AR18">
        <v>0</v>
      </c>
      <c r="AV18">
        <v>0</v>
      </c>
      <c r="AX18">
        <v>0</v>
      </c>
      <c r="AZ18">
        <v>0</v>
      </c>
      <c r="BB18">
        <v>0</v>
      </c>
      <c r="BE18">
        <v>0</v>
      </c>
      <c r="BH18">
        <v>0</v>
      </c>
    </row>
    <row r="19" spans="1:60" x14ac:dyDescent="0.25">
      <c r="A19" s="8" t="s">
        <v>89</v>
      </c>
      <c r="D19">
        <v>0</v>
      </c>
      <c r="G19">
        <v>0</v>
      </c>
      <c r="K19">
        <v>0</v>
      </c>
      <c r="L19">
        <v>0</v>
      </c>
      <c r="O19">
        <v>0</v>
      </c>
      <c r="Q19">
        <v>0</v>
      </c>
      <c r="T19">
        <v>0</v>
      </c>
      <c r="X19">
        <v>0</v>
      </c>
      <c r="Z19">
        <v>0</v>
      </c>
      <c r="AC19">
        <v>0</v>
      </c>
      <c r="AD19">
        <v>0</v>
      </c>
      <c r="AH19">
        <v>0</v>
      </c>
      <c r="AK19">
        <v>0</v>
      </c>
      <c r="AM19">
        <v>0</v>
      </c>
      <c r="AO19">
        <v>0</v>
      </c>
      <c r="AR19">
        <v>0</v>
      </c>
      <c r="AV19">
        <v>0</v>
      </c>
      <c r="AX19">
        <v>0</v>
      </c>
      <c r="AZ19">
        <v>0</v>
      </c>
      <c r="BB19">
        <v>0</v>
      </c>
      <c r="BE19">
        <v>0</v>
      </c>
      <c r="BH19">
        <v>0</v>
      </c>
    </row>
    <row r="20" spans="1:60" x14ac:dyDescent="0.25">
      <c r="A20" s="8" t="s">
        <v>91</v>
      </c>
      <c r="D20">
        <v>0</v>
      </c>
      <c r="G20">
        <v>0</v>
      </c>
      <c r="K20">
        <v>0</v>
      </c>
      <c r="L20">
        <v>0</v>
      </c>
      <c r="O20">
        <v>0</v>
      </c>
      <c r="Q20">
        <v>0</v>
      </c>
      <c r="T20">
        <v>0</v>
      </c>
      <c r="X20">
        <v>0</v>
      </c>
      <c r="Z20">
        <v>0</v>
      </c>
      <c r="AC20">
        <v>0</v>
      </c>
      <c r="AD20">
        <v>0</v>
      </c>
      <c r="AH20">
        <v>0</v>
      </c>
      <c r="AK20">
        <v>0</v>
      </c>
      <c r="AM20">
        <v>0</v>
      </c>
      <c r="AO20">
        <v>0</v>
      </c>
      <c r="AR20">
        <v>0</v>
      </c>
      <c r="AV20">
        <v>0</v>
      </c>
      <c r="AX20">
        <v>0</v>
      </c>
      <c r="AZ20">
        <v>0</v>
      </c>
      <c r="BB20">
        <v>0</v>
      </c>
      <c r="BE20">
        <v>0</v>
      </c>
      <c r="BH20">
        <v>0</v>
      </c>
    </row>
    <row r="21" spans="1:60" x14ac:dyDescent="0.25">
      <c r="A21" s="8" t="s">
        <v>67</v>
      </c>
      <c r="D21">
        <v>0</v>
      </c>
      <c r="G21">
        <v>0</v>
      </c>
      <c r="K21">
        <v>0</v>
      </c>
      <c r="L21">
        <v>0</v>
      </c>
      <c r="O21">
        <v>0</v>
      </c>
      <c r="Q21">
        <v>0</v>
      </c>
      <c r="T21">
        <v>0</v>
      </c>
      <c r="X21">
        <v>0</v>
      </c>
      <c r="Z21">
        <v>0</v>
      </c>
      <c r="AC21">
        <v>0</v>
      </c>
      <c r="AD21">
        <v>0</v>
      </c>
      <c r="AH21">
        <v>0</v>
      </c>
      <c r="AK21">
        <v>0</v>
      </c>
      <c r="AM21">
        <v>0</v>
      </c>
      <c r="AO21">
        <v>0</v>
      </c>
      <c r="AR21">
        <v>0</v>
      </c>
      <c r="AV21">
        <v>0</v>
      </c>
      <c r="AX21">
        <v>0</v>
      </c>
      <c r="AZ21">
        <v>0</v>
      </c>
      <c r="BB21">
        <v>0</v>
      </c>
      <c r="BE21">
        <v>0</v>
      </c>
      <c r="BH21">
        <v>0</v>
      </c>
    </row>
    <row r="22" spans="1:60" x14ac:dyDescent="0.25">
      <c r="A22" s="8" t="s">
        <v>93</v>
      </c>
      <c r="D22">
        <v>0</v>
      </c>
      <c r="G22">
        <v>0</v>
      </c>
      <c r="K22">
        <v>0</v>
      </c>
      <c r="L22">
        <v>0</v>
      </c>
      <c r="O22">
        <v>0</v>
      </c>
      <c r="Q22">
        <v>0</v>
      </c>
      <c r="T22">
        <v>0</v>
      </c>
      <c r="X22">
        <v>0</v>
      </c>
      <c r="Z22">
        <v>0</v>
      </c>
      <c r="AC22">
        <v>0</v>
      </c>
      <c r="AD22">
        <v>0</v>
      </c>
      <c r="AH22">
        <v>0</v>
      </c>
      <c r="AK22">
        <v>0</v>
      </c>
      <c r="AM22">
        <v>0</v>
      </c>
      <c r="AO22">
        <v>0</v>
      </c>
      <c r="AR22">
        <v>0</v>
      </c>
      <c r="AV22">
        <v>0</v>
      </c>
      <c r="AX22">
        <v>0</v>
      </c>
      <c r="AZ22">
        <v>0</v>
      </c>
      <c r="BB22">
        <v>0</v>
      </c>
      <c r="BE22">
        <v>0</v>
      </c>
      <c r="BH22">
        <v>0</v>
      </c>
    </row>
    <row r="23" spans="1:60" x14ac:dyDescent="0.25">
      <c r="A23" s="7" t="s">
        <v>55</v>
      </c>
    </row>
    <row r="24" spans="1:60" x14ac:dyDescent="0.25">
      <c r="A24" s="8" t="s">
        <v>79</v>
      </c>
      <c r="B24">
        <v>0</v>
      </c>
      <c r="G24">
        <v>52</v>
      </c>
      <c r="K24">
        <v>49</v>
      </c>
      <c r="L24">
        <v>63</v>
      </c>
      <c r="M24">
        <v>0</v>
      </c>
      <c r="N24">
        <v>0</v>
      </c>
      <c r="O24">
        <v>37</v>
      </c>
      <c r="Q24">
        <v>82</v>
      </c>
      <c r="S24">
        <v>64</v>
      </c>
      <c r="T24">
        <v>39</v>
      </c>
      <c r="W24">
        <v>0</v>
      </c>
      <c r="X24">
        <v>37</v>
      </c>
      <c r="AB24">
        <v>0</v>
      </c>
      <c r="AC24">
        <v>55</v>
      </c>
      <c r="AD24">
        <v>33</v>
      </c>
      <c r="AH24">
        <v>37</v>
      </c>
      <c r="AL24">
        <v>0</v>
      </c>
      <c r="AM24">
        <v>58</v>
      </c>
      <c r="AO24">
        <v>38</v>
      </c>
      <c r="AR24">
        <v>63</v>
      </c>
      <c r="AU24">
        <v>0</v>
      </c>
      <c r="AV24">
        <v>37</v>
      </c>
      <c r="AY24">
        <v>0</v>
      </c>
      <c r="AZ24">
        <v>52</v>
      </c>
      <c r="BB24">
        <v>39</v>
      </c>
      <c r="BE24">
        <v>62</v>
      </c>
      <c r="BH24">
        <v>897</v>
      </c>
    </row>
    <row r="25" spans="1:60" x14ac:dyDescent="0.25">
      <c r="A25" s="8" t="s">
        <v>68</v>
      </c>
      <c r="B25">
        <v>0</v>
      </c>
      <c r="G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S25">
        <v>0</v>
      </c>
      <c r="T25">
        <v>0</v>
      </c>
      <c r="W25">
        <v>0</v>
      </c>
      <c r="X25">
        <v>0</v>
      </c>
      <c r="AB25">
        <v>0</v>
      </c>
      <c r="AC25">
        <v>0</v>
      </c>
      <c r="AD25">
        <v>0</v>
      </c>
      <c r="AH25">
        <v>0</v>
      </c>
      <c r="AL25">
        <v>0</v>
      </c>
      <c r="AM25">
        <v>0</v>
      </c>
      <c r="AO25">
        <v>0</v>
      </c>
      <c r="AR25">
        <v>0</v>
      </c>
      <c r="AU25">
        <v>0</v>
      </c>
      <c r="AV25">
        <v>0</v>
      </c>
      <c r="AY25">
        <v>0</v>
      </c>
      <c r="AZ25">
        <v>0</v>
      </c>
      <c r="BB25">
        <v>0</v>
      </c>
      <c r="BE25">
        <v>0</v>
      </c>
      <c r="BH25">
        <v>0</v>
      </c>
    </row>
    <row r="26" spans="1:60" x14ac:dyDescent="0.25">
      <c r="A26" s="8" t="s">
        <v>61</v>
      </c>
      <c r="B26">
        <v>0</v>
      </c>
      <c r="G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S26">
        <v>0</v>
      </c>
      <c r="T26">
        <v>0</v>
      </c>
      <c r="W26">
        <v>0</v>
      </c>
      <c r="X26">
        <v>0</v>
      </c>
      <c r="AB26">
        <v>0</v>
      </c>
      <c r="AC26">
        <v>0</v>
      </c>
      <c r="AD26">
        <v>0</v>
      </c>
      <c r="AH26">
        <v>0</v>
      </c>
      <c r="AL26">
        <v>0</v>
      </c>
      <c r="AM26">
        <v>0</v>
      </c>
      <c r="AO26">
        <v>0</v>
      </c>
      <c r="AR26">
        <v>0</v>
      </c>
      <c r="AU26">
        <v>0</v>
      </c>
      <c r="AV26">
        <v>0</v>
      </c>
      <c r="AY26">
        <v>0</v>
      </c>
      <c r="AZ26">
        <v>0</v>
      </c>
      <c r="BB26">
        <v>0</v>
      </c>
      <c r="BE26">
        <v>0</v>
      </c>
      <c r="BH26">
        <v>0</v>
      </c>
    </row>
    <row r="27" spans="1:60" x14ac:dyDescent="0.25">
      <c r="A27" s="8" t="s">
        <v>81</v>
      </c>
      <c r="B27">
        <v>0</v>
      </c>
      <c r="G27">
        <v>1</v>
      </c>
      <c r="K27">
        <v>0</v>
      </c>
      <c r="L27">
        <v>1</v>
      </c>
      <c r="M27">
        <v>0</v>
      </c>
      <c r="N27">
        <v>0</v>
      </c>
      <c r="O27">
        <v>0</v>
      </c>
      <c r="Q27">
        <v>1</v>
      </c>
      <c r="S27">
        <v>1</v>
      </c>
      <c r="T27">
        <v>0</v>
      </c>
      <c r="W27">
        <v>0</v>
      </c>
      <c r="X27">
        <v>0</v>
      </c>
      <c r="AB27">
        <v>0</v>
      </c>
      <c r="AC27">
        <v>1</v>
      </c>
      <c r="AD27">
        <v>0</v>
      </c>
      <c r="AH27">
        <v>0</v>
      </c>
      <c r="AL27">
        <v>0</v>
      </c>
      <c r="AM27">
        <v>0</v>
      </c>
      <c r="AO27">
        <v>0</v>
      </c>
      <c r="AR27">
        <v>1</v>
      </c>
      <c r="AU27">
        <v>0</v>
      </c>
      <c r="AV27">
        <v>0</v>
      </c>
      <c r="AY27">
        <v>0</v>
      </c>
      <c r="AZ27">
        <v>1</v>
      </c>
      <c r="BB27">
        <v>0</v>
      </c>
      <c r="BE27">
        <v>1</v>
      </c>
      <c r="BH27">
        <v>8</v>
      </c>
    </row>
    <row r="28" spans="1:60" x14ac:dyDescent="0.25">
      <c r="A28" s="8" t="s">
        <v>62</v>
      </c>
      <c r="B28">
        <v>0</v>
      </c>
      <c r="G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S28">
        <v>0</v>
      </c>
      <c r="T28">
        <v>0</v>
      </c>
      <c r="W28">
        <v>0</v>
      </c>
      <c r="X28">
        <v>0</v>
      </c>
      <c r="AB28">
        <v>0</v>
      </c>
      <c r="AC28">
        <v>0</v>
      </c>
      <c r="AD28">
        <v>0</v>
      </c>
      <c r="AH28">
        <v>0</v>
      </c>
      <c r="AL28">
        <v>0</v>
      </c>
      <c r="AM28">
        <v>0</v>
      </c>
      <c r="AO28">
        <v>0</v>
      </c>
      <c r="AR28">
        <v>0</v>
      </c>
      <c r="AU28">
        <v>0</v>
      </c>
      <c r="AV28">
        <v>0</v>
      </c>
      <c r="AY28">
        <v>0</v>
      </c>
      <c r="AZ28">
        <v>0</v>
      </c>
      <c r="BB28">
        <v>0</v>
      </c>
      <c r="BE28">
        <v>0</v>
      </c>
      <c r="BH28">
        <v>0</v>
      </c>
    </row>
    <row r="29" spans="1:60" x14ac:dyDescent="0.25">
      <c r="A29" s="8" t="s">
        <v>63</v>
      </c>
      <c r="B29">
        <v>0</v>
      </c>
      <c r="G29">
        <v>1</v>
      </c>
      <c r="K29">
        <v>1</v>
      </c>
      <c r="L29">
        <v>1</v>
      </c>
      <c r="M29">
        <v>0</v>
      </c>
      <c r="N29">
        <v>0</v>
      </c>
      <c r="O29">
        <v>1</v>
      </c>
      <c r="Q29">
        <v>0</v>
      </c>
      <c r="S29">
        <v>1</v>
      </c>
      <c r="T29">
        <v>1</v>
      </c>
      <c r="W29">
        <v>0</v>
      </c>
      <c r="X29">
        <v>1</v>
      </c>
      <c r="AB29">
        <v>0</v>
      </c>
      <c r="AC29">
        <v>1</v>
      </c>
      <c r="AD29">
        <v>1</v>
      </c>
      <c r="AH29">
        <v>1</v>
      </c>
      <c r="AL29">
        <v>0</v>
      </c>
      <c r="AM29">
        <v>1</v>
      </c>
      <c r="AO29">
        <v>1</v>
      </c>
      <c r="AR29">
        <v>1</v>
      </c>
      <c r="AU29">
        <v>0</v>
      </c>
      <c r="AV29">
        <v>1</v>
      </c>
      <c r="AY29">
        <v>0</v>
      </c>
      <c r="AZ29">
        <v>1</v>
      </c>
      <c r="BB29">
        <v>1</v>
      </c>
      <c r="BE29">
        <v>1</v>
      </c>
      <c r="BH29">
        <v>17</v>
      </c>
    </row>
    <row r="30" spans="1:60" x14ac:dyDescent="0.25">
      <c r="A30" s="8" t="s">
        <v>64</v>
      </c>
      <c r="B30">
        <v>0</v>
      </c>
      <c r="G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S30">
        <v>0</v>
      </c>
      <c r="T30">
        <v>0</v>
      </c>
      <c r="W30">
        <v>0</v>
      </c>
      <c r="X30">
        <v>0</v>
      </c>
      <c r="AB30">
        <v>0</v>
      </c>
      <c r="AC30">
        <v>0</v>
      </c>
      <c r="AD30">
        <v>0</v>
      </c>
      <c r="AH30">
        <v>0</v>
      </c>
      <c r="AL30">
        <v>0</v>
      </c>
      <c r="AM30">
        <v>0</v>
      </c>
      <c r="AO30">
        <v>0</v>
      </c>
      <c r="AR30">
        <v>0</v>
      </c>
      <c r="AU30">
        <v>0</v>
      </c>
      <c r="AV30">
        <v>0</v>
      </c>
      <c r="AY30">
        <v>0</v>
      </c>
      <c r="AZ30">
        <v>0</v>
      </c>
      <c r="BB30">
        <v>0</v>
      </c>
      <c r="BE30">
        <v>0</v>
      </c>
      <c r="BH30">
        <v>0</v>
      </c>
    </row>
    <row r="31" spans="1:60" x14ac:dyDescent="0.25">
      <c r="A31" s="8" t="s">
        <v>83</v>
      </c>
      <c r="B31">
        <v>0</v>
      </c>
      <c r="G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S31">
        <v>0</v>
      </c>
      <c r="T31">
        <v>0</v>
      </c>
      <c r="W31">
        <v>0</v>
      </c>
      <c r="X31">
        <v>0</v>
      </c>
      <c r="AB31">
        <v>0</v>
      </c>
      <c r="AC31">
        <v>0</v>
      </c>
      <c r="AD31">
        <v>0</v>
      </c>
      <c r="AH31">
        <v>0</v>
      </c>
      <c r="AL31">
        <v>0</v>
      </c>
      <c r="AM31">
        <v>0</v>
      </c>
      <c r="AO31">
        <v>0</v>
      </c>
      <c r="AR31">
        <v>0</v>
      </c>
      <c r="AU31">
        <v>0</v>
      </c>
      <c r="AV31">
        <v>0</v>
      </c>
      <c r="AY31">
        <v>0</v>
      </c>
      <c r="AZ31">
        <v>0</v>
      </c>
      <c r="BB31">
        <v>0</v>
      </c>
      <c r="BE31">
        <v>0</v>
      </c>
      <c r="BH31">
        <v>0</v>
      </c>
    </row>
    <row r="32" spans="1:60" x14ac:dyDescent="0.25">
      <c r="A32" s="8" t="s">
        <v>85</v>
      </c>
      <c r="B32">
        <v>0</v>
      </c>
      <c r="G32">
        <v>0</v>
      </c>
      <c r="K32">
        <v>0</v>
      </c>
      <c r="L32">
        <v>0</v>
      </c>
      <c r="M32">
        <v>0</v>
      </c>
      <c r="N32">
        <v>12</v>
      </c>
      <c r="O32">
        <v>0</v>
      </c>
      <c r="Q32">
        <v>0</v>
      </c>
      <c r="S32">
        <v>0</v>
      </c>
      <c r="T32">
        <v>0</v>
      </c>
      <c r="W32">
        <v>0</v>
      </c>
      <c r="X32">
        <v>0</v>
      </c>
      <c r="AB32">
        <v>0</v>
      </c>
      <c r="AC32">
        <v>0</v>
      </c>
      <c r="AD32">
        <v>0</v>
      </c>
      <c r="AH32">
        <v>0</v>
      </c>
      <c r="AL32">
        <v>0</v>
      </c>
      <c r="AM32">
        <v>0</v>
      </c>
      <c r="AO32">
        <v>0</v>
      </c>
      <c r="AR32">
        <v>0</v>
      </c>
      <c r="AU32">
        <v>0</v>
      </c>
      <c r="AV32">
        <v>0</v>
      </c>
      <c r="AY32">
        <v>0</v>
      </c>
      <c r="AZ32">
        <v>0</v>
      </c>
      <c r="BB32">
        <v>0</v>
      </c>
      <c r="BE32">
        <v>0</v>
      </c>
      <c r="BH32">
        <v>12</v>
      </c>
    </row>
    <row r="33" spans="1:60" x14ac:dyDescent="0.25">
      <c r="A33" s="8" t="s">
        <v>65</v>
      </c>
      <c r="B33">
        <v>0</v>
      </c>
      <c r="G33">
        <v>0</v>
      </c>
      <c r="K33">
        <v>0</v>
      </c>
      <c r="L33">
        <v>0</v>
      </c>
      <c r="M33">
        <v>1</v>
      </c>
      <c r="N33">
        <v>0</v>
      </c>
      <c r="O33">
        <v>0</v>
      </c>
      <c r="Q33">
        <v>0</v>
      </c>
      <c r="S33">
        <v>0</v>
      </c>
      <c r="T33">
        <v>0</v>
      </c>
      <c r="W33">
        <v>0</v>
      </c>
      <c r="X33">
        <v>0</v>
      </c>
      <c r="AB33">
        <v>0</v>
      </c>
      <c r="AC33">
        <v>0</v>
      </c>
      <c r="AD33">
        <v>0</v>
      </c>
      <c r="AH33">
        <v>0</v>
      </c>
      <c r="AL33">
        <v>0</v>
      </c>
      <c r="AM33">
        <v>0</v>
      </c>
      <c r="AO33">
        <v>0</v>
      </c>
      <c r="AR33">
        <v>0</v>
      </c>
      <c r="AU33">
        <v>0</v>
      </c>
      <c r="AV33">
        <v>0</v>
      </c>
      <c r="AY33">
        <v>0</v>
      </c>
      <c r="AZ33">
        <v>0</v>
      </c>
      <c r="BB33">
        <v>0</v>
      </c>
      <c r="BE33">
        <v>0</v>
      </c>
      <c r="BH33">
        <v>1</v>
      </c>
    </row>
    <row r="34" spans="1:60" x14ac:dyDescent="0.25">
      <c r="A34" s="8" t="s">
        <v>66</v>
      </c>
      <c r="B34">
        <v>0</v>
      </c>
      <c r="G34">
        <v>0</v>
      </c>
      <c r="K34">
        <v>0</v>
      </c>
      <c r="L34">
        <v>0</v>
      </c>
      <c r="M34">
        <v>0</v>
      </c>
      <c r="N34">
        <v>1</v>
      </c>
      <c r="O34">
        <v>0</v>
      </c>
      <c r="Q34">
        <v>0</v>
      </c>
      <c r="S34">
        <v>0</v>
      </c>
      <c r="T34">
        <v>0</v>
      </c>
      <c r="W34">
        <v>1</v>
      </c>
      <c r="X34">
        <v>0</v>
      </c>
      <c r="AB34">
        <v>0</v>
      </c>
      <c r="AC34">
        <v>0</v>
      </c>
      <c r="AD34">
        <v>0</v>
      </c>
      <c r="AH34">
        <v>0</v>
      </c>
      <c r="AL34">
        <v>0</v>
      </c>
      <c r="AM34">
        <v>0</v>
      </c>
      <c r="AO34">
        <v>0</v>
      </c>
      <c r="AR34">
        <v>0</v>
      </c>
      <c r="AU34">
        <v>1</v>
      </c>
      <c r="AV34">
        <v>0</v>
      </c>
      <c r="AY34">
        <v>0</v>
      </c>
      <c r="AZ34">
        <v>0</v>
      </c>
      <c r="BB34">
        <v>0</v>
      </c>
      <c r="BE34">
        <v>0</v>
      </c>
      <c r="BH34">
        <v>3</v>
      </c>
    </row>
    <row r="35" spans="1:60" x14ac:dyDescent="0.25">
      <c r="A35" s="8" t="s">
        <v>87</v>
      </c>
      <c r="B35">
        <v>0</v>
      </c>
      <c r="G35">
        <v>0</v>
      </c>
      <c r="K35">
        <v>0</v>
      </c>
      <c r="L35">
        <v>0</v>
      </c>
      <c r="M35">
        <v>5</v>
      </c>
      <c r="N35">
        <v>16</v>
      </c>
      <c r="O35">
        <v>0</v>
      </c>
      <c r="Q35">
        <v>0</v>
      </c>
      <c r="S35">
        <v>0</v>
      </c>
      <c r="T35">
        <v>0</v>
      </c>
      <c r="W35">
        <v>4</v>
      </c>
      <c r="X35">
        <v>0</v>
      </c>
      <c r="AB35">
        <v>0</v>
      </c>
      <c r="AC35">
        <v>0</v>
      </c>
      <c r="AD35">
        <v>0</v>
      </c>
      <c r="AH35">
        <v>0</v>
      </c>
      <c r="AL35">
        <v>0</v>
      </c>
      <c r="AM35">
        <v>0</v>
      </c>
      <c r="AO35">
        <v>0</v>
      </c>
      <c r="AR35">
        <v>0</v>
      </c>
      <c r="AU35">
        <v>4</v>
      </c>
      <c r="AV35">
        <v>0</v>
      </c>
      <c r="AY35">
        <v>0</v>
      </c>
      <c r="AZ35">
        <v>0</v>
      </c>
      <c r="BB35">
        <v>0</v>
      </c>
      <c r="BE35">
        <v>0</v>
      </c>
      <c r="BH35">
        <v>29</v>
      </c>
    </row>
    <row r="36" spans="1:60" x14ac:dyDescent="0.25">
      <c r="A36" s="8" t="s">
        <v>89</v>
      </c>
      <c r="B36">
        <v>0</v>
      </c>
      <c r="G36">
        <v>0</v>
      </c>
      <c r="K36">
        <v>0</v>
      </c>
      <c r="L36">
        <v>0</v>
      </c>
      <c r="M36">
        <v>27</v>
      </c>
      <c r="N36">
        <v>30</v>
      </c>
      <c r="O36">
        <v>0</v>
      </c>
      <c r="Q36">
        <v>0</v>
      </c>
      <c r="S36">
        <v>0</v>
      </c>
      <c r="T36">
        <v>0</v>
      </c>
      <c r="W36">
        <v>60</v>
      </c>
      <c r="X36">
        <v>0</v>
      </c>
      <c r="AB36">
        <v>0</v>
      </c>
      <c r="AC36">
        <v>0</v>
      </c>
      <c r="AD36">
        <v>0</v>
      </c>
      <c r="AH36">
        <v>0</v>
      </c>
      <c r="AL36">
        <v>0</v>
      </c>
      <c r="AM36">
        <v>0</v>
      </c>
      <c r="AO36">
        <v>0</v>
      </c>
      <c r="AR36">
        <v>0</v>
      </c>
      <c r="AU36">
        <v>41</v>
      </c>
      <c r="AV36">
        <v>0</v>
      </c>
      <c r="AY36">
        <v>0</v>
      </c>
      <c r="AZ36">
        <v>0</v>
      </c>
      <c r="BB36">
        <v>0</v>
      </c>
      <c r="BE36">
        <v>0</v>
      </c>
      <c r="BH36">
        <v>158</v>
      </c>
    </row>
    <row r="37" spans="1:60" x14ac:dyDescent="0.25">
      <c r="A37" s="8" t="s">
        <v>91</v>
      </c>
      <c r="B37">
        <v>0</v>
      </c>
      <c r="G37">
        <v>0</v>
      </c>
      <c r="K37">
        <v>0</v>
      </c>
      <c r="L37">
        <v>0</v>
      </c>
      <c r="M37">
        <v>1</v>
      </c>
      <c r="N37">
        <v>0</v>
      </c>
      <c r="O37">
        <v>0</v>
      </c>
      <c r="Q37">
        <v>0</v>
      </c>
      <c r="S37">
        <v>0</v>
      </c>
      <c r="T37">
        <v>0</v>
      </c>
      <c r="W37">
        <v>0</v>
      </c>
      <c r="X37">
        <v>0</v>
      </c>
      <c r="AB37">
        <v>0</v>
      </c>
      <c r="AC37">
        <v>0</v>
      </c>
      <c r="AD37">
        <v>0</v>
      </c>
      <c r="AH37">
        <v>0</v>
      </c>
      <c r="AL37">
        <v>0</v>
      </c>
      <c r="AM37">
        <v>0</v>
      </c>
      <c r="AO37">
        <v>0</v>
      </c>
      <c r="AR37">
        <v>0</v>
      </c>
      <c r="AU37">
        <v>0</v>
      </c>
      <c r="AV37">
        <v>0</v>
      </c>
      <c r="AY37">
        <v>0</v>
      </c>
      <c r="AZ37">
        <v>0</v>
      </c>
      <c r="BB37">
        <v>0</v>
      </c>
      <c r="BE37">
        <v>0</v>
      </c>
      <c r="BH37">
        <v>1</v>
      </c>
    </row>
    <row r="38" spans="1:60" x14ac:dyDescent="0.25">
      <c r="A38" s="8" t="s">
        <v>67</v>
      </c>
      <c r="B38">
        <v>0</v>
      </c>
      <c r="G38">
        <v>0</v>
      </c>
      <c r="K38">
        <v>0</v>
      </c>
      <c r="L38">
        <v>0</v>
      </c>
      <c r="M38">
        <v>0</v>
      </c>
      <c r="N38">
        <v>1</v>
      </c>
      <c r="O38">
        <v>0</v>
      </c>
      <c r="Q38">
        <v>0</v>
      </c>
      <c r="S38">
        <v>0</v>
      </c>
      <c r="T38">
        <v>0</v>
      </c>
      <c r="W38">
        <v>1</v>
      </c>
      <c r="X38">
        <v>0</v>
      </c>
      <c r="AB38">
        <v>0</v>
      </c>
      <c r="AC38">
        <v>0</v>
      </c>
      <c r="AD38">
        <v>0</v>
      </c>
      <c r="AH38">
        <v>0</v>
      </c>
      <c r="AL38">
        <v>0</v>
      </c>
      <c r="AM38">
        <v>0</v>
      </c>
      <c r="AO38">
        <v>0</v>
      </c>
      <c r="AR38">
        <v>0</v>
      </c>
      <c r="AU38">
        <v>1</v>
      </c>
      <c r="AV38">
        <v>0</v>
      </c>
      <c r="AY38">
        <v>0</v>
      </c>
      <c r="AZ38">
        <v>0</v>
      </c>
      <c r="BB38">
        <v>0</v>
      </c>
      <c r="BE38">
        <v>0</v>
      </c>
      <c r="BH38">
        <v>3</v>
      </c>
    </row>
    <row r="39" spans="1:60" x14ac:dyDescent="0.25">
      <c r="A39" s="8" t="s">
        <v>93</v>
      </c>
      <c r="B39">
        <v>0</v>
      </c>
      <c r="G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S39">
        <v>0</v>
      </c>
      <c r="T39">
        <v>0</v>
      </c>
      <c r="W39">
        <v>4</v>
      </c>
      <c r="X39">
        <v>0</v>
      </c>
      <c r="AB39">
        <v>0</v>
      </c>
      <c r="AC39">
        <v>0</v>
      </c>
      <c r="AD39">
        <v>0</v>
      </c>
      <c r="AH39">
        <v>0</v>
      </c>
      <c r="AL39">
        <v>0</v>
      </c>
      <c r="AM39">
        <v>0</v>
      </c>
      <c r="AO39">
        <v>0</v>
      </c>
      <c r="AR39">
        <v>0</v>
      </c>
      <c r="AU39">
        <v>0</v>
      </c>
      <c r="AV39">
        <v>0</v>
      </c>
      <c r="AY39">
        <v>0</v>
      </c>
      <c r="AZ39">
        <v>0</v>
      </c>
      <c r="BB39">
        <v>0</v>
      </c>
      <c r="BE39">
        <v>0</v>
      </c>
      <c r="BH39">
        <v>4</v>
      </c>
    </row>
    <row r="40" spans="1:60" x14ac:dyDescent="0.25">
      <c r="A40" s="7" t="s">
        <v>39</v>
      </c>
    </row>
    <row r="41" spans="1:60" x14ac:dyDescent="0.25">
      <c r="A41" s="8" t="s">
        <v>79</v>
      </c>
      <c r="D41">
        <v>65</v>
      </c>
      <c r="G41">
        <v>30</v>
      </c>
      <c r="K41">
        <v>23</v>
      </c>
      <c r="L41">
        <v>31</v>
      </c>
      <c r="O41">
        <v>31</v>
      </c>
      <c r="Q41">
        <v>25</v>
      </c>
      <c r="S41">
        <v>30</v>
      </c>
      <c r="T41">
        <v>24</v>
      </c>
      <c r="X41">
        <v>28</v>
      </c>
      <c r="AC41">
        <v>31</v>
      </c>
      <c r="AD41">
        <v>25</v>
      </c>
      <c r="AH41">
        <v>29</v>
      </c>
      <c r="AK41">
        <v>25</v>
      </c>
      <c r="AM41">
        <v>32</v>
      </c>
      <c r="AO41">
        <v>23</v>
      </c>
      <c r="AR41">
        <v>29</v>
      </c>
      <c r="AV41">
        <v>29</v>
      </c>
      <c r="AX41">
        <v>10</v>
      </c>
      <c r="AZ41">
        <v>31</v>
      </c>
      <c r="BB41">
        <v>26</v>
      </c>
      <c r="BE41">
        <v>28</v>
      </c>
      <c r="BH41">
        <v>605</v>
      </c>
    </row>
    <row r="42" spans="1:60" x14ac:dyDescent="0.25">
      <c r="A42" s="8" t="s">
        <v>68</v>
      </c>
      <c r="D42">
        <v>0</v>
      </c>
      <c r="G42">
        <v>0</v>
      </c>
      <c r="K42">
        <v>0</v>
      </c>
      <c r="L42">
        <v>0</v>
      </c>
      <c r="O42">
        <v>0</v>
      </c>
      <c r="Q42">
        <v>0</v>
      </c>
      <c r="S42">
        <v>0</v>
      </c>
      <c r="T42">
        <v>0</v>
      </c>
      <c r="X42">
        <v>0</v>
      </c>
      <c r="AC42">
        <v>0</v>
      </c>
      <c r="AD42">
        <v>0</v>
      </c>
      <c r="AH42">
        <v>0</v>
      </c>
      <c r="AK42">
        <v>0</v>
      </c>
      <c r="AM42">
        <v>0</v>
      </c>
      <c r="AO42">
        <v>0</v>
      </c>
      <c r="AR42">
        <v>0</v>
      </c>
      <c r="AV42">
        <v>0</v>
      </c>
      <c r="AX42">
        <v>0</v>
      </c>
      <c r="AZ42">
        <v>0</v>
      </c>
      <c r="BB42">
        <v>0</v>
      </c>
      <c r="BE42">
        <v>0</v>
      </c>
      <c r="BH42">
        <v>0</v>
      </c>
    </row>
    <row r="43" spans="1:60" x14ac:dyDescent="0.25">
      <c r="A43" s="8" t="s">
        <v>61</v>
      </c>
      <c r="D43">
        <v>0</v>
      </c>
      <c r="G43">
        <v>0</v>
      </c>
      <c r="K43">
        <v>0</v>
      </c>
      <c r="L43">
        <v>0</v>
      </c>
      <c r="O43">
        <v>0</v>
      </c>
      <c r="Q43">
        <v>0</v>
      </c>
      <c r="S43">
        <v>0</v>
      </c>
      <c r="T43">
        <v>0</v>
      </c>
      <c r="X43">
        <v>0</v>
      </c>
      <c r="AC43">
        <v>0</v>
      </c>
      <c r="AD43">
        <v>0</v>
      </c>
      <c r="AH43">
        <v>0</v>
      </c>
      <c r="AK43">
        <v>0</v>
      </c>
      <c r="AM43">
        <v>0</v>
      </c>
      <c r="AO43">
        <v>0</v>
      </c>
      <c r="AR43">
        <v>0</v>
      </c>
      <c r="AV43">
        <v>0</v>
      </c>
      <c r="AX43">
        <v>0</v>
      </c>
      <c r="AZ43">
        <v>0</v>
      </c>
      <c r="BB43">
        <v>0</v>
      </c>
      <c r="BE43">
        <v>0</v>
      </c>
      <c r="BH43">
        <v>0</v>
      </c>
    </row>
    <row r="44" spans="1:60" x14ac:dyDescent="0.25">
      <c r="A44" s="8" t="s">
        <v>81</v>
      </c>
      <c r="D44">
        <v>1</v>
      </c>
      <c r="G44">
        <v>1</v>
      </c>
      <c r="K44">
        <v>1</v>
      </c>
      <c r="L44">
        <v>1</v>
      </c>
      <c r="O44">
        <v>1</v>
      </c>
      <c r="Q44">
        <v>0</v>
      </c>
      <c r="S44">
        <v>1</v>
      </c>
      <c r="T44">
        <v>1</v>
      </c>
      <c r="X44">
        <v>1</v>
      </c>
      <c r="AC44">
        <v>1</v>
      </c>
      <c r="AD44">
        <v>1</v>
      </c>
      <c r="AH44">
        <v>1</v>
      </c>
      <c r="AK44">
        <v>1</v>
      </c>
      <c r="AM44">
        <v>1</v>
      </c>
      <c r="AO44">
        <v>1</v>
      </c>
      <c r="AR44">
        <v>1</v>
      </c>
      <c r="AV44">
        <v>1</v>
      </c>
      <c r="AX44">
        <v>1</v>
      </c>
      <c r="AZ44">
        <v>1</v>
      </c>
      <c r="BB44">
        <v>1</v>
      </c>
      <c r="BE44">
        <v>1</v>
      </c>
      <c r="BH44">
        <v>20</v>
      </c>
    </row>
    <row r="45" spans="1:60" x14ac:dyDescent="0.25">
      <c r="A45" s="8" t="s">
        <v>62</v>
      </c>
      <c r="D45">
        <v>0</v>
      </c>
      <c r="G45">
        <v>0</v>
      </c>
      <c r="K45">
        <v>0</v>
      </c>
      <c r="L45">
        <v>0</v>
      </c>
      <c r="O45">
        <v>0</v>
      </c>
      <c r="Q45">
        <v>0</v>
      </c>
      <c r="S45">
        <v>0</v>
      </c>
      <c r="T45">
        <v>0</v>
      </c>
      <c r="X45">
        <v>0</v>
      </c>
      <c r="AC45">
        <v>0</v>
      </c>
      <c r="AD45">
        <v>0</v>
      </c>
      <c r="AH45">
        <v>0</v>
      </c>
      <c r="AK45">
        <v>0</v>
      </c>
      <c r="AM45">
        <v>0</v>
      </c>
      <c r="AO45">
        <v>0</v>
      </c>
      <c r="AR45">
        <v>0</v>
      </c>
      <c r="AV45">
        <v>0</v>
      </c>
      <c r="AX45">
        <v>0</v>
      </c>
      <c r="AZ45">
        <v>0</v>
      </c>
      <c r="BB45">
        <v>0</v>
      </c>
      <c r="BE45">
        <v>0</v>
      </c>
      <c r="BH45">
        <v>0</v>
      </c>
    </row>
    <row r="46" spans="1:60" x14ac:dyDescent="0.25">
      <c r="A46" s="8" t="s">
        <v>63</v>
      </c>
      <c r="D46">
        <v>0</v>
      </c>
      <c r="G46">
        <v>0</v>
      </c>
      <c r="K46">
        <v>0</v>
      </c>
      <c r="L46">
        <v>0</v>
      </c>
      <c r="O46">
        <v>0</v>
      </c>
      <c r="Q46">
        <v>0</v>
      </c>
      <c r="S46">
        <v>0</v>
      </c>
      <c r="T46">
        <v>0</v>
      </c>
      <c r="X46">
        <v>0</v>
      </c>
      <c r="AC46">
        <v>0</v>
      </c>
      <c r="AD46">
        <v>0</v>
      </c>
      <c r="AH46">
        <v>0</v>
      </c>
      <c r="AK46">
        <v>0</v>
      </c>
      <c r="AM46">
        <v>0</v>
      </c>
      <c r="AO46">
        <v>0</v>
      </c>
      <c r="AR46">
        <v>0</v>
      </c>
      <c r="AV46">
        <v>0</v>
      </c>
      <c r="AX46">
        <v>0</v>
      </c>
      <c r="AZ46">
        <v>0</v>
      </c>
      <c r="BB46">
        <v>0</v>
      </c>
      <c r="BE46">
        <v>0</v>
      </c>
      <c r="BH46">
        <v>0</v>
      </c>
    </row>
    <row r="47" spans="1:60" x14ac:dyDescent="0.25">
      <c r="A47" s="8" t="s">
        <v>64</v>
      </c>
      <c r="D47">
        <v>0</v>
      </c>
      <c r="G47">
        <v>0</v>
      </c>
      <c r="K47">
        <v>0</v>
      </c>
      <c r="L47">
        <v>0</v>
      </c>
      <c r="O47">
        <v>0</v>
      </c>
      <c r="Q47">
        <v>0</v>
      </c>
      <c r="S47">
        <v>0</v>
      </c>
      <c r="T47">
        <v>0</v>
      </c>
      <c r="X47">
        <v>0</v>
      </c>
      <c r="AC47">
        <v>0</v>
      </c>
      <c r="AD47">
        <v>0</v>
      </c>
      <c r="AH47">
        <v>0</v>
      </c>
      <c r="AK47">
        <v>0</v>
      </c>
      <c r="AM47">
        <v>0</v>
      </c>
      <c r="AO47">
        <v>0</v>
      </c>
      <c r="AR47">
        <v>0</v>
      </c>
      <c r="AV47">
        <v>0</v>
      </c>
      <c r="AX47">
        <v>0</v>
      </c>
      <c r="AZ47">
        <v>0</v>
      </c>
      <c r="BB47">
        <v>0</v>
      </c>
      <c r="BE47">
        <v>0</v>
      </c>
      <c r="BH47">
        <v>0</v>
      </c>
    </row>
    <row r="48" spans="1:60" x14ac:dyDescent="0.25">
      <c r="A48" s="8" t="s">
        <v>83</v>
      </c>
      <c r="D48">
        <v>0</v>
      </c>
      <c r="G48">
        <v>0</v>
      </c>
      <c r="K48">
        <v>0</v>
      </c>
      <c r="L48">
        <v>0</v>
      </c>
      <c r="O48">
        <v>0</v>
      </c>
      <c r="Q48">
        <v>0</v>
      </c>
      <c r="S48">
        <v>0</v>
      </c>
      <c r="T48">
        <v>0</v>
      </c>
      <c r="X48">
        <v>0</v>
      </c>
      <c r="AC48">
        <v>0</v>
      </c>
      <c r="AD48">
        <v>0</v>
      </c>
      <c r="AH48">
        <v>0</v>
      </c>
      <c r="AK48">
        <v>0</v>
      </c>
      <c r="AM48">
        <v>0</v>
      </c>
      <c r="AO48">
        <v>0</v>
      </c>
      <c r="AR48">
        <v>0</v>
      </c>
      <c r="AV48">
        <v>0</v>
      </c>
      <c r="AX48">
        <v>0</v>
      </c>
      <c r="AZ48">
        <v>0</v>
      </c>
      <c r="BB48">
        <v>0</v>
      </c>
      <c r="BE48">
        <v>0</v>
      </c>
      <c r="BH48">
        <v>0</v>
      </c>
    </row>
    <row r="49" spans="1:60" x14ac:dyDescent="0.25">
      <c r="A49" s="8" t="s">
        <v>85</v>
      </c>
      <c r="D49">
        <v>65</v>
      </c>
      <c r="G49">
        <v>30</v>
      </c>
      <c r="K49">
        <v>23</v>
      </c>
      <c r="L49">
        <v>31</v>
      </c>
      <c r="O49">
        <v>2</v>
      </c>
      <c r="Q49">
        <v>25</v>
      </c>
      <c r="S49">
        <v>30</v>
      </c>
      <c r="T49">
        <v>24</v>
      </c>
      <c r="X49">
        <v>0</v>
      </c>
      <c r="AC49">
        <v>31</v>
      </c>
      <c r="AD49">
        <v>25</v>
      </c>
      <c r="AH49">
        <v>29</v>
      </c>
      <c r="AK49">
        <v>0</v>
      </c>
      <c r="AM49">
        <v>0</v>
      </c>
      <c r="AO49">
        <v>23</v>
      </c>
      <c r="AR49">
        <v>29</v>
      </c>
      <c r="AV49">
        <v>29</v>
      </c>
      <c r="AX49">
        <v>10</v>
      </c>
      <c r="AZ49">
        <v>31</v>
      </c>
      <c r="BB49">
        <v>26</v>
      </c>
      <c r="BE49">
        <v>28</v>
      </c>
      <c r="BH49">
        <v>491</v>
      </c>
    </row>
    <row r="50" spans="1:60" x14ac:dyDescent="0.25">
      <c r="A50" s="8" t="s">
        <v>65</v>
      </c>
      <c r="D50">
        <v>0</v>
      </c>
      <c r="G50">
        <v>0</v>
      </c>
      <c r="K50">
        <v>0</v>
      </c>
      <c r="L50">
        <v>0</v>
      </c>
      <c r="O50">
        <v>0</v>
      </c>
      <c r="Q50">
        <v>0</v>
      </c>
      <c r="S50">
        <v>0</v>
      </c>
      <c r="T50">
        <v>0</v>
      </c>
      <c r="X50">
        <v>0</v>
      </c>
      <c r="AC50">
        <v>0</v>
      </c>
      <c r="AD50">
        <v>0</v>
      </c>
      <c r="AH50">
        <v>0</v>
      </c>
      <c r="AK50">
        <v>0</v>
      </c>
      <c r="AM50">
        <v>0</v>
      </c>
      <c r="AO50">
        <v>0</v>
      </c>
      <c r="AR50">
        <v>0</v>
      </c>
      <c r="AV50">
        <v>0</v>
      </c>
      <c r="AX50">
        <v>0</v>
      </c>
      <c r="AZ50">
        <v>0</v>
      </c>
      <c r="BB50">
        <v>0</v>
      </c>
      <c r="BE50">
        <v>0</v>
      </c>
      <c r="BH50">
        <v>0</v>
      </c>
    </row>
    <row r="51" spans="1:60" x14ac:dyDescent="0.25">
      <c r="A51" s="8" t="s">
        <v>66</v>
      </c>
      <c r="D51">
        <v>0</v>
      </c>
      <c r="G51">
        <v>0</v>
      </c>
      <c r="K51">
        <v>0</v>
      </c>
      <c r="L51">
        <v>0</v>
      </c>
      <c r="O51">
        <v>0</v>
      </c>
      <c r="Q51">
        <v>0</v>
      </c>
      <c r="S51">
        <v>0</v>
      </c>
      <c r="T51">
        <v>0</v>
      </c>
      <c r="X51">
        <v>0</v>
      </c>
      <c r="AC51">
        <v>0</v>
      </c>
      <c r="AD51">
        <v>0</v>
      </c>
      <c r="AH51">
        <v>0</v>
      </c>
      <c r="AK51">
        <v>0</v>
      </c>
      <c r="AM51">
        <v>0</v>
      </c>
      <c r="AO51">
        <v>0</v>
      </c>
      <c r="AR51">
        <v>0</v>
      </c>
      <c r="AV51">
        <v>0</v>
      </c>
      <c r="AX51">
        <v>0</v>
      </c>
      <c r="AZ51">
        <v>0</v>
      </c>
      <c r="BB51">
        <v>0</v>
      </c>
      <c r="BE51">
        <v>0</v>
      </c>
      <c r="BH51">
        <v>0</v>
      </c>
    </row>
    <row r="52" spans="1:60" x14ac:dyDescent="0.25">
      <c r="A52" s="8" t="s">
        <v>87</v>
      </c>
      <c r="D52">
        <v>0</v>
      </c>
      <c r="G52">
        <v>0</v>
      </c>
      <c r="K52">
        <v>0</v>
      </c>
      <c r="L52">
        <v>0</v>
      </c>
      <c r="O52">
        <v>0</v>
      </c>
      <c r="Q52">
        <v>0</v>
      </c>
      <c r="S52">
        <v>0</v>
      </c>
      <c r="T52">
        <v>0</v>
      </c>
      <c r="X52">
        <v>0</v>
      </c>
      <c r="AC52">
        <v>0</v>
      </c>
      <c r="AD52">
        <v>0</v>
      </c>
      <c r="AH52">
        <v>0</v>
      </c>
      <c r="AK52">
        <v>0</v>
      </c>
      <c r="AM52">
        <v>0</v>
      </c>
      <c r="AO52">
        <v>0</v>
      </c>
      <c r="AR52">
        <v>0</v>
      </c>
      <c r="AV52">
        <v>0</v>
      </c>
      <c r="AX52">
        <v>0</v>
      </c>
      <c r="AZ52">
        <v>0</v>
      </c>
      <c r="BB52">
        <v>0</v>
      </c>
      <c r="BE52">
        <v>0</v>
      </c>
      <c r="BH52">
        <v>0</v>
      </c>
    </row>
    <row r="53" spans="1:60" x14ac:dyDescent="0.25">
      <c r="A53" s="8" t="s">
        <v>89</v>
      </c>
      <c r="D53">
        <v>0</v>
      </c>
      <c r="G53">
        <v>0</v>
      </c>
      <c r="K53">
        <v>0</v>
      </c>
      <c r="L53">
        <v>0</v>
      </c>
      <c r="O53">
        <v>0</v>
      </c>
      <c r="Q53">
        <v>0</v>
      </c>
      <c r="S53">
        <v>0</v>
      </c>
      <c r="T53">
        <v>0</v>
      </c>
      <c r="X53">
        <v>0</v>
      </c>
      <c r="AC53">
        <v>0</v>
      </c>
      <c r="AD53">
        <v>0</v>
      </c>
      <c r="AH53">
        <v>0</v>
      </c>
      <c r="AK53">
        <v>0</v>
      </c>
      <c r="AM53">
        <v>0</v>
      </c>
      <c r="AO53">
        <v>0</v>
      </c>
      <c r="AR53">
        <v>0</v>
      </c>
      <c r="AV53">
        <v>0</v>
      </c>
      <c r="AX53">
        <v>0</v>
      </c>
      <c r="AZ53">
        <v>0</v>
      </c>
      <c r="BB53">
        <v>0</v>
      </c>
      <c r="BE53">
        <v>0</v>
      </c>
      <c r="BH53">
        <v>0</v>
      </c>
    </row>
    <row r="54" spans="1:60" x14ac:dyDescent="0.25">
      <c r="A54" s="8" t="s">
        <v>91</v>
      </c>
      <c r="D54">
        <v>0</v>
      </c>
      <c r="G54">
        <v>0</v>
      </c>
      <c r="K54">
        <v>0</v>
      </c>
      <c r="L54">
        <v>0</v>
      </c>
      <c r="O54">
        <v>0</v>
      </c>
      <c r="Q54">
        <v>0</v>
      </c>
      <c r="S54">
        <v>0</v>
      </c>
      <c r="T54">
        <v>0</v>
      </c>
      <c r="X54">
        <v>0</v>
      </c>
      <c r="AC54">
        <v>0</v>
      </c>
      <c r="AD54">
        <v>0</v>
      </c>
      <c r="AH54">
        <v>0</v>
      </c>
      <c r="AK54">
        <v>0</v>
      </c>
      <c r="AM54">
        <v>0</v>
      </c>
      <c r="AO54">
        <v>0</v>
      </c>
      <c r="AR54">
        <v>0</v>
      </c>
      <c r="AV54">
        <v>0</v>
      </c>
      <c r="AX54">
        <v>0</v>
      </c>
      <c r="AZ54">
        <v>0</v>
      </c>
      <c r="BB54">
        <v>0</v>
      </c>
      <c r="BE54">
        <v>0</v>
      </c>
      <c r="BH54">
        <v>0</v>
      </c>
    </row>
    <row r="55" spans="1:60" x14ac:dyDescent="0.25">
      <c r="A55" s="8" t="s">
        <v>67</v>
      </c>
      <c r="D55">
        <v>0</v>
      </c>
      <c r="G55">
        <v>0</v>
      </c>
      <c r="K55">
        <v>0</v>
      </c>
      <c r="L55">
        <v>0</v>
      </c>
      <c r="O55">
        <v>0</v>
      </c>
      <c r="Q55">
        <v>0</v>
      </c>
      <c r="S55">
        <v>0</v>
      </c>
      <c r="T55">
        <v>0</v>
      </c>
      <c r="X55">
        <v>0</v>
      </c>
      <c r="AC55">
        <v>0</v>
      </c>
      <c r="AD55">
        <v>0</v>
      </c>
      <c r="AH55">
        <v>0</v>
      </c>
      <c r="AK55">
        <v>0</v>
      </c>
      <c r="AM55">
        <v>0</v>
      </c>
      <c r="AO55">
        <v>0</v>
      </c>
      <c r="AR55">
        <v>0</v>
      </c>
      <c r="AV55">
        <v>0</v>
      </c>
      <c r="AX55">
        <v>0</v>
      </c>
      <c r="AZ55">
        <v>0</v>
      </c>
      <c r="BB55">
        <v>0</v>
      </c>
      <c r="BE55">
        <v>0</v>
      </c>
      <c r="BH55">
        <v>0</v>
      </c>
    </row>
    <row r="56" spans="1:60" x14ac:dyDescent="0.25">
      <c r="A56" s="8" t="s">
        <v>93</v>
      </c>
      <c r="D56">
        <v>0</v>
      </c>
      <c r="G56">
        <v>0</v>
      </c>
      <c r="K56">
        <v>0</v>
      </c>
      <c r="L56">
        <v>0</v>
      </c>
      <c r="O56">
        <v>0</v>
      </c>
      <c r="Q56">
        <v>0</v>
      </c>
      <c r="S56">
        <v>0</v>
      </c>
      <c r="T56">
        <v>0</v>
      </c>
      <c r="X56">
        <v>0</v>
      </c>
      <c r="AC56">
        <v>0</v>
      </c>
      <c r="AD56">
        <v>0</v>
      </c>
      <c r="AH56">
        <v>0</v>
      </c>
      <c r="AK56">
        <v>0</v>
      </c>
      <c r="AM56">
        <v>0</v>
      </c>
      <c r="AO56">
        <v>0</v>
      </c>
      <c r="AR56">
        <v>0</v>
      </c>
      <c r="AV56">
        <v>0</v>
      </c>
      <c r="AX56">
        <v>0</v>
      </c>
      <c r="AZ56">
        <v>0</v>
      </c>
      <c r="BB56">
        <v>0</v>
      </c>
      <c r="BE56">
        <v>0</v>
      </c>
      <c r="BH56">
        <v>0</v>
      </c>
    </row>
    <row r="57" spans="1:60" x14ac:dyDescent="0.25">
      <c r="A57" s="7" t="s">
        <v>44</v>
      </c>
    </row>
    <row r="58" spans="1:60" x14ac:dyDescent="0.25">
      <c r="A58" s="8" t="s">
        <v>79</v>
      </c>
      <c r="D58">
        <v>85</v>
      </c>
      <c r="G58">
        <v>41</v>
      </c>
      <c r="K58">
        <v>63</v>
      </c>
      <c r="L58">
        <v>77</v>
      </c>
      <c r="O58">
        <v>79</v>
      </c>
      <c r="Q58">
        <v>80</v>
      </c>
      <c r="S58">
        <v>45</v>
      </c>
      <c r="T58">
        <v>67</v>
      </c>
      <c r="X58">
        <v>80</v>
      </c>
      <c r="Z58">
        <v>83</v>
      </c>
      <c r="AC58">
        <v>46</v>
      </c>
      <c r="AH58">
        <v>69</v>
      </c>
      <c r="AK58">
        <v>70</v>
      </c>
      <c r="AM58">
        <v>53</v>
      </c>
      <c r="AO58">
        <v>52</v>
      </c>
      <c r="AR58">
        <v>63</v>
      </c>
      <c r="AU58">
        <v>0</v>
      </c>
      <c r="AV58">
        <v>78</v>
      </c>
      <c r="AX58">
        <v>82</v>
      </c>
      <c r="AZ58">
        <v>43</v>
      </c>
      <c r="BC58">
        <v>0</v>
      </c>
      <c r="BE58">
        <v>44</v>
      </c>
      <c r="BH58">
        <v>1300</v>
      </c>
    </row>
    <row r="59" spans="1:60" x14ac:dyDescent="0.25">
      <c r="A59" s="8" t="s">
        <v>68</v>
      </c>
      <c r="D59">
        <v>0</v>
      </c>
      <c r="G59">
        <v>0</v>
      </c>
      <c r="K59">
        <v>0</v>
      </c>
      <c r="L59">
        <v>0</v>
      </c>
      <c r="O59">
        <v>0</v>
      </c>
      <c r="Q59">
        <v>0</v>
      </c>
      <c r="S59">
        <v>0</v>
      </c>
      <c r="T59">
        <v>0</v>
      </c>
      <c r="X59">
        <v>0</v>
      </c>
      <c r="Z59">
        <v>0</v>
      </c>
      <c r="AC59">
        <v>0</v>
      </c>
      <c r="AH59">
        <v>0</v>
      </c>
      <c r="AK59">
        <v>0</v>
      </c>
      <c r="AM59">
        <v>0</v>
      </c>
      <c r="AO59">
        <v>0</v>
      </c>
      <c r="AR59">
        <v>0</v>
      </c>
      <c r="AU59">
        <v>0</v>
      </c>
      <c r="AV59">
        <v>0</v>
      </c>
      <c r="AX59">
        <v>0</v>
      </c>
      <c r="AZ59">
        <v>0</v>
      </c>
      <c r="BC59">
        <v>0</v>
      </c>
      <c r="BE59">
        <v>0</v>
      </c>
      <c r="BH59">
        <v>0</v>
      </c>
    </row>
    <row r="60" spans="1:60" x14ac:dyDescent="0.25">
      <c r="A60" s="8" t="s">
        <v>61</v>
      </c>
      <c r="D60">
        <v>0</v>
      </c>
      <c r="G60">
        <v>0</v>
      </c>
      <c r="K60">
        <v>0</v>
      </c>
      <c r="L60">
        <v>0</v>
      </c>
      <c r="O60">
        <v>0</v>
      </c>
      <c r="Q60">
        <v>0</v>
      </c>
      <c r="S60">
        <v>0</v>
      </c>
      <c r="T60">
        <v>0</v>
      </c>
      <c r="X60">
        <v>0</v>
      </c>
      <c r="Z60">
        <v>0</v>
      </c>
      <c r="AC60">
        <v>0</v>
      </c>
      <c r="AH60">
        <v>0</v>
      </c>
      <c r="AK60">
        <v>0</v>
      </c>
      <c r="AM60">
        <v>0</v>
      </c>
      <c r="AO60">
        <v>0</v>
      </c>
      <c r="AR60">
        <v>0</v>
      </c>
      <c r="AU60">
        <v>0</v>
      </c>
      <c r="AV60">
        <v>0</v>
      </c>
      <c r="AX60">
        <v>0</v>
      </c>
      <c r="AZ60">
        <v>0</v>
      </c>
      <c r="BC60">
        <v>0</v>
      </c>
      <c r="BE60">
        <v>0</v>
      </c>
      <c r="BH60">
        <v>0</v>
      </c>
    </row>
    <row r="61" spans="1:60" x14ac:dyDescent="0.25">
      <c r="A61" s="8" t="s">
        <v>81</v>
      </c>
      <c r="D61">
        <v>1</v>
      </c>
      <c r="G61">
        <v>0</v>
      </c>
      <c r="K61">
        <v>1</v>
      </c>
      <c r="L61">
        <v>0</v>
      </c>
      <c r="O61">
        <v>0</v>
      </c>
      <c r="Q61">
        <v>1</v>
      </c>
      <c r="S61">
        <v>0</v>
      </c>
      <c r="T61">
        <v>1</v>
      </c>
      <c r="X61">
        <v>1</v>
      </c>
      <c r="Z61">
        <v>1</v>
      </c>
      <c r="AC61">
        <v>1</v>
      </c>
      <c r="AH61">
        <v>1</v>
      </c>
      <c r="AK61">
        <v>1</v>
      </c>
      <c r="AM61">
        <v>0</v>
      </c>
      <c r="AO61">
        <v>1</v>
      </c>
      <c r="AR61">
        <v>0</v>
      </c>
      <c r="AU61">
        <v>0</v>
      </c>
      <c r="AV61">
        <v>1</v>
      </c>
      <c r="AX61">
        <v>1</v>
      </c>
      <c r="AZ61">
        <v>0</v>
      </c>
      <c r="BC61">
        <v>0</v>
      </c>
      <c r="BE61">
        <v>0</v>
      </c>
      <c r="BH61">
        <v>12</v>
      </c>
    </row>
    <row r="62" spans="1:60" x14ac:dyDescent="0.25">
      <c r="A62" s="8" t="s">
        <v>62</v>
      </c>
      <c r="D62">
        <v>0</v>
      </c>
      <c r="G62">
        <v>0</v>
      </c>
      <c r="K62">
        <v>0</v>
      </c>
      <c r="L62">
        <v>0</v>
      </c>
      <c r="O62">
        <v>0</v>
      </c>
      <c r="Q62">
        <v>0</v>
      </c>
      <c r="S62">
        <v>0</v>
      </c>
      <c r="T62">
        <v>0</v>
      </c>
      <c r="X62">
        <v>0</v>
      </c>
      <c r="Z62">
        <v>0</v>
      </c>
      <c r="AC62">
        <v>0</v>
      </c>
      <c r="AH62">
        <v>0</v>
      </c>
      <c r="AK62">
        <v>0</v>
      </c>
      <c r="AM62">
        <v>0</v>
      </c>
      <c r="AO62">
        <v>0</v>
      </c>
      <c r="AR62">
        <v>0</v>
      </c>
      <c r="AU62">
        <v>0</v>
      </c>
      <c r="AV62">
        <v>0</v>
      </c>
      <c r="AX62">
        <v>0</v>
      </c>
      <c r="AZ62">
        <v>0</v>
      </c>
      <c r="BC62">
        <v>0</v>
      </c>
      <c r="BE62">
        <v>0</v>
      </c>
      <c r="BH62">
        <v>0</v>
      </c>
    </row>
    <row r="63" spans="1:60" x14ac:dyDescent="0.25">
      <c r="A63" s="8" t="s">
        <v>63</v>
      </c>
      <c r="D63">
        <v>0</v>
      </c>
      <c r="G63">
        <v>0</v>
      </c>
      <c r="K63">
        <v>0</v>
      </c>
      <c r="L63">
        <v>0</v>
      </c>
      <c r="O63">
        <v>0</v>
      </c>
      <c r="Q63">
        <v>0</v>
      </c>
      <c r="S63">
        <v>0</v>
      </c>
      <c r="T63">
        <v>0</v>
      </c>
      <c r="X63">
        <v>0</v>
      </c>
      <c r="Z63">
        <v>0</v>
      </c>
      <c r="AC63">
        <v>0</v>
      </c>
      <c r="AH63">
        <v>0</v>
      </c>
      <c r="AK63">
        <v>0</v>
      </c>
      <c r="AM63">
        <v>0</v>
      </c>
      <c r="AO63">
        <v>0</v>
      </c>
      <c r="AR63">
        <v>0</v>
      </c>
      <c r="AU63">
        <v>0</v>
      </c>
      <c r="AV63">
        <v>0</v>
      </c>
      <c r="AX63">
        <v>0</v>
      </c>
      <c r="AZ63">
        <v>0</v>
      </c>
      <c r="BC63">
        <v>0</v>
      </c>
      <c r="BE63">
        <v>0</v>
      </c>
      <c r="BH63">
        <v>0</v>
      </c>
    </row>
    <row r="64" spans="1:60" x14ac:dyDescent="0.25">
      <c r="A64" s="8" t="s">
        <v>64</v>
      </c>
      <c r="D64">
        <v>0</v>
      </c>
      <c r="G64">
        <v>0</v>
      </c>
      <c r="K64">
        <v>0</v>
      </c>
      <c r="L64">
        <v>0</v>
      </c>
      <c r="O64">
        <v>0</v>
      </c>
      <c r="Q64">
        <v>0</v>
      </c>
      <c r="S64">
        <v>0</v>
      </c>
      <c r="T64">
        <v>0</v>
      </c>
      <c r="X64">
        <v>0</v>
      </c>
      <c r="Z64">
        <v>0</v>
      </c>
      <c r="AC64">
        <v>0</v>
      </c>
      <c r="AH64">
        <v>0</v>
      </c>
      <c r="AK64">
        <v>0</v>
      </c>
      <c r="AM64">
        <v>0</v>
      </c>
      <c r="AO64">
        <v>0</v>
      </c>
      <c r="AR64">
        <v>0</v>
      </c>
      <c r="AU64">
        <v>0</v>
      </c>
      <c r="AV64">
        <v>0</v>
      </c>
      <c r="AX64">
        <v>0</v>
      </c>
      <c r="AZ64">
        <v>0</v>
      </c>
      <c r="BC64">
        <v>0</v>
      </c>
      <c r="BE64">
        <v>0</v>
      </c>
      <c r="BH64">
        <v>0</v>
      </c>
    </row>
    <row r="65" spans="1:60" x14ac:dyDescent="0.25">
      <c r="A65" s="8" t="s">
        <v>83</v>
      </c>
      <c r="D65">
        <v>0</v>
      </c>
      <c r="G65">
        <v>0</v>
      </c>
      <c r="K65">
        <v>0</v>
      </c>
      <c r="L65">
        <v>0</v>
      </c>
      <c r="O65">
        <v>0</v>
      </c>
      <c r="Q65">
        <v>0</v>
      </c>
      <c r="S65">
        <v>0</v>
      </c>
      <c r="T65">
        <v>0</v>
      </c>
      <c r="X65">
        <v>0</v>
      </c>
      <c r="Z65">
        <v>0</v>
      </c>
      <c r="AC65">
        <v>0</v>
      </c>
      <c r="AH65">
        <v>0</v>
      </c>
      <c r="AK65">
        <v>0</v>
      </c>
      <c r="AM65">
        <v>0</v>
      </c>
      <c r="AO65">
        <v>0</v>
      </c>
      <c r="AR65">
        <v>0</v>
      </c>
      <c r="AU65">
        <v>0</v>
      </c>
      <c r="AV65">
        <v>0</v>
      </c>
      <c r="AX65">
        <v>0</v>
      </c>
      <c r="AZ65">
        <v>0</v>
      </c>
      <c r="BC65">
        <v>0</v>
      </c>
      <c r="BE65">
        <v>0</v>
      </c>
      <c r="BH65">
        <v>0</v>
      </c>
    </row>
    <row r="66" spans="1:60" x14ac:dyDescent="0.25">
      <c r="A66" s="8" t="s">
        <v>85</v>
      </c>
      <c r="D66">
        <v>0</v>
      </c>
      <c r="G66">
        <v>0</v>
      </c>
      <c r="K66">
        <v>0</v>
      </c>
      <c r="L66">
        <v>0</v>
      </c>
      <c r="O66">
        <v>0</v>
      </c>
      <c r="Q66">
        <v>0</v>
      </c>
      <c r="S66">
        <v>0</v>
      </c>
      <c r="T66">
        <v>0</v>
      </c>
      <c r="X66">
        <v>0</v>
      </c>
      <c r="Z66">
        <v>0</v>
      </c>
      <c r="AC66">
        <v>0</v>
      </c>
      <c r="AH66">
        <v>0</v>
      </c>
      <c r="AK66">
        <v>0</v>
      </c>
      <c r="AM66">
        <v>0</v>
      </c>
      <c r="AO66">
        <v>0</v>
      </c>
      <c r="AR66">
        <v>0</v>
      </c>
      <c r="AU66">
        <v>0</v>
      </c>
      <c r="AV66">
        <v>0</v>
      </c>
      <c r="AX66">
        <v>0</v>
      </c>
      <c r="AZ66">
        <v>0</v>
      </c>
      <c r="BC66">
        <v>0</v>
      </c>
      <c r="BE66">
        <v>0</v>
      </c>
      <c r="BH66">
        <v>0</v>
      </c>
    </row>
    <row r="67" spans="1:60" x14ac:dyDescent="0.25">
      <c r="A67" s="8" t="s">
        <v>65</v>
      </c>
      <c r="D67">
        <v>0</v>
      </c>
      <c r="G67">
        <v>0</v>
      </c>
      <c r="K67">
        <v>0</v>
      </c>
      <c r="L67">
        <v>0</v>
      </c>
      <c r="O67">
        <v>0</v>
      </c>
      <c r="Q67">
        <v>0</v>
      </c>
      <c r="S67">
        <v>0</v>
      </c>
      <c r="T67">
        <v>0</v>
      </c>
      <c r="X67">
        <v>0</v>
      </c>
      <c r="Z67">
        <v>0</v>
      </c>
      <c r="AC67">
        <v>0</v>
      </c>
      <c r="AH67">
        <v>0</v>
      </c>
      <c r="AK67">
        <v>0</v>
      </c>
      <c r="AM67">
        <v>0</v>
      </c>
      <c r="AO67">
        <v>0</v>
      </c>
      <c r="AR67">
        <v>0</v>
      </c>
      <c r="AU67">
        <v>0</v>
      </c>
      <c r="AV67">
        <v>0</v>
      </c>
      <c r="AX67">
        <v>0</v>
      </c>
      <c r="AZ67">
        <v>0</v>
      </c>
      <c r="BC67">
        <v>0</v>
      </c>
      <c r="BE67">
        <v>0</v>
      </c>
      <c r="BH67">
        <v>0</v>
      </c>
    </row>
    <row r="68" spans="1:60" x14ac:dyDescent="0.25">
      <c r="A68" s="8" t="s">
        <v>66</v>
      </c>
      <c r="D68">
        <v>0</v>
      </c>
      <c r="G68">
        <v>0</v>
      </c>
      <c r="K68">
        <v>0</v>
      </c>
      <c r="L68">
        <v>0</v>
      </c>
      <c r="O68">
        <v>0</v>
      </c>
      <c r="Q68">
        <v>0</v>
      </c>
      <c r="S68">
        <v>0</v>
      </c>
      <c r="T68">
        <v>0</v>
      </c>
      <c r="X68">
        <v>0</v>
      </c>
      <c r="Z68">
        <v>0</v>
      </c>
      <c r="AC68">
        <v>0</v>
      </c>
      <c r="AH68">
        <v>0</v>
      </c>
      <c r="AK68">
        <v>0</v>
      </c>
      <c r="AM68">
        <v>0</v>
      </c>
      <c r="AO68">
        <v>0</v>
      </c>
      <c r="AR68">
        <v>0</v>
      </c>
      <c r="AU68">
        <v>1</v>
      </c>
      <c r="AV68">
        <v>0</v>
      </c>
      <c r="AX68">
        <v>0</v>
      </c>
      <c r="AZ68">
        <v>0</v>
      </c>
      <c r="BC68">
        <v>0</v>
      </c>
      <c r="BE68">
        <v>0</v>
      </c>
      <c r="BH68">
        <v>1</v>
      </c>
    </row>
    <row r="69" spans="1:60" x14ac:dyDescent="0.25">
      <c r="A69" s="8" t="s">
        <v>87</v>
      </c>
      <c r="D69">
        <v>0</v>
      </c>
      <c r="G69">
        <v>0</v>
      </c>
      <c r="K69">
        <v>0</v>
      </c>
      <c r="L69">
        <v>0</v>
      </c>
      <c r="O69">
        <v>0</v>
      </c>
      <c r="Q69">
        <v>0</v>
      </c>
      <c r="S69">
        <v>0</v>
      </c>
      <c r="T69">
        <v>0</v>
      </c>
      <c r="X69">
        <v>0</v>
      </c>
      <c r="Z69">
        <v>0</v>
      </c>
      <c r="AC69">
        <v>0</v>
      </c>
      <c r="AH69">
        <v>0</v>
      </c>
      <c r="AK69">
        <v>0</v>
      </c>
      <c r="AM69">
        <v>0</v>
      </c>
      <c r="AO69">
        <v>0</v>
      </c>
      <c r="AR69">
        <v>0</v>
      </c>
      <c r="AU69">
        <v>6</v>
      </c>
      <c r="AV69">
        <v>0</v>
      </c>
      <c r="AX69">
        <v>0</v>
      </c>
      <c r="AZ69">
        <v>0</v>
      </c>
      <c r="BC69">
        <v>0</v>
      </c>
      <c r="BE69">
        <v>0</v>
      </c>
      <c r="BH69">
        <v>6</v>
      </c>
    </row>
    <row r="70" spans="1:60" x14ac:dyDescent="0.25">
      <c r="A70" s="8" t="s">
        <v>89</v>
      </c>
      <c r="D70">
        <v>0</v>
      </c>
      <c r="G70">
        <v>0</v>
      </c>
      <c r="K70">
        <v>0</v>
      </c>
      <c r="L70">
        <v>0</v>
      </c>
      <c r="O70">
        <v>0</v>
      </c>
      <c r="Q70">
        <v>0</v>
      </c>
      <c r="S70">
        <v>0</v>
      </c>
      <c r="T70">
        <v>0</v>
      </c>
      <c r="X70">
        <v>0</v>
      </c>
      <c r="Z70">
        <v>0</v>
      </c>
      <c r="AC70">
        <v>0</v>
      </c>
      <c r="AH70">
        <v>0</v>
      </c>
      <c r="AK70">
        <v>0</v>
      </c>
      <c r="AM70">
        <v>0</v>
      </c>
      <c r="AO70">
        <v>0</v>
      </c>
      <c r="AR70">
        <v>0</v>
      </c>
      <c r="AU70">
        <v>50</v>
      </c>
      <c r="AV70">
        <v>0</v>
      </c>
      <c r="AX70">
        <v>0</v>
      </c>
      <c r="AZ70">
        <v>0</v>
      </c>
      <c r="BC70">
        <v>0</v>
      </c>
      <c r="BE70">
        <v>0</v>
      </c>
      <c r="BH70">
        <v>50</v>
      </c>
    </row>
    <row r="71" spans="1:60" x14ac:dyDescent="0.25">
      <c r="A71" s="8" t="s">
        <v>91</v>
      </c>
      <c r="D71">
        <v>0</v>
      </c>
      <c r="G71">
        <v>0</v>
      </c>
      <c r="K71">
        <v>0</v>
      </c>
      <c r="L71">
        <v>0</v>
      </c>
      <c r="O71">
        <v>0</v>
      </c>
      <c r="Q71">
        <v>0</v>
      </c>
      <c r="S71">
        <v>0</v>
      </c>
      <c r="T71">
        <v>0</v>
      </c>
      <c r="X71">
        <v>0</v>
      </c>
      <c r="Z71">
        <v>0</v>
      </c>
      <c r="AC71">
        <v>0</v>
      </c>
      <c r="AH71">
        <v>0</v>
      </c>
      <c r="AK71">
        <v>0</v>
      </c>
      <c r="AM71">
        <v>0</v>
      </c>
      <c r="AO71">
        <v>0</v>
      </c>
      <c r="AR71">
        <v>0</v>
      </c>
      <c r="AU71">
        <v>0</v>
      </c>
      <c r="AV71">
        <v>0</v>
      </c>
      <c r="AX71">
        <v>0</v>
      </c>
      <c r="AZ71">
        <v>0</v>
      </c>
      <c r="BC71">
        <v>0</v>
      </c>
      <c r="BE71">
        <v>0</v>
      </c>
      <c r="BH71">
        <v>0</v>
      </c>
    </row>
    <row r="72" spans="1:60" x14ac:dyDescent="0.25">
      <c r="A72" s="8" t="s">
        <v>67</v>
      </c>
      <c r="D72">
        <v>0</v>
      </c>
      <c r="G72">
        <v>0</v>
      </c>
      <c r="K72">
        <v>0</v>
      </c>
      <c r="L72">
        <v>0</v>
      </c>
      <c r="O72">
        <v>0</v>
      </c>
      <c r="Q72">
        <v>0</v>
      </c>
      <c r="S72">
        <v>0</v>
      </c>
      <c r="T72">
        <v>0</v>
      </c>
      <c r="X72">
        <v>0</v>
      </c>
      <c r="Z72">
        <v>0</v>
      </c>
      <c r="AC72">
        <v>0</v>
      </c>
      <c r="AH72">
        <v>0</v>
      </c>
      <c r="AK72">
        <v>0</v>
      </c>
      <c r="AM72">
        <v>0</v>
      </c>
      <c r="AO72">
        <v>0</v>
      </c>
      <c r="AR72">
        <v>0</v>
      </c>
      <c r="AU72">
        <v>1</v>
      </c>
      <c r="AV72">
        <v>0</v>
      </c>
      <c r="AX72">
        <v>0</v>
      </c>
      <c r="AZ72">
        <v>0</v>
      </c>
      <c r="BC72">
        <v>0</v>
      </c>
      <c r="BE72">
        <v>0</v>
      </c>
      <c r="BH72">
        <v>1</v>
      </c>
    </row>
    <row r="73" spans="1:60" x14ac:dyDescent="0.25">
      <c r="A73" s="8" t="s">
        <v>93</v>
      </c>
      <c r="D73">
        <v>0</v>
      </c>
      <c r="G73">
        <v>0</v>
      </c>
      <c r="K73">
        <v>0</v>
      </c>
      <c r="L73">
        <v>0</v>
      </c>
      <c r="O73">
        <v>0</v>
      </c>
      <c r="Q73">
        <v>0</v>
      </c>
      <c r="S73">
        <v>0</v>
      </c>
      <c r="T73">
        <v>0</v>
      </c>
      <c r="X73">
        <v>0</v>
      </c>
      <c r="Z73">
        <v>0</v>
      </c>
      <c r="AC73">
        <v>0</v>
      </c>
      <c r="AH73">
        <v>0</v>
      </c>
      <c r="AK73">
        <v>0</v>
      </c>
      <c r="AM73">
        <v>0</v>
      </c>
      <c r="AO73">
        <v>0</v>
      </c>
      <c r="AR73">
        <v>0</v>
      </c>
      <c r="AU73">
        <v>0</v>
      </c>
      <c r="AV73">
        <v>0</v>
      </c>
      <c r="AX73">
        <v>0</v>
      </c>
      <c r="AZ73">
        <v>0</v>
      </c>
      <c r="BC73">
        <v>0</v>
      </c>
      <c r="BE73">
        <v>0</v>
      </c>
      <c r="BH73">
        <v>0</v>
      </c>
    </row>
    <row r="74" spans="1:60" x14ac:dyDescent="0.25">
      <c r="A74" s="7" t="s">
        <v>37</v>
      </c>
    </row>
    <row r="75" spans="1:60" x14ac:dyDescent="0.25">
      <c r="A75" s="8" t="s">
        <v>79</v>
      </c>
      <c r="D75">
        <v>77</v>
      </c>
      <c r="G75">
        <v>59</v>
      </c>
      <c r="K75">
        <v>73</v>
      </c>
      <c r="L75">
        <v>85</v>
      </c>
      <c r="O75">
        <v>72</v>
      </c>
      <c r="Q75">
        <v>87</v>
      </c>
      <c r="S75">
        <v>57</v>
      </c>
      <c r="T75">
        <v>76</v>
      </c>
      <c r="X75">
        <v>61</v>
      </c>
      <c r="Z75">
        <v>77</v>
      </c>
      <c r="AC75">
        <v>42</v>
      </c>
      <c r="AD75">
        <v>65</v>
      </c>
      <c r="AH75">
        <v>56</v>
      </c>
      <c r="AK75">
        <v>79</v>
      </c>
      <c r="AM75">
        <v>49</v>
      </c>
      <c r="AO75">
        <v>71</v>
      </c>
      <c r="AR75">
        <v>88</v>
      </c>
      <c r="AV75">
        <v>62</v>
      </c>
      <c r="AX75">
        <v>82</v>
      </c>
      <c r="AZ75">
        <v>58</v>
      </c>
      <c r="BB75">
        <v>71</v>
      </c>
      <c r="BE75">
        <v>81</v>
      </c>
      <c r="BH75">
        <v>1528</v>
      </c>
    </row>
    <row r="76" spans="1:60" x14ac:dyDescent="0.25">
      <c r="A76" s="8" t="s">
        <v>68</v>
      </c>
      <c r="D76">
        <v>0</v>
      </c>
      <c r="G76">
        <v>0</v>
      </c>
      <c r="K76">
        <v>0</v>
      </c>
      <c r="L76">
        <v>0</v>
      </c>
      <c r="O76">
        <v>0</v>
      </c>
      <c r="Q76">
        <v>0</v>
      </c>
      <c r="S76">
        <v>0</v>
      </c>
      <c r="T76">
        <v>0</v>
      </c>
      <c r="X76">
        <v>6</v>
      </c>
      <c r="Z76">
        <v>0</v>
      </c>
      <c r="AC76">
        <v>0</v>
      </c>
      <c r="AD76">
        <v>0</v>
      </c>
      <c r="AH76">
        <v>0</v>
      </c>
      <c r="AK76">
        <v>0</v>
      </c>
      <c r="AM76">
        <v>0</v>
      </c>
      <c r="AO76">
        <v>0</v>
      </c>
      <c r="AR76">
        <v>0</v>
      </c>
      <c r="AV76">
        <v>0</v>
      </c>
      <c r="AX76">
        <v>0</v>
      </c>
      <c r="AZ76">
        <v>0</v>
      </c>
      <c r="BB76">
        <v>0</v>
      </c>
      <c r="BE76">
        <v>0</v>
      </c>
      <c r="BH76">
        <v>6</v>
      </c>
    </row>
    <row r="77" spans="1:60" x14ac:dyDescent="0.25">
      <c r="A77" s="8" t="s">
        <v>61</v>
      </c>
      <c r="D77">
        <v>0</v>
      </c>
      <c r="G77">
        <v>0</v>
      </c>
      <c r="K77">
        <v>0</v>
      </c>
      <c r="L77">
        <v>0</v>
      </c>
      <c r="O77">
        <v>0</v>
      </c>
      <c r="Q77">
        <v>0</v>
      </c>
      <c r="S77">
        <v>0</v>
      </c>
      <c r="T77">
        <v>0</v>
      </c>
      <c r="X77">
        <v>0</v>
      </c>
      <c r="Z77">
        <v>0</v>
      </c>
      <c r="AC77">
        <v>0</v>
      </c>
      <c r="AD77">
        <v>0</v>
      </c>
      <c r="AH77">
        <v>0</v>
      </c>
      <c r="AK77">
        <v>0</v>
      </c>
      <c r="AM77">
        <v>0</v>
      </c>
      <c r="AO77">
        <v>0</v>
      </c>
      <c r="AR77">
        <v>0</v>
      </c>
      <c r="AV77">
        <v>0</v>
      </c>
      <c r="AX77">
        <v>0</v>
      </c>
      <c r="AZ77">
        <v>0</v>
      </c>
      <c r="BB77">
        <v>0</v>
      </c>
      <c r="BE77">
        <v>0</v>
      </c>
      <c r="BH77">
        <v>0</v>
      </c>
    </row>
    <row r="78" spans="1:60" x14ac:dyDescent="0.25">
      <c r="A78" s="8" t="s">
        <v>81</v>
      </c>
      <c r="D78">
        <v>1</v>
      </c>
      <c r="G78">
        <v>1</v>
      </c>
      <c r="K78">
        <v>1</v>
      </c>
      <c r="L78">
        <v>1</v>
      </c>
      <c r="O78">
        <v>1</v>
      </c>
      <c r="Q78">
        <v>1</v>
      </c>
      <c r="S78">
        <v>1</v>
      </c>
      <c r="T78">
        <v>1</v>
      </c>
      <c r="X78">
        <v>1</v>
      </c>
      <c r="Z78">
        <v>1</v>
      </c>
      <c r="AC78">
        <v>1</v>
      </c>
      <c r="AD78">
        <v>1</v>
      </c>
      <c r="AH78">
        <v>1</v>
      </c>
      <c r="AK78">
        <v>1</v>
      </c>
      <c r="AM78">
        <v>1</v>
      </c>
      <c r="AO78">
        <v>1</v>
      </c>
      <c r="AR78">
        <v>1</v>
      </c>
      <c r="AV78">
        <v>1</v>
      </c>
      <c r="AX78">
        <v>1</v>
      </c>
      <c r="AZ78">
        <v>1</v>
      </c>
      <c r="BB78">
        <v>1</v>
      </c>
      <c r="BE78">
        <v>1</v>
      </c>
      <c r="BH78">
        <v>22</v>
      </c>
    </row>
    <row r="79" spans="1:60" x14ac:dyDescent="0.25">
      <c r="A79" s="8" t="s">
        <v>62</v>
      </c>
      <c r="D79">
        <v>0</v>
      </c>
      <c r="G79">
        <v>0</v>
      </c>
      <c r="K79">
        <v>0</v>
      </c>
      <c r="L79">
        <v>0</v>
      </c>
      <c r="O79">
        <v>0</v>
      </c>
      <c r="Q79">
        <v>0</v>
      </c>
      <c r="S79">
        <v>0</v>
      </c>
      <c r="T79">
        <v>0</v>
      </c>
      <c r="X79">
        <v>0</v>
      </c>
      <c r="Z79">
        <v>0</v>
      </c>
      <c r="AC79">
        <v>0</v>
      </c>
      <c r="AD79">
        <v>0</v>
      </c>
      <c r="AH79">
        <v>0</v>
      </c>
      <c r="AK79">
        <v>0</v>
      </c>
      <c r="AM79">
        <v>0</v>
      </c>
      <c r="AO79">
        <v>0</v>
      </c>
      <c r="AR79">
        <v>0</v>
      </c>
      <c r="AV79">
        <v>0</v>
      </c>
      <c r="AX79">
        <v>0</v>
      </c>
      <c r="AZ79">
        <v>0</v>
      </c>
      <c r="BB79">
        <v>0</v>
      </c>
      <c r="BE79">
        <v>0</v>
      </c>
      <c r="BH79">
        <v>0</v>
      </c>
    </row>
    <row r="80" spans="1:60" x14ac:dyDescent="0.25">
      <c r="A80" s="8" t="s">
        <v>63</v>
      </c>
      <c r="D80">
        <v>0</v>
      </c>
      <c r="G80">
        <v>0</v>
      </c>
      <c r="K80">
        <v>0</v>
      </c>
      <c r="L80">
        <v>0</v>
      </c>
      <c r="O80">
        <v>0</v>
      </c>
      <c r="Q80">
        <v>0</v>
      </c>
      <c r="S80">
        <v>0</v>
      </c>
      <c r="T80">
        <v>0</v>
      </c>
      <c r="X80">
        <v>0</v>
      </c>
      <c r="Z80">
        <v>0</v>
      </c>
      <c r="AC80">
        <v>0</v>
      </c>
      <c r="AD80">
        <v>0</v>
      </c>
      <c r="AH80">
        <v>0</v>
      </c>
      <c r="AK80">
        <v>0</v>
      </c>
      <c r="AM80">
        <v>0</v>
      </c>
      <c r="AO80">
        <v>0</v>
      </c>
      <c r="AR80">
        <v>0</v>
      </c>
      <c r="AV80">
        <v>0</v>
      </c>
      <c r="AX80">
        <v>0</v>
      </c>
      <c r="AZ80">
        <v>0</v>
      </c>
      <c r="BB80">
        <v>0</v>
      </c>
      <c r="BE80">
        <v>0</v>
      </c>
      <c r="BH80">
        <v>0</v>
      </c>
    </row>
    <row r="81" spans="1:60" x14ac:dyDescent="0.25">
      <c r="A81" s="8" t="s">
        <v>64</v>
      </c>
      <c r="D81">
        <v>0</v>
      </c>
      <c r="G81">
        <v>0</v>
      </c>
      <c r="K81">
        <v>0</v>
      </c>
      <c r="L81">
        <v>0</v>
      </c>
      <c r="O81">
        <v>0</v>
      </c>
      <c r="Q81">
        <v>0</v>
      </c>
      <c r="S81">
        <v>0</v>
      </c>
      <c r="T81">
        <v>0</v>
      </c>
      <c r="X81">
        <v>0</v>
      </c>
      <c r="Z81">
        <v>0</v>
      </c>
      <c r="AC81">
        <v>0</v>
      </c>
      <c r="AD81">
        <v>0</v>
      </c>
      <c r="AH81">
        <v>0</v>
      </c>
      <c r="AK81">
        <v>0</v>
      </c>
      <c r="AM81">
        <v>0</v>
      </c>
      <c r="AO81">
        <v>0</v>
      </c>
      <c r="AR81">
        <v>0</v>
      </c>
      <c r="AV81">
        <v>0</v>
      </c>
      <c r="AX81">
        <v>0</v>
      </c>
      <c r="AZ81">
        <v>0</v>
      </c>
      <c r="BB81">
        <v>0</v>
      </c>
      <c r="BE81">
        <v>0</v>
      </c>
      <c r="BH81">
        <v>0</v>
      </c>
    </row>
    <row r="82" spans="1:60" x14ac:dyDescent="0.25">
      <c r="A82" s="8" t="s">
        <v>83</v>
      </c>
      <c r="D82">
        <v>0</v>
      </c>
      <c r="G82">
        <v>0</v>
      </c>
      <c r="K82">
        <v>0</v>
      </c>
      <c r="L82">
        <v>0</v>
      </c>
      <c r="O82">
        <v>0</v>
      </c>
      <c r="Q82">
        <v>0</v>
      </c>
      <c r="S82">
        <v>0</v>
      </c>
      <c r="T82">
        <v>0</v>
      </c>
      <c r="X82">
        <v>0</v>
      </c>
      <c r="Z82">
        <v>0</v>
      </c>
      <c r="AC82">
        <v>0</v>
      </c>
      <c r="AD82">
        <v>0</v>
      </c>
      <c r="AH82">
        <v>0</v>
      </c>
      <c r="AK82">
        <v>0</v>
      </c>
      <c r="AM82">
        <v>0</v>
      </c>
      <c r="AO82">
        <v>0</v>
      </c>
      <c r="AR82">
        <v>0</v>
      </c>
      <c r="AV82">
        <v>0</v>
      </c>
      <c r="AX82">
        <v>0</v>
      </c>
      <c r="AZ82">
        <v>0</v>
      </c>
      <c r="BB82">
        <v>0</v>
      </c>
      <c r="BE82">
        <v>0</v>
      </c>
      <c r="BH82">
        <v>0</v>
      </c>
    </row>
    <row r="83" spans="1:60" x14ac:dyDescent="0.25">
      <c r="A83" s="8" t="s">
        <v>85</v>
      </c>
      <c r="D83">
        <v>0</v>
      </c>
      <c r="G83">
        <v>15</v>
      </c>
      <c r="K83">
        <v>0</v>
      </c>
      <c r="L83">
        <v>25</v>
      </c>
      <c r="O83">
        <v>20</v>
      </c>
      <c r="Q83">
        <v>0</v>
      </c>
      <c r="S83">
        <v>0</v>
      </c>
      <c r="T83">
        <v>0</v>
      </c>
      <c r="X83">
        <v>0</v>
      </c>
      <c r="Z83">
        <v>0</v>
      </c>
      <c r="AC83">
        <v>0</v>
      </c>
      <c r="AD83">
        <v>0</v>
      </c>
      <c r="AH83">
        <v>0</v>
      </c>
      <c r="AK83">
        <v>0</v>
      </c>
      <c r="AM83">
        <v>0</v>
      </c>
      <c r="AO83">
        <v>0</v>
      </c>
      <c r="AR83">
        <v>0</v>
      </c>
      <c r="AV83">
        <v>20</v>
      </c>
      <c r="AX83">
        <v>0</v>
      </c>
      <c r="AZ83">
        <v>0</v>
      </c>
      <c r="BB83">
        <v>0</v>
      </c>
      <c r="BE83">
        <v>0</v>
      </c>
      <c r="BH83">
        <v>80</v>
      </c>
    </row>
    <row r="84" spans="1:60" x14ac:dyDescent="0.25">
      <c r="A84" s="8" t="s">
        <v>65</v>
      </c>
      <c r="D84">
        <v>0</v>
      </c>
      <c r="G84">
        <v>0</v>
      </c>
      <c r="K84">
        <v>0</v>
      </c>
      <c r="L84">
        <v>0</v>
      </c>
      <c r="O84">
        <v>0</v>
      </c>
      <c r="Q84">
        <v>0</v>
      </c>
      <c r="S84">
        <v>0</v>
      </c>
      <c r="T84">
        <v>0</v>
      </c>
      <c r="X84">
        <v>0</v>
      </c>
      <c r="Z84">
        <v>0</v>
      </c>
      <c r="AC84">
        <v>0</v>
      </c>
      <c r="AD84">
        <v>0</v>
      </c>
      <c r="AH84">
        <v>0</v>
      </c>
      <c r="AK84">
        <v>0</v>
      </c>
      <c r="AM84">
        <v>0</v>
      </c>
      <c r="AO84">
        <v>0</v>
      </c>
      <c r="AR84">
        <v>0</v>
      </c>
      <c r="AV84">
        <v>0</v>
      </c>
      <c r="AX84">
        <v>0</v>
      </c>
      <c r="AZ84">
        <v>0</v>
      </c>
      <c r="BB84">
        <v>0</v>
      </c>
      <c r="BE84">
        <v>0</v>
      </c>
      <c r="BH84">
        <v>0</v>
      </c>
    </row>
    <row r="85" spans="1:60" x14ac:dyDescent="0.25">
      <c r="A85" s="8" t="s">
        <v>66</v>
      </c>
      <c r="D85">
        <v>0</v>
      </c>
      <c r="G85">
        <v>0</v>
      </c>
      <c r="K85">
        <v>0</v>
      </c>
      <c r="L85">
        <v>0</v>
      </c>
      <c r="O85">
        <v>0</v>
      </c>
      <c r="Q85">
        <v>0</v>
      </c>
      <c r="S85">
        <v>0</v>
      </c>
      <c r="T85">
        <v>0</v>
      </c>
      <c r="X85">
        <v>0</v>
      </c>
      <c r="Z85">
        <v>0</v>
      </c>
      <c r="AC85">
        <v>0</v>
      </c>
      <c r="AD85">
        <v>0</v>
      </c>
      <c r="AH85">
        <v>0</v>
      </c>
      <c r="AK85">
        <v>0</v>
      </c>
      <c r="AM85">
        <v>0</v>
      </c>
      <c r="AO85">
        <v>0</v>
      </c>
      <c r="AR85">
        <v>0</v>
      </c>
      <c r="AV85">
        <v>0</v>
      </c>
      <c r="AX85">
        <v>0</v>
      </c>
      <c r="AZ85">
        <v>0</v>
      </c>
      <c r="BB85">
        <v>0</v>
      </c>
      <c r="BE85">
        <v>0</v>
      </c>
      <c r="BH85">
        <v>0</v>
      </c>
    </row>
    <row r="86" spans="1:60" x14ac:dyDescent="0.25">
      <c r="A86" s="8" t="s">
        <v>87</v>
      </c>
      <c r="D86">
        <v>0</v>
      </c>
      <c r="G86">
        <v>0</v>
      </c>
      <c r="K86">
        <v>0</v>
      </c>
      <c r="L86">
        <v>0</v>
      </c>
      <c r="O86">
        <v>0</v>
      </c>
      <c r="Q86">
        <v>0</v>
      </c>
      <c r="S86">
        <v>0</v>
      </c>
      <c r="T86">
        <v>0</v>
      </c>
      <c r="X86">
        <v>0</v>
      </c>
      <c r="Z86">
        <v>0</v>
      </c>
      <c r="AC86">
        <v>0</v>
      </c>
      <c r="AD86">
        <v>0</v>
      </c>
      <c r="AH86">
        <v>0</v>
      </c>
      <c r="AK86">
        <v>0</v>
      </c>
      <c r="AM86">
        <v>0</v>
      </c>
      <c r="AO86">
        <v>0</v>
      </c>
      <c r="AR86">
        <v>0</v>
      </c>
      <c r="AV86">
        <v>0</v>
      </c>
      <c r="AX86">
        <v>0</v>
      </c>
      <c r="AZ86">
        <v>0</v>
      </c>
      <c r="BB86">
        <v>0</v>
      </c>
      <c r="BE86">
        <v>0</v>
      </c>
      <c r="BH86">
        <v>0</v>
      </c>
    </row>
    <row r="87" spans="1:60" x14ac:dyDescent="0.25">
      <c r="A87" s="8" t="s">
        <v>89</v>
      </c>
      <c r="D87">
        <v>0</v>
      </c>
      <c r="G87">
        <v>0</v>
      </c>
      <c r="K87">
        <v>0</v>
      </c>
      <c r="L87">
        <v>0</v>
      </c>
      <c r="O87">
        <v>0</v>
      </c>
      <c r="Q87">
        <v>0</v>
      </c>
      <c r="S87">
        <v>0</v>
      </c>
      <c r="T87">
        <v>0</v>
      </c>
      <c r="X87">
        <v>0</v>
      </c>
      <c r="Z87">
        <v>0</v>
      </c>
      <c r="AC87">
        <v>0</v>
      </c>
      <c r="AD87">
        <v>0</v>
      </c>
      <c r="AH87">
        <v>0</v>
      </c>
      <c r="AK87">
        <v>0</v>
      </c>
      <c r="AM87">
        <v>0</v>
      </c>
      <c r="AO87">
        <v>0</v>
      </c>
      <c r="AR87">
        <v>0</v>
      </c>
      <c r="AV87">
        <v>0</v>
      </c>
      <c r="AX87">
        <v>0</v>
      </c>
      <c r="AZ87">
        <v>0</v>
      </c>
      <c r="BB87">
        <v>0</v>
      </c>
      <c r="BE87">
        <v>0</v>
      </c>
      <c r="BH87">
        <v>0</v>
      </c>
    </row>
    <row r="88" spans="1:60" x14ac:dyDescent="0.25">
      <c r="A88" s="8" t="s">
        <v>91</v>
      </c>
      <c r="D88">
        <v>0</v>
      </c>
      <c r="G88">
        <v>0</v>
      </c>
      <c r="K88">
        <v>0</v>
      </c>
      <c r="L88">
        <v>0</v>
      </c>
      <c r="O88">
        <v>0</v>
      </c>
      <c r="Q88">
        <v>0</v>
      </c>
      <c r="S88">
        <v>0</v>
      </c>
      <c r="T88">
        <v>0</v>
      </c>
      <c r="X88">
        <v>0</v>
      </c>
      <c r="Z88">
        <v>0</v>
      </c>
      <c r="AC88">
        <v>0</v>
      </c>
      <c r="AD88">
        <v>0</v>
      </c>
      <c r="AH88">
        <v>0</v>
      </c>
      <c r="AK88">
        <v>0</v>
      </c>
      <c r="AM88">
        <v>0</v>
      </c>
      <c r="AO88">
        <v>0</v>
      </c>
      <c r="AR88">
        <v>0</v>
      </c>
      <c r="AV88">
        <v>0</v>
      </c>
      <c r="AX88">
        <v>0</v>
      </c>
      <c r="AZ88">
        <v>0</v>
      </c>
      <c r="BB88">
        <v>0</v>
      </c>
      <c r="BE88">
        <v>0</v>
      </c>
      <c r="BH88">
        <v>0</v>
      </c>
    </row>
    <row r="89" spans="1:60" x14ac:dyDescent="0.25">
      <c r="A89" s="8" t="s">
        <v>67</v>
      </c>
      <c r="D89">
        <v>0</v>
      </c>
      <c r="G89">
        <v>0</v>
      </c>
      <c r="K89">
        <v>0</v>
      </c>
      <c r="L89">
        <v>0</v>
      </c>
      <c r="O89">
        <v>0</v>
      </c>
      <c r="Q89">
        <v>0</v>
      </c>
      <c r="S89">
        <v>0</v>
      </c>
      <c r="T89">
        <v>0</v>
      </c>
      <c r="X89">
        <v>0</v>
      </c>
      <c r="Z89">
        <v>0</v>
      </c>
      <c r="AC89">
        <v>0</v>
      </c>
      <c r="AD89">
        <v>0</v>
      </c>
      <c r="AH89">
        <v>0</v>
      </c>
      <c r="AK89">
        <v>0</v>
      </c>
      <c r="AM89">
        <v>0</v>
      </c>
      <c r="AO89">
        <v>0</v>
      </c>
      <c r="AR89">
        <v>0</v>
      </c>
      <c r="AV89">
        <v>0</v>
      </c>
      <c r="AX89">
        <v>0</v>
      </c>
      <c r="AZ89">
        <v>0</v>
      </c>
      <c r="BB89">
        <v>0</v>
      </c>
      <c r="BE89">
        <v>0</v>
      </c>
      <c r="BH89">
        <v>0</v>
      </c>
    </row>
    <row r="90" spans="1:60" x14ac:dyDescent="0.25">
      <c r="A90" s="8" t="s">
        <v>93</v>
      </c>
      <c r="D90">
        <v>0</v>
      </c>
      <c r="G90">
        <v>0</v>
      </c>
      <c r="K90">
        <v>0</v>
      </c>
      <c r="L90">
        <v>0</v>
      </c>
      <c r="O90">
        <v>0</v>
      </c>
      <c r="Q90">
        <v>0</v>
      </c>
      <c r="S90">
        <v>0</v>
      </c>
      <c r="T90">
        <v>0</v>
      </c>
      <c r="X90">
        <v>0</v>
      </c>
      <c r="Z90">
        <v>0</v>
      </c>
      <c r="AC90">
        <v>0</v>
      </c>
      <c r="AD90">
        <v>0</v>
      </c>
      <c r="AH90">
        <v>0</v>
      </c>
      <c r="AK90">
        <v>0</v>
      </c>
      <c r="AM90">
        <v>0</v>
      </c>
      <c r="AO90">
        <v>0</v>
      </c>
      <c r="AR90">
        <v>0</v>
      </c>
      <c r="AV90">
        <v>0</v>
      </c>
      <c r="AX90">
        <v>0</v>
      </c>
      <c r="AZ90">
        <v>0</v>
      </c>
      <c r="BB90">
        <v>0</v>
      </c>
      <c r="BE90">
        <v>0</v>
      </c>
      <c r="BH90">
        <v>0</v>
      </c>
    </row>
    <row r="91" spans="1:60" x14ac:dyDescent="0.25">
      <c r="A91" s="7" t="s">
        <v>245</v>
      </c>
    </row>
    <row r="92" spans="1:60" x14ac:dyDescent="0.25">
      <c r="A92" s="8" t="s">
        <v>79</v>
      </c>
      <c r="D92">
        <v>53</v>
      </c>
      <c r="G92">
        <v>46</v>
      </c>
      <c r="K92">
        <v>29</v>
      </c>
      <c r="L92">
        <v>65</v>
      </c>
      <c r="O92">
        <v>45</v>
      </c>
      <c r="Q92">
        <v>57</v>
      </c>
      <c r="S92">
        <v>37</v>
      </c>
      <c r="BH92">
        <v>332</v>
      </c>
    </row>
    <row r="93" spans="1:60" x14ac:dyDescent="0.25">
      <c r="A93" s="8" t="s">
        <v>68</v>
      </c>
      <c r="D93">
        <v>0</v>
      </c>
      <c r="G93">
        <v>0</v>
      </c>
      <c r="K93">
        <v>32</v>
      </c>
      <c r="L93">
        <v>0</v>
      </c>
      <c r="O93">
        <v>55</v>
      </c>
      <c r="Q93">
        <v>0</v>
      </c>
      <c r="S93">
        <v>0</v>
      </c>
      <c r="BH93">
        <v>87</v>
      </c>
    </row>
    <row r="94" spans="1:60" x14ac:dyDescent="0.25">
      <c r="A94" s="8" t="s">
        <v>61</v>
      </c>
      <c r="D94">
        <v>0</v>
      </c>
      <c r="G94">
        <v>0</v>
      </c>
      <c r="K94">
        <v>0</v>
      </c>
      <c r="L94">
        <v>0</v>
      </c>
      <c r="O94">
        <v>0</v>
      </c>
      <c r="Q94">
        <v>0</v>
      </c>
      <c r="S94">
        <v>0</v>
      </c>
      <c r="BH94">
        <v>0</v>
      </c>
    </row>
    <row r="95" spans="1:60" x14ac:dyDescent="0.25">
      <c r="A95" s="8" t="s">
        <v>81</v>
      </c>
      <c r="D95">
        <v>0</v>
      </c>
      <c r="G95">
        <v>1</v>
      </c>
      <c r="K95">
        <v>0</v>
      </c>
      <c r="L95">
        <v>1</v>
      </c>
      <c r="O95">
        <v>1</v>
      </c>
      <c r="Q95">
        <v>0</v>
      </c>
      <c r="S95">
        <v>1</v>
      </c>
      <c r="BH95">
        <v>4</v>
      </c>
    </row>
    <row r="96" spans="1:60" x14ac:dyDescent="0.25">
      <c r="A96" s="8" t="s">
        <v>62</v>
      </c>
      <c r="D96">
        <v>0</v>
      </c>
      <c r="G96">
        <v>0</v>
      </c>
      <c r="K96">
        <v>0</v>
      </c>
      <c r="L96">
        <v>0</v>
      </c>
      <c r="O96">
        <v>0</v>
      </c>
      <c r="Q96">
        <v>0</v>
      </c>
      <c r="S96">
        <v>0</v>
      </c>
      <c r="BH96">
        <v>0</v>
      </c>
    </row>
    <row r="97" spans="1:60" x14ac:dyDescent="0.25">
      <c r="A97" s="8" t="s">
        <v>63</v>
      </c>
      <c r="D97">
        <v>0</v>
      </c>
      <c r="G97">
        <v>0</v>
      </c>
      <c r="K97">
        <v>0</v>
      </c>
      <c r="L97">
        <v>0</v>
      </c>
      <c r="O97">
        <v>0</v>
      </c>
      <c r="Q97">
        <v>0</v>
      </c>
      <c r="S97">
        <v>0</v>
      </c>
      <c r="BH97">
        <v>0</v>
      </c>
    </row>
    <row r="98" spans="1:60" x14ac:dyDescent="0.25">
      <c r="A98" s="8" t="s">
        <v>64</v>
      </c>
      <c r="D98">
        <v>0</v>
      </c>
      <c r="G98">
        <v>0</v>
      </c>
      <c r="K98">
        <v>0</v>
      </c>
      <c r="L98">
        <v>0</v>
      </c>
      <c r="O98">
        <v>0</v>
      </c>
      <c r="Q98">
        <v>0</v>
      </c>
      <c r="S98">
        <v>0</v>
      </c>
      <c r="BH98">
        <v>0</v>
      </c>
    </row>
    <row r="99" spans="1:60" x14ac:dyDescent="0.25">
      <c r="A99" s="8" t="s">
        <v>83</v>
      </c>
      <c r="D99">
        <v>0</v>
      </c>
      <c r="G99">
        <v>0</v>
      </c>
      <c r="K99">
        <v>0</v>
      </c>
      <c r="L99">
        <v>0</v>
      </c>
      <c r="O99">
        <v>0</v>
      </c>
      <c r="Q99">
        <v>0</v>
      </c>
      <c r="S99">
        <v>0</v>
      </c>
      <c r="BH99">
        <v>0</v>
      </c>
    </row>
    <row r="100" spans="1:60" x14ac:dyDescent="0.25">
      <c r="A100" s="8" t="s">
        <v>85</v>
      </c>
      <c r="D100">
        <v>0</v>
      </c>
      <c r="G100">
        <v>8</v>
      </c>
      <c r="K100">
        <v>0</v>
      </c>
      <c r="L100">
        <v>10</v>
      </c>
      <c r="O100">
        <v>7</v>
      </c>
      <c r="Q100">
        <v>0</v>
      </c>
      <c r="S100">
        <v>0</v>
      </c>
      <c r="BH100">
        <v>25</v>
      </c>
    </row>
    <row r="101" spans="1:60" x14ac:dyDescent="0.25">
      <c r="A101" s="8" t="s">
        <v>65</v>
      </c>
      <c r="D101">
        <v>0</v>
      </c>
      <c r="G101">
        <v>0</v>
      </c>
      <c r="K101">
        <v>0</v>
      </c>
      <c r="L101">
        <v>0</v>
      </c>
      <c r="O101">
        <v>0</v>
      </c>
      <c r="Q101">
        <v>0</v>
      </c>
      <c r="S101">
        <v>0</v>
      </c>
      <c r="BH101">
        <v>0</v>
      </c>
    </row>
    <row r="102" spans="1:60" x14ac:dyDescent="0.25">
      <c r="A102" s="8" t="s">
        <v>66</v>
      </c>
      <c r="D102">
        <v>0</v>
      </c>
      <c r="G102">
        <v>0</v>
      </c>
      <c r="K102">
        <v>0</v>
      </c>
      <c r="L102">
        <v>0</v>
      </c>
      <c r="O102">
        <v>0</v>
      </c>
      <c r="Q102">
        <v>0</v>
      </c>
      <c r="S102">
        <v>0</v>
      </c>
      <c r="BH102">
        <v>0</v>
      </c>
    </row>
    <row r="103" spans="1:60" x14ac:dyDescent="0.25">
      <c r="A103" s="8" t="s">
        <v>87</v>
      </c>
      <c r="D103">
        <v>0</v>
      </c>
      <c r="G103">
        <v>0</v>
      </c>
      <c r="K103">
        <v>0</v>
      </c>
      <c r="L103">
        <v>0</v>
      </c>
      <c r="O103">
        <v>0</v>
      </c>
      <c r="Q103">
        <v>0</v>
      </c>
      <c r="S103">
        <v>0</v>
      </c>
      <c r="BH103">
        <v>0</v>
      </c>
    </row>
    <row r="104" spans="1:60" x14ac:dyDescent="0.25">
      <c r="A104" s="8" t="s">
        <v>89</v>
      </c>
      <c r="D104">
        <v>0</v>
      </c>
      <c r="G104">
        <v>0</v>
      </c>
      <c r="K104">
        <v>0</v>
      </c>
      <c r="L104">
        <v>0</v>
      </c>
      <c r="O104">
        <v>0</v>
      </c>
      <c r="Q104">
        <v>0</v>
      </c>
      <c r="S104">
        <v>0</v>
      </c>
      <c r="BH104">
        <v>0</v>
      </c>
    </row>
    <row r="105" spans="1:60" x14ac:dyDescent="0.25">
      <c r="A105" s="8" t="s">
        <v>91</v>
      </c>
      <c r="D105">
        <v>0</v>
      </c>
      <c r="G105">
        <v>0</v>
      </c>
      <c r="K105">
        <v>0</v>
      </c>
      <c r="L105">
        <v>0</v>
      </c>
      <c r="O105">
        <v>0</v>
      </c>
      <c r="Q105">
        <v>0</v>
      </c>
      <c r="S105">
        <v>0</v>
      </c>
      <c r="BH105">
        <v>0</v>
      </c>
    </row>
    <row r="106" spans="1:60" x14ac:dyDescent="0.25">
      <c r="A106" s="8" t="s">
        <v>67</v>
      </c>
      <c r="D106">
        <v>0</v>
      </c>
      <c r="G106">
        <v>0</v>
      </c>
      <c r="K106">
        <v>0</v>
      </c>
      <c r="L106">
        <v>0</v>
      </c>
      <c r="O106">
        <v>0</v>
      </c>
      <c r="Q106">
        <v>0</v>
      </c>
      <c r="S106">
        <v>0</v>
      </c>
      <c r="BH106">
        <v>0</v>
      </c>
    </row>
    <row r="107" spans="1:60" x14ac:dyDescent="0.25">
      <c r="A107" s="8" t="s">
        <v>93</v>
      </c>
      <c r="D107">
        <v>0</v>
      </c>
      <c r="G107">
        <v>0</v>
      </c>
      <c r="K107">
        <v>0</v>
      </c>
      <c r="L107">
        <v>0</v>
      </c>
      <c r="O107">
        <v>3</v>
      </c>
      <c r="Q107">
        <v>0</v>
      </c>
      <c r="S107">
        <v>0</v>
      </c>
      <c r="BH107">
        <v>3</v>
      </c>
    </row>
    <row r="108" spans="1:60" x14ac:dyDescent="0.25">
      <c r="A108" s="7" t="s">
        <v>95</v>
      </c>
    </row>
    <row r="109" spans="1:60" x14ac:dyDescent="0.25">
      <c r="A109" s="8" t="s">
        <v>79</v>
      </c>
      <c r="P109">
        <v>0</v>
      </c>
      <c r="R109">
        <v>0</v>
      </c>
      <c r="T109">
        <v>27</v>
      </c>
      <c r="X109">
        <v>123</v>
      </c>
      <c r="Z109">
        <v>57</v>
      </c>
      <c r="AC109">
        <v>45</v>
      </c>
      <c r="AD109">
        <v>106</v>
      </c>
      <c r="AH109">
        <v>128</v>
      </c>
      <c r="AK109">
        <v>53</v>
      </c>
      <c r="AR109">
        <v>66</v>
      </c>
      <c r="AV109">
        <v>43</v>
      </c>
      <c r="AX109">
        <v>48</v>
      </c>
      <c r="AZ109">
        <v>45</v>
      </c>
      <c r="BB109">
        <v>24</v>
      </c>
      <c r="BE109">
        <v>58</v>
      </c>
      <c r="BH109">
        <v>823</v>
      </c>
    </row>
    <row r="110" spans="1:60" x14ac:dyDescent="0.25">
      <c r="A110" s="8" t="s">
        <v>68</v>
      </c>
      <c r="P110">
        <v>0</v>
      </c>
      <c r="R110">
        <v>0</v>
      </c>
      <c r="T110">
        <v>0</v>
      </c>
      <c r="X110">
        <v>0</v>
      </c>
      <c r="Z110">
        <v>0</v>
      </c>
      <c r="AC110">
        <v>0</v>
      </c>
      <c r="AD110">
        <v>0</v>
      </c>
      <c r="AH110">
        <v>0</v>
      </c>
      <c r="AK110">
        <v>0</v>
      </c>
      <c r="AR110">
        <v>0</v>
      </c>
      <c r="AV110">
        <v>0</v>
      </c>
      <c r="AX110">
        <v>62</v>
      </c>
      <c r="AZ110">
        <v>0</v>
      </c>
      <c r="BB110">
        <v>0</v>
      </c>
      <c r="BE110">
        <v>0</v>
      </c>
      <c r="BH110">
        <v>62</v>
      </c>
    </row>
    <row r="111" spans="1:60" x14ac:dyDescent="0.25">
      <c r="A111" s="8" t="s">
        <v>61</v>
      </c>
      <c r="P111">
        <v>0</v>
      </c>
      <c r="R111">
        <v>0</v>
      </c>
      <c r="T111">
        <v>0</v>
      </c>
      <c r="X111">
        <v>0</v>
      </c>
      <c r="Z111">
        <v>0</v>
      </c>
      <c r="AC111">
        <v>0</v>
      </c>
      <c r="AD111">
        <v>0</v>
      </c>
      <c r="AH111">
        <v>0</v>
      </c>
      <c r="AK111">
        <v>0</v>
      </c>
      <c r="AR111">
        <v>0</v>
      </c>
      <c r="AV111">
        <v>0</v>
      </c>
      <c r="AX111">
        <v>0</v>
      </c>
      <c r="AZ111">
        <v>0</v>
      </c>
      <c r="BB111">
        <v>0</v>
      </c>
      <c r="BE111">
        <v>0</v>
      </c>
      <c r="BH111">
        <v>0</v>
      </c>
    </row>
    <row r="112" spans="1:60" x14ac:dyDescent="0.25">
      <c r="A112" s="8" t="s">
        <v>81</v>
      </c>
      <c r="P112">
        <v>0</v>
      </c>
      <c r="R112">
        <v>0</v>
      </c>
      <c r="T112">
        <v>0</v>
      </c>
      <c r="X112">
        <v>1</v>
      </c>
      <c r="Z112">
        <v>0</v>
      </c>
      <c r="AC112">
        <v>1</v>
      </c>
      <c r="AD112">
        <v>1</v>
      </c>
      <c r="AH112">
        <v>1</v>
      </c>
      <c r="AK112">
        <v>0</v>
      </c>
      <c r="AR112">
        <v>1</v>
      </c>
      <c r="AX112">
        <v>1</v>
      </c>
      <c r="AZ112">
        <v>1</v>
      </c>
      <c r="BB112">
        <v>0</v>
      </c>
      <c r="BE112">
        <v>1</v>
      </c>
      <c r="BH112">
        <v>8</v>
      </c>
    </row>
    <row r="113" spans="1:60" x14ac:dyDescent="0.25">
      <c r="A113" s="8" t="s">
        <v>62</v>
      </c>
      <c r="P113">
        <v>0</v>
      </c>
      <c r="R113">
        <v>0</v>
      </c>
      <c r="T113">
        <v>0</v>
      </c>
      <c r="X113">
        <v>0</v>
      </c>
      <c r="Z113">
        <v>0</v>
      </c>
      <c r="AC113">
        <v>0</v>
      </c>
      <c r="AD113">
        <v>0</v>
      </c>
      <c r="AH113">
        <v>0</v>
      </c>
      <c r="AK113">
        <v>0</v>
      </c>
      <c r="AR113">
        <v>0</v>
      </c>
      <c r="AV113">
        <v>0</v>
      </c>
      <c r="AX113">
        <v>0</v>
      </c>
      <c r="AZ113">
        <v>0</v>
      </c>
      <c r="BB113">
        <v>0</v>
      </c>
      <c r="BE113">
        <v>0</v>
      </c>
      <c r="BH113">
        <v>0</v>
      </c>
    </row>
    <row r="114" spans="1:60" x14ac:dyDescent="0.25">
      <c r="A114" s="8" t="s">
        <v>63</v>
      </c>
      <c r="P114">
        <v>0</v>
      </c>
      <c r="R114">
        <v>0</v>
      </c>
      <c r="T114">
        <v>0</v>
      </c>
      <c r="X114">
        <v>0</v>
      </c>
      <c r="Z114">
        <v>0</v>
      </c>
      <c r="AC114">
        <v>0</v>
      </c>
      <c r="AD114">
        <v>0</v>
      </c>
      <c r="AH114">
        <v>0</v>
      </c>
      <c r="AK114">
        <v>0</v>
      </c>
      <c r="AR114">
        <v>0</v>
      </c>
      <c r="AV114">
        <v>0</v>
      </c>
      <c r="AX114">
        <v>0</v>
      </c>
      <c r="AZ114">
        <v>0</v>
      </c>
      <c r="BB114">
        <v>0</v>
      </c>
      <c r="BE114">
        <v>0</v>
      </c>
      <c r="BH114">
        <v>0</v>
      </c>
    </row>
    <row r="115" spans="1:60" x14ac:dyDescent="0.25">
      <c r="A115" s="8" t="s">
        <v>64</v>
      </c>
      <c r="P115">
        <v>0</v>
      </c>
      <c r="R115">
        <v>0</v>
      </c>
      <c r="T115">
        <v>0</v>
      </c>
      <c r="X115">
        <v>0</v>
      </c>
      <c r="Z115">
        <v>0</v>
      </c>
      <c r="AC115">
        <v>0</v>
      </c>
      <c r="AD115">
        <v>0</v>
      </c>
      <c r="AH115">
        <v>0</v>
      </c>
      <c r="AK115">
        <v>0</v>
      </c>
      <c r="AR115">
        <v>0</v>
      </c>
      <c r="AV115">
        <v>0</v>
      </c>
      <c r="AX115">
        <v>0</v>
      </c>
      <c r="AZ115">
        <v>0</v>
      </c>
      <c r="BB115">
        <v>0</v>
      </c>
      <c r="BE115">
        <v>0</v>
      </c>
      <c r="BH115">
        <v>0</v>
      </c>
    </row>
    <row r="116" spans="1:60" x14ac:dyDescent="0.25">
      <c r="A116" s="8" t="s">
        <v>83</v>
      </c>
      <c r="P116">
        <v>0</v>
      </c>
      <c r="R116">
        <v>0</v>
      </c>
      <c r="T116">
        <v>0</v>
      </c>
      <c r="X116">
        <v>0</v>
      </c>
      <c r="Z116">
        <v>0</v>
      </c>
      <c r="AC116">
        <v>0</v>
      </c>
      <c r="AD116">
        <v>0</v>
      </c>
      <c r="AH116">
        <v>0</v>
      </c>
      <c r="AK116">
        <v>0</v>
      </c>
      <c r="AR116">
        <v>10</v>
      </c>
      <c r="AV116">
        <v>10</v>
      </c>
      <c r="AX116">
        <v>0</v>
      </c>
      <c r="AZ116">
        <v>10</v>
      </c>
      <c r="BB116">
        <v>10</v>
      </c>
      <c r="BE116">
        <v>0</v>
      </c>
      <c r="BH116">
        <v>40</v>
      </c>
    </row>
    <row r="117" spans="1:60" x14ac:dyDescent="0.25">
      <c r="A117" s="8" t="s">
        <v>85</v>
      </c>
      <c r="P117">
        <v>0</v>
      </c>
      <c r="R117">
        <v>0</v>
      </c>
      <c r="T117">
        <v>0</v>
      </c>
      <c r="X117">
        <v>0</v>
      </c>
      <c r="Z117">
        <v>0</v>
      </c>
      <c r="AC117">
        <v>0</v>
      </c>
      <c r="AD117">
        <v>0</v>
      </c>
      <c r="AH117">
        <v>0</v>
      </c>
      <c r="AK117">
        <v>0</v>
      </c>
      <c r="AR117">
        <v>0</v>
      </c>
      <c r="AV117">
        <v>20</v>
      </c>
      <c r="AX117">
        <v>0</v>
      </c>
      <c r="AZ117">
        <v>0</v>
      </c>
      <c r="BB117">
        <v>0</v>
      </c>
      <c r="BE117">
        <v>0</v>
      </c>
      <c r="BH117">
        <v>20</v>
      </c>
    </row>
    <row r="118" spans="1:60" x14ac:dyDescent="0.25">
      <c r="A118" s="8" t="s">
        <v>65</v>
      </c>
      <c r="P118">
        <v>0</v>
      </c>
      <c r="R118">
        <v>0</v>
      </c>
      <c r="T118">
        <v>0</v>
      </c>
      <c r="X118">
        <v>0</v>
      </c>
      <c r="Z118">
        <v>0</v>
      </c>
      <c r="AC118">
        <v>0</v>
      </c>
      <c r="AD118">
        <v>0</v>
      </c>
      <c r="AH118">
        <v>0</v>
      </c>
      <c r="AK118">
        <v>0</v>
      </c>
      <c r="AR118">
        <v>0</v>
      </c>
      <c r="AV118">
        <v>0</v>
      </c>
      <c r="AX118">
        <v>0</v>
      </c>
      <c r="AZ118">
        <v>0</v>
      </c>
      <c r="BB118">
        <v>0</v>
      </c>
      <c r="BE118">
        <v>0</v>
      </c>
      <c r="BH118">
        <v>0</v>
      </c>
    </row>
    <row r="119" spans="1:60" x14ac:dyDescent="0.25">
      <c r="A119" s="8" t="s">
        <v>66</v>
      </c>
      <c r="P119">
        <v>0</v>
      </c>
      <c r="R119">
        <v>0</v>
      </c>
      <c r="T119">
        <v>0</v>
      </c>
      <c r="X119">
        <v>0</v>
      </c>
      <c r="Z119">
        <v>0</v>
      </c>
      <c r="AC119">
        <v>0</v>
      </c>
      <c r="AD119">
        <v>0</v>
      </c>
      <c r="AH119">
        <v>0</v>
      </c>
      <c r="AK119">
        <v>0</v>
      </c>
      <c r="AR119">
        <v>0</v>
      </c>
      <c r="AV119">
        <v>0</v>
      </c>
      <c r="AX119">
        <v>0</v>
      </c>
      <c r="AZ119">
        <v>0</v>
      </c>
      <c r="BB119">
        <v>0</v>
      </c>
      <c r="BE119">
        <v>0</v>
      </c>
      <c r="BH119">
        <v>0</v>
      </c>
    </row>
    <row r="120" spans="1:60" x14ac:dyDescent="0.25">
      <c r="A120" s="8" t="s">
        <v>87</v>
      </c>
      <c r="P120">
        <v>0</v>
      </c>
      <c r="R120">
        <v>0</v>
      </c>
      <c r="T120">
        <v>0</v>
      </c>
      <c r="X120">
        <v>0</v>
      </c>
      <c r="Z120">
        <v>0</v>
      </c>
      <c r="AC120">
        <v>0</v>
      </c>
      <c r="AD120">
        <v>0</v>
      </c>
      <c r="AH120">
        <v>0</v>
      </c>
      <c r="AK120">
        <v>0</v>
      </c>
      <c r="AR120">
        <v>0</v>
      </c>
      <c r="AV120">
        <v>0</v>
      </c>
      <c r="AX120">
        <v>0</v>
      </c>
      <c r="AZ120">
        <v>0</v>
      </c>
      <c r="BB120">
        <v>0</v>
      </c>
      <c r="BE120">
        <v>0</v>
      </c>
      <c r="BH120">
        <v>0</v>
      </c>
    </row>
    <row r="121" spans="1:60" x14ac:dyDescent="0.25">
      <c r="A121" s="8" t="s">
        <v>89</v>
      </c>
      <c r="P121">
        <v>0</v>
      </c>
      <c r="R121">
        <v>0</v>
      </c>
      <c r="T121">
        <v>0</v>
      </c>
      <c r="X121">
        <v>0</v>
      </c>
      <c r="Z121">
        <v>0</v>
      </c>
      <c r="AC121">
        <v>0</v>
      </c>
      <c r="AD121">
        <v>0</v>
      </c>
      <c r="AH121">
        <v>0</v>
      </c>
      <c r="AK121">
        <v>0</v>
      </c>
      <c r="AR121">
        <v>0</v>
      </c>
      <c r="AV121">
        <v>0</v>
      </c>
      <c r="AX121">
        <v>0</v>
      </c>
      <c r="AZ121">
        <v>0</v>
      </c>
      <c r="BB121">
        <v>0</v>
      </c>
      <c r="BE121">
        <v>0</v>
      </c>
      <c r="BH121">
        <v>0</v>
      </c>
    </row>
    <row r="122" spans="1:60" x14ac:dyDescent="0.25">
      <c r="A122" s="8" t="s">
        <v>91</v>
      </c>
      <c r="P122">
        <v>0</v>
      </c>
      <c r="R122">
        <v>0</v>
      </c>
      <c r="T122">
        <v>0</v>
      </c>
      <c r="X122">
        <v>0</v>
      </c>
      <c r="Z122">
        <v>0</v>
      </c>
      <c r="AC122">
        <v>0</v>
      </c>
      <c r="AD122">
        <v>0</v>
      </c>
      <c r="AH122">
        <v>0</v>
      </c>
      <c r="AK122">
        <v>0</v>
      </c>
      <c r="AR122">
        <v>0</v>
      </c>
      <c r="AV122">
        <v>0</v>
      </c>
      <c r="AX122">
        <v>0</v>
      </c>
      <c r="AZ122">
        <v>0</v>
      </c>
      <c r="BB122">
        <v>0</v>
      </c>
      <c r="BE122">
        <v>0</v>
      </c>
      <c r="BH122">
        <v>0</v>
      </c>
    </row>
    <row r="123" spans="1:60" x14ac:dyDescent="0.25">
      <c r="A123" s="8" t="s">
        <v>67</v>
      </c>
      <c r="P123">
        <v>0</v>
      </c>
      <c r="R123">
        <v>0</v>
      </c>
      <c r="T123">
        <v>0</v>
      </c>
      <c r="X123">
        <v>0</v>
      </c>
      <c r="Z123">
        <v>0</v>
      </c>
      <c r="AC123">
        <v>0</v>
      </c>
      <c r="AD123">
        <v>0</v>
      </c>
      <c r="AH123">
        <v>0</v>
      </c>
      <c r="AK123">
        <v>0</v>
      </c>
      <c r="AR123">
        <v>0</v>
      </c>
      <c r="AV123">
        <v>0</v>
      </c>
      <c r="AX123">
        <v>0</v>
      </c>
      <c r="AZ123">
        <v>0</v>
      </c>
      <c r="BB123">
        <v>0</v>
      </c>
      <c r="BE123">
        <v>0</v>
      </c>
      <c r="BH123">
        <v>0</v>
      </c>
    </row>
    <row r="124" spans="1:60" x14ac:dyDescent="0.25">
      <c r="A124" s="8" t="s">
        <v>93</v>
      </c>
      <c r="P124">
        <v>0</v>
      </c>
      <c r="R124">
        <v>0</v>
      </c>
      <c r="T124">
        <v>0</v>
      </c>
      <c r="X124">
        <v>0</v>
      </c>
      <c r="Z124">
        <v>0</v>
      </c>
      <c r="AC124">
        <v>0</v>
      </c>
      <c r="AD124">
        <v>0</v>
      </c>
      <c r="AH124">
        <v>3</v>
      </c>
      <c r="AK124">
        <v>0</v>
      </c>
      <c r="AR124">
        <v>0</v>
      </c>
      <c r="AV124">
        <v>0</v>
      </c>
      <c r="AX124">
        <v>3</v>
      </c>
      <c r="AZ124">
        <v>0</v>
      </c>
      <c r="BB124">
        <v>0</v>
      </c>
      <c r="BE124">
        <v>0</v>
      </c>
      <c r="BH124">
        <v>6</v>
      </c>
    </row>
    <row r="125" spans="1:60" x14ac:dyDescent="0.25">
      <c r="A125" s="7" t="s">
        <v>50</v>
      </c>
    </row>
    <row r="126" spans="1:60" x14ac:dyDescent="0.25">
      <c r="A126" s="8" t="s">
        <v>79</v>
      </c>
      <c r="D126">
        <v>31</v>
      </c>
      <c r="G126">
        <v>52</v>
      </c>
      <c r="K126">
        <v>29</v>
      </c>
      <c r="L126">
        <v>49</v>
      </c>
      <c r="O126">
        <v>41</v>
      </c>
      <c r="Q126">
        <v>26</v>
      </c>
      <c r="S126">
        <v>53</v>
      </c>
      <c r="T126">
        <v>23</v>
      </c>
      <c r="X126">
        <v>41</v>
      </c>
      <c r="Z126">
        <v>29</v>
      </c>
      <c r="AC126">
        <v>57</v>
      </c>
      <c r="AD126">
        <v>27</v>
      </c>
      <c r="AH126">
        <v>42</v>
      </c>
      <c r="AK126">
        <v>27</v>
      </c>
      <c r="AM126">
        <v>62</v>
      </c>
      <c r="AO126">
        <v>26</v>
      </c>
      <c r="AR126">
        <v>69</v>
      </c>
      <c r="AV126">
        <v>42</v>
      </c>
      <c r="AX126">
        <v>29</v>
      </c>
      <c r="AZ126">
        <v>29</v>
      </c>
      <c r="BB126">
        <v>31</v>
      </c>
      <c r="BE126">
        <v>50</v>
      </c>
      <c r="BH126">
        <v>865</v>
      </c>
    </row>
    <row r="127" spans="1:60" x14ac:dyDescent="0.25">
      <c r="A127" s="8" t="s">
        <v>68</v>
      </c>
      <c r="D127">
        <v>0</v>
      </c>
      <c r="G127">
        <v>0</v>
      </c>
      <c r="K127">
        <v>0</v>
      </c>
      <c r="L127">
        <v>0</v>
      </c>
      <c r="O127">
        <v>0</v>
      </c>
      <c r="Q127">
        <v>0</v>
      </c>
      <c r="S127">
        <v>0</v>
      </c>
      <c r="T127">
        <v>0</v>
      </c>
      <c r="X127">
        <v>0</v>
      </c>
      <c r="Z127">
        <v>0</v>
      </c>
      <c r="AC127">
        <v>0</v>
      </c>
      <c r="AD127">
        <v>0</v>
      </c>
      <c r="AH127">
        <v>0</v>
      </c>
      <c r="AK127">
        <v>0</v>
      </c>
      <c r="AM127">
        <v>0</v>
      </c>
      <c r="AO127">
        <v>0</v>
      </c>
      <c r="AR127">
        <v>0</v>
      </c>
      <c r="AV127">
        <v>0</v>
      </c>
      <c r="AX127">
        <v>0</v>
      </c>
      <c r="AZ127">
        <v>0</v>
      </c>
      <c r="BB127">
        <v>0</v>
      </c>
      <c r="BE127">
        <v>0</v>
      </c>
      <c r="BH127">
        <v>0</v>
      </c>
    </row>
    <row r="128" spans="1:60" x14ac:dyDescent="0.25">
      <c r="A128" s="8" t="s">
        <v>61</v>
      </c>
      <c r="D128">
        <v>0</v>
      </c>
      <c r="G128">
        <v>0</v>
      </c>
      <c r="K128">
        <v>0</v>
      </c>
      <c r="L128">
        <v>0</v>
      </c>
      <c r="O128">
        <v>0</v>
      </c>
      <c r="Q128">
        <v>0</v>
      </c>
      <c r="S128">
        <v>0</v>
      </c>
      <c r="T128">
        <v>0</v>
      </c>
      <c r="X128">
        <v>0</v>
      </c>
      <c r="Z128">
        <v>0</v>
      </c>
      <c r="AC128">
        <v>0</v>
      </c>
      <c r="AD128">
        <v>0</v>
      </c>
      <c r="AH128">
        <v>0</v>
      </c>
      <c r="AK128">
        <v>0</v>
      </c>
      <c r="AM128">
        <v>0</v>
      </c>
      <c r="AO128">
        <v>0</v>
      </c>
      <c r="AR128">
        <v>0</v>
      </c>
      <c r="AV128">
        <v>0</v>
      </c>
      <c r="AX128">
        <v>0</v>
      </c>
      <c r="AZ128">
        <v>0</v>
      </c>
      <c r="BB128">
        <v>0</v>
      </c>
      <c r="BE128">
        <v>0</v>
      </c>
      <c r="BH128">
        <v>0</v>
      </c>
    </row>
    <row r="129" spans="1:60" x14ac:dyDescent="0.25">
      <c r="A129" s="8" t="s">
        <v>81</v>
      </c>
      <c r="D129">
        <v>1</v>
      </c>
      <c r="G129">
        <v>1</v>
      </c>
      <c r="K129">
        <v>1</v>
      </c>
      <c r="L129">
        <v>1</v>
      </c>
      <c r="O129">
        <v>1</v>
      </c>
      <c r="Q129">
        <v>1</v>
      </c>
      <c r="S129">
        <v>1</v>
      </c>
      <c r="T129">
        <v>1</v>
      </c>
      <c r="X129">
        <v>1</v>
      </c>
      <c r="Z129">
        <v>1</v>
      </c>
      <c r="AC129">
        <v>1</v>
      </c>
      <c r="AD129">
        <v>1</v>
      </c>
      <c r="AH129">
        <v>1</v>
      </c>
      <c r="AK129">
        <v>1</v>
      </c>
      <c r="AM129">
        <v>1</v>
      </c>
      <c r="AO129">
        <v>1</v>
      </c>
      <c r="AR129">
        <v>1</v>
      </c>
      <c r="AV129">
        <v>1</v>
      </c>
      <c r="AX129">
        <v>1</v>
      </c>
      <c r="AZ129">
        <v>1</v>
      </c>
      <c r="BB129">
        <v>1</v>
      </c>
      <c r="BE129">
        <v>1</v>
      </c>
      <c r="BH129">
        <v>22</v>
      </c>
    </row>
    <row r="130" spans="1:60" x14ac:dyDescent="0.25">
      <c r="A130" s="8" t="s">
        <v>62</v>
      </c>
      <c r="D130">
        <v>1</v>
      </c>
      <c r="G130">
        <v>1</v>
      </c>
      <c r="K130">
        <v>1</v>
      </c>
      <c r="L130">
        <v>1</v>
      </c>
      <c r="O130">
        <v>1</v>
      </c>
      <c r="Q130">
        <v>1</v>
      </c>
      <c r="S130">
        <v>1</v>
      </c>
      <c r="T130">
        <v>1</v>
      </c>
      <c r="X130">
        <v>1</v>
      </c>
      <c r="Z130">
        <v>1</v>
      </c>
      <c r="AC130">
        <v>1</v>
      </c>
      <c r="AD130">
        <v>1</v>
      </c>
      <c r="AH130">
        <v>1</v>
      </c>
      <c r="AK130">
        <v>1</v>
      </c>
      <c r="AM130">
        <v>1</v>
      </c>
      <c r="AO130">
        <v>1</v>
      </c>
      <c r="AR130">
        <v>1</v>
      </c>
      <c r="AV130">
        <v>1</v>
      </c>
      <c r="AX130">
        <v>1</v>
      </c>
      <c r="AZ130">
        <v>1</v>
      </c>
      <c r="BB130">
        <v>1</v>
      </c>
      <c r="BE130">
        <v>1</v>
      </c>
      <c r="BH130">
        <v>22</v>
      </c>
    </row>
    <row r="131" spans="1:60" x14ac:dyDescent="0.25">
      <c r="A131" s="8" t="s">
        <v>63</v>
      </c>
      <c r="D131">
        <v>0</v>
      </c>
      <c r="G131">
        <v>0</v>
      </c>
      <c r="K131">
        <v>0</v>
      </c>
      <c r="L131">
        <v>0</v>
      </c>
      <c r="O131">
        <v>0</v>
      </c>
      <c r="Q131">
        <v>0</v>
      </c>
      <c r="S131">
        <v>0</v>
      </c>
      <c r="T131">
        <v>0</v>
      </c>
      <c r="X131">
        <v>0</v>
      </c>
      <c r="Z131">
        <v>0</v>
      </c>
      <c r="AC131">
        <v>0</v>
      </c>
      <c r="AD131">
        <v>0</v>
      </c>
      <c r="AH131">
        <v>0</v>
      </c>
      <c r="AK131">
        <v>0</v>
      </c>
      <c r="AM131">
        <v>0</v>
      </c>
      <c r="AO131">
        <v>0</v>
      </c>
      <c r="AR131">
        <v>0</v>
      </c>
      <c r="AV131">
        <v>0</v>
      </c>
      <c r="AX131">
        <v>0</v>
      </c>
      <c r="AZ131">
        <v>0</v>
      </c>
      <c r="BB131">
        <v>0</v>
      </c>
      <c r="BE131">
        <v>0</v>
      </c>
      <c r="BH131">
        <v>0</v>
      </c>
    </row>
    <row r="132" spans="1:60" x14ac:dyDescent="0.25">
      <c r="A132" s="8" t="s">
        <v>64</v>
      </c>
      <c r="D132">
        <v>1</v>
      </c>
      <c r="G132">
        <v>0</v>
      </c>
      <c r="K132">
        <v>0</v>
      </c>
      <c r="L132">
        <v>0</v>
      </c>
      <c r="O132">
        <v>0</v>
      </c>
      <c r="Q132">
        <v>1</v>
      </c>
      <c r="S132">
        <v>0</v>
      </c>
      <c r="T132">
        <v>1</v>
      </c>
      <c r="X132">
        <v>0</v>
      </c>
      <c r="Z132">
        <v>1</v>
      </c>
      <c r="AC132">
        <v>1</v>
      </c>
      <c r="AD132">
        <v>1</v>
      </c>
      <c r="AH132">
        <v>0</v>
      </c>
      <c r="AK132">
        <v>0</v>
      </c>
      <c r="AM132">
        <v>0</v>
      </c>
      <c r="AO132">
        <v>0</v>
      </c>
      <c r="AR132">
        <v>0</v>
      </c>
      <c r="AV132">
        <v>0</v>
      </c>
      <c r="AX132">
        <v>1</v>
      </c>
      <c r="AZ132">
        <v>1</v>
      </c>
      <c r="BB132">
        <v>1</v>
      </c>
      <c r="BE132">
        <v>1</v>
      </c>
      <c r="BH132">
        <v>10</v>
      </c>
    </row>
    <row r="133" spans="1:60" x14ac:dyDescent="0.25">
      <c r="A133" s="8" t="s">
        <v>83</v>
      </c>
      <c r="D133">
        <v>0</v>
      </c>
      <c r="G133">
        <v>0</v>
      </c>
      <c r="K133">
        <v>0</v>
      </c>
      <c r="L133">
        <v>0</v>
      </c>
      <c r="O133">
        <v>0</v>
      </c>
      <c r="Q133">
        <v>0</v>
      </c>
      <c r="S133">
        <v>0</v>
      </c>
      <c r="T133">
        <v>0</v>
      </c>
      <c r="X133">
        <v>0</v>
      </c>
      <c r="Z133">
        <v>0</v>
      </c>
      <c r="AC133">
        <v>0</v>
      </c>
      <c r="AD133">
        <v>0</v>
      </c>
      <c r="AH133">
        <v>0</v>
      </c>
      <c r="AK133">
        <v>0</v>
      </c>
      <c r="AM133">
        <v>0</v>
      </c>
      <c r="AO133">
        <v>0</v>
      </c>
      <c r="AR133">
        <v>0</v>
      </c>
      <c r="AV133">
        <v>0</v>
      </c>
      <c r="AX133">
        <v>0</v>
      </c>
      <c r="AZ133">
        <v>0</v>
      </c>
      <c r="BB133">
        <v>0</v>
      </c>
      <c r="BE133">
        <v>0</v>
      </c>
      <c r="BH133">
        <v>0</v>
      </c>
    </row>
    <row r="134" spans="1:60" x14ac:dyDescent="0.25">
      <c r="A134" s="8" t="s">
        <v>85</v>
      </c>
      <c r="D134">
        <v>34</v>
      </c>
      <c r="G134">
        <v>49</v>
      </c>
      <c r="K134">
        <v>33</v>
      </c>
      <c r="L134">
        <v>51</v>
      </c>
      <c r="O134">
        <v>0</v>
      </c>
      <c r="Q134">
        <v>28</v>
      </c>
      <c r="S134">
        <v>53</v>
      </c>
      <c r="T134">
        <v>0</v>
      </c>
      <c r="X134">
        <v>0</v>
      </c>
      <c r="Z134">
        <v>0</v>
      </c>
      <c r="AC134">
        <v>0</v>
      </c>
      <c r="AD134">
        <v>31</v>
      </c>
      <c r="AH134">
        <v>39</v>
      </c>
      <c r="AK134">
        <v>0</v>
      </c>
      <c r="AM134">
        <v>0</v>
      </c>
      <c r="AO134">
        <v>0</v>
      </c>
      <c r="AR134">
        <v>0</v>
      </c>
      <c r="AV134">
        <v>39</v>
      </c>
      <c r="AX134">
        <v>29</v>
      </c>
      <c r="AZ134">
        <v>29</v>
      </c>
      <c r="BB134">
        <v>31</v>
      </c>
      <c r="BE134">
        <v>0</v>
      </c>
      <c r="BH134">
        <v>446</v>
      </c>
    </row>
    <row r="135" spans="1:60" x14ac:dyDescent="0.25">
      <c r="A135" s="8" t="s">
        <v>65</v>
      </c>
      <c r="D135">
        <v>0</v>
      </c>
      <c r="G135">
        <v>0</v>
      </c>
      <c r="K135">
        <v>0</v>
      </c>
      <c r="L135">
        <v>0</v>
      </c>
      <c r="O135">
        <v>0</v>
      </c>
      <c r="Q135">
        <v>0</v>
      </c>
      <c r="S135">
        <v>0</v>
      </c>
      <c r="T135">
        <v>0</v>
      </c>
      <c r="X135">
        <v>0</v>
      </c>
      <c r="Z135">
        <v>0</v>
      </c>
      <c r="AC135">
        <v>0</v>
      </c>
      <c r="AD135">
        <v>0</v>
      </c>
      <c r="AH135">
        <v>0</v>
      </c>
      <c r="AK135">
        <v>0</v>
      </c>
      <c r="AM135">
        <v>0</v>
      </c>
      <c r="AO135">
        <v>0</v>
      </c>
      <c r="AR135">
        <v>0</v>
      </c>
      <c r="AV135">
        <v>0</v>
      </c>
      <c r="AX135">
        <v>0</v>
      </c>
      <c r="AZ135">
        <v>0</v>
      </c>
      <c r="BB135">
        <v>0</v>
      </c>
      <c r="BE135">
        <v>0</v>
      </c>
      <c r="BH135">
        <v>0</v>
      </c>
    </row>
    <row r="136" spans="1:60" x14ac:dyDescent="0.25">
      <c r="A136" s="8" t="s">
        <v>66</v>
      </c>
      <c r="D136">
        <v>0</v>
      </c>
      <c r="G136">
        <v>0</v>
      </c>
      <c r="K136">
        <v>0</v>
      </c>
      <c r="L136">
        <v>0</v>
      </c>
      <c r="O136">
        <v>0</v>
      </c>
      <c r="Q136">
        <v>0</v>
      </c>
      <c r="S136">
        <v>0</v>
      </c>
      <c r="T136">
        <v>0</v>
      </c>
      <c r="X136">
        <v>0</v>
      </c>
      <c r="Z136">
        <v>0</v>
      </c>
      <c r="AC136">
        <v>0</v>
      </c>
      <c r="AD136">
        <v>0</v>
      </c>
      <c r="AH136">
        <v>0</v>
      </c>
      <c r="AK136">
        <v>0</v>
      </c>
      <c r="AM136">
        <v>0</v>
      </c>
      <c r="AO136">
        <v>0</v>
      </c>
      <c r="AR136">
        <v>0</v>
      </c>
      <c r="AV136">
        <v>0</v>
      </c>
      <c r="AX136">
        <v>0</v>
      </c>
      <c r="AZ136">
        <v>0</v>
      </c>
      <c r="BB136">
        <v>0</v>
      </c>
      <c r="BE136">
        <v>0</v>
      </c>
      <c r="BH136">
        <v>0</v>
      </c>
    </row>
    <row r="137" spans="1:60" x14ac:dyDescent="0.25">
      <c r="A137" s="8" t="s">
        <v>87</v>
      </c>
      <c r="D137">
        <v>0</v>
      </c>
      <c r="G137">
        <v>0</v>
      </c>
      <c r="K137">
        <v>0</v>
      </c>
      <c r="L137">
        <v>0</v>
      </c>
      <c r="O137">
        <v>0</v>
      </c>
      <c r="Q137">
        <v>0</v>
      </c>
      <c r="S137">
        <v>0</v>
      </c>
      <c r="T137">
        <v>0</v>
      </c>
      <c r="X137">
        <v>0</v>
      </c>
      <c r="Z137">
        <v>0</v>
      </c>
      <c r="AC137">
        <v>0</v>
      </c>
      <c r="AD137">
        <v>0</v>
      </c>
      <c r="AH137">
        <v>0</v>
      </c>
      <c r="AK137">
        <v>0</v>
      </c>
      <c r="AM137">
        <v>0</v>
      </c>
      <c r="AO137">
        <v>0</v>
      </c>
      <c r="AR137">
        <v>0</v>
      </c>
      <c r="AV137">
        <v>0</v>
      </c>
      <c r="AX137">
        <v>0</v>
      </c>
      <c r="AZ137">
        <v>0</v>
      </c>
      <c r="BB137">
        <v>0</v>
      </c>
      <c r="BE137">
        <v>0</v>
      </c>
      <c r="BH137">
        <v>0</v>
      </c>
    </row>
    <row r="138" spans="1:60" x14ac:dyDescent="0.25">
      <c r="A138" s="8" t="s">
        <v>89</v>
      </c>
      <c r="D138">
        <v>0</v>
      </c>
      <c r="G138">
        <v>0</v>
      </c>
      <c r="K138">
        <v>0</v>
      </c>
      <c r="L138">
        <v>0</v>
      </c>
      <c r="O138">
        <v>0</v>
      </c>
      <c r="Q138">
        <v>0</v>
      </c>
      <c r="S138">
        <v>0</v>
      </c>
      <c r="T138">
        <v>0</v>
      </c>
      <c r="X138">
        <v>0</v>
      </c>
      <c r="Z138">
        <v>0</v>
      </c>
      <c r="AC138">
        <v>0</v>
      </c>
      <c r="AD138">
        <v>0</v>
      </c>
      <c r="AH138">
        <v>0</v>
      </c>
      <c r="AK138">
        <v>0</v>
      </c>
      <c r="AM138">
        <v>0</v>
      </c>
      <c r="AO138">
        <v>0</v>
      </c>
      <c r="AR138">
        <v>0</v>
      </c>
      <c r="AV138">
        <v>0</v>
      </c>
      <c r="AX138">
        <v>0</v>
      </c>
      <c r="AZ138">
        <v>0</v>
      </c>
      <c r="BB138">
        <v>0</v>
      </c>
      <c r="BE138">
        <v>0</v>
      </c>
      <c r="BH138">
        <v>0</v>
      </c>
    </row>
    <row r="139" spans="1:60" x14ac:dyDescent="0.25">
      <c r="A139" s="8" t="s">
        <v>91</v>
      </c>
      <c r="D139">
        <v>0</v>
      </c>
      <c r="G139">
        <v>0</v>
      </c>
      <c r="K139">
        <v>0</v>
      </c>
      <c r="L139">
        <v>0</v>
      </c>
      <c r="O139">
        <v>0</v>
      </c>
      <c r="Q139">
        <v>0</v>
      </c>
      <c r="S139">
        <v>0</v>
      </c>
      <c r="T139">
        <v>0</v>
      </c>
      <c r="X139">
        <v>0</v>
      </c>
      <c r="Z139">
        <v>0</v>
      </c>
      <c r="AC139">
        <v>0</v>
      </c>
      <c r="AD139">
        <v>0</v>
      </c>
      <c r="AH139">
        <v>0</v>
      </c>
      <c r="AK139">
        <v>0</v>
      </c>
      <c r="AM139">
        <v>0</v>
      </c>
      <c r="AO139">
        <v>0</v>
      </c>
      <c r="AR139">
        <v>0</v>
      </c>
      <c r="AV139">
        <v>0</v>
      </c>
      <c r="AX139">
        <v>0</v>
      </c>
      <c r="AZ139">
        <v>0</v>
      </c>
      <c r="BB139">
        <v>0</v>
      </c>
      <c r="BE139">
        <v>0</v>
      </c>
      <c r="BH139">
        <v>0</v>
      </c>
    </row>
    <row r="140" spans="1:60" x14ac:dyDescent="0.25">
      <c r="A140" s="8" t="s">
        <v>67</v>
      </c>
      <c r="D140">
        <v>0</v>
      </c>
      <c r="G140">
        <v>0</v>
      </c>
      <c r="K140">
        <v>0</v>
      </c>
      <c r="L140">
        <v>0</v>
      </c>
      <c r="O140">
        <v>0</v>
      </c>
      <c r="Q140">
        <v>0</v>
      </c>
      <c r="S140">
        <v>0</v>
      </c>
      <c r="T140">
        <v>0</v>
      </c>
      <c r="X140">
        <v>0</v>
      </c>
      <c r="Z140">
        <v>0</v>
      </c>
      <c r="AC140">
        <v>0</v>
      </c>
      <c r="AD140">
        <v>0</v>
      </c>
      <c r="AH140">
        <v>0</v>
      </c>
      <c r="AK140">
        <v>0</v>
      </c>
      <c r="AM140">
        <v>0</v>
      </c>
      <c r="AO140">
        <v>0</v>
      </c>
      <c r="AR140">
        <v>0</v>
      </c>
      <c r="AV140">
        <v>0</v>
      </c>
      <c r="AX140">
        <v>0</v>
      </c>
      <c r="AZ140">
        <v>0</v>
      </c>
      <c r="BB140">
        <v>0</v>
      </c>
      <c r="BE140">
        <v>0</v>
      </c>
      <c r="BH140">
        <v>0</v>
      </c>
    </row>
    <row r="141" spans="1:60" x14ac:dyDescent="0.25">
      <c r="A141" s="8" t="s">
        <v>93</v>
      </c>
      <c r="D141">
        <v>0</v>
      </c>
      <c r="G141">
        <v>0</v>
      </c>
      <c r="K141">
        <v>0</v>
      </c>
      <c r="L141">
        <v>0</v>
      </c>
      <c r="O141">
        <v>0</v>
      </c>
      <c r="Q141">
        <v>0</v>
      </c>
      <c r="S141">
        <v>0</v>
      </c>
      <c r="T141">
        <v>0</v>
      </c>
      <c r="X141">
        <v>0</v>
      </c>
      <c r="Z141">
        <v>0</v>
      </c>
      <c r="AC141">
        <v>0</v>
      </c>
      <c r="AD141">
        <v>0</v>
      </c>
      <c r="AH141">
        <v>0</v>
      </c>
      <c r="AK141">
        <v>0</v>
      </c>
      <c r="AM141">
        <v>0</v>
      </c>
      <c r="AO141">
        <v>0</v>
      </c>
      <c r="AR141">
        <v>0</v>
      </c>
      <c r="AV141">
        <v>0</v>
      </c>
      <c r="AX141">
        <v>0</v>
      </c>
      <c r="AZ141">
        <v>0</v>
      </c>
      <c r="BB141">
        <v>0</v>
      </c>
      <c r="BE141">
        <v>0</v>
      </c>
      <c r="BH141">
        <v>0</v>
      </c>
    </row>
    <row r="142" spans="1:60" x14ac:dyDescent="0.25">
      <c r="A142" s="7" t="s">
        <v>52</v>
      </c>
    </row>
    <row r="143" spans="1:60" x14ac:dyDescent="0.25">
      <c r="A143" s="8" t="s">
        <v>79</v>
      </c>
      <c r="D143">
        <v>44</v>
      </c>
      <c r="G143">
        <v>26</v>
      </c>
      <c r="K143">
        <v>25</v>
      </c>
      <c r="L143">
        <v>49</v>
      </c>
      <c r="O143">
        <v>41</v>
      </c>
      <c r="Q143">
        <v>46</v>
      </c>
      <c r="S143">
        <v>24</v>
      </c>
      <c r="T143">
        <v>31</v>
      </c>
      <c r="W143">
        <v>0</v>
      </c>
      <c r="X143">
        <v>44</v>
      </c>
      <c r="Z143">
        <v>50</v>
      </c>
      <c r="AC143">
        <v>19</v>
      </c>
      <c r="AD143">
        <v>37</v>
      </c>
      <c r="AE143">
        <v>0</v>
      </c>
      <c r="AG143">
        <v>0</v>
      </c>
      <c r="AH143">
        <v>51</v>
      </c>
      <c r="AK143">
        <v>52</v>
      </c>
      <c r="AM143">
        <v>24</v>
      </c>
      <c r="AO143">
        <v>29</v>
      </c>
      <c r="AR143">
        <v>52</v>
      </c>
      <c r="AV143">
        <v>45</v>
      </c>
      <c r="AX143">
        <v>46</v>
      </c>
      <c r="AZ143">
        <v>28</v>
      </c>
      <c r="BB143">
        <v>26</v>
      </c>
      <c r="BE143">
        <v>30</v>
      </c>
      <c r="BG143">
        <v>0</v>
      </c>
      <c r="BH143">
        <v>819</v>
      </c>
    </row>
    <row r="144" spans="1:60" x14ac:dyDescent="0.25">
      <c r="A144" s="8" t="s">
        <v>68</v>
      </c>
      <c r="D144">
        <v>0</v>
      </c>
      <c r="G144">
        <v>0</v>
      </c>
      <c r="K144">
        <v>0</v>
      </c>
      <c r="L144">
        <v>0</v>
      </c>
      <c r="O144">
        <v>4</v>
      </c>
      <c r="Q144">
        <v>0</v>
      </c>
      <c r="S144">
        <v>0</v>
      </c>
      <c r="T144">
        <v>0</v>
      </c>
      <c r="W144">
        <v>0</v>
      </c>
      <c r="X144">
        <v>0</v>
      </c>
      <c r="Z144">
        <v>0</v>
      </c>
      <c r="AC144">
        <v>0</v>
      </c>
      <c r="AD144">
        <v>0</v>
      </c>
      <c r="AE144">
        <v>0</v>
      </c>
      <c r="AG144">
        <v>0</v>
      </c>
      <c r="AH144">
        <v>0</v>
      </c>
      <c r="AK144">
        <v>0</v>
      </c>
      <c r="AM144">
        <v>0</v>
      </c>
      <c r="AO144">
        <v>0</v>
      </c>
      <c r="AR144">
        <v>0</v>
      </c>
      <c r="AV144">
        <v>0</v>
      </c>
      <c r="AX144">
        <v>0</v>
      </c>
      <c r="AZ144">
        <v>0</v>
      </c>
      <c r="BB144">
        <v>0</v>
      </c>
      <c r="BE144">
        <v>0</v>
      </c>
      <c r="BG144">
        <v>0</v>
      </c>
      <c r="BH144">
        <v>4</v>
      </c>
    </row>
    <row r="145" spans="1:60" x14ac:dyDescent="0.25">
      <c r="A145" s="8" t="s">
        <v>61</v>
      </c>
      <c r="D145">
        <v>0</v>
      </c>
      <c r="G145">
        <v>0</v>
      </c>
      <c r="K145">
        <v>0</v>
      </c>
      <c r="L145">
        <v>0</v>
      </c>
      <c r="O145">
        <v>0</v>
      </c>
      <c r="Q145">
        <v>0</v>
      </c>
      <c r="S145">
        <v>0</v>
      </c>
      <c r="T145">
        <v>0</v>
      </c>
      <c r="W145">
        <v>0</v>
      </c>
      <c r="X145">
        <v>0</v>
      </c>
      <c r="Z145">
        <v>0</v>
      </c>
      <c r="AC145">
        <v>0</v>
      </c>
      <c r="AD145">
        <v>0</v>
      </c>
      <c r="AE145">
        <v>0</v>
      </c>
      <c r="AG145">
        <v>0</v>
      </c>
      <c r="AH145">
        <v>0</v>
      </c>
      <c r="AK145">
        <v>0</v>
      </c>
      <c r="AM145">
        <v>0</v>
      </c>
      <c r="AO145">
        <v>0</v>
      </c>
      <c r="AR145">
        <v>0</v>
      </c>
      <c r="AV145">
        <v>0</v>
      </c>
      <c r="AX145">
        <v>0</v>
      </c>
      <c r="AZ145">
        <v>0</v>
      </c>
      <c r="BB145">
        <v>0</v>
      </c>
      <c r="BE145">
        <v>0</v>
      </c>
      <c r="BG145">
        <v>0</v>
      </c>
      <c r="BH145">
        <v>0</v>
      </c>
    </row>
    <row r="146" spans="1:60" x14ac:dyDescent="0.25">
      <c r="A146" s="8" t="s">
        <v>81</v>
      </c>
      <c r="D146">
        <v>0</v>
      </c>
      <c r="G146">
        <v>0</v>
      </c>
      <c r="K146">
        <v>0</v>
      </c>
      <c r="L146">
        <v>0</v>
      </c>
      <c r="O146">
        <v>0</v>
      </c>
      <c r="Q146">
        <v>0</v>
      </c>
      <c r="S146">
        <v>0</v>
      </c>
      <c r="T146">
        <v>0</v>
      </c>
      <c r="W146">
        <v>0</v>
      </c>
      <c r="X146">
        <v>0</v>
      </c>
      <c r="Z146">
        <v>0</v>
      </c>
      <c r="AC146">
        <v>0</v>
      </c>
      <c r="AD146">
        <v>0</v>
      </c>
      <c r="AE146">
        <v>0</v>
      </c>
      <c r="AG146">
        <v>0</v>
      </c>
      <c r="AH146">
        <v>0</v>
      </c>
      <c r="AK146">
        <v>0</v>
      </c>
      <c r="AM146">
        <v>0</v>
      </c>
      <c r="AO146">
        <v>0</v>
      </c>
      <c r="AR146">
        <v>0</v>
      </c>
      <c r="AV146">
        <v>0</v>
      </c>
      <c r="AX146">
        <v>0</v>
      </c>
      <c r="AZ146">
        <v>0</v>
      </c>
      <c r="BB146">
        <v>0</v>
      </c>
      <c r="BE146">
        <v>0</v>
      </c>
      <c r="BG146">
        <v>0</v>
      </c>
      <c r="BH146">
        <v>0</v>
      </c>
    </row>
    <row r="147" spans="1:60" x14ac:dyDescent="0.25">
      <c r="A147" s="8" t="s">
        <v>62</v>
      </c>
      <c r="D147">
        <v>0</v>
      </c>
      <c r="G147">
        <v>0</v>
      </c>
      <c r="K147">
        <v>0</v>
      </c>
      <c r="L147">
        <v>1</v>
      </c>
      <c r="O147">
        <v>0</v>
      </c>
      <c r="Q147">
        <v>0</v>
      </c>
      <c r="S147">
        <v>0</v>
      </c>
      <c r="T147">
        <v>0</v>
      </c>
      <c r="W147">
        <v>0</v>
      </c>
      <c r="X147">
        <v>0</v>
      </c>
      <c r="Z147">
        <v>0</v>
      </c>
      <c r="AC147">
        <v>0</v>
      </c>
      <c r="AD147">
        <v>0</v>
      </c>
      <c r="AE147">
        <v>0</v>
      </c>
      <c r="AG147">
        <v>0</v>
      </c>
      <c r="AH147">
        <v>0</v>
      </c>
      <c r="AK147">
        <v>0</v>
      </c>
      <c r="AM147">
        <v>0</v>
      </c>
      <c r="AO147">
        <v>0</v>
      </c>
      <c r="AR147">
        <v>1</v>
      </c>
      <c r="AV147">
        <v>0</v>
      </c>
      <c r="AX147">
        <v>0</v>
      </c>
      <c r="AZ147">
        <v>0</v>
      </c>
      <c r="BB147">
        <v>0</v>
      </c>
      <c r="BE147">
        <v>0</v>
      </c>
      <c r="BG147">
        <v>0</v>
      </c>
      <c r="BH147">
        <v>2</v>
      </c>
    </row>
    <row r="148" spans="1:60" x14ac:dyDescent="0.25">
      <c r="A148" s="8" t="s">
        <v>63</v>
      </c>
      <c r="D148">
        <v>0</v>
      </c>
      <c r="G148">
        <v>0</v>
      </c>
      <c r="K148">
        <v>0</v>
      </c>
      <c r="L148">
        <v>0</v>
      </c>
      <c r="O148">
        <v>0</v>
      </c>
      <c r="Q148">
        <v>0</v>
      </c>
      <c r="S148">
        <v>0</v>
      </c>
      <c r="T148">
        <v>0</v>
      </c>
      <c r="W148">
        <v>0</v>
      </c>
      <c r="X148">
        <v>0</v>
      </c>
      <c r="Z148">
        <v>0</v>
      </c>
      <c r="AC148">
        <v>0</v>
      </c>
      <c r="AD148">
        <v>0</v>
      </c>
      <c r="AE148">
        <v>0</v>
      </c>
      <c r="AG148">
        <v>0</v>
      </c>
      <c r="AH148">
        <v>0</v>
      </c>
      <c r="AK148">
        <v>0</v>
      </c>
      <c r="AM148">
        <v>0</v>
      </c>
      <c r="AO148">
        <v>0</v>
      </c>
      <c r="AR148">
        <v>0</v>
      </c>
      <c r="AV148">
        <v>0</v>
      </c>
      <c r="AX148">
        <v>0</v>
      </c>
      <c r="AZ148">
        <v>0</v>
      </c>
      <c r="BB148">
        <v>0</v>
      </c>
      <c r="BE148">
        <v>0</v>
      </c>
      <c r="BG148">
        <v>0</v>
      </c>
      <c r="BH148">
        <v>0</v>
      </c>
    </row>
    <row r="149" spans="1:60" x14ac:dyDescent="0.25">
      <c r="A149" s="8" t="s">
        <v>64</v>
      </c>
      <c r="D149">
        <v>0</v>
      </c>
      <c r="G149">
        <v>0</v>
      </c>
      <c r="K149">
        <v>0</v>
      </c>
      <c r="L149">
        <v>0</v>
      </c>
      <c r="O149">
        <v>0</v>
      </c>
      <c r="Q149">
        <v>0</v>
      </c>
      <c r="S149">
        <v>0</v>
      </c>
      <c r="T149">
        <v>0</v>
      </c>
      <c r="W149">
        <v>0</v>
      </c>
      <c r="X149">
        <v>0</v>
      </c>
      <c r="Z149">
        <v>0</v>
      </c>
      <c r="AC149">
        <v>0</v>
      </c>
      <c r="AD149">
        <v>0</v>
      </c>
      <c r="AE149">
        <v>0</v>
      </c>
      <c r="AG149">
        <v>0</v>
      </c>
      <c r="AH149">
        <v>0</v>
      </c>
      <c r="AK149">
        <v>0</v>
      </c>
      <c r="AM149">
        <v>0</v>
      </c>
      <c r="AO149">
        <v>0</v>
      </c>
      <c r="AR149">
        <v>0</v>
      </c>
      <c r="AV149">
        <v>0</v>
      </c>
      <c r="AX149">
        <v>0</v>
      </c>
      <c r="AZ149">
        <v>0</v>
      </c>
      <c r="BB149">
        <v>0</v>
      </c>
      <c r="BE149">
        <v>0</v>
      </c>
      <c r="BG149">
        <v>0</v>
      </c>
      <c r="BH149">
        <v>0</v>
      </c>
    </row>
    <row r="150" spans="1:60" x14ac:dyDescent="0.25">
      <c r="A150" s="8" t="s">
        <v>83</v>
      </c>
      <c r="D150">
        <v>0</v>
      </c>
      <c r="G150">
        <v>0</v>
      </c>
      <c r="K150">
        <v>0</v>
      </c>
      <c r="L150">
        <v>0</v>
      </c>
      <c r="O150">
        <v>0</v>
      </c>
      <c r="Q150">
        <v>0</v>
      </c>
      <c r="S150">
        <v>0</v>
      </c>
      <c r="T150">
        <v>0</v>
      </c>
      <c r="W150">
        <v>0</v>
      </c>
      <c r="X150">
        <v>0</v>
      </c>
      <c r="Z150">
        <v>0</v>
      </c>
      <c r="AC150">
        <v>0</v>
      </c>
      <c r="AD150">
        <v>0</v>
      </c>
      <c r="AE150">
        <v>0</v>
      </c>
      <c r="AG150">
        <v>0</v>
      </c>
      <c r="AH150">
        <v>0</v>
      </c>
      <c r="AK150">
        <v>0</v>
      </c>
      <c r="AM150">
        <v>0</v>
      </c>
      <c r="AO150">
        <v>0</v>
      </c>
      <c r="AR150">
        <v>0</v>
      </c>
      <c r="AV150">
        <v>0</v>
      </c>
      <c r="AX150">
        <v>0</v>
      </c>
      <c r="AZ150">
        <v>0</v>
      </c>
      <c r="BB150">
        <v>0</v>
      </c>
      <c r="BE150">
        <v>0</v>
      </c>
      <c r="BG150">
        <v>0</v>
      </c>
      <c r="BH150">
        <v>0</v>
      </c>
    </row>
    <row r="151" spans="1:60" x14ac:dyDescent="0.25">
      <c r="A151" s="8" t="s">
        <v>85</v>
      </c>
      <c r="D151">
        <v>2</v>
      </c>
      <c r="G151">
        <v>6</v>
      </c>
      <c r="K151">
        <v>2</v>
      </c>
      <c r="L151">
        <v>2</v>
      </c>
      <c r="O151">
        <v>2</v>
      </c>
      <c r="Q151">
        <v>2</v>
      </c>
      <c r="S151">
        <v>2</v>
      </c>
      <c r="T151">
        <v>2</v>
      </c>
      <c r="W151">
        <v>0</v>
      </c>
      <c r="X151">
        <v>2</v>
      </c>
      <c r="Z151">
        <v>2</v>
      </c>
      <c r="AC151">
        <v>2</v>
      </c>
      <c r="AD151">
        <v>2</v>
      </c>
      <c r="AE151">
        <v>0</v>
      </c>
      <c r="AG151">
        <v>0</v>
      </c>
      <c r="AH151">
        <v>2</v>
      </c>
      <c r="AK151">
        <v>2</v>
      </c>
      <c r="AM151">
        <v>2</v>
      </c>
      <c r="AO151">
        <v>2</v>
      </c>
      <c r="AR151">
        <v>2</v>
      </c>
      <c r="AV151">
        <v>2</v>
      </c>
      <c r="AX151">
        <v>2</v>
      </c>
      <c r="AZ151">
        <v>2</v>
      </c>
      <c r="BB151">
        <v>2</v>
      </c>
      <c r="BE151">
        <v>2</v>
      </c>
      <c r="BG151">
        <v>0</v>
      </c>
      <c r="BH151">
        <v>48</v>
      </c>
    </row>
    <row r="152" spans="1:60" x14ac:dyDescent="0.25">
      <c r="A152" s="8" t="s">
        <v>65</v>
      </c>
      <c r="D152">
        <v>0</v>
      </c>
      <c r="G152">
        <v>0</v>
      </c>
      <c r="K152">
        <v>0</v>
      </c>
      <c r="L152">
        <v>0</v>
      </c>
      <c r="O152">
        <v>0</v>
      </c>
      <c r="Q152">
        <v>0</v>
      </c>
      <c r="S152">
        <v>0</v>
      </c>
      <c r="T152">
        <v>0</v>
      </c>
      <c r="W152">
        <v>0</v>
      </c>
      <c r="X152">
        <v>0</v>
      </c>
      <c r="Z152">
        <v>0</v>
      </c>
      <c r="AC152">
        <v>0</v>
      </c>
      <c r="AD152">
        <v>0</v>
      </c>
      <c r="AE152">
        <v>0</v>
      </c>
      <c r="AG152">
        <v>0</v>
      </c>
      <c r="AH152">
        <v>0</v>
      </c>
      <c r="AK152">
        <v>0</v>
      </c>
      <c r="AM152">
        <v>0</v>
      </c>
      <c r="AO152">
        <v>0</v>
      </c>
      <c r="AR152">
        <v>0</v>
      </c>
      <c r="AV152">
        <v>0</v>
      </c>
      <c r="AX152">
        <v>0</v>
      </c>
      <c r="AZ152">
        <v>0</v>
      </c>
      <c r="BB152">
        <v>0</v>
      </c>
      <c r="BE152">
        <v>0</v>
      </c>
      <c r="BG152">
        <v>1</v>
      </c>
      <c r="BH152">
        <v>1</v>
      </c>
    </row>
    <row r="153" spans="1:60" x14ac:dyDescent="0.25">
      <c r="A153" s="8" t="s">
        <v>66</v>
      </c>
      <c r="D153">
        <v>0</v>
      </c>
      <c r="G153">
        <v>0</v>
      </c>
      <c r="K153">
        <v>0</v>
      </c>
      <c r="L153">
        <v>0</v>
      </c>
      <c r="O153">
        <v>0</v>
      </c>
      <c r="Q153">
        <v>0</v>
      </c>
      <c r="S153">
        <v>0</v>
      </c>
      <c r="T153">
        <v>0</v>
      </c>
      <c r="W153">
        <v>1</v>
      </c>
      <c r="X153">
        <v>0</v>
      </c>
      <c r="Z153">
        <v>0</v>
      </c>
      <c r="AC153">
        <v>0</v>
      </c>
      <c r="AD153">
        <v>0</v>
      </c>
      <c r="AE153">
        <v>1</v>
      </c>
      <c r="AG153">
        <v>1</v>
      </c>
      <c r="AH153">
        <v>0</v>
      </c>
      <c r="AK153">
        <v>0</v>
      </c>
      <c r="AM153">
        <v>0</v>
      </c>
      <c r="AO153">
        <v>0</v>
      </c>
      <c r="AR153">
        <v>0</v>
      </c>
      <c r="AV153">
        <v>0</v>
      </c>
      <c r="AX153">
        <v>0</v>
      </c>
      <c r="AZ153">
        <v>0</v>
      </c>
      <c r="BB153">
        <v>0</v>
      </c>
      <c r="BE153">
        <v>0</v>
      </c>
      <c r="BG153">
        <v>0</v>
      </c>
      <c r="BH153">
        <v>3</v>
      </c>
    </row>
    <row r="154" spans="1:60" x14ac:dyDescent="0.25">
      <c r="A154" s="8" t="s">
        <v>87</v>
      </c>
      <c r="D154">
        <v>0</v>
      </c>
      <c r="G154">
        <v>0</v>
      </c>
      <c r="K154">
        <v>0</v>
      </c>
      <c r="L154">
        <v>0</v>
      </c>
      <c r="O154">
        <v>0</v>
      </c>
      <c r="Q154">
        <v>0</v>
      </c>
      <c r="S154">
        <v>0</v>
      </c>
      <c r="T154">
        <v>0</v>
      </c>
      <c r="W154">
        <v>6</v>
      </c>
      <c r="X154">
        <v>0</v>
      </c>
      <c r="Z154">
        <v>0</v>
      </c>
      <c r="AC154">
        <v>0</v>
      </c>
      <c r="AD154">
        <v>0</v>
      </c>
      <c r="AE154">
        <v>30</v>
      </c>
      <c r="AG154">
        <v>9</v>
      </c>
      <c r="AH154">
        <v>0</v>
      </c>
      <c r="AK154">
        <v>0</v>
      </c>
      <c r="AM154">
        <v>0</v>
      </c>
      <c r="AO154">
        <v>0</v>
      </c>
      <c r="AR154">
        <v>0</v>
      </c>
      <c r="AV154">
        <v>0</v>
      </c>
      <c r="AX154">
        <v>0</v>
      </c>
      <c r="AZ154">
        <v>0</v>
      </c>
      <c r="BB154">
        <v>0</v>
      </c>
      <c r="BE154">
        <v>0</v>
      </c>
      <c r="BG154">
        <v>27</v>
      </c>
      <c r="BH154">
        <v>72</v>
      </c>
    </row>
    <row r="155" spans="1:60" x14ac:dyDescent="0.25">
      <c r="A155" s="8" t="s">
        <v>89</v>
      </c>
      <c r="D155">
        <v>0</v>
      </c>
      <c r="G155">
        <v>0</v>
      </c>
      <c r="K155">
        <v>0</v>
      </c>
      <c r="L155">
        <v>0</v>
      </c>
      <c r="O155">
        <v>0</v>
      </c>
      <c r="Q155">
        <v>0</v>
      </c>
      <c r="S155">
        <v>0</v>
      </c>
      <c r="T155">
        <v>0</v>
      </c>
      <c r="W155">
        <v>90</v>
      </c>
      <c r="X155">
        <v>0</v>
      </c>
      <c r="Z155">
        <v>0</v>
      </c>
      <c r="AC155">
        <v>0</v>
      </c>
      <c r="AD155">
        <v>0</v>
      </c>
      <c r="AE155">
        <v>27</v>
      </c>
      <c r="AG155">
        <v>14</v>
      </c>
      <c r="AH155">
        <v>0</v>
      </c>
      <c r="AK155">
        <v>0</v>
      </c>
      <c r="AM155">
        <v>0</v>
      </c>
      <c r="AO155">
        <v>0</v>
      </c>
      <c r="AR155">
        <v>0</v>
      </c>
      <c r="AV155">
        <v>0</v>
      </c>
      <c r="AX155">
        <v>0</v>
      </c>
      <c r="AZ155">
        <v>0</v>
      </c>
      <c r="BB155">
        <v>0</v>
      </c>
      <c r="BE155">
        <v>0</v>
      </c>
      <c r="BG155">
        <v>28</v>
      </c>
      <c r="BH155">
        <v>159</v>
      </c>
    </row>
    <row r="156" spans="1:60" x14ac:dyDescent="0.25">
      <c r="A156" s="8" t="s">
        <v>91</v>
      </c>
      <c r="D156">
        <v>0</v>
      </c>
      <c r="G156">
        <v>0</v>
      </c>
      <c r="K156">
        <v>0</v>
      </c>
      <c r="L156">
        <v>0</v>
      </c>
      <c r="O156">
        <v>0</v>
      </c>
      <c r="Q156">
        <v>0</v>
      </c>
      <c r="S156">
        <v>0</v>
      </c>
      <c r="T156">
        <v>0</v>
      </c>
      <c r="W156">
        <v>0</v>
      </c>
      <c r="X156">
        <v>0</v>
      </c>
      <c r="Z156">
        <v>0</v>
      </c>
      <c r="AC156">
        <v>0</v>
      </c>
      <c r="AD156">
        <v>0</v>
      </c>
      <c r="AE156">
        <v>0</v>
      </c>
      <c r="AG156">
        <v>0</v>
      </c>
      <c r="AH156">
        <v>0</v>
      </c>
      <c r="AK156">
        <v>0</v>
      </c>
      <c r="AM156">
        <v>0</v>
      </c>
      <c r="AO156">
        <v>0</v>
      </c>
      <c r="AR156">
        <v>0</v>
      </c>
      <c r="AV156">
        <v>0</v>
      </c>
      <c r="AX156">
        <v>0</v>
      </c>
      <c r="AZ156">
        <v>0</v>
      </c>
      <c r="BB156">
        <v>0</v>
      </c>
      <c r="BE156">
        <v>0</v>
      </c>
      <c r="BG156">
        <v>1</v>
      </c>
      <c r="BH156">
        <v>1</v>
      </c>
    </row>
    <row r="157" spans="1:60" x14ac:dyDescent="0.25">
      <c r="A157" s="8" t="s">
        <v>67</v>
      </c>
      <c r="D157">
        <v>0</v>
      </c>
      <c r="G157">
        <v>0</v>
      </c>
      <c r="K157">
        <v>0</v>
      </c>
      <c r="L157">
        <v>0</v>
      </c>
      <c r="O157">
        <v>0</v>
      </c>
      <c r="Q157">
        <v>0</v>
      </c>
      <c r="S157">
        <v>0</v>
      </c>
      <c r="T157">
        <v>0</v>
      </c>
      <c r="W157">
        <v>1</v>
      </c>
      <c r="X157">
        <v>0</v>
      </c>
      <c r="Z157">
        <v>0</v>
      </c>
      <c r="AC157">
        <v>0</v>
      </c>
      <c r="AD157">
        <v>0</v>
      </c>
      <c r="AE157">
        <v>1</v>
      </c>
      <c r="AG157">
        <v>1</v>
      </c>
      <c r="AH157">
        <v>0</v>
      </c>
      <c r="AK157">
        <v>0</v>
      </c>
      <c r="AM157">
        <v>0</v>
      </c>
      <c r="AO157">
        <v>0</v>
      </c>
      <c r="AR157">
        <v>0</v>
      </c>
      <c r="AV157">
        <v>0</v>
      </c>
      <c r="AX157">
        <v>0</v>
      </c>
      <c r="AZ157">
        <v>0</v>
      </c>
      <c r="BB157">
        <v>0</v>
      </c>
      <c r="BE157">
        <v>0</v>
      </c>
      <c r="BG157">
        <v>0</v>
      </c>
      <c r="BH157">
        <v>3</v>
      </c>
    </row>
    <row r="158" spans="1:60" x14ac:dyDescent="0.25">
      <c r="A158" s="8" t="s">
        <v>93</v>
      </c>
      <c r="D158">
        <v>0</v>
      </c>
      <c r="G158">
        <v>0</v>
      </c>
      <c r="K158">
        <v>0</v>
      </c>
      <c r="L158">
        <v>0</v>
      </c>
      <c r="O158">
        <v>0</v>
      </c>
      <c r="Q158">
        <v>0</v>
      </c>
      <c r="S158">
        <v>0</v>
      </c>
      <c r="T158">
        <v>0</v>
      </c>
      <c r="W158">
        <v>4</v>
      </c>
      <c r="X158">
        <v>0</v>
      </c>
      <c r="Z158">
        <v>0</v>
      </c>
      <c r="AC158">
        <v>0</v>
      </c>
      <c r="AD158">
        <v>0</v>
      </c>
      <c r="AE158">
        <v>0</v>
      </c>
      <c r="AG158">
        <v>0</v>
      </c>
      <c r="AH158">
        <v>1</v>
      </c>
      <c r="AK158">
        <v>0</v>
      </c>
      <c r="AM158">
        <v>0</v>
      </c>
      <c r="AO158">
        <v>0</v>
      </c>
      <c r="AR158">
        <v>0</v>
      </c>
      <c r="AV158">
        <v>0</v>
      </c>
      <c r="AX158">
        <v>0</v>
      </c>
      <c r="AZ158">
        <v>0</v>
      </c>
      <c r="BB158">
        <v>0</v>
      </c>
      <c r="BE158">
        <v>0</v>
      </c>
      <c r="BG158">
        <v>0</v>
      </c>
      <c r="BH158">
        <v>5</v>
      </c>
    </row>
    <row r="159" spans="1:60" x14ac:dyDescent="0.25">
      <c r="A159" s="7" t="s">
        <v>46</v>
      </c>
    </row>
    <row r="160" spans="1:60" x14ac:dyDescent="0.25">
      <c r="A160" s="8" t="s">
        <v>79</v>
      </c>
      <c r="D160">
        <v>41</v>
      </c>
      <c r="G160">
        <v>76</v>
      </c>
      <c r="K160">
        <v>38</v>
      </c>
      <c r="L160">
        <v>70</v>
      </c>
      <c r="O160">
        <v>74</v>
      </c>
      <c r="Q160">
        <v>40</v>
      </c>
      <c r="S160">
        <v>75</v>
      </c>
      <c r="T160">
        <v>32</v>
      </c>
      <c r="X160">
        <v>74</v>
      </c>
      <c r="Z160">
        <v>37</v>
      </c>
      <c r="AC160">
        <v>78</v>
      </c>
      <c r="AD160">
        <v>31</v>
      </c>
      <c r="AH160">
        <v>79</v>
      </c>
      <c r="AK160">
        <v>36</v>
      </c>
      <c r="AM160">
        <v>82</v>
      </c>
      <c r="AO160">
        <v>30</v>
      </c>
      <c r="AR160">
        <v>62</v>
      </c>
      <c r="AV160">
        <v>73</v>
      </c>
      <c r="AX160">
        <v>38</v>
      </c>
      <c r="AZ160">
        <v>76</v>
      </c>
      <c r="BB160">
        <v>34</v>
      </c>
      <c r="BE160">
        <v>72</v>
      </c>
      <c r="BH160">
        <v>1248</v>
      </c>
    </row>
    <row r="161" spans="1:60" x14ac:dyDescent="0.25">
      <c r="A161" s="8" t="s">
        <v>68</v>
      </c>
      <c r="D161">
        <v>0</v>
      </c>
      <c r="G161">
        <v>0</v>
      </c>
      <c r="K161">
        <v>0</v>
      </c>
      <c r="L161">
        <v>0</v>
      </c>
      <c r="O161">
        <v>0</v>
      </c>
      <c r="Q161">
        <v>0</v>
      </c>
      <c r="S161">
        <v>0</v>
      </c>
      <c r="T161">
        <v>0</v>
      </c>
      <c r="X161">
        <v>0</v>
      </c>
      <c r="Z161">
        <v>0</v>
      </c>
      <c r="AC161">
        <v>0</v>
      </c>
      <c r="AD161">
        <v>0</v>
      </c>
      <c r="AH161">
        <v>0</v>
      </c>
      <c r="AK161">
        <v>0</v>
      </c>
      <c r="AM161">
        <v>0</v>
      </c>
      <c r="AO161">
        <v>0</v>
      </c>
      <c r="AR161">
        <v>0</v>
      </c>
      <c r="AV161">
        <v>0</v>
      </c>
      <c r="AX161">
        <v>0</v>
      </c>
      <c r="AZ161">
        <v>0</v>
      </c>
      <c r="BB161">
        <v>0</v>
      </c>
      <c r="BE161">
        <v>0</v>
      </c>
      <c r="BH161">
        <v>0</v>
      </c>
    </row>
    <row r="162" spans="1:60" x14ac:dyDescent="0.25">
      <c r="A162" s="8" t="s">
        <v>61</v>
      </c>
      <c r="D162">
        <v>0</v>
      </c>
      <c r="G162">
        <v>0</v>
      </c>
      <c r="K162">
        <v>0</v>
      </c>
      <c r="L162">
        <v>0</v>
      </c>
      <c r="O162">
        <v>0</v>
      </c>
      <c r="Q162">
        <v>0</v>
      </c>
      <c r="S162">
        <v>0</v>
      </c>
      <c r="T162">
        <v>0</v>
      </c>
      <c r="X162">
        <v>0</v>
      </c>
      <c r="Z162">
        <v>0</v>
      </c>
      <c r="AC162">
        <v>0</v>
      </c>
      <c r="AD162">
        <v>0</v>
      </c>
      <c r="AH162">
        <v>0</v>
      </c>
      <c r="AK162">
        <v>0</v>
      </c>
      <c r="AM162">
        <v>0</v>
      </c>
      <c r="AO162">
        <v>0</v>
      </c>
      <c r="AR162">
        <v>0</v>
      </c>
      <c r="AV162">
        <v>0</v>
      </c>
      <c r="AX162">
        <v>0</v>
      </c>
      <c r="AZ162">
        <v>0</v>
      </c>
      <c r="BB162">
        <v>0</v>
      </c>
      <c r="BE162">
        <v>0</v>
      </c>
      <c r="BH162">
        <v>0</v>
      </c>
    </row>
    <row r="163" spans="1:60" x14ac:dyDescent="0.25">
      <c r="A163" s="8" t="s">
        <v>81</v>
      </c>
      <c r="D163">
        <v>0</v>
      </c>
      <c r="G163">
        <v>1</v>
      </c>
      <c r="K163">
        <v>0</v>
      </c>
      <c r="L163">
        <v>1</v>
      </c>
      <c r="O163">
        <v>1</v>
      </c>
      <c r="Q163">
        <v>0</v>
      </c>
      <c r="S163">
        <v>1</v>
      </c>
      <c r="T163">
        <v>0</v>
      </c>
      <c r="X163">
        <v>1</v>
      </c>
      <c r="Z163">
        <v>0</v>
      </c>
      <c r="AC163">
        <v>1</v>
      </c>
      <c r="AD163">
        <v>0</v>
      </c>
      <c r="AH163">
        <v>1</v>
      </c>
      <c r="AK163">
        <v>0</v>
      </c>
      <c r="AM163">
        <v>1</v>
      </c>
      <c r="AO163">
        <v>0</v>
      </c>
      <c r="AR163">
        <v>1</v>
      </c>
      <c r="AV163">
        <v>1</v>
      </c>
      <c r="AX163">
        <v>0</v>
      </c>
      <c r="AZ163">
        <v>1</v>
      </c>
      <c r="BB163">
        <v>0</v>
      </c>
      <c r="BE163">
        <v>1</v>
      </c>
      <c r="BH163">
        <v>12</v>
      </c>
    </row>
    <row r="164" spans="1:60" x14ac:dyDescent="0.25">
      <c r="A164" s="8" t="s">
        <v>62</v>
      </c>
      <c r="D164">
        <v>0</v>
      </c>
      <c r="G164">
        <v>0</v>
      </c>
      <c r="K164">
        <v>0</v>
      </c>
      <c r="L164">
        <v>0</v>
      </c>
      <c r="O164">
        <v>0</v>
      </c>
      <c r="Q164">
        <v>0</v>
      </c>
      <c r="S164">
        <v>0</v>
      </c>
      <c r="T164">
        <v>0</v>
      </c>
      <c r="X164">
        <v>0</v>
      </c>
      <c r="Z164">
        <v>0</v>
      </c>
      <c r="AC164">
        <v>0</v>
      </c>
      <c r="AD164">
        <v>0</v>
      </c>
      <c r="AH164">
        <v>0</v>
      </c>
      <c r="AK164">
        <v>0</v>
      </c>
      <c r="AM164">
        <v>0</v>
      </c>
      <c r="AO164">
        <v>0</v>
      </c>
      <c r="AR164">
        <v>0</v>
      </c>
      <c r="AV164">
        <v>0</v>
      </c>
      <c r="AX164">
        <v>0</v>
      </c>
      <c r="AZ164">
        <v>0</v>
      </c>
      <c r="BB164">
        <v>0</v>
      </c>
      <c r="BE164">
        <v>0</v>
      </c>
      <c r="BH164">
        <v>0</v>
      </c>
    </row>
    <row r="165" spans="1:60" x14ac:dyDescent="0.25">
      <c r="A165" s="8" t="s">
        <v>63</v>
      </c>
      <c r="D165">
        <v>0</v>
      </c>
      <c r="G165">
        <v>0</v>
      </c>
      <c r="K165">
        <v>0</v>
      </c>
      <c r="L165">
        <v>0</v>
      </c>
      <c r="O165">
        <v>0</v>
      </c>
      <c r="Q165">
        <v>0</v>
      </c>
      <c r="S165">
        <v>0</v>
      </c>
      <c r="T165">
        <v>0</v>
      </c>
      <c r="X165">
        <v>0</v>
      </c>
      <c r="Z165">
        <v>0</v>
      </c>
      <c r="AC165">
        <v>0</v>
      </c>
      <c r="AD165">
        <v>0</v>
      </c>
      <c r="AH165">
        <v>0</v>
      </c>
      <c r="AK165">
        <v>0</v>
      </c>
      <c r="AM165">
        <v>0</v>
      </c>
      <c r="AO165">
        <v>0</v>
      </c>
      <c r="AR165">
        <v>0</v>
      </c>
      <c r="AV165">
        <v>0</v>
      </c>
      <c r="AX165">
        <v>0</v>
      </c>
      <c r="AZ165">
        <v>0</v>
      </c>
      <c r="BB165">
        <v>0</v>
      </c>
      <c r="BE165">
        <v>0</v>
      </c>
      <c r="BH165">
        <v>0</v>
      </c>
    </row>
    <row r="166" spans="1:60" x14ac:dyDescent="0.25">
      <c r="A166" s="8" t="s">
        <v>64</v>
      </c>
      <c r="D166">
        <v>0</v>
      </c>
      <c r="G166">
        <v>0</v>
      </c>
      <c r="K166">
        <v>0</v>
      </c>
      <c r="L166">
        <v>0</v>
      </c>
      <c r="O166">
        <v>0</v>
      </c>
      <c r="Q166">
        <v>0</v>
      </c>
      <c r="S166">
        <v>0</v>
      </c>
      <c r="T166">
        <v>0</v>
      </c>
      <c r="X166">
        <v>0</v>
      </c>
      <c r="Z166">
        <v>0</v>
      </c>
      <c r="AC166">
        <v>0</v>
      </c>
      <c r="AD166">
        <v>0</v>
      </c>
      <c r="AH166">
        <v>0</v>
      </c>
      <c r="AK166">
        <v>0</v>
      </c>
      <c r="AM166">
        <v>0</v>
      </c>
      <c r="AO166">
        <v>0</v>
      </c>
      <c r="AR166">
        <v>0</v>
      </c>
      <c r="AV166">
        <v>0</v>
      </c>
      <c r="AX166">
        <v>0</v>
      </c>
      <c r="AZ166">
        <v>0</v>
      </c>
      <c r="BB166">
        <v>0</v>
      </c>
      <c r="BE166">
        <v>0</v>
      </c>
      <c r="BH166">
        <v>0</v>
      </c>
    </row>
    <row r="167" spans="1:60" x14ac:dyDescent="0.25">
      <c r="A167" s="8" t="s">
        <v>83</v>
      </c>
      <c r="D167">
        <v>0</v>
      </c>
      <c r="G167">
        <v>0</v>
      </c>
      <c r="K167">
        <v>0</v>
      </c>
      <c r="L167">
        <v>0</v>
      </c>
      <c r="O167">
        <v>0</v>
      </c>
      <c r="Q167">
        <v>0</v>
      </c>
      <c r="S167">
        <v>0</v>
      </c>
      <c r="T167">
        <v>0</v>
      </c>
      <c r="X167">
        <v>0</v>
      </c>
      <c r="Z167">
        <v>0</v>
      </c>
      <c r="AC167">
        <v>0</v>
      </c>
      <c r="AD167">
        <v>0</v>
      </c>
      <c r="AH167">
        <v>0</v>
      </c>
      <c r="AK167">
        <v>0</v>
      </c>
      <c r="AM167">
        <v>0</v>
      </c>
      <c r="AO167">
        <v>0</v>
      </c>
      <c r="AR167">
        <v>0</v>
      </c>
      <c r="AV167">
        <v>0</v>
      </c>
      <c r="AX167">
        <v>0</v>
      </c>
      <c r="AZ167">
        <v>0</v>
      </c>
      <c r="BB167">
        <v>0</v>
      </c>
      <c r="BE167">
        <v>0</v>
      </c>
      <c r="BH167">
        <v>0</v>
      </c>
    </row>
    <row r="168" spans="1:60" x14ac:dyDescent="0.25">
      <c r="A168" s="8" t="s">
        <v>85</v>
      </c>
      <c r="D168">
        <v>0</v>
      </c>
      <c r="G168">
        <v>0</v>
      </c>
      <c r="K168">
        <v>0</v>
      </c>
      <c r="L168">
        <v>0</v>
      </c>
      <c r="O168">
        <v>0</v>
      </c>
      <c r="Q168">
        <v>0</v>
      </c>
      <c r="S168">
        <v>0</v>
      </c>
      <c r="T168">
        <v>0</v>
      </c>
      <c r="X168">
        <v>0</v>
      </c>
      <c r="Z168">
        <v>0</v>
      </c>
      <c r="AC168">
        <v>0</v>
      </c>
      <c r="AD168">
        <v>0</v>
      </c>
      <c r="AH168">
        <v>0</v>
      </c>
      <c r="AK168">
        <v>0</v>
      </c>
      <c r="AM168">
        <v>0</v>
      </c>
      <c r="AO168">
        <v>0</v>
      </c>
      <c r="AR168">
        <v>0</v>
      </c>
      <c r="AV168">
        <v>8</v>
      </c>
      <c r="AX168">
        <v>0</v>
      </c>
      <c r="AZ168">
        <v>0</v>
      </c>
      <c r="BB168">
        <v>0</v>
      </c>
      <c r="BE168">
        <v>0</v>
      </c>
      <c r="BH168">
        <v>8</v>
      </c>
    </row>
    <row r="169" spans="1:60" x14ac:dyDescent="0.25">
      <c r="A169" s="8" t="s">
        <v>65</v>
      </c>
      <c r="D169">
        <v>0</v>
      </c>
      <c r="G169">
        <v>0</v>
      </c>
      <c r="K169">
        <v>0</v>
      </c>
      <c r="L169">
        <v>0</v>
      </c>
      <c r="O169">
        <v>0</v>
      </c>
      <c r="Q169">
        <v>0</v>
      </c>
      <c r="S169">
        <v>0</v>
      </c>
      <c r="T169">
        <v>0</v>
      </c>
      <c r="X169">
        <v>0</v>
      </c>
      <c r="Z169">
        <v>0</v>
      </c>
      <c r="AC169">
        <v>0</v>
      </c>
      <c r="AD169">
        <v>0</v>
      </c>
      <c r="AH169">
        <v>0</v>
      </c>
      <c r="AK169">
        <v>0</v>
      </c>
      <c r="AM169">
        <v>0</v>
      </c>
      <c r="AO169">
        <v>0</v>
      </c>
      <c r="AR169">
        <v>0</v>
      </c>
      <c r="AV169">
        <v>0</v>
      </c>
      <c r="AX169">
        <v>0</v>
      </c>
      <c r="AZ169">
        <v>0</v>
      </c>
      <c r="BB169">
        <v>0</v>
      </c>
      <c r="BE169">
        <v>0</v>
      </c>
      <c r="BH169">
        <v>0</v>
      </c>
    </row>
    <row r="170" spans="1:60" x14ac:dyDescent="0.25">
      <c r="A170" s="8" t="s">
        <v>66</v>
      </c>
      <c r="D170">
        <v>0</v>
      </c>
      <c r="G170">
        <v>0</v>
      </c>
      <c r="K170">
        <v>0</v>
      </c>
      <c r="L170">
        <v>0</v>
      </c>
      <c r="O170">
        <v>0</v>
      </c>
      <c r="Q170">
        <v>0</v>
      </c>
      <c r="S170">
        <v>0</v>
      </c>
      <c r="T170">
        <v>0</v>
      </c>
      <c r="X170">
        <v>0</v>
      </c>
      <c r="Z170">
        <v>0</v>
      </c>
      <c r="AC170">
        <v>0</v>
      </c>
      <c r="AD170">
        <v>0</v>
      </c>
      <c r="AH170">
        <v>0</v>
      </c>
      <c r="AK170">
        <v>0</v>
      </c>
      <c r="AM170">
        <v>0</v>
      </c>
      <c r="AO170">
        <v>0</v>
      </c>
      <c r="AR170">
        <v>0</v>
      </c>
      <c r="AV170">
        <v>0</v>
      </c>
      <c r="AX170">
        <v>0</v>
      </c>
      <c r="AZ170">
        <v>0</v>
      </c>
      <c r="BB170">
        <v>0</v>
      </c>
      <c r="BE170">
        <v>0</v>
      </c>
      <c r="BH170">
        <v>0</v>
      </c>
    </row>
    <row r="171" spans="1:60" x14ac:dyDescent="0.25">
      <c r="A171" s="8" t="s">
        <v>87</v>
      </c>
      <c r="D171">
        <v>0</v>
      </c>
      <c r="G171">
        <v>0</v>
      </c>
      <c r="K171">
        <v>0</v>
      </c>
      <c r="L171">
        <v>0</v>
      </c>
      <c r="O171">
        <v>0</v>
      </c>
      <c r="Q171">
        <v>0</v>
      </c>
      <c r="S171">
        <v>0</v>
      </c>
      <c r="T171">
        <v>0</v>
      </c>
      <c r="X171">
        <v>0</v>
      </c>
      <c r="Z171">
        <v>0</v>
      </c>
      <c r="AC171">
        <v>0</v>
      </c>
      <c r="AD171">
        <v>0</v>
      </c>
      <c r="AH171">
        <v>0</v>
      </c>
      <c r="AK171">
        <v>0</v>
      </c>
      <c r="AM171">
        <v>0</v>
      </c>
      <c r="AO171">
        <v>0</v>
      </c>
      <c r="AR171">
        <v>0</v>
      </c>
      <c r="AV171">
        <v>0</v>
      </c>
      <c r="AX171">
        <v>0</v>
      </c>
      <c r="AZ171">
        <v>0</v>
      </c>
      <c r="BB171">
        <v>0</v>
      </c>
      <c r="BE171">
        <v>0</v>
      </c>
      <c r="BH171">
        <v>0</v>
      </c>
    </row>
    <row r="172" spans="1:60" x14ac:dyDescent="0.25">
      <c r="A172" s="8" t="s">
        <v>89</v>
      </c>
      <c r="D172">
        <v>0</v>
      </c>
      <c r="G172">
        <v>0</v>
      </c>
      <c r="K172">
        <v>0</v>
      </c>
      <c r="L172">
        <v>0</v>
      </c>
      <c r="O172">
        <v>0</v>
      </c>
      <c r="Q172">
        <v>0</v>
      </c>
      <c r="S172">
        <v>0</v>
      </c>
      <c r="T172">
        <v>0</v>
      </c>
      <c r="X172">
        <v>0</v>
      </c>
      <c r="Z172">
        <v>0</v>
      </c>
      <c r="AC172">
        <v>0</v>
      </c>
      <c r="AD172">
        <v>0</v>
      </c>
      <c r="AH172">
        <v>0</v>
      </c>
      <c r="AK172">
        <v>0</v>
      </c>
      <c r="AM172">
        <v>0</v>
      </c>
      <c r="AO172">
        <v>0</v>
      </c>
      <c r="AR172">
        <v>0</v>
      </c>
      <c r="AV172">
        <v>0</v>
      </c>
      <c r="AX172">
        <v>0</v>
      </c>
      <c r="AZ172">
        <v>0</v>
      </c>
      <c r="BB172">
        <v>0</v>
      </c>
      <c r="BE172">
        <v>0</v>
      </c>
      <c r="BH172">
        <v>0</v>
      </c>
    </row>
    <row r="173" spans="1:60" x14ac:dyDescent="0.25">
      <c r="A173" s="8" t="s">
        <v>91</v>
      </c>
      <c r="D173">
        <v>0</v>
      </c>
      <c r="G173">
        <v>0</v>
      </c>
      <c r="K173">
        <v>0</v>
      </c>
      <c r="L173">
        <v>0</v>
      </c>
      <c r="O173">
        <v>0</v>
      </c>
      <c r="Q173">
        <v>0</v>
      </c>
      <c r="S173">
        <v>0</v>
      </c>
      <c r="T173">
        <v>0</v>
      </c>
      <c r="X173">
        <v>0</v>
      </c>
      <c r="Z173">
        <v>0</v>
      </c>
      <c r="AC173">
        <v>0</v>
      </c>
      <c r="AD173">
        <v>0</v>
      </c>
      <c r="AH173">
        <v>0</v>
      </c>
      <c r="AK173">
        <v>0</v>
      </c>
      <c r="AM173">
        <v>0</v>
      </c>
      <c r="AO173">
        <v>0</v>
      </c>
      <c r="AR173">
        <v>0</v>
      </c>
      <c r="AV173">
        <v>0</v>
      </c>
      <c r="AX173">
        <v>0</v>
      </c>
      <c r="AZ173">
        <v>0</v>
      </c>
      <c r="BB173">
        <v>0</v>
      </c>
      <c r="BE173">
        <v>0</v>
      </c>
      <c r="BH173">
        <v>0</v>
      </c>
    </row>
    <row r="174" spans="1:60" x14ac:dyDescent="0.25">
      <c r="A174" s="8" t="s">
        <v>67</v>
      </c>
      <c r="D174">
        <v>0</v>
      </c>
      <c r="G174">
        <v>0</v>
      </c>
      <c r="K174">
        <v>0</v>
      </c>
      <c r="L174">
        <v>0</v>
      </c>
      <c r="O174">
        <v>0</v>
      </c>
      <c r="Q174">
        <v>0</v>
      </c>
      <c r="S174">
        <v>0</v>
      </c>
      <c r="T174">
        <v>0</v>
      </c>
      <c r="X174">
        <v>0</v>
      </c>
      <c r="Z174">
        <v>0</v>
      </c>
      <c r="AC174">
        <v>0</v>
      </c>
      <c r="AD174">
        <v>0</v>
      </c>
      <c r="AH174">
        <v>0</v>
      </c>
      <c r="AK174">
        <v>0</v>
      </c>
      <c r="AM174">
        <v>0</v>
      </c>
      <c r="AO174">
        <v>0</v>
      </c>
      <c r="AR174">
        <v>0</v>
      </c>
      <c r="AV174">
        <v>0</v>
      </c>
      <c r="AX174">
        <v>0</v>
      </c>
      <c r="AZ174">
        <v>0</v>
      </c>
      <c r="BB174">
        <v>0</v>
      </c>
      <c r="BE174">
        <v>0</v>
      </c>
      <c r="BH174">
        <v>0</v>
      </c>
    </row>
    <row r="175" spans="1:60" x14ac:dyDescent="0.25">
      <c r="A175" s="8" t="s">
        <v>93</v>
      </c>
      <c r="D175">
        <v>0</v>
      </c>
      <c r="G175">
        <v>0</v>
      </c>
      <c r="K175">
        <v>0</v>
      </c>
      <c r="L175">
        <v>0</v>
      </c>
      <c r="O175">
        <v>0</v>
      </c>
      <c r="Q175">
        <v>0</v>
      </c>
      <c r="S175">
        <v>0</v>
      </c>
      <c r="T175">
        <v>0</v>
      </c>
      <c r="X175">
        <v>0</v>
      </c>
      <c r="Z175">
        <v>0</v>
      </c>
      <c r="AC175">
        <v>0</v>
      </c>
      <c r="AD175">
        <v>0</v>
      </c>
      <c r="AH175">
        <v>0</v>
      </c>
      <c r="AK175">
        <v>0</v>
      </c>
      <c r="AM175">
        <v>0</v>
      </c>
      <c r="AO175">
        <v>0</v>
      </c>
      <c r="AR175">
        <v>0</v>
      </c>
      <c r="AV175">
        <v>0</v>
      </c>
      <c r="AX175">
        <v>0</v>
      </c>
      <c r="AZ175">
        <v>0</v>
      </c>
      <c r="BB175">
        <v>0</v>
      </c>
      <c r="BE175">
        <v>0</v>
      </c>
      <c r="BH175">
        <v>0</v>
      </c>
    </row>
    <row r="176" spans="1:60" x14ac:dyDescent="0.25">
      <c r="A176" s="7" t="s">
        <v>57</v>
      </c>
    </row>
    <row r="177" spans="1:60" x14ac:dyDescent="0.25">
      <c r="A177" s="8" t="s">
        <v>79</v>
      </c>
      <c r="G177">
        <v>41</v>
      </c>
      <c r="K177">
        <v>34</v>
      </c>
      <c r="L177">
        <v>45</v>
      </c>
      <c r="O177">
        <v>57</v>
      </c>
      <c r="R177">
        <v>0</v>
      </c>
      <c r="S177">
        <v>43</v>
      </c>
      <c r="T177">
        <v>35</v>
      </c>
      <c r="X177">
        <v>18</v>
      </c>
      <c r="AB177">
        <v>0</v>
      </c>
      <c r="AC177">
        <v>45</v>
      </c>
      <c r="AD177">
        <v>35</v>
      </c>
      <c r="AH177">
        <v>35</v>
      </c>
      <c r="AL177">
        <v>0</v>
      </c>
      <c r="AM177">
        <v>44</v>
      </c>
      <c r="AO177">
        <v>35</v>
      </c>
      <c r="AR177">
        <v>48</v>
      </c>
      <c r="AV177">
        <v>59</v>
      </c>
      <c r="AY177">
        <v>0</v>
      </c>
      <c r="AZ177">
        <v>43</v>
      </c>
      <c r="BB177">
        <v>35</v>
      </c>
      <c r="BE177">
        <v>46</v>
      </c>
      <c r="BH177">
        <v>698</v>
      </c>
    </row>
    <row r="178" spans="1:60" x14ac:dyDescent="0.25">
      <c r="A178" s="8" t="s">
        <v>68</v>
      </c>
      <c r="G178">
        <v>0</v>
      </c>
      <c r="K178">
        <v>0</v>
      </c>
      <c r="L178">
        <v>0</v>
      </c>
      <c r="O178">
        <v>0</v>
      </c>
      <c r="R178">
        <v>0</v>
      </c>
      <c r="S178">
        <v>0</v>
      </c>
      <c r="T178">
        <v>0</v>
      </c>
      <c r="X178">
        <v>0</v>
      </c>
      <c r="AB178">
        <v>0</v>
      </c>
      <c r="AC178">
        <v>0</v>
      </c>
      <c r="AD178">
        <v>0</v>
      </c>
      <c r="AH178">
        <v>0</v>
      </c>
      <c r="AL178">
        <v>0</v>
      </c>
      <c r="AM178">
        <v>0</v>
      </c>
      <c r="AO178">
        <v>0</v>
      </c>
      <c r="AR178">
        <v>0</v>
      </c>
      <c r="AV178">
        <v>0</v>
      </c>
      <c r="AY178">
        <v>0</v>
      </c>
      <c r="AZ178">
        <v>0</v>
      </c>
      <c r="BB178">
        <v>0</v>
      </c>
      <c r="BE178">
        <v>0</v>
      </c>
      <c r="BH178">
        <v>0</v>
      </c>
    </row>
    <row r="179" spans="1:60" x14ac:dyDescent="0.25">
      <c r="A179" s="8" t="s">
        <v>61</v>
      </c>
      <c r="G179">
        <v>0</v>
      </c>
      <c r="K179">
        <v>0</v>
      </c>
      <c r="L179">
        <v>0</v>
      </c>
      <c r="O179">
        <v>0</v>
      </c>
      <c r="R179">
        <v>0</v>
      </c>
      <c r="S179">
        <v>0</v>
      </c>
      <c r="T179">
        <v>0</v>
      </c>
      <c r="X179">
        <v>0</v>
      </c>
      <c r="AB179">
        <v>0</v>
      </c>
      <c r="AC179">
        <v>0</v>
      </c>
      <c r="AD179">
        <v>0</v>
      </c>
      <c r="AH179">
        <v>0</v>
      </c>
      <c r="AL179">
        <v>0</v>
      </c>
      <c r="AM179">
        <v>0</v>
      </c>
      <c r="AO179">
        <v>0</v>
      </c>
      <c r="AR179">
        <v>0</v>
      </c>
      <c r="AV179">
        <v>0</v>
      </c>
      <c r="AY179">
        <v>0</v>
      </c>
      <c r="AZ179">
        <v>0</v>
      </c>
      <c r="BB179">
        <v>0</v>
      </c>
      <c r="BE179">
        <v>0</v>
      </c>
      <c r="BH179">
        <v>0</v>
      </c>
    </row>
    <row r="180" spans="1:60" x14ac:dyDescent="0.25">
      <c r="A180" s="8" t="s">
        <v>81</v>
      </c>
      <c r="G180">
        <v>0</v>
      </c>
      <c r="K180">
        <v>0</v>
      </c>
      <c r="L180">
        <v>0</v>
      </c>
      <c r="O180">
        <v>0</v>
      </c>
      <c r="R180">
        <v>0</v>
      </c>
      <c r="S180">
        <v>0</v>
      </c>
      <c r="T180">
        <v>0</v>
      </c>
      <c r="X180">
        <v>0</v>
      </c>
      <c r="AB180">
        <v>0</v>
      </c>
      <c r="AC180">
        <v>0</v>
      </c>
      <c r="AD180">
        <v>0</v>
      </c>
      <c r="AH180">
        <v>0</v>
      </c>
      <c r="AL180">
        <v>0</v>
      </c>
      <c r="AM180">
        <v>0</v>
      </c>
      <c r="AO180">
        <v>0</v>
      </c>
      <c r="AR180">
        <v>0</v>
      </c>
      <c r="AV180">
        <v>0</v>
      </c>
      <c r="AY180">
        <v>0</v>
      </c>
      <c r="AZ180">
        <v>0</v>
      </c>
      <c r="BB180">
        <v>0</v>
      </c>
      <c r="BE180">
        <v>0</v>
      </c>
      <c r="BH180">
        <v>0</v>
      </c>
    </row>
    <row r="181" spans="1:60" x14ac:dyDescent="0.25">
      <c r="A181" s="8" t="s">
        <v>62</v>
      </c>
      <c r="G181">
        <v>0</v>
      </c>
      <c r="K181">
        <v>0</v>
      </c>
      <c r="L181">
        <v>0</v>
      </c>
      <c r="O181">
        <v>0</v>
      </c>
      <c r="R181">
        <v>0</v>
      </c>
      <c r="S181">
        <v>0</v>
      </c>
      <c r="T181">
        <v>0</v>
      </c>
      <c r="X181">
        <v>0</v>
      </c>
      <c r="AB181">
        <v>0</v>
      </c>
      <c r="AC181">
        <v>0</v>
      </c>
      <c r="AD181">
        <v>0</v>
      </c>
      <c r="AH181">
        <v>0</v>
      </c>
      <c r="AL181">
        <v>0</v>
      </c>
      <c r="AM181">
        <v>0</v>
      </c>
      <c r="AO181">
        <v>0</v>
      </c>
      <c r="AR181">
        <v>0</v>
      </c>
      <c r="AV181">
        <v>0</v>
      </c>
      <c r="AY181">
        <v>0</v>
      </c>
      <c r="AZ181">
        <v>0</v>
      </c>
      <c r="BB181">
        <v>0</v>
      </c>
      <c r="BE181">
        <v>0</v>
      </c>
      <c r="BH181">
        <v>0</v>
      </c>
    </row>
    <row r="182" spans="1:60" x14ac:dyDescent="0.25">
      <c r="A182" s="8" t="s">
        <v>63</v>
      </c>
      <c r="G182">
        <v>0</v>
      </c>
      <c r="K182">
        <v>0</v>
      </c>
      <c r="L182">
        <v>0</v>
      </c>
      <c r="O182">
        <v>0</v>
      </c>
      <c r="R182">
        <v>0</v>
      </c>
      <c r="S182">
        <v>0</v>
      </c>
      <c r="T182">
        <v>0</v>
      </c>
      <c r="X182">
        <v>0</v>
      </c>
      <c r="AB182">
        <v>0</v>
      </c>
      <c r="AC182">
        <v>0</v>
      </c>
      <c r="AD182">
        <v>0</v>
      </c>
      <c r="AH182">
        <v>0</v>
      </c>
      <c r="AL182">
        <v>0</v>
      </c>
      <c r="AM182">
        <v>0</v>
      </c>
      <c r="AO182">
        <v>0</v>
      </c>
      <c r="AR182">
        <v>0</v>
      </c>
      <c r="AV182">
        <v>0</v>
      </c>
      <c r="AY182">
        <v>0</v>
      </c>
      <c r="AZ182">
        <v>0</v>
      </c>
      <c r="BB182">
        <v>0</v>
      </c>
      <c r="BE182">
        <v>0</v>
      </c>
      <c r="BH182">
        <v>0</v>
      </c>
    </row>
    <row r="183" spans="1:60" x14ac:dyDescent="0.25">
      <c r="A183" s="8" t="s">
        <v>64</v>
      </c>
      <c r="G183">
        <v>0</v>
      </c>
      <c r="K183">
        <v>0</v>
      </c>
      <c r="L183">
        <v>0</v>
      </c>
      <c r="O183">
        <v>0</v>
      </c>
      <c r="R183">
        <v>0</v>
      </c>
      <c r="S183">
        <v>0</v>
      </c>
      <c r="T183">
        <v>0</v>
      </c>
      <c r="X183">
        <v>0</v>
      </c>
      <c r="AB183">
        <v>0</v>
      </c>
      <c r="AC183">
        <v>0</v>
      </c>
      <c r="AD183">
        <v>0</v>
      </c>
      <c r="AH183">
        <v>0</v>
      </c>
      <c r="AL183">
        <v>0</v>
      </c>
      <c r="AM183">
        <v>0</v>
      </c>
      <c r="AO183">
        <v>0</v>
      </c>
      <c r="AR183">
        <v>0</v>
      </c>
      <c r="AV183">
        <v>0</v>
      </c>
      <c r="AY183">
        <v>0</v>
      </c>
      <c r="AZ183">
        <v>0</v>
      </c>
      <c r="BB183">
        <v>0</v>
      </c>
      <c r="BE183">
        <v>0</v>
      </c>
      <c r="BH183">
        <v>0</v>
      </c>
    </row>
    <row r="184" spans="1:60" x14ac:dyDescent="0.25">
      <c r="A184" s="8" t="s">
        <v>83</v>
      </c>
      <c r="G184">
        <v>0</v>
      </c>
      <c r="K184">
        <v>0</v>
      </c>
      <c r="L184">
        <v>0</v>
      </c>
      <c r="O184">
        <v>0</v>
      </c>
      <c r="R184">
        <v>0</v>
      </c>
      <c r="S184">
        <v>0</v>
      </c>
      <c r="T184">
        <v>0</v>
      </c>
      <c r="X184">
        <v>0</v>
      </c>
      <c r="AB184">
        <v>0</v>
      </c>
      <c r="AC184">
        <v>0</v>
      </c>
      <c r="AD184">
        <v>0</v>
      </c>
      <c r="AH184">
        <v>0</v>
      </c>
      <c r="AL184">
        <v>0</v>
      </c>
      <c r="AM184">
        <v>0</v>
      </c>
      <c r="AO184">
        <v>0</v>
      </c>
      <c r="AR184">
        <v>0</v>
      </c>
      <c r="AV184">
        <v>0</v>
      </c>
      <c r="AY184">
        <v>0</v>
      </c>
      <c r="AZ184">
        <v>0</v>
      </c>
      <c r="BB184">
        <v>0</v>
      </c>
      <c r="BE184">
        <v>0</v>
      </c>
      <c r="BH184">
        <v>0</v>
      </c>
    </row>
    <row r="185" spans="1:60" x14ac:dyDescent="0.25">
      <c r="A185" s="8" t="s">
        <v>85</v>
      </c>
      <c r="G185">
        <v>18</v>
      </c>
      <c r="K185">
        <v>0</v>
      </c>
      <c r="L185">
        <v>18</v>
      </c>
      <c r="O185">
        <v>18</v>
      </c>
      <c r="R185">
        <v>0</v>
      </c>
      <c r="S185">
        <v>18</v>
      </c>
      <c r="T185">
        <v>0</v>
      </c>
      <c r="X185">
        <v>18</v>
      </c>
      <c r="AB185">
        <v>0</v>
      </c>
      <c r="AC185">
        <v>18</v>
      </c>
      <c r="AD185">
        <v>0</v>
      </c>
      <c r="AH185">
        <v>0</v>
      </c>
      <c r="AL185">
        <v>0</v>
      </c>
      <c r="AM185">
        <v>0</v>
      </c>
      <c r="AO185">
        <v>0</v>
      </c>
      <c r="AR185">
        <v>18</v>
      </c>
      <c r="AV185">
        <v>18</v>
      </c>
      <c r="AY185">
        <v>0</v>
      </c>
      <c r="AZ185">
        <v>0</v>
      </c>
      <c r="BB185">
        <v>0</v>
      </c>
      <c r="BE185">
        <v>18</v>
      </c>
      <c r="BH185">
        <v>162</v>
      </c>
    </row>
    <row r="186" spans="1:60" x14ac:dyDescent="0.25">
      <c r="A186" s="8" t="s">
        <v>65</v>
      </c>
      <c r="G186">
        <v>0</v>
      </c>
      <c r="K186">
        <v>0</v>
      </c>
      <c r="L186">
        <v>0</v>
      </c>
      <c r="O186">
        <v>0</v>
      </c>
      <c r="R186">
        <v>0</v>
      </c>
      <c r="S186">
        <v>0</v>
      </c>
      <c r="T186">
        <v>0</v>
      </c>
      <c r="X186">
        <v>0</v>
      </c>
      <c r="AB186">
        <v>0</v>
      </c>
      <c r="AC186">
        <v>0</v>
      </c>
      <c r="AD186">
        <v>0</v>
      </c>
      <c r="AH186">
        <v>0</v>
      </c>
      <c r="AL186">
        <v>0</v>
      </c>
      <c r="AM186">
        <v>0</v>
      </c>
      <c r="AO186">
        <v>0</v>
      </c>
      <c r="AR186">
        <v>0</v>
      </c>
      <c r="AV186">
        <v>0</v>
      </c>
      <c r="AY186">
        <v>0</v>
      </c>
      <c r="AZ186">
        <v>0</v>
      </c>
      <c r="BB186">
        <v>0</v>
      </c>
      <c r="BE186">
        <v>0</v>
      </c>
      <c r="BH186">
        <v>0</v>
      </c>
    </row>
    <row r="187" spans="1:60" x14ac:dyDescent="0.25">
      <c r="A187" s="8" t="s">
        <v>66</v>
      </c>
      <c r="G187">
        <v>0</v>
      </c>
      <c r="K187">
        <v>0</v>
      </c>
      <c r="L187">
        <v>0</v>
      </c>
      <c r="O187">
        <v>0</v>
      </c>
      <c r="R187">
        <v>0</v>
      </c>
      <c r="S187">
        <v>0</v>
      </c>
      <c r="T187">
        <v>0</v>
      </c>
      <c r="X187">
        <v>0</v>
      </c>
      <c r="AB187">
        <v>0</v>
      </c>
      <c r="AC187">
        <v>0</v>
      </c>
      <c r="AD187">
        <v>0</v>
      </c>
      <c r="AH187">
        <v>0</v>
      </c>
      <c r="AL187">
        <v>0</v>
      </c>
      <c r="AM187">
        <v>0</v>
      </c>
      <c r="AO187">
        <v>0</v>
      </c>
      <c r="AR187">
        <v>0</v>
      </c>
      <c r="AV187">
        <v>0</v>
      </c>
      <c r="AY187">
        <v>0</v>
      </c>
      <c r="AZ187">
        <v>0</v>
      </c>
      <c r="BB187">
        <v>0</v>
      </c>
      <c r="BE187">
        <v>0</v>
      </c>
      <c r="BH187">
        <v>0</v>
      </c>
    </row>
    <row r="188" spans="1:60" x14ac:dyDescent="0.25">
      <c r="A188" s="8" t="s">
        <v>87</v>
      </c>
      <c r="G188">
        <v>0</v>
      </c>
      <c r="K188">
        <v>0</v>
      </c>
      <c r="L188">
        <v>0</v>
      </c>
      <c r="O188">
        <v>0</v>
      </c>
      <c r="R188">
        <v>0</v>
      </c>
      <c r="S188">
        <v>0</v>
      </c>
      <c r="T188">
        <v>0</v>
      </c>
      <c r="X188">
        <v>0</v>
      </c>
      <c r="AB188">
        <v>0</v>
      </c>
      <c r="AC188">
        <v>0</v>
      </c>
      <c r="AD188">
        <v>0</v>
      </c>
      <c r="AH188">
        <v>0</v>
      </c>
      <c r="AL188">
        <v>0</v>
      </c>
      <c r="AM188">
        <v>0</v>
      </c>
      <c r="AO188">
        <v>0</v>
      </c>
      <c r="AR188">
        <v>0</v>
      </c>
      <c r="AV188">
        <v>0</v>
      </c>
      <c r="AY188">
        <v>0</v>
      </c>
      <c r="AZ188">
        <v>0</v>
      </c>
      <c r="BB188">
        <v>0</v>
      </c>
      <c r="BE188">
        <v>0</v>
      </c>
      <c r="BH188">
        <v>0</v>
      </c>
    </row>
    <row r="189" spans="1:60" x14ac:dyDescent="0.25">
      <c r="A189" s="8" t="s">
        <v>89</v>
      </c>
      <c r="G189">
        <v>0</v>
      </c>
      <c r="K189">
        <v>0</v>
      </c>
      <c r="L189">
        <v>0</v>
      </c>
      <c r="O189">
        <v>0</v>
      </c>
      <c r="R189">
        <v>0</v>
      </c>
      <c r="S189">
        <v>0</v>
      </c>
      <c r="T189">
        <v>0</v>
      </c>
      <c r="X189">
        <v>0</v>
      </c>
      <c r="AB189">
        <v>0</v>
      </c>
      <c r="AC189">
        <v>0</v>
      </c>
      <c r="AD189">
        <v>0</v>
      </c>
      <c r="AH189">
        <v>0</v>
      </c>
      <c r="AL189">
        <v>0</v>
      </c>
      <c r="AM189">
        <v>0</v>
      </c>
      <c r="AO189">
        <v>0</v>
      </c>
      <c r="AR189">
        <v>0</v>
      </c>
      <c r="AV189">
        <v>0</v>
      </c>
      <c r="AY189">
        <v>0</v>
      </c>
      <c r="AZ189">
        <v>0</v>
      </c>
      <c r="BB189">
        <v>0</v>
      </c>
      <c r="BE189">
        <v>0</v>
      </c>
      <c r="BH189">
        <v>0</v>
      </c>
    </row>
    <row r="190" spans="1:60" x14ac:dyDescent="0.25">
      <c r="A190" s="8" t="s">
        <v>91</v>
      </c>
      <c r="G190">
        <v>0</v>
      </c>
      <c r="K190">
        <v>0</v>
      </c>
      <c r="L190">
        <v>0</v>
      </c>
      <c r="O190">
        <v>0</v>
      </c>
      <c r="R190">
        <v>0</v>
      </c>
      <c r="S190">
        <v>0</v>
      </c>
      <c r="T190">
        <v>0</v>
      </c>
      <c r="X190">
        <v>0</v>
      </c>
      <c r="AB190">
        <v>0</v>
      </c>
      <c r="AC190">
        <v>0</v>
      </c>
      <c r="AD190">
        <v>0</v>
      </c>
      <c r="AH190">
        <v>0</v>
      </c>
      <c r="AL190">
        <v>0</v>
      </c>
      <c r="AM190">
        <v>0</v>
      </c>
      <c r="AO190">
        <v>0</v>
      </c>
      <c r="AR190">
        <v>0</v>
      </c>
      <c r="AV190">
        <v>0</v>
      </c>
      <c r="AY190">
        <v>0</v>
      </c>
      <c r="AZ190">
        <v>0</v>
      </c>
      <c r="BB190">
        <v>0</v>
      </c>
      <c r="BE190">
        <v>0</v>
      </c>
      <c r="BH190">
        <v>0</v>
      </c>
    </row>
    <row r="191" spans="1:60" x14ac:dyDescent="0.25">
      <c r="A191" s="8" t="s">
        <v>67</v>
      </c>
      <c r="G191">
        <v>0</v>
      </c>
      <c r="K191">
        <v>0</v>
      </c>
      <c r="L191">
        <v>0</v>
      </c>
      <c r="O191">
        <v>0</v>
      </c>
      <c r="R191">
        <v>0</v>
      </c>
      <c r="S191">
        <v>0</v>
      </c>
      <c r="T191">
        <v>0</v>
      </c>
      <c r="X191">
        <v>0</v>
      </c>
      <c r="AB191">
        <v>0</v>
      </c>
      <c r="AC191">
        <v>0</v>
      </c>
      <c r="AD191">
        <v>0</v>
      </c>
      <c r="AH191">
        <v>0</v>
      </c>
      <c r="AL191">
        <v>0</v>
      </c>
      <c r="AM191">
        <v>0</v>
      </c>
      <c r="AO191">
        <v>0</v>
      </c>
      <c r="AR191">
        <v>0</v>
      </c>
      <c r="AV191">
        <v>0</v>
      </c>
      <c r="AY191">
        <v>0</v>
      </c>
      <c r="AZ191">
        <v>0</v>
      </c>
      <c r="BB191">
        <v>0</v>
      </c>
      <c r="BE191">
        <v>0</v>
      </c>
      <c r="BH191">
        <v>0</v>
      </c>
    </row>
    <row r="192" spans="1:60" x14ac:dyDescent="0.25">
      <c r="A192" s="8" t="s">
        <v>93</v>
      </c>
      <c r="G192">
        <v>0</v>
      </c>
      <c r="K192">
        <v>0</v>
      </c>
      <c r="L192">
        <v>0</v>
      </c>
      <c r="O192">
        <v>0</v>
      </c>
      <c r="R192">
        <v>0</v>
      </c>
      <c r="S192">
        <v>0</v>
      </c>
      <c r="T192">
        <v>0</v>
      </c>
      <c r="X192">
        <v>0</v>
      </c>
      <c r="AB192">
        <v>0</v>
      </c>
      <c r="AC192">
        <v>0</v>
      </c>
      <c r="AD192">
        <v>0</v>
      </c>
      <c r="AH192">
        <v>0</v>
      </c>
      <c r="AL192">
        <v>0</v>
      </c>
      <c r="AM192">
        <v>0</v>
      </c>
      <c r="AO192">
        <v>0</v>
      </c>
      <c r="AR192">
        <v>0</v>
      </c>
      <c r="AV192">
        <v>0</v>
      </c>
      <c r="AY192">
        <v>0</v>
      </c>
      <c r="AZ192">
        <v>0</v>
      </c>
      <c r="BB192">
        <v>0</v>
      </c>
      <c r="BE192">
        <v>0</v>
      </c>
      <c r="BH192">
        <v>0</v>
      </c>
    </row>
    <row r="193" spans="1:60" x14ac:dyDescent="0.25">
      <c r="A193" s="7" t="s">
        <v>26</v>
      </c>
    </row>
    <row r="194" spans="1:60" x14ac:dyDescent="0.25">
      <c r="A194" s="8" t="s">
        <v>79</v>
      </c>
      <c r="AJ194">
        <v>0</v>
      </c>
      <c r="AK194">
        <v>59</v>
      </c>
      <c r="AM194">
        <v>42</v>
      </c>
      <c r="AO194">
        <v>53</v>
      </c>
      <c r="BH194">
        <v>154</v>
      </c>
    </row>
    <row r="195" spans="1:60" x14ac:dyDescent="0.25">
      <c r="A195" s="8" t="s">
        <v>68</v>
      </c>
      <c r="AJ195">
        <v>0</v>
      </c>
      <c r="AK195">
        <v>0</v>
      </c>
      <c r="AM195">
        <v>0</v>
      </c>
      <c r="AO195">
        <v>0</v>
      </c>
      <c r="BH195">
        <v>0</v>
      </c>
    </row>
    <row r="196" spans="1:60" x14ac:dyDescent="0.25">
      <c r="A196" s="8" t="s">
        <v>61</v>
      </c>
      <c r="AJ196">
        <v>0</v>
      </c>
      <c r="AK196">
        <v>0</v>
      </c>
      <c r="AM196">
        <v>0</v>
      </c>
      <c r="AO196">
        <v>0</v>
      </c>
      <c r="BH196">
        <v>0</v>
      </c>
    </row>
    <row r="197" spans="1:60" x14ac:dyDescent="0.25">
      <c r="A197" s="8" t="s">
        <v>81</v>
      </c>
      <c r="AJ197">
        <v>0</v>
      </c>
      <c r="AK197">
        <v>1</v>
      </c>
      <c r="AM197">
        <v>1</v>
      </c>
      <c r="AO197">
        <v>1</v>
      </c>
      <c r="BH197">
        <v>3</v>
      </c>
    </row>
    <row r="198" spans="1:60" x14ac:dyDescent="0.25">
      <c r="A198" s="8" t="s">
        <v>62</v>
      </c>
      <c r="AJ198">
        <v>0</v>
      </c>
      <c r="AK198">
        <v>0</v>
      </c>
      <c r="AM198">
        <v>0</v>
      </c>
      <c r="AO198">
        <v>0</v>
      </c>
      <c r="BH198">
        <v>0</v>
      </c>
    </row>
    <row r="199" spans="1:60" x14ac:dyDescent="0.25">
      <c r="A199" s="8" t="s">
        <v>63</v>
      </c>
      <c r="AJ199">
        <v>0</v>
      </c>
      <c r="AK199">
        <v>1</v>
      </c>
      <c r="AM199">
        <v>0</v>
      </c>
      <c r="AO199">
        <v>1</v>
      </c>
      <c r="BH199">
        <v>2</v>
      </c>
    </row>
    <row r="200" spans="1:60" x14ac:dyDescent="0.25">
      <c r="A200" s="8" t="s">
        <v>64</v>
      </c>
      <c r="AJ200">
        <v>0</v>
      </c>
      <c r="AK200">
        <v>0</v>
      </c>
      <c r="AM200">
        <v>0</v>
      </c>
      <c r="AO200">
        <v>0</v>
      </c>
      <c r="BH200">
        <v>0</v>
      </c>
    </row>
    <row r="201" spans="1:60" x14ac:dyDescent="0.25">
      <c r="A201" s="8" t="s">
        <v>83</v>
      </c>
      <c r="AJ201">
        <v>0</v>
      </c>
      <c r="AK201">
        <v>0</v>
      </c>
      <c r="AM201">
        <v>0</v>
      </c>
      <c r="AO201">
        <v>0</v>
      </c>
      <c r="BH201">
        <v>0</v>
      </c>
    </row>
    <row r="202" spans="1:60" x14ac:dyDescent="0.25">
      <c r="A202" s="8" t="s">
        <v>85</v>
      </c>
      <c r="AJ202">
        <v>0</v>
      </c>
      <c r="AK202">
        <v>0</v>
      </c>
      <c r="AM202">
        <v>0</v>
      </c>
      <c r="AO202">
        <v>0</v>
      </c>
      <c r="BH202">
        <v>0</v>
      </c>
    </row>
    <row r="203" spans="1:60" x14ac:dyDescent="0.25">
      <c r="A203" s="8" t="s">
        <v>65</v>
      </c>
      <c r="AJ203">
        <v>0</v>
      </c>
      <c r="AK203">
        <v>0</v>
      </c>
      <c r="AM203">
        <v>0</v>
      </c>
      <c r="AO203">
        <v>0</v>
      </c>
      <c r="BH203">
        <v>0</v>
      </c>
    </row>
    <row r="204" spans="1:60" x14ac:dyDescent="0.25">
      <c r="A204" s="8" t="s">
        <v>66</v>
      </c>
      <c r="AJ204">
        <v>0</v>
      </c>
      <c r="AK204">
        <v>0</v>
      </c>
      <c r="AM204">
        <v>0</v>
      </c>
      <c r="AO204">
        <v>0</v>
      </c>
      <c r="BH204">
        <v>0</v>
      </c>
    </row>
    <row r="205" spans="1:60" x14ac:dyDescent="0.25">
      <c r="A205" s="8" t="s">
        <v>87</v>
      </c>
      <c r="AJ205">
        <v>0</v>
      </c>
      <c r="AK205">
        <v>0</v>
      </c>
      <c r="AM205">
        <v>0</v>
      </c>
      <c r="AO205">
        <v>0</v>
      </c>
      <c r="BH205">
        <v>0</v>
      </c>
    </row>
    <row r="206" spans="1:60" x14ac:dyDescent="0.25">
      <c r="A206" s="8" t="s">
        <v>89</v>
      </c>
      <c r="AJ206">
        <v>0</v>
      </c>
      <c r="AK206">
        <v>0</v>
      </c>
      <c r="AM206">
        <v>0</v>
      </c>
      <c r="AO206">
        <v>0</v>
      </c>
      <c r="BH206">
        <v>0</v>
      </c>
    </row>
    <row r="207" spans="1:60" x14ac:dyDescent="0.25">
      <c r="A207" s="8" t="s">
        <v>91</v>
      </c>
      <c r="AJ207">
        <v>0</v>
      </c>
      <c r="AK207">
        <v>0</v>
      </c>
      <c r="AM207">
        <v>0</v>
      </c>
      <c r="AO207">
        <v>0</v>
      </c>
      <c r="BH207">
        <v>0</v>
      </c>
    </row>
    <row r="208" spans="1:60" x14ac:dyDescent="0.25">
      <c r="A208" s="8" t="s">
        <v>67</v>
      </c>
      <c r="AJ208">
        <v>0</v>
      </c>
      <c r="AK208">
        <v>0</v>
      </c>
      <c r="AM208">
        <v>0</v>
      </c>
      <c r="AO208">
        <v>0</v>
      </c>
      <c r="BH208">
        <v>0</v>
      </c>
    </row>
    <row r="209" spans="1:60" x14ac:dyDescent="0.25">
      <c r="A209" s="8" t="s">
        <v>93</v>
      </c>
      <c r="AJ209">
        <v>0</v>
      </c>
      <c r="AK209">
        <v>0</v>
      </c>
      <c r="AM209">
        <v>0</v>
      </c>
      <c r="AO209">
        <v>0</v>
      </c>
      <c r="BH209">
        <v>0</v>
      </c>
    </row>
    <row r="210" spans="1:60" x14ac:dyDescent="0.25">
      <c r="A210" s="7" t="s">
        <v>35</v>
      </c>
    </row>
    <row r="211" spans="1:60" x14ac:dyDescent="0.25">
      <c r="A211" s="8" t="s">
        <v>79</v>
      </c>
      <c r="D211">
        <v>43</v>
      </c>
      <c r="G211">
        <v>28</v>
      </c>
      <c r="K211">
        <v>34</v>
      </c>
      <c r="L211">
        <v>67</v>
      </c>
      <c r="O211">
        <v>20</v>
      </c>
      <c r="Q211">
        <v>37</v>
      </c>
      <c r="S211">
        <v>33</v>
      </c>
      <c r="T211">
        <v>29</v>
      </c>
      <c r="X211">
        <v>108</v>
      </c>
      <c r="Z211">
        <v>47</v>
      </c>
      <c r="AC211">
        <v>25</v>
      </c>
      <c r="AD211">
        <v>109</v>
      </c>
      <c r="AH211">
        <v>114</v>
      </c>
      <c r="AK211">
        <v>40</v>
      </c>
      <c r="AM211">
        <v>32</v>
      </c>
      <c r="AO211">
        <v>36</v>
      </c>
      <c r="AR211">
        <v>63</v>
      </c>
      <c r="AV211">
        <v>31</v>
      </c>
      <c r="AX211">
        <v>26</v>
      </c>
      <c r="AZ211">
        <v>26</v>
      </c>
      <c r="BB211">
        <v>32</v>
      </c>
      <c r="BE211">
        <v>54</v>
      </c>
      <c r="BH211">
        <v>1034</v>
      </c>
    </row>
    <row r="212" spans="1:60" x14ac:dyDescent="0.25">
      <c r="A212" s="8" t="s">
        <v>68</v>
      </c>
      <c r="D212">
        <v>0</v>
      </c>
      <c r="G212">
        <v>0</v>
      </c>
      <c r="K212">
        <v>0</v>
      </c>
      <c r="L212">
        <v>0</v>
      </c>
      <c r="O212">
        <v>55</v>
      </c>
      <c r="Q212">
        <v>0</v>
      </c>
      <c r="S212">
        <v>0</v>
      </c>
      <c r="T212">
        <v>0</v>
      </c>
      <c r="X212">
        <v>0</v>
      </c>
      <c r="Z212">
        <v>0</v>
      </c>
      <c r="AC212">
        <v>0</v>
      </c>
      <c r="AD212">
        <v>0</v>
      </c>
      <c r="AH212">
        <v>0</v>
      </c>
      <c r="AK212">
        <v>0</v>
      </c>
      <c r="AM212">
        <v>0</v>
      </c>
      <c r="AO212">
        <v>0</v>
      </c>
      <c r="AR212">
        <v>0</v>
      </c>
      <c r="AV212">
        <v>0</v>
      </c>
      <c r="AX212">
        <v>62</v>
      </c>
      <c r="AZ212">
        <v>0</v>
      </c>
      <c r="BB212">
        <v>0</v>
      </c>
      <c r="BE212">
        <v>0</v>
      </c>
      <c r="BH212">
        <v>117</v>
      </c>
    </row>
    <row r="213" spans="1:60" x14ac:dyDescent="0.25">
      <c r="A213" s="8" t="s">
        <v>61</v>
      </c>
      <c r="D213">
        <v>0</v>
      </c>
      <c r="G213">
        <v>0</v>
      </c>
      <c r="K213">
        <v>0</v>
      </c>
      <c r="L213">
        <v>0</v>
      </c>
      <c r="O213">
        <v>0</v>
      </c>
      <c r="Q213">
        <v>0</v>
      </c>
      <c r="S213">
        <v>0</v>
      </c>
      <c r="T213">
        <v>0</v>
      </c>
      <c r="X213">
        <v>0</v>
      </c>
      <c r="Z213">
        <v>0</v>
      </c>
      <c r="AC213">
        <v>0</v>
      </c>
      <c r="AD213">
        <v>0</v>
      </c>
      <c r="AH213">
        <v>0</v>
      </c>
      <c r="AK213">
        <v>0</v>
      </c>
      <c r="AM213">
        <v>0</v>
      </c>
      <c r="AO213">
        <v>0</v>
      </c>
      <c r="AR213">
        <v>0</v>
      </c>
      <c r="AV213">
        <v>0</v>
      </c>
      <c r="AX213">
        <v>0</v>
      </c>
      <c r="AZ213">
        <v>0</v>
      </c>
      <c r="BB213">
        <v>0</v>
      </c>
      <c r="BE213">
        <v>0</v>
      </c>
      <c r="BH213">
        <v>0</v>
      </c>
    </row>
    <row r="214" spans="1:60" x14ac:dyDescent="0.25">
      <c r="A214" s="8" t="s">
        <v>81</v>
      </c>
      <c r="D214">
        <v>0</v>
      </c>
      <c r="G214">
        <v>0</v>
      </c>
      <c r="K214">
        <v>0</v>
      </c>
      <c r="L214">
        <v>0</v>
      </c>
      <c r="O214">
        <v>0</v>
      </c>
      <c r="Q214">
        <v>0</v>
      </c>
      <c r="S214">
        <v>0</v>
      </c>
      <c r="T214">
        <v>0</v>
      </c>
      <c r="X214">
        <v>0</v>
      </c>
      <c r="Z214">
        <v>0</v>
      </c>
      <c r="AC214">
        <v>0</v>
      </c>
      <c r="AD214">
        <v>1</v>
      </c>
      <c r="AH214">
        <v>1</v>
      </c>
      <c r="AK214">
        <v>0</v>
      </c>
      <c r="AM214">
        <v>0</v>
      </c>
      <c r="AO214">
        <v>0</v>
      </c>
      <c r="AR214">
        <v>0</v>
      </c>
      <c r="AV214">
        <v>0</v>
      </c>
      <c r="AX214">
        <v>1</v>
      </c>
      <c r="AZ214">
        <v>0</v>
      </c>
      <c r="BB214">
        <v>0</v>
      </c>
      <c r="BE214">
        <v>0</v>
      </c>
      <c r="BH214">
        <v>3</v>
      </c>
    </row>
    <row r="215" spans="1:60" x14ac:dyDescent="0.25">
      <c r="A215" s="8" t="s">
        <v>62</v>
      </c>
      <c r="D215">
        <v>0</v>
      </c>
      <c r="G215">
        <v>0</v>
      </c>
      <c r="K215">
        <v>0</v>
      </c>
      <c r="L215">
        <v>0</v>
      </c>
      <c r="O215">
        <v>0</v>
      </c>
      <c r="Q215">
        <v>0</v>
      </c>
      <c r="S215">
        <v>0</v>
      </c>
      <c r="T215">
        <v>0</v>
      </c>
      <c r="X215">
        <v>0</v>
      </c>
      <c r="Z215">
        <v>0</v>
      </c>
      <c r="AC215">
        <v>0</v>
      </c>
      <c r="AD215">
        <v>0</v>
      </c>
      <c r="AH215">
        <v>0</v>
      </c>
      <c r="AK215">
        <v>0</v>
      </c>
      <c r="AM215">
        <v>0</v>
      </c>
      <c r="AO215">
        <v>0</v>
      </c>
      <c r="AR215">
        <v>0</v>
      </c>
      <c r="AV215">
        <v>0</v>
      </c>
      <c r="AX215">
        <v>0</v>
      </c>
      <c r="AZ215">
        <v>0</v>
      </c>
      <c r="BB215">
        <v>0</v>
      </c>
      <c r="BE215">
        <v>0</v>
      </c>
      <c r="BH215">
        <v>0</v>
      </c>
    </row>
    <row r="216" spans="1:60" x14ac:dyDescent="0.25">
      <c r="A216" s="8" t="s">
        <v>63</v>
      </c>
      <c r="D216">
        <v>0</v>
      </c>
      <c r="G216">
        <v>0</v>
      </c>
      <c r="K216">
        <v>0</v>
      </c>
      <c r="L216">
        <v>0</v>
      </c>
      <c r="O216">
        <v>0</v>
      </c>
      <c r="Q216">
        <v>0</v>
      </c>
      <c r="S216">
        <v>0</v>
      </c>
      <c r="T216">
        <v>0</v>
      </c>
      <c r="X216">
        <v>0</v>
      </c>
      <c r="Z216">
        <v>0</v>
      </c>
      <c r="AC216">
        <v>0</v>
      </c>
      <c r="AD216">
        <v>0</v>
      </c>
      <c r="AH216">
        <v>0</v>
      </c>
      <c r="AK216">
        <v>0</v>
      </c>
      <c r="AM216">
        <v>0</v>
      </c>
      <c r="AO216">
        <v>0</v>
      </c>
      <c r="AR216">
        <v>0</v>
      </c>
      <c r="AV216">
        <v>0</v>
      </c>
      <c r="AX216">
        <v>0</v>
      </c>
      <c r="AZ216">
        <v>0</v>
      </c>
      <c r="BB216">
        <v>0</v>
      </c>
      <c r="BE216">
        <v>0</v>
      </c>
      <c r="BH216">
        <v>0</v>
      </c>
    </row>
    <row r="217" spans="1:60" x14ac:dyDescent="0.25">
      <c r="A217" s="8" t="s">
        <v>64</v>
      </c>
      <c r="D217">
        <v>0</v>
      </c>
      <c r="G217">
        <v>0</v>
      </c>
      <c r="K217">
        <v>0</v>
      </c>
      <c r="L217">
        <v>0</v>
      </c>
      <c r="O217">
        <v>0</v>
      </c>
      <c r="Q217">
        <v>0</v>
      </c>
      <c r="S217">
        <v>0</v>
      </c>
      <c r="T217">
        <v>0</v>
      </c>
      <c r="X217">
        <v>0</v>
      </c>
      <c r="Z217">
        <v>0</v>
      </c>
      <c r="AC217">
        <v>0</v>
      </c>
      <c r="AD217">
        <v>0</v>
      </c>
      <c r="AH217">
        <v>0</v>
      </c>
      <c r="AK217">
        <v>0</v>
      </c>
      <c r="AM217">
        <v>0</v>
      </c>
      <c r="AO217">
        <v>0</v>
      </c>
      <c r="AR217">
        <v>0</v>
      </c>
      <c r="AV217">
        <v>0</v>
      </c>
      <c r="AX217">
        <v>0</v>
      </c>
      <c r="AZ217">
        <v>0</v>
      </c>
      <c r="BB217">
        <v>0</v>
      </c>
      <c r="BE217">
        <v>0</v>
      </c>
      <c r="BH217">
        <v>0</v>
      </c>
    </row>
    <row r="218" spans="1:60" x14ac:dyDescent="0.25">
      <c r="A218" s="8" t="s">
        <v>83</v>
      </c>
      <c r="D218">
        <v>0</v>
      </c>
      <c r="G218">
        <v>0</v>
      </c>
      <c r="K218">
        <v>2</v>
      </c>
      <c r="L218">
        <v>0</v>
      </c>
      <c r="O218">
        <v>0</v>
      </c>
      <c r="Q218">
        <v>0</v>
      </c>
      <c r="S218">
        <v>0</v>
      </c>
      <c r="T218">
        <v>0</v>
      </c>
      <c r="X218">
        <v>0</v>
      </c>
      <c r="Z218">
        <v>0</v>
      </c>
      <c r="AC218">
        <v>0</v>
      </c>
      <c r="AD218">
        <v>0</v>
      </c>
      <c r="AH218">
        <v>0</v>
      </c>
      <c r="AK218">
        <v>0</v>
      </c>
      <c r="AM218">
        <v>0</v>
      </c>
      <c r="AO218">
        <v>0</v>
      </c>
      <c r="AR218">
        <v>0</v>
      </c>
      <c r="AV218">
        <v>0</v>
      </c>
      <c r="AX218">
        <v>0</v>
      </c>
      <c r="AZ218">
        <v>0</v>
      </c>
      <c r="BB218">
        <v>0</v>
      </c>
      <c r="BE218">
        <v>0</v>
      </c>
      <c r="BH218">
        <v>2</v>
      </c>
    </row>
    <row r="219" spans="1:60" x14ac:dyDescent="0.25">
      <c r="A219" s="8" t="s">
        <v>85</v>
      </c>
      <c r="D219">
        <v>0</v>
      </c>
      <c r="G219">
        <v>0</v>
      </c>
      <c r="K219">
        <v>0</v>
      </c>
      <c r="L219">
        <v>2</v>
      </c>
      <c r="O219">
        <v>0</v>
      </c>
      <c r="Q219">
        <v>0</v>
      </c>
      <c r="S219">
        <v>0</v>
      </c>
      <c r="T219">
        <v>0</v>
      </c>
      <c r="X219">
        <v>0</v>
      </c>
      <c r="Z219">
        <v>0</v>
      </c>
      <c r="AC219">
        <v>0</v>
      </c>
      <c r="AD219">
        <v>0</v>
      </c>
      <c r="AH219">
        <v>0</v>
      </c>
      <c r="AK219">
        <v>0</v>
      </c>
      <c r="AM219">
        <v>0</v>
      </c>
      <c r="AO219">
        <v>0</v>
      </c>
      <c r="AR219">
        <v>0</v>
      </c>
      <c r="AV219">
        <v>0</v>
      </c>
      <c r="AX219">
        <v>0</v>
      </c>
      <c r="AZ219">
        <v>0</v>
      </c>
      <c r="BB219">
        <v>0</v>
      </c>
      <c r="BE219">
        <v>0</v>
      </c>
      <c r="BH219">
        <v>2</v>
      </c>
    </row>
    <row r="220" spans="1:60" x14ac:dyDescent="0.25">
      <c r="A220" s="8" t="s">
        <v>65</v>
      </c>
      <c r="D220">
        <v>0</v>
      </c>
      <c r="G220">
        <v>0</v>
      </c>
      <c r="K220">
        <v>0</v>
      </c>
      <c r="L220">
        <v>0</v>
      </c>
      <c r="O220">
        <v>0</v>
      </c>
      <c r="Q220">
        <v>0</v>
      </c>
      <c r="S220">
        <v>0</v>
      </c>
      <c r="T220">
        <v>0</v>
      </c>
      <c r="X220">
        <v>0</v>
      </c>
      <c r="Z220">
        <v>0</v>
      </c>
      <c r="AC220">
        <v>0</v>
      </c>
      <c r="AD220">
        <v>0</v>
      </c>
      <c r="AH220">
        <v>0</v>
      </c>
      <c r="AK220">
        <v>0</v>
      </c>
      <c r="AM220">
        <v>0</v>
      </c>
      <c r="AO220">
        <v>0</v>
      </c>
      <c r="AR220">
        <v>0</v>
      </c>
      <c r="AV220">
        <v>0</v>
      </c>
      <c r="AX220">
        <v>0</v>
      </c>
      <c r="AZ220">
        <v>0</v>
      </c>
      <c r="BB220">
        <v>0</v>
      </c>
      <c r="BE220">
        <v>0</v>
      </c>
      <c r="BH220">
        <v>0</v>
      </c>
    </row>
    <row r="221" spans="1:60" x14ac:dyDescent="0.25">
      <c r="A221" s="8" t="s">
        <v>66</v>
      </c>
      <c r="D221">
        <v>0</v>
      </c>
      <c r="G221">
        <v>0</v>
      </c>
      <c r="K221">
        <v>0</v>
      </c>
      <c r="L221">
        <v>0</v>
      </c>
      <c r="O221">
        <v>0</v>
      </c>
      <c r="Q221">
        <v>0</v>
      </c>
      <c r="S221">
        <v>0</v>
      </c>
      <c r="T221">
        <v>0</v>
      </c>
      <c r="X221">
        <v>0</v>
      </c>
      <c r="Z221">
        <v>0</v>
      </c>
      <c r="AC221">
        <v>0</v>
      </c>
      <c r="AD221">
        <v>0</v>
      </c>
      <c r="AH221">
        <v>0</v>
      </c>
      <c r="AK221">
        <v>0</v>
      </c>
      <c r="AM221">
        <v>0</v>
      </c>
      <c r="AO221">
        <v>0</v>
      </c>
      <c r="AR221">
        <v>0</v>
      </c>
      <c r="AV221">
        <v>0</v>
      </c>
      <c r="AX221">
        <v>0</v>
      </c>
      <c r="AZ221">
        <v>0</v>
      </c>
      <c r="BB221">
        <v>0</v>
      </c>
      <c r="BE221">
        <v>0</v>
      </c>
      <c r="BH221">
        <v>0</v>
      </c>
    </row>
    <row r="222" spans="1:60" x14ac:dyDescent="0.25">
      <c r="A222" s="8" t="s">
        <v>87</v>
      </c>
      <c r="D222">
        <v>0</v>
      </c>
      <c r="G222">
        <v>0</v>
      </c>
      <c r="K222">
        <v>0</v>
      </c>
      <c r="L222">
        <v>0</v>
      </c>
      <c r="O222">
        <v>0</v>
      </c>
      <c r="Q222">
        <v>0</v>
      </c>
      <c r="S222">
        <v>0</v>
      </c>
      <c r="T222">
        <v>0</v>
      </c>
      <c r="X222">
        <v>0</v>
      </c>
      <c r="Z222">
        <v>0</v>
      </c>
      <c r="AC222">
        <v>0</v>
      </c>
      <c r="AD222">
        <v>0</v>
      </c>
      <c r="AH222">
        <v>0</v>
      </c>
      <c r="AK222">
        <v>0</v>
      </c>
      <c r="AM222">
        <v>0</v>
      </c>
      <c r="AO222">
        <v>0</v>
      </c>
      <c r="AR222">
        <v>0</v>
      </c>
      <c r="AV222">
        <v>0</v>
      </c>
      <c r="AX222">
        <v>0</v>
      </c>
      <c r="AZ222">
        <v>0</v>
      </c>
      <c r="BB222">
        <v>0</v>
      </c>
      <c r="BE222">
        <v>0</v>
      </c>
      <c r="BH222">
        <v>0</v>
      </c>
    </row>
    <row r="223" spans="1:60" x14ac:dyDescent="0.25">
      <c r="A223" s="8" t="s">
        <v>89</v>
      </c>
      <c r="D223">
        <v>0</v>
      </c>
      <c r="G223">
        <v>0</v>
      </c>
      <c r="K223">
        <v>0</v>
      </c>
      <c r="L223">
        <v>0</v>
      </c>
      <c r="O223">
        <v>0</v>
      </c>
      <c r="Q223">
        <v>0</v>
      </c>
      <c r="S223">
        <v>0</v>
      </c>
      <c r="T223">
        <v>0</v>
      </c>
      <c r="X223">
        <v>0</v>
      </c>
      <c r="Z223">
        <v>0</v>
      </c>
      <c r="AC223">
        <v>0</v>
      </c>
      <c r="AD223">
        <v>0</v>
      </c>
      <c r="AH223">
        <v>0</v>
      </c>
      <c r="AK223">
        <v>0</v>
      </c>
      <c r="AM223">
        <v>0</v>
      </c>
      <c r="AO223">
        <v>0</v>
      </c>
      <c r="AR223">
        <v>0</v>
      </c>
      <c r="AV223">
        <v>0</v>
      </c>
      <c r="AX223">
        <v>0</v>
      </c>
      <c r="AZ223">
        <v>0</v>
      </c>
      <c r="BB223">
        <v>0</v>
      </c>
      <c r="BE223">
        <v>0</v>
      </c>
      <c r="BH223">
        <v>0</v>
      </c>
    </row>
    <row r="224" spans="1:60" x14ac:dyDescent="0.25">
      <c r="A224" s="8" t="s">
        <v>91</v>
      </c>
      <c r="D224">
        <v>0</v>
      </c>
      <c r="G224">
        <v>0</v>
      </c>
      <c r="K224">
        <v>0</v>
      </c>
      <c r="L224">
        <v>0</v>
      </c>
      <c r="O224">
        <v>0</v>
      </c>
      <c r="Q224">
        <v>0</v>
      </c>
      <c r="S224">
        <v>0</v>
      </c>
      <c r="T224">
        <v>0</v>
      </c>
      <c r="X224">
        <v>0</v>
      </c>
      <c r="Z224">
        <v>0</v>
      </c>
      <c r="AC224">
        <v>0</v>
      </c>
      <c r="AD224">
        <v>0</v>
      </c>
      <c r="AH224">
        <v>0</v>
      </c>
      <c r="AK224">
        <v>0</v>
      </c>
      <c r="AM224">
        <v>0</v>
      </c>
      <c r="AO224">
        <v>0</v>
      </c>
      <c r="AR224">
        <v>0</v>
      </c>
      <c r="AV224">
        <v>0</v>
      </c>
      <c r="AX224">
        <v>0</v>
      </c>
      <c r="AZ224">
        <v>0</v>
      </c>
      <c r="BB224">
        <v>0</v>
      </c>
      <c r="BE224">
        <v>0</v>
      </c>
      <c r="BH224">
        <v>0</v>
      </c>
    </row>
    <row r="225" spans="1:60" x14ac:dyDescent="0.25">
      <c r="A225" s="8" t="s">
        <v>67</v>
      </c>
      <c r="D225">
        <v>0</v>
      </c>
      <c r="G225">
        <v>0</v>
      </c>
      <c r="K225">
        <v>0</v>
      </c>
      <c r="L225">
        <v>0</v>
      </c>
      <c r="O225">
        <v>0</v>
      </c>
      <c r="Q225">
        <v>0</v>
      </c>
      <c r="S225">
        <v>0</v>
      </c>
      <c r="T225">
        <v>0</v>
      </c>
      <c r="X225">
        <v>0</v>
      </c>
      <c r="Z225">
        <v>0</v>
      </c>
      <c r="AC225">
        <v>0</v>
      </c>
      <c r="AD225">
        <v>0</v>
      </c>
      <c r="AH225">
        <v>0</v>
      </c>
      <c r="AK225">
        <v>0</v>
      </c>
      <c r="AM225">
        <v>0</v>
      </c>
      <c r="AO225">
        <v>0</v>
      </c>
      <c r="AR225">
        <v>0</v>
      </c>
      <c r="AV225">
        <v>0</v>
      </c>
      <c r="AX225">
        <v>0</v>
      </c>
      <c r="AZ225">
        <v>0</v>
      </c>
      <c r="BB225">
        <v>0</v>
      </c>
      <c r="BE225">
        <v>0</v>
      </c>
      <c r="BH225">
        <v>0</v>
      </c>
    </row>
    <row r="226" spans="1:60" x14ac:dyDescent="0.25">
      <c r="A226" s="8" t="s">
        <v>93</v>
      </c>
      <c r="D226">
        <v>0</v>
      </c>
      <c r="G226">
        <v>0</v>
      </c>
      <c r="K226">
        <v>0</v>
      </c>
      <c r="L226">
        <v>0</v>
      </c>
      <c r="O226">
        <v>0</v>
      </c>
      <c r="Q226">
        <v>0</v>
      </c>
      <c r="S226">
        <v>0</v>
      </c>
      <c r="T226">
        <v>0</v>
      </c>
      <c r="X226">
        <v>0</v>
      </c>
      <c r="Z226">
        <v>0</v>
      </c>
      <c r="AC226">
        <v>0</v>
      </c>
      <c r="AD226">
        <v>0</v>
      </c>
      <c r="AH226">
        <v>0</v>
      </c>
      <c r="AK226">
        <v>0</v>
      </c>
      <c r="AM226">
        <v>0</v>
      </c>
      <c r="AO226">
        <v>0</v>
      </c>
      <c r="AR226">
        <v>0</v>
      </c>
      <c r="AV226">
        <v>0</v>
      </c>
      <c r="AX226">
        <v>1</v>
      </c>
      <c r="AZ226">
        <v>1</v>
      </c>
      <c r="BB226">
        <v>0</v>
      </c>
      <c r="BE226">
        <v>0</v>
      </c>
      <c r="BH226">
        <v>2</v>
      </c>
    </row>
    <row r="227" spans="1:60" x14ac:dyDescent="0.25">
      <c r="A227" s="7" t="s">
        <v>48</v>
      </c>
    </row>
    <row r="228" spans="1:60" x14ac:dyDescent="0.25">
      <c r="A228" s="8" t="s">
        <v>79</v>
      </c>
      <c r="AD228">
        <v>56</v>
      </c>
      <c r="BH228">
        <v>56</v>
      </c>
    </row>
    <row r="229" spans="1:60" x14ac:dyDescent="0.25">
      <c r="A229" s="8" t="s">
        <v>68</v>
      </c>
      <c r="AD229">
        <v>0</v>
      </c>
      <c r="BH229">
        <v>0</v>
      </c>
    </row>
    <row r="230" spans="1:60" x14ac:dyDescent="0.25">
      <c r="A230" s="8" t="s">
        <v>61</v>
      </c>
      <c r="AD230">
        <v>0</v>
      </c>
      <c r="BH230">
        <v>0</v>
      </c>
    </row>
    <row r="231" spans="1:60" x14ac:dyDescent="0.25">
      <c r="A231" s="8" t="s">
        <v>81</v>
      </c>
      <c r="AD231">
        <v>1</v>
      </c>
      <c r="BH231">
        <v>1</v>
      </c>
    </row>
    <row r="232" spans="1:60" x14ac:dyDescent="0.25">
      <c r="A232" s="8" t="s">
        <v>62</v>
      </c>
      <c r="AD232">
        <v>0</v>
      </c>
      <c r="BH232">
        <v>0</v>
      </c>
    </row>
    <row r="233" spans="1:60" x14ac:dyDescent="0.25">
      <c r="A233" s="8" t="s">
        <v>63</v>
      </c>
      <c r="AD233">
        <v>0</v>
      </c>
      <c r="BH233">
        <v>0</v>
      </c>
    </row>
    <row r="234" spans="1:60" x14ac:dyDescent="0.25">
      <c r="A234" s="8" t="s">
        <v>64</v>
      </c>
      <c r="AD234">
        <v>0</v>
      </c>
      <c r="BH234">
        <v>0</v>
      </c>
    </row>
    <row r="235" spans="1:60" x14ac:dyDescent="0.25">
      <c r="A235" s="8" t="s">
        <v>83</v>
      </c>
      <c r="AD235">
        <v>0</v>
      </c>
      <c r="BH235">
        <v>0</v>
      </c>
    </row>
    <row r="236" spans="1:60" x14ac:dyDescent="0.25">
      <c r="A236" s="8" t="s">
        <v>85</v>
      </c>
      <c r="AD236">
        <v>0</v>
      </c>
      <c r="BH236">
        <v>0</v>
      </c>
    </row>
    <row r="237" spans="1:60" x14ac:dyDescent="0.25">
      <c r="A237" s="8" t="s">
        <v>65</v>
      </c>
      <c r="AD237">
        <v>0</v>
      </c>
      <c r="BH237">
        <v>0</v>
      </c>
    </row>
    <row r="238" spans="1:60" x14ac:dyDescent="0.25">
      <c r="A238" s="8" t="s">
        <v>66</v>
      </c>
      <c r="AD238">
        <v>0</v>
      </c>
      <c r="BH238">
        <v>0</v>
      </c>
    </row>
    <row r="239" spans="1:60" x14ac:dyDescent="0.25">
      <c r="A239" s="8" t="s">
        <v>87</v>
      </c>
      <c r="AD239">
        <v>0</v>
      </c>
      <c r="BH239">
        <v>0</v>
      </c>
    </row>
    <row r="240" spans="1:60" x14ac:dyDescent="0.25">
      <c r="A240" s="8" t="s">
        <v>89</v>
      </c>
      <c r="AD240">
        <v>0</v>
      </c>
      <c r="BH240">
        <v>0</v>
      </c>
    </row>
    <row r="241" spans="1:60" x14ac:dyDescent="0.25">
      <c r="A241" s="8" t="s">
        <v>91</v>
      </c>
      <c r="AD241">
        <v>0</v>
      </c>
      <c r="BH241">
        <v>0</v>
      </c>
    </row>
    <row r="242" spans="1:60" x14ac:dyDescent="0.25">
      <c r="A242" s="8" t="s">
        <v>67</v>
      </c>
      <c r="AD242">
        <v>0</v>
      </c>
      <c r="BH242">
        <v>0</v>
      </c>
    </row>
    <row r="243" spans="1:60" x14ac:dyDescent="0.25">
      <c r="A243" s="8" t="s">
        <v>93</v>
      </c>
      <c r="AD243">
        <v>0</v>
      </c>
      <c r="BH243">
        <v>0</v>
      </c>
    </row>
    <row r="244" spans="1:60" x14ac:dyDescent="0.25">
      <c r="A244" s="7" t="s">
        <v>27</v>
      </c>
    </row>
    <row r="245" spans="1:60" x14ac:dyDescent="0.25">
      <c r="A245" s="8" t="s">
        <v>79</v>
      </c>
      <c r="C245">
        <v>0</v>
      </c>
      <c r="D245">
        <v>216</v>
      </c>
      <c r="E245">
        <v>0</v>
      </c>
      <c r="F245">
        <v>0</v>
      </c>
      <c r="G245">
        <v>286</v>
      </c>
      <c r="H245">
        <v>0</v>
      </c>
      <c r="I245">
        <v>0</v>
      </c>
      <c r="J245">
        <v>0</v>
      </c>
      <c r="K245">
        <v>146</v>
      </c>
      <c r="L245">
        <v>295</v>
      </c>
      <c r="O245">
        <v>298</v>
      </c>
      <c r="Q245">
        <v>203</v>
      </c>
      <c r="R245">
        <v>0</v>
      </c>
      <c r="S245">
        <v>277</v>
      </c>
      <c r="T245">
        <v>207</v>
      </c>
      <c r="U245">
        <v>0</v>
      </c>
      <c r="V245">
        <v>0</v>
      </c>
      <c r="X245">
        <v>324</v>
      </c>
      <c r="Y245">
        <v>0</v>
      </c>
      <c r="Z245">
        <v>287</v>
      </c>
      <c r="AA245">
        <v>0</v>
      </c>
      <c r="AC245">
        <v>338</v>
      </c>
      <c r="AD245">
        <v>194</v>
      </c>
      <c r="AH245">
        <v>259</v>
      </c>
      <c r="AI245">
        <v>0</v>
      </c>
      <c r="AJ245">
        <v>0</v>
      </c>
      <c r="AK245">
        <v>184</v>
      </c>
      <c r="AL245">
        <v>0</v>
      </c>
      <c r="AM245">
        <v>273</v>
      </c>
      <c r="AN245">
        <v>0</v>
      </c>
      <c r="AO245">
        <v>144</v>
      </c>
      <c r="AP245">
        <v>0</v>
      </c>
      <c r="AQ245">
        <v>0</v>
      </c>
      <c r="AR245">
        <v>290</v>
      </c>
      <c r="AS245">
        <v>0</v>
      </c>
      <c r="AV245">
        <v>284</v>
      </c>
      <c r="AW245">
        <v>0</v>
      </c>
      <c r="AX245">
        <v>214</v>
      </c>
      <c r="AZ245">
        <v>336</v>
      </c>
      <c r="BA245">
        <v>0</v>
      </c>
      <c r="BB245">
        <v>349</v>
      </c>
      <c r="BD245">
        <v>0</v>
      </c>
      <c r="BE245">
        <v>296</v>
      </c>
      <c r="BF245">
        <v>0</v>
      </c>
      <c r="BH245">
        <v>5700</v>
      </c>
    </row>
    <row r="246" spans="1:60" x14ac:dyDescent="0.25">
      <c r="A246" s="8" t="s">
        <v>68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40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V246">
        <v>0</v>
      </c>
      <c r="AW246">
        <v>0</v>
      </c>
      <c r="AX246">
        <v>124</v>
      </c>
      <c r="AZ246">
        <v>0</v>
      </c>
      <c r="BA246">
        <v>0</v>
      </c>
      <c r="BB246">
        <v>0</v>
      </c>
      <c r="BD246">
        <v>0</v>
      </c>
      <c r="BE246">
        <v>0</v>
      </c>
      <c r="BF246">
        <v>0</v>
      </c>
      <c r="BH246">
        <v>164</v>
      </c>
    </row>
    <row r="247" spans="1:60" x14ac:dyDescent="0.25">
      <c r="A247" s="8" t="s">
        <v>61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V247">
        <v>0</v>
      </c>
      <c r="AW247">
        <v>0</v>
      </c>
      <c r="AX247">
        <v>0</v>
      </c>
      <c r="AZ247">
        <v>0</v>
      </c>
      <c r="BA247">
        <v>0</v>
      </c>
      <c r="BB247">
        <v>0</v>
      </c>
      <c r="BD247">
        <v>0</v>
      </c>
      <c r="BE247">
        <v>0</v>
      </c>
      <c r="BF247">
        <v>0</v>
      </c>
      <c r="BH247">
        <v>0</v>
      </c>
    </row>
    <row r="248" spans="1:60" x14ac:dyDescent="0.25">
      <c r="A248" s="8" t="s">
        <v>81</v>
      </c>
      <c r="C248">
        <v>0</v>
      </c>
      <c r="D248">
        <v>2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2</v>
      </c>
      <c r="O248">
        <v>2</v>
      </c>
      <c r="Q248">
        <v>0</v>
      </c>
      <c r="R248">
        <v>0</v>
      </c>
      <c r="S248">
        <v>2</v>
      </c>
      <c r="T248">
        <v>2</v>
      </c>
      <c r="U248">
        <v>0</v>
      </c>
      <c r="V248">
        <v>0</v>
      </c>
      <c r="X248">
        <v>2</v>
      </c>
      <c r="Y248">
        <v>0</v>
      </c>
      <c r="Z248">
        <v>1</v>
      </c>
      <c r="AA248">
        <v>0</v>
      </c>
      <c r="AC248">
        <v>2</v>
      </c>
      <c r="AD248">
        <v>0</v>
      </c>
      <c r="AH248">
        <v>2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0</v>
      </c>
      <c r="AR248">
        <v>2</v>
      </c>
      <c r="AS248">
        <v>0</v>
      </c>
      <c r="AV248">
        <v>4</v>
      </c>
      <c r="AW248">
        <v>0</v>
      </c>
      <c r="AX248">
        <v>2</v>
      </c>
      <c r="AZ248">
        <v>2</v>
      </c>
      <c r="BA248">
        <v>0</v>
      </c>
      <c r="BB248">
        <v>3</v>
      </c>
      <c r="BD248">
        <v>0</v>
      </c>
      <c r="BE248">
        <v>3</v>
      </c>
      <c r="BF248">
        <v>0</v>
      </c>
      <c r="BH248">
        <v>37</v>
      </c>
    </row>
    <row r="249" spans="1:60" x14ac:dyDescent="0.25">
      <c r="A249" s="8" t="s">
        <v>62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O249">
        <v>0</v>
      </c>
      <c r="Q249">
        <v>2</v>
      </c>
      <c r="R249">
        <v>0</v>
      </c>
      <c r="S249">
        <v>0</v>
      </c>
      <c r="T249">
        <v>0</v>
      </c>
      <c r="U249">
        <v>0</v>
      </c>
      <c r="V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V249">
        <v>0</v>
      </c>
      <c r="AW249">
        <v>0</v>
      </c>
      <c r="AX249">
        <v>0</v>
      </c>
      <c r="AZ249">
        <v>0</v>
      </c>
      <c r="BA249">
        <v>0</v>
      </c>
      <c r="BB249">
        <v>0</v>
      </c>
      <c r="BD249">
        <v>0</v>
      </c>
      <c r="BE249">
        <v>0</v>
      </c>
      <c r="BF249">
        <v>0</v>
      </c>
      <c r="BH249">
        <v>2</v>
      </c>
    </row>
    <row r="250" spans="1:60" x14ac:dyDescent="0.25">
      <c r="A250" s="8" t="s">
        <v>63</v>
      </c>
      <c r="C250">
        <v>0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2</v>
      </c>
      <c r="L250">
        <v>2</v>
      </c>
      <c r="O250">
        <v>2</v>
      </c>
      <c r="Q250">
        <v>2</v>
      </c>
      <c r="R250">
        <v>0</v>
      </c>
      <c r="S250">
        <v>2</v>
      </c>
      <c r="T250">
        <v>4</v>
      </c>
      <c r="U250">
        <v>0</v>
      </c>
      <c r="V250">
        <v>0</v>
      </c>
      <c r="X250">
        <v>2</v>
      </c>
      <c r="Y250">
        <v>0</v>
      </c>
      <c r="Z250">
        <v>2</v>
      </c>
      <c r="AA250">
        <v>0</v>
      </c>
      <c r="AC250">
        <v>2</v>
      </c>
      <c r="AD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V250">
        <v>4</v>
      </c>
      <c r="AW250">
        <v>0</v>
      </c>
      <c r="AX250">
        <v>2</v>
      </c>
      <c r="AZ250">
        <v>2</v>
      </c>
      <c r="BA250">
        <v>0</v>
      </c>
      <c r="BB250">
        <v>2</v>
      </c>
      <c r="BD250">
        <v>0</v>
      </c>
      <c r="BE250">
        <v>2</v>
      </c>
      <c r="BF250">
        <v>0</v>
      </c>
      <c r="BH250">
        <v>42</v>
      </c>
    </row>
    <row r="251" spans="1:60" x14ac:dyDescent="0.25">
      <c r="A251" s="8" t="s">
        <v>64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0</v>
      </c>
      <c r="BD251">
        <v>0</v>
      </c>
      <c r="BE251">
        <v>0</v>
      </c>
      <c r="BF251">
        <v>0</v>
      </c>
      <c r="BH251">
        <v>0</v>
      </c>
    </row>
    <row r="252" spans="1:60" x14ac:dyDescent="0.25">
      <c r="A252" s="8" t="s">
        <v>83</v>
      </c>
      <c r="C252">
        <v>0</v>
      </c>
      <c r="D252">
        <v>0</v>
      </c>
      <c r="E252">
        <v>0</v>
      </c>
      <c r="F252">
        <v>0</v>
      </c>
      <c r="G252">
        <v>20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0</v>
      </c>
      <c r="Q252">
        <v>0</v>
      </c>
      <c r="R252">
        <v>0</v>
      </c>
      <c r="S252">
        <v>0</v>
      </c>
      <c r="T252">
        <v>10</v>
      </c>
      <c r="U252">
        <v>0</v>
      </c>
      <c r="V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V252">
        <v>0</v>
      </c>
      <c r="AW252">
        <v>0</v>
      </c>
      <c r="AX252">
        <v>0</v>
      </c>
      <c r="AZ252">
        <v>0</v>
      </c>
      <c r="BA252">
        <v>0</v>
      </c>
      <c r="BB252">
        <v>0</v>
      </c>
      <c r="BD252">
        <v>0</v>
      </c>
      <c r="BE252">
        <v>0</v>
      </c>
      <c r="BF252">
        <v>0</v>
      </c>
      <c r="BH252">
        <v>30</v>
      </c>
    </row>
    <row r="253" spans="1:60" x14ac:dyDescent="0.25">
      <c r="A253" s="8" t="s">
        <v>85</v>
      </c>
      <c r="C253">
        <v>0</v>
      </c>
      <c r="D253">
        <v>4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32</v>
      </c>
      <c r="L253">
        <v>103</v>
      </c>
      <c r="O253">
        <v>43</v>
      </c>
      <c r="Q253">
        <v>45</v>
      </c>
      <c r="R253">
        <v>0</v>
      </c>
      <c r="S253">
        <v>35</v>
      </c>
      <c r="T253">
        <v>33</v>
      </c>
      <c r="U253">
        <v>0</v>
      </c>
      <c r="V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v>0</v>
      </c>
      <c r="AH253">
        <v>29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24</v>
      </c>
      <c r="AS253">
        <v>0</v>
      </c>
      <c r="AV253">
        <v>139</v>
      </c>
      <c r="AW253">
        <v>0</v>
      </c>
      <c r="AX253">
        <v>40</v>
      </c>
      <c r="AZ253">
        <v>30</v>
      </c>
      <c r="BA253">
        <v>0</v>
      </c>
      <c r="BB253">
        <v>33</v>
      </c>
      <c r="BD253">
        <v>0</v>
      </c>
      <c r="BE253">
        <v>29</v>
      </c>
      <c r="BF253">
        <v>0</v>
      </c>
      <c r="BH253">
        <v>627</v>
      </c>
    </row>
    <row r="254" spans="1:60" x14ac:dyDescent="0.25">
      <c r="A254" s="8" t="s">
        <v>65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V254">
        <v>0</v>
      </c>
      <c r="AW254">
        <v>0</v>
      </c>
      <c r="AX254">
        <v>0</v>
      </c>
      <c r="AZ254">
        <v>0</v>
      </c>
      <c r="BA254">
        <v>0</v>
      </c>
      <c r="BB254">
        <v>0</v>
      </c>
      <c r="BD254">
        <v>0</v>
      </c>
      <c r="BE254">
        <v>0</v>
      </c>
      <c r="BF254">
        <v>0</v>
      </c>
      <c r="BH254">
        <v>0</v>
      </c>
    </row>
    <row r="255" spans="1:60" x14ac:dyDescent="0.25">
      <c r="A255" s="8" t="s">
        <v>66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B255">
        <v>0</v>
      </c>
      <c r="BD255">
        <v>0</v>
      </c>
      <c r="BE255">
        <v>0</v>
      </c>
      <c r="BF255">
        <v>0</v>
      </c>
      <c r="BH255">
        <v>0</v>
      </c>
    </row>
    <row r="256" spans="1:60" x14ac:dyDescent="0.25">
      <c r="A256" s="8" t="s">
        <v>87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V256">
        <v>0</v>
      </c>
      <c r="AW256">
        <v>0</v>
      </c>
      <c r="AX256">
        <v>0</v>
      </c>
      <c r="AZ256">
        <v>0</v>
      </c>
      <c r="BA256">
        <v>0</v>
      </c>
      <c r="BB256">
        <v>0</v>
      </c>
      <c r="BD256">
        <v>0</v>
      </c>
      <c r="BE256">
        <v>0</v>
      </c>
      <c r="BF256">
        <v>0</v>
      </c>
      <c r="BH256">
        <v>0</v>
      </c>
    </row>
    <row r="257" spans="1:60" x14ac:dyDescent="0.25">
      <c r="A257" s="8" t="s">
        <v>89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V257">
        <v>8</v>
      </c>
      <c r="AW257">
        <v>0</v>
      </c>
      <c r="AX257">
        <v>0</v>
      </c>
      <c r="AZ257">
        <v>0</v>
      </c>
      <c r="BA257">
        <v>0</v>
      </c>
      <c r="BB257">
        <v>0</v>
      </c>
      <c r="BD257">
        <v>0</v>
      </c>
      <c r="BE257">
        <v>0</v>
      </c>
      <c r="BF257">
        <v>0</v>
      </c>
      <c r="BH257">
        <v>8</v>
      </c>
    </row>
    <row r="258" spans="1:60" x14ac:dyDescent="0.25">
      <c r="A258" s="8" t="s">
        <v>91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V258">
        <v>0</v>
      </c>
      <c r="AW258">
        <v>0</v>
      </c>
      <c r="AX258">
        <v>0</v>
      </c>
      <c r="AZ258">
        <v>0</v>
      </c>
      <c r="BA258">
        <v>0</v>
      </c>
      <c r="BB258">
        <v>0</v>
      </c>
      <c r="BD258">
        <v>0</v>
      </c>
      <c r="BE258">
        <v>0</v>
      </c>
      <c r="BF258">
        <v>0</v>
      </c>
      <c r="BH258">
        <v>0</v>
      </c>
    </row>
    <row r="259" spans="1:60" x14ac:dyDescent="0.25">
      <c r="A259" s="8" t="s">
        <v>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V259">
        <v>0</v>
      </c>
      <c r="AW259">
        <v>0</v>
      </c>
      <c r="AX259">
        <v>0</v>
      </c>
      <c r="AZ259">
        <v>0</v>
      </c>
      <c r="BA259">
        <v>0</v>
      </c>
      <c r="BB259">
        <v>0</v>
      </c>
      <c r="BD259">
        <v>0</v>
      </c>
      <c r="BE259">
        <v>0</v>
      </c>
      <c r="BF259">
        <v>0</v>
      </c>
      <c r="BH259">
        <v>0</v>
      </c>
    </row>
    <row r="260" spans="1:60" x14ac:dyDescent="0.25">
      <c r="A260" s="8" t="s">
        <v>93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V260">
        <v>0</v>
      </c>
      <c r="AW260">
        <v>0</v>
      </c>
      <c r="AX260">
        <v>6</v>
      </c>
      <c r="AZ260">
        <v>0</v>
      </c>
      <c r="BA260">
        <v>0</v>
      </c>
      <c r="BB260">
        <v>0</v>
      </c>
      <c r="BD260">
        <v>0</v>
      </c>
      <c r="BE260">
        <v>0</v>
      </c>
      <c r="BF260">
        <v>0</v>
      </c>
      <c r="BH260">
        <v>6</v>
      </c>
    </row>
    <row r="261" spans="1:60" x14ac:dyDescent="0.25">
      <c r="A261" s="7" t="s">
        <v>42</v>
      </c>
    </row>
    <row r="262" spans="1:60" x14ac:dyDescent="0.25">
      <c r="A262" s="8" t="s">
        <v>79</v>
      </c>
      <c r="D262">
        <v>34</v>
      </c>
      <c r="G262">
        <v>48</v>
      </c>
      <c r="K262">
        <v>46</v>
      </c>
      <c r="L262">
        <v>43</v>
      </c>
      <c r="M262">
        <v>0</v>
      </c>
      <c r="O262">
        <v>50</v>
      </c>
      <c r="Q262">
        <v>36</v>
      </c>
      <c r="S262">
        <v>44</v>
      </c>
      <c r="T262">
        <v>43</v>
      </c>
      <c r="X262">
        <v>133</v>
      </c>
      <c r="Z262">
        <v>44</v>
      </c>
      <c r="AC262">
        <v>40</v>
      </c>
      <c r="AD262">
        <v>131</v>
      </c>
      <c r="AF262">
        <v>0</v>
      </c>
      <c r="AH262">
        <v>134</v>
      </c>
      <c r="AK262">
        <v>40</v>
      </c>
      <c r="AM262">
        <v>38</v>
      </c>
      <c r="AO262">
        <v>51</v>
      </c>
      <c r="AR262">
        <v>44</v>
      </c>
      <c r="AT262">
        <v>9</v>
      </c>
      <c r="AV262">
        <v>52</v>
      </c>
      <c r="AX262">
        <v>34</v>
      </c>
      <c r="AZ262">
        <v>41</v>
      </c>
      <c r="BB262">
        <v>44</v>
      </c>
      <c r="BE262">
        <v>43</v>
      </c>
      <c r="BG262">
        <v>0</v>
      </c>
      <c r="BH262">
        <v>1222</v>
      </c>
    </row>
    <row r="263" spans="1:60" x14ac:dyDescent="0.25">
      <c r="A263" s="8" t="s">
        <v>68</v>
      </c>
      <c r="D263">
        <v>0</v>
      </c>
      <c r="G263">
        <v>0</v>
      </c>
      <c r="K263">
        <v>0</v>
      </c>
      <c r="L263">
        <v>0</v>
      </c>
      <c r="M263">
        <v>0</v>
      </c>
      <c r="O263">
        <v>0</v>
      </c>
      <c r="Q263">
        <v>0</v>
      </c>
      <c r="S263">
        <v>0</v>
      </c>
      <c r="T263">
        <v>0</v>
      </c>
      <c r="X263">
        <v>0</v>
      </c>
      <c r="Z263">
        <v>0</v>
      </c>
      <c r="AC263">
        <v>0</v>
      </c>
      <c r="AD263">
        <v>0</v>
      </c>
      <c r="AF263">
        <v>0</v>
      </c>
      <c r="AH263">
        <v>0</v>
      </c>
      <c r="AK263">
        <v>0</v>
      </c>
      <c r="AM263">
        <v>0</v>
      </c>
      <c r="AO263">
        <v>0</v>
      </c>
      <c r="AR263">
        <v>0</v>
      </c>
      <c r="AT263">
        <v>19</v>
      </c>
      <c r="AV263">
        <v>0</v>
      </c>
      <c r="AX263">
        <v>0</v>
      </c>
      <c r="AZ263">
        <v>0</v>
      </c>
      <c r="BB263">
        <v>0</v>
      </c>
      <c r="BE263">
        <v>0</v>
      </c>
      <c r="BG263">
        <v>0</v>
      </c>
      <c r="BH263">
        <v>19</v>
      </c>
    </row>
    <row r="264" spans="1:60" x14ac:dyDescent="0.25">
      <c r="A264" s="8" t="s">
        <v>61</v>
      </c>
      <c r="D264">
        <v>0</v>
      </c>
      <c r="G264">
        <v>0</v>
      </c>
      <c r="K264">
        <v>0</v>
      </c>
      <c r="L264">
        <v>0</v>
      </c>
      <c r="M264">
        <v>0</v>
      </c>
      <c r="O264">
        <v>0</v>
      </c>
      <c r="Q264">
        <v>0</v>
      </c>
      <c r="S264">
        <v>0</v>
      </c>
      <c r="T264">
        <v>0</v>
      </c>
      <c r="X264">
        <v>0</v>
      </c>
      <c r="Z264">
        <v>0</v>
      </c>
      <c r="AC264">
        <v>0</v>
      </c>
      <c r="AD264">
        <v>0</v>
      </c>
      <c r="AF264">
        <v>0</v>
      </c>
      <c r="AH264">
        <v>0</v>
      </c>
      <c r="AK264">
        <v>0</v>
      </c>
      <c r="AM264">
        <v>0</v>
      </c>
      <c r="AO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E264">
        <v>0</v>
      </c>
      <c r="BG264">
        <v>0</v>
      </c>
      <c r="BH264">
        <v>0</v>
      </c>
    </row>
    <row r="265" spans="1:60" x14ac:dyDescent="0.25">
      <c r="A265" s="8" t="s">
        <v>81</v>
      </c>
      <c r="D265">
        <v>1</v>
      </c>
      <c r="G265">
        <v>1</v>
      </c>
      <c r="K265">
        <v>1</v>
      </c>
      <c r="L265">
        <v>1</v>
      </c>
      <c r="M265">
        <v>0</v>
      </c>
      <c r="O265">
        <v>1</v>
      </c>
      <c r="Q265">
        <v>1</v>
      </c>
      <c r="S265">
        <v>1</v>
      </c>
      <c r="T265">
        <v>1</v>
      </c>
      <c r="X265">
        <v>1</v>
      </c>
      <c r="Z265">
        <v>1</v>
      </c>
      <c r="AC265">
        <v>1</v>
      </c>
      <c r="AD265">
        <v>1</v>
      </c>
      <c r="AF265">
        <v>0</v>
      </c>
      <c r="AH265">
        <v>1</v>
      </c>
      <c r="AK265">
        <v>1</v>
      </c>
      <c r="AM265">
        <v>1</v>
      </c>
      <c r="AO265">
        <v>1</v>
      </c>
      <c r="AR265">
        <v>1</v>
      </c>
      <c r="AT265">
        <v>0</v>
      </c>
      <c r="AV265">
        <v>1</v>
      </c>
      <c r="AX265">
        <v>1</v>
      </c>
      <c r="AZ265">
        <v>1</v>
      </c>
      <c r="BB265">
        <v>1</v>
      </c>
      <c r="BE265">
        <v>1</v>
      </c>
      <c r="BG265">
        <v>0</v>
      </c>
      <c r="BH265">
        <v>22</v>
      </c>
    </row>
    <row r="266" spans="1:60" x14ac:dyDescent="0.25">
      <c r="A266" s="8" t="s">
        <v>62</v>
      </c>
      <c r="D266">
        <v>0</v>
      </c>
      <c r="G266">
        <v>0</v>
      </c>
      <c r="K266">
        <v>0</v>
      </c>
      <c r="L266">
        <v>0</v>
      </c>
      <c r="M266">
        <v>0</v>
      </c>
      <c r="O266">
        <v>0</v>
      </c>
      <c r="Q266">
        <v>0</v>
      </c>
      <c r="S266">
        <v>0</v>
      </c>
      <c r="T266">
        <v>0</v>
      </c>
      <c r="X266">
        <v>0</v>
      </c>
      <c r="Z266">
        <v>0</v>
      </c>
      <c r="AC266">
        <v>0</v>
      </c>
      <c r="AD266">
        <v>0</v>
      </c>
      <c r="AF266">
        <v>0</v>
      </c>
      <c r="AH266">
        <v>0</v>
      </c>
      <c r="AK266">
        <v>0</v>
      </c>
      <c r="AM266">
        <v>0</v>
      </c>
      <c r="AO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E266">
        <v>0</v>
      </c>
      <c r="BG266">
        <v>0</v>
      </c>
      <c r="BH266">
        <v>0</v>
      </c>
    </row>
    <row r="267" spans="1:60" x14ac:dyDescent="0.25">
      <c r="A267" s="8" t="s">
        <v>63</v>
      </c>
      <c r="D267">
        <v>0</v>
      </c>
      <c r="G267">
        <v>0</v>
      </c>
      <c r="K267">
        <v>0</v>
      </c>
      <c r="L267">
        <v>0</v>
      </c>
      <c r="M267">
        <v>0</v>
      </c>
      <c r="O267">
        <v>0</v>
      </c>
      <c r="Q267">
        <v>0</v>
      </c>
      <c r="S267">
        <v>0</v>
      </c>
      <c r="T267">
        <v>0</v>
      </c>
      <c r="X267">
        <v>0</v>
      </c>
      <c r="Z267">
        <v>0</v>
      </c>
      <c r="AC267">
        <v>0</v>
      </c>
      <c r="AD267">
        <v>0</v>
      </c>
      <c r="AF267">
        <v>0</v>
      </c>
      <c r="AH267">
        <v>0</v>
      </c>
      <c r="AK267">
        <v>0</v>
      </c>
      <c r="AM267">
        <v>0</v>
      </c>
      <c r="AO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E267">
        <v>0</v>
      </c>
      <c r="BG267">
        <v>0</v>
      </c>
      <c r="BH267">
        <v>0</v>
      </c>
    </row>
    <row r="268" spans="1:60" x14ac:dyDescent="0.25">
      <c r="A268" s="8" t="s">
        <v>64</v>
      </c>
      <c r="D268">
        <v>0</v>
      </c>
      <c r="G268">
        <v>0</v>
      </c>
      <c r="K268">
        <v>0</v>
      </c>
      <c r="L268">
        <v>0</v>
      </c>
      <c r="M268">
        <v>0</v>
      </c>
      <c r="O268">
        <v>0</v>
      </c>
      <c r="Q268">
        <v>0</v>
      </c>
      <c r="S268">
        <v>0</v>
      </c>
      <c r="T268">
        <v>0</v>
      </c>
      <c r="X268">
        <v>0</v>
      </c>
      <c r="Z268">
        <v>0</v>
      </c>
      <c r="AC268">
        <v>0</v>
      </c>
      <c r="AD268">
        <v>0</v>
      </c>
      <c r="AF268">
        <v>0</v>
      </c>
      <c r="AH268">
        <v>0</v>
      </c>
      <c r="AK268">
        <v>0</v>
      </c>
      <c r="AM268">
        <v>0</v>
      </c>
      <c r="AO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E268">
        <v>0</v>
      </c>
      <c r="BG268">
        <v>0</v>
      </c>
      <c r="BH268">
        <v>0</v>
      </c>
    </row>
    <row r="269" spans="1:60" x14ac:dyDescent="0.25">
      <c r="A269" s="8" t="s">
        <v>83</v>
      </c>
      <c r="D269">
        <v>0</v>
      </c>
      <c r="G269">
        <v>0</v>
      </c>
      <c r="K269">
        <v>0</v>
      </c>
      <c r="L269">
        <v>0</v>
      </c>
      <c r="M269">
        <v>0</v>
      </c>
      <c r="O269">
        <v>0</v>
      </c>
      <c r="Q269">
        <v>0</v>
      </c>
      <c r="S269">
        <v>0</v>
      </c>
      <c r="T269">
        <v>0</v>
      </c>
      <c r="X269">
        <v>0</v>
      </c>
      <c r="Z269">
        <v>0</v>
      </c>
      <c r="AC269">
        <v>0</v>
      </c>
      <c r="AD269">
        <v>0</v>
      </c>
      <c r="AF269">
        <v>0</v>
      </c>
      <c r="AH269">
        <v>0</v>
      </c>
      <c r="AK269">
        <v>0</v>
      </c>
      <c r="AM269">
        <v>0</v>
      </c>
      <c r="AO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E269">
        <v>0</v>
      </c>
      <c r="BG269">
        <v>0</v>
      </c>
      <c r="BH269">
        <v>0</v>
      </c>
    </row>
    <row r="270" spans="1:60" x14ac:dyDescent="0.25">
      <c r="A270" s="8" t="s">
        <v>85</v>
      </c>
      <c r="D270">
        <v>0</v>
      </c>
      <c r="G270">
        <v>0</v>
      </c>
      <c r="K270">
        <v>0</v>
      </c>
      <c r="L270">
        <v>0</v>
      </c>
      <c r="M270">
        <v>5</v>
      </c>
      <c r="O270">
        <v>0</v>
      </c>
      <c r="Q270">
        <v>0</v>
      </c>
      <c r="S270">
        <v>0</v>
      </c>
      <c r="T270">
        <v>0</v>
      </c>
      <c r="X270">
        <v>0</v>
      </c>
      <c r="Z270">
        <v>0</v>
      </c>
      <c r="AC270">
        <v>0</v>
      </c>
      <c r="AD270">
        <v>0</v>
      </c>
      <c r="AF270">
        <v>15</v>
      </c>
      <c r="AH270">
        <v>0</v>
      </c>
      <c r="AK270">
        <v>0</v>
      </c>
      <c r="AM270">
        <v>0</v>
      </c>
      <c r="AO270">
        <v>0</v>
      </c>
      <c r="AR270">
        <v>0</v>
      </c>
      <c r="AT270">
        <v>5</v>
      </c>
      <c r="AV270">
        <v>0</v>
      </c>
      <c r="AX270">
        <v>0</v>
      </c>
      <c r="AZ270">
        <v>0</v>
      </c>
      <c r="BB270">
        <v>0</v>
      </c>
      <c r="BE270">
        <v>0</v>
      </c>
      <c r="BG270">
        <v>5</v>
      </c>
      <c r="BH270">
        <v>30</v>
      </c>
    </row>
    <row r="271" spans="1:60" x14ac:dyDescent="0.25">
      <c r="A271" s="8" t="s">
        <v>65</v>
      </c>
      <c r="D271">
        <v>0</v>
      </c>
      <c r="G271">
        <v>0</v>
      </c>
      <c r="K271">
        <v>0</v>
      </c>
      <c r="L271">
        <v>0</v>
      </c>
      <c r="M271">
        <v>1</v>
      </c>
      <c r="O271">
        <v>0</v>
      </c>
      <c r="Q271">
        <v>0</v>
      </c>
      <c r="S271">
        <v>0</v>
      </c>
      <c r="T271">
        <v>0</v>
      </c>
      <c r="X271">
        <v>0</v>
      </c>
      <c r="Z271">
        <v>0</v>
      </c>
      <c r="AC271">
        <v>0</v>
      </c>
      <c r="AD271">
        <v>0</v>
      </c>
      <c r="AF271">
        <v>1</v>
      </c>
      <c r="AH271">
        <v>0</v>
      </c>
      <c r="AK271">
        <v>0</v>
      </c>
      <c r="AM271">
        <v>0</v>
      </c>
      <c r="AO271">
        <v>0</v>
      </c>
      <c r="AR271">
        <v>0</v>
      </c>
      <c r="AT271">
        <v>1</v>
      </c>
      <c r="AV271">
        <v>0</v>
      </c>
      <c r="AX271">
        <v>0</v>
      </c>
      <c r="AZ271">
        <v>0</v>
      </c>
      <c r="BB271">
        <v>0</v>
      </c>
      <c r="BE271">
        <v>0</v>
      </c>
      <c r="BG271">
        <v>1</v>
      </c>
      <c r="BH271">
        <v>4</v>
      </c>
    </row>
    <row r="272" spans="1:60" x14ac:dyDescent="0.25">
      <c r="A272" s="8" t="s">
        <v>66</v>
      </c>
      <c r="D272">
        <v>0</v>
      </c>
      <c r="G272">
        <v>0</v>
      </c>
      <c r="K272">
        <v>0</v>
      </c>
      <c r="L272">
        <v>0</v>
      </c>
      <c r="M272">
        <v>0</v>
      </c>
      <c r="O272">
        <v>0</v>
      </c>
      <c r="Q272">
        <v>0</v>
      </c>
      <c r="S272">
        <v>0</v>
      </c>
      <c r="T272">
        <v>0</v>
      </c>
      <c r="X272">
        <v>0</v>
      </c>
      <c r="Z272">
        <v>0</v>
      </c>
      <c r="AC272">
        <v>0</v>
      </c>
      <c r="AD272">
        <v>0</v>
      </c>
      <c r="AF272">
        <v>0</v>
      </c>
      <c r="AH272">
        <v>0</v>
      </c>
      <c r="AK272">
        <v>0</v>
      </c>
      <c r="AM272">
        <v>0</v>
      </c>
      <c r="AO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B272">
        <v>0</v>
      </c>
      <c r="BE272">
        <v>0</v>
      </c>
      <c r="BG272">
        <v>0</v>
      </c>
      <c r="BH272">
        <v>0</v>
      </c>
    </row>
    <row r="273" spans="1:60" x14ac:dyDescent="0.25">
      <c r="A273" s="8" t="s">
        <v>87</v>
      </c>
      <c r="D273">
        <v>0</v>
      </c>
      <c r="G273">
        <v>0</v>
      </c>
      <c r="K273">
        <v>0</v>
      </c>
      <c r="L273">
        <v>0</v>
      </c>
      <c r="M273">
        <v>12</v>
      </c>
      <c r="O273">
        <v>0</v>
      </c>
      <c r="Q273">
        <v>0</v>
      </c>
      <c r="S273">
        <v>0</v>
      </c>
      <c r="T273">
        <v>0</v>
      </c>
      <c r="X273">
        <v>0</v>
      </c>
      <c r="Z273">
        <v>0</v>
      </c>
      <c r="AC273">
        <v>0</v>
      </c>
      <c r="AD273">
        <v>0</v>
      </c>
      <c r="AF273">
        <v>24</v>
      </c>
      <c r="AH273">
        <v>0</v>
      </c>
      <c r="AK273">
        <v>0</v>
      </c>
      <c r="AM273">
        <v>0</v>
      </c>
      <c r="AO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E273">
        <v>0</v>
      </c>
      <c r="BG273">
        <v>11</v>
      </c>
      <c r="BH273">
        <v>47</v>
      </c>
    </row>
    <row r="274" spans="1:60" x14ac:dyDescent="0.25">
      <c r="A274" s="8" t="s">
        <v>89</v>
      </c>
      <c r="D274">
        <v>0</v>
      </c>
      <c r="G274">
        <v>0</v>
      </c>
      <c r="K274">
        <v>0</v>
      </c>
      <c r="L274">
        <v>0</v>
      </c>
      <c r="M274">
        <v>19</v>
      </c>
      <c r="O274">
        <v>0</v>
      </c>
      <c r="Q274">
        <v>0</v>
      </c>
      <c r="S274">
        <v>0</v>
      </c>
      <c r="T274">
        <v>0</v>
      </c>
      <c r="X274">
        <v>0</v>
      </c>
      <c r="Z274">
        <v>0</v>
      </c>
      <c r="AC274">
        <v>0</v>
      </c>
      <c r="AD274">
        <v>0</v>
      </c>
      <c r="AF274">
        <v>31</v>
      </c>
      <c r="AH274">
        <v>0</v>
      </c>
      <c r="AK274">
        <v>0</v>
      </c>
      <c r="AM274">
        <v>0</v>
      </c>
      <c r="AO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B274">
        <v>0</v>
      </c>
      <c r="BE274">
        <v>0</v>
      </c>
      <c r="BG274">
        <v>23</v>
      </c>
      <c r="BH274">
        <v>73</v>
      </c>
    </row>
    <row r="275" spans="1:60" x14ac:dyDescent="0.25">
      <c r="A275" s="8" t="s">
        <v>91</v>
      </c>
      <c r="D275">
        <v>0</v>
      </c>
      <c r="G275">
        <v>0</v>
      </c>
      <c r="K275">
        <v>0</v>
      </c>
      <c r="L275">
        <v>0</v>
      </c>
      <c r="M275">
        <v>1</v>
      </c>
      <c r="O275">
        <v>0</v>
      </c>
      <c r="Q275">
        <v>0</v>
      </c>
      <c r="S275">
        <v>0</v>
      </c>
      <c r="T275">
        <v>0</v>
      </c>
      <c r="X275">
        <v>0</v>
      </c>
      <c r="Z275">
        <v>0</v>
      </c>
      <c r="AC275">
        <v>0</v>
      </c>
      <c r="AD275">
        <v>0</v>
      </c>
      <c r="AF275">
        <v>1</v>
      </c>
      <c r="AH275">
        <v>0</v>
      </c>
      <c r="AK275">
        <v>0</v>
      </c>
      <c r="AM275">
        <v>0</v>
      </c>
      <c r="AO275">
        <v>0</v>
      </c>
      <c r="AR275">
        <v>0</v>
      </c>
      <c r="AT275">
        <v>1</v>
      </c>
      <c r="AV275">
        <v>0</v>
      </c>
      <c r="AX275">
        <v>0</v>
      </c>
      <c r="AZ275">
        <v>0</v>
      </c>
      <c r="BB275">
        <v>0</v>
      </c>
      <c r="BE275">
        <v>0</v>
      </c>
      <c r="BG275">
        <v>1</v>
      </c>
      <c r="BH275">
        <v>4</v>
      </c>
    </row>
    <row r="276" spans="1:60" x14ac:dyDescent="0.25">
      <c r="A276" s="8" t="s">
        <v>67</v>
      </c>
      <c r="D276">
        <v>0</v>
      </c>
      <c r="G276">
        <v>0</v>
      </c>
      <c r="K276">
        <v>0</v>
      </c>
      <c r="L276">
        <v>0</v>
      </c>
      <c r="M276">
        <v>0</v>
      </c>
      <c r="O276">
        <v>0</v>
      </c>
      <c r="Q276">
        <v>0</v>
      </c>
      <c r="S276">
        <v>0</v>
      </c>
      <c r="T276">
        <v>0</v>
      </c>
      <c r="X276">
        <v>0</v>
      </c>
      <c r="Z276">
        <v>0</v>
      </c>
      <c r="AC276">
        <v>0</v>
      </c>
      <c r="AD276">
        <v>0</v>
      </c>
      <c r="AF276">
        <v>0</v>
      </c>
      <c r="AH276">
        <v>0</v>
      </c>
      <c r="AK276">
        <v>0</v>
      </c>
      <c r="AM276">
        <v>0</v>
      </c>
      <c r="AO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E276">
        <v>0</v>
      </c>
      <c r="BG276">
        <v>0</v>
      </c>
      <c r="BH276">
        <v>0</v>
      </c>
    </row>
    <row r="277" spans="1:60" x14ac:dyDescent="0.25">
      <c r="A277" s="8" t="s">
        <v>93</v>
      </c>
      <c r="D277">
        <v>0</v>
      </c>
      <c r="G277">
        <v>0</v>
      </c>
      <c r="K277">
        <v>0</v>
      </c>
      <c r="L277">
        <v>0</v>
      </c>
      <c r="M277">
        <v>0</v>
      </c>
      <c r="O277">
        <v>0</v>
      </c>
      <c r="Q277">
        <v>0</v>
      </c>
      <c r="S277">
        <v>0</v>
      </c>
      <c r="T277">
        <v>0</v>
      </c>
      <c r="X277">
        <v>0</v>
      </c>
      <c r="Z277">
        <v>0</v>
      </c>
      <c r="AC277">
        <v>0</v>
      </c>
      <c r="AD277">
        <v>0</v>
      </c>
      <c r="AF277">
        <v>0</v>
      </c>
      <c r="AH277">
        <v>0</v>
      </c>
      <c r="AK277">
        <v>0</v>
      </c>
      <c r="AM277">
        <v>0</v>
      </c>
      <c r="AO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E277">
        <v>0</v>
      </c>
      <c r="BG277">
        <v>0</v>
      </c>
      <c r="BH277">
        <v>0</v>
      </c>
    </row>
    <row r="278" spans="1:60" x14ac:dyDescent="0.25">
      <c r="A278" s="7" t="s">
        <v>489</v>
      </c>
    </row>
    <row r="279" spans="1:60" x14ac:dyDescent="0.25">
      <c r="A279" s="8" t="s">
        <v>79</v>
      </c>
      <c r="D279">
        <v>26</v>
      </c>
      <c r="G279">
        <v>62</v>
      </c>
      <c r="K279">
        <v>72</v>
      </c>
      <c r="L279">
        <v>66</v>
      </c>
      <c r="O279">
        <v>58</v>
      </c>
      <c r="Q279">
        <v>23</v>
      </c>
      <c r="S279">
        <v>62</v>
      </c>
      <c r="T279">
        <v>73</v>
      </c>
      <c r="X279">
        <v>62</v>
      </c>
      <c r="Z279">
        <v>46</v>
      </c>
      <c r="AC279">
        <v>65</v>
      </c>
      <c r="AD279">
        <v>52</v>
      </c>
      <c r="AE279">
        <v>0</v>
      </c>
      <c r="AF279">
        <v>0</v>
      </c>
      <c r="AH279">
        <v>59</v>
      </c>
      <c r="AK279">
        <v>22</v>
      </c>
      <c r="AM279">
        <v>59</v>
      </c>
      <c r="AO279">
        <v>34</v>
      </c>
      <c r="AR279">
        <v>65</v>
      </c>
      <c r="AV279">
        <v>59</v>
      </c>
      <c r="AX279">
        <v>25</v>
      </c>
      <c r="AZ279">
        <v>68</v>
      </c>
      <c r="BB279">
        <v>78</v>
      </c>
      <c r="BE279">
        <v>68</v>
      </c>
      <c r="BH279">
        <v>1204</v>
      </c>
    </row>
    <row r="280" spans="1:60" x14ac:dyDescent="0.25">
      <c r="A280" s="8" t="s">
        <v>68</v>
      </c>
      <c r="D280">
        <v>0</v>
      </c>
      <c r="G280">
        <v>0</v>
      </c>
      <c r="K280">
        <v>0</v>
      </c>
      <c r="L280">
        <v>0</v>
      </c>
      <c r="O280">
        <v>20</v>
      </c>
      <c r="Q280">
        <v>0</v>
      </c>
      <c r="S280">
        <v>0</v>
      </c>
      <c r="T280">
        <v>0</v>
      </c>
      <c r="X280">
        <v>0</v>
      </c>
      <c r="Z280">
        <v>0</v>
      </c>
      <c r="AC280">
        <v>0</v>
      </c>
      <c r="AD280">
        <v>0</v>
      </c>
      <c r="AE280">
        <v>0</v>
      </c>
      <c r="AF280">
        <v>0</v>
      </c>
      <c r="AH280">
        <v>0</v>
      </c>
      <c r="AK280">
        <v>0</v>
      </c>
      <c r="AM280">
        <v>0</v>
      </c>
      <c r="AO280">
        <v>0</v>
      </c>
      <c r="AR280">
        <v>0</v>
      </c>
      <c r="AV280">
        <v>0</v>
      </c>
      <c r="AX280">
        <v>62</v>
      </c>
      <c r="AZ280">
        <v>0</v>
      </c>
      <c r="BB280">
        <v>0</v>
      </c>
      <c r="BE280">
        <v>0</v>
      </c>
      <c r="BH280">
        <v>82</v>
      </c>
    </row>
    <row r="281" spans="1:60" x14ac:dyDescent="0.25">
      <c r="A281" s="8" t="s">
        <v>61</v>
      </c>
      <c r="D281">
        <v>0</v>
      </c>
      <c r="G281">
        <v>0</v>
      </c>
      <c r="K281">
        <v>0</v>
      </c>
      <c r="L281">
        <v>0</v>
      </c>
      <c r="O281">
        <v>0</v>
      </c>
      <c r="Q281">
        <v>0</v>
      </c>
      <c r="S281">
        <v>0</v>
      </c>
      <c r="T281">
        <v>0</v>
      </c>
      <c r="X281">
        <v>0</v>
      </c>
      <c r="Z281">
        <v>0</v>
      </c>
      <c r="AC281">
        <v>0</v>
      </c>
      <c r="AD281">
        <v>0</v>
      </c>
      <c r="AE281">
        <v>0</v>
      </c>
      <c r="AF281">
        <v>0</v>
      </c>
      <c r="AH281">
        <v>0</v>
      </c>
      <c r="AK281">
        <v>0</v>
      </c>
      <c r="AM281">
        <v>0</v>
      </c>
      <c r="AO281">
        <v>0</v>
      </c>
      <c r="AR281">
        <v>0</v>
      </c>
      <c r="AV281">
        <v>0</v>
      </c>
      <c r="AX281">
        <v>0</v>
      </c>
      <c r="AZ281">
        <v>0</v>
      </c>
      <c r="BB281">
        <v>0</v>
      </c>
      <c r="BE281">
        <v>0</v>
      </c>
      <c r="BH281">
        <v>0</v>
      </c>
    </row>
    <row r="282" spans="1:60" x14ac:dyDescent="0.25">
      <c r="A282" s="8" t="s">
        <v>81</v>
      </c>
      <c r="D282">
        <v>0</v>
      </c>
      <c r="G282">
        <v>1</v>
      </c>
      <c r="K282">
        <v>1</v>
      </c>
      <c r="L282">
        <v>1</v>
      </c>
      <c r="O282">
        <v>1</v>
      </c>
      <c r="Q282">
        <v>0</v>
      </c>
      <c r="S282">
        <v>1</v>
      </c>
      <c r="T282">
        <v>1</v>
      </c>
      <c r="X282">
        <v>1</v>
      </c>
      <c r="Z282">
        <v>0</v>
      </c>
      <c r="AC282">
        <v>1</v>
      </c>
      <c r="AD282">
        <v>1</v>
      </c>
      <c r="AE282">
        <v>1</v>
      </c>
      <c r="AF282">
        <v>0</v>
      </c>
      <c r="AH282">
        <v>1</v>
      </c>
      <c r="AK282">
        <v>0</v>
      </c>
      <c r="AM282">
        <v>1</v>
      </c>
      <c r="AO282">
        <v>0</v>
      </c>
      <c r="AR282">
        <v>1</v>
      </c>
      <c r="AV282">
        <v>1</v>
      </c>
      <c r="AX282">
        <v>1</v>
      </c>
      <c r="AZ282">
        <v>1</v>
      </c>
      <c r="BB282">
        <v>1</v>
      </c>
      <c r="BE282">
        <v>1</v>
      </c>
      <c r="BH282">
        <v>18</v>
      </c>
    </row>
    <row r="283" spans="1:60" x14ac:dyDescent="0.25">
      <c r="A283" s="8" t="s">
        <v>62</v>
      </c>
      <c r="D283">
        <v>0</v>
      </c>
      <c r="G283">
        <v>0</v>
      </c>
      <c r="K283">
        <v>0</v>
      </c>
      <c r="L283">
        <v>0</v>
      </c>
      <c r="O283">
        <v>0</v>
      </c>
      <c r="Q283">
        <v>0</v>
      </c>
      <c r="S283">
        <v>0</v>
      </c>
      <c r="T283">
        <v>0</v>
      </c>
      <c r="X283">
        <v>0</v>
      </c>
      <c r="Z283">
        <v>0</v>
      </c>
      <c r="AC283">
        <v>0</v>
      </c>
      <c r="AD283">
        <v>0</v>
      </c>
      <c r="AE283">
        <v>0</v>
      </c>
      <c r="AF283">
        <v>0</v>
      </c>
      <c r="AH283">
        <v>0</v>
      </c>
      <c r="AK283">
        <v>0</v>
      </c>
      <c r="AM283">
        <v>0</v>
      </c>
      <c r="AO283">
        <v>0</v>
      </c>
      <c r="AR283">
        <v>0</v>
      </c>
      <c r="AV283">
        <v>0</v>
      </c>
      <c r="AX283">
        <v>0</v>
      </c>
      <c r="AZ283">
        <v>0</v>
      </c>
      <c r="BB283">
        <v>0</v>
      </c>
      <c r="BE283">
        <v>0</v>
      </c>
      <c r="BH283">
        <v>0</v>
      </c>
    </row>
    <row r="284" spans="1:60" x14ac:dyDescent="0.25">
      <c r="A284" s="8" t="s">
        <v>63</v>
      </c>
      <c r="D284">
        <v>0</v>
      </c>
      <c r="G284">
        <v>0</v>
      </c>
      <c r="K284">
        <v>1</v>
      </c>
      <c r="L284">
        <v>0</v>
      </c>
      <c r="O284">
        <v>0</v>
      </c>
      <c r="Q284">
        <v>0</v>
      </c>
      <c r="S284">
        <v>0</v>
      </c>
      <c r="T284">
        <v>1</v>
      </c>
      <c r="X284">
        <v>0</v>
      </c>
      <c r="Z284">
        <v>0</v>
      </c>
      <c r="AC284">
        <v>0</v>
      </c>
      <c r="AD284">
        <v>1</v>
      </c>
      <c r="AE284">
        <v>1</v>
      </c>
      <c r="AF284">
        <v>0</v>
      </c>
      <c r="AH284">
        <v>0</v>
      </c>
      <c r="AK284">
        <v>0</v>
      </c>
      <c r="AM284">
        <v>0</v>
      </c>
      <c r="AO284">
        <v>0</v>
      </c>
      <c r="AR284">
        <v>0</v>
      </c>
      <c r="AV284">
        <v>0</v>
      </c>
      <c r="AX284">
        <v>0</v>
      </c>
      <c r="AZ284">
        <v>0</v>
      </c>
      <c r="BB284">
        <v>1</v>
      </c>
      <c r="BE284">
        <v>0</v>
      </c>
      <c r="BH284">
        <v>5</v>
      </c>
    </row>
    <row r="285" spans="1:60" x14ac:dyDescent="0.25">
      <c r="A285" s="8" t="s">
        <v>64</v>
      </c>
      <c r="D285">
        <v>0</v>
      </c>
      <c r="G285">
        <v>0</v>
      </c>
      <c r="K285">
        <v>0</v>
      </c>
      <c r="L285">
        <v>0</v>
      </c>
      <c r="O285">
        <v>0</v>
      </c>
      <c r="Q285">
        <v>0</v>
      </c>
      <c r="S285">
        <v>0</v>
      </c>
      <c r="T285">
        <v>0</v>
      </c>
      <c r="X285">
        <v>0</v>
      </c>
      <c r="Z285">
        <v>0</v>
      </c>
      <c r="AC285">
        <v>0</v>
      </c>
      <c r="AD285">
        <v>0</v>
      </c>
      <c r="AE285">
        <v>0</v>
      </c>
      <c r="AF285">
        <v>0</v>
      </c>
      <c r="AH285">
        <v>0</v>
      </c>
      <c r="AK285">
        <v>0</v>
      </c>
      <c r="AM285">
        <v>0</v>
      </c>
      <c r="AO285">
        <v>0</v>
      </c>
      <c r="AR285">
        <v>0</v>
      </c>
      <c r="AV285">
        <v>0</v>
      </c>
      <c r="AX285">
        <v>0</v>
      </c>
      <c r="AZ285">
        <v>0</v>
      </c>
      <c r="BB285">
        <v>0</v>
      </c>
      <c r="BE285">
        <v>0</v>
      </c>
      <c r="BH285">
        <v>0</v>
      </c>
    </row>
    <row r="286" spans="1:60" x14ac:dyDescent="0.25">
      <c r="A286" s="8" t="s">
        <v>83</v>
      </c>
      <c r="D286">
        <v>0</v>
      </c>
      <c r="G286">
        <v>0</v>
      </c>
      <c r="K286">
        <v>0</v>
      </c>
      <c r="L286">
        <v>0</v>
      </c>
      <c r="O286">
        <v>0</v>
      </c>
      <c r="Q286">
        <v>0</v>
      </c>
      <c r="S286">
        <v>0</v>
      </c>
      <c r="T286">
        <v>0</v>
      </c>
      <c r="X286">
        <v>0</v>
      </c>
      <c r="Z286">
        <v>3</v>
      </c>
      <c r="AC286">
        <v>0</v>
      </c>
      <c r="AD286">
        <v>0</v>
      </c>
      <c r="AE286">
        <v>0</v>
      </c>
      <c r="AF286">
        <v>0</v>
      </c>
      <c r="AH286">
        <v>0</v>
      </c>
      <c r="AK286">
        <v>0</v>
      </c>
      <c r="AM286">
        <v>0</v>
      </c>
      <c r="AO286">
        <v>0</v>
      </c>
      <c r="AR286">
        <v>0</v>
      </c>
      <c r="AV286">
        <v>2</v>
      </c>
      <c r="AX286">
        <v>0</v>
      </c>
      <c r="AZ286">
        <v>0</v>
      </c>
      <c r="BB286">
        <v>0</v>
      </c>
      <c r="BE286">
        <v>0</v>
      </c>
      <c r="BH286">
        <v>5</v>
      </c>
    </row>
    <row r="287" spans="1:60" x14ac:dyDescent="0.25">
      <c r="A287" s="8" t="s">
        <v>85</v>
      </c>
      <c r="D287">
        <v>0</v>
      </c>
      <c r="G287">
        <v>0</v>
      </c>
      <c r="K287">
        <v>0</v>
      </c>
      <c r="L287">
        <v>62</v>
      </c>
      <c r="O287">
        <v>0</v>
      </c>
      <c r="Q287">
        <v>0</v>
      </c>
      <c r="S287">
        <v>0</v>
      </c>
      <c r="T287">
        <v>0</v>
      </c>
      <c r="X287">
        <v>0</v>
      </c>
      <c r="Z287">
        <v>0</v>
      </c>
      <c r="AC287">
        <v>0</v>
      </c>
      <c r="AD287">
        <v>0</v>
      </c>
      <c r="AE287">
        <v>0</v>
      </c>
      <c r="AF287">
        <v>0</v>
      </c>
      <c r="AH287">
        <v>0</v>
      </c>
      <c r="AK287">
        <v>0</v>
      </c>
      <c r="AM287">
        <v>0</v>
      </c>
      <c r="AO287">
        <v>0</v>
      </c>
      <c r="AR287">
        <v>0</v>
      </c>
      <c r="AV287">
        <v>50</v>
      </c>
      <c r="AX287">
        <v>0</v>
      </c>
      <c r="AZ287">
        <v>0</v>
      </c>
      <c r="BB287">
        <v>0</v>
      </c>
      <c r="BE287">
        <v>0</v>
      </c>
      <c r="BH287">
        <v>112</v>
      </c>
    </row>
    <row r="288" spans="1:60" x14ac:dyDescent="0.25">
      <c r="A288" s="8" t="s">
        <v>65</v>
      </c>
      <c r="D288">
        <v>0</v>
      </c>
      <c r="G288">
        <v>0</v>
      </c>
      <c r="K288">
        <v>0</v>
      </c>
      <c r="L288">
        <v>0</v>
      </c>
      <c r="O288">
        <v>0</v>
      </c>
      <c r="Q288">
        <v>0</v>
      </c>
      <c r="S288">
        <v>0</v>
      </c>
      <c r="T288">
        <v>0</v>
      </c>
      <c r="X288">
        <v>0</v>
      </c>
      <c r="Z288">
        <v>0</v>
      </c>
      <c r="AC288">
        <v>0</v>
      </c>
      <c r="AD288">
        <v>0</v>
      </c>
      <c r="AE288">
        <v>0</v>
      </c>
      <c r="AF288">
        <v>1</v>
      </c>
      <c r="AH288">
        <v>0</v>
      </c>
      <c r="AK288">
        <v>0</v>
      </c>
      <c r="AM288">
        <v>0</v>
      </c>
      <c r="AO288">
        <v>0</v>
      </c>
      <c r="AR288">
        <v>0</v>
      </c>
      <c r="AV288">
        <v>0</v>
      </c>
      <c r="AX288">
        <v>0</v>
      </c>
      <c r="AZ288">
        <v>0</v>
      </c>
      <c r="BB288">
        <v>0</v>
      </c>
      <c r="BE288">
        <v>0</v>
      </c>
      <c r="BH288">
        <v>1</v>
      </c>
    </row>
    <row r="289" spans="1:60" x14ac:dyDescent="0.25">
      <c r="A289" s="8" t="s">
        <v>66</v>
      </c>
      <c r="D289">
        <v>0</v>
      </c>
      <c r="G289">
        <v>0</v>
      </c>
      <c r="K289">
        <v>0</v>
      </c>
      <c r="L289">
        <v>0</v>
      </c>
      <c r="O289">
        <v>0</v>
      </c>
      <c r="Q289">
        <v>0</v>
      </c>
      <c r="S289">
        <v>0</v>
      </c>
      <c r="T289">
        <v>0</v>
      </c>
      <c r="X289">
        <v>0</v>
      </c>
      <c r="Z289">
        <v>0</v>
      </c>
      <c r="AC289">
        <v>0</v>
      </c>
      <c r="AD289">
        <v>0</v>
      </c>
      <c r="AE289">
        <v>1</v>
      </c>
      <c r="AF289">
        <v>0</v>
      </c>
      <c r="AH289">
        <v>0</v>
      </c>
      <c r="AK289">
        <v>0</v>
      </c>
      <c r="AM289">
        <v>0</v>
      </c>
      <c r="AO289">
        <v>0</v>
      </c>
      <c r="AR289">
        <v>0</v>
      </c>
      <c r="AV289">
        <v>0</v>
      </c>
      <c r="AX289">
        <v>0</v>
      </c>
      <c r="AZ289">
        <v>0</v>
      </c>
      <c r="BB289">
        <v>0</v>
      </c>
      <c r="BE289">
        <v>0</v>
      </c>
      <c r="BH289">
        <v>1</v>
      </c>
    </row>
    <row r="290" spans="1:60" x14ac:dyDescent="0.25">
      <c r="A290" s="8" t="s">
        <v>87</v>
      </c>
      <c r="D290">
        <v>0</v>
      </c>
      <c r="G290">
        <v>0</v>
      </c>
      <c r="K290">
        <v>0</v>
      </c>
      <c r="L290">
        <v>0</v>
      </c>
      <c r="O290">
        <v>0</v>
      </c>
      <c r="Q290">
        <v>0</v>
      </c>
      <c r="S290">
        <v>0</v>
      </c>
      <c r="T290">
        <v>0</v>
      </c>
      <c r="X290">
        <v>0</v>
      </c>
      <c r="Z290">
        <v>0</v>
      </c>
      <c r="AC290">
        <v>0</v>
      </c>
      <c r="AD290">
        <v>0</v>
      </c>
      <c r="AE290">
        <v>42</v>
      </c>
      <c r="AF290">
        <v>0</v>
      </c>
      <c r="AH290">
        <v>0</v>
      </c>
      <c r="AK290">
        <v>0</v>
      </c>
      <c r="AM290">
        <v>0</v>
      </c>
      <c r="AO290">
        <v>0</v>
      </c>
      <c r="AR290">
        <v>0</v>
      </c>
      <c r="AV290">
        <v>0</v>
      </c>
      <c r="AX290">
        <v>0</v>
      </c>
      <c r="AZ290">
        <v>0</v>
      </c>
      <c r="BB290">
        <v>0</v>
      </c>
      <c r="BE290">
        <v>0</v>
      </c>
      <c r="BH290">
        <v>42</v>
      </c>
    </row>
    <row r="291" spans="1:60" x14ac:dyDescent="0.25">
      <c r="A291" s="8" t="s">
        <v>89</v>
      </c>
      <c r="D291">
        <v>0</v>
      </c>
      <c r="G291">
        <v>0</v>
      </c>
      <c r="K291">
        <v>0</v>
      </c>
      <c r="L291">
        <v>0</v>
      </c>
      <c r="O291">
        <v>0</v>
      </c>
      <c r="Q291">
        <v>0</v>
      </c>
      <c r="S291">
        <v>0</v>
      </c>
      <c r="T291">
        <v>0</v>
      </c>
      <c r="X291">
        <v>0</v>
      </c>
      <c r="Z291">
        <v>0</v>
      </c>
      <c r="AC291">
        <v>0</v>
      </c>
      <c r="AD291">
        <v>0</v>
      </c>
      <c r="AE291">
        <v>24</v>
      </c>
      <c r="AF291">
        <v>27</v>
      </c>
      <c r="AH291">
        <v>0</v>
      </c>
      <c r="AK291">
        <v>0</v>
      </c>
      <c r="AM291">
        <v>0</v>
      </c>
      <c r="AO291">
        <v>0</v>
      </c>
      <c r="AR291">
        <v>0</v>
      </c>
      <c r="AV291">
        <v>0</v>
      </c>
      <c r="AX291">
        <v>0</v>
      </c>
      <c r="AZ291">
        <v>0</v>
      </c>
      <c r="BB291">
        <v>0</v>
      </c>
      <c r="BE291">
        <v>0</v>
      </c>
      <c r="BH291">
        <v>51</v>
      </c>
    </row>
    <row r="292" spans="1:60" x14ac:dyDescent="0.25">
      <c r="A292" s="8" t="s">
        <v>91</v>
      </c>
      <c r="D292">
        <v>0</v>
      </c>
      <c r="G292">
        <v>0</v>
      </c>
      <c r="K292">
        <v>0</v>
      </c>
      <c r="L292">
        <v>0</v>
      </c>
      <c r="O292">
        <v>0</v>
      </c>
      <c r="Q292">
        <v>0</v>
      </c>
      <c r="S292">
        <v>0</v>
      </c>
      <c r="T292">
        <v>0</v>
      </c>
      <c r="X292">
        <v>0</v>
      </c>
      <c r="Z292">
        <v>0</v>
      </c>
      <c r="AC292">
        <v>0</v>
      </c>
      <c r="AD292">
        <v>0</v>
      </c>
      <c r="AE292">
        <v>0</v>
      </c>
      <c r="AF292">
        <v>1</v>
      </c>
      <c r="AH292">
        <v>0</v>
      </c>
      <c r="AK292">
        <v>0</v>
      </c>
      <c r="AM292">
        <v>0</v>
      </c>
      <c r="AO292">
        <v>0</v>
      </c>
      <c r="AR292">
        <v>0</v>
      </c>
      <c r="AV292">
        <v>0</v>
      </c>
      <c r="AX292">
        <v>0</v>
      </c>
      <c r="AZ292">
        <v>0</v>
      </c>
      <c r="BB292">
        <v>0</v>
      </c>
      <c r="BE292">
        <v>0</v>
      </c>
      <c r="BH292">
        <v>1</v>
      </c>
    </row>
    <row r="293" spans="1:60" x14ac:dyDescent="0.25">
      <c r="A293" s="8" t="s">
        <v>67</v>
      </c>
      <c r="D293">
        <v>0</v>
      </c>
      <c r="G293">
        <v>0</v>
      </c>
      <c r="K293">
        <v>0</v>
      </c>
      <c r="L293">
        <v>0</v>
      </c>
      <c r="O293">
        <v>0</v>
      </c>
      <c r="Q293">
        <v>0</v>
      </c>
      <c r="S293">
        <v>0</v>
      </c>
      <c r="T293">
        <v>0</v>
      </c>
      <c r="X293">
        <v>0</v>
      </c>
      <c r="Z293">
        <v>0</v>
      </c>
      <c r="AC293">
        <v>0</v>
      </c>
      <c r="AD293">
        <v>0</v>
      </c>
      <c r="AE293">
        <v>1</v>
      </c>
      <c r="AF293">
        <v>0</v>
      </c>
      <c r="AH293">
        <v>0</v>
      </c>
      <c r="AK293">
        <v>0</v>
      </c>
      <c r="AM293">
        <v>0</v>
      </c>
      <c r="AO293">
        <v>0</v>
      </c>
      <c r="AR293">
        <v>0</v>
      </c>
      <c r="AV293">
        <v>0</v>
      </c>
      <c r="AX293">
        <v>0</v>
      </c>
      <c r="AZ293">
        <v>0</v>
      </c>
      <c r="BB293">
        <v>0</v>
      </c>
      <c r="BE293">
        <v>0</v>
      </c>
      <c r="BH293">
        <v>1</v>
      </c>
    </row>
    <row r="294" spans="1:60" x14ac:dyDescent="0.25">
      <c r="A294" s="8" t="s">
        <v>93</v>
      </c>
      <c r="D294">
        <v>0</v>
      </c>
      <c r="G294">
        <v>0</v>
      </c>
      <c r="K294">
        <v>0</v>
      </c>
      <c r="L294">
        <v>0</v>
      </c>
      <c r="O294">
        <v>0</v>
      </c>
      <c r="Q294">
        <v>0</v>
      </c>
      <c r="S294">
        <v>0</v>
      </c>
      <c r="T294">
        <v>0</v>
      </c>
      <c r="X294">
        <v>0</v>
      </c>
      <c r="Z294">
        <v>0</v>
      </c>
      <c r="AC294">
        <v>0</v>
      </c>
      <c r="AD294">
        <v>1</v>
      </c>
      <c r="AE294">
        <v>0</v>
      </c>
      <c r="AF294">
        <v>0</v>
      </c>
      <c r="AH294">
        <v>0</v>
      </c>
      <c r="AK294">
        <v>0</v>
      </c>
      <c r="AM294">
        <v>0</v>
      </c>
      <c r="AO294">
        <v>0</v>
      </c>
      <c r="AR294">
        <v>0</v>
      </c>
      <c r="AV294">
        <v>3</v>
      </c>
      <c r="AX294">
        <v>3</v>
      </c>
      <c r="AZ294">
        <v>0</v>
      </c>
      <c r="BB294">
        <v>0</v>
      </c>
      <c r="BE294">
        <v>0</v>
      </c>
      <c r="BH294">
        <v>7</v>
      </c>
    </row>
    <row r="295" spans="1:60" x14ac:dyDescent="0.25">
      <c r="A295" s="7" t="s">
        <v>33</v>
      </c>
    </row>
    <row r="296" spans="1:60" x14ac:dyDescent="0.25">
      <c r="A296" s="8" t="s">
        <v>79</v>
      </c>
      <c r="AX296">
        <v>81</v>
      </c>
      <c r="BH296">
        <v>81</v>
      </c>
    </row>
    <row r="297" spans="1:60" x14ac:dyDescent="0.25">
      <c r="A297" s="8" t="s">
        <v>68</v>
      </c>
      <c r="AX297">
        <v>0</v>
      </c>
      <c r="BH297">
        <v>0</v>
      </c>
    </row>
    <row r="298" spans="1:60" x14ac:dyDescent="0.25">
      <c r="A298" s="8" t="s">
        <v>61</v>
      </c>
      <c r="AX298">
        <v>0</v>
      </c>
      <c r="BH298">
        <v>0</v>
      </c>
    </row>
    <row r="299" spans="1:60" x14ac:dyDescent="0.25">
      <c r="A299" s="8" t="s">
        <v>81</v>
      </c>
      <c r="AX299">
        <v>1</v>
      </c>
      <c r="BH299">
        <v>1</v>
      </c>
    </row>
    <row r="300" spans="1:60" x14ac:dyDescent="0.25">
      <c r="A300" s="8" t="s">
        <v>62</v>
      </c>
      <c r="AX300">
        <v>0</v>
      </c>
      <c r="BH300">
        <v>0</v>
      </c>
    </row>
    <row r="301" spans="1:60" x14ac:dyDescent="0.25">
      <c r="A301" s="8" t="s">
        <v>63</v>
      </c>
      <c r="AX301">
        <v>1</v>
      </c>
      <c r="BH301">
        <v>1</v>
      </c>
    </row>
    <row r="302" spans="1:60" x14ac:dyDescent="0.25">
      <c r="A302" s="8" t="s">
        <v>64</v>
      </c>
      <c r="AX302">
        <v>0</v>
      </c>
      <c r="BH302">
        <v>0</v>
      </c>
    </row>
    <row r="303" spans="1:60" x14ac:dyDescent="0.25">
      <c r="A303" s="8" t="s">
        <v>83</v>
      </c>
      <c r="AX303">
        <v>0</v>
      </c>
      <c r="BH303">
        <v>0</v>
      </c>
    </row>
    <row r="304" spans="1:60" x14ac:dyDescent="0.25">
      <c r="A304" s="8" t="s">
        <v>85</v>
      </c>
      <c r="AX304">
        <v>0</v>
      </c>
      <c r="BH304">
        <v>0</v>
      </c>
    </row>
    <row r="305" spans="1:60" x14ac:dyDescent="0.25">
      <c r="A305" s="8" t="s">
        <v>65</v>
      </c>
      <c r="AX305">
        <v>0</v>
      </c>
      <c r="BH305">
        <v>0</v>
      </c>
    </row>
    <row r="306" spans="1:60" x14ac:dyDescent="0.25">
      <c r="A306" s="8" t="s">
        <v>66</v>
      </c>
      <c r="AX306">
        <v>0</v>
      </c>
      <c r="BH306">
        <v>0</v>
      </c>
    </row>
    <row r="307" spans="1:60" x14ac:dyDescent="0.25">
      <c r="A307" s="8" t="s">
        <v>87</v>
      </c>
      <c r="AX307">
        <v>0</v>
      </c>
      <c r="BH307">
        <v>0</v>
      </c>
    </row>
    <row r="308" spans="1:60" x14ac:dyDescent="0.25">
      <c r="A308" s="8" t="s">
        <v>89</v>
      </c>
      <c r="AX308">
        <v>0</v>
      </c>
      <c r="BH308">
        <v>0</v>
      </c>
    </row>
    <row r="309" spans="1:60" x14ac:dyDescent="0.25">
      <c r="A309" s="8" t="s">
        <v>91</v>
      </c>
      <c r="AX309">
        <v>0</v>
      </c>
      <c r="BH309">
        <v>0</v>
      </c>
    </row>
    <row r="310" spans="1:60" x14ac:dyDescent="0.25">
      <c r="A310" s="8" t="s">
        <v>67</v>
      </c>
      <c r="AX310">
        <v>0</v>
      </c>
      <c r="BH310">
        <v>0</v>
      </c>
    </row>
    <row r="311" spans="1:60" x14ac:dyDescent="0.25">
      <c r="A311" s="8" t="s">
        <v>93</v>
      </c>
      <c r="AX311">
        <v>0</v>
      </c>
      <c r="BH311">
        <v>0</v>
      </c>
    </row>
    <row r="312" spans="1:60" x14ac:dyDescent="0.25">
      <c r="A312" s="7" t="s">
        <v>40</v>
      </c>
    </row>
    <row r="313" spans="1:60" x14ac:dyDescent="0.25">
      <c r="A313" s="8" t="s">
        <v>79</v>
      </c>
      <c r="D313">
        <v>19</v>
      </c>
      <c r="BH313">
        <v>19</v>
      </c>
    </row>
    <row r="314" spans="1:60" x14ac:dyDescent="0.25">
      <c r="A314" s="8" t="s">
        <v>68</v>
      </c>
      <c r="D314">
        <v>0</v>
      </c>
      <c r="BH314">
        <v>0</v>
      </c>
    </row>
    <row r="315" spans="1:60" x14ac:dyDescent="0.25">
      <c r="A315" s="8" t="s">
        <v>61</v>
      </c>
      <c r="D315">
        <v>0</v>
      </c>
      <c r="BH315">
        <v>0</v>
      </c>
    </row>
    <row r="316" spans="1:60" x14ac:dyDescent="0.25">
      <c r="A316" s="8" t="s">
        <v>81</v>
      </c>
      <c r="D316">
        <v>0</v>
      </c>
      <c r="BH316">
        <v>0</v>
      </c>
    </row>
    <row r="317" spans="1:60" x14ac:dyDescent="0.25">
      <c r="A317" s="8" t="s">
        <v>62</v>
      </c>
      <c r="D317">
        <v>0</v>
      </c>
      <c r="BH317">
        <v>0</v>
      </c>
    </row>
    <row r="318" spans="1:60" x14ac:dyDescent="0.25">
      <c r="A318" s="8" t="s">
        <v>63</v>
      </c>
      <c r="D318">
        <v>0</v>
      </c>
      <c r="BH318">
        <v>0</v>
      </c>
    </row>
    <row r="319" spans="1:60" x14ac:dyDescent="0.25">
      <c r="A319" s="8" t="s">
        <v>64</v>
      </c>
      <c r="D319">
        <v>0</v>
      </c>
      <c r="BH319">
        <v>0</v>
      </c>
    </row>
    <row r="320" spans="1:60" x14ac:dyDescent="0.25">
      <c r="A320" s="8" t="s">
        <v>83</v>
      </c>
      <c r="D320">
        <v>0</v>
      </c>
      <c r="BH320">
        <v>0</v>
      </c>
    </row>
    <row r="321" spans="1:60" x14ac:dyDescent="0.25">
      <c r="A321" s="8" t="s">
        <v>85</v>
      </c>
      <c r="D321">
        <v>0</v>
      </c>
      <c r="BH321">
        <v>0</v>
      </c>
    </row>
    <row r="322" spans="1:60" x14ac:dyDescent="0.25">
      <c r="A322" s="8" t="s">
        <v>65</v>
      </c>
      <c r="D322">
        <v>0</v>
      </c>
      <c r="BH322">
        <v>0</v>
      </c>
    </row>
    <row r="323" spans="1:60" x14ac:dyDescent="0.25">
      <c r="A323" s="8" t="s">
        <v>66</v>
      </c>
      <c r="D323">
        <v>0</v>
      </c>
      <c r="BH323">
        <v>0</v>
      </c>
    </row>
    <row r="324" spans="1:60" x14ac:dyDescent="0.25">
      <c r="A324" s="8" t="s">
        <v>87</v>
      </c>
      <c r="D324">
        <v>0</v>
      </c>
      <c r="BH324">
        <v>0</v>
      </c>
    </row>
    <row r="325" spans="1:60" x14ac:dyDescent="0.25">
      <c r="A325" s="8" t="s">
        <v>89</v>
      </c>
      <c r="D325">
        <v>0</v>
      </c>
      <c r="BH325">
        <v>0</v>
      </c>
    </row>
    <row r="326" spans="1:60" x14ac:dyDescent="0.25">
      <c r="A326" s="8" t="s">
        <v>91</v>
      </c>
      <c r="D326">
        <v>0</v>
      </c>
      <c r="BH326">
        <v>0</v>
      </c>
    </row>
    <row r="327" spans="1:60" x14ac:dyDescent="0.25">
      <c r="A327" s="8" t="s">
        <v>67</v>
      </c>
      <c r="D327">
        <v>0</v>
      </c>
      <c r="BH327">
        <v>0</v>
      </c>
    </row>
    <row r="328" spans="1:60" x14ac:dyDescent="0.25">
      <c r="A328" s="8" t="s">
        <v>93</v>
      </c>
      <c r="D328">
        <v>0</v>
      </c>
      <c r="BH328">
        <v>0</v>
      </c>
    </row>
    <row r="329" spans="1:60" x14ac:dyDescent="0.25">
      <c r="A329" s="7" t="s">
        <v>25</v>
      </c>
    </row>
    <row r="330" spans="1:60" x14ac:dyDescent="0.25">
      <c r="A330" s="8" t="s">
        <v>79</v>
      </c>
      <c r="S330">
        <v>90</v>
      </c>
      <c r="BH330">
        <v>90</v>
      </c>
    </row>
    <row r="331" spans="1:60" x14ac:dyDescent="0.25">
      <c r="A331" s="8" t="s">
        <v>68</v>
      </c>
      <c r="S331">
        <v>0</v>
      </c>
      <c r="BH331">
        <v>0</v>
      </c>
    </row>
    <row r="332" spans="1:60" x14ac:dyDescent="0.25">
      <c r="A332" s="8" t="s">
        <v>61</v>
      </c>
      <c r="S332">
        <v>0</v>
      </c>
      <c r="BH332">
        <v>0</v>
      </c>
    </row>
    <row r="333" spans="1:60" x14ac:dyDescent="0.25">
      <c r="A333" s="8" t="s">
        <v>81</v>
      </c>
      <c r="S333">
        <v>0</v>
      </c>
      <c r="BH333">
        <v>0</v>
      </c>
    </row>
    <row r="334" spans="1:60" x14ac:dyDescent="0.25">
      <c r="A334" s="8" t="s">
        <v>62</v>
      </c>
      <c r="S334">
        <v>0</v>
      </c>
      <c r="BH334">
        <v>0</v>
      </c>
    </row>
    <row r="335" spans="1:60" x14ac:dyDescent="0.25">
      <c r="A335" s="8" t="s">
        <v>63</v>
      </c>
      <c r="S335">
        <v>0</v>
      </c>
      <c r="BH335">
        <v>0</v>
      </c>
    </row>
    <row r="336" spans="1:60" x14ac:dyDescent="0.25">
      <c r="A336" s="8" t="s">
        <v>64</v>
      </c>
      <c r="S336">
        <v>0</v>
      </c>
      <c r="BH336">
        <v>0</v>
      </c>
    </row>
    <row r="337" spans="1:60" x14ac:dyDescent="0.25">
      <c r="A337" s="8" t="s">
        <v>83</v>
      </c>
      <c r="S337">
        <v>0</v>
      </c>
      <c r="BH337">
        <v>0</v>
      </c>
    </row>
    <row r="338" spans="1:60" x14ac:dyDescent="0.25">
      <c r="A338" s="8" t="s">
        <v>85</v>
      </c>
      <c r="S338">
        <v>50</v>
      </c>
      <c r="BH338">
        <v>50</v>
      </c>
    </row>
    <row r="339" spans="1:60" x14ac:dyDescent="0.25">
      <c r="A339" s="8" t="s">
        <v>65</v>
      </c>
      <c r="S339">
        <v>0</v>
      </c>
      <c r="BH339">
        <v>0</v>
      </c>
    </row>
    <row r="340" spans="1:60" x14ac:dyDescent="0.25">
      <c r="A340" s="8" t="s">
        <v>66</v>
      </c>
      <c r="S340">
        <v>0</v>
      </c>
      <c r="BH340">
        <v>0</v>
      </c>
    </row>
    <row r="341" spans="1:60" x14ac:dyDescent="0.25">
      <c r="A341" s="8" t="s">
        <v>87</v>
      </c>
      <c r="S341">
        <v>0</v>
      </c>
      <c r="BH341">
        <v>0</v>
      </c>
    </row>
    <row r="342" spans="1:60" x14ac:dyDescent="0.25">
      <c r="A342" s="8" t="s">
        <v>89</v>
      </c>
      <c r="S342">
        <v>0</v>
      </c>
      <c r="BH342">
        <v>0</v>
      </c>
    </row>
    <row r="343" spans="1:60" x14ac:dyDescent="0.25">
      <c r="A343" s="8" t="s">
        <v>91</v>
      </c>
      <c r="S343">
        <v>0</v>
      </c>
      <c r="BH343">
        <v>0</v>
      </c>
    </row>
    <row r="344" spans="1:60" x14ac:dyDescent="0.25">
      <c r="A344" s="8" t="s">
        <v>67</v>
      </c>
      <c r="S344">
        <v>0</v>
      </c>
      <c r="BH344">
        <v>0</v>
      </c>
    </row>
    <row r="345" spans="1:60" x14ac:dyDescent="0.25">
      <c r="A345" s="8" t="s">
        <v>93</v>
      </c>
      <c r="S345">
        <v>0</v>
      </c>
      <c r="BH345">
        <v>0</v>
      </c>
    </row>
    <row r="346" spans="1:60" x14ac:dyDescent="0.25">
      <c r="A346" s="7" t="s">
        <v>78</v>
      </c>
      <c r="B346">
        <v>0</v>
      </c>
      <c r="C346">
        <v>0</v>
      </c>
      <c r="D346">
        <v>801</v>
      </c>
      <c r="E346">
        <v>0</v>
      </c>
      <c r="F346">
        <v>0</v>
      </c>
      <c r="G346">
        <v>924</v>
      </c>
      <c r="H346">
        <v>0</v>
      </c>
      <c r="I346">
        <v>0</v>
      </c>
      <c r="J346">
        <v>0</v>
      </c>
      <c r="K346">
        <v>746</v>
      </c>
      <c r="L346">
        <v>1084</v>
      </c>
      <c r="M346">
        <v>0</v>
      </c>
      <c r="N346">
        <v>0</v>
      </c>
      <c r="O346">
        <v>1004</v>
      </c>
      <c r="P346">
        <v>0</v>
      </c>
      <c r="Q346">
        <v>809</v>
      </c>
      <c r="R346">
        <v>0</v>
      </c>
      <c r="S346">
        <v>934</v>
      </c>
      <c r="T346">
        <v>786</v>
      </c>
      <c r="U346">
        <v>0</v>
      </c>
      <c r="V346">
        <v>0</v>
      </c>
      <c r="W346">
        <v>0</v>
      </c>
      <c r="X346">
        <v>1237</v>
      </c>
      <c r="Y346">
        <v>0</v>
      </c>
      <c r="Z346">
        <v>821</v>
      </c>
      <c r="AA346">
        <v>0</v>
      </c>
      <c r="AB346">
        <v>0</v>
      </c>
      <c r="AC346">
        <v>987</v>
      </c>
      <c r="AD346">
        <v>976</v>
      </c>
      <c r="AE346">
        <v>0</v>
      </c>
      <c r="AF346">
        <v>0</v>
      </c>
      <c r="AG346">
        <v>0</v>
      </c>
      <c r="AH346">
        <v>1195</v>
      </c>
      <c r="AI346">
        <v>0</v>
      </c>
      <c r="AJ346">
        <v>0</v>
      </c>
      <c r="AK346">
        <v>752</v>
      </c>
      <c r="AL346">
        <v>0</v>
      </c>
      <c r="AM346">
        <v>941</v>
      </c>
      <c r="AN346">
        <v>0</v>
      </c>
      <c r="AO346">
        <v>709</v>
      </c>
      <c r="AP346">
        <v>0</v>
      </c>
      <c r="AQ346">
        <v>0</v>
      </c>
      <c r="AR346">
        <v>1085</v>
      </c>
      <c r="AS346">
        <v>0</v>
      </c>
      <c r="AT346">
        <v>9</v>
      </c>
      <c r="AU346">
        <v>0</v>
      </c>
      <c r="AV346">
        <v>998</v>
      </c>
      <c r="AW346">
        <v>0</v>
      </c>
      <c r="AX346">
        <v>778</v>
      </c>
      <c r="AY346">
        <v>0</v>
      </c>
      <c r="AZ346">
        <v>939</v>
      </c>
      <c r="BA346">
        <v>0</v>
      </c>
      <c r="BB346">
        <v>866</v>
      </c>
      <c r="BC346">
        <v>0</v>
      </c>
      <c r="BD346">
        <v>0</v>
      </c>
      <c r="BE346">
        <v>1023</v>
      </c>
      <c r="BF346">
        <v>0</v>
      </c>
      <c r="BG346">
        <v>0</v>
      </c>
      <c r="BH346">
        <v>20404</v>
      </c>
    </row>
    <row r="347" spans="1:60" x14ac:dyDescent="0.25">
      <c r="A347" s="7" t="s">
        <v>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32</v>
      </c>
      <c r="L347">
        <v>0</v>
      </c>
      <c r="M347">
        <v>0</v>
      </c>
      <c r="N347">
        <v>0</v>
      </c>
      <c r="O347">
        <v>174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19</v>
      </c>
      <c r="AU347">
        <v>0</v>
      </c>
      <c r="AV347">
        <v>0</v>
      </c>
      <c r="AW347">
        <v>0</v>
      </c>
      <c r="AX347">
        <v>310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541</v>
      </c>
    </row>
    <row r="348" spans="1:60" x14ac:dyDescent="0.25">
      <c r="A348" s="7" t="s">
        <v>69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 x14ac:dyDescent="0.25">
      <c r="A349" s="7" t="s">
        <v>80</v>
      </c>
      <c r="B349">
        <v>0</v>
      </c>
      <c r="C349">
        <v>0</v>
      </c>
      <c r="D349">
        <v>7</v>
      </c>
      <c r="E349">
        <v>0</v>
      </c>
      <c r="F349">
        <v>0</v>
      </c>
      <c r="G349">
        <v>10</v>
      </c>
      <c r="H349">
        <v>0</v>
      </c>
      <c r="I349">
        <v>0</v>
      </c>
      <c r="J349">
        <v>0</v>
      </c>
      <c r="K349">
        <v>6</v>
      </c>
      <c r="L349">
        <v>10</v>
      </c>
      <c r="M349">
        <v>0</v>
      </c>
      <c r="N349">
        <v>0</v>
      </c>
      <c r="O349">
        <v>9</v>
      </c>
      <c r="P349">
        <v>0</v>
      </c>
      <c r="Q349">
        <v>5</v>
      </c>
      <c r="R349">
        <v>0</v>
      </c>
      <c r="S349">
        <v>10</v>
      </c>
      <c r="T349">
        <v>8</v>
      </c>
      <c r="U349">
        <v>0</v>
      </c>
      <c r="V349">
        <v>0</v>
      </c>
      <c r="W349">
        <v>0</v>
      </c>
      <c r="X349">
        <v>10</v>
      </c>
      <c r="Y349">
        <v>0</v>
      </c>
      <c r="Z349">
        <v>5</v>
      </c>
      <c r="AA349">
        <v>0</v>
      </c>
      <c r="AB349">
        <v>0</v>
      </c>
      <c r="AC349">
        <v>11</v>
      </c>
      <c r="AD349">
        <v>8</v>
      </c>
      <c r="AE349">
        <v>1</v>
      </c>
      <c r="AF349">
        <v>0</v>
      </c>
      <c r="AG349">
        <v>0</v>
      </c>
      <c r="AH349">
        <v>11</v>
      </c>
      <c r="AI349">
        <v>0</v>
      </c>
      <c r="AJ349">
        <v>0</v>
      </c>
      <c r="AK349">
        <v>6</v>
      </c>
      <c r="AL349">
        <v>0</v>
      </c>
      <c r="AM349">
        <v>9</v>
      </c>
      <c r="AN349">
        <v>0</v>
      </c>
      <c r="AO349">
        <v>6</v>
      </c>
      <c r="AP349">
        <v>0</v>
      </c>
      <c r="AQ349">
        <v>0</v>
      </c>
      <c r="AR349">
        <v>10</v>
      </c>
      <c r="AS349">
        <v>0</v>
      </c>
      <c r="AT349">
        <v>0</v>
      </c>
      <c r="AU349">
        <v>0</v>
      </c>
      <c r="AV349">
        <v>12</v>
      </c>
      <c r="AW349">
        <v>0</v>
      </c>
      <c r="AX349">
        <v>11</v>
      </c>
      <c r="AY349">
        <v>0</v>
      </c>
      <c r="AZ349">
        <v>10</v>
      </c>
      <c r="BA349">
        <v>0</v>
      </c>
      <c r="BB349">
        <v>8</v>
      </c>
      <c r="BC349">
        <v>0</v>
      </c>
      <c r="BD349">
        <v>0</v>
      </c>
      <c r="BE349">
        <v>11</v>
      </c>
      <c r="BF349">
        <v>0</v>
      </c>
      <c r="BG349">
        <v>0</v>
      </c>
      <c r="BH349">
        <v>194</v>
      </c>
    </row>
    <row r="350" spans="1:60" x14ac:dyDescent="0.25">
      <c r="A350" s="7" t="s">
        <v>70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2</v>
      </c>
      <c r="M350">
        <v>0</v>
      </c>
      <c r="N350">
        <v>0</v>
      </c>
      <c r="O350">
        <v>1</v>
      </c>
      <c r="P350">
        <v>0</v>
      </c>
      <c r="Q350">
        <v>3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0</v>
      </c>
      <c r="AO350">
        <v>1</v>
      </c>
      <c r="AP350">
        <v>0</v>
      </c>
      <c r="AQ350">
        <v>0</v>
      </c>
      <c r="AR350">
        <v>2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1</v>
      </c>
      <c r="AY350">
        <v>0</v>
      </c>
      <c r="AZ350">
        <v>1</v>
      </c>
      <c r="BA350">
        <v>0</v>
      </c>
      <c r="BB350">
        <v>1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26</v>
      </c>
    </row>
    <row r="351" spans="1:60" x14ac:dyDescent="0.25">
      <c r="A351" s="7" t="s">
        <v>71</v>
      </c>
      <c r="B351">
        <v>0</v>
      </c>
      <c r="C351">
        <v>0</v>
      </c>
      <c r="D351">
        <v>2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4</v>
      </c>
      <c r="L351">
        <v>3</v>
      </c>
      <c r="M351">
        <v>0</v>
      </c>
      <c r="N351">
        <v>0</v>
      </c>
      <c r="O351">
        <v>3</v>
      </c>
      <c r="P351">
        <v>0</v>
      </c>
      <c r="Q351">
        <v>2</v>
      </c>
      <c r="R351">
        <v>0</v>
      </c>
      <c r="S351">
        <v>3</v>
      </c>
      <c r="T351">
        <v>6</v>
      </c>
      <c r="U351">
        <v>0</v>
      </c>
      <c r="V351">
        <v>0</v>
      </c>
      <c r="W351">
        <v>0</v>
      </c>
      <c r="X351">
        <v>3</v>
      </c>
      <c r="Y351">
        <v>0</v>
      </c>
      <c r="Z351">
        <v>2</v>
      </c>
      <c r="AA351">
        <v>0</v>
      </c>
      <c r="AB351">
        <v>0</v>
      </c>
      <c r="AC351">
        <v>3</v>
      </c>
      <c r="AD351">
        <v>2</v>
      </c>
      <c r="AE351">
        <v>1</v>
      </c>
      <c r="AF351">
        <v>0</v>
      </c>
      <c r="AG351">
        <v>0</v>
      </c>
      <c r="AH351">
        <v>3</v>
      </c>
      <c r="AI351">
        <v>0</v>
      </c>
      <c r="AJ351">
        <v>0</v>
      </c>
      <c r="AK351">
        <v>1</v>
      </c>
      <c r="AL351">
        <v>0</v>
      </c>
      <c r="AM351">
        <v>3</v>
      </c>
      <c r="AN351">
        <v>0</v>
      </c>
      <c r="AO351">
        <v>2</v>
      </c>
      <c r="AP351">
        <v>0</v>
      </c>
      <c r="AQ351">
        <v>0</v>
      </c>
      <c r="AR351">
        <v>3</v>
      </c>
      <c r="AS351">
        <v>0</v>
      </c>
      <c r="AT351">
        <v>0</v>
      </c>
      <c r="AU351">
        <v>0</v>
      </c>
      <c r="AV351">
        <v>5</v>
      </c>
      <c r="AW351">
        <v>0</v>
      </c>
      <c r="AX351">
        <v>3</v>
      </c>
      <c r="AY351">
        <v>0</v>
      </c>
      <c r="AZ351">
        <v>3</v>
      </c>
      <c r="BA351">
        <v>0</v>
      </c>
      <c r="BB351">
        <v>4</v>
      </c>
      <c r="BC351">
        <v>0</v>
      </c>
      <c r="BD351">
        <v>0</v>
      </c>
      <c r="BE351">
        <v>3</v>
      </c>
      <c r="BF351">
        <v>0</v>
      </c>
      <c r="BG351">
        <v>0</v>
      </c>
      <c r="BH351">
        <v>67</v>
      </c>
    </row>
    <row r="352" spans="1:60" x14ac:dyDescent="0.25">
      <c r="A352" s="7" t="s">
        <v>72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1</v>
      </c>
      <c r="BA352">
        <v>0</v>
      </c>
      <c r="BB352">
        <v>1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10</v>
      </c>
    </row>
    <row r="353" spans="1:60" x14ac:dyDescent="0.25">
      <c r="A353" s="7" t="s">
        <v>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20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2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10</v>
      </c>
      <c r="AS353">
        <v>0</v>
      </c>
      <c r="AT353">
        <v>0</v>
      </c>
      <c r="AU353">
        <v>0</v>
      </c>
      <c r="AV353">
        <v>12</v>
      </c>
      <c r="AW353">
        <v>0</v>
      </c>
      <c r="AX353">
        <v>0</v>
      </c>
      <c r="AY353">
        <v>0</v>
      </c>
      <c r="AZ353">
        <v>10</v>
      </c>
      <c r="BA353">
        <v>0</v>
      </c>
      <c r="BB353">
        <v>10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80</v>
      </c>
    </row>
    <row r="354" spans="1:60" x14ac:dyDescent="0.25">
      <c r="A354" s="7" t="s">
        <v>84</v>
      </c>
      <c r="B354">
        <v>0</v>
      </c>
      <c r="C354">
        <v>0</v>
      </c>
      <c r="D354">
        <v>155</v>
      </c>
      <c r="E354">
        <v>0</v>
      </c>
      <c r="F354">
        <v>0</v>
      </c>
      <c r="G354">
        <v>184</v>
      </c>
      <c r="H354">
        <v>0</v>
      </c>
      <c r="I354">
        <v>0</v>
      </c>
      <c r="J354">
        <v>0</v>
      </c>
      <c r="K354">
        <v>140</v>
      </c>
      <c r="L354">
        <v>354</v>
      </c>
      <c r="M354">
        <v>5</v>
      </c>
      <c r="N354">
        <v>12</v>
      </c>
      <c r="O354">
        <v>142</v>
      </c>
      <c r="P354">
        <v>0</v>
      </c>
      <c r="Q354">
        <v>150</v>
      </c>
      <c r="R354">
        <v>0</v>
      </c>
      <c r="S354">
        <v>188</v>
      </c>
      <c r="T354">
        <v>109</v>
      </c>
      <c r="U354">
        <v>0</v>
      </c>
      <c r="V354">
        <v>0</v>
      </c>
      <c r="W354">
        <v>0</v>
      </c>
      <c r="X354">
        <v>70</v>
      </c>
      <c r="Y354">
        <v>0</v>
      </c>
      <c r="Z354">
        <v>52</v>
      </c>
      <c r="AA354">
        <v>0</v>
      </c>
      <c r="AB354">
        <v>0</v>
      </c>
      <c r="AC354">
        <v>110</v>
      </c>
      <c r="AD354">
        <v>117</v>
      </c>
      <c r="AE354">
        <v>0</v>
      </c>
      <c r="AF354">
        <v>15</v>
      </c>
      <c r="AG354">
        <v>0</v>
      </c>
      <c r="AH354">
        <v>149</v>
      </c>
      <c r="AI354">
        <v>0</v>
      </c>
      <c r="AJ354">
        <v>0</v>
      </c>
      <c r="AK354">
        <v>52</v>
      </c>
      <c r="AL354">
        <v>0</v>
      </c>
      <c r="AM354">
        <v>52</v>
      </c>
      <c r="AN354">
        <v>0</v>
      </c>
      <c r="AO354">
        <v>80</v>
      </c>
      <c r="AP354">
        <v>0</v>
      </c>
      <c r="AQ354">
        <v>0</v>
      </c>
      <c r="AR354">
        <v>123</v>
      </c>
      <c r="AS354">
        <v>0</v>
      </c>
      <c r="AT354">
        <v>5</v>
      </c>
      <c r="AU354">
        <v>0</v>
      </c>
      <c r="AV354">
        <v>375</v>
      </c>
      <c r="AW354">
        <v>0</v>
      </c>
      <c r="AX354">
        <v>131</v>
      </c>
      <c r="AY354">
        <v>0</v>
      </c>
      <c r="AZ354">
        <v>142</v>
      </c>
      <c r="BA354">
        <v>0</v>
      </c>
      <c r="BB354">
        <v>142</v>
      </c>
      <c r="BC354">
        <v>0</v>
      </c>
      <c r="BD354">
        <v>0</v>
      </c>
      <c r="BE354">
        <v>127</v>
      </c>
      <c r="BF354">
        <v>0</v>
      </c>
      <c r="BG354">
        <v>5</v>
      </c>
      <c r="BH354">
        <v>3186</v>
      </c>
    </row>
    <row r="355" spans="1:60" x14ac:dyDescent="0.25">
      <c r="A355" s="7" t="s">
        <v>73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</v>
      </c>
      <c r="BH355">
        <v>7</v>
      </c>
    </row>
    <row r="356" spans="1:60" x14ac:dyDescent="0.25">
      <c r="A356" s="7" t="s">
        <v>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8</v>
      </c>
    </row>
    <row r="357" spans="1:60" x14ac:dyDescent="0.25">
      <c r="A357" s="7" t="s">
        <v>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17</v>
      </c>
      <c r="N357">
        <v>16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72</v>
      </c>
      <c r="AF357">
        <v>24</v>
      </c>
      <c r="AG357">
        <v>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38</v>
      </c>
      <c r="BH357">
        <v>196</v>
      </c>
    </row>
    <row r="358" spans="1:60" x14ac:dyDescent="0.25">
      <c r="A358" s="7" t="s">
        <v>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46</v>
      </c>
      <c r="N358">
        <v>30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150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51</v>
      </c>
      <c r="AF358">
        <v>58</v>
      </c>
      <c r="AG358">
        <v>14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91</v>
      </c>
      <c r="AV358">
        <v>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51</v>
      </c>
      <c r="BH358">
        <v>499</v>
      </c>
    </row>
    <row r="359" spans="1:60" x14ac:dyDescent="0.25">
      <c r="A359" s="7" t="s">
        <v>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</v>
      </c>
      <c r="BH359">
        <v>7</v>
      </c>
    </row>
    <row r="360" spans="1:60" x14ac:dyDescent="0.25">
      <c r="A360" s="7" t="s">
        <v>75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8</v>
      </c>
    </row>
    <row r="361" spans="1:60" x14ac:dyDescent="0.25">
      <c r="A361" s="7" t="s">
        <v>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3</v>
      </c>
      <c r="AW361">
        <v>0</v>
      </c>
      <c r="AX361">
        <v>13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069D-7D11-468B-913E-974C3E4E280D}">
  <sheetPr filterMode="1"/>
  <dimension ref="A1:Z5610"/>
  <sheetViews>
    <sheetView tabSelected="1" zoomScale="73" zoomScaleNormal="73" workbookViewId="0">
      <pane ySplit="1" topLeftCell="A2" activePane="bottomLeft" state="frozen"/>
      <selection pane="bottomLeft" activeCell="H5617" sqref="H5617"/>
    </sheetView>
  </sheetViews>
  <sheetFormatPr baseColWidth="10" defaultRowHeight="15" x14ac:dyDescent="0.25"/>
  <cols>
    <col min="1" max="1" width="21.42578125" bestFit="1" customWidth="1"/>
    <col min="3" max="3" width="19.140625" bestFit="1" customWidth="1"/>
    <col min="8" max="8" width="19.5703125" bestFit="1" customWidth="1"/>
    <col min="9" max="9" width="11.42578125" style="28"/>
    <col min="15" max="15" width="19.140625" customWidth="1"/>
  </cols>
  <sheetData>
    <row r="1" spans="1: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hidden="1" x14ac:dyDescent="0.25">
      <c r="A2" s="1" t="s">
        <v>25</v>
      </c>
      <c r="B2" s="1" t="s">
        <v>96</v>
      </c>
      <c r="C2" s="1" t="s">
        <v>26</v>
      </c>
      <c r="D2" t="s">
        <v>27</v>
      </c>
      <c r="E2" s="2">
        <v>45799</v>
      </c>
      <c r="F2" s="2">
        <v>45799</v>
      </c>
      <c r="G2" s="3">
        <v>40</v>
      </c>
      <c r="H2" s="4" t="s">
        <v>28</v>
      </c>
      <c r="I2">
        <v>18</v>
      </c>
      <c r="J2">
        <v>0</v>
      </c>
      <c r="K2">
        <v>0</v>
      </c>
      <c r="L2" s="3">
        <v>0</v>
      </c>
      <c r="M2" s="3">
        <v>0</v>
      </c>
      <c r="N2">
        <v>1</v>
      </c>
      <c r="O2">
        <v>0</v>
      </c>
      <c r="P2">
        <v>0</v>
      </c>
      <c r="Q2">
        <v>0</v>
      </c>
      <c r="R2" s="3">
        <v>0</v>
      </c>
      <c r="S2" s="3">
        <v>0</v>
      </c>
      <c r="T2">
        <v>0</v>
      </c>
      <c r="U2">
        <v>0</v>
      </c>
      <c r="V2" s="3">
        <v>0</v>
      </c>
      <c r="W2" s="3">
        <v>0</v>
      </c>
      <c r="X2">
        <v>0</v>
      </c>
      <c r="Y2" t="s">
        <v>97</v>
      </c>
    </row>
    <row r="3" spans="1:25" hidden="1" x14ac:dyDescent="0.25">
      <c r="A3" s="1" t="s">
        <v>56</v>
      </c>
      <c r="B3" s="1" t="s">
        <v>98</v>
      </c>
      <c r="C3" s="1" t="s">
        <v>37</v>
      </c>
      <c r="D3" t="s">
        <v>27</v>
      </c>
      <c r="E3" s="2">
        <v>45799</v>
      </c>
      <c r="F3" s="2">
        <v>45799</v>
      </c>
      <c r="G3" s="3">
        <v>44</v>
      </c>
      <c r="H3" s="4" t="s">
        <v>28</v>
      </c>
      <c r="I3">
        <v>64</v>
      </c>
      <c r="J3">
        <v>0</v>
      </c>
      <c r="K3">
        <v>0</v>
      </c>
      <c r="L3" s="3">
        <v>1</v>
      </c>
      <c r="M3" s="3">
        <v>0</v>
      </c>
      <c r="N3">
        <v>0</v>
      </c>
      <c r="O3">
        <v>0</v>
      </c>
      <c r="P3">
        <v>0</v>
      </c>
      <c r="Q3">
        <v>0</v>
      </c>
      <c r="R3" s="3">
        <v>0</v>
      </c>
      <c r="S3" s="3">
        <v>0</v>
      </c>
      <c r="T3">
        <v>0</v>
      </c>
      <c r="U3">
        <v>0</v>
      </c>
      <c r="V3" s="3">
        <v>0</v>
      </c>
      <c r="W3" s="3">
        <v>0</v>
      </c>
      <c r="X3">
        <v>0</v>
      </c>
      <c r="Y3" t="s">
        <v>99</v>
      </c>
    </row>
    <row r="4" spans="1:25" hidden="1" x14ac:dyDescent="0.25">
      <c r="A4" s="1" t="s">
        <v>29</v>
      </c>
      <c r="B4" s="1" t="s">
        <v>100</v>
      </c>
      <c r="C4" s="1" t="s">
        <v>95</v>
      </c>
      <c r="D4" t="s">
        <v>27</v>
      </c>
      <c r="E4" s="2">
        <v>45799</v>
      </c>
      <c r="F4" s="2">
        <v>45799</v>
      </c>
      <c r="G4" s="3">
        <v>38</v>
      </c>
      <c r="H4" s="4" t="s">
        <v>28</v>
      </c>
      <c r="I4">
        <v>36</v>
      </c>
      <c r="J4">
        <v>0</v>
      </c>
      <c r="K4">
        <v>0</v>
      </c>
      <c r="L4" s="3">
        <v>0</v>
      </c>
      <c r="M4" s="3">
        <v>0</v>
      </c>
      <c r="N4">
        <v>0</v>
      </c>
      <c r="O4">
        <v>0</v>
      </c>
      <c r="P4">
        <v>0</v>
      </c>
      <c r="Q4">
        <v>0</v>
      </c>
      <c r="R4" s="3">
        <v>0</v>
      </c>
      <c r="S4" s="3">
        <v>0</v>
      </c>
      <c r="T4">
        <v>0</v>
      </c>
      <c r="U4">
        <v>0</v>
      </c>
      <c r="V4" s="3">
        <v>0</v>
      </c>
      <c r="W4" s="3">
        <v>0</v>
      </c>
      <c r="X4">
        <v>0</v>
      </c>
      <c r="Y4" t="s">
        <v>101</v>
      </c>
    </row>
    <row r="5" spans="1:25" hidden="1" x14ac:dyDescent="0.25">
      <c r="A5" s="1" t="s">
        <v>344</v>
      </c>
      <c r="B5" s="1" t="s">
        <v>102</v>
      </c>
      <c r="C5" s="1" t="s">
        <v>35</v>
      </c>
      <c r="D5" t="s">
        <v>27</v>
      </c>
      <c r="E5" s="2">
        <v>45799</v>
      </c>
      <c r="F5" s="2">
        <v>45799</v>
      </c>
      <c r="G5" s="3">
        <v>25</v>
      </c>
      <c r="H5" s="4" t="s">
        <v>28</v>
      </c>
      <c r="I5">
        <v>37</v>
      </c>
      <c r="J5">
        <v>0</v>
      </c>
      <c r="K5">
        <v>0</v>
      </c>
      <c r="L5" s="3">
        <v>0</v>
      </c>
      <c r="M5" s="3">
        <v>0</v>
      </c>
      <c r="N5">
        <v>0</v>
      </c>
      <c r="O5">
        <v>0</v>
      </c>
      <c r="P5">
        <v>0</v>
      </c>
      <c r="Q5">
        <v>0</v>
      </c>
      <c r="R5" s="3">
        <v>0</v>
      </c>
      <c r="S5" s="3">
        <v>0</v>
      </c>
      <c r="T5">
        <v>0</v>
      </c>
      <c r="U5">
        <v>0</v>
      </c>
      <c r="V5" s="3">
        <v>0</v>
      </c>
      <c r="W5" s="3">
        <v>0</v>
      </c>
      <c r="X5">
        <v>0</v>
      </c>
      <c r="Y5" t="s">
        <v>103</v>
      </c>
    </row>
    <row r="6" spans="1:25" hidden="1" x14ac:dyDescent="0.25">
      <c r="A6" s="1" t="s">
        <v>31</v>
      </c>
      <c r="B6" s="1" t="s">
        <v>104</v>
      </c>
      <c r="C6" s="1" t="s">
        <v>32</v>
      </c>
      <c r="D6" t="s">
        <v>27</v>
      </c>
      <c r="E6" s="2">
        <v>45799</v>
      </c>
      <c r="F6" s="2">
        <v>45799</v>
      </c>
      <c r="G6" s="3">
        <v>42</v>
      </c>
      <c r="H6" s="4" t="s">
        <v>28</v>
      </c>
      <c r="I6">
        <v>76</v>
      </c>
      <c r="J6">
        <v>0</v>
      </c>
      <c r="K6">
        <v>0</v>
      </c>
      <c r="L6" s="3">
        <v>0</v>
      </c>
      <c r="M6" s="3">
        <v>0</v>
      </c>
      <c r="N6">
        <v>0</v>
      </c>
      <c r="O6">
        <v>0</v>
      </c>
      <c r="P6">
        <v>0</v>
      </c>
      <c r="Q6">
        <v>50</v>
      </c>
      <c r="R6" s="3">
        <v>0</v>
      </c>
      <c r="S6" s="3">
        <v>0</v>
      </c>
      <c r="T6">
        <v>0</v>
      </c>
      <c r="U6">
        <v>0</v>
      </c>
      <c r="V6" s="3">
        <v>0</v>
      </c>
      <c r="W6" s="3">
        <v>0</v>
      </c>
      <c r="X6">
        <v>1</v>
      </c>
      <c r="Y6" t="s">
        <v>105</v>
      </c>
    </row>
    <row r="7" spans="1:25" hidden="1" x14ac:dyDescent="0.25">
      <c r="A7" s="1" t="s">
        <v>33</v>
      </c>
      <c r="B7" s="1" t="s">
        <v>106</v>
      </c>
      <c r="C7" s="1" t="s">
        <v>57</v>
      </c>
      <c r="D7" t="s">
        <v>27</v>
      </c>
      <c r="E7" s="2">
        <v>45799</v>
      </c>
      <c r="F7" s="2">
        <v>45799</v>
      </c>
      <c r="G7" s="3">
        <v>29</v>
      </c>
      <c r="H7" s="4" t="s">
        <v>28</v>
      </c>
      <c r="I7">
        <v>39</v>
      </c>
      <c r="J7">
        <v>0</v>
      </c>
      <c r="K7">
        <v>0</v>
      </c>
      <c r="L7" s="3">
        <v>0</v>
      </c>
      <c r="M7" s="3">
        <v>0</v>
      </c>
      <c r="N7">
        <v>0</v>
      </c>
      <c r="O7">
        <v>0</v>
      </c>
      <c r="P7">
        <v>0</v>
      </c>
      <c r="Q7">
        <v>0</v>
      </c>
      <c r="R7" s="3">
        <v>0</v>
      </c>
      <c r="S7" s="3">
        <v>0</v>
      </c>
      <c r="T7">
        <v>0</v>
      </c>
      <c r="U7">
        <v>0</v>
      </c>
      <c r="V7" s="3">
        <v>0</v>
      </c>
      <c r="W7" s="3">
        <v>0</v>
      </c>
      <c r="X7">
        <v>0</v>
      </c>
      <c r="Y7" t="s">
        <v>107</v>
      </c>
    </row>
    <row r="8" spans="1:25" hidden="1" x14ac:dyDescent="0.25">
      <c r="A8" s="1" t="s">
        <v>38</v>
      </c>
      <c r="B8" s="1" t="s">
        <v>108</v>
      </c>
      <c r="C8" s="1" t="s">
        <v>39</v>
      </c>
      <c r="D8" t="s">
        <v>27</v>
      </c>
      <c r="E8" s="2">
        <v>45799</v>
      </c>
      <c r="F8" s="2">
        <v>45799</v>
      </c>
      <c r="G8" s="3">
        <v>36</v>
      </c>
      <c r="H8" s="4" t="s">
        <v>28</v>
      </c>
      <c r="I8">
        <v>32</v>
      </c>
      <c r="J8">
        <v>0</v>
      </c>
      <c r="K8">
        <v>0</v>
      </c>
      <c r="L8" s="3">
        <v>1</v>
      </c>
      <c r="M8" s="3">
        <v>0</v>
      </c>
      <c r="N8">
        <v>0</v>
      </c>
      <c r="O8">
        <v>0</v>
      </c>
      <c r="P8">
        <v>0</v>
      </c>
      <c r="Q8">
        <v>32</v>
      </c>
      <c r="R8" s="3">
        <v>0</v>
      </c>
      <c r="S8" s="3">
        <v>0</v>
      </c>
      <c r="T8">
        <v>0</v>
      </c>
      <c r="U8">
        <v>0</v>
      </c>
      <c r="V8" s="3">
        <v>0</v>
      </c>
      <c r="W8" s="3">
        <v>0</v>
      </c>
      <c r="X8">
        <v>0</v>
      </c>
      <c r="Y8" t="s">
        <v>109</v>
      </c>
    </row>
    <row r="9" spans="1:25" hidden="1" x14ac:dyDescent="0.25">
      <c r="A9" s="1" t="s">
        <v>40</v>
      </c>
      <c r="B9" s="1" t="s">
        <v>110</v>
      </c>
      <c r="C9" s="1" t="s">
        <v>36</v>
      </c>
      <c r="D9" t="s">
        <v>27</v>
      </c>
      <c r="E9" s="2">
        <v>45799</v>
      </c>
      <c r="F9" s="2">
        <v>45799</v>
      </c>
      <c r="G9" s="3">
        <v>72</v>
      </c>
      <c r="H9" s="4" t="s">
        <v>28</v>
      </c>
      <c r="I9">
        <v>42</v>
      </c>
      <c r="J9">
        <v>0</v>
      </c>
      <c r="K9">
        <v>0</v>
      </c>
      <c r="L9" s="3">
        <v>1</v>
      </c>
      <c r="M9" s="3">
        <v>0</v>
      </c>
      <c r="N9">
        <v>1</v>
      </c>
      <c r="O9">
        <v>0</v>
      </c>
      <c r="P9">
        <v>0</v>
      </c>
      <c r="Q9">
        <v>0</v>
      </c>
      <c r="R9" s="3">
        <v>0</v>
      </c>
      <c r="S9" s="3">
        <v>0</v>
      </c>
      <c r="T9">
        <v>0</v>
      </c>
      <c r="U9">
        <v>0</v>
      </c>
      <c r="V9" s="3">
        <v>0</v>
      </c>
      <c r="W9" s="3">
        <v>0</v>
      </c>
      <c r="X9">
        <v>0</v>
      </c>
      <c r="Y9" t="s">
        <v>111</v>
      </c>
    </row>
    <row r="10" spans="1:25" hidden="1" x14ac:dyDescent="0.25">
      <c r="A10" s="1" t="s">
        <v>41</v>
      </c>
      <c r="B10" s="1" t="s">
        <v>112</v>
      </c>
      <c r="C10" s="1" t="s">
        <v>42</v>
      </c>
      <c r="D10" t="s">
        <v>27</v>
      </c>
      <c r="E10" s="2">
        <v>45799</v>
      </c>
      <c r="F10" s="2">
        <v>45799</v>
      </c>
      <c r="G10" s="3">
        <v>74</v>
      </c>
      <c r="H10" s="4" t="s">
        <v>28</v>
      </c>
      <c r="I10">
        <v>36</v>
      </c>
      <c r="J10">
        <v>0</v>
      </c>
      <c r="K10">
        <v>0</v>
      </c>
      <c r="L10" s="3">
        <v>1</v>
      </c>
      <c r="M10" s="3">
        <v>0</v>
      </c>
      <c r="N10">
        <v>0</v>
      </c>
      <c r="O10">
        <v>0</v>
      </c>
      <c r="P10">
        <v>0</v>
      </c>
      <c r="Q10">
        <v>0</v>
      </c>
      <c r="R10" s="3">
        <v>0</v>
      </c>
      <c r="S10" s="3">
        <v>0</v>
      </c>
      <c r="T10">
        <v>0</v>
      </c>
      <c r="U10">
        <v>0</v>
      </c>
      <c r="V10" s="3">
        <v>0</v>
      </c>
      <c r="W10" s="3">
        <v>0</v>
      </c>
      <c r="X10">
        <v>0</v>
      </c>
      <c r="Y10" t="s">
        <v>113</v>
      </c>
    </row>
    <row r="11" spans="1:25" hidden="1" x14ac:dyDescent="0.25">
      <c r="A11" s="1" t="s">
        <v>43</v>
      </c>
      <c r="B11" s="1" t="s">
        <v>114</v>
      </c>
      <c r="C11" s="1" t="s">
        <v>44</v>
      </c>
      <c r="D11" t="s">
        <v>27</v>
      </c>
      <c r="E11" s="2">
        <v>45799</v>
      </c>
      <c r="F11" s="2">
        <v>45799</v>
      </c>
      <c r="G11" s="3">
        <v>22</v>
      </c>
      <c r="H11" s="4" t="s">
        <v>28</v>
      </c>
      <c r="I11">
        <v>56</v>
      </c>
      <c r="J11">
        <v>0</v>
      </c>
      <c r="K11">
        <v>0</v>
      </c>
      <c r="L11" s="3">
        <v>1</v>
      </c>
      <c r="M11" s="3">
        <v>0</v>
      </c>
      <c r="N11">
        <v>0</v>
      </c>
      <c r="O11">
        <v>0</v>
      </c>
      <c r="P11">
        <v>0</v>
      </c>
      <c r="Q11">
        <v>0</v>
      </c>
      <c r="R11" s="3">
        <v>0</v>
      </c>
      <c r="S11" s="3">
        <v>0</v>
      </c>
      <c r="T11">
        <v>0</v>
      </c>
      <c r="U11">
        <v>8</v>
      </c>
      <c r="V11" s="3">
        <v>0</v>
      </c>
      <c r="W11" s="3">
        <v>0</v>
      </c>
      <c r="X11">
        <v>0</v>
      </c>
      <c r="Y11" t="s">
        <v>115</v>
      </c>
    </row>
    <row r="12" spans="1:25" hidden="1" x14ac:dyDescent="0.25">
      <c r="A12" s="1" t="s">
        <v>45</v>
      </c>
      <c r="B12" s="1" t="s">
        <v>116</v>
      </c>
      <c r="C12" s="1" t="s">
        <v>46</v>
      </c>
      <c r="D12" t="s">
        <v>27</v>
      </c>
      <c r="E12" s="2">
        <v>45799</v>
      </c>
      <c r="F12" s="2">
        <v>45799</v>
      </c>
      <c r="G12" s="3">
        <v>51</v>
      </c>
      <c r="H12" s="4" t="s">
        <v>28</v>
      </c>
      <c r="I12">
        <v>50</v>
      </c>
      <c r="J12">
        <v>0</v>
      </c>
      <c r="K12">
        <v>0</v>
      </c>
      <c r="L12" s="3">
        <v>0</v>
      </c>
      <c r="M12" s="3">
        <v>0</v>
      </c>
      <c r="N12">
        <v>0</v>
      </c>
      <c r="O12">
        <v>0</v>
      </c>
      <c r="P12">
        <v>0</v>
      </c>
      <c r="Q12">
        <v>0</v>
      </c>
      <c r="R12" s="3">
        <v>0</v>
      </c>
      <c r="S12" s="3">
        <v>0</v>
      </c>
      <c r="T12">
        <v>0</v>
      </c>
      <c r="U12">
        <v>0</v>
      </c>
      <c r="V12" s="3">
        <v>0</v>
      </c>
      <c r="W12" s="3">
        <v>0</v>
      </c>
      <c r="X12">
        <v>0</v>
      </c>
      <c r="Y12" t="s">
        <v>117</v>
      </c>
    </row>
    <row r="13" spans="1:25" hidden="1" x14ac:dyDescent="0.25">
      <c r="A13" s="1" t="s">
        <v>47</v>
      </c>
      <c r="B13" s="1" t="s">
        <v>104</v>
      </c>
      <c r="C13" s="1" t="s">
        <v>30</v>
      </c>
      <c r="D13" t="s">
        <v>27</v>
      </c>
      <c r="E13" s="2">
        <v>45799</v>
      </c>
      <c r="F13" s="2">
        <v>45799</v>
      </c>
      <c r="G13" s="3">
        <v>51</v>
      </c>
      <c r="H13" s="4" t="s">
        <v>28</v>
      </c>
      <c r="I13">
        <v>39</v>
      </c>
      <c r="J13">
        <v>0</v>
      </c>
      <c r="K13">
        <v>0</v>
      </c>
      <c r="L13" s="3">
        <v>0</v>
      </c>
      <c r="M13" s="3">
        <v>0</v>
      </c>
      <c r="N13">
        <v>0</v>
      </c>
      <c r="O13">
        <v>0</v>
      </c>
      <c r="P13">
        <v>0</v>
      </c>
      <c r="Q13">
        <v>0</v>
      </c>
      <c r="R13" s="3">
        <v>0</v>
      </c>
      <c r="S13" s="3">
        <v>0</v>
      </c>
      <c r="T13">
        <v>0</v>
      </c>
      <c r="U13">
        <v>0</v>
      </c>
      <c r="V13" s="3">
        <v>0</v>
      </c>
      <c r="W13" s="3">
        <v>0</v>
      </c>
      <c r="X13" s="3">
        <v>0</v>
      </c>
      <c r="Y13" t="s">
        <v>117</v>
      </c>
    </row>
    <row r="14" spans="1:25" hidden="1" x14ac:dyDescent="0.25">
      <c r="A14" s="1" t="s">
        <v>49</v>
      </c>
      <c r="B14" s="1" t="s">
        <v>118</v>
      </c>
      <c r="C14" s="1" t="s">
        <v>50</v>
      </c>
      <c r="D14" t="s">
        <v>27</v>
      </c>
      <c r="E14" s="2">
        <v>45799</v>
      </c>
      <c r="F14" s="2">
        <v>45799</v>
      </c>
      <c r="G14" s="3">
        <v>26</v>
      </c>
      <c r="H14" s="4" t="s">
        <v>28</v>
      </c>
      <c r="I14">
        <v>30</v>
      </c>
      <c r="J14">
        <v>0</v>
      </c>
      <c r="K14">
        <v>0</v>
      </c>
      <c r="L14" s="3">
        <v>1</v>
      </c>
      <c r="M14" s="3">
        <v>1</v>
      </c>
      <c r="N14">
        <v>0</v>
      </c>
      <c r="O14">
        <v>1</v>
      </c>
      <c r="P14">
        <v>0</v>
      </c>
      <c r="Q14">
        <v>30</v>
      </c>
      <c r="R14" s="3">
        <v>0</v>
      </c>
      <c r="S14" s="3">
        <v>0</v>
      </c>
      <c r="T14">
        <v>0</v>
      </c>
      <c r="U14">
        <v>0</v>
      </c>
      <c r="V14" s="3">
        <v>0</v>
      </c>
      <c r="W14" s="3">
        <v>0</v>
      </c>
      <c r="X14">
        <v>0</v>
      </c>
      <c r="Y14" t="s">
        <v>119</v>
      </c>
    </row>
    <row r="15" spans="1:25" hidden="1" x14ac:dyDescent="0.25">
      <c r="A15" s="1" t="s">
        <v>51</v>
      </c>
      <c r="B15" s="1" t="s">
        <v>120</v>
      </c>
      <c r="C15" s="1" t="s">
        <v>55</v>
      </c>
      <c r="D15" t="s">
        <v>27</v>
      </c>
      <c r="E15" s="2">
        <v>45799</v>
      </c>
      <c r="F15" s="2">
        <v>45799</v>
      </c>
      <c r="G15" s="3">
        <v>44</v>
      </c>
      <c r="H15" s="4" t="s">
        <v>28</v>
      </c>
      <c r="I15">
        <v>28</v>
      </c>
      <c r="J15">
        <v>0</v>
      </c>
      <c r="K15">
        <v>0</v>
      </c>
      <c r="L15" s="3">
        <v>0</v>
      </c>
      <c r="M15" s="3">
        <v>0</v>
      </c>
      <c r="N15">
        <v>1</v>
      </c>
      <c r="O15">
        <v>0</v>
      </c>
      <c r="P15">
        <v>0</v>
      </c>
      <c r="Q15">
        <v>0</v>
      </c>
      <c r="R15" s="3">
        <v>0</v>
      </c>
      <c r="S15" s="3">
        <v>0</v>
      </c>
      <c r="T15">
        <v>0</v>
      </c>
      <c r="U15">
        <v>0</v>
      </c>
      <c r="V15" s="3">
        <v>0</v>
      </c>
      <c r="W15" s="3">
        <v>0</v>
      </c>
      <c r="X15">
        <v>0</v>
      </c>
      <c r="Y15" t="s">
        <v>121</v>
      </c>
    </row>
    <row r="16" spans="1:25" hidden="1" x14ac:dyDescent="0.25">
      <c r="A16" s="1" t="s">
        <v>54</v>
      </c>
      <c r="B16" s="1" t="s">
        <v>122</v>
      </c>
      <c r="C16" s="1" t="s">
        <v>52</v>
      </c>
      <c r="D16" t="s">
        <v>27</v>
      </c>
      <c r="E16" s="2">
        <v>45799</v>
      </c>
      <c r="F16" s="2">
        <v>45799</v>
      </c>
      <c r="G16" s="3">
        <v>44</v>
      </c>
      <c r="H16" s="4" t="s">
        <v>28</v>
      </c>
      <c r="I16">
        <v>15</v>
      </c>
      <c r="J16">
        <v>0</v>
      </c>
      <c r="K16">
        <v>0</v>
      </c>
      <c r="L16" s="3">
        <v>0</v>
      </c>
      <c r="M16" s="3">
        <v>0</v>
      </c>
      <c r="N16">
        <v>0</v>
      </c>
      <c r="O16">
        <v>0</v>
      </c>
      <c r="P16">
        <v>0</v>
      </c>
      <c r="Q16">
        <v>0</v>
      </c>
      <c r="R16" s="3">
        <v>0</v>
      </c>
      <c r="S16" s="3">
        <v>0</v>
      </c>
      <c r="T16">
        <v>0</v>
      </c>
      <c r="U16">
        <v>0</v>
      </c>
      <c r="V16" s="3">
        <v>0</v>
      </c>
      <c r="W16" s="3">
        <v>0</v>
      </c>
      <c r="X16">
        <v>0</v>
      </c>
      <c r="Y16" t="s">
        <v>121</v>
      </c>
    </row>
    <row r="17" spans="1:25" hidden="1" x14ac:dyDescent="0.25">
      <c r="A17" s="1" t="s">
        <v>58</v>
      </c>
      <c r="B17" s="1" t="s">
        <v>123</v>
      </c>
      <c r="C17" s="1" t="s">
        <v>94</v>
      </c>
      <c r="D17" t="s">
        <v>27</v>
      </c>
      <c r="E17" s="2">
        <v>45799</v>
      </c>
      <c r="F17" s="2">
        <v>45799</v>
      </c>
      <c r="G17" s="3">
        <v>44</v>
      </c>
      <c r="H17" s="4" t="s">
        <v>782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121</v>
      </c>
    </row>
    <row r="18" spans="1:25" hidden="1" x14ac:dyDescent="0.25">
      <c r="A18" s="1" t="s">
        <v>94</v>
      </c>
      <c r="B18" s="1" t="s">
        <v>98</v>
      </c>
      <c r="C18" s="1" t="s">
        <v>354</v>
      </c>
      <c r="D18" t="s">
        <v>27</v>
      </c>
      <c r="E18" s="2">
        <v>45799</v>
      </c>
      <c r="F18" s="2">
        <v>45799</v>
      </c>
      <c r="G18" s="3">
        <v>44</v>
      </c>
      <c r="H18" s="4" t="s">
        <v>959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11" t="s">
        <v>124</v>
      </c>
    </row>
    <row r="19" spans="1:25" hidden="1" x14ac:dyDescent="0.25">
      <c r="A19" s="1" t="s">
        <v>48</v>
      </c>
      <c r="B19" s="1" t="s">
        <v>125</v>
      </c>
      <c r="C19" s="1" t="s">
        <v>94</v>
      </c>
      <c r="D19" t="s">
        <v>27</v>
      </c>
      <c r="E19" s="2">
        <v>45799</v>
      </c>
      <c r="F19" s="2">
        <v>45799</v>
      </c>
      <c r="G19" s="3">
        <v>44</v>
      </c>
      <c r="H19" s="4" t="s">
        <v>250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121</v>
      </c>
    </row>
    <row r="20" spans="1:25" hidden="1" x14ac:dyDescent="0.25">
      <c r="A20" s="1" t="s">
        <v>25</v>
      </c>
      <c r="B20" s="1" t="s">
        <v>96</v>
      </c>
      <c r="C20" s="1" t="s">
        <v>26</v>
      </c>
      <c r="D20" s="1" t="s">
        <v>27</v>
      </c>
      <c r="E20" s="10">
        <v>45800</v>
      </c>
      <c r="F20" s="2">
        <v>45800</v>
      </c>
      <c r="G20" s="3">
        <v>38</v>
      </c>
      <c r="H20" s="4" t="s">
        <v>28</v>
      </c>
      <c r="I20">
        <v>46</v>
      </c>
      <c r="J20">
        <v>0</v>
      </c>
      <c r="K20">
        <v>0</v>
      </c>
      <c r="L20" s="3">
        <v>0</v>
      </c>
      <c r="M20" s="3">
        <v>0</v>
      </c>
      <c r="N20">
        <v>1</v>
      </c>
      <c r="O20">
        <v>0</v>
      </c>
      <c r="P20">
        <v>0</v>
      </c>
      <c r="Q20">
        <v>0</v>
      </c>
      <c r="R20" s="3">
        <v>0</v>
      </c>
      <c r="S20" s="3">
        <v>0</v>
      </c>
      <c r="T20">
        <v>0</v>
      </c>
      <c r="U20">
        <v>0</v>
      </c>
      <c r="V20" s="3">
        <v>0</v>
      </c>
      <c r="W20" s="3">
        <v>0</v>
      </c>
      <c r="X20">
        <v>0</v>
      </c>
      <c r="Y20" t="s">
        <v>126</v>
      </c>
    </row>
    <row r="21" spans="1:25" hidden="1" x14ac:dyDescent="0.25">
      <c r="A21" s="1" t="s">
        <v>56</v>
      </c>
      <c r="B21" s="1" t="s">
        <v>98</v>
      </c>
      <c r="C21" s="1" t="s">
        <v>37</v>
      </c>
      <c r="D21" s="1" t="s">
        <v>27</v>
      </c>
      <c r="E21" s="10">
        <v>45800</v>
      </c>
      <c r="F21" s="2">
        <v>45800</v>
      </c>
      <c r="G21" s="3">
        <v>37</v>
      </c>
      <c r="H21" s="4" t="s">
        <v>28</v>
      </c>
      <c r="I21">
        <v>92</v>
      </c>
      <c r="J21">
        <v>0</v>
      </c>
      <c r="K21">
        <v>0</v>
      </c>
      <c r="L21" s="3">
        <v>1</v>
      </c>
      <c r="M21" s="3">
        <v>0</v>
      </c>
      <c r="N21">
        <v>0</v>
      </c>
      <c r="O21">
        <v>0</v>
      </c>
      <c r="P21">
        <v>0</v>
      </c>
      <c r="Q21">
        <v>0</v>
      </c>
      <c r="R21" s="3">
        <v>0</v>
      </c>
      <c r="S21" s="3">
        <v>0</v>
      </c>
      <c r="T21">
        <v>0</v>
      </c>
      <c r="U21">
        <v>0</v>
      </c>
      <c r="V21" s="3">
        <v>0</v>
      </c>
      <c r="W21" s="3">
        <v>0</v>
      </c>
      <c r="X21">
        <v>0</v>
      </c>
      <c r="Y21" t="s">
        <v>127</v>
      </c>
    </row>
    <row r="22" spans="1:25" hidden="1" x14ac:dyDescent="0.25">
      <c r="A22" s="1" t="s">
        <v>29</v>
      </c>
      <c r="B22" s="1" t="s">
        <v>100</v>
      </c>
      <c r="C22" s="1" t="s">
        <v>95</v>
      </c>
      <c r="D22" s="1" t="s">
        <v>27</v>
      </c>
      <c r="E22" s="10">
        <v>45800</v>
      </c>
      <c r="F22" s="2">
        <v>45800</v>
      </c>
      <c r="G22" s="3">
        <v>36</v>
      </c>
      <c r="H22" s="4" t="s">
        <v>28</v>
      </c>
      <c r="I22">
        <v>70</v>
      </c>
      <c r="J22">
        <v>0</v>
      </c>
      <c r="K22">
        <v>0</v>
      </c>
      <c r="L22" s="3">
        <v>1</v>
      </c>
      <c r="M22" s="3">
        <v>0</v>
      </c>
      <c r="N22">
        <v>0</v>
      </c>
      <c r="O22">
        <v>0</v>
      </c>
      <c r="P22">
        <v>0</v>
      </c>
      <c r="Q22">
        <v>0</v>
      </c>
      <c r="R22" s="3">
        <v>0</v>
      </c>
      <c r="S22" s="3">
        <v>0</v>
      </c>
      <c r="T22">
        <v>0</v>
      </c>
      <c r="U22">
        <v>0</v>
      </c>
      <c r="V22" s="3">
        <v>0</v>
      </c>
      <c r="W22" s="3">
        <v>0</v>
      </c>
      <c r="X22">
        <v>0</v>
      </c>
      <c r="Y22" t="s">
        <v>128</v>
      </c>
    </row>
    <row r="23" spans="1:25" hidden="1" x14ac:dyDescent="0.25">
      <c r="A23" s="1" t="s">
        <v>344</v>
      </c>
      <c r="B23" s="1" t="s">
        <v>102</v>
      </c>
      <c r="C23" s="1" t="s">
        <v>35</v>
      </c>
      <c r="D23" s="1" t="s">
        <v>27</v>
      </c>
      <c r="E23" s="10">
        <v>45800</v>
      </c>
      <c r="F23" s="2">
        <v>45800</v>
      </c>
      <c r="G23" s="3">
        <v>24</v>
      </c>
      <c r="H23" s="4" t="s">
        <v>28</v>
      </c>
      <c r="I23">
        <v>63</v>
      </c>
      <c r="J23">
        <v>0</v>
      </c>
      <c r="K23">
        <v>0</v>
      </c>
      <c r="L23" s="3">
        <v>0</v>
      </c>
      <c r="M23" s="3">
        <v>0</v>
      </c>
      <c r="N23">
        <v>0</v>
      </c>
      <c r="O23">
        <v>0</v>
      </c>
      <c r="P23">
        <v>0</v>
      </c>
      <c r="Q23">
        <v>0</v>
      </c>
      <c r="R23" s="3">
        <v>0</v>
      </c>
      <c r="S23" s="3">
        <v>0</v>
      </c>
      <c r="T23">
        <v>0</v>
      </c>
      <c r="U23">
        <v>0</v>
      </c>
      <c r="V23" s="3">
        <v>0</v>
      </c>
      <c r="W23" s="3">
        <v>0</v>
      </c>
      <c r="X23">
        <v>0</v>
      </c>
      <c r="Y23" t="s">
        <v>129</v>
      </c>
    </row>
    <row r="24" spans="1:25" hidden="1" x14ac:dyDescent="0.25">
      <c r="A24" s="1" t="s">
        <v>31</v>
      </c>
      <c r="B24" s="1" t="s">
        <v>104</v>
      </c>
      <c r="C24" s="1" t="s">
        <v>32</v>
      </c>
      <c r="D24" s="1" t="s">
        <v>27</v>
      </c>
      <c r="E24" s="10">
        <v>45800</v>
      </c>
      <c r="F24" s="2">
        <v>45800</v>
      </c>
      <c r="G24" s="3">
        <v>90</v>
      </c>
      <c r="H24" s="4" t="s">
        <v>28</v>
      </c>
      <c r="I24">
        <v>90</v>
      </c>
      <c r="J24">
        <v>0</v>
      </c>
      <c r="K24">
        <v>0</v>
      </c>
      <c r="L24" s="3">
        <v>0</v>
      </c>
      <c r="M24" s="3">
        <v>0</v>
      </c>
      <c r="N24">
        <v>0</v>
      </c>
      <c r="O24">
        <v>0</v>
      </c>
      <c r="P24">
        <v>0</v>
      </c>
      <c r="Q24">
        <v>50</v>
      </c>
      <c r="R24" s="3">
        <v>0</v>
      </c>
      <c r="S24" s="3">
        <v>0</v>
      </c>
      <c r="T24">
        <v>0</v>
      </c>
      <c r="U24">
        <v>0</v>
      </c>
      <c r="V24" s="3">
        <v>0</v>
      </c>
      <c r="W24" s="3">
        <v>0</v>
      </c>
      <c r="X24">
        <v>1</v>
      </c>
      <c r="Y24" t="s">
        <v>130</v>
      </c>
    </row>
    <row r="25" spans="1:25" hidden="1" x14ac:dyDescent="0.25">
      <c r="A25" s="1" t="s">
        <v>33</v>
      </c>
      <c r="B25" s="1" t="s">
        <v>106</v>
      </c>
      <c r="C25" s="1" t="s">
        <v>57</v>
      </c>
      <c r="D25" s="1" t="s">
        <v>27</v>
      </c>
      <c r="E25" s="10">
        <v>45800</v>
      </c>
      <c r="F25" s="2">
        <v>45800</v>
      </c>
      <c r="G25" s="3">
        <v>28</v>
      </c>
      <c r="H25" s="4" t="s">
        <v>28</v>
      </c>
      <c r="I25">
        <v>45</v>
      </c>
      <c r="J25">
        <v>0</v>
      </c>
      <c r="K25">
        <v>0</v>
      </c>
      <c r="L25" s="3">
        <v>0</v>
      </c>
      <c r="M25" s="3">
        <v>0</v>
      </c>
      <c r="N25">
        <v>0</v>
      </c>
      <c r="O25">
        <v>0</v>
      </c>
      <c r="P25">
        <v>0</v>
      </c>
      <c r="Q25">
        <v>0</v>
      </c>
      <c r="R25" s="3">
        <v>0</v>
      </c>
      <c r="S25" s="3">
        <v>0</v>
      </c>
      <c r="T25">
        <v>0</v>
      </c>
      <c r="U25">
        <v>0</v>
      </c>
      <c r="V25" s="3">
        <v>0</v>
      </c>
      <c r="W25" s="3">
        <v>0</v>
      </c>
      <c r="X25">
        <v>0</v>
      </c>
      <c r="Y25" t="s">
        <v>131</v>
      </c>
    </row>
    <row r="26" spans="1:25" hidden="1" x14ac:dyDescent="0.25">
      <c r="A26" s="1" t="s">
        <v>38</v>
      </c>
      <c r="B26" s="1" t="s">
        <v>108</v>
      </c>
      <c r="C26" s="1" t="s">
        <v>39</v>
      </c>
      <c r="D26" s="1" t="s">
        <v>27</v>
      </c>
      <c r="E26" s="10">
        <v>45800</v>
      </c>
      <c r="F26" s="2">
        <v>45800</v>
      </c>
      <c r="G26" s="3">
        <v>38</v>
      </c>
      <c r="H26" s="4" t="s">
        <v>28</v>
      </c>
      <c r="I26">
        <v>31</v>
      </c>
      <c r="J26">
        <v>0</v>
      </c>
      <c r="K26">
        <v>0</v>
      </c>
      <c r="L26" s="3">
        <v>1</v>
      </c>
      <c r="M26" s="3">
        <v>0</v>
      </c>
      <c r="N26">
        <v>0</v>
      </c>
      <c r="O26">
        <v>0</v>
      </c>
      <c r="P26">
        <v>0</v>
      </c>
      <c r="Q26">
        <v>31</v>
      </c>
      <c r="R26" s="3">
        <v>0</v>
      </c>
      <c r="S26" s="3">
        <v>0</v>
      </c>
      <c r="T26">
        <v>0</v>
      </c>
      <c r="U26">
        <v>0</v>
      </c>
      <c r="V26" s="3">
        <v>0</v>
      </c>
      <c r="W26" s="3">
        <v>0</v>
      </c>
      <c r="X26">
        <v>0</v>
      </c>
      <c r="Y26" t="s">
        <v>132</v>
      </c>
    </row>
    <row r="27" spans="1:25" hidden="1" x14ac:dyDescent="0.25">
      <c r="A27" s="1" t="s">
        <v>40</v>
      </c>
      <c r="B27" s="1" t="s">
        <v>110</v>
      </c>
      <c r="C27" s="1" t="s">
        <v>36</v>
      </c>
      <c r="D27" s="1" t="s">
        <v>27</v>
      </c>
      <c r="E27" s="10">
        <v>45800</v>
      </c>
      <c r="F27" s="2">
        <v>45800</v>
      </c>
      <c r="G27" s="3">
        <v>36</v>
      </c>
      <c r="H27" s="4" t="s">
        <v>28</v>
      </c>
      <c r="I27">
        <v>9</v>
      </c>
      <c r="J27">
        <v>0</v>
      </c>
      <c r="K27">
        <v>0</v>
      </c>
      <c r="L27" s="3">
        <v>1</v>
      </c>
      <c r="M27" s="3">
        <v>0</v>
      </c>
      <c r="N27">
        <v>1</v>
      </c>
      <c r="O27">
        <v>0</v>
      </c>
      <c r="P27">
        <v>0</v>
      </c>
      <c r="Q27">
        <v>0</v>
      </c>
      <c r="R27" s="3">
        <v>0</v>
      </c>
      <c r="S27" s="3">
        <v>0</v>
      </c>
      <c r="T27">
        <v>0</v>
      </c>
      <c r="U27">
        <v>0</v>
      </c>
      <c r="V27" s="3">
        <v>0</v>
      </c>
      <c r="W27" s="3">
        <v>0</v>
      </c>
      <c r="X27">
        <v>0</v>
      </c>
      <c r="Y27" t="s">
        <v>133</v>
      </c>
    </row>
    <row r="28" spans="1:25" hidden="1" x14ac:dyDescent="0.25">
      <c r="A28" s="1" t="s">
        <v>41</v>
      </c>
      <c r="B28" s="1" t="s">
        <v>112</v>
      </c>
      <c r="C28" s="1" t="s">
        <v>42</v>
      </c>
      <c r="D28" s="1" t="s">
        <v>27</v>
      </c>
      <c r="E28" s="10">
        <v>45800</v>
      </c>
      <c r="F28" s="2">
        <v>45800</v>
      </c>
      <c r="G28" s="3">
        <v>43</v>
      </c>
      <c r="H28" s="4" t="s">
        <v>28</v>
      </c>
      <c r="I28">
        <v>33</v>
      </c>
      <c r="J28">
        <v>0</v>
      </c>
      <c r="K28">
        <v>0</v>
      </c>
      <c r="L28" s="3">
        <v>1</v>
      </c>
      <c r="M28" s="3">
        <v>0</v>
      </c>
      <c r="N28">
        <v>0</v>
      </c>
      <c r="O28">
        <v>0</v>
      </c>
      <c r="P28">
        <v>0</v>
      </c>
      <c r="Q28">
        <v>0</v>
      </c>
      <c r="R28" s="3">
        <v>0</v>
      </c>
      <c r="S28" s="3">
        <v>0</v>
      </c>
      <c r="T28">
        <v>0</v>
      </c>
      <c r="U28">
        <v>0</v>
      </c>
      <c r="V28" s="3">
        <v>0</v>
      </c>
      <c r="W28" s="3">
        <v>0</v>
      </c>
      <c r="X28">
        <v>0</v>
      </c>
      <c r="Y28" t="s">
        <v>134</v>
      </c>
    </row>
    <row r="29" spans="1:25" hidden="1" x14ac:dyDescent="0.25">
      <c r="A29" s="1" t="s">
        <v>43</v>
      </c>
      <c r="B29" s="1" t="s">
        <v>114</v>
      </c>
      <c r="C29" s="1" t="s">
        <v>44</v>
      </c>
      <c r="D29" s="1" t="s">
        <v>27</v>
      </c>
      <c r="E29" s="10">
        <v>45800</v>
      </c>
      <c r="F29" s="2">
        <v>45800</v>
      </c>
      <c r="G29" s="3">
        <v>26</v>
      </c>
      <c r="H29" s="4" t="s">
        <v>28</v>
      </c>
      <c r="I29">
        <v>71</v>
      </c>
      <c r="J29">
        <v>0</v>
      </c>
      <c r="K29">
        <v>0</v>
      </c>
      <c r="L29" s="3">
        <v>1</v>
      </c>
      <c r="M29" s="3">
        <v>0</v>
      </c>
      <c r="N29">
        <v>0</v>
      </c>
      <c r="O29">
        <v>0</v>
      </c>
      <c r="P29">
        <v>0</v>
      </c>
      <c r="Q29">
        <v>0</v>
      </c>
      <c r="R29" s="3">
        <v>0</v>
      </c>
      <c r="S29" s="3">
        <v>0</v>
      </c>
      <c r="T29">
        <v>0</v>
      </c>
      <c r="U29">
        <v>0</v>
      </c>
      <c r="V29" s="3">
        <v>0</v>
      </c>
      <c r="W29" s="3">
        <v>0</v>
      </c>
      <c r="X29">
        <v>0</v>
      </c>
      <c r="Y29" t="s">
        <v>135</v>
      </c>
    </row>
    <row r="30" spans="1:25" hidden="1" x14ac:dyDescent="0.25">
      <c r="A30" s="1" t="s">
        <v>45</v>
      </c>
      <c r="B30" s="1" t="s">
        <v>116</v>
      </c>
      <c r="C30" s="1" t="s">
        <v>46</v>
      </c>
      <c r="D30" s="1" t="s">
        <v>27</v>
      </c>
      <c r="E30" s="10">
        <v>45800</v>
      </c>
      <c r="F30" s="2">
        <v>45800</v>
      </c>
      <c r="G30" s="3">
        <v>61</v>
      </c>
      <c r="H30" s="4" t="s">
        <v>28</v>
      </c>
      <c r="I30">
        <v>69</v>
      </c>
      <c r="J30">
        <v>0</v>
      </c>
      <c r="K30">
        <v>0</v>
      </c>
      <c r="L30" s="3">
        <v>1</v>
      </c>
      <c r="M30" s="3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 s="3">
        <v>0</v>
      </c>
      <c r="T30">
        <v>0</v>
      </c>
      <c r="U30">
        <v>0</v>
      </c>
      <c r="V30" s="3">
        <v>0</v>
      </c>
      <c r="W30" s="3">
        <v>0</v>
      </c>
      <c r="X30">
        <v>0</v>
      </c>
      <c r="Y30" t="s">
        <v>136</v>
      </c>
    </row>
    <row r="31" spans="1:25" hidden="1" x14ac:dyDescent="0.25">
      <c r="A31" s="1" t="s">
        <v>47</v>
      </c>
      <c r="B31" s="1" t="s">
        <v>137</v>
      </c>
      <c r="C31" s="1" t="s">
        <v>48</v>
      </c>
      <c r="D31" s="1" t="s">
        <v>27</v>
      </c>
      <c r="E31" s="10">
        <v>45800</v>
      </c>
      <c r="F31" s="2">
        <v>45800</v>
      </c>
      <c r="G31" s="3">
        <v>30</v>
      </c>
      <c r="H31" s="4" t="s">
        <v>28</v>
      </c>
      <c r="I31">
        <v>48</v>
      </c>
      <c r="J31">
        <v>0</v>
      </c>
      <c r="K31">
        <v>0</v>
      </c>
      <c r="L31" s="3">
        <v>0</v>
      </c>
      <c r="M31" s="3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 s="3">
        <v>0</v>
      </c>
      <c r="T31">
        <v>0</v>
      </c>
      <c r="U31">
        <v>0</v>
      </c>
      <c r="V31" s="3">
        <v>0</v>
      </c>
      <c r="W31" s="3">
        <v>0</v>
      </c>
      <c r="X31">
        <v>0</v>
      </c>
      <c r="Y31" t="s">
        <v>138</v>
      </c>
    </row>
    <row r="32" spans="1:25" hidden="1" x14ac:dyDescent="0.25">
      <c r="A32" s="1" t="s">
        <v>49</v>
      </c>
      <c r="B32" s="1" t="s">
        <v>118</v>
      </c>
      <c r="C32" s="1" t="s">
        <v>50</v>
      </c>
      <c r="D32" s="1" t="s">
        <v>27</v>
      </c>
      <c r="E32" s="10">
        <v>45800</v>
      </c>
      <c r="F32" s="2">
        <v>45800</v>
      </c>
      <c r="G32" s="3">
        <v>25</v>
      </c>
      <c r="H32" s="4" t="s">
        <v>28</v>
      </c>
      <c r="I32" s="1">
        <v>37</v>
      </c>
      <c r="J32">
        <v>0</v>
      </c>
      <c r="K32">
        <v>0</v>
      </c>
      <c r="L32" s="3">
        <v>1</v>
      </c>
      <c r="M32" s="3">
        <v>1</v>
      </c>
      <c r="N32">
        <v>0</v>
      </c>
      <c r="O32">
        <v>0</v>
      </c>
      <c r="P32">
        <v>0</v>
      </c>
      <c r="Q32">
        <v>49</v>
      </c>
      <c r="R32" s="3">
        <v>0</v>
      </c>
      <c r="S32" s="3">
        <v>0</v>
      </c>
      <c r="T32">
        <v>0</v>
      </c>
      <c r="U32">
        <v>0</v>
      </c>
      <c r="V32" s="3">
        <v>0</v>
      </c>
      <c r="W32" s="3">
        <v>0</v>
      </c>
      <c r="X32">
        <v>0</v>
      </c>
      <c r="Y32" t="s">
        <v>139</v>
      </c>
    </row>
    <row r="33" spans="1:25" hidden="1" x14ac:dyDescent="0.25">
      <c r="A33" s="1" t="s">
        <v>51</v>
      </c>
      <c r="B33" s="1" t="s">
        <v>120</v>
      </c>
      <c r="C33" s="1" t="s">
        <v>55</v>
      </c>
      <c r="D33" s="1" t="s">
        <v>27</v>
      </c>
      <c r="E33" s="10">
        <v>45800</v>
      </c>
      <c r="F33" s="2">
        <v>45800</v>
      </c>
      <c r="G33" s="3">
        <v>56</v>
      </c>
      <c r="H33" s="4" t="s">
        <v>28</v>
      </c>
      <c r="I33">
        <v>43</v>
      </c>
      <c r="J33">
        <v>0</v>
      </c>
      <c r="K33">
        <v>0</v>
      </c>
      <c r="L33" s="3">
        <v>1</v>
      </c>
      <c r="M33" s="3">
        <v>0</v>
      </c>
      <c r="N33">
        <v>1</v>
      </c>
      <c r="O33">
        <v>0</v>
      </c>
      <c r="P33">
        <v>0</v>
      </c>
      <c r="Q33">
        <v>0</v>
      </c>
      <c r="R33" s="3">
        <v>0</v>
      </c>
      <c r="S33" s="3">
        <v>0</v>
      </c>
      <c r="T33">
        <v>0</v>
      </c>
      <c r="U33">
        <v>0</v>
      </c>
      <c r="V33" s="3">
        <v>0</v>
      </c>
      <c r="W33" s="3">
        <v>0</v>
      </c>
      <c r="X33">
        <v>0</v>
      </c>
      <c r="Y33" t="s">
        <v>140</v>
      </c>
    </row>
    <row r="34" spans="1:25" hidden="1" x14ac:dyDescent="0.25">
      <c r="A34" s="1" t="s">
        <v>54</v>
      </c>
      <c r="B34" s="1" t="s">
        <v>122</v>
      </c>
      <c r="C34" s="1" t="s">
        <v>52</v>
      </c>
      <c r="D34" s="1" t="s">
        <v>27</v>
      </c>
      <c r="E34" s="10">
        <v>45800</v>
      </c>
      <c r="F34" s="2">
        <v>45800</v>
      </c>
      <c r="G34" s="3">
        <v>40</v>
      </c>
      <c r="H34" s="4" t="s">
        <v>28</v>
      </c>
      <c r="I34">
        <v>51</v>
      </c>
      <c r="J34">
        <v>0</v>
      </c>
      <c r="K34">
        <v>0</v>
      </c>
      <c r="L34" s="3">
        <v>0</v>
      </c>
      <c r="M34" s="3">
        <v>0</v>
      </c>
      <c r="N34">
        <v>0</v>
      </c>
      <c r="O34">
        <v>0</v>
      </c>
      <c r="P34">
        <v>0</v>
      </c>
      <c r="Q34">
        <v>0</v>
      </c>
      <c r="R34" s="3">
        <v>0</v>
      </c>
      <c r="S34" s="3">
        <v>0</v>
      </c>
      <c r="T34">
        <v>0</v>
      </c>
      <c r="U34">
        <v>0</v>
      </c>
      <c r="V34" s="3">
        <v>0</v>
      </c>
      <c r="W34" s="3">
        <v>0</v>
      </c>
      <c r="X34">
        <v>0</v>
      </c>
      <c r="Y34" t="s">
        <v>141</v>
      </c>
    </row>
    <row r="35" spans="1:25" hidden="1" x14ac:dyDescent="0.25">
      <c r="A35" s="1" t="s">
        <v>53</v>
      </c>
      <c r="B35" s="1" t="s">
        <v>142</v>
      </c>
      <c r="C35" s="1" t="s">
        <v>39</v>
      </c>
      <c r="D35" s="1" t="s">
        <v>27</v>
      </c>
      <c r="E35" s="10">
        <v>45800</v>
      </c>
      <c r="F35" s="2">
        <v>45800</v>
      </c>
      <c r="G35" s="3">
        <v>49</v>
      </c>
      <c r="H35" s="4" t="s">
        <v>28</v>
      </c>
      <c r="I35">
        <v>21</v>
      </c>
      <c r="J35">
        <v>0</v>
      </c>
      <c r="K35">
        <v>0</v>
      </c>
      <c r="L35" s="3">
        <v>1</v>
      </c>
      <c r="M35" s="3">
        <v>0</v>
      </c>
      <c r="N35">
        <v>0</v>
      </c>
      <c r="O35">
        <v>0</v>
      </c>
      <c r="P35">
        <v>0</v>
      </c>
      <c r="Q35">
        <v>21</v>
      </c>
      <c r="R35" s="3">
        <v>0</v>
      </c>
      <c r="S35" s="3">
        <v>0</v>
      </c>
      <c r="T35">
        <v>0</v>
      </c>
      <c r="U35">
        <v>0</v>
      </c>
      <c r="V35" s="3">
        <v>0</v>
      </c>
      <c r="W35" s="3">
        <v>0</v>
      </c>
      <c r="X35">
        <v>0</v>
      </c>
      <c r="Y35" t="s">
        <v>143</v>
      </c>
    </row>
    <row r="36" spans="1:25" hidden="1" x14ac:dyDescent="0.25">
      <c r="A36" s="1" t="s">
        <v>58</v>
      </c>
      <c r="B36" s="1" t="s">
        <v>144</v>
      </c>
      <c r="C36" s="1" t="s">
        <v>30</v>
      </c>
      <c r="D36" s="1" t="s">
        <v>27</v>
      </c>
      <c r="E36" s="10">
        <v>45800</v>
      </c>
      <c r="F36" s="2">
        <v>45800</v>
      </c>
      <c r="G36" s="3">
        <v>123</v>
      </c>
      <c r="H36" s="4" t="s">
        <v>28</v>
      </c>
      <c r="I36">
        <v>56</v>
      </c>
      <c r="J36">
        <v>0</v>
      </c>
      <c r="K36">
        <v>0</v>
      </c>
      <c r="L36" s="3">
        <v>1</v>
      </c>
      <c r="M36" s="3">
        <v>0</v>
      </c>
      <c r="N36">
        <v>0</v>
      </c>
      <c r="O36">
        <v>0</v>
      </c>
      <c r="P36">
        <v>0</v>
      </c>
      <c r="Q36">
        <v>0</v>
      </c>
      <c r="R36" s="3">
        <v>0</v>
      </c>
      <c r="S36" s="3">
        <v>0</v>
      </c>
      <c r="T36">
        <v>0</v>
      </c>
      <c r="U36">
        <v>0</v>
      </c>
      <c r="V36" s="3">
        <v>0</v>
      </c>
      <c r="W36" s="3">
        <v>0</v>
      </c>
      <c r="X36">
        <v>0</v>
      </c>
      <c r="Y36" t="s">
        <v>145</v>
      </c>
    </row>
    <row r="37" spans="1:25" hidden="1" x14ac:dyDescent="0.25">
      <c r="A37" s="1" t="s">
        <v>34</v>
      </c>
      <c r="B37" s="1"/>
      <c r="C37" s="1" t="s">
        <v>27</v>
      </c>
      <c r="D37" s="1" t="s">
        <v>27</v>
      </c>
      <c r="E37" s="10">
        <v>45800</v>
      </c>
      <c r="F37" s="2">
        <v>45800</v>
      </c>
      <c r="G37" s="3">
        <v>124</v>
      </c>
      <c r="H37" s="4" t="s">
        <v>28</v>
      </c>
      <c r="I37">
        <v>56</v>
      </c>
      <c r="J37">
        <v>0</v>
      </c>
      <c r="K37">
        <v>0</v>
      </c>
      <c r="L37" s="3">
        <v>1</v>
      </c>
      <c r="M37" s="3">
        <v>0</v>
      </c>
      <c r="N37">
        <v>0</v>
      </c>
      <c r="O37">
        <v>0</v>
      </c>
      <c r="P37">
        <v>0</v>
      </c>
      <c r="Q37">
        <v>0</v>
      </c>
      <c r="R37" s="3">
        <v>0</v>
      </c>
      <c r="S37" s="3">
        <v>0</v>
      </c>
      <c r="T37">
        <v>0</v>
      </c>
      <c r="U37">
        <v>0</v>
      </c>
      <c r="V37" s="3">
        <v>0</v>
      </c>
      <c r="W37" s="3">
        <v>0</v>
      </c>
      <c r="X37" s="3">
        <v>0</v>
      </c>
      <c r="Y37" t="s">
        <v>145</v>
      </c>
    </row>
    <row r="38" spans="1:25" hidden="1" x14ac:dyDescent="0.25">
      <c r="A38" s="16" t="s">
        <v>41</v>
      </c>
      <c r="B38" s="16" t="s">
        <v>112</v>
      </c>
      <c r="C38" s="16" t="s">
        <v>42</v>
      </c>
      <c r="D38" s="16" t="s">
        <v>27</v>
      </c>
      <c r="E38" s="12">
        <v>45801</v>
      </c>
      <c r="F38" s="12">
        <v>45801</v>
      </c>
      <c r="G38" s="18">
        <v>58</v>
      </c>
      <c r="H38" t="s">
        <v>28</v>
      </c>
      <c r="I38">
        <v>0</v>
      </c>
      <c r="J38">
        <v>0</v>
      </c>
      <c r="K38">
        <v>0</v>
      </c>
      <c r="L38" s="3">
        <v>0</v>
      </c>
      <c r="M38" s="3">
        <v>0</v>
      </c>
      <c r="N38">
        <v>0</v>
      </c>
      <c r="O38">
        <v>0</v>
      </c>
      <c r="P38">
        <v>0</v>
      </c>
      <c r="Q38">
        <v>0</v>
      </c>
      <c r="R38" s="3">
        <v>1</v>
      </c>
      <c r="S38" s="3">
        <v>0</v>
      </c>
      <c r="T38">
        <v>13</v>
      </c>
      <c r="U38">
        <v>100</v>
      </c>
      <c r="V38" s="3">
        <v>1</v>
      </c>
      <c r="W38" s="3">
        <v>0</v>
      </c>
      <c r="X38">
        <v>3</v>
      </c>
      <c r="Y38" t="s">
        <v>146</v>
      </c>
    </row>
    <row r="39" spans="1:25" hidden="1" x14ac:dyDescent="0.25">
      <c r="A39" s="17" t="s">
        <v>54</v>
      </c>
      <c r="B39" s="16" t="s">
        <v>122</v>
      </c>
      <c r="C39" s="16" t="s">
        <v>52</v>
      </c>
      <c r="D39" s="16" t="s">
        <v>27</v>
      </c>
      <c r="E39" s="12">
        <v>45801</v>
      </c>
      <c r="F39" s="12">
        <v>45801</v>
      </c>
      <c r="G39" s="18">
        <v>149</v>
      </c>
      <c r="H39" t="s">
        <v>28</v>
      </c>
      <c r="I39">
        <v>0</v>
      </c>
      <c r="J39">
        <v>0</v>
      </c>
      <c r="K39">
        <v>0</v>
      </c>
      <c r="L39" s="3">
        <v>0</v>
      </c>
      <c r="M39" s="3">
        <v>0</v>
      </c>
      <c r="N39">
        <v>0</v>
      </c>
      <c r="O39">
        <v>0</v>
      </c>
      <c r="P39">
        <v>0</v>
      </c>
      <c r="Q39">
        <v>0</v>
      </c>
      <c r="R39" s="3">
        <v>1</v>
      </c>
      <c r="S39" s="3">
        <v>0</v>
      </c>
      <c r="T39">
        <v>7</v>
      </c>
      <c r="U39">
        <v>74</v>
      </c>
      <c r="V39" s="3">
        <v>1</v>
      </c>
      <c r="W39" s="3">
        <v>0</v>
      </c>
      <c r="X39">
        <v>6</v>
      </c>
      <c r="Y39" t="s">
        <v>147</v>
      </c>
    </row>
    <row r="40" spans="1:25" hidden="1" x14ac:dyDescent="0.25">
      <c r="A40" s="17" t="s">
        <v>33</v>
      </c>
      <c r="B40" s="16" t="s">
        <v>106</v>
      </c>
      <c r="C40" s="16" t="s">
        <v>55</v>
      </c>
      <c r="D40" s="16" t="s">
        <v>27</v>
      </c>
      <c r="E40" s="12">
        <v>45802</v>
      </c>
      <c r="F40" s="12">
        <v>45802</v>
      </c>
      <c r="G40" s="18">
        <v>49</v>
      </c>
      <c r="H40" t="s">
        <v>28</v>
      </c>
      <c r="I40">
        <v>0</v>
      </c>
      <c r="J40">
        <v>0</v>
      </c>
      <c r="K40">
        <v>0</v>
      </c>
      <c r="L40" s="3">
        <v>0</v>
      </c>
      <c r="M40" s="3">
        <v>0</v>
      </c>
      <c r="N40">
        <v>0</v>
      </c>
      <c r="O40">
        <v>0</v>
      </c>
      <c r="P40">
        <v>0</v>
      </c>
      <c r="Q40">
        <v>0</v>
      </c>
      <c r="R40" s="3">
        <v>0</v>
      </c>
      <c r="S40" s="3">
        <v>1</v>
      </c>
      <c r="T40">
        <v>6</v>
      </c>
      <c r="U40">
        <v>15</v>
      </c>
      <c r="V40" s="3">
        <v>0</v>
      </c>
      <c r="W40" s="3">
        <v>1</v>
      </c>
      <c r="X40">
        <v>0</v>
      </c>
      <c r="Y40" t="s">
        <v>148</v>
      </c>
    </row>
    <row r="41" spans="1:25" hidden="1" x14ac:dyDescent="0.25">
      <c r="A41" s="16" t="s">
        <v>48</v>
      </c>
      <c r="B41" s="16" t="s">
        <v>149</v>
      </c>
      <c r="C41" s="1" t="s">
        <v>354</v>
      </c>
      <c r="D41" s="16" t="s">
        <v>27</v>
      </c>
      <c r="E41" s="12">
        <v>45802</v>
      </c>
      <c r="F41" s="12">
        <v>45802</v>
      </c>
      <c r="G41" s="18">
        <v>33</v>
      </c>
      <c r="H41" t="s">
        <v>28</v>
      </c>
      <c r="I41">
        <v>0</v>
      </c>
      <c r="J41">
        <v>0</v>
      </c>
      <c r="K41">
        <v>0</v>
      </c>
      <c r="L41" s="3">
        <v>0</v>
      </c>
      <c r="M41" s="3">
        <v>0</v>
      </c>
      <c r="N41">
        <v>0</v>
      </c>
      <c r="O41">
        <v>0</v>
      </c>
      <c r="P41">
        <v>0</v>
      </c>
      <c r="Q41">
        <v>0</v>
      </c>
      <c r="R41" s="3">
        <v>0</v>
      </c>
      <c r="S41" s="3">
        <v>1</v>
      </c>
      <c r="T41">
        <v>6</v>
      </c>
      <c r="U41">
        <v>40</v>
      </c>
      <c r="V41" s="3">
        <v>0</v>
      </c>
      <c r="W41" s="3">
        <v>1</v>
      </c>
      <c r="X41">
        <v>2</v>
      </c>
      <c r="Y41" t="s">
        <v>150</v>
      </c>
    </row>
    <row r="42" spans="1:25" hidden="1" x14ac:dyDescent="0.25">
      <c r="A42" s="1" t="s">
        <v>25</v>
      </c>
      <c r="B42" s="1" t="s">
        <v>96</v>
      </c>
      <c r="C42" s="1" t="s">
        <v>26</v>
      </c>
      <c r="D42" t="s">
        <v>27</v>
      </c>
      <c r="E42" s="2">
        <v>45803</v>
      </c>
      <c r="F42" s="2">
        <v>45803</v>
      </c>
      <c r="G42" s="3">
        <v>53</v>
      </c>
      <c r="H42" s="4" t="s">
        <v>28</v>
      </c>
      <c r="I42">
        <v>38</v>
      </c>
      <c r="J42">
        <v>0</v>
      </c>
      <c r="K42">
        <v>0</v>
      </c>
      <c r="L42" s="3">
        <v>1</v>
      </c>
      <c r="M42" s="3">
        <v>0</v>
      </c>
      <c r="N42">
        <v>1</v>
      </c>
      <c r="O42">
        <v>0</v>
      </c>
      <c r="P42">
        <v>0</v>
      </c>
      <c r="Q42">
        <v>0</v>
      </c>
      <c r="R42" s="3">
        <v>0</v>
      </c>
      <c r="S42" s="3">
        <v>0</v>
      </c>
      <c r="T42">
        <v>0</v>
      </c>
      <c r="U42">
        <v>0</v>
      </c>
      <c r="V42" s="3">
        <v>0</v>
      </c>
      <c r="W42" s="3">
        <v>0</v>
      </c>
      <c r="X42">
        <v>0</v>
      </c>
      <c r="Y42" t="s">
        <v>151</v>
      </c>
    </row>
    <row r="43" spans="1:25" hidden="1" x14ac:dyDescent="0.25">
      <c r="A43" s="1" t="s">
        <v>56</v>
      </c>
      <c r="B43" s="1" t="s">
        <v>98</v>
      </c>
      <c r="C43" s="1" t="s">
        <v>37</v>
      </c>
      <c r="D43" t="s">
        <v>27</v>
      </c>
      <c r="E43" s="2">
        <v>45803</v>
      </c>
      <c r="F43" s="2">
        <v>45803</v>
      </c>
      <c r="G43" s="3">
        <v>37</v>
      </c>
      <c r="H43" s="4" t="s">
        <v>28</v>
      </c>
      <c r="I43">
        <v>75</v>
      </c>
      <c r="J43">
        <v>0</v>
      </c>
      <c r="K43">
        <v>0</v>
      </c>
      <c r="L43" s="3">
        <v>1</v>
      </c>
      <c r="M43" s="3">
        <v>0</v>
      </c>
      <c r="N43">
        <v>0</v>
      </c>
      <c r="O43">
        <v>0</v>
      </c>
      <c r="P43">
        <v>0</v>
      </c>
      <c r="Q43">
        <v>0</v>
      </c>
      <c r="R43" s="3">
        <v>0</v>
      </c>
      <c r="S43" s="3">
        <v>0</v>
      </c>
      <c r="T43">
        <v>0</v>
      </c>
      <c r="U43">
        <v>0</v>
      </c>
      <c r="V43" s="3">
        <v>0</v>
      </c>
      <c r="W43" s="3">
        <v>0</v>
      </c>
      <c r="X43">
        <v>0</v>
      </c>
      <c r="Y43" t="s">
        <v>152</v>
      </c>
    </row>
    <row r="44" spans="1:25" hidden="1" x14ac:dyDescent="0.25">
      <c r="A44" s="1" t="s">
        <v>29</v>
      </c>
      <c r="B44" s="1" t="s">
        <v>100</v>
      </c>
      <c r="C44" s="1" t="s">
        <v>95</v>
      </c>
      <c r="D44" t="s">
        <v>27</v>
      </c>
      <c r="E44" s="2">
        <v>45803</v>
      </c>
      <c r="F44" s="2">
        <v>45803</v>
      </c>
      <c r="G44" s="3">
        <v>78</v>
      </c>
      <c r="H44" s="4" t="s">
        <v>28</v>
      </c>
      <c r="I44">
        <v>40</v>
      </c>
      <c r="J44">
        <v>0</v>
      </c>
      <c r="K44">
        <v>0</v>
      </c>
      <c r="L44" s="3">
        <v>1</v>
      </c>
      <c r="M44" s="3">
        <v>0</v>
      </c>
      <c r="N44">
        <v>0</v>
      </c>
      <c r="O44">
        <v>0</v>
      </c>
      <c r="P44">
        <v>0</v>
      </c>
      <c r="Q44">
        <v>0</v>
      </c>
      <c r="R44" s="3">
        <v>0</v>
      </c>
      <c r="S44" s="3">
        <v>0</v>
      </c>
      <c r="T44">
        <v>0</v>
      </c>
      <c r="U44">
        <v>0</v>
      </c>
      <c r="V44" s="3">
        <v>0</v>
      </c>
      <c r="W44" s="3">
        <v>0</v>
      </c>
      <c r="X44">
        <v>0</v>
      </c>
      <c r="Y44" t="s">
        <v>153</v>
      </c>
    </row>
    <row r="45" spans="1:25" hidden="1" x14ac:dyDescent="0.25">
      <c r="A45" s="1" t="s">
        <v>344</v>
      </c>
      <c r="B45" s="1" t="s">
        <v>102</v>
      </c>
      <c r="C45" s="1" t="s">
        <v>35</v>
      </c>
      <c r="D45" t="s">
        <v>27</v>
      </c>
      <c r="E45" s="2">
        <v>45803</v>
      </c>
      <c r="F45" s="2">
        <v>45803</v>
      </c>
      <c r="G45" s="3">
        <v>24</v>
      </c>
      <c r="H45" s="4" t="s">
        <v>28</v>
      </c>
      <c r="I45">
        <v>51</v>
      </c>
      <c r="J45">
        <v>0</v>
      </c>
      <c r="K45">
        <v>0</v>
      </c>
      <c r="L45" s="3">
        <v>0</v>
      </c>
      <c r="M45" s="3">
        <v>0</v>
      </c>
      <c r="N45">
        <v>0</v>
      </c>
      <c r="O45">
        <v>0</v>
      </c>
      <c r="P45">
        <v>0</v>
      </c>
      <c r="Q45">
        <v>0</v>
      </c>
      <c r="R45" s="3">
        <v>0</v>
      </c>
      <c r="S45" s="3">
        <v>0</v>
      </c>
      <c r="T45">
        <v>0</v>
      </c>
      <c r="U45">
        <v>0</v>
      </c>
      <c r="V45" s="3">
        <v>0</v>
      </c>
      <c r="W45" s="3">
        <v>0</v>
      </c>
      <c r="X45">
        <v>0</v>
      </c>
      <c r="Y45" t="s">
        <v>154</v>
      </c>
    </row>
    <row r="46" spans="1:25" hidden="1" x14ac:dyDescent="0.25">
      <c r="A46" s="1" t="s">
        <v>31</v>
      </c>
      <c r="B46" s="1" t="s">
        <v>104</v>
      </c>
      <c r="C46" s="1" t="s">
        <v>32</v>
      </c>
      <c r="D46" t="s">
        <v>27</v>
      </c>
      <c r="E46" s="2">
        <v>45803</v>
      </c>
      <c r="F46" s="2">
        <v>45803</v>
      </c>
      <c r="G46" s="3">
        <v>56</v>
      </c>
      <c r="H46" s="4" t="s">
        <v>28</v>
      </c>
      <c r="I46">
        <v>99</v>
      </c>
      <c r="J46">
        <v>0</v>
      </c>
      <c r="K46">
        <v>0</v>
      </c>
      <c r="L46" s="3">
        <v>1</v>
      </c>
      <c r="M46" s="3">
        <v>0</v>
      </c>
      <c r="N46">
        <v>0</v>
      </c>
      <c r="O46">
        <v>0</v>
      </c>
      <c r="P46">
        <v>0</v>
      </c>
      <c r="Q46">
        <v>50</v>
      </c>
      <c r="R46" s="3">
        <v>0</v>
      </c>
      <c r="S46" s="3">
        <v>0</v>
      </c>
      <c r="T46">
        <v>0</v>
      </c>
      <c r="U46">
        <v>0</v>
      </c>
      <c r="V46" s="3">
        <v>0</v>
      </c>
      <c r="W46" s="3">
        <v>0</v>
      </c>
      <c r="X46">
        <v>0</v>
      </c>
      <c r="Y46" t="s">
        <v>155</v>
      </c>
    </row>
    <row r="47" spans="1:25" hidden="1" x14ac:dyDescent="0.25">
      <c r="A47" s="1" t="s">
        <v>33</v>
      </c>
      <c r="B47" s="1" t="s">
        <v>106</v>
      </c>
      <c r="C47" s="1" t="s">
        <v>57</v>
      </c>
      <c r="D47" t="s">
        <v>27</v>
      </c>
      <c r="E47" s="2">
        <v>45803</v>
      </c>
      <c r="F47" s="2">
        <v>45803</v>
      </c>
      <c r="G47" s="3">
        <v>27</v>
      </c>
      <c r="H47" s="4" t="s">
        <v>28</v>
      </c>
      <c r="I47">
        <v>52</v>
      </c>
      <c r="J47">
        <v>0</v>
      </c>
      <c r="K47">
        <v>0</v>
      </c>
      <c r="L47" s="3">
        <v>0</v>
      </c>
      <c r="M47" s="3">
        <v>0</v>
      </c>
      <c r="N47">
        <v>0</v>
      </c>
      <c r="O47">
        <v>0</v>
      </c>
      <c r="P47">
        <v>0</v>
      </c>
      <c r="Q47">
        <v>0</v>
      </c>
      <c r="R47" s="3">
        <v>0</v>
      </c>
      <c r="S47" s="3">
        <v>0</v>
      </c>
      <c r="T47">
        <v>0</v>
      </c>
      <c r="U47">
        <v>0</v>
      </c>
      <c r="V47" s="3">
        <v>0</v>
      </c>
      <c r="W47" s="3">
        <v>0</v>
      </c>
      <c r="X47">
        <v>0</v>
      </c>
      <c r="Y47" t="s">
        <v>156</v>
      </c>
    </row>
    <row r="48" spans="1:25" hidden="1" x14ac:dyDescent="0.25">
      <c r="A48" s="1" t="s">
        <v>38</v>
      </c>
      <c r="B48" s="1" t="s">
        <v>108</v>
      </c>
      <c r="C48" s="1" t="s">
        <v>39</v>
      </c>
      <c r="D48" t="s">
        <v>27</v>
      </c>
      <c r="E48" s="2">
        <v>45803</v>
      </c>
      <c r="F48" s="2">
        <v>45803</v>
      </c>
      <c r="G48" s="3">
        <v>48</v>
      </c>
      <c r="H48" s="4" t="s">
        <v>28</v>
      </c>
      <c r="I48">
        <v>31</v>
      </c>
      <c r="J48">
        <v>0</v>
      </c>
      <c r="K48">
        <v>0</v>
      </c>
      <c r="L48" s="3">
        <v>1</v>
      </c>
      <c r="M48" s="3">
        <v>0</v>
      </c>
      <c r="N48">
        <v>0</v>
      </c>
      <c r="O48">
        <v>0</v>
      </c>
      <c r="P48">
        <v>0</v>
      </c>
      <c r="Q48">
        <v>31</v>
      </c>
      <c r="R48" s="3">
        <v>0</v>
      </c>
      <c r="S48" s="3">
        <v>0</v>
      </c>
      <c r="T48">
        <v>0</v>
      </c>
      <c r="U48">
        <v>0</v>
      </c>
      <c r="V48" s="3">
        <v>0</v>
      </c>
      <c r="W48" s="3">
        <v>0</v>
      </c>
      <c r="X48">
        <v>0</v>
      </c>
      <c r="Y48" t="s">
        <v>157</v>
      </c>
    </row>
    <row r="49" spans="1:25" hidden="1" x14ac:dyDescent="0.25">
      <c r="A49" s="1" t="s">
        <v>40</v>
      </c>
      <c r="B49" s="1" t="s">
        <v>110</v>
      </c>
      <c r="C49" s="1" t="s">
        <v>36</v>
      </c>
      <c r="D49" s="1" t="s">
        <v>27</v>
      </c>
      <c r="E49" s="2">
        <v>45803</v>
      </c>
      <c r="F49" s="2">
        <v>45803</v>
      </c>
      <c r="G49" s="3">
        <v>36</v>
      </c>
      <c r="H49" s="4" t="s">
        <v>28</v>
      </c>
      <c r="I49">
        <v>24</v>
      </c>
      <c r="J49">
        <v>0</v>
      </c>
      <c r="K49">
        <v>0</v>
      </c>
      <c r="L49" s="3">
        <v>1</v>
      </c>
      <c r="M49" s="3">
        <v>0</v>
      </c>
      <c r="N49">
        <v>1</v>
      </c>
      <c r="O49">
        <v>0</v>
      </c>
      <c r="P49">
        <v>0</v>
      </c>
      <c r="Q49">
        <v>0</v>
      </c>
      <c r="R49" s="3">
        <v>0</v>
      </c>
      <c r="S49" s="3">
        <v>0</v>
      </c>
      <c r="T49">
        <v>0</v>
      </c>
      <c r="U49">
        <v>0</v>
      </c>
      <c r="V49" s="3">
        <v>0</v>
      </c>
      <c r="W49" s="3">
        <v>0</v>
      </c>
      <c r="X49">
        <v>0</v>
      </c>
      <c r="Y49" t="s">
        <v>133</v>
      </c>
    </row>
    <row r="50" spans="1:25" hidden="1" x14ac:dyDescent="0.25">
      <c r="A50" s="1" t="s">
        <v>41</v>
      </c>
      <c r="B50" s="1" t="s">
        <v>112</v>
      </c>
      <c r="C50" s="1" t="s">
        <v>42</v>
      </c>
      <c r="D50" t="s">
        <v>27</v>
      </c>
      <c r="E50" s="2">
        <v>45803</v>
      </c>
      <c r="F50" s="2">
        <v>45803</v>
      </c>
      <c r="G50" s="3">
        <v>30</v>
      </c>
      <c r="H50" s="4" t="s">
        <v>28</v>
      </c>
      <c r="I50">
        <v>64</v>
      </c>
      <c r="J50">
        <v>0</v>
      </c>
      <c r="K50">
        <v>0</v>
      </c>
      <c r="L50" s="3">
        <v>1</v>
      </c>
      <c r="M50" s="3">
        <v>0</v>
      </c>
      <c r="N50">
        <v>0</v>
      </c>
      <c r="O50">
        <v>0</v>
      </c>
      <c r="P50">
        <v>0</v>
      </c>
      <c r="Q50">
        <v>0</v>
      </c>
      <c r="R50" s="3">
        <v>0</v>
      </c>
      <c r="S50" s="3">
        <v>0</v>
      </c>
      <c r="T50">
        <v>0</v>
      </c>
      <c r="U50">
        <v>0</v>
      </c>
      <c r="V50" s="3">
        <v>0</v>
      </c>
      <c r="W50" s="3">
        <v>0</v>
      </c>
      <c r="X50">
        <v>0</v>
      </c>
      <c r="Y50" t="s">
        <v>158</v>
      </c>
    </row>
    <row r="51" spans="1:25" hidden="1" x14ac:dyDescent="0.25">
      <c r="A51" s="1" t="s">
        <v>43</v>
      </c>
      <c r="B51" s="1" t="s">
        <v>114</v>
      </c>
      <c r="C51" s="1" t="s">
        <v>44</v>
      </c>
      <c r="D51" t="s">
        <v>27</v>
      </c>
      <c r="E51" s="2">
        <v>45803</v>
      </c>
      <c r="F51" s="2">
        <v>45803</v>
      </c>
      <c r="G51" s="3">
        <v>57</v>
      </c>
      <c r="H51" s="4" t="s">
        <v>28</v>
      </c>
      <c r="I51">
        <v>65</v>
      </c>
      <c r="J51">
        <v>0</v>
      </c>
      <c r="K51">
        <v>0</v>
      </c>
      <c r="L51" s="3">
        <v>1</v>
      </c>
      <c r="M51" s="3">
        <v>0</v>
      </c>
      <c r="N51">
        <v>0</v>
      </c>
      <c r="O51">
        <v>0</v>
      </c>
      <c r="P51">
        <v>0</v>
      </c>
      <c r="Q51">
        <v>0</v>
      </c>
      <c r="R51" s="3">
        <v>0</v>
      </c>
      <c r="S51" s="3">
        <v>0</v>
      </c>
      <c r="T51">
        <v>0</v>
      </c>
      <c r="U51">
        <v>0</v>
      </c>
      <c r="V51" s="3">
        <v>0</v>
      </c>
      <c r="W51" s="3">
        <v>0</v>
      </c>
      <c r="X51">
        <v>0</v>
      </c>
      <c r="Y51" t="s">
        <v>159</v>
      </c>
    </row>
    <row r="52" spans="1:25" hidden="1" x14ac:dyDescent="0.25">
      <c r="A52" s="1" t="s">
        <v>45</v>
      </c>
      <c r="B52" s="1" t="s">
        <v>116</v>
      </c>
      <c r="C52" s="1" t="s">
        <v>46</v>
      </c>
      <c r="D52" t="s">
        <v>27</v>
      </c>
      <c r="E52" s="2">
        <v>45803</v>
      </c>
      <c r="F52" s="2">
        <v>45803</v>
      </c>
      <c r="G52" s="3">
        <v>63</v>
      </c>
      <c r="H52" s="4" t="s">
        <v>28</v>
      </c>
      <c r="I52">
        <v>67</v>
      </c>
      <c r="J52">
        <v>0</v>
      </c>
      <c r="K52">
        <v>0</v>
      </c>
      <c r="L52" s="3">
        <v>1</v>
      </c>
      <c r="M52" s="3">
        <v>0</v>
      </c>
      <c r="N52">
        <v>0</v>
      </c>
      <c r="O52">
        <v>0</v>
      </c>
      <c r="P52">
        <v>0</v>
      </c>
      <c r="Q52">
        <v>0</v>
      </c>
      <c r="R52" s="3">
        <v>0</v>
      </c>
      <c r="S52" s="3">
        <v>0</v>
      </c>
      <c r="T52">
        <v>0</v>
      </c>
      <c r="U52">
        <v>0</v>
      </c>
      <c r="V52" s="3">
        <v>0</v>
      </c>
      <c r="W52" s="3">
        <v>0</v>
      </c>
      <c r="X52">
        <v>0</v>
      </c>
      <c r="Y52" t="s">
        <v>160</v>
      </c>
    </row>
    <row r="53" spans="1:25" hidden="1" x14ac:dyDescent="0.25">
      <c r="A53" s="1" t="s">
        <v>47</v>
      </c>
      <c r="B53" s="1" t="s">
        <v>137</v>
      </c>
      <c r="C53" s="1" t="s">
        <v>48</v>
      </c>
      <c r="D53" t="s">
        <v>27</v>
      </c>
      <c r="E53" s="2">
        <v>45803</v>
      </c>
      <c r="F53" s="2">
        <v>45803</v>
      </c>
      <c r="G53" s="3">
        <v>225</v>
      </c>
      <c r="H53" s="4" t="s">
        <v>28</v>
      </c>
      <c r="I53">
        <v>38</v>
      </c>
      <c r="J53">
        <v>4</v>
      </c>
      <c r="K53">
        <v>0</v>
      </c>
      <c r="L53" s="3">
        <v>0</v>
      </c>
      <c r="M53" s="3">
        <v>0</v>
      </c>
      <c r="N53">
        <v>0</v>
      </c>
      <c r="O53">
        <v>0</v>
      </c>
      <c r="P53">
        <v>0</v>
      </c>
      <c r="Q53">
        <v>0</v>
      </c>
      <c r="R53" s="3">
        <v>0</v>
      </c>
      <c r="S53" s="3">
        <v>0</v>
      </c>
      <c r="T53">
        <v>0</v>
      </c>
      <c r="U53">
        <v>0</v>
      </c>
      <c r="V53" s="3">
        <v>0</v>
      </c>
      <c r="W53" s="3">
        <v>0</v>
      </c>
      <c r="X53">
        <v>0</v>
      </c>
      <c r="Y53" t="s">
        <v>161</v>
      </c>
    </row>
    <row r="54" spans="1:25" hidden="1" x14ac:dyDescent="0.25">
      <c r="A54" s="1" t="s">
        <v>49</v>
      </c>
      <c r="B54" s="1" t="s">
        <v>118</v>
      </c>
      <c r="C54" s="1" t="s">
        <v>50</v>
      </c>
      <c r="D54" t="s">
        <v>27</v>
      </c>
      <c r="E54" s="2">
        <v>45803</v>
      </c>
      <c r="F54" s="2">
        <v>45803</v>
      </c>
      <c r="G54" s="3">
        <v>34</v>
      </c>
      <c r="H54" s="4" t="s">
        <v>28</v>
      </c>
      <c r="I54">
        <v>30</v>
      </c>
      <c r="J54">
        <v>0</v>
      </c>
      <c r="K54">
        <v>0</v>
      </c>
      <c r="L54" s="3">
        <v>1</v>
      </c>
      <c r="M54" s="3">
        <v>1</v>
      </c>
      <c r="N54">
        <v>0</v>
      </c>
      <c r="O54">
        <v>0</v>
      </c>
      <c r="P54">
        <v>0</v>
      </c>
      <c r="Q54">
        <v>30</v>
      </c>
      <c r="R54" s="3">
        <v>0</v>
      </c>
      <c r="S54" s="3">
        <v>0</v>
      </c>
      <c r="T54">
        <v>0</v>
      </c>
      <c r="U54">
        <v>0</v>
      </c>
      <c r="V54" s="3">
        <v>0</v>
      </c>
      <c r="W54" s="3">
        <v>0</v>
      </c>
      <c r="X54">
        <v>0</v>
      </c>
      <c r="Y54" t="s">
        <v>162</v>
      </c>
    </row>
    <row r="55" spans="1:25" hidden="1" x14ac:dyDescent="0.25">
      <c r="A55" s="1" t="s">
        <v>51</v>
      </c>
      <c r="B55" s="1" t="s">
        <v>120</v>
      </c>
      <c r="C55" s="1" t="s">
        <v>55</v>
      </c>
      <c r="D55" t="s">
        <v>27</v>
      </c>
      <c r="E55" s="2">
        <v>45803</v>
      </c>
      <c r="F55" s="2">
        <v>45803</v>
      </c>
      <c r="G55" s="3">
        <v>79</v>
      </c>
      <c r="H55" s="4" t="s">
        <v>28</v>
      </c>
      <c r="I55">
        <v>34</v>
      </c>
      <c r="J55">
        <v>0</v>
      </c>
      <c r="K55">
        <v>0</v>
      </c>
      <c r="L55" s="3">
        <v>0</v>
      </c>
      <c r="M55" s="3">
        <v>0</v>
      </c>
      <c r="N55">
        <v>1</v>
      </c>
      <c r="O55">
        <v>0</v>
      </c>
      <c r="P55">
        <v>0</v>
      </c>
      <c r="Q55">
        <v>0</v>
      </c>
      <c r="R55" s="3">
        <v>0</v>
      </c>
      <c r="S55" s="3">
        <v>0</v>
      </c>
      <c r="T55">
        <v>0</v>
      </c>
      <c r="U55">
        <v>0</v>
      </c>
      <c r="V55" s="3">
        <v>0</v>
      </c>
      <c r="W55" s="3">
        <v>0</v>
      </c>
      <c r="X55">
        <v>0</v>
      </c>
      <c r="Y55" t="s">
        <v>163</v>
      </c>
    </row>
    <row r="56" spans="1:25" hidden="1" x14ac:dyDescent="0.25">
      <c r="A56" s="1" t="s">
        <v>54</v>
      </c>
      <c r="B56" s="1" t="s">
        <v>122</v>
      </c>
      <c r="C56" s="1" t="s">
        <v>52</v>
      </c>
      <c r="D56" t="s">
        <v>27</v>
      </c>
      <c r="E56" s="2">
        <v>45803</v>
      </c>
      <c r="F56" s="2">
        <v>45803</v>
      </c>
      <c r="G56" s="3">
        <v>35</v>
      </c>
      <c r="H56" s="4" t="s">
        <v>28</v>
      </c>
      <c r="I56">
        <v>49</v>
      </c>
      <c r="J56">
        <v>0</v>
      </c>
      <c r="K56">
        <v>0</v>
      </c>
      <c r="L56" s="3">
        <v>0</v>
      </c>
      <c r="M56" s="3">
        <v>0</v>
      </c>
      <c r="N56">
        <v>0</v>
      </c>
      <c r="O56">
        <v>0</v>
      </c>
      <c r="P56">
        <v>0</v>
      </c>
      <c r="Q56">
        <v>0</v>
      </c>
      <c r="R56" s="3">
        <v>0</v>
      </c>
      <c r="S56" s="3">
        <v>0</v>
      </c>
      <c r="T56">
        <v>0</v>
      </c>
      <c r="U56">
        <v>0</v>
      </c>
      <c r="V56" s="3">
        <v>0</v>
      </c>
      <c r="W56" s="3">
        <v>0</v>
      </c>
      <c r="X56">
        <v>0</v>
      </c>
      <c r="Y56" t="s">
        <v>164</v>
      </c>
    </row>
    <row r="57" spans="1:25" hidden="1" x14ac:dyDescent="0.25">
      <c r="A57" s="1" t="s">
        <v>53</v>
      </c>
      <c r="B57" s="1" t="s">
        <v>142</v>
      </c>
      <c r="C57" s="1" t="s">
        <v>39</v>
      </c>
      <c r="D57" t="s">
        <v>27</v>
      </c>
      <c r="E57" s="2">
        <v>45803</v>
      </c>
      <c r="F57" s="2">
        <v>45803</v>
      </c>
      <c r="G57" s="3">
        <v>64</v>
      </c>
      <c r="H57" s="4" t="s">
        <v>28</v>
      </c>
      <c r="I57">
        <v>19</v>
      </c>
      <c r="J57">
        <v>0</v>
      </c>
      <c r="K57">
        <v>0</v>
      </c>
      <c r="L57" s="3">
        <v>1</v>
      </c>
      <c r="M57" s="3">
        <v>0</v>
      </c>
      <c r="N57">
        <v>0</v>
      </c>
      <c r="O57">
        <v>0</v>
      </c>
      <c r="P57">
        <v>0</v>
      </c>
      <c r="Q57">
        <v>19</v>
      </c>
      <c r="R57" s="3">
        <v>0</v>
      </c>
      <c r="S57" s="3">
        <v>0</v>
      </c>
      <c r="T57">
        <v>0</v>
      </c>
      <c r="U57">
        <v>0</v>
      </c>
      <c r="V57" s="3">
        <v>0</v>
      </c>
      <c r="W57" s="3">
        <v>0</v>
      </c>
      <c r="X57">
        <v>0</v>
      </c>
      <c r="Y57" t="s">
        <v>165</v>
      </c>
    </row>
    <row r="58" spans="1:25" hidden="1" x14ac:dyDescent="0.25">
      <c r="A58" s="1" t="s">
        <v>58</v>
      </c>
      <c r="B58" s="1" t="s">
        <v>144</v>
      </c>
      <c r="C58" s="1" t="s">
        <v>354</v>
      </c>
      <c r="D58" t="s">
        <v>27</v>
      </c>
      <c r="E58" s="2">
        <v>45803</v>
      </c>
      <c r="F58" s="2">
        <v>45803</v>
      </c>
      <c r="G58" s="3">
        <v>28</v>
      </c>
      <c r="H58" s="4" t="s">
        <v>28</v>
      </c>
      <c r="I58">
        <v>52</v>
      </c>
      <c r="J58">
        <v>0</v>
      </c>
      <c r="K58">
        <v>0</v>
      </c>
      <c r="L58" s="3">
        <v>1</v>
      </c>
      <c r="M58" s="3">
        <v>0</v>
      </c>
      <c r="N58">
        <v>0</v>
      </c>
      <c r="O58">
        <v>0</v>
      </c>
      <c r="P58">
        <v>2</v>
      </c>
      <c r="Q58">
        <v>0</v>
      </c>
      <c r="R58" s="3">
        <v>0</v>
      </c>
      <c r="S58" s="3">
        <v>0</v>
      </c>
      <c r="T58">
        <v>0</v>
      </c>
      <c r="U58">
        <v>0</v>
      </c>
      <c r="V58" s="3">
        <v>0</v>
      </c>
      <c r="W58" s="3">
        <v>0</v>
      </c>
      <c r="X58">
        <v>0</v>
      </c>
      <c r="Y58" t="s">
        <v>166</v>
      </c>
    </row>
    <row r="59" spans="1:25" hidden="1" x14ac:dyDescent="0.25">
      <c r="A59" s="1" t="s">
        <v>34</v>
      </c>
      <c r="B59" s="1" t="s">
        <v>106</v>
      </c>
      <c r="C59" s="1" t="s">
        <v>30</v>
      </c>
      <c r="D59" t="s">
        <v>27</v>
      </c>
      <c r="E59" s="2">
        <v>45803</v>
      </c>
      <c r="F59" s="2">
        <v>45803</v>
      </c>
      <c r="G59" s="3">
        <v>29</v>
      </c>
      <c r="H59" s="4" t="s">
        <v>959</v>
      </c>
      <c r="I59">
        <v>0</v>
      </c>
      <c r="J59">
        <v>0</v>
      </c>
      <c r="K59">
        <v>0</v>
      </c>
      <c r="L59" s="3">
        <v>0</v>
      </c>
      <c r="M59" s="3">
        <v>0</v>
      </c>
      <c r="N59">
        <v>0</v>
      </c>
      <c r="O59">
        <v>0</v>
      </c>
      <c r="P59">
        <v>0</v>
      </c>
      <c r="Q59">
        <v>0</v>
      </c>
      <c r="R59" s="3">
        <v>0</v>
      </c>
      <c r="S59" s="3">
        <v>0</v>
      </c>
      <c r="T59">
        <v>0</v>
      </c>
      <c r="U59">
        <v>0</v>
      </c>
      <c r="V59" s="3">
        <v>0</v>
      </c>
      <c r="W59" s="3">
        <v>0</v>
      </c>
      <c r="X59" s="3">
        <v>0</v>
      </c>
      <c r="Y59" t="s">
        <v>166</v>
      </c>
    </row>
    <row r="60" spans="1:25" hidden="1" x14ac:dyDescent="0.25">
      <c r="A60" s="1" t="s">
        <v>56</v>
      </c>
      <c r="B60" s="1" t="s">
        <v>98</v>
      </c>
      <c r="C60" s="1" t="s">
        <v>37</v>
      </c>
      <c r="D60" s="1" t="s">
        <v>27</v>
      </c>
      <c r="E60" s="2">
        <v>45804</v>
      </c>
      <c r="F60" s="2">
        <v>45804</v>
      </c>
      <c r="G60" s="3">
        <v>27</v>
      </c>
      <c r="H60" s="4" t="s">
        <v>28</v>
      </c>
      <c r="I60" s="1">
        <v>72</v>
      </c>
      <c r="J60">
        <v>0</v>
      </c>
      <c r="K60">
        <v>0</v>
      </c>
      <c r="L60" s="3">
        <v>1</v>
      </c>
      <c r="M60" s="3">
        <v>0</v>
      </c>
      <c r="N60">
        <v>0</v>
      </c>
      <c r="O60">
        <v>0</v>
      </c>
      <c r="P60">
        <v>0</v>
      </c>
      <c r="Q60">
        <v>0</v>
      </c>
      <c r="R60" s="3">
        <v>0</v>
      </c>
      <c r="S60" s="3">
        <v>0</v>
      </c>
      <c r="T60">
        <v>0</v>
      </c>
      <c r="U60">
        <v>0</v>
      </c>
      <c r="V60" s="3">
        <v>0</v>
      </c>
      <c r="W60" s="3">
        <v>0</v>
      </c>
      <c r="X60">
        <v>0</v>
      </c>
      <c r="Y60" t="s">
        <v>167</v>
      </c>
    </row>
    <row r="61" spans="1:25" hidden="1" x14ac:dyDescent="0.25">
      <c r="A61" s="1" t="s">
        <v>29</v>
      </c>
      <c r="B61" s="1" t="s">
        <v>100</v>
      </c>
      <c r="C61" s="1" t="s">
        <v>95</v>
      </c>
      <c r="D61" s="1" t="s">
        <v>27</v>
      </c>
      <c r="E61" s="2">
        <v>45804</v>
      </c>
      <c r="F61" s="2">
        <v>45804</v>
      </c>
      <c r="G61" s="3">
        <v>44</v>
      </c>
      <c r="H61" s="4" t="s">
        <v>28</v>
      </c>
      <c r="I61">
        <v>50</v>
      </c>
      <c r="J61">
        <v>0</v>
      </c>
      <c r="K61">
        <v>0</v>
      </c>
      <c r="L61" s="3">
        <v>0</v>
      </c>
      <c r="M61" s="3">
        <v>0</v>
      </c>
      <c r="N61">
        <v>0</v>
      </c>
      <c r="O61">
        <v>0</v>
      </c>
      <c r="P61">
        <v>0</v>
      </c>
      <c r="Q61">
        <v>0</v>
      </c>
      <c r="R61" s="3">
        <v>0</v>
      </c>
      <c r="S61" s="3">
        <v>0</v>
      </c>
      <c r="T61">
        <v>0</v>
      </c>
      <c r="U61">
        <v>0</v>
      </c>
      <c r="V61" s="3">
        <v>0</v>
      </c>
      <c r="W61" s="3">
        <v>0</v>
      </c>
      <c r="X61">
        <v>0</v>
      </c>
      <c r="Y61" t="s">
        <v>168</v>
      </c>
    </row>
    <row r="62" spans="1:25" hidden="1" x14ac:dyDescent="0.25">
      <c r="A62" s="1" t="s">
        <v>344</v>
      </c>
      <c r="B62" s="1" t="s">
        <v>100</v>
      </c>
      <c r="C62" s="1" t="s">
        <v>35</v>
      </c>
      <c r="D62" s="1" t="s">
        <v>27</v>
      </c>
      <c r="E62" s="2">
        <v>45804</v>
      </c>
      <c r="F62" s="2">
        <v>45804</v>
      </c>
      <c r="G62" s="3">
        <v>44</v>
      </c>
      <c r="H62" s="4" t="s">
        <v>28</v>
      </c>
      <c r="I62">
        <v>34</v>
      </c>
      <c r="J62">
        <v>0</v>
      </c>
      <c r="K62">
        <v>0</v>
      </c>
      <c r="L62" s="3">
        <v>0</v>
      </c>
      <c r="M62" s="3">
        <v>0</v>
      </c>
      <c r="N62">
        <v>0</v>
      </c>
      <c r="O62">
        <v>0</v>
      </c>
      <c r="P62">
        <v>0</v>
      </c>
      <c r="Q62">
        <v>0</v>
      </c>
      <c r="R62" s="3">
        <v>0</v>
      </c>
      <c r="S62" s="3">
        <v>0</v>
      </c>
      <c r="T62">
        <v>0</v>
      </c>
      <c r="U62">
        <v>0</v>
      </c>
      <c r="V62" s="3">
        <v>0</v>
      </c>
      <c r="W62" s="3">
        <v>0</v>
      </c>
      <c r="X62">
        <v>0</v>
      </c>
      <c r="Y62" t="s">
        <v>168</v>
      </c>
    </row>
    <row r="63" spans="1:25" hidden="1" x14ac:dyDescent="0.25">
      <c r="A63" s="1" t="s">
        <v>31</v>
      </c>
      <c r="B63" s="1" t="s">
        <v>104</v>
      </c>
      <c r="C63" s="1" t="s">
        <v>32</v>
      </c>
      <c r="D63" s="1" t="s">
        <v>27</v>
      </c>
      <c r="E63" s="2">
        <v>45804</v>
      </c>
      <c r="F63" s="2">
        <v>45804</v>
      </c>
      <c r="G63" s="3">
        <v>57</v>
      </c>
      <c r="H63" s="4" t="s">
        <v>28</v>
      </c>
      <c r="I63">
        <v>68</v>
      </c>
      <c r="J63">
        <v>0</v>
      </c>
      <c r="K63">
        <v>0</v>
      </c>
      <c r="L63" s="3">
        <v>0</v>
      </c>
      <c r="M63" s="3">
        <v>0</v>
      </c>
      <c r="N63">
        <v>0</v>
      </c>
      <c r="O63">
        <v>0</v>
      </c>
      <c r="P63">
        <v>0</v>
      </c>
      <c r="Q63">
        <v>50</v>
      </c>
      <c r="R63" s="3">
        <v>0</v>
      </c>
      <c r="S63" s="3">
        <v>0</v>
      </c>
      <c r="T63">
        <v>0</v>
      </c>
      <c r="U63">
        <v>0</v>
      </c>
      <c r="V63" s="3">
        <v>0</v>
      </c>
      <c r="W63" s="3">
        <v>0</v>
      </c>
      <c r="X63">
        <v>0</v>
      </c>
      <c r="Y63" t="s">
        <v>169</v>
      </c>
    </row>
    <row r="64" spans="1:25" hidden="1" x14ac:dyDescent="0.25">
      <c r="A64" s="1" t="s">
        <v>38</v>
      </c>
      <c r="B64" s="1" t="s">
        <v>108</v>
      </c>
      <c r="C64" s="1" t="s">
        <v>39</v>
      </c>
      <c r="D64" s="1" t="s">
        <v>27</v>
      </c>
      <c r="E64" s="2">
        <v>45804</v>
      </c>
      <c r="F64" s="2">
        <v>45804</v>
      </c>
      <c r="G64" s="3">
        <v>40</v>
      </c>
      <c r="H64" s="4" t="s">
        <v>28</v>
      </c>
      <c r="I64">
        <v>40</v>
      </c>
      <c r="J64">
        <v>0</v>
      </c>
      <c r="K64">
        <v>0</v>
      </c>
      <c r="L64" s="3">
        <v>1</v>
      </c>
      <c r="M64" s="3">
        <v>0</v>
      </c>
      <c r="N64">
        <v>0</v>
      </c>
      <c r="O64">
        <v>0</v>
      </c>
      <c r="P64">
        <v>0</v>
      </c>
      <c r="Q64">
        <v>40</v>
      </c>
      <c r="R64" s="3">
        <v>0</v>
      </c>
      <c r="S64" s="3">
        <v>0</v>
      </c>
      <c r="T64">
        <v>0</v>
      </c>
      <c r="U64">
        <v>0</v>
      </c>
      <c r="V64" s="3">
        <v>0</v>
      </c>
      <c r="W64" s="3">
        <v>0</v>
      </c>
      <c r="X64">
        <v>0</v>
      </c>
      <c r="Y64" t="s">
        <v>170</v>
      </c>
    </row>
    <row r="65" spans="1:25" hidden="1" x14ac:dyDescent="0.25">
      <c r="A65" s="1" t="s">
        <v>40</v>
      </c>
      <c r="B65" s="1" t="s">
        <v>110</v>
      </c>
      <c r="C65" s="1" t="s">
        <v>36</v>
      </c>
      <c r="D65" s="1" t="s">
        <v>27</v>
      </c>
      <c r="E65" s="2">
        <v>45804</v>
      </c>
      <c r="F65" s="2">
        <v>45804</v>
      </c>
      <c r="G65" s="3">
        <v>36</v>
      </c>
      <c r="H65" s="4" t="s">
        <v>28</v>
      </c>
      <c r="I65">
        <v>26</v>
      </c>
      <c r="J65">
        <v>0</v>
      </c>
      <c r="K65">
        <v>0</v>
      </c>
      <c r="L65" s="3">
        <v>0</v>
      </c>
      <c r="M65" s="3">
        <v>0</v>
      </c>
      <c r="N65">
        <v>1</v>
      </c>
      <c r="O65">
        <v>0</v>
      </c>
      <c r="P65">
        <v>0</v>
      </c>
      <c r="Q65">
        <v>0</v>
      </c>
      <c r="R65" s="3">
        <v>0</v>
      </c>
      <c r="S65" s="3">
        <v>0</v>
      </c>
      <c r="T65">
        <v>0</v>
      </c>
      <c r="U65">
        <v>0</v>
      </c>
      <c r="V65" s="3">
        <v>0</v>
      </c>
      <c r="W65" s="3">
        <v>0</v>
      </c>
      <c r="X65">
        <v>0</v>
      </c>
      <c r="Y65" t="s">
        <v>133</v>
      </c>
    </row>
    <row r="66" spans="1:25" hidden="1" x14ac:dyDescent="0.25">
      <c r="A66" s="1" t="s">
        <v>41</v>
      </c>
      <c r="B66" s="1" t="s">
        <v>112</v>
      </c>
      <c r="C66" s="1" t="s">
        <v>42</v>
      </c>
      <c r="D66" s="1" t="s">
        <v>27</v>
      </c>
      <c r="E66" s="2">
        <v>45804</v>
      </c>
      <c r="F66" s="2">
        <v>45804</v>
      </c>
      <c r="G66" s="3">
        <v>31</v>
      </c>
      <c r="H66" s="4" t="s">
        <v>28</v>
      </c>
      <c r="I66">
        <v>39</v>
      </c>
      <c r="J66">
        <v>0</v>
      </c>
      <c r="K66">
        <v>0</v>
      </c>
      <c r="L66" s="3">
        <v>1</v>
      </c>
      <c r="M66" s="3">
        <v>0</v>
      </c>
      <c r="N66">
        <v>0</v>
      </c>
      <c r="O66">
        <v>0</v>
      </c>
      <c r="P66">
        <v>0</v>
      </c>
      <c r="Q66">
        <v>0</v>
      </c>
      <c r="R66" s="3">
        <v>0</v>
      </c>
      <c r="S66" s="3">
        <v>0</v>
      </c>
      <c r="T66">
        <v>0</v>
      </c>
      <c r="U66">
        <v>0</v>
      </c>
      <c r="V66" s="3">
        <v>0</v>
      </c>
      <c r="W66" s="3">
        <v>0</v>
      </c>
      <c r="X66">
        <v>0</v>
      </c>
      <c r="Y66" t="s">
        <v>171</v>
      </c>
    </row>
    <row r="67" spans="1:25" hidden="1" x14ac:dyDescent="0.25">
      <c r="A67" s="1" t="s">
        <v>43</v>
      </c>
      <c r="B67" s="1" t="s">
        <v>114</v>
      </c>
      <c r="C67" s="1" t="s">
        <v>44</v>
      </c>
      <c r="D67" s="1" t="s">
        <v>27</v>
      </c>
      <c r="E67" s="2">
        <v>45804</v>
      </c>
      <c r="F67" s="2">
        <v>45804</v>
      </c>
      <c r="G67" s="3">
        <v>44</v>
      </c>
      <c r="H67" s="4" t="s">
        <v>28</v>
      </c>
      <c r="I67">
        <v>56</v>
      </c>
      <c r="J67">
        <v>0</v>
      </c>
      <c r="K67">
        <v>0</v>
      </c>
      <c r="L67" s="3">
        <v>1</v>
      </c>
      <c r="M67" s="3">
        <v>0</v>
      </c>
      <c r="N67">
        <v>0</v>
      </c>
      <c r="O67">
        <v>0</v>
      </c>
      <c r="P67">
        <v>0</v>
      </c>
      <c r="Q67">
        <v>0</v>
      </c>
      <c r="R67" s="3">
        <v>0</v>
      </c>
      <c r="S67" s="3">
        <v>0</v>
      </c>
      <c r="T67">
        <v>0</v>
      </c>
      <c r="U67">
        <v>0</v>
      </c>
      <c r="V67" s="3">
        <v>0</v>
      </c>
      <c r="W67" s="3">
        <v>0</v>
      </c>
      <c r="X67">
        <v>0</v>
      </c>
      <c r="Y67" t="s">
        <v>172</v>
      </c>
    </row>
    <row r="68" spans="1:25" hidden="1" x14ac:dyDescent="0.25">
      <c r="A68" s="1" t="s">
        <v>45</v>
      </c>
      <c r="B68" s="1" t="s">
        <v>116</v>
      </c>
      <c r="C68" s="1" t="s">
        <v>46</v>
      </c>
      <c r="D68" s="1" t="s">
        <v>27</v>
      </c>
      <c r="E68" s="2">
        <v>45804</v>
      </c>
      <c r="F68" s="2">
        <v>45804</v>
      </c>
      <c r="G68" s="3">
        <v>39</v>
      </c>
      <c r="H68" s="4" t="s">
        <v>28</v>
      </c>
      <c r="I68">
        <v>41</v>
      </c>
      <c r="J68">
        <v>0</v>
      </c>
      <c r="K68">
        <v>0</v>
      </c>
      <c r="L68" s="3">
        <v>0</v>
      </c>
      <c r="M68" s="3">
        <v>0</v>
      </c>
      <c r="N68">
        <v>0</v>
      </c>
      <c r="O68">
        <v>0</v>
      </c>
      <c r="P68">
        <v>0</v>
      </c>
      <c r="Q68">
        <v>0</v>
      </c>
      <c r="R68" s="3">
        <v>0</v>
      </c>
      <c r="S68" s="3">
        <v>0</v>
      </c>
      <c r="T68">
        <v>0</v>
      </c>
      <c r="U68">
        <v>0</v>
      </c>
      <c r="V68" s="3">
        <v>0</v>
      </c>
      <c r="W68" s="3">
        <v>0</v>
      </c>
      <c r="X68">
        <v>0</v>
      </c>
      <c r="Y68" t="s">
        <v>173</v>
      </c>
    </row>
    <row r="69" spans="1:25" hidden="1" x14ac:dyDescent="0.25">
      <c r="A69" s="1" t="s">
        <v>47</v>
      </c>
      <c r="B69" s="1" t="s">
        <v>137</v>
      </c>
      <c r="C69" s="1" t="s">
        <v>48</v>
      </c>
      <c r="D69" s="1" t="s">
        <v>27</v>
      </c>
      <c r="E69" s="2">
        <v>45804</v>
      </c>
      <c r="F69" s="2">
        <v>45804</v>
      </c>
      <c r="G69" s="3">
        <v>29</v>
      </c>
      <c r="H69" s="4" t="s">
        <v>28</v>
      </c>
      <c r="I69">
        <v>62</v>
      </c>
      <c r="J69">
        <v>0</v>
      </c>
      <c r="K69">
        <v>0</v>
      </c>
      <c r="L69" s="3">
        <v>0</v>
      </c>
      <c r="M69" s="3">
        <v>0</v>
      </c>
      <c r="N69">
        <v>0</v>
      </c>
      <c r="O69">
        <v>0</v>
      </c>
      <c r="P69">
        <v>0</v>
      </c>
      <c r="Q69">
        <v>0</v>
      </c>
      <c r="R69" s="3">
        <v>0</v>
      </c>
      <c r="S69" s="3">
        <v>0</v>
      </c>
      <c r="T69">
        <v>0</v>
      </c>
      <c r="U69">
        <v>0</v>
      </c>
      <c r="V69" s="3">
        <v>0</v>
      </c>
      <c r="W69" s="3">
        <v>0</v>
      </c>
      <c r="X69">
        <v>0</v>
      </c>
      <c r="Y69" t="s">
        <v>174</v>
      </c>
    </row>
    <row r="70" spans="1:25" hidden="1" x14ac:dyDescent="0.25">
      <c r="A70" s="1" t="s">
        <v>49</v>
      </c>
      <c r="B70" s="1" t="s">
        <v>118</v>
      </c>
      <c r="C70" s="1" t="s">
        <v>50</v>
      </c>
      <c r="D70" s="1" t="s">
        <v>27</v>
      </c>
      <c r="E70" s="2">
        <v>45804</v>
      </c>
      <c r="F70" s="2">
        <v>45804</v>
      </c>
      <c r="G70" s="3">
        <v>27</v>
      </c>
      <c r="H70" s="4" t="s">
        <v>28</v>
      </c>
      <c r="I70">
        <v>29</v>
      </c>
      <c r="J70">
        <v>0</v>
      </c>
      <c r="K70">
        <v>0</v>
      </c>
      <c r="L70" s="3">
        <v>1</v>
      </c>
      <c r="M70" s="3">
        <v>1</v>
      </c>
      <c r="N70">
        <v>0</v>
      </c>
      <c r="O70">
        <v>1</v>
      </c>
      <c r="P70">
        <v>0</v>
      </c>
      <c r="Q70">
        <v>29</v>
      </c>
      <c r="R70" s="3">
        <v>0</v>
      </c>
      <c r="S70" s="3">
        <v>0</v>
      </c>
      <c r="T70">
        <v>0</v>
      </c>
      <c r="U70">
        <v>0</v>
      </c>
      <c r="V70" s="3">
        <v>0</v>
      </c>
      <c r="W70" s="3">
        <v>0</v>
      </c>
      <c r="X70">
        <v>0</v>
      </c>
      <c r="Y70" t="s">
        <v>175</v>
      </c>
    </row>
    <row r="71" spans="1:25" hidden="1" x14ac:dyDescent="0.25">
      <c r="A71" s="1" t="s">
        <v>51</v>
      </c>
      <c r="B71" s="1" t="s">
        <v>120</v>
      </c>
      <c r="C71" s="1" t="s">
        <v>26</v>
      </c>
      <c r="D71" s="1" t="s">
        <v>27</v>
      </c>
      <c r="E71" s="2">
        <v>45804</v>
      </c>
      <c r="F71" s="2">
        <v>45804</v>
      </c>
      <c r="G71" s="3">
        <v>36</v>
      </c>
      <c r="H71" s="4" t="s">
        <v>28</v>
      </c>
      <c r="I71">
        <v>52</v>
      </c>
      <c r="J71">
        <v>0</v>
      </c>
      <c r="K71">
        <v>0</v>
      </c>
      <c r="L71" s="3">
        <v>0</v>
      </c>
      <c r="M71" s="3">
        <v>0</v>
      </c>
      <c r="N71">
        <v>1</v>
      </c>
      <c r="O71">
        <v>0</v>
      </c>
      <c r="P71">
        <v>0</v>
      </c>
      <c r="Q71">
        <v>0</v>
      </c>
      <c r="R71" s="3">
        <v>0</v>
      </c>
      <c r="S71" s="3">
        <v>0</v>
      </c>
      <c r="T71">
        <v>0</v>
      </c>
      <c r="U71">
        <v>0</v>
      </c>
      <c r="V71" s="3">
        <v>0</v>
      </c>
      <c r="W71" s="3">
        <v>0</v>
      </c>
      <c r="X71">
        <v>0</v>
      </c>
      <c r="Y71" t="s">
        <v>176</v>
      </c>
    </row>
    <row r="72" spans="1:25" hidden="1" x14ac:dyDescent="0.25">
      <c r="A72" s="1" t="s">
        <v>54</v>
      </c>
      <c r="B72" s="1" t="s">
        <v>122</v>
      </c>
      <c r="C72" s="1" t="s">
        <v>52</v>
      </c>
      <c r="D72" s="1" t="s">
        <v>27</v>
      </c>
      <c r="E72" s="2">
        <v>45804</v>
      </c>
      <c r="F72" s="2">
        <v>45804</v>
      </c>
      <c r="G72" s="3">
        <v>42</v>
      </c>
      <c r="H72" s="4" t="s">
        <v>28</v>
      </c>
      <c r="I72">
        <v>36</v>
      </c>
      <c r="J72">
        <v>0</v>
      </c>
      <c r="K72">
        <v>0</v>
      </c>
      <c r="L72" s="3">
        <v>0</v>
      </c>
      <c r="M72" s="3">
        <v>0</v>
      </c>
      <c r="N72">
        <v>0</v>
      </c>
      <c r="O72">
        <v>0</v>
      </c>
      <c r="P72">
        <v>0</v>
      </c>
      <c r="Q72">
        <v>0</v>
      </c>
      <c r="R72" s="3">
        <v>0</v>
      </c>
      <c r="S72" s="3">
        <v>0</v>
      </c>
      <c r="T72">
        <v>0</v>
      </c>
      <c r="U72">
        <v>0</v>
      </c>
      <c r="V72" s="3">
        <v>0</v>
      </c>
      <c r="W72" s="3">
        <v>0</v>
      </c>
      <c r="X72">
        <v>0</v>
      </c>
      <c r="Y72" t="s">
        <v>177</v>
      </c>
    </row>
    <row r="73" spans="1:25" hidden="1" x14ac:dyDescent="0.25">
      <c r="A73" s="1" t="s">
        <v>53</v>
      </c>
      <c r="B73" s="1" t="s">
        <v>142</v>
      </c>
      <c r="C73" s="1" t="s">
        <v>39</v>
      </c>
      <c r="D73" s="1" t="s">
        <v>27</v>
      </c>
      <c r="E73" s="2">
        <v>45804</v>
      </c>
      <c r="F73" s="2">
        <v>45804</v>
      </c>
      <c r="G73" s="3">
        <v>38</v>
      </c>
      <c r="H73" s="4" t="s">
        <v>28</v>
      </c>
      <c r="I73">
        <v>16</v>
      </c>
      <c r="J73">
        <v>0</v>
      </c>
      <c r="K73">
        <v>0</v>
      </c>
      <c r="L73" s="3">
        <v>1</v>
      </c>
      <c r="M73" s="3">
        <v>0</v>
      </c>
      <c r="N73">
        <v>0</v>
      </c>
      <c r="O73">
        <v>0</v>
      </c>
      <c r="P73">
        <v>0</v>
      </c>
      <c r="Q73">
        <v>16</v>
      </c>
      <c r="R73" s="3">
        <v>0</v>
      </c>
      <c r="S73" s="3">
        <v>0</v>
      </c>
      <c r="T73">
        <v>0</v>
      </c>
      <c r="U73">
        <v>0</v>
      </c>
      <c r="V73" s="3">
        <v>0</v>
      </c>
      <c r="W73" s="3">
        <v>0</v>
      </c>
      <c r="X73">
        <v>0</v>
      </c>
      <c r="Y73" t="s">
        <v>178</v>
      </c>
    </row>
    <row r="74" spans="1:25" hidden="1" x14ac:dyDescent="0.25">
      <c r="A74" s="1" t="s">
        <v>58</v>
      </c>
      <c r="B74" s="1" t="s">
        <v>144</v>
      </c>
      <c r="C74" s="1" t="s">
        <v>354</v>
      </c>
      <c r="D74" s="1" t="s">
        <v>27</v>
      </c>
      <c r="E74" s="2">
        <v>45804</v>
      </c>
      <c r="F74" s="2">
        <v>45804</v>
      </c>
      <c r="G74" s="3">
        <v>28</v>
      </c>
      <c r="H74" s="4" t="s">
        <v>28</v>
      </c>
      <c r="I74">
        <v>38</v>
      </c>
      <c r="J74">
        <v>0</v>
      </c>
      <c r="K74">
        <v>0</v>
      </c>
      <c r="L74" s="3">
        <v>0</v>
      </c>
      <c r="M74" s="3">
        <v>0</v>
      </c>
      <c r="N74">
        <v>0</v>
      </c>
      <c r="O74">
        <v>0</v>
      </c>
      <c r="P74">
        <v>0</v>
      </c>
      <c r="Q74">
        <v>0</v>
      </c>
      <c r="R74" s="3">
        <v>0</v>
      </c>
      <c r="S74" s="3">
        <v>0</v>
      </c>
      <c r="T74">
        <v>0</v>
      </c>
      <c r="U74">
        <v>0</v>
      </c>
      <c r="V74" s="3">
        <v>0</v>
      </c>
      <c r="W74" s="3">
        <v>0</v>
      </c>
      <c r="X74">
        <v>0</v>
      </c>
      <c r="Y74" t="s">
        <v>179</v>
      </c>
    </row>
    <row r="75" spans="1:25" hidden="1" x14ac:dyDescent="0.25">
      <c r="A75" s="1" t="s">
        <v>25</v>
      </c>
      <c r="B75" s="1" t="s">
        <v>106</v>
      </c>
      <c r="C75" s="1" t="s">
        <v>27</v>
      </c>
      <c r="D75" s="1" t="s">
        <v>27</v>
      </c>
      <c r="E75" s="2">
        <v>45804</v>
      </c>
      <c r="F75" s="2">
        <v>45804</v>
      </c>
      <c r="G75" s="3">
        <v>28</v>
      </c>
      <c r="H75" s="4" t="s">
        <v>180</v>
      </c>
      <c r="I75">
        <v>0</v>
      </c>
      <c r="J75">
        <v>0</v>
      </c>
      <c r="K75">
        <v>0</v>
      </c>
      <c r="L75" s="3">
        <v>0</v>
      </c>
      <c r="M75" s="3">
        <v>0</v>
      </c>
      <c r="N75">
        <v>0</v>
      </c>
      <c r="O75">
        <v>0</v>
      </c>
      <c r="P75">
        <v>0</v>
      </c>
      <c r="Q75">
        <v>0</v>
      </c>
      <c r="R75" s="3">
        <v>0</v>
      </c>
      <c r="S75" s="3">
        <v>0</v>
      </c>
      <c r="T75">
        <v>0</v>
      </c>
      <c r="U75">
        <v>0</v>
      </c>
      <c r="V75" s="3">
        <v>0</v>
      </c>
      <c r="W75" s="3">
        <v>0</v>
      </c>
      <c r="X75" s="3">
        <v>0</v>
      </c>
      <c r="Y75" t="s">
        <v>181</v>
      </c>
    </row>
    <row r="76" spans="1:25" hidden="1" x14ac:dyDescent="0.25">
      <c r="A76" s="1" t="s">
        <v>94</v>
      </c>
      <c r="B76" s="1" t="s">
        <v>182</v>
      </c>
      <c r="C76" s="1" t="s">
        <v>55</v>
      </c>
      <c r="D76" s="1" t="s">
        <v>27</v>
      </c>
      <c r="E76" s="2">
        <v>45804</v>
      </c>
      <c r="F76" s="2">
        <v>45804</v>
      </c>
      <c r="G76" s="3">
        <v>28</v>
      </c>
      <c r="H76" s="4" t="s">
        <v>959</v>
      </c>
      <c r="I76">
        <v>0</v>
      </c>
      <c r="J76">
        <v>0</v>
      </c>
      <c r="K76">
        <v>0</v>
      </c>
      <c r="L76" s="3">
        <v>0</v>
      </c>
      <c r="M76" s="3">
        <v>0</v>
      </c>
      <c r="N76">
        <v>0</v>
      </c>
      <c r="O76">
        <v>0</v>
      </c>
      <c r="P76">
        <v>0</v>
      </c>
      <c r="Q76">
        <v>0</v>
      </c>
      <c r="R76" s="3">
        <v>0</v>
      </c>
      <c r="S76" s="3">
        <v>0</v>
      </c>
      <c r="T76">
        <v>0</v>
      </c>
      <c r="U76">
        <v>0</v>
      </c>
      <c r="V76" s="3">
        <v>0</v>
      </c>
      <c r="W76" s="3">
        <v>0</v>
      </c>
      <c r="X76" s="3">
        <v>0</v>
      </c>
      <c r="Y76" t="s">
        <v>183</v>
      </c>
    </row>
    <row r="77" spans="1:25" hidden="1" x14ac:dyDescent="0.25">
      <c r="A77" s="1" t="s">
        <v>33</v>
      </c>
      <c r="B77" s="1" t="s">
        <v>184</v>
      </c>
      <c r="C77" s="1" t="s">
        <v>27</v>
      </c>
      <c r="D77" s="1" t="s">
        <v>27</v>
      </c>
      <c r="E77" s="2">
        <v>45804</v>
      </c>
      <c r="F77" s="2">
        <v>45804</v>
      </c>
      <c r="G77" s="3">
        <v>28</v>
      </c>
      <c r="H77" s="4" t="s">
        <v>28</v>
      </c>
      <c r="I77">
        <v>35</v>
      </c>
      <c r="J77">
        <v>0</v>
      </c>
      <c r="K77">
        <v>0</v>
      </c>
      <c r="L77" s="3">
        <v>0</v>
      </c>
      <c r="M77" s="3">
        <v>0</v>
      </c>
      <c r="N77">
        <v>0</v>
      </c>
      <c r="O77">
        <v>0</v>
      </c>
      <c r="P77">
        <v>0</v>
      </c>
      <c r="Q77">
        <v>0</v>
      </c>
      <c r="R77" s="3">
        <v>0</v>
      </c>
      <c r="S77" s="3">
        <v>0</v>
      </c>
      <c r="T77">
        <v>0</v>
      </c>
      <c r="U77">
        <v>0</v>
      </c>
      <c r="V77" s="3">
        <v>0</v>
      </c>
      <c r="W77" s="3">
        <v>0</v>
      </c>
      <c r="X77" s="3">
        <v>0</v>
      </c>
      <c r="Y77" t="s">
        <v>185</v>
      </c>
    </row>
    <row r="78" spans="1:25" hidden="1" x14ac:dyDescent="0.25">
      <c r="A78" s="1" t="s">
        <v>94</v>
      </c>
      <c r="B78" s="1" t="s">
        <v>186</v>
      </c>
      <c r="C78" s="1" t="s">
        <v>57</v>
      </c>
      <c r="D78" s="1" t="s">
        <v>27</v>
      </c>
      <c r="E78" s="2">
        <v>45804</v>
      </c>
      <c r="F78" s="2">
        <v>45804</v>
      </c>
      <c r="G78" s="3">
        <v>28</v>
      </c>
      <c r="H78" s="4" t="s">
        <v>959</v>
      </c>
      <c r="I78">
        <v>0</v>
      </c>
      <c r="J78">
        <v>0</v>
      </c>
      <c r="K78">
        <v>0</v>
      </c>
      <c r="L78" s="3">
        <v>0</v>
      </c>
      <c r="M78" s="3">
        <v>0</v>
      </c>
      <c r="N78">
        <v>0</v>
      </c>
      <c r="O78">
        <v>0</v>
      </c>
      <c r="P78">
        <v>0</v>
      </c>
      <c r="Q78">
        <v>0</v>
      </c>
      <c r="R78" s="3">
        <v>0</v>
      </c>
      <c r="S78" s="3">
        <v>0</v>
      </c>
      <c r="T78">
        <v>0</v>
      </c>
      <c r="U78">
        <v>0</v>
      </c>
      <c r="V78" s="3">
        <v>0</v>
      </c>
      <c r="W78" s="3">
        <v>0</v>
      </c>
      <c r="X78" s="3">
        <v>0</v>
      </c>
      <c r="Y78" t="s">
        <v>187</v>
      </c>
    </row>
    <row r="79" spans="1:25" hidden="1" x14ac:dyDescent="0.25">
      <c r="A79" s="1" t="s">
        <v>34</v>
      </c>
      <c r="B79" s="1" t="s">
        <v>188</v>
      </c>
      <c r="C79" s="1" t="s">
        <v>27</v>
      </c>
      <c r="D79" s="1" t="s">
        <v>27</v>
      </c>
      <c r="E79" s="2">
        <v>45804</v>
      </c>
      <c r="F79" s="2">
        <v>45804</v>
      </c>
      <c r="G79" s="3">
        <v>28</v>
      </c>
      <c r="H79" s="4" t="s">
        <v>28</v>
      </c>
      <c r="I79">
        <v>50</v>
      </c>
      <c r="J79">
        <v>0</v>
      </c>
      <c r="K79">
        <v>0</v>
      </c>
      <c r="L79" s="3">
        <v>0</v>
      </c>
      <c r="M79" s="3">
        <v>0</v>
      </c>
      <c r="N79">
        <v>0</v>
      </c>
      <c r="O79">
        <v>0</v>
      </c>
      <c r="P79">
        <v>0</v>
      </c>
      <c r="Q79">
        <v>0</v>
      </c>
      <c r="R79" s="3">
        <v>0</v>
      </c>
      <c r="S79" s="3">
        <v>0</v>
      </c>
      <c r="T79">
        <v>0</v>
      </c>
      <c r="U79">
        <v>0</v>
      </c>
      <c r="V79" s="3">
        <v>0</v>
      </c>
      <c r="W79" s="3">
        <v>0</v>
      </c>
      <c r="X79" s="3">
        <v>0</v>
      </c>
      <c r="Y79" t="s">
        <v>189</v>
      </c>
    </row>
    <row r="80" spans="1:25" hidden="1" x14ac:dyDescent="0.25">
      <c r="A80" s="1" t="s">
        <v>94</v>
      </c>
      <c r="B80" s="1" t="s">
        <v>120</v>
      </c>
      <c r="C80" s="1" t="s">
        <v>30</v>
      </c>
      <c r="D80" s="1" t="s">
        <v>27</v>
      </c>
      <c r="E80" s="2">
        <v>45804</v>
      </c>
      <c r="F80" s="2">
        <v>45804</v>
      </c>
      <c r="G80" s="3">
        <v>29</v>
      </c>
      <c r="H80" s="4" t="s">
        <v>959</v>
      </c>
      <c r="I80">
        <v>0</v>
      </c>
      <c r="J80">
        <v>0</v>
      </c>
      <c r="K80">
        <v>0</v>
      </c>
      <c r="L80" s="3">
        <v>0</v>
      </c>
      <c r="M80" s="3">
        <v>0</v>
      </c>
      <c r="N80">
        <v>0</v>
      </c>
      <c r="O80">
        <v>0</v>
      </c>
      <c r="P80">
        <v>0</v>
      </c>
      <c r="Q80">
        <v>0</v>
      </c>
      <c r="R80" s="3">
        <v>0</v>
      </c>
      <c r="S80" s="3">
        <v>0</v>
      </c>
      <c r="T80">
        <v>0</v>
      </c>
      <c r="U80">
        <v>0</v>
      </c>
      <c r="V80" s="3">
        <v>0</v>
      </c>
      <c r="W80" s="3">
        <v>0</v>
      </c>
      <c r="X80" s="3">
        <v>0</v>
      </c>
      <c r="Y80" t="s">
        <v>190</v>
      </c>
    </row>
    <row r="81" spans="1:25" hidden="1" x14ac:dyDescent="0.25">
      <c r="A81" s="1" t="s">
        <v>25</v>
      </c>
      <c r="B81" s="1" t="s">
        <v>96</v>
      </c>
      <c r="C81" s="1" t="s">
        <v>26</v>
      </c>
      <c r="D81" t="s">
        <v>27</v>
      </c>
      <c r="E81" s="2">
        <v>45805</v>
      </c>
      <c r="F81" s="2">
        <v>45805</v>
      </c>
      <c r="G81" s="3">
        <v>36</v>
      </c>
      <c r="H81" s="4" t="s">
        <v>28</v>
      </c>
      <c r="I81">
        <v>47</v>
      </c>
      <c r="J81">
        <v>0</v>
      </c>
      <c r="K81">
        <v>0</v>
      </c>
      <c r="L81" s="3">
        <v>0</v>
      </c>
      <c r="M81" s="3">
        <v>0</v>
      </c>
      <c r="N81">
        <v>1</v>
      </c>
      <c r="O81">
        <v>0</v>
      </c>
      <c r="P81">
        <v>0</v>
      </c>
      <c r="Q81">
        <v>0</v>
      </c>
      <c r="R81" s="3">
        <v>0</v>
      </c>
      <c r="S81" s="3">
        <v>0</v>
      </c>
      <c r="T81">
        <v>0</v>
      </c>
      <c r="U81">
        <v>0</v>
      </c>
      <c r="V81" s="3">
        <v>0</v>
      </c>
      <c r="W81" s="3">
        <v>0</v>
      </c>
      <c r="X81">
        <v>0</v>
      </c>
      <c r="Y81" t="s">
        <v>191</v>
      </c>
    </row>
    <row r="82" spans="1:25" hidden="1" x14ac:dyDescent="0.25">
      <c r="A82" s="1" t="s">
        <v>56</v>
      </c>
      <c r="B82" s="1" t="s">
        <v>98</v>
      </c>
      <c r="C82" s="1" t="s">
        <v>37</v>
      </c>
      <c r="D82" t="s">
        <v>27</v>
      </c>
      <c r="E82" s="2">
        <v>45805</v>
      </c>
      <c r="F82" s="2">
        <v>45805</v>
      </c>
      <c r="G82" s="3">
        <v>30</v>
      </c>
      <c r="H82" s="4" t="s">
        <v>28</v>
      </c>
      <c r="I82">
        <v>70</v>
      </c>
      <c r="J82">
        <v>0</v>
      </c>
      <c r="K82">
        <v>0</v>
      </c>
      <c r="L82" s="3">
        <v>1</v>
      </c>
      <c r="M82" s="3">
        <v>0</v>
      </c>
      <c r="N82">
        <v>0</v>
      </c>
      <c r="O82">
        <v>0</v>
      </c>
      <c r="P82">
        <v>0</v>
      </c>
      <c r="Q82">
        <v>0</v>
      </c>
      <c r="R82" s="3">
        <v>0</v>
      </c>
      <c r="S82" s="3">
        <v>0</v>
      </c>
      <c r="T82">
        <v>0</v>
      </c>
      <c r="U82">
        <v>0</v>
      </c>
      <c r="V82" s="3">
        <v>0</v>
      </c>
      <c r="W82" s="3">
        <v>0</v>
      </c>
      <c r="X82">
        <v>0</v>
      </c>
      <c r="Y82" t="s">
        <v>192</v>
      </c>
    </row>
    <row r="83" spans="1:25" hidden="1" x14ac:dyDescent="0.25">
      <c r="A83" s="1" t="s">
        <v>29</v>
      </c>
      <c r="B83" s="1" t="s">
        <v>100</v>
      </c>
      <c r="C83" s="1" t="s">
        <v>95</v>
      </c>
      <c r="D83" t="s">
        <v>27</v>
      </c>
      <c r="E83" s="2">
        <v>45805</v>
      </c>
      <c r="F83" s="2">
        <v>45805</v>
      </c>
      <c r="G83" s="3">
        <v>37</v>
      </c>
      <c r="H83" s="4" t="s">
        <v>28</v>
      </c>
      <c r="I83">
        <v>36</v>
      </c>
      <c r="J83">
        <v>0</v>
      </c>
      <c r="K83">
        <v>0</v>
      </c>
      <c r="L83" s="3">
        <v>1</v>
      </c>
      <c r="M83" s="3">
        <v>0</v>
      </c>
      <c r="N83">
        <v>0</v>
      </c>
      <c r="O83">
        <v>0</v>
      </c>
      <c r="P83">
        <v>0</v>
      </c>
      <c r="Q83">
        <v>0</v>
      </c>
      <c r="R83" s="3">
        <v>0</v>
      </c>
      <c r="S83" s="3">
        <v>0</v>
      </c>
      <c r="T83">
        <v>0</v>
      </c>
      <c r="U83">
        <v>0</v>
      </c>
      <c r="V83" s="3">
        <v>0</v>
      </c>
      <c r="W83" s="3">
        <v>0</v>
      </c>
      <c r="X83">
        <v>0</v>
      </c>
      <c r="Y83" t="s">
        <v>193</v>
      </c>
    </row>
    <row r="84" spans="1:25" hidden="1" x14ac:dyDescent="0.25">
      <c r="A84" s="1" t="s">
        <v>344</v>
      </c>
      <c r="B84" s="1" t="s">
        <v>100</v>
      </c>
      <c r="C84" s="1" t="s">
        <v>35</v>
      </c>
      <c r="D84" s="1" t="s">
        <v>27</v>
      </c>
      <c r="E84" s="2">
        <v>45805</v>
      </c>
      <c r="F84" s="2">
        <v>45805</v>
      </c>
      <c r="G84" s="3">
        <v>44</v>
      </c>
      <c r="H84" s="4" t="s">
        <v>28</v>
      </c>
      <c r="I84">
        <v>34</v>
      </c>
      <c r="J84">
        <v>0</v>
      </c>
      <c r="K84">
        <v>0</v>
      </c>
      <c r="L84" s="3">
        <v>0</v>
      </c>
      <c r="M84" s="3">
        <v>0</v>
      </c>
      <c r="N84">
        <v>0</v>
      </c>
      <c r="O84">
        <v>0</v>
      </c>
      <c r="P84">
        <v>0</v>
      </c>
      <c r="Q84">
        <v>0</v>
      </c>
      <c r="R84" s="3">
        <v>0</v>
      </c>
      <c r="S84" s="3">
        <v>0</v>
      </c>
      <c r="T84">
        <v>0</v>
      </c>
      <c r="U84">
        <v>0</v>
      </c>
      <c r="V84" s="3">
        <v>0</v>
      </c>
      <c r="W84" s="3">
        <v>0</v>
      </c>
      <c r="X84">
        <v>0</v>
      </c>
      <c r="Y84" t="s">
        <v>168</v>
      </c>
    </row>
    <row r="85" spans="1:25" hidden="1" x14ac:dyDescent="0.25">
      <c r="A85" s="1" t="s">
        <v>31</v>
      </c>
      <c r="B85" s="1" t="s">
        <v>104</v>
      </c>
      <c r="C85" s="1" t="s">
        <v>32</v>
      </c>
      <c r="D85" t="s">
        <v>27</v>
      </c>
      <c r="E85" s="2">
        <v>45805</v>
      </c>
      <c r="F85" s="2">
        <v>45805</v>
      </c>
      <c r="G85" s="3">
        <v>45</v>
      </c>
      <c r="H85" s="4" t="s">
        <v>28</v>
      </c>
      <c r="I85">
        <v>98</v>
      </c>
      <c r="J85">
        <v>0</v>
      </c>
      <c r="K85">
        <v>0</v>
      </c>
      <c r="L85" s="3">
        <v>0</v>
      </c>
      <c r="M85" s="3">
        <v>0</v>
      </c>
      <c r="N85">
        <v>0</v>
      </c>
      <c r="O85">
        <v>0</v>
      </c>
      <c r="P85">
        <v>0</v>
      </c>
      <c r="Q85">
        <v>50</v>
      </c>
      <c r="R85" s="3">
        <v>0</v>
      </c>
      <c r="S85" s="3">
        <v>0</v>
      </c>
      <c r="T85">
        <v>0</v>
      </c>
      <c r="U85">
        <v>0</v>
      </c>
      <c r="V85" s="3">
        <v>0</v>
      </c>
      <c r="W85" s="3">
        <v>0</v>
      </c>
      <c r="X85">
        <v>0</v>
      </c>
      <c r="Y85" t="s">
        <v>194</v>
      </c>
    </row>
    <row r="86" spans="1:25" hidden="1" x14ac:dyDescent="0.25">
      <c r="A86" s="1" t="s">
        <v>33</v>
      </c>
      <c r="B86" s="1" t="s">
        <v>106</v>
      </c>
      <c r="C86" s="1" t="s">
        <v>57</v>
      </c>
      <c r="D86" t="s">
        <v>27</v>
      </c>
      <c r="E86" s="2">
        <v>45805</v>
      </c>
      <c r="F86" s="2">
        <v>45805</v>
      </c>
      <c r="G86" s="3">
        <v>29</v>
      </c>
      <c r="H86" s="4" t="s">
        <v>28</v>
      </c>
      <c r="I86">
        <v>45</v>
      </c>
      <c r="J86">
        <v>0</v>
      </c>
      <c r="K86">
        <v>0</v>
      </c>
      <c r="L86" s="3">
        <v>0</v>
      </c>
      <c r="M86" s="3">
        <v>0</v>
      </c>
      <c r="N86">
        <v>0</v>
      </c>
      <c r="O86">
        <v>0</v>
      </c>
      <c r="P86">
        <v>0</v>
      </c>
      <c r="Q86">
        <v>0</v>
      </c>
      <c r="R86" s="3">
        <v>0</v>
      </c>
      <c r="S86" s="3">
        <v>0</v>
      </c>
      <c r="T86">
        <v>0</v>
      </c>
      <c r="U86">
        <v>0</v>
      </c>
      <c r="V86" s="3">
        <v>0</v>
      </c>
      <c r="W86" s="3">
        <v>0</v>
      </c>
      <c r="X86">
        <v>0</v>
      </c>
      <c r="Y86" t="s">
        <v>195</v>
      </c>
    </row>
    <row r="87" spans="1:25" hidden="1" x14ac:dyDescent="0.25">
      <c r="A87" s="1" t="s">
        <v>38</v>
      </c>
      <c r="B87" s="1" t="s">
        <v>108</v>
      </c>
      <c r="C87" s="1" t="s">
        <v>39</v>
      </c>
      <c r="D87" t="s">
        <v>27</v>
      </c>
      <c r="E87" s="2">
        <v>45805</v>
      </c>
      <c r="F87" s="2">
        <v>45805</v>
      </c>
      <c r="G87" s="3">
        <v>38</v>
      </c>
      <c r="H87" s="4" t="s">
        <v>28</v>
      </c>
      <c r="I87">
        <v>31</v>
      </c>
      <c r="J87">
        <v>0</v>
      </c>
      <c r="K87">
        <v>0</v>
      </c>
      <c r="L87" s="3">
        <v>1</v>
      </c>
      <c r="M87" s="3">
        <v>0</v>
      </c>
      <c r="N87">
        <v>0</v>
      </c>
      <c r="O87">
        <v>0</v>
      </c>
      <c r="P87">
        <v>0</v>
      </c>
      <c r="Q87">
        <v>31</v>
      </c>
      <c r="R87" s="3">
        <v>0</v>
      </c>
      <c r="S87" s="3">
        <v>0</v>
      </c>
      <c r="T87">
        <v>0</v>
      </c>
      <c r="U87">
        <v>0</v>
      </c>
      <c r="V87" s="3">
        <v>0</v>
      </c>
      <c r="W87" s="3">
        <v>0</v>
      </c>
      <c r="X87">
        <v>0</v>
      </c>
      <c r="Y87" t="s">
        <v>196</v>
      </c>
    </row>
    <row r="88" spans="1:25" hidden="1" x14ac:dyDescent="0.25">
      <c r="A88" s="1" t="s">
        <v>40</v>
      </c>
      <c r="B88" s="1" t="s">
        <v>110</v>
      </c>
      <c r="C88" s="1" t="s">
        <v>36</v>
      </c>
      <c r="D88" t="s">
        <v>27</v>
      </c>
      <c r="E88" s="2">
        <v>45805</v>
      </c>
      <c r="F88" s="2">
        <v>45805</v>
      </c>
      <c r="G88" s="3">
        <v>302</v>
      </c>
      <c r="H88" s="4" t="s">
        <v>28</v>
      </c>
      <c r="I88">
        <v>38</v>
      </c>
      <c r="J88">
        <v>0</v>
      </c>
      <c r="K88">
        <v>0</v>
      </c>
      <c r="L88" s="3">
        <v>0</v>
      </c>
      <c r="M88" s="3">
        <v>0</v>
      </c>
      <c r="N88">
        <v>1</v>
      </c>
      <c r="O88">
        <v>0</v>
      </c>
      <c r="P88">
        <v>0</v>
      </c>
      <c r="Q88">
        <v>0</v>
      </c>
      <c r="R88" s="3">
        <v>0</v>
      </c>
      <c r="S88" s="3">
        <v>0</v>
      </c>
      <c r="T88">
        <v>0</v>
      </c>
      <c r="U88">
        <v>0</v>
      </c>
      <c r="V88" s="3">
        <v>0</v>
      </c>
      <c r="W88" s="3">
        <v>0</v>
      </c>
      <c r="X88">
        <v>0</v>
      </c>
      <c r="Y88" t="s">
        <v>197</v>
      </c>
    </row>
    <row r="89" spans="1:25" hidden="1" x14ac:dyDescent="0.25">
      <c r="A89" s="1" t="s">
        <v>41</v>
      </c>
      <c r="B89" s="1" t="s">
        <v>112</v>
      </c>
      <c r="C89" s="1" t="s">
        <v>42</v>
      </c>
      <c r="D89" t="s">
        <v>27</v>
      </c>
      <c r="E89" s="2">
        <v>45805</v>
      </c>
      <c r="F89" s="2">
        <v>45805</v>
      </c>
      <c r="G89" s="3">
        <v>31</v>
      </c>
      <c r="H89" s="4" t="s">
        <v>28</v>
      </c>
      <c r="I89">
        <v>55</v>
      </c>
      <c r="J89">
        <v>0</v>
      </c>
      <c r="K89">
        <v>0</v>
      </c>
      <c r="L89" s="3">
        <v>1</v>
      </c>
      <c r="M89" s="3">
        <v>0</v>
      </c>
      <c r="N89">
        <v>0</v>
      </c>
      <c r="O89">
        <v>0</v>
      </c>
      <c r="P89">
        <v>0</v>
      </c>
      <c r="Q89">
        <v>0</v>
      </c>
      <c r="R89" s="3">
        <v>0</v>
      </c>
      <c r="S89" s="3">
        <v>0</v>
      </c>
      <c r="T89">
        <v>0</v>
      </c>
      <c r="U89">
        <v>0</v>
      </c>
      <c r="V89" s="3">
        <v>0</v>
      </c>
      <c r="W89" s="3">
        <v>0</v>
      </c>
      <c r="X89">
        <v>0</v>
      </c>
      <c r="Y89" t="s">
        <v>198</v>
      </c>
    </row>
    <row r="90" spans="1:25" hidden="1" x14ac:dyDescent="0.25">
      <c r="A90" s="1" t="s">
        <v>43</v>
      </c>
      <c r="B90" s="1" t="s">
        <v>114</v>
      </c>
      <c r="C90" s="1" t="s">
        <v>44</v>
      </c>
      <c r="D90" t="s">
        <v>27</v>
      </c>
      <c r="E90" s="2">
        <v>45805</v>
      </c>
      <c r="F90" s="2">
        <v>45805</v>
      </c>
      <c r="G90" s="3">
        <v>40</v>
      </c>
      <c r="H90" s="4" t="s">
        <v>28</v>
      </c>
      <c r="I90">
        <v>50</v>
      </c>
      <c r="J90">
        <v>0</v>
      </c>
      <c r="K90">
        <v>0</v>
      </c>
      <c r="L90" s="3">
        <v>0</v>
      </c>
      <c r="M90" s="3">
        <v>0</v>
      </c>
      <c r="N90">
        <v>0</v>
      </c>
      <c r="O90">
        <v>0</v>
      </c>
      <c r="P90">
        <v>0</v>
      </c>
      <c r="Q90">
        <v>0</v>
      </c>
      <c r="R90" s="3">
        <v>0</v>
      </c>
      <c r="S90" s="3">
        <v>0</v>
      </c>
      <c r="T90">
        <v>0</v>
      </c>
      <c r="U90">
        <v>0</v>
      </c>
      <c r="V90" s="3">
        <v>0</v>
      </c>
      <c r="W90" s="3">
        <v>0</v>
      </c>
      <c r="X90">
        <v>0</v>
      </c>
      <c r="Y90" t="s">
        <v>199</v>
      </c>
    </row>
    <row r="91" spans="1:25" hidden="1" x14ac:dyDescent="0.25">
      <c r="A91" s="1" t="s">
        <v>45</v>
      </c>
      <c r="B91" s="1" t="s">
        <v>116</v>
      </c>
      <c r="C91" s="1" t="s">
        <v>46</v>
      </c>
      <c r="D91" t="s">
        <v>27</v>
      </c>
      <c r="E91" s="2">
        <v>45805</v>
      </c>
      <c r="F91" s="2">
        <v>45805</v>
      </c>
      <c r="G91" s="3">
        <v>73</v>
      </c>
      <c r="H91" s="4" t="s">
        <v>28</v>
      </c>
      <c r="I91">
        <v>68</v>
      </c>
      <c r="J91">
        <v>0</v>
      </c>
      <c r="K91">
        <v>0</v>
      </c>
      <c r="L91" s="3">
        <v>1</v>
      </c>
      <c r="M91" s="3">
        <v>0</v>
      </c>
      <c r="N91">
        <v>0</v>
      </c>
      <c r="O91">
        <v>0</v>
      </c>
      <c r="P91">
        <v>0</v>
      </c>
      <c r="Q91">
        <v>0</v>
      </c>
      <c r="R91" s="3">
        <v>0</v>
      </c>
      <c r="S91" s="3">
        <v>0</v>
      </c>
      <c r="T91">
        <v>0</v>
      </c>
      <c r="U91">
        <v>0</v>
      </c>
      <c r="V91" s="3">
        <v>0</v>
      </c>
      <c r="W91" s="3">
        <v>0</v>
      </c>
      <c r="X91">
        <v>0</v>
      </c>
      <c r="Y91" t="s">
        <v>200</v>
      </c>
    </row>
    <row r="92" spans="1:25" hidden="1" x14ac:dyDescent="0.25">
      <c r="A92" s="1" t="s">
        <v>47</v>
      </c>
      <c r="B92" s="1" t="s">
        <v>137</v>
      </c>
      <c r="C92" s="1" t="s">
        <v>48</v>
      </c>
      <c r="D92" t="s">
        <v>27</v>
      </c>
      <c r="E92" s="2">
        <v>45805</v>
      </c>
      <c r="F92" s="2">
        <v>45805</v>
      </c>
      <c r="G92" s="5">
        <v>2360</v>
      </c>
      <c r="H92" s="4" t="s">
        <v>28</v>
      </c>
      <c r="I92">
        <v>54</v>
      </c>
      <c r="J92">
        <v>0</v>
      </c>
      <c r="K92">
        <v>0</v>
      </c>
      <c r="L92" s="3">
        <v>0</v>
      </c>
      <c r="M92" s="3">
        <v>0</v>
      </c>
      <c r="N92">
        <v>0</v>
      </c>
      <c r="O92">
        <v>0</v>
      </c>
      <c r="P92">
        <v>0</v>
      </c>
      <c r="Q92">
        <v>0</v>
      </c>
      <c r="R92" s="3">
        <v>0</v>
      </c>
      <c r="S92" s="3">
        <v>0</v>
      </c>
      <c r="T92">
        <v>0</v>
      </c>
      <c r="U92">
        <v>0</v>
      </c>
      <c r="V92" s="3">
        <v>0</v>
      </c>
      <c r="W92" s="3">
        <v>0</v>
      </c>
      <c r="X92">
        <v>0</v>
      </c>
      <c r="Y92" t="s">
        <v>201</v>
      </c>
    </row>
    <row r="93" spans="1:25" hidden="1" x14ac:dyDescent="0.25">
      <c r="A93" s="1" t="s">
        <v>49</v>
      </c>
      <c r="B93" s="1" t="s">
        <v>118</v>
      </c>
      <c r="C93" s="1" t="s">
        <v>50</v>
      </c>
      <c r="D93" t="s">
        <v>27</v>
      </c>
      <c r="E93" s="2">
        <v>45805</v>
      </c>
      <c r="F93" s="2">
        <v>45805</v>
      </c>
      <c r="G93" s="3">
        <v>94</v>
      </c>
      <c r="H93" s="4" t="s">
        <v>28</v>
      </c>
      <c r="I93">
        <v>50</v>
      </c>
      <c r="J93">
        <v>0</v>
      </c>
      <c r="K93">
        <v>0</v>
      </c>
      <c r="L93" s="3">
        <v>1</v>
      </c>
      <c r="M93" s="3">
        <v>1</v>
      </c>
      <c r="N93">
        <v>0</v>
      </c>
      <c r="O93">
        <v>0</v>
      </c>
      <c r="P93">
        <v>0</v>
      </c>
      <c r="Q93">
        <v>50</v>
      </c>
      <c r="R93" s="3">
        <v>0</v>
      </c>
      <c r="S93" s="3">
        <v>0</v>
      </c>
      <c r="T93">
        <v>0</v>
      </c>
      <c r="U93">
        <v>0</v>
      </c>
      <c r="V93" s="3">
        <v>0</v>
      </c>
      <c r="W93" s="3">
        <v>0</v>
      </c>
      <c r="X93">
        <v>0</v>
      </c>
      <c r="Y93" t="s">
        <v>202</v>
      </c>
    </row>
    <row r="94" spans="1:25" hidden="1" x14ac:dyDescent="0.25">
      <c r="A94" s="1" t="s">
        <v>51</v>
      </c>
      <c r="B94" s="1" t="s">
        <v>120</v>
      </c>
      <c r="C94" s="1" t="s">
        <v>55</v>
      </c>
      <c r="D94" t="s">
        <v>27</v>
      </c>
      <c r="E94" s="2">
        <v>45805</v>
      </c>
      <c r="F94" s="2">
        <v>45805</v>
      </c>
      <c r="G94" s="3">
        <v>87</v>
      </c>
      <c r="H94" s="4" t="s">
        <v>28</v>
      </c>
      <c r="I94">
        <v>50</v>
      </c>
      <c r="J94">
        <v>0</v>
      </c>
      <c r="K94">
        <v>0</v>
      </c>
      <c r="L94" s="3">
        <v>1</v>
      </c>
      <c r="M94" s="3">
        <v>0</v>
      </c>
      <c r="N94">
        <v>1</v>
      </c>
      <c r="O94">
        <v>0</v>
      </c>
      <c r="P94">
        <v>0</v>
      </c>
      <c r="Q94">
        <v>0</v>
      </c>
      <c r="R94" s="3">
        <v>0</v>
      </c>
      <c r="S94" s="3">
        <v>0</v>
      </c>
      <c r="T94">
        <v>0</v>
      </c>
      <c r="U94">
        <v>0</v>
      </c>
      <c r="V94" s="3">
        <v>0</v>
      </c>
      <c r="W94" s="3">
        <v>0</v>
      </c>
      <c r="X94">
        <v>0</v>
      </c>
      <c r="Y94" t="s">
        <v>203</v>
      </c>
    </row>
    <row r="95" spans="1:25" hidden="1" x14ac:dyDescent="0.25">
      <c r="A95" s="1" t="s">
        <v>54</v>
      </c>
      <c r="B95" s="1" t="s">
        <v>122</v>
      </c>
      <c r="C95" s="1" t="s">
        <v>52</v>
      </c>
      <c r="D95" s="1" t="s">
        <v>27</v>
      </c>
      <c r="E95" s="2">
        <v>45805</v>
      </c>
      <c r="F95" s="2">
        <v>45805</v>
      </c>
      <c r="G95" s="3">
        <v>42</v>
      </c>
      <c r="H95" s="4" t="s">
        <v>28</v>
      </c>
      <c r="I95">
        <v>36</v>
      </c>
      <c r="J95">
        <v>0</v>
      </c>
      <c r="K95">
        <v>0</v>
      </c>
      <c r="L95" s="3">
        <v>0</v>
      </c>
      <c r="M95" s="3">
        <v>0</v>
      </c>
      <c r="N95">
        <v>0</v>
      </c>
      <c r="O95">
        <v>0</v>
      </c>
      <c r="P95">
        <v>0</v>
      </c>
      <c r="Q95">
        <v>0</v>
      </c>
      <c r="R95" s="3">
        <v>0</v>
      </c>
      <c r="S95" s="3">
        <v>0</v>
      </c>
      <c r="T95">
        <v>0</v>
      </c>
      <c r="U95">
        <v>0</v>
      </c>
      <c r="V95" s="3">
        <v>0</v>
      </c>
      <c r="W95" s="3">
        <v>0</v>
      </c>
      <c r="X95">
        <v>0</v>
      </c>
      <c r="Y95" t="s">
        <v>177</v>
      </c>
    </row>
    <row r="96" spans="1:25" hidden="1" x14ac:dyDescent="0.25">
      <c r="A96" s="1" t="s">
        <v>53</v>
      </c>
      <c r="B96" s="1" t="s">
        <v>142</v>
      </c>
      <c r="C96" s="1" t="s">
        <v>39</v>
      </c>
      <c r="D96" t="s">
        <v>27</v>
      </c>
      <c r="E96" s="2">
        <v>45805</v>
      </c>
      <c r="F96" s="2">
        <v>45805</v>
      </c>
      <c r="G96" s="3">
        <v>55</v>
      </c>
      <c r="H96" s="4" t="s">
        <v>28</v>
      </c>
      <c r="I96">
        <v>11</v>
      </c>
      <c r="J96">
        <v>0</v>
      </c>
      <c r="K96">
        <v>0</v>
      </c>
      <c r="L96" s="3">
        <v>1</v>
      </c>
      <c r="M96" s="3">
        <v>0</v>
      </c>
      <c r="N96">
        <v>0</v>
      </c>
      <c r="O96">
        <v>0</v>
      </c>
      <c r="P96">
        <v>0</v>
      </c>
      <c r="Q96">
        <v>11</v>
      </c>
      <c r="R96" s="3">
        <v>0</v>
      </c>
      <c r="S96" s="3">
        <v>0</v>
      </c>
      <c r="T96">
        <v>0</v>
      </c>
      <c r="U96">
        <v>0</v>
      </c>
      <c r="V96" s="3">
        <v>0</v>
      </c>
      <c r="W96" s="3">
        <v>0</v>
      </c>
      <c r="X96">
        <v>0</v>
      </c>
      <c r="Y96" t="s">
        <v>204</v>
      </c>
    </row>
    <row r="97" spans="1:25" hidden="1" x14ac:dyDescent="0.25">
      <c r="A97" s="1" t="s">
        <v>58</v>
      </c>
      <c r="B97" s="1" t="s">
        <v>144</v>
      </c>
      <c r="C97" s="1" t="s">
        <v>354</v>
      </c>
      <c r="D97" t="s">
        <v>27</v>
      </c>
      <c r="E97" s="2">
        <v>45805</v>
      </c>
      <c r="F97" s="2">
        <v>45805</v>
      </c>
      <c r="G97" s="3">
        <v>24</v>
      </c>
      <c r="H97" s="4" t="s">
        <v>28</v>
      </c>
      <c r="I97">
        <v>65</v>
      </c>
      <c r="J97">
        <v>0</v>
      </c>
      <c r="K97">
        <v>0</v>
      </c>
      <c r="L97" s="3">
        <v>1</v>
      </c>
      <c r="M97" s="3">
        <v>0</v>
      </c>
      <c r="N97">
        <v>0</v>
      </c>
      <c r="O97">
        <v>0</v>
      </c>
      <c r="P97">
        <v>0</v>
      </c>
      <c r="Q97">
        <v>0</v>
      </c>
      <c r="R97" s="3">
        <v>0</v>
      </c>
      <c r="S97" s="3">
        <v>0</v>
      </c>
      <c r="T97">
        <v>0</v>
      </c>
      <c r="U97">
        <v>0</v>
      </c>
      <c r="V97" s="3">
        <v>0</v>
      </c>
      <c r="W97" s="3">
        <v>0</v>
      </c>
      <c r="X97">
        <v>0</v>
      </c>
      <c r="Y97" t="s">
        <v>205</v>
      </c>
    </row>
    <row r="98" spans="1:25" hidden="1" x14ac:dyDescent="0.25">
      <c r="A98" s="1" t="s">
        <v>34</v>
      </c>
      <c r="B98" s="1" t="s">
        <v>106</v>
      </c>
      <c r="C98" s="1" t="s">
        <v>30</v>
      </c>
      <c r="D98" t="s">
        <v>27</v>
      </c>
      <c r="E98" s="2">
        <v>45805</v>
      </c>
      <c r="F98" s="2">
        <v>45805</v>
      </c>
      <c r="G98" s="3">
        <v>25</v>
      </c>
      <c r="H98" s="4" t="s">
        <v>28</v>
      </c>
      <c r="I98">
        <v>40</v>
      </c>
      <c r="J98">
        <v>0</v>
      </c>
      <c r="K98">
        <v>0</v>
      </c>
      <c r="L98" s="3">
        <v>0</v>
      </c>
      <c r="M98" s="3">
        <v>0</v>
      </c>
      <c r="N98">
        <v>0</v>
      </c>
      <c r="O98">
        <v>0</v>
      </c>
      <c r="P98">
        <v>0</v>
      </c>
      <c r="Q98">
        <v>0</v>
      </c>
      <c r="R98" s="3">
        <v>0</v>
      </c>
      <c r="S98" s="3">
        <v>0</v>
      </c>
      <c r="T98">
        <v>0</v>
      </c>
      <c r="U98">
        <v>0</v>
      </c>
      <c r="V98" s="3">
        <v>0</v>
      </c>
      <c r="W98" s="3">
        <v>0</v>
      </c>
      <c r="X98" s="3">
        <v>0</v>
      </c>
      <c r="Y98" t="s">
        <v>205</v>
      </c>
    </row>
    <row r="99" spans="1:25" hidden="1" x14ac:dyDescent="0.25">
      <c r="A99" s="1" t="s">
        <v>25</v>
      </c>
      <c r="B99" s="1" t="s">
        <v>96</v>
      </c>
      <c r="C99" s="1" t="s">
        <v>26</v>
      </c>
      <c r="D99" s="1" t="s">
        <v>27</v>
      </c>
      <c r="E99" s="2">
        <v>45806</v>
      </c>
      <c r="F99" s="2">
        <v>45806</v>
      </c>
      <c r="G99" s="3">
        <v>41</v>
      </c>
      <c r="H99" s="4" t="s">
        <v>28</v>
      </c>
      <c r="I99">
        <v>52</v>
      </c>
      <c r="J99">
        <v>0</v>
      </c>
      <c r="K99">
        <v>0</v>
      </c>
      <c r="L99" s="3">
        <v>1</v>
      </c>
      <c r="M99" s="3">
        <v>0</v>
      </c>
      <c r="N99">
        <v>1</v>
      </c>
      <c r="O99">
        <v>0</v>
      </c>
      <c r="P99">
        <v>0</v>
      </c>
      <c r="Q99">
        <v>0</v>
      </c>
      <c r="R99" s="3">
        <v>0</v>
      </c>
      <c r="S99" s="3">
        <v>0</v>
      </c>
      <c r="T99">
        <v>0</v>
      </c>
      <c r="U99">
        <v>0</v>
      </c>
      <c r="V99" s="3">
        <v>0</v>
      </c>
      <c r="W99" s="3">
        <v>0</v>
      </c>
      <c r="X99">
        <v>0</v>
      </c>
      <c r="Y99" t="s">
        <v>206</v>
      </c>
    </row>
    <row r="100" spans="1:25" hidden="1" x14ac:dyDescent="0.25">
      <c r="A100" s="1" t="s">
        <v>56</v>
      </c>
      <c r="B100" s="1" t="s">
        <v>98</v>
      </c>
      <c r="C100" s="1" t="s">
        <v>37</v>
      </c>
      <c r="D100" s="1" t="s">
        <v>27</v>
      </c>
      <c r="E100" s="2">
        <v>45806</v>
      </c>
      <c r="F100" s="2">
        <v>45806</v>
      </c>
      <c r="G100" s="3">
        <v>43</v>
      </c>
      <c r="H100" s="4" t="s">
        <v>28</v>
      </c>
      <c r="I100">
        <v>49</v>
      </c>
      <c r="J100">
        <v>0</v>
      </c>
      <c r="K100">
        <v>0</v>
      </c>
      <c r="L100" s="3">
        <v>1</v>
      </c>
      <c r="M100" s="3">
        <v>0</v>
      </c>
      <c r="N100">
        <v>0</v>
      </c>
      <c r="O100">
        <v>0</v>
      </c>
      <c r="P100">
        <v>0</v>
      </c>
      <c r="Q100">
        <v>0</v>
      </c>
      <c r="R100" s="3">
        <v>0</v>
      </c>
      <c r="S100" s="3">
        <v>0</v>
      </c>
      <c r="T100">
        <v>0</v>
      </c>
      <c r="U100">
        <v>0</v>
      </c>
      <c r="V100" s="3">
        <v>0</v>
      </c>
      <c r="W100" s="3">
        <v>0</v>
      </c>
      <c r="X100">
        <v>0</v>
      </c>
      <c r="Y100" t="s">
        <v>207</v>
      </c>
    </row>
    <row r="101" spans="1:25" hidden="1" x14ac:dyDescent="0.25">
      <c r="A101" s="1" t="s">
        <v>29</v>
      </c>
      <c r="B101" s="1" t="s">
        <v>100</v>
      </c>
      <c r="C101" s="1" t="s">
        <v>95</v>
      </c>
      <c r="D101" s="1" t="s">
        <v>27</v>
      </c>
      <c r="E101" s="2">
        <v>45806</v>
      </c>
      <c r="F101" s="2">
        <v>45806</v>
      </c>
      <c r="G101" s="3">
        <v>59</v>
      </c>
      <c r="H101" s="4" t="s">
        <v>28</v>
      </c>
      <c r="I101">
        <v>29</v>
      </c>
      <c r="J101">
        <v>0</v>
      </c>
      <c r="K101">
        <v>0</v>
      </c>
      <c r="L101" s="3">
        <v>0</v>
      </c>
      <c r="M101" s="3">
        <v>0</v>
      </c>
      <c r="N101">
        <v>0</v>
      </c>
      <c r="O101">
        <v>0</v>
      </c>
      <c r="P101">
        <v>0</v>
      </c>
      <c r="Q101">
        <v>0</v>
      </c>
      <c r="R101" s="3">
        <v>0</v>
      </c>
      <c r="S101" s="3">
        <v>0</v>
      </c>
      <c r="T101">
        <v>0</v>
      </c>
      <c r="U101">
        <v>0</v>
      </c>
      <c r="V101" s="3">
        <v>0</v>
      </c>
      <c r="W101" s="3">
        <v>0</v>
      </c>
      <c r="X101">
        <v>0</v>
      </c>
      <c r="Y101" t="s">
        <v>208</v>
      </c>
    </row>
    <row r="102" spans="1:25" hidden="1" x14ac:dyDescent="0.25">
      <c r="A102" s="1" t="s">
        <v>344</v>
      </c>
      <c r="B102" s="1" t="s">
        <v>100</v>
      </c>
      <c r="C102" s="1" t="s">
        <v>35</v>
      </c>
      <c r="D102" s="1" t="s">
        <v>27</v>
      </c>
      <c r="E102" s="2">
        <v>45806</v>
      </c>
      <c r="F102" s="2">
        <v>45806</v>
      </c>
      <c r="G102" s="3">
        <v>44</v>
      </c>
      <c r="H102" s="4" t="s">
        <v>28</v>
      </c>
      <c r="I102">
        <v>36</v>
      </c>
      <c r="J102">
        <v>0</v>
      </c>
      <c r="K102">
        <v>0</v>
      </c>
      <c r="L102" s="3">
        <v>0</v>
      </c>
      <c r="M102" s="3">
        <v>0</v>
      </c>
      <c r="N102">
        <v>0</v>
      </c>
      <c r="O102">
        <v>0</v>
      </c>
      <c r="P102">
        <v>0</v>
      </c>
      <c r="Q102">
        <v>0</v>
      </c>
      <c r="R102" s="3">
        <v>0</v>
      </c>
      <c r="S102" s="3">
        <v>0</v>
      </c>
      <c r="T102">
        <v>0</v>
      </c>
      <c r="U102">
        <v>0</v>
      </c>
      <c r="V102" s="3">
        <v>0</v>
      </c>
      <c r="W102" s="3">
        <v>0</v>
      </c>
      <c r="X102">
        <v>0</v>
      </c>
      <c r="Y102" t="s">
        <v>168</v>
      </c>
    </row>
    <row r="103" spans="1:25" hidden="1" x14ac:dyDescent="0.25">
      <c r="A103" s="1" t="s">
        <v>31</v>
      </c>
      <c r="B103" s="1" t="s">
        <v>104</v>
      </c>
      <c r="C103" s="1" t="s">
        <v>32</v>
      </c>
      <c r="D103" s="1" t="s">
        <v>27</v>
      </c>
      <c r="E103" s="2">
        <v>45806</v>
      </c>
      <c r="F103" s="2">
        <v>45806</v>
      </c>
      <c r="G103" s="3">
        <v>64</v>
      </c>
      <c r="H103" s="4" t="s">
        <v>28</v>
      </c>
      <c r="I103">
        <v>85</v>
      </c>
      <c r="J103">
        <v>0</v>
      </c>
      <c r="K103">
        <v>0</v>
      </c>
      <c r="L103" s="3">
        <v>1</v>
      </c>
      <c r="M103" s="3">
        <v>0</v>
      </c>
      <c r="N103">
        <v>0</v>
      </c>
      <c r="O103">
        <v>0</v>
      </c>
      <c r="P103">
        <v>0</v>
      </c>
      <c r="Q103">
        <v>50</v>
      </c>
      <c r="R103" s="3">
        <v>0</v>
      </c>
      <c r="S103" s="3">
        <v>0</v>
      </c>
      <c r="T103">
        <v>0</v>
      </c>
      <c r="U103">
        <v>0</v>
      </c>
      <c r="V103" s="3">
        <v>0</v>
      </c>
      <c r="W103" s="3">
        <v>0</v>
      </c>
      <c r="X103">
        <v>0</v>
      </c>
      <c r="Y103" t="s">
        <v>209</v>
      </c>
    </row>
    <row r="104" spans="1:25" hidden="1" x14ac:dyDescent="0.25">
      <c r="A104" s="1" t="s">
        <v>33</v>
      </c>
      <c r="B104" s="1" t="s">
        <v>106</v>
      </c>
      <c r="C104" s="1" t="s">
        <v>57</v>
      </c>
      <c r="D104" s="1" t="s">
        <v>27</v>
      </c>
      <c r="E104" s="2">
        <v>45806</v>
      </c>
      <c r="F104" s="2">
        <v>45806</v>
      </c>
      <c r="G104" s="3">
        <v>25</v>
      </c>
      <c r="H104" s="4" t="s">
        <v>28</v>
      </c>
      <c r="I104">
        <v>37</v>
      </c>
      <c r="J104">
        <v>0</v>
      </c>
      <c r="K104">
        <v>0</v>
      </c>
      <c r="L104" s="3">
        <v>0</v>
      </c>
      <c r="M104" s="3">
        <v>0</v>
      </c>
      <c r="N104">
        <v>0</v>
      </c>
      <c r="O104">
        <v>0</v>
      </c>
      <c r="P104">
        <v>0</v>
      </c>
      <c r="Q104">
        <v>0</v>
      </c>
      <c r="R104" s="3">
        <v>0</v>
      </c>
      <c r="S104" s="3">
        <v>0</v>
      </c>
      <c r="T104">
        <v>0</v>
      </c>
      <c r="U104">
        <v>0</v>
      </c>
      <c r="V104" s="3">
        <v>0</v>
      </c>
      <c r="W104" s="3">
        <v>0</v>
      </c>
      <c r="X104">
        <v>0</v>
      </c>
      <c r="Y104" t="s">
        <v>210</v>
      </c>
    </row>
    <row r="105" spans="1:25" hidden="1" x14ac:dyDescent="0.25">
      <c r="A105" s="1" t="s">
        <v>38</v>
      </c>
      <c r="B105" s="1" t="s">
        <v>108</v>
      </c>
      <c r="C105" s="1" t="s">
        <v>39</v>
      </c>
      <c r="D105" s="1" t="s">
        <v>27</v>
      </c>
      <c r="E105" s="2">
        <v>45806</v>
      </c>
      <c r="F105" s="2">
        <v>45806</v>
      </c>
      <c r="G105" s="3">
        <v>36</v>
      </c>
      <c r="H105" s="4" t="s">
        <v>28</v>
      </c>
      <c r="I105">
        <v>34</v>
      </c>
      <c r="J105">
        <v>0</v>
      </c>
      <c r="K105">
        <v>0</v>
      </c>
      <c r="L105" s="3">
        <v>1</v>
      </c>
      <c r="M105" s="3">
        <v>0</v>
      </c>
      <c r="N105">
        <v>0</v>
      </c>
      <c r="O105">
        <v>0</v>
      </c>
      <c r="P105">
        <v>0</v>
      </c>
      <c r="Q105">
        <v>34</v>
      </c>
      <c r="R105" s="3">
        <v>0</v>
      </c>
      <c r="S105" s="3">
        <v>0</v>
      </c>
      <c r="T105">
        <v>0</v>
      </c>
      <c r="U105">
        <v>0</v>
      </c>
      <c r="V105" s="3">
        <v>0</v>
      </c>
      <c r="W105" s="3">
        <v>0</v>
      </c>
      <c r="X105">
        <v>0</v>
      </c>
      <c r="Y105" t="s">
        <v>211</v>
      </c>
    </row>
    <row r="106" spans="1:25" hidden="1" x14ac:dyDescent="0.25">
      <c r="A106" s="1" t="s">
        <v>40</v>
      </c>
      <c r="B106" s="1" t="s">
        <v>110</v>
      </c>
      <c r="C106" s="1" t="s">
        <v>36</v>
      </c>
      <c r="D106" s="1" t="s">
        <v>27</v>
      </c>
      <c r="E106" s="2">
        <v>45805</v>
      </c>
      <c r="F106" s="2">
        <v>45805</v>
      </c>
      <c r="G106" s="3">
        <v>302</v>
      </c>
      <c r="H106" s="4" t="s">
        <v>28</v>
      </c>
      <c r="I106">
        <v>4</v>
      </c>
      <c r="J106">
        <v>0</v>
      </c>
      <c r="K106">
        <v>0</v>
      </c>
      <c r="L106" s="3">
        <v>0</v>
      </c>
      <c r="M106" s="3">
        <v>0</v>
      </c>
      <c r="N106">
        <v>1</v>
      </c>
      <c r="O106">
        <v>0</v>
      </c>
      <c r="P106">
        <v>0</v>
      </c>
      <c r="Q106">
        <v>0</v>
      </c>
      <c r="R106" s="3">
        <v>0</v>
      </c>
      <c r="S106" s="3">
        <v>0</v>
      </c>
      <c r="T106">
        <v>0</v>
      </c>
      <c r="U106">
        <v>0</v>
      </c>
      <c r="V106" s="3">
        <v>0</v>
      </c>
      <c r="W106" s="3">
        <v>0</v>
      </c>
      <c r="X106">
        <v>0</v>
      </c>
      <c r="Y106" t="s">
        <v>197</v>
      </c>
    </row>
    <row r="107" spans="1:25" hidden="1" x14ac:dyDescent="0.25">
      <c r="A107" s="1" t="s">
        <v>41</v>
      </c>
      <c r="B107" s="1" t="s">
        <v>112</v>
      </c>
      <c r="C107" s="1" t="s">
        <v>42</v>
      </c>
      <c r="D107" s="1" t="s">
        <v>27</v>
      </c>
      <c r="E107" s="2">
        <v>45806</v>
      </c>
      <c r="F107" s="2">
        <v>45806</v>
      </c>
      <c r="G107" s="3">
        <v>36</v>
      </c>
      <c r="H107" s="4" t="s">
        <v>28</v>
      </c>
      <c r="I107">
        <v>52</v>
      </c>
      <c r="J107">
        <v>0</v>
      </c>
      <c r="K107">
        <v>0</v>
      </c>
      <c r="L107" s="3">
        <v>1</v>
      </c>
      <c r="M107" s="3">
        <v>0</v>
      </c>
      <c r="N107">
        <v>0</v>
      </c>
      <c r="O107">
        <v>0</v>
      </c>
      <c r="P107">
        <v>0</v>
      </c>
      <c r="Q107">
        <v>0</v>
      </c>
      <c r="R107" s="3">
        <v>0</v>
      </c>
      <c r="S107" s="3">
        <v>0</v>
      </c>
      <c r="T107">
        <v>0</v>
      </c>
      <c r="U107">
        <v>0</v>
      </c>
      <c r="V107" s="3">
        <v>0</v>
      </c>
      <c r="W107" s="3">
        <v>0</v>
      </c>
      <c r="X107">
        <v>0</v>
      </c>
      <c r="Y107" t="s">
        <v>212</v>
      </c>
    </row>
    <row r="108" spans="1:25" hidden="1" x14ac:dyDescent="0.25">
      <c r="A108" s="1" t="s">
        <v>43</v>
      </c>
      <c r="B108" s="1" t="s">
        <v>114</v>
      </c>
      <c r="C108" s="1" t="s">
        <v>44</v>
      </c>
      <c r="D108" s="1" t="s">
        <v>27</v>
      </c>
      <c r="E108" s="2">
        <v>45806</v>
      </c>
      <c r="F108" s="2">
        <v>45806</v>
      </c>
      <c r="G108" s="3">
        <v>26</v>
      </c>
      <c r="H108" s="4" t="s">
        <v>28</v>
      </c>
      <c r="I108">
        <v>54</v>
      </c>
      <c r="J108">
        <v>0</v>
      </c>
      <c r="K108">
        <v>0</v>
      </c>
      <c r="L108" s="3">
        <v>1</v>
      </c>
      <c r="M108" s="3">
        <v>0</v>
      </c>
      <c r="N108">
        <v>0</v>
      </c>
      <c r="O108">
        <v>0</v>
      </c>
      <c r="P108">
        <v>0</v>
      </c>
      <c r="Q108">
        <v>0</v>
      </c>
      <c r="R108" s="3">
        <v>0</v>
      </c>
      <c r="S108" s="3">
        <v>0</v>
      </c>
      <c r="T108">
        <v>0</v>
      </c>
      <c r="U108">
        <v>0</v>
      </c>
      <c r="V108" s="3">
        <v>0</v>
      </c>
      <c r="W108" s="3">
        <v>0</v>
      </c>
      <c r="X108">
        <v>0</v>
      </c>
      <c r="Y108" t="s">
        <v>213</v>
      </c>
    </row>
    <row r="109" spans="1:25" hidden="1" x14ac:dyDescent="0.25">
      <c r="A109" s="1" t="s">
        <v>45</v>
      </c>
      <c r="B109" s="1" t="s">
        <v>116</v>
      </c>
      <c r="C109" s="1" t="s">
        <v>46</v>
      </c>
      <c r="D109" s="1" t="s">
        <v>27</v>
      </c>
      <c r="E109" s="2">
        <v>45806</v>
      </c>
      <c r="F109" s="2">
        <v>45806</v>
      </c>
      <c r="G109" s="3">
        <v>44</v>
      </c>
      <c r="H109" s="4" t="s">
        <v>28</v>
      </c>
      <c r="I109">
        <v>37</v>
      </c>
      <c r="J109">
        <v>0</v>
      </c>
      <c r="K109">
        <v>0</v>
      </c>
      <c r="L109" s="3">
        <v>0</v>
      </c>
      <c r="M109" s="3">
        <v>0</v>
      </c>
      <c r="N109">
        <v>0</v>
      </c>
      <c r="O109">
        <v>0</v>
      </c>
      <c r="P109">
        <v>0</v>
      </c>
      <c r="Q109">
        <v>0</v>
      </c>
      <c r="R109" s="3">
        <v>0</v>
      </c>
      <c r="S109" s="3">
        <v>0</v>
      </c>
      <c r="T109">
        <v>0</v>
      </c>
      <c r="U109">
        <v>0</v>
      </c>
      <c r="V109" s="3">
        <v>0</v>
      </c>
      <c r="W109" s="3">
        <v>0</v>
      </c>
      <c r="X109">
        <v>0</v>
      </c>
      <c r="Y109" t="s">
        <v>214</v>
      </c>
    </row>
    <row r="110" spans="1:25" hidden="1" x14ac:dyDescent="0.25">
      <c r="A110" s="1" t="s">
        <v>47</v>
      </c>
      <c r="B110" s="1" t="s">
        <v>137</v>
      </c>
      <c r="C110" s="1" t="s">
        <v>48</v>
      </c>
      <c r="D110" s="1" t="s">
        <v>27</v>
      </c>
      <c r="E110" s="2">
        <v>45806</v>
      </c>
      <c r="F110" s="2">
        <v>45806</v>
      </c>
      <c r="G110" s="3">
        <v>39</v>
      </c>
      <c r="H110" s="4" t="s">
        <v>28</v>
      </c>
      <c r="I110">
        <v>39</v>
      </c>
      <c r="J110">
        <v>0</v>
      </c>
      <c r="K110">
        <v>0</v>
      </c>
      <c r="L110" s="3">
        <v>0</v>
      </c>
      <c r="M110" s="3">
        <v>0</v>
      </c>
      <c r="N110">
        <v>0</v>
      </c>
      <c r="O110">
        <v>0</v>
      </c>
      <c r="P110">
        <v>0</v>
      </c>
      <c r="Q110">
        <v>0</v>
      </c>
      <c r="R110" s="3">
        <v>0</v>
      </c>
      <c r="S110" s="3">
        <v>0</v>
      </c>
      <c r="T110">
        <v>0</v>
      </c>
      <c r="U110">
        <v>0</v>
      </c>
      <c r="V110" s="3">
        <v>0</v>
      </c>
      <c r="W110" s="3">
        <v>0</v>
      </c>
      <c r="X110">
        <v>0</v>
      </c>
      <c r="Y110" t="s">
        <v>215</v>
      </c>
    </row>
    <row r="111" spans="1:25" hidden="1" x14ac:dyDescent="0.25">
      <c r="A111" s="1" t="s">
        <v>49</v>
      </c>
      <c r="B111" s="1" t="s">
        <v>118</v>
      </c>
      <c r="C111" s="1" t="s">
        <v>50</v>
      </c>
      <c r="D111" s="1" t="s">
        <v>27</v>
      </c>
      <c r="E111" s="2">
        <v>45806</v>
      </c>
      <c r="F111" s="2">
        <v>45806</v>
      </c>
      <c r="G111" s="3">
        <v>39</v>
      </c>
      <c r="H111" s="4" t="s">
        <v>28</v>
      </c>
      <c r="I111">
        <v>60</v>
      </c>
      <c r="J111">
        <v>0</v>
      </c>
      <c r="K111">
        <v>0</v>
      </c>
      <c r="L111" s="3">
        <v>1</v>
      </c>
      <c r="M111" s="3">
        <v>1</v>
      </c>
      <c r="N111">
        <v>0</v>
      </c>
      <c r="O111">
        <v>1</v>
      </c>
      <c r="P111">
        <v>0</v>
      </c>
      <c r="Q111">
        <v>60</v>
      </c>
      <c r="R111" s="3">
        <v>0</v>
      </c>
      <c r="S111" s="3">
        <v>0</v>
      </c>
      <c r="T111">
        <v>0</v>
      </c>
      <c r="U111">
        <v>0</v>
      </c>
      <c r="V111" s="3">
        <v>0</v>
      </c>
      <c r="W111" s="3">
        <v>0</v>
      </c>
      <c r="X111">
        <v>0</v>
      </c>
      <c r="Y111" t="s">
        <v>216</v>
      </c>
    </row>
    <row r="112" spans="1:25" hidden="1" x14ac:dyDescent="0.25">
      <c r="A112" s="1" t="s">
        <v>51</v>
      </c>
      <c r="B112" s="1" t="s">
        <v>120</v>
      </c>
      <c r="C112" s="1" t="s">
        <v>55</v>
      </c>
      <c r="D112" s="1" t="s">
        <v>27</v>
      </c>
      <c r="E112" s="2">
        <v>45806</v>
      </c>
      <c r="F112" s="2">
        <v>45806</v>
      </c>
      <c r="G112" s="3">
        <v>66</v>
      </c>
      <c r="H112" s="4" t="s">
        <v>28</v>
      </c>
      <c r="I112">
        <v>31</v>
      </c>
      <c r="J112">
        <v>0</v>
      </c>
      <c r="K112">
        <v>0</v>
      </c>
      <c r="L112" s="3">
        <v>0</v>
      </c>
      <c r="M112" s="3">
        <v>0</v>
      </c>
      <c r="N112">
        <v>1</v>
      </c>
      <c r="O112">
        <v>0</v>
      </c>
      <c r="P112">
        <v>0</v>
      </c>
      <c r="Q112">
        <v>0</v>
      </c>
      <c r="R112" s="3">
        <v>0</v>
      </c>
      <c r="S112" s="3">
        <v>0</v>
      </c>
      <c r="T112">
        <v>0</v>
      </c>
      <c r="U112">
        <v>0</v>
      </c>
      <c r="V112" s="3">
        <v>0</v>
      </c>
      <c r="W112" s="3">
        <v>0</v>
      </c>
      <c r="X112">
        <v>0</v>
      </c>
      <c r="Y112" t="s">
        <v>217</v>
      </c>
    </row>
    <row r="113" spans="1:25" hidden="1" x14ac:dyDescent="0.25">
      <c r="A113" s="1" t="s">
        <v>54</v>
      </c>
      <c r="B113" s="1" t="s">
        <v>122</v>
      </c>
      <c r="C113" s="1" t="s">
        <v>52</v>
      </c>
      <c r="D113" s="1" t="s">
        <v>27</v>
      </c>
      <c r="E113" s="2">
        <v>45806</v>
      </c>
      <c r="F113" s="2">
        <v>45806</v>
      </c>
      <c r="G113" s="3">
        <v>36</v>
      </c>
      <c r="H113" s="4" t="s">
        <v>28</v>
      </c>
      <c r="I113">
        <v>23</v>
      </c>
      <c r="J113">
        <v>0</v>
      </c>
      <c r="K113">
        <v>0</v>
      </c>
      <c r="L113" s="3">
        <v>0</v>
      </c>
      <c r="M113" s="3">
        <v>0</v>
      </c>
      <c r="N113">
        <v>0</v>
      </c>
      <c r="O113">
        <v>0</v>
      </c>
      <c r="P113">
        <v>0</v>
      </c>
      <c r="Q113">
        <v>0</v>
      </c>
      <c r="R113" s="3">
        <v>0</v>
      </c>
      <c r="S113" s="3">
        <v>0</v>
      </c>
      <c r="T113">
        <v>0</v>
      </c>
      <c r="U113">
        <v>0</v>
      </c>
      <c r="V113" s="3">
        <v>0</v>
      </c>
      <c r="W113" s="3">
        <v>0</v>
      </c>
      <c r="X113">
        <v>0</v>
      </c>
      <c r="Y113" t="s">
        <v>218</v>
      </c>
    </row>
    <row r="114" spans="1:25" hidden="1" x14ac:dyDescent="0.25">
      <c r="A114" s="1" t="s">
        <v>53</v>
      </c>
      <c r="B114" s="1" t="s">
        <v>142</v>
      </c>
      <c r="C114" s="1" t="s">
        <v>39</v>
      </c>
      <c r="D114" s="1" t="s">
        <v>27</v>
      </c>
      <c r="E114" s="2">
        <v>45806</v>
      </c>
      <c r="F114" s="2">
        <v>45806</v>
      </c>
      <c r="G114" s="3">
        <v>42</v>
      </c>
      <c r="H114" s="4" t="s">
        <v>28</v>
      </c>
      <c r="I114">
        <v>17</v>
      </c>
      <c r="J114">
        <v>0</v>
      </c>
      <c r="K114">
        <v>0</v>
      </c>
      <c r="L114" s="3">
        <v>1</v>
      </c>
      <c r="M114" s="3">
        <v>0</v>
      </c>
      <c r="N114">
        <v>0</v>
      </c>
      <c r="O114">
        <v>0</v>
      </c>
      <c r="P114">
        <v>0</v>
      </c>
      <c r="Q114">
        <v>17</v>
      </c>
      <c r="R114" s="3">
        <v>0</v>
      </c>
      <c r="S114" s="3">
        <v>0</v>
      </c>
      <c r="T114">
        <v>0</v>
      </c>
      <c r="U114">
        <v>0</v>
      </c>
      <c r="V114" s="3">
        <v>0</v>
      </c>
      <c r="W114" s="3">
        <v>0</v>
      </c>
      <c r="X114">
        <v>0</v>
      </c>
      <c r="Y114" t="s">
        <v>219</v>
      </c>
    </row>
    <row r="115" spans="1:25" hidden="1" x14ac:dyDescent="0.25">
      <c r="A115" s="1" t="s">
        <v>34</v>
      </c>
      <c r="B115" s="1" t="s">
        <v>106</v>
      </c>
      <c r="C115" s="1" t="s">
        <v>30</v>
      </c>
      <c r="D115" s="1" t="s">
        <v>27</v>
      </c>
      <c r="E115" s="2">
        <v>45806</v>
      </c>
      <c r="F115" s="2">
        <v>45806</v>
      </c>
      <c r="G115" s="3">
        <v>25</v>
      </c>
      <c r="H115" s="4" t="s">
        <v>28</v>
      </c>
      <c r="I115">
        <v>40</v>
      </c>
      <c r="J115">
        <v>0</v>
      </c>
      <c r="K115">
        <v>0</v>
      </c>
      <c r="L115" s="3">
        <v>0</v>
      </c>
      <c r="M115" s="3">
        <v>0</v>
      </c>
      <c r="N115">
        <v>0</v>
      </c>
      <c r="O115">
        <v>0</v>
      </c>
      <c r="P115">
        <v>0</v>
      </c>
      <c r="Q115">
        <v>0</v>
      </c>
      <c r="R115" s="3">
        <v>0</v>
      </c>
      <c r="S115" s="3">
        <v>0</v>
      </c>
      <c r="T115">
        <v>0</v>
      </c>
      <c r="U115">
        <v>0</v>
      </c>
      <c r="V115" s="3">
        <v>0</v>
      </c>
      <c r="W115" s="3">
        <v>0</v>
      </c>
      <c r="X115" s="3">
        <v>0</v>
      </c>
      <c r="Y115" t="s">
        <v>205</v>
      </c>
    </row>
    <row r="116" spans="1:25" hidden="1" x14ac:dyDescent="0.25">
      <c r="A116" s="1" t="s">
        <v>58</v>
      </c>
      <c r="B116" s="1" t="s">
        <v>182</v>
      </c>
      <c r="C116" s="1" t="s">
        <v>354</v>
      </c>
      <c r="D116" t="s">
        <v>27</v>
      </c>
      <c r="E116" s="2">
        <v>45806</v>
      </c>
      <c r="F116" s="2">
        <v>45806</v>
      </c>
      <c r="G116" s="3">
        <v>26</v>
      </c>
      <c r="H116" s="4" t="s">
        <v>959</v>
      </c>
      <c r="I116">
        <v>0</v>
      </c>
      <c r="J116">
        <v>0</v>
      </c>
      <c r="K116">
        <v>0</v>
      </c>
      <c r="L116" s="3">
        <v>0</v>
      </c>
      <c r="M116" s="3">
        <v>0</v>
      </c>
      <c r="N116">
        <v>0</v>
      </c>
      <c r="O116">
        <v>0</v>
      </c>
      <c r="P116">
        <v>0</v>
      </c>
      <c r="Q116">
        <v>0</v>
      </c>
      <c r="R116" s="3">
        <v>0</v>
      </c>
      <c r="S116" s="3">
        <v>0</v>
      </c>
      <c r="T116">
        <v>0</v>
      </c>
      <c r="U116">
        <v>0</v>
      </c>
      <c r="V116" s="3">
        <v>0</v>
      </c>
      <c r="W116" s="3">
        <v>0</v>
      </c>
      <c r="X116" s="3">
        <v>0</v>
      </c>
      <c r="Y116" t="s">
        <v>220</v>
      </c>
    </row>
    <row r="117" spans="1:25" hidden="1" x14ac:dyDescent="0.25">
      <c r="A117" t="s">
        <v>25</v>
      </c>
      <c r="B117" t="s">
        <v>96</v>
      </c>
      <c r="C117" t="s">
        <v>26</v>
      </c>
      <c r="D117" t="s">
        <v>27</v>
      </c>
      <c r="E117" s="2">
        <v>45807</v>
      </c>
      <c r="F117" s="2">
        <v>45807</v>
      </c>
      <c r="G117" s="3">
        <v>39</v>
      </c>
      <c r="H117" s="4" t="s">
        <v>28</v>
      </c>
      <c r="I117">
        <v>49</v>
      </c>
      <c r="J117">
        <v>0</v>
      </c>
      <c r="K117">
        <v>0</v>
      </c>
      <c r="L117" s="3">
        <v>0</v>
      </c>
      <c r="M117" s="3">
        <v>0</v>
      </c>
      <c r="N117">
        <v>1</v>
      </c>
      <c r="O117">
        <v>0</v>
      </c>
      <c r="P117">
        <v>0</v>
      </c>
      <c r="Q117">
        <v>0</v>
      </c>
      <c r="R117" s="3">
        <v>0</v>
      </c>
      <c r="S117" s="3">
        <v>0</v>
      </c>
      <c r="T117">
        <v>0</v>
      </c>
      <c r="U117">
        <v>0</v>
      </c>
      <c r="V117" s="3">
        <v>0</v>
      </c>
      <c r="W117" s="3">
        <v>0</v>
      </c>
      <c r="X117">
        <v>0</v>
      </c>
      <c r="Y117" t="s">
        <v>221</v>
      </c>
    </row>
    <row r="118" spans="1:25" hidden="1" x14ac:dyDescent="0.25">
      <c r="A118" s="1" t="s">
        <v>56</v>
      </c>
      <c r="B118" t="s">
        <v>98</v>
      </c>
      <c r="C118" t="s">
        <v>37</v>
      </c>
      <c r="D118" t="s">
        <v>27</v>
      </c>
      <c r="E118" s="2">
        <v>45807</v>
      </c>
      <c r="F118" s="2">
        <v>45807</v>
      </c>
      <c r="G118" s="3">
        <v>38</v>
      </c>
      <c r="H118" s="4" t="s">
        <v>28</v>
      </c>
      <c r="I118">
        <v>91</v>
      </c>
      <c r="J118">
        <v>0</v>
      </c>
      <c r="K118">
        <v>0</v>
      </c>
      <c r="L118" s="3">
        <v>1</v>
      </c>
      <c r="M118" s="3">
        <v>0</v>
      </c>
      <c r="N118">
        <v>0</v>
      </c>
      <c r="O118">
        <v>0</v>
      </c>
      <c r="P118">
        <v>0</v>
      </c>
      <c r="Q118">
        <v>0</v>
      </c>
      <c r="R118" s="3">
        <v>0</v>
      </c>
      <c r="S118" s="3">
        <v>0</v>
      </c>
      <c r="T118">
        <v>0</v>
      </c>
      <c r="U118">
        <v>0</v>
      </c>
      <c r="V118" s="3">
        <v>0</v>
      </c>
      <c r="W118" s="3">
        <v>0</v>
      </c>
      <c r="X118">
        <v>0</v>
      </c>
      <c r="Y118" t="s">
        <v>222</v>
      </c>
    </row>
    <row r="119" spans="1:25" hidden="1" x14ac:dyDescent="0.25">
      <c r="A119" t="s">
        <v>29</v>
      </c>
      <c r="B119" t="s">
        <v>100</v>
      </c>
      <c r="C119" t="s">
        <v>95</v>
      </c>
      <c r="D119" t="s">
        <v>27</v>
      </c>
      <c r="E119" s="2">
        <v>45807</v>
      </c>
      <c r="F119" s="2">
        <v>45807</v>
      </c>
      <c r="G119" s="3">
        <v>40</v>
      </c>
      <c r="H119" s="4" t="s">
        <v>28</v>
      </c>
      <c r="I119">
        <v>68</v>
      </c>
      <c r="J119">
        <v>0</v>
      </c>
      <c r="K119">
        <v>0</v>
      </c>
      <c r="L119" s="3">
        <v>1</v>
      </c>
      <c r="M119" s="3">
        <v>0</v>
      </c>
      <c r="N119">
        <v>0</v>
      </c>
      <c r="O119">
        <v>0</v>
      </c>
      <c r="P119">
        <v>0</v>
      </c>
      <c r="Q119">
        <v>0</v>
      </c>
      <c r="R119" s="3">
        <v>0</v>
      </c>
      <c r="S119" s="3">
        <v>0</v>
      </c>
      <c r="T119">
        <v>0</v>
      </c>
      <c r="U119">
        <v>0</v>
      </c>
      <c r="V119" s="3">
        <v>0</v>
      </c>
      <c r="W119" s="3">
        <v>0</v>
      </c>
      <c r="X119">
        <v>0</v>
      </c>
      <c r="Y119" t="s">
        <v>223</v>
      </c>
    </row>
    <row r="120" spans="1:25" hidden="1" x14ac:dyDescent="0.25">
      <c r="A120" s="1" t="s">
        <v>344</v>
      </c>
      <c r="B120" s="1" t="s">
        <v>100</v>
      </c>
      <c r="C120" s="1" t="s">
        <v>35</v>
      </c>
      <c r="D120" s="1" t="s">
        <v>27</v>
      </c>
      <c r="E120" s="2">
        <v>45807</v>
      </c>
      <c r="F120" s="2">
        <v>45807</v>
      </c>
      <c r="G120" s="3">
        <v>44</v>
      </c>
      <c r="H120" s="4" t="s">
        <v>28</v>
      </c>
      <c r="I120">
        <v>57</v>
      </c>
      <c r="J120">
        <v>0</v>
      </c>
      <c r="K120">
        <v>0</v>
      </c>
      <c r="L120" s="3">
        <v>0</v>
      </c>
      <c r="M120" s="3">
        <v>0</v>
      </c>
      <c r="N120">
        <v>0</v>
      </c>
      <c r="O120">
        <v>0</v>
      </c>
      <c r="P120">
        <v>0</v>
      </c>
      <c r="Q120">
        <v>0</v>
      </c>
      <c r="R120" s="3">
        <v>0</v>
      </c>
      <c r="S120" s="3">
        <v>0</v>
      </c>
      <c r="T120">
        <v>0</v>
      </c>
      <c r="U120">
        <v>0</v>
      </c>
      <c r="V120" s="3">
        <v>0</v>
      </c>
      <c r="W120" s="3">
        <v>0</v>
      </c>
      <c r="X120">
        <v>0</v>
      </c>
      <c r="Y120" t="s">
        <v>168</v>
      </c>
    </row>
    <row r="121" spans="1:25" hidden="1" x14ac:dyDescent="0.25">
      <c r="A121" t="s">
        <v>31</v>
      </c>
      <c r="B121" t="s">
        <v>104</v>
      </c>
      <c r="C121" t="s">
        <v>32</v>
      </c>
      <c r="D121" t="s">
        <v>27</v>
      </c>
      <c r="E121" s="2">
        <v>45807</v>
      </c>
      <c r="F121" s="2">
        <v>45807</v>
      </c>
      <c r="G121" s="3">
        <v>39</v>
      </c>
      <c r="H121" s="4" t="s">
        <v>28</v>
      </c>
      <c r="I121">
        <v>86</v>
      </c>
      <c r="J121">
        <v>0</v>
      </c>
      <c r="K121">
        <v>0</v>
      </c>
      <c r="L121" s="3">
        <v>0</v>
      </c>
      <c r="M121" s="3">
        <v>0</v>
      </c>
      <c r="N121">
        <v>0</v>
      </c>
      <c r="O121">
        <v>0</v>
      </c>
      <c r="P121">
        <v>0</v>
      </c>
      <c r="Q121">
        <v>50</v>
      </c>
      <c r="R121" s="3">
        <v>0</v>
      </c>
      <c r="S121" s="3">
        <v>0</v>
      </c>
      <c r="T121">
        <v>0</v>
      </c>
      <c r="U121">
        <v>0</v>
      </c>
      <c r="V121" s="3">
        <v>0</v>
      </c>
      <c r="W121" s="3">
        <v>0</v>
      </c>
      <c r="X121">
        <v>0</v>
      </c>
      <c r="Y121" t="s">
        <v>224</v>
      </c>
    </row>
    <row r="122" spans="1:25" hidden="1" x14ac:dyDescent="0.25">
      <c r="A122" s="1" t="s">
        <v>33</v>
      </c>
      <c r="B122" t="s">
        <v>106</v>
      </c>
      <c r="C122" t="s">
        <v>57</v>
      </c>
      <c r="D122" t="s">
        <v>27</v>
      </c>
      <c r="E122" s="2">
        <v>45807</v>
      </c>
      <c r="F122" s="2">
        <v>45807</v>
      </c>
      <c r="G122" s="3">
        <v>32</v>
      </c>
      <c r="H122" s="4" t="s">
        <v>28</v>
      </c>
      <c r="I122">
        <v>36</v>
      </c>
      <c r="J122">
        <v>0</v>
      </c>
      <c r="K122">
        <v>0</v>
      </c>
      <c r="L122" s="3">
        <v>0</v>
      </c>
      <c r="M122" s="3">
        <v>0</v>
      </c>
      <c r="N122">
        <v>0</v>
      </c>
      <c r="O122">
        <v>0</v>
      </c>
      <c r="P122">
        <v>0</v>
      </c>
      <c r="Q122">
        <v>0</v>
      </c>
      <c r="R122" s="3">
        <v>0</v>
      </c>
      <c r="S122" s="3">
        <v>0</v>
      </c>
      <c r="T122">
        <v>0</v>
      </c>
      <c r="U122">
        <v>0</v>
      </c>
      <c r="V122" s="3">
        <v>0</v>
      </c>
      <c r="W122" s="3">
        <v>0</v>
      </c>
      <c r="X122">
        <v>0</v>
      </c>
      <c r="Y122" t="s">
        <v>225</v>
      </c>
    </row>
    <row r="123" spans="1:25" hidden="1" x14ac:dyDescent="0.25">
      <c r="A123" t="s">
        <v>38</v>
      </c>
      <c r="B123" t="s">
        <v>108</v>
      </c>
      <c r="C123" t="s">
        <v>39</v>
      </c>
      <c r="D123" t="s">
        <v>27</v>
      </c>
      <c r="E123" s="2">
        <v>45807</v>
      </c>
      <c r="F123" s="2">
        <v>45807</v>
      </c>
      <c r="G123" s="3">
        <v>38</v>
      </c>
      <c r="H123" s="4" t="s">
        <v>28</v>
      </c>
      <c r="I123">
        <v>31</v>
      </c>
      <c r="J123">
        <v>0</v>
      </c>
      <c r="K123">
        <v>0</v>
      </c>
      <c r="L123" s="3">
        <v>1</v>
      </c>
      <c r="M123" s="3">
        <v>0</v>
      </c>
      <c r="N123">
        <v>0</v>
      </c>
      <c r="O123">
        <v>0</v>
      </c>
      <c r="P123">
        <v>0</v>
      </c>
      <c r="Q123">
        <v>31</v>
      </c>
      <c r="R123" s="3">
        <v>0</v>
      </c>
      <c r="S123" s="3">
        <v>0</v>
      </c>
      <c r="T123">
        <v>0</v>
      </c>
      <c r="U123">
        <v>0</v>
      </c>
      <c r="V123" s="3">
        <v>0</v>
      </c>
      <c r="W123" s="3">
        <v>0</v>
      </c>
      <c r="X123">
        <v>0</v>
      </c>
      <c r="Y123" t="s">
        <v>226</v>
      </c>
    </row>
    <row r="124" spans="1:25" hidden="1" x14ac:dyDescent="0.25">
      <c r="A124" s="1" t="s">
        <v>40</v>
      </c>
      <c r="B124" s="1" t="s">
        <v>110</v>
      </c>
      <c r="C124" s="1" t="s">
        <v>36</v>
      </c>
      <c r="D124" s="1" t="s">
        <v>27</v>
      </c>
      <c r="E124" s="2">
        <v>45807</v>
      </c>
      <c r="F124" s="2">
        <v>45807</v>
      </c>
      <c r="G124" s="3">
        <v>302</v>
      </c>
      <c r="H124" s="4" t="s">
        <v>28</v>
      </c>
      <c r="I124">
        <v>15</v>
      </c>
      <c r="J124">
        <v>0</v>
      </c>
      <c r="K124">
        <v>0</v>
      </c>
      <c r="L124" s="3">
        <v>0</v>
      </c>
      <c r="M124" s="3">
        <v>0</v>
      </c>
      <c r="N124">
        <v>1</v>
      </c>
      <c r="O124">
        <v>0</v>
      </c>
      <c r="P124">
        <v>0</v>
      </c>
      <c r="Q124">
        <v>0</v>
      </c>
      <c r="R124" s="3">
        <v>0</v>
      </c>
      <c r="S124" s="3">
        <v>0</v>
      </c>
      <c r="T124">
        <v>0</v>
      </c>
      <c r="U124">
        <v>0</v>
      </c>
      <c r="V124" s="3">
        <v>0</v>
      </c>
      <c r="W124" s="3">
        <v>0</v>
      </c>
      <c r="X124">
        <v>0</v>
      </c>
      <c r="Y124" t="s">
        <v>197</v>
      </c>
    </row>
    <row r="125" spans="1:25" hidden="1" x14ac:dyDescent="0.25">
      <c r="A125" t="s">
        <v>41</v>
      </c>
      <c r="B125" t="s">
        <v>112</v>
      </c>
      <c r="C125" t="s">
        <v>42</v>
      </c>
      <c r="D125" t="s">
        <v>27</v>
      </c>
      <c r="E125" s="2">
        <v>45807</v>
      </c>
      <c r="F125" s="2">
        <v>45807</v>
      </c>
      <c r="G125" s="3">
        <v>53</v>
      </c>
      <c r="H125" s="4" t="s">
        <v>28</v>
      </c>
      <c r="I125">
        <v>49</v>
      </c>
      <c r="J125">
        <v>0</v>
      </c>
      <c r="K125">
        <v>0</v>
      </c>
      <c r="L125" s="3">
        <v>1</v>
      </c>
      <c r="M125" s="3">
        <v>0</v>
      </c>
      <c r="N125">
        <v>0</v>
      </c>
      <c r="O125">
        <v>0</v>
      </c>
      <c r="P125">
        <v>0</v>
      </c>
      <c r="Q125">
        <v>0</v>
      </c>
      <c r="R125" s="3">
        <v>0</v>
      </c>
      <c r="S125" s="3">
        <v>0</v>
      </c>
      <c r="T125">
        <v>0</v>
      </c>
      <c r="U125">
        <v>0</v>
      </c>
      <c r="V125" s="3">
        <v>0</v>
      </c>
      <c r="W125" s="3">
        <v>0</v>
      </c>
      <c r="X125">
        <v>0</v>
      </c>
      <c r="Y125" t="s">
        <v>227</v>
      </c>
    </row>
    <row r="126" spans="1:25" hidden="1" x14ac:dyDescent="0.25">
      <c r="A126" t="s">
        <v>43</v>
      </c>
      <c r="B126" t="s">
        <v>114</v>
      </c>
      <c r="C126" t="s">
        <v>44</v>
      </c>
      <c r="D126" t="s">
        <v>27</v>
      </c>
      <c r="E126" s="2">
        <v>45807</v>
      </c>
      <c r="F126" s="2">
        <v>45807</v>
      </c>
      <c r="G126" s="3">
        <v>89</v>
      </c>
      <c r="H126" s="4" t="s">
        <v>28</v>
      </c>
      <c r="I126">
        <v>68</v>
      </c>
      <c r="J126">
        <v>0</v>
      </c>
      <c r="K126">
        <v>0</v>
      </c>
      <c r="L126" s="3">
        <v>0</v>
      </c>
      <c r="M126" s="3">
        <v>0</v>
      </c>
      <c r="N126">
        <v>0</v>
      </c>
      <c r="O126">
        <v>0</v>
      </c>
      <c r="P126">
        <v>0</v>
      </c>
      <c r="Q126">
        <v>0</v>
      </c>
      <c r="R126" s="3">
        <v>0</v>
      </c>
      <c r="S126" s="3">
        <v>0</v>
      </c>
      <c r="T126">
        <v>0</v>
      </c>
      <c r="U126">
        <v>0</v>
      </c>
      <c r="V126" s="3">
        <v>0</v>
      </c>
      <c r="W126" s="3">
        <v>0</v>
      </c>
      <c r="X126">
        <v>0</v>
      </c>
      <c r="Y126" t="s">
        <v>228</v>
      </c>
    </row>
    <row r="127" spans="1:25" hidden="1" x14ac:dyDescent="0.25">
      <c r="A127" s="1" t="s">
        <v>45</v>
      </c>
      <c r="B127" t="s">
        <v>116</v>
      </c>
      <c r="C127" t="s">
        <v>46</v>
      </c>
      <c r="D127" t="s">
        <v>27</v>
      </c>
      <c r="E127" s="2">
        <v>45807</v>
      </c>
      <c r="F127" s="2">
        <v>45807</v>
      </c>
      <c r="G127" s="3">
        <v>49</v>
      </c>
      <c r="H127" s="4" t="s">
        <v>28</v>
      </c>
      <c r="I127">
        <v>64</v>
      </c>
      <c r="J127">
        <v>0</v>
      </c>
      <c r="K127">
        <v>0</v>
      </c>
      <c r="L127" s="3">
        <v>1</v>
      </c>
      <c r="M127" s="3">
        <v>0</v>
      </c>
      <c r="N127">
        <v>0</v>
      </c>
      <c r="O127">
        <v>0</v>
      </c>
      <c r="P127">
        <v>0</v>
      </c>
      <c r="Q127">
        <v>0</v>
      </c>
      <c r="R127" s="3">
        <v>0</v>
      </c>
      <c r="S127" s="3">
        <v>0</v>
      </c>
      <c r="T127">
        <v>0</v>
      </c>
      <c r="U127">
        <v>0</v>
      </c>
      <c r="V127" s="3">
        <v>0</v>
      </c>
      <c r="W127" s="3">
        <v>0</v>
      </c>
      <c r="X127">
        <v>0</v>
      </c>
      <c r="Y127" t="s">
        <v>229</v>
      </c>
    </row>
    <row r="128" spans="1:25" hidden="1" x14ac:dyDescent="0.25">
      <c r="A128" t="s">
        <v>47</v>
      </c>
      <c r="B128" t="s">
        <v>137</v>
      </c>
      <c r="C128" t="s">
        <v>48</v>
      </c>
      <c r="D128" t="s">
        <v>27</v>
      </c>
      <c r="E128" s="2">
        <v>45807</v>
      </c>
      <c r="F128" s="2">
        <v>45807</v>
      </c>
      <c r="G128" s="3">
        <v>91</v>
      </c>
      <c r="H128" s="4" t="s">
        <v>28</v>
      </c>
      <c r="I128">
        <v>48</v>
      </c>
      <c r="J128">
        <v>0</v>
      </c>
      <c r="K128">
        <v>0</v>
      </c>
      <c r="L128" s="3">
        <v>0</v>
      </c>
      <c r="M128" s="3">
        <v>0</v>
      </c>
      <c r="N128">
        <v>0</v>
      </c>
      <c r="O128">
        <v>0</v>
      </c>
      <c r="P128">
        <v>0</v>
      </c>
      <c r="Q128">
        <v>0</v>
      </c>
      <c r="R128" s="3">
        <v>0</v>
      </c>
      <c r="S128" s="3">
        <v>0</v>
      </c>
      <c r="T128">
        <v>0</v>
      </c>
      <c r="U128">
        <v>0</v>
      </c>
      <c r="V128" s="3">
        <v>0</v>
      </c>
      <c r="W128" s="3">
        <v>0</v>
      </c>
      <c r="X128">
        <v>0</v>
      </c>
      <c r="Y128" t="s">
        <v>230</v>
      </c>
    </row>
    <row r="129" spans="1:25" hidden="1" x14ac:dyDescent="0.25">
      <c r="A129" t="s">
        <v>49</v>
      </c>
      <c r="B129" t="s">
        <v>118</v>
      </c>
      <c r="C129" t="s">
        <v>50</v>
      </c>
      <c r="D129" t="s">
        <v>27</v>
      </c>
      <c r="E129" s="2">
        <v>45807</v>
      </c>
      <c r="F129" s="2">
        <v>45807</v>
      </c>
      <c r="G129" s="3">
        <v>32</v>
      </c>
      <c r="H129" s="4" t="s">
        <v>28</v>
      </c>
      <c r="I129">
        <v>44</v>
      </c>
      <c r="J129">
        <v>0</v>
      </c>
      <c r="K129">
        <v>0</v>
      </c>
      <c r="L129" s="3">
        <v>1</v>
      </c>
      <c r="M129" s="3">
        <v>1</v>
      </c>
      <c r="N129">
        <v>0</v>
      </c>
      <c r="O129">
        <v>0</v>
      </c>
      <c r="P129">
        <v>0</v>
      </c>
      <c r="Q129">
        <v>49</v>
      </c>
      <c r="R129" s="3">
        <v>0</v>
      </c>
      <c r="S129" s="3">
        <v>0</v>
      </c>
      <c r="T129">
        <v>0</v>
      </c>
      <c r="U129">
        <v>0</v>
      </c>
      <c r="V129" s="3">
        <v>0</v>
      </c>
      <c r="W129" s="3">
        <v>0</v>
      </c>
      <c r="X129">
        <v>0</v>
      </c>
      <c r="Y129" t="s">
        <v>231</v>
      </c>
    </row>
    <row r="130" spans="1:25" hidden="1" x14ac:dyDescent="0.25">
      <c r="A130" t="s">
        <v>51</v>
      </c>
      <c r="B130" t="s">
        <v>120</v>
      </c>
      <c r="C130" t="s">
        <v>55</v>
      </c>
      <c r="D130" t="s">
        <v>27</v>
      </c>
      <c r="E130" s="2">
        <v>45807</v>
      </c>
      <c r="F130" s="2">
        <v>45807</v>
      </c>
      <c r="G130" s="3">
        <v>162</v>
      </c>
      <c r="H130" s="4" t="s">
        <v>28</v>
      </c>
      <c r="I130">
        <v>46</v>
      </c>
      <c r="J130">
        <v>0</v>
      </c>
      <c r="K130">
        <v>0</v>
      </c>
      <c r="L130" s="3">
        <v>1</v>
      </c>
      <c r="M130" s="3">
        <v>0</v>
      </c>
      <c r="N130">
        <v>1</v>
      </c>
      <c r="O130">
        <v>0</v>
      </c>
      <c r="P130">
        <v>0</v>
      </c>
      <c r="Q130">
        <v>0</v>
      </c>
      <c r="R130" s="3">
        <v>0</v>
      </c>
      <c r="S130" s="3">
        <v>0</v>
      </c>
      <c r="T130">
        <v>0</v>
      </c>
      <c r="U130">
        <v>0</v>
      </c>
      <c r="V130" s="3">
        <v>0</v>
      </c>
      <c r="W130" s="3">
        <v>0</v>
      </c>
      <c r="X130">
        <v>0</v>
      </c>
      <c r="Y130" t="s">
        <v>232</v>
      </c>
    </row>
    <row r="131" spans="1:25" hidden="1" x14ac:dyDescent="0.25">
      <c r="A131" s="1" t="s">
        <v>54</v>
      </c>
      <c r="B131" t="s">
        <v>122</v>
      </c>
      <c r="C131" t="s">
        <v>233</v>
      </c>
      <c r="D131" t="s">
        <v>27</v>
      </c>
      <c r="E131" s="2">
        <v>45807</v>
      </c>
      <c r="F131" s="2">
        <v>45807</v>
      </c>
      <c r="G131" s="3">
        <v>34</v>
      </c>
      <c r="H131" s="4" t="s">
        <v>28</v>
      </c>
      <c r="I131">
        <v>28</v>
      </c>
      <c r="J131">
        <v>0</v>
      </c>
      <c r="K131">
        <v>0</v>
      </c>
      <c r="L131" s="3">
        <v>0</v>
      </c>
      <c r="M131" s="3">
        <v>0</v>
      </c>
      <c r="N131">
        <v>0</v>
      </c>
      <c r="O131">
        <v>0</v>
      </c>
      <c r="P131">
        <v>0</v>
      </c>
      <c r="Q131">
        <v>0</v>
      </c>
      <c r="R131" s="3">
        <v>0</v>
      </c>
      <c r="S131" s="3">
        <v>0</v>
      </c>
      <c r="T131">
        <v>0</v>
      </c>
      <c r="U131">
        <v>0</v>
      </c>
      <c r="V131" s="3">
        <v>0</v>
      </c>
      <c r="W131" s="3">
        <v>0</v>
      </c>
      <c r="X131">
        <v>0</v>
      </c>
      <c r="Y131" t="s">
        <v>234</v>
      </c>
    </row>
    <row r="132" spans="1:25" hidden="1" x14ac:dyDescent="0.25">
      <c r="A132" t="s">
        <v>53</v>
      </c>
      <c r="B132" t="s">
        <v>142</v>
      </c>
      <c r="C132" t="s">
        <v>39</v>
      </c>
      <c r="D132" t="s">
        <v>27</v>
      </c>
      <c r="E132" s="2">
        <v>45807</v>
      </c>
      <c r="F132" s="2">
        <v>45807</v>
      </c>
      <c r="G132" s="3">
        <v>46</v>
      </c>
      <c r="H132" s="4" t="s">
        <v>28</v>
      </c>
      <c r="I132">
        <v>21</v>
      </c>
      <c r="J132">
        <v>0</v>
      </c>
      <c r="K132">
        <v>0</v>
      </c>
      <c r="L132" s="3">
        <v>1</v>
      </c>
      <c r="M132" s="3">
        <v>0</v>
      </c>
      <c r="N132">
        <v>0</v>
      </c>
      <c r="O132">
        <v>0</v>
      </c>
      <c r="P132">
        <v>0</v>
      </c>
      <c r="Q132">
        <v>21</v>
      </c>
      <c r="R132" s="3">
        <v>0</v>
      </c>
      <c r="S132" s="3">
        <v>0</v>
      </c>
      <c r="T132">
        <v>0</v>
      </c>
      <c r="U132">
        <v>0</v>
      </c>
      <c r="V132" s="3">
        <v>0</v>
      </c>
      <c r="W132" s="3">
        <v>0</v>
      </c>
      <c r="X132">
        <v>0</v>
      </c>
      <c r="Y132" t="s">
        <v>235</v>
      </c>
    </row>
    <row r="133" spans="1:25" hidden="1" x14ac:dyDescent="0.25">
      <c r="A133" s="1" t="s">
        <v>58</v>
      </c>
      <c r="B133" t="s">
        <v>144</v>
      </c>
      <c r="C133" s="1" t="s">
        <v>354</v>
      </c>
      <c r="D133" t="s">
        <v>27</v>
      </c>
      <c r="E133" s="2">
        <v>45807</v>
      </c>
      <c r="F133" s="2">
        <v>45807</v>
      </c>
      <c r="G133" s="3">
        <v>24</v>
      </c>
      <c r="H133" s="4" t="s">
        <v>28</v>
      </c>
      <c r="I133">
        <v>57</v>
      </c>
      <c r="J133">
        <v>0</v>
      </c>
      <c r="K133">
        <v>0</v>
      </c>
      <c r="L133" s="3">
        <v>1</v>
      </c>
      <c r="M133" s="3">
        <v>0</v>
      </c>
      <c r="N133">
        <v>0</v>
      </c>
      <c r="O133">
        <v>0</v>
      </c>
      <c r="P133">
        <v>0</v>
      </c>
      <c r="Q133">
        <v>0</v>
      </c>
      <c r="R133" s="3">
        <v>0</v>
      </c>
      <c r="S133" s="3">
        <v>0</v>
      </c>
      <c r="T133">
        <v>0</v>
      </c>
      <c r="U133">
        <v>0</v>
      </c>
      <c r="V133" s="3">
        <v>0</v>
      </c>
      <c r="W133" s="3">
        <v>0</v>
      </c>
      <c r="X133">
        <v>0</v>
      </c>
      <c r="Y133" t="s">
        <v>236</v>
      </c>
    </row>
    <row r="134" spans="1:25" hidden="1" x14ac:dyDescent="0.25">
      <c r="A134" t="s">
        <v>94</v>
      </c>
      <c r="B134" t="s">
        <v>106</v>
      </c>
      <c r="C134" t="s">
        <v>52</v>
      </c>
      <c r="D134" t="s">
        <v>27</v>
      </c>
      <c r="E134" s="2">
        <v>45807</v>
      </c>
      <c r="F134" s="2">
        <v>45807</v>
      </c>
      <c r="G134" s="3">
        <v>25</v>
      </c>
      <c r="H134" s="4" t="s">
        <v>250</v>
      </c>
      <c r="I134">
        <v>0</v>
      </c>
      <c r="J134">
        <v>0</v>
      </c>
      <c r="K134">
        <v>0</v>
      </c>
      <c r="L134" s="3">
        <v>0</v>
      </c>
      <c r="M134" s="3">
        <v>0</v>
      </c>
      <c r="N134">
        <v>0</v>
      </c>
      <c r="O134">
        <v>0</v>
      </c>
      <c r="P134">
        <v>0</v>
      </c>
      <c r="Q134">
        <v>0</v>
      </c>
      <c r="R134" s="3">
        <v>0</v>
      </c>
      <c r="S134" s="3">
        <v>0</v>
      </c>
      <c r="T134">
        <v>0</v>
      </c>
      <c r="U134">
        <v>0</v>
      </c>
      <c r="V134" s="3">
        <v>0</v>
      </c>
      <c r="W134" s="3">
        <v>0</v>
      </c>
      <c r="X134" s="3">
        <v>0</v>
      </c>
      <c r="Y134" t="s">
        <v>237</v>
      </c>
    </row>
    <row r="135" spans="1:25" hidden="1" x14ac:dyDescent="0.25">
      <c r="A135" s="1" t="s">
        <v>34</v>
      </c>
      <c r="B135" t="s">
        <v>182</v>
      </c>
      <c r="C135" t="s">
        <v>27</v>
      </c>
      <c r="D135" t="s">
        <v>27</v>
      </c>
      <c r="E135" s="2">
        <v>45807</v>
      </c>
      <c r="F135" s="2">
        <v>45807</v>
      </c>
      <c r="G135" s="3">
        <v>26</v>
      </c>
      <c r="H135" s="4" t="s">
        <v>28</v>
      </c>
      <c r="I135">
        <v>0</v>
      </c>
      <c r="J135">
        <v>0</v>
      </c>
      <c r="K135">
        <v>0</v>
      </c>
      <c r="L135" s="3">
        <v>0</v>
      </c>
      <c r="M135" s="3">
        <v>0</v>
      </c>
      <c r="N135">
        <v>0</v>
      </c>
      <c r="O135">
        <v>0</v>
      </c>
      <c r="P135">
        <v>0</v>
      </c>
      <c r="Q135">
        <v>0</v>
      </c>
      <c r="R135" s="3">
        <v>0</v>
      </c>
      <c r="S135" s="3">
        <v>0</v>
      </c>
      <c r="T135">
        <v>0</v>
      </c>
      <c r="U135">
        <v>0</v>
      </c>
      <c r="V135" s="3">
        <v>0</v>
      </c>
      <c r="W135" s="3">
        <v>0</v>
      </c>
      <c r="X135" s="3">
        <v>0</v>
      </c>
      <c r="Y135" t="s">
        <v>238</v>
      </c>
    </row>
    <row r="136" spans="1:25" hidden="1" x14ac:dyDescent="0.25">
      <c r="A136" t="s">
        <v>94</v>
      </c>
      <c r="B136" t="s">
        <v>184</v>
      </c>
      <c r="C136" t="s">
        <v>30</v>
      </c>
      <c r="D136" t="s">
        <v>27</v>
      </c>
      <c r="E136" s="2">
        <v>45807</v>
      </c>
      <c r="F136" s="2">
        <v>45807</v>
      </c>
      <c r="G136" s="3">
        <v>27</v>
      </c>
      <c r="H136" s="4" t="s">
        <v>28</v>
      </c>
      <c r="I136">
        <v>0</v>
      </c>
      <c r="J136">
        <v>0</v>
      </c>
      <c r="K136">
        <v>0</v>
      </c>
      <c r="L136" s="3">
        <v>0</v>
      </c>
      <c r="M136" s="3">
        <v>0</v>
      </c>
      <c r="N136">
        <v>0</v>
      </c>
      <c r="O136">
        <v>0</v>
      </c>
      <c r="P136">
        <v>0</v>
      </c>
      <c r="Q136">
        <v>0</v>
      </c>
      <c r="R136" s="3">
        <v>0</v>
      </c>
      <c r="S136" s="3">
        <v>0</v>
      </c>
      <c r="T136">
        <v>0</v>
      </c>
      <c r="U136">
        <v>0</v>
      </c>
      <c r="V136" s="3">
        <v>0</v>
      </c>
      <c r="W136" s="3">
        <v>0</v>
      </c>
      <c r="X136" s="3">
        <v>0</v>
      </c>
      <c r="Y136" t="s">
        <v>239</v>
      </c>
    </row>
    <row r="137" spans="1:25" hidden="1" x14ac:dyDescent="0.25">
      <c r="A137" s="16" t="s">
        <v>41</v>
      </c>
      <c r="B137" s="16" t="s">
        <v>112</v>
      </c>
      <c r="C137" s="16" t="s">
        <v>42</v>
      </c>
      <c r="D137" s="16" t="s">
        <v>27</v>
      </c>
      <c r="E137" s="12">
        <v>45808</v>
      </c>
      <c r="F137" s="12">
        <v>45808</v>
      </c>
      <c r="G137" s="3">
        <v>97</v>
      </c>
      <c r="H137" s="4" t="s">
        <v>28</v>
      </c>
      <c r="I137">
        <v>0</v>
      </c>
      <c r="J137">
        <v>0</v>
      </c>
      <c r="K137">
        <v>0</v>
      </c>
      <c r="L137" s="3">
        <v>0</v>
      </c>
      <c r="M137" s="3">
        <v>0</v>
      </c>
      <c r="N137">
        <v>1</v>
      </c>
      <c r="O137">
        <v>0</v>
      </c>
      <c r="P137">
        <v>0</v>
      </c>
      <c r="Q137">
        <v>0</v>
      </c>
      <c r="R137" s="3">
        <v>1</v>
      </c>
      <c r="S137" s="3">
        <v>11</v>
      </c>
      <c r="T137">
        <v>31</v>
      </c>
      <c r="U137">
        <v>0</v>
      </c>
      <c r="V137" s="3">
        <v>1</v>
      </c>
      <c r="W137" s="3">
        <v>0</v>
      </c>
      <c r="X137">
        <v>3</v>
      </c>
      <c r="Y137" t="s">
        <v>240</v>
      </c>
    </row>
    <row r="138" spans="1:25" hidden="1" x14ac:dyDescent="0.25">
      <c r="A138" s="17" t="s">
        <v>54</v>
      </c>
      <c r="B138" s="16" t="s">
        <v>122</v>
      </c>
      <c r="C138" s="16" t="s">
        <v>241</v>
      </c>
      <c r="D138" s="16" t="s">
        <v>27</v>
      </c>
      <c r="E138" s="12">
        <v>45808</v>
      </c>
      <c r="F138" s="12">
        <v>45808</v>
      </c>
      <c r="G138" s="3">
        <v>84</v>
      </c>
      <c r="H138" s="4" t="s">
        <v>28</v>
      </c>
      <c r="I138">
        <v>0</v>
      </c>
      <c r="J138">
        <v>0</v>
      </c>
      <c r="K138">
        <v>0</v>
      </c>
      <c r="L138" s="3">
        <v>1</v>
      </c>
      <c r="M138" s="3">
        <v>0</v>
      </c>
      <c r="N138">
        <v>0</v>
      </c>
      <c r="O138">
        <v>0</v>
      </c>
      <c r="P138">
        <v>0</v>
      </c>
      <c r="Q138">
        <v>0</v>
      </c>
      <c r="R138" s="3">
        <v>1</v>
      </c>
      <c r="S138" s="3">
        <v>0</v>
      </c>
      <c r="T138">
        <v>24</v>
      </c>
      <c r="U138">
        <v>0</v>
      </c>
      <c r="V138" s="3">
        <v>1</v>
      </c>
      <c r="W138" s="3">
        <v>0</v>
      </c>
      <c r="X138">
        <v>0</v>
      </c>
      <c r="Y138" t="s">
        <v>242</v>
      </c>
    </row>
    <row r="139" spans="1:25" hidden="1" x14ac:dyDescent="0.25">
      <c r="A139" s="17" t="s">
        <v>33</v>
      </c>
      <c r="B139" s="16" t="s">
        <v>106</v>
      </c>
      <c r="C139" s="16" t="s">
        <v>55</v>
      </c>
      <c r="D139" s="16" t="s">
        <v>27</v>
      </c>
      <c r="E139" s="12">
        <v>45809</v>
      </c>
      <c r="F139" s="12">
        <v>45809</v>
      </c>
      <c r="G139" s="3">
        <v>76</v>
      </c>
      <c r="H139" s="4" t="s">
        <v>28</v>
      </c>
      <c r="I139">
        <v>0</v>
      </c>
      <c r="J139">
        <v>0</v>
      </c>
      <c r="K139">
        <v>0</v>
      </c>
      <c r="L139" s="3">
        <v>0</v>
      </c>
      <c r="M139" s="3">
        <v>0</v>
      </c>
      <c r="N139">
        <v>0</v>
      </c>
      <c r="O139">
        <v>0</v>
      </c>
      <c r="P139">
        <v>0</v>
      </c>
      <c r="Q139">
        <v>53</v>
      </c>
      <c r="R139" s="3">
        <v>0</v>
      </c>
      <c r="S139" s="3">
        <v>1</v>
      </c>
      <c r="T139">
        <v>63</v>
      </c>
      <c r="U139">
        <v>30</v>
      </c>
      <c r="V139" s="3">
        <v>0</v>
      </c>
      <c r="W139" s="3">
        <v>1</v>
      </c>
      <c r="X139">
        <v>0</v>
      </c>
      <c r="Y139" t="s">
        <v>243</v>
      </c>
    </row>
    <row r="140" spans="1:25" hidden="1" x14ac:dyDescent="0.25">
      <c r="A140" s="16" t="s">
        <v>41</v>
      </c>
      <c r="B140" s="16" t="s">
        <v>112</v>
      </c>
      <c r="C140" s="16" t="s">
        <v>42</v>
      </c>
      <c r="D140" s="16" t="s">
        <v>27</v>
      </c>
      <c r="E140" s="12">
        <v>45809</v>
      </c>
      <c r="F140" s="12">
        <v>45809</v>
      </c>
      <c r="G140" s="3">
        <v>105</v>
      </c>
      <c r="H140" s="4" t="s">
        <v>28</v>
      </c>
      <c r="I140">
        <v>0</v>
      </c>
      <c r="J140">
        <v>0</v>
      </c>
      <c r="K140">
        <v>0</v>
      </c>
      <c r="L140" s="3">
        <v>0</v>
      </c>
      <c r="M140" s="3">
        <v>0</v>
      </c>
      <c r="N140">
        <v>0</v>
      </c>
      <c r="O140">
        <v>0</v>
      </c>
      <c r="P140">
        <v>0</v>
      </c>
      <c r="Q140">
        <v>60</v>
      </c>
      <c r="R140" s="3">
        <v>0</v>
      </c>
      <c r="S140" s="3">
        <v>1</v>
      </c>
      <c r="T140">
        <v>60</v>
      </c>
      <c r="U140">
        <v>0</v>
      </c>
      <c r="V140" s="3">
        <v>0</v>
      </c>
      <c r="W140" s="3">
        <v>0</v>
      </c>
      <c r="X140">
        <v>0</v>
      </c>
      <c r="Y140" t="s">
        <v>244</v>
      </c>
    </row>
    <row r="141" spans="1:25" hidden="1" x14ac:dyDescent="0.25">
      <c r="A141" s="1" t="s">
        <v>25</v>
      </c>
      <c r="B141" s="1" t="s">
        <v>96</v>
      </c>
      <c r="C141" s="1" t="s">
        <v>26</v>
      </c>
      <c r="D141" t="s">
        <v>27</v>
      </c>
      <c r="E141" s="2">
        <v>45810</v>
      </c>
      <c r="F141" s="2">
        <v>45810</v>
      </c>
      <c r="G141" s="3">
        <v>39</v>
      </c>
      <c r="H141" s="4" t="s">
        <v>28</v>
      </c>
      <c r="I141">
        <v>39</v>
      </c>
      <c r="J141">
        <v>0</v>
      </c>
      <c r="K141">
        <v>0</v>
      </c>
      <c r="L141" s="3">
        <v>0</v>
      </c>
      <c r="M141" s="3">
        <v>0</v>
      </c>
      <c r="N141">
        <v>1</v>
      </c>
      <c r="O141">
        <v>0</v>
      </c>
      <c r="P141">
        <v>0</v>
      </c>
      <c r="Q141">
        <v>0</v>
      </c>
      <c r="R141" s="3">
        <v>0</v>
      </c>
      <c r="S141" s="3">
        <v>0</v>
      </c>
      <c r="T141">
        <v>0</v>
      </c>
      <c r="U141">
        <v>0</v>
      </c>
      <c r="V141" s="3">
        <v>0</v>
      </c>
      <c r="W141" s="3">
        <v>0</v>
      </c>
      <c r="X141">
        <v>0</v>
      </c>
      <c r="Y141" t="s">
        <v>341</v>
      </c>
    </row>
    <row r="142" spans="1:25" hidden="1" x14ac:dyDescent="0.25">
      <c r="A142" s="1" t="s">
        <v>56</v>
      </c>
      <c r="B142" s="1" t="s">
        <v>98</v>
      </c>
      <c r="C142" s="1" t="s">
        <v>37</v>
      </c>
      <c r="D142" t="s">
        <v>27</v>
      </c>
      <c r="E142" s="2">
        <v>45810</v>
      </c>
      <c r="F142" s="2">
        <v>45810</v>
      </c>
      <c r="G142" s="3">
        <v>27</v>
      </c>
      <c r="H142" s="4" t="s">
        <v>28</v>
      </c>
      <c r="I142">
        <v>84</v>
      </c>
      <c r="J142">
        <v>0</v>
      </c>
      <c r="K142">
        <v>0</v>
      </c>
      <c r="L142" s="3">
        <v>1</v>
      </c>
      <c r="M142" s="3">
        <v>0</v>
      </c>
      <c r="N142">
        <v>0</v>
      </c>
      <c r="O142">
        <v>0</v>
      </c>
      <c r="P142">
        <v>0</v>
      </c>
      <c r="Q142">
        <v>0</v>
      </c>
      <c r="R142" s="3">
        <v>0</v>
      </c>
      <c r="S142" s="3">
        <v>0</v>
      </c>
      <c r="T142">
        <v>0</v>
      </c>
      <c r="U142">
        <v>0</v>
      </c>
      <c r="V142" s="3">
        <v>0</v>
      </c>
      <c r="W142" s="3">
        <v>0</v>
      </c>
      <c r="X142">
        <v>0</v>
      </c>
      <c r="Y142" t="s">
        <v>342</v>
      </c>
    </row>
    <row r="143" spans="1:25" hidden="1" x14ac:dyDescent="0.25">
      <c r="A143" s="1" t="s">
        <v>29</v>
      </c>
      <c r="B143" s="1" t="s">
        <v>100</v>
      </c>
      <c r="C143" s="1" t="s">
        <v>245</v>
      </c>
      <c r="D143" t="s">
        <v>27</v>
      </c>
      <c r="E143" s="2">
        <v>45810</v>
      </c>
      <c r="F143" s="2">
        <v>45810</v>
      </c>
      <c r="G143" s="3">
        <v>100</v>
      </c>
      <c r="H143" s="4" t="s">
        <v>28</v>
      </c>
      <c r="I143">
        <v>37</v>
      </c>
      <c r="J143">
        <v>0</v>
      </c>
      <c r="K143">
        <v>0</v>
      </c>
      <c r="L143" s="3">
        <v>1</v>
      </c>
      <c r="M143" s="3">
        <v>0</v>
      </c>
      <c r="N143">
        <v>0</v>
      </c>
      <c r="O143">
        <v>0</v>
      </c>
      <c r="P143">
        <v>0</v>
      </c>
      <c r="Q143">
        <v>0</v>
      </c>
      <c r="R143" s="3">
        <v>0</v>
      </c>
      <c r="S143" s="3">
        <v>0</v>
      </c>
      <c r="T143">
        <v>0</v>
      </c>
      <c r="U143">
        <v>0</v>
      </c>
      <c r="V143" s="3">
        <v>0</v>
      </c>
      <c r="W143" s="3">
        <v>0</v>
      </c>
      <c r="X143">
        <v>0</v>
      </c>
      <c r="Y143" t="s">
        <v>343</v>
      </c>
    </row>
    <row r="144" spans="1:25" hidden="1" x14ac:dyDescent="0.25">
      <c r="A144" s="1" t="s">
        <v>344</v>
      </c>
      <c r="B144" s="1" t="s">
        <v>100</v>
      </c>
      <c r="C144" s="1" t="s">
        <v>35</v>
      </c>
      <c r="D144" s="1" t="s">
        <v>27</v>
      </c>
      <c r="E144" s="2">
        <v>45810</v>
      </c>
      <c r="F144" s="2">
        <v>45810</v>
      </c>
      <c r="G144" s="3">
        <v>44</v>
      </c>
      <c r="H144" s="4" t="s">
        <v>28</v>
      </c>
      <c r="I144">
        <v>42</v>
      </c>
      <c r="J144">
        <v>0</v>
      </c>
      <c r="K144">
        <v>0</v>
      </c>
      <c r="L144" s="3">
        <v>0</v>
      </c>
      <c r="M144" s="3">
        <v>0</v>
      </c>
      <c r="N144">
        <v>0</v>
      </c>
      <c r="O144">
        <v>0</v>
      </c>
      <c r="P144">
        <v>0</v>
      </c>
      <c r="Q144">
        <v>0</v>
      </c>
      <c r="R144" s="3">
        <v>0</v>
      </c>
      <c r="S144" s="3">
        <v>0</v>
      </c>
      <c r="T144">
        <v>0</v>
      </c>
      <c r="U144">
        <v>0</v>
      </c>
      <c r="V144" s="3">
        <v>0</v>
      </c>
      <c r="W144" s="3">
        <v>0</v>
      </c>
      <c r="X144">
        <v>0</v>
      </c>
      <c r="Y144" t="s">
        <v>168</v>
      </c>
    </row>
    <row r="145" spans="1:25" hidden="1" x14ac:dyDescent="0.25">
      <c r="A145" s="1" t="s">
        <v>31</v>
      </c>
      <c r="B145" s="1" t="s">
        <v>104</v>
      </c>
      <c r="C145" s="1" t="s">
        <v>32</v>
      </c>
      <c r="D145" t="s">
        <v>27</v>
      </c>
      <c r="E145" s="2">
        <v>45810</v>
      </c>
      <c r="F145" s="2">
        <v>45810</v>
      </c>
      <c r="G145" s="3">
        <v>72</v>
      </c>
      <c r="H145" s="4" t="s">
        <v>28</v>
      </c>
      <c r="I145">
        <v>103</v>
      </c>
      <c r="J145">
        <v>6</v>
      </c>
      <c r="K145">
        <v>0</v>
      </c>
      <c r="L145" s="3">
        <v>0</v>
      </c>
      <c r="M145" s="3">
        <v>0</v>
      </c>
      <c r="N145">
        <v>0</v>
      </c>
      <c r="O145">
        <v>0</v>
      </c>
      <c r="P145">
        <v>0</v>
      </c>
      <c r="Q145">
        <v>50</v>
      </c>
      <c r="R145" s="3">
        <v>0</v>
      </c>
      <c r="S145" s="3">
        <v>0</v>
      </c>
      <c r="T145">
        <v>0</v>
      </c>
      <c r="U145">
        <v>0</v>
      </c>
      <c r="V145" s="3">
        <v>0</v>
      </c>
      <c r="W145" s="3">
        <v>0</v>
      </c>
      <c r="X145">
        <v>0</v>
      </c>
      <c r="Y145" t="s">
        <v>345</v>
      </c>
    </row>
    <row r="146" spans="1:25" hidden="1" x14ac:dyDescent="0.25">
      <c r="A146" s="1" t="s">
        <v>33</v>
      </c>
      <c r="B146" s="1" t="s">
        <v>106</v>
      </c>
      <c r="C146" s="1" t="s">
        <v>57</v>
      </c>
      <c r="D146" t="s">
        <v>27</v>
      </c>
      <c r="E146" s="2">
        <v>45810</v>
      </c>
      <c r="F146" s="2">
        <v>45810</v>
      </c>
      <c r="G146" s="3">
        <v>24</v>
      </c>
      <c r="H146" s="4" t="s">
        <v>28</v>
      </c>
      <c r="I146">
        <v>53</v>
      </c>
      <c r="J146">
        <v>0</v>
      </c>
      <c r="K146">
        <v>0</v>
      </c>
      <c r="L146" s="3">
        <v>0</v>
      </c>
      <c r="M146" s="3">
        <v>0</v>
      </c>
      <c r="N146">
        <v>0</v>
      </c>
      <c r="O146">
        <v>0</v>
      </c>
      <c r="P146">
        <v>0</v>
      </c>
      <c r="Q146">
        <v>0</v>
      </c>
      <c r="R146" s="3">
        <v>0</v>
      </c>
      <c r="S146" s="3">
        <v>0</v>
      </c>
      <c r="T146">
        <v>0</v>
      </c>
      <c r="U146">
        <v>0</v>
      </c>
      <c r="V146" s="3">
        <v>0</v>
      </c>
      <c r="W146" s="3">
        <v>0</v>
      </c>
      <c r="X146">
        <v>0</v>
      </c>
      <c r="Y146" t="s">
        <v>246</v>
      </c>
    </row>
    <row r="147" spans="1:25" hidden="1" x14ac:dyDescent="0.25">
      <c r="A147" s="1" t="s">
        <v>34</v>
      </c>
      <c r="B147" s="1" t="s">
        <v>247</v>
      </c>
      <c r="C147" s="1" t="s">
        <v>44</v>
      </c>
      <c r="D147" t="s">
        <v>27</v>
      </c>
      <c r="E147" s="2">
        <v>45810</v>
      </c>
      <c r="F147" s="2">
        <v>45810</v>
      </c>
      <c r="G147" s="3">
        <v>41</v>
      </c>
      <c r="H147" s="4" t="s">
        <v>28</v>
      </c>
      <c r="I147">
        <v>74</v>
      </c>
      <c r="J147">
        <v>0</v>
      </c>
      <c r="K147">
        <v>0</v>
      </c>
      <c r="L147" s="3">
        <v>0</v>
      </c>
      <c r="M147" s="3">
        <v>0</v>
      </c>
      <c r="N147">
        <v>0</v>
      </c>
      <c r="O147">
        <v>0</v>
      </c>
      <c r="P147">
        <v>0</v>
      </c>
      <c r="Q147">
        <v>0</v>
      </c>
      <c r="R147" s="3">
        <v>0</v>
      </c>
      <c r="S147" s="3">
        <v>0</v>
      </c>
      <c r="T147">
        <v>0</v>
      </c>
      <c r="U147">
        <v>0</v>
      </c>
      <c r="V147" s="3">
        <v>0</v>
      </c>
      <c r="W147" s="3">
        <v>0</v>
      </c>
      <c r="X147">
        <v>0</v>
      </c>
      <c r="Y147" t="s">
        <v>346</v>
      </c>
    </row>
    <row r="148" spans="1:25" hidden="1" x14ac:dyDescent="0.25">
      <c r="A148" s="1" t="s">
        <v>38</v>
      </c>
      <c r="B148" s="1" t="s">
        <v>108</v>
      </c>
      <c r="C148" s="1" t="s">
        <v>39</v>
      </c>
      <c r="D148" t="s">
        <v>27</v>
      </c>
      <c r="E148" s="2">
        <v>45810</v>
      </c>
      <c r="F148" s="2">
        <v>45810</v>
      </c>
      <c r="G148" s="3">
        <v>34</v>
      </c>
      <c r="H148" s="4" t="s">
        <v>28</v>
      </c>
      <c r="I148">
        <v>31</v>
      </c>
      <c r="J148">
        <v>0</v>
      </c>
      <c r="K148">
        <v>0</v>
      </c>
      <c r="L148" s="3">
        <v>1</v>
      </c>
      <c r="M148" s="3">
        <v>0</v>
      </c>
      <c r="N148">
        <v>0</v>
      </c>
      <c r="O148">
        <v>0</v>
      </c>
      <c r="P148">
        <v>0</v>
      </c>
      <c r="Q148">
        <v>31</v>
      </c>
      <c r="R148" s="3">
        <v>0</v>
      </c>
      <c r="S148" s="3">
        <v>0</v>
      </c>
      <c r="T148">
        <v>0</v>
      </c>
      <c r="U148">
        <v>0</v>
      </c>
      <c r="V148" s="3">
        <v>0</v>
      </c>
      <c r="W148" s="3">
        <v>0</v>
      </c>
      <c r="X148">
        <v>0</v>
      </c>
      <c r="Y148" t="s">
        <v>347</v>
      </c>
    </row>
    <row r="149" spans="1:25" hidden="1" x14ac:dyDescent="0.25">
      <c r="A149" s="1" t="s">
        <v>40</v>
      </c>
      <c r="B149" s="1" t="s">
        <v>110</v>
      </c>
      <c r="C149" s="1" t="s">
        <v>36</v>
      </c>
      <c r="D149" t="s">
        <v>27</v>
      </c>
      <c r="E149" s="2">
        <v>45810</v>
      </c>
      <c r="F149" s="2">
        <v>45810</v>
      </c>
      <c r="G149" s="3">
        <v>86</v>
      </c>
      <c r="H149" s="4" t="s">
        <v>28</v>
      </c>
      <c r="I149">
        <v>41</v>
      </c>
      <c r="J149">
        <v>0</v>
      </c>
      <c r="K149">
        <v>0</v>
      </c>
      <c r="L149" s="3">
        <v>0</v>
      </c>
      <c r="M149" s="3">
        <v>0</v>
      </c>
      <c r="N149">
        <v>1</v>
      </c>
      <c r="O149">
        <v>0</v>
      </c>
      <c r="P149">
        <v>0</v>
      </c>
      <c r="Q149">
        <v>0</v>
      </c>
      <c r="R149" s="3">
        <v>0</v>
      </c>
      <c r="S149" s="3">
        <v>0</v>
      </c>
      <c r="T149">
        <v>0</v>
      </c>
      <c r="U149">
        <v>0</v>
      </c>
      <c r="V149" s="3">
        <v>0</v>
      </c>
      <c r="W149" s="3">
        <v>0</v>
      </c>
      <c r="X149">
        <v>0</v>
      </c>
      <c r="Y149" t="s">
        <v>348</v>
      </c>
    </row>
    <row r="150" spans="1:25" hidden="1" x14ac:dyDescent="0.25">
      <c r="A150" s="1" t="s">
        <v>41</v>
      </c>
      <c r="B150" s="1" t="s">
        <v>112</v>
      </c>
      <c r="C150" s="1" t="s">
        <v>42</v>
      </c>
      <c r="D150" t="s">
        <v>27</v>
      </c>
      <c r="E150" s="2">
        <v>45810</v>
      </c>
      <c r="F150" s="2">
        <v>45810</v>
      </c>
      <c r="G150" s="3">
        <v>44</v>
      </c>
      <c r="H150" s="4" t="s">
        <v>28</v>
      </c>
      <c r="I150">
        <v>65</v>
      </c>
      <c r="J150">
        <v>0</v>
      </c>
      <c r="K150">
        <v>0</v>
      </c>
      <c r="L150" s="3">
        <v>1</v>
      </c>
      <c r="M150" s="3">
        <v>0</v>
      </c>
      <c r="N150">
        <v>0</v>
      </c>
      <c r="O150">
        <v>0</v>
      </c>
      <c r="P150">
        <v>0</v>
      </c>
      <c r="Q150">
        <v>0</v>
      </c>
      <c r="R150" s="3">
        <v>0</v>
      </c>
      <c r="S150" s="3">
        <v>0</v>
      </c>
      <c r="T150">
        <v>0</v>
      </c>
      <c r="U150">
        <v>0</v>
      </c>
      <c r="V150" s="3">
        <v>0</v>
      </c>
      <c r="W150" s="3">
        <v>0</v>
      </c>
      <c r="X150">
        <v>0</v>
      </c>
      <c r="Y150" t="s">
        <v>349</v>
      </c>
    </row>
    <row r="151" spans="1:25" hidden="1" x14ac:dyDescent="0.25">
      <c r="A151" s="1" t="s">
        <v>45</v>
      </c>
      <c r="B151" s="1" t="s">
        <v>116</v>
      </c>
      <c r="C151" s="1" t="s">
        <v>46</v>
      </c>
      <c r="D151" t="s">
        <v>27</v>
      </c>
      <c r="E151" s="2">
        <v>45810</v>
      </c>
      <c r="F151" s="2">
        <v>45810</v>
      </c>
      <c r="G151" s="3">
        <v>61</v>
      </c>
      <c r="H151" s="4" t="s">
        <v>28</v>
      </c>
      <c r="I151">
        <v>67</v>
      </c>
      <c r="J151">
        <v>0</v>
      </c>
      <c r="K151">
        <v>0</v>
      </c>
      <c r="L151" s="3">
        <v>1</v>
      </c>
      <c r="M151" s="3">
        <v>0</v>
      </c>
      <c r="N151">
        <v>0</v>
      </c>
      <c r="O151">
        <v>0</v>
      </c>
      <c r="P151">
        <v>0</v>
      </c>
      <c r="Q151">
        <v>0</v>
      </c>
      <c r="R151" s="3">
        <v>0</v>
      </c>
      <c r="S151" s="3">
        <v>0</v>
      </c>
      <c r="T151">
        <v>0</v>
      </c>
      <c r="U151">
        <v>0</v>
      </c>
      <c r="V151" s="3">
        <v>0</v>
      </c>
      <c r="W151" s="3">
        <v>0</v>
      </c>
      <c r="X151">
        <v>0</v>
      </c>
      <c r="Y151" t="s">
        <v>350</v>
      </c>
    </row>
    <row r="152" spans="1:25" hidden="1" x14ac:dyDescent="0.25">
      <c r="A152" s="1" t="s">
        <v>49</v>
      </c>
      <c r="B152" s="1" t="s">
        <v>118</v>
      </c>
      <c r="C152" s="1" t="s">
        <v>50</v>
      </c>
      <c r="D152" t="s">
        <v>27</v>
      </c>
      <c r="E152" s="2">
        <v>45810</v>
      </c>
      <c r="F152" s="2">
        <v>45810</v>
      </c>
      <c r="G152" s="3">
        <v>42</v>
      </c>
      <c r="H152" s="4" t="s">
        <v>28</v>
      </c>
      <c r="I152">
        <v>26</v>
      </c>
      <c r="J152">
        <v>0</v>
      </c>
      <c r="K152">
        <v>0</v>
      </c>
      <c r="L152" s="3">
        <v>1</v>
      </c>
      <c r="M152" s="3">
        <v>1</v>
      </c>
      <c r="N152">
        <v>0</v>
      </c>
      <c r="O152">
        <v>0</v>
      </c>
      <c r="P152">
        <v>0</v>
      </c>
      <c r="Q152">
        <v>39</v>
      </c>
      <c r="R152" s="3">
        <v>0</v>
      </c>
      <c r="S152" s="3">
        <v>0</v>
      </c>
      <c r="T152">
        <v>0</v>
      </c>
      <c r="U152">
        <v>0</v>
      </c>
      <c r="V152" s="3">
        <v>0</v>
      </c>
      <c r="W152" s="3">
        <v>0</v>
      </c>
      <c r="X152">
        <v>0</v>
      </c>
      <c r="Y152" t="s">
        <v>351</v>
      </c>
    </row>
    <row r="153" spans="1:25" hidden="1" x14ac:dyDescent="0.25">
      <c r="A153" s="1" t="s">
        <v>51</v>
      </c>
      <c r="B153" s="1" t="s">
        <v>120</v>
      </c>
      <c r="C153" s="1" t="s">
        <v>55</v>
      </c>
      <c r="D153" t="s">
        <v>27</v>
      </c>
      <c r="E153" s="2">
        <v>45810</v>
      </c>
      <c r="F153" s="2">
        <v>45810</v>
      </c>
      <c r="G153" s="3">
        <v>162</v>
      </c>
      <c r="H153" s="4" t="s">
        <v>28</v>
      </c>
      <c r="I153" s="13">
        <v>0</v>
      </c>
      <c r="J153">
        <v>0</v>
      </c>
      <c r="K153">
        <v>0</v>
      </c>
      <c r="L153" s="3">
        <v>0</v>
      </c>
      <c r="M153" s="3">
        <v>0</v>
      </c>
      <c r="N153" s="13">
        <v>1</v>
      </c>
      <c r="O153">
        <v>0</v>
      </c>
      <c r="P153">
        <v>0</v>
      </c>
      <c r="Q153">
        <v>0</v>
      </c>
      <c r="R153" s="3">
        <v>0</v>
      </c>
      <c r="S153" s="3">
        <v>0</v>
      </c>
      <c r="T153">
        <v>0</v>
      </c>
      <c r="U153">
        <v>0</v>
      </c>
      <c r="V153" s="3">
        <v>0</v>
      </c>
      <c r="W153" s="3">
        <v>0</v>
      </c>
      <c r="X153">
        <v>0</v>
      </c>
      <c r="Y153" t="s">
        <v>232</v>
      </c>
    </row>
    <row r="154" spans="1:25" hidden="1" x14ac:dyDescent="0.25">
      <c r="A154" s="1" t="s">
        <v>54</v>
      </c>
      <c r="B154" s="1" t="s">
        <v>122</v>
      </c>
      <c r="C154" s="1" t="s">
        <v>52</v>
      </c>
      <c r="D154" t="s">
        <v>27</v>
      </c>
      <c r="E154" s="2">
        <v>45810</v>
      </c>
      <c r="F154" s="2">
        <v>45810</v>
      </c>
      <c r="G154" s="3">
        <v>34</v>
      </c>
      <c r="H154" s="4" t="s">
        <v>28</v>
      </c>
      <c r="I154">
        <v>44</v>
      </c>
      <c r="J154">
        <v>0</v>
      </c>
      <c r="K154">
        <v>0</v>
      </c>
      <c r="L154" s="3">
        <v>0</v>
      </c>
      <c r="M154" s="3">
        <v>0</v>
      </c>
      <c r="N154">
        <v>0</v>
      </c>
      <c r="O154">
        <v>0</v>
      </c>
      <c r="P154">
        <v>0</v>
      </c>
      <c r="Q154">
        <v>0</v>
      </c>
      <c r="R154" s="3">
        <v>0</v>
      </c>
      <c r="S154" s="3">
        <v>0</v>
      </c>
      <c r="T154">
        <v>0</v>
      </c>
      <c r="U154">
        <v>0</v>
      </c>
      <c r="V154" s="3">
        <v>0</v>
      </c>
      <c r="W154" s="3">
        <v>0</v>
      </c>
      <c r="X154">
        <v>0</v>
      </c>
      <c r="Y154" t="s">
        <v>352</v>
      </c>
    </row>
    <row r="155" spans="1:25" hidden="1" x14ac:dyDescent="0.25">
      <c r="A155" s="1" t="s">
        <v>53</v>
      </c>
      <c r="B155" s="1" t="s">
        <v>142</v>
      </c>
      <c r="C155" s="1" t="s">
        <v>39</v>
      </c>
      <c r="D155" t="s">
        <v>27</v>
      </c>
      <c r="E155" s="2">
        <v>45810</v>
      </c>
      <c r="F155" s="2">
        <v>45810</v>
      </c>
      <c r="G155" s="3">
        <v>40</v>
      </c>
      <c r="H155" s="4" t="s">
        <v>28</v>
      </c>
      <c r="I155">
        <v>19</v>
      </c>
      <c r="J155">
        <v>0</v>
      </c>
      <c r="K155">
        <v>0</v>
      </c>
      <c r="L155" s="3">
        <v>1</v>
      </c>
      <c r="M155" s="3">
        <v>0</v>
      </c>
      <c r="N155">
        <v>0</v>
      </c>
      <c r="O155">
        <v>0</v>
      </c>
      <c r="P155">
        <v>0</v>
      </c>
      <c r="Q155">
        <v>19</v>
      </c>
      <c r="R155" s="3">
        <v>0</v>
      </c>
      <c r="S155" s="3">
        <v>0</v>
      </c>
      <c r="T155">
        <v>0</v>
      </c>
      <c r="U155">
        <v>0</v>
      </c>
      <c r="V155" s="3">
        <v>0</v>
      </c>
      <c r="W155" s="3">
        <v>0</v>
      </c>
      <c r="X155">
        <v>0</v>
      </c>
      <c r="Y155" t="s">
        <v>353</v>
      </c>
    </row>
    <row r="156" spans="1:25" hidden="1" x14ac:dyDescent="0.25">
      <c r="A156" s="1" t="s">
        <v>58</v>
      </c>
      <c r="B156" s="1" t="s">
        <v>144</v>
      </c>
      <c r="C156" s="1" t="s">
        <v>354</v>
      </c>
      <c r="D156" t="s">
        <v>27</v>
      </c>
      <c r="E156" s="2">
        <v>45810</v>
      </c>
      <c r="F156" s="2">
        <v>45810</v>
      </c>
      <c r="G156" s="3">
        <v>35</v>
      </c>
      <c r="H156" s="4" t="s">
        <v>28</v>
      </c>
      <c r="I156">
        <v>54</v>
      </c>
      <c r="J156">
        <v>0</v>
      </c>
      <c r="K156">
        <v>0</v>
      </c>
      <c r="L156" s="3">
        <v>1</v>
      </c>
      <c r="M156" s="3">
        <v>0</v>
      </c>
      <c r="N156">
        <v>0</v>
      </c>
      <c r="O156">
        <v>0</v>
      </c>
      <c r="P156">
        <v>0</v>
      </c>
      <c r="Q156">
        <v>0</v>
      </c>
      <c r="R156" s="3">
        <v>0</v>
      </c>
      <c r="S156" s="3">
        <v>0</v>
      </c>
      <c r="T156">
        <v>0</v>
      </c>
      <c r="U156">
        <v>0</v>
      </c>
      <c r="V156" s="3">
        <v>0</v>
      </c>
      <c r="W156" s="3">
        <v>0</v>
      </c>
      <c r="X156">
        <v>0</v>
      </c>
      <c r="Y156" t="s">
        <v>355</v>
      </c>
    </row>
    <row r="157" spans="1:25" hidden="1" x14ac:dyDescent="0.25">
      <c r="A157" s="1" t="s">
        <v>94</v>
      </c>
      <c r="B157" s="1" t="s">
        <v>106</v>
      </c>
      <c r="C157" s="1" t="s">
        <v>95</v>
      </c>
      <c r="D157" t="s">
        <v>27</v>
      </c>
      <c r="E157" s="2">
        <v>45810</v>
      </c>
      <c r="F157" s="2">
        <v>45810</v>
      </c>
      <c r="G157" s="3">
        <v>36</v>
      </c>
      <c r="H157" s="4" t="s">
        <v>248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355</v>
      </c>
    </row>
    <row r="158" spans="1:25" hidden="1" x14ac:dyDescent="0.25">
      <c r="A158" s="1" t="s">
        <v>43</v>
      </c>
      <c r="B158" s="1" t="s">
        <v>182</v>
      </c>
      <c r="C158" s="1" t="s">
        <v>27</v>
      </c>
      <c r="D158" t="s">
        <v>27</v>
      </c>
      <c r="E158" s="2">
        <v>45810</v>
      </c>
      <c r="F158" s="2">
        <v>45810</v>
      </c>
      <c r="G158" s="3">
        <v>37</v>
      </c>
      <c r="H158" s="4" t="s">
        <v>180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355</v>
      </c>
    </row>
    <row r="159" spans="1:25" hidden="1" x14ac:dyDescent="0.25">
      <c r="A159" s="1" t="s">
        <v>25</v>
      </c>
      <c r="B159" s="1" t="s">
        <v>96</v>
      </c>
      <c r="C159" s="1" t="s">
        <v>26</v>
      </c>
      <c r="D159" t="s">
        <v>27</v>
      </c>
      <c r="E159" s="2">
        <v>45811</v>
      </c>
      <c r="F159" s="2">
        <v>45811</v>
      </c>
      <c r="G159" s="3">
        <v>38</v>
      </c>
      <c r="H159" s="4" t="s">
        <v>28</v>
      </c>
      <c r="I159">
        <v>50</v>
      </c>
      <c r="J159">
        <v>0</v>
      </c>
      <c r="K159">
        <v>0</v>
      </c>
      <c r="L159" s="3">
        <v>0</v>
      </c>
      <c r="M159" s="3">
        <v>0</v>
      </c>
      <c r="N159">
        <v>1</v>
      </c>
      <c r="O159">
        <v>0</v>
      </c>
      <c r="P159">
        <v>0</v>
      </c>
      <c r="Q159">
        <v>0</v>
      </c>
      <c r="R159" s="3">
        <v>0</v>
      </c>
      <c r="S159" s="3">
        <v>0</v>
      </c>
      <c r="T159">
        <v>0</v>
      </c>
      <c r="U159">
        <v>0</v>
      </c>
      <c r="V159" s="3">
        <v>0</v>
      </c>
      <c r="W159" s="3">
        <v>0</v>
      </c>
      <c r="X159">
        <v>0</v>
      </c>
      <c r="Y159" t="s">
        <v>356</v>
      </c>
    </row>
    <row r="160" spans="1:25" hidden="1" x14ac:dyDescent="0.25">
      <c r="A160" s="1" t="s">
        <v>56</v>
      </c>
      <c r="B160" s="1" t="s">
        <v>98</v>
      </c>
      <c r="C160" s="1" t="s">
        <v>37</v>
      </c>
      <c r="D160" t="s">
        <v>27</v>
      </c>
      <c r="E160" s="2">
        <v>45811</v>
      </c>
      <c r="F160" s="2">
        <v>45811</v>
      </c>
      <c r="G160" s="3">
        <v>32</v>
      </c>
      <c r="H160" s="4" t="s">
        <v>28</v>
      </c>
      <c r="I160">
        <v>75</v>
      </c>
      <c r="J160">
        <v>0</v>
      </c>
      <c r="K160">
        <v>0</v>
      </c>
      <c r="L160" s="3">
        <v>1</v>
      </c>
      <c r="M160" s="3">
        <v>0</v>
      </c>
      <c r="N160">
        <v>0</v>
      </c>
      <c r="O160">
        <v>0</v>
      </c>
      <c r="P160">
        <v>0</v>
      </c>
      <c r="Q160">
        <v>0</v>
      </c>
      <c r="R160" s="3">
        <v>0</v>
      </c>
      <c r="S160" s="3">
        <v>0</v>
      </c>
      <c r="T160">
        <v>0</v>
      </c>
      <c r="U160">
        <v>8</v>
      </c>
      <c r="V160" s="3">
        <v>0</v>
      </c>
      <c r="W160" s="3">
        <v>0</v>
      </c>
      <c r="X160">
        <v>0</v>
      </c>
      <c r="Y160" t="s">
        <v>357</v>
      </c>
    </row>
    <row r="161" spans="1:25" hidden="1" x14ac:dyDescent="0.25">
      <c r="A161" s="1" t="s">
        <v>29</v>
      </c>
      <c r="B161" s="1" t="s">
        <v>100</v>
      </c>
      <c r="C161" s="1" t="s">
        <v>245</v>
      </c>
      <c r="D161" t="s">
        <v>27</v>
      </c>
      <c r="E161" s="2">
        <v>45811</v>
      </c>
      <c r="F161" s="2">
        <v>45811</v>
      </c>
      <c r="G161" s="3">
        <v>78</v>
      </c>
      <c r="H161" s="4" t="s">
        <v>28</v>
      </c>
      <c r="I161">
        <v>54</v>
      </c>
      <c r="J161">
        <v>0</v>
      </c>
      <c r="K161">
        <v>0</v>
      </c>
      <c r="L161" s="3">
        <v>0</v>
      </c>
      <c r="M161" s="3">
        <v>0</v>
      </c>
      <c r="N161">
        <v>0</v>
      </c>
      <c r="O161">
        <v>0</v>
      </c>
      <c r="P161">
        <v>0</v>
      </c>
      <c r="Q161">
        <v>0</v>
      </c>
      <c r="R161" s="3">
        <v>0</v>
      </c>
      <c r="S161" s="3">
        <v>0</v>
      </c>
      <c r="T161">
        <v>0</v>
      </c>
      <c r="U161">
        <v>0</v>
      </c>
      <c r="V161" s="3">
        <v>0</v>
      </c>
      <c r="W161" s="3">
        <v>0</v>
      </c>
      <c r="X161">
        <v>0</v>
      </c>
      <c r="Y161" t="s">
        <v>358</v>
      </c>
    </row>
    <row r="162" spans="1:25" hidden="1" x14ac:dyDescent="0.25">
      <c r="A162" s="1" t="s">
        <v>344</v>
      </c>
      <c r="B162" s="1" t="s">
        <v>102</v>
      </c>
      <c r="C162" s="1" t="s">
        <v>35</v>
      </c>
      <c r="D162" t="s">
        <v>27</v>
      </c>
      <c r="E162" s="2">
        <v>45811</v>
      </c>
      <c r="F162" s="2">
        <v>45811</v>
      </c>
      <c r="G162" s="3">
        <v>37</v>
      </c>
      <c r="H162" s="4" t="s">
        <v>28</v>
      </c>
      <c r="I162">
        <v>43</v>
      </c>
      <c r="J162">
        <v>0</v>
      </c>
      <c r="K162">
        <v>0</v>
      </c>
      <c r="L162" s="3">
        <v>0</v>
      </c>
      <c r="M162" s="3">
        <v>0</v>
      </c>
      <c r="N162">
        <v>0</v>
      </c>
      <c r="O162">
        <v>0</v>
      </c>
      <c r="P162">
        <v>0</v>
      </c>
      <c r="Q162">
        <v>0</v>
      </c>
      <c r="R162" s="3">
        <v>0</v>
      </c>
      <c r="S162" s="3">
        <v>0</v>
      </c>
      <c r="T162">
        <v>0</v>
      </c>
      <c r="U162">
        <v>0</v>
      </c>
      <c r="V162" s="3">
        <v>0</v>
      </c>
      <c r="W162" s="3">
        <v>0</v>
      </c>
      <c r="X162">
        <v>0</v>
      </c>
      <c r="Y162" t="s">
        <v>359</v>
      </c>
    </row>
    <row r="163" spans="1:25" hidden="1" x14ac:dyDescent="0.25">
      <c r="A163" s="1" t="s">
        <v>31</v>
      </c>
      <c r="B163" s="1" t="s">
        <v>104</v>
      </c>
      <c r="C163" s="1" t="s">
        <v>32</v>
      </c>
      <c r="D163" t="s">
        <v>27</v>
      </c>
      <c r="E163" s="2">
        <v>45811</v>
      </c>
      <c r="F163" s="2">
        <v>45811</v>
      </c>
      <c r="G163" s="3">
        <v>54</v>
      </c>
      <c r="H163" s="4" t="s">
        <v>28</v>
      </c>
      <c r="I163">
        <v>70</v>
      </c>
      <c r="J163">
        <v>0</v>
      </c>
      <c r="K163">
        <v>0</v>
      </c>
      <c r="L163" s="3">
        <v>0</v>
      </c>
      <c r="M163" s="3">
        <v>0</v>
      </c>
      <c r="N163">
        <v>0</v>
      </c>
      <c r="O163">
        <v>0</v>
      </c>
      <c r="P163">
        <v>0</v>
      </c>
      <c r="Q163">
        <v>50</v>
      </c>
      <c r="R163" s="3">
        <v>0</v>
      </c>
      <c r="S163" s="3">
        <v>0</v>
      </c>
      <c r="T163">
        <v>0</v>
      </c>
      <c r="U163">
        <v>0</v>
      </c>
      <c r="V163" s="3">
        <v>0</v>
      </c>
      <c r="W163" s="3">
        <v>0</v>
      </c>
      <c r="X163">
        <v>0</v>
      </c>
      <c r="Y163" t="s">
        <v>360</v>
      </c>
    </row>
    <row r="164" spans="1:25" hidden="1" x14ac:dyDescent="0.25">
      <c r="A164" s="1" t="s">
        <v>34</v>
      </c>
      <c r="B164" s="1" t="s">
        <v>247</v>
      </c>
      <c r="C164" s="1" t="s">
        <v>44</v>
      </c>
      <c r="D164" t="s">
        <v>27</v>
      </c>
      <c r="E164" s="2">
        <v>45811</v>
      </c>
      <c r="F164" s="2">
        <v>45811</v>
      </c>
      <c r="G164" s="3">
        <v>27</v>
      </c>
      <c r="H164" s="4" t="s">
        <v>28</v>
      </c>
      <c r="I164">
        <v>76</v>
      </c>
      <c r="J164">
        <v>0</v>
      </c>
      <c r="K164">
        <v>0</v>
      </c>
      <c r="L164" s="3">
        <v>1</v>
      </c>
      <c r="M164" s="3">
        <v>0</v>
      </c>
      <c r="N164">
        <v>0</v>
      </c>
      <c r="O164">
        <v>0</v>
      </c>
      <c r="P164">
        <v>0</v>
      </c>
      <c r="Q164">
        <v>0</v>
      </c>
      <c r="R164" s="3">
        <v>0</v>
      </c>
      <c r="S164" s="3">
        <v>0</v>
      </c>
      <c r="T164">
        <v>0</v>
      </c>
      <c r="U164">
        <v>0</v>
      </c>
      <c r="V164" s="3">
        <v>0</v>
      </c>
      <c r="W164" s="3">
        <v>0</v>
      </c>
      <c r="X164">
        <v>0</v>
      </c>
      <c r="Y164" t="s">
        <v>361</v>
      </c>
    </row>
    <row r="165" spans="1:25" hidden="1" x14ac:dyDescent="0.25">
      <c r="A165" s="1" t="s">
        <v>38</v>
      </c>
      <c r="B165" s="1" t="s">
        <v>108</v>
      </c>
      <c r="C165" s="1" t="s">
        <v>39</v>
      </c>
      <c r="D165" t="s">
        <v>27</v>
      </c>
      <c r="E165" s="2">
        <v>45811</v>
      </c>
      <c r="F165" s="2">
        <v>45811</v>
      </c>
      <c r="G165" s="3">
        <v>36</v>
      </c>
      <c r="H165" s="4" t="s">
        <v>28</v>
      </c>
      <c r="I165">
        <v>42</v>
      </c>
      <c r="J165">
        <v>0</v>
      </c>
      <c r="K165">
        <v>0</v>
      </c>
      <c r="L165" s="3">
        <v>1</v>
      </c>
      <c r="M165" s="3">
        <v>0</v>
      </c>
      <c r="N165">
        <v>0</v>
      </c>
      <c r="O165">
        <v>0</v>
      </c>
      <c r="P165">
        <v>0</v>
      </c>
      <c r="Q165">
        <v>42</v>
      </c>
      <c r="R165" s="3">
        <v>0</v>
      </c>
      <c r="S165" s="3">
        <v>0</v>
      </c>
      <c r="T165">
        <v>0</v>
      </c>
      <c r="U165">
        <v>0</v>
      </c>
      <c r="V165" s="3">
        <v>0</v>
      </c>
      <c r="W165" s="3">
        <v>0</v>
      </c>
      <c r="X165">
        <v>0</v>
      </c>
      <c r="Y165" t="s">
        <v>362</v>
      </c>
    </row>
    <row r="166" spans="1:25" hidden="1" x14ac:dyDescent="0.25">
      <c r="A166" s="1" t="s">
        <v>40</v>
      </c>
      <c r="B166" s="1" t="s">
        <v>110</v>
      </c>
      <c r="C166" s="1" t="s">
        <v>36</v>
      </c>
      <c r="D166" t="s">
        <v>27</v>
      </c>
      <c r="E166" s="2">
        <v>45811</v>
      </c>
      <c r="F166" s="2">
        <v>45811</v>
      </c>
      <c r="G166" s="3">
        <v>37</v>
      </c>
      <c r="H166" s="4" t="s">
        <v>28</v>
      </c>
      <c r="I166">
        <v>22</v>
      </c>
      <c r="J166">
        <v>0</v>
      </c>
      <c r="K166">
        <v>0</v>
      </c>
      <c r="L166" s="3">
        <v>0</v>
      </c>
      <c r="M166" s="3">
        <v>0</v>
      </c>
      <c r="N166">
        <v>1</v>
      </c>
      <c r="O166">
        <v>0</v>
      </c>
      <c r="P166">
        <v>0</v>
      </c>
      <c r="Q166">
        <v>0</v>
      </c>
      <c r="R166" s="3">
        <v>0</v>
      </c>
      <c r="S166" s="3">
        <v>0</v>
      </c>
      <c r="T166">
        <v>0</v>
      </c>
      <c r="U166">
        <v>0</v>
      </c>
      <c r="V166" s="3">
        <v>0</v>
      </c>
      <c r="W166" s="3">
        <v>0</v>
      </c>
      <c r="X166">
        <v>0</v>
      </c>
      <c r="Y166" t="s">
        <v>363</v>
      </c>
    </row>
    <row r="167" spans="1:25" hidden="1" x14ac:dyDescent="0.25">
      <c r="A167" s="1" t="s">
        <v>41</v>
      </c>
      <c r="B167" s="1" t="s">
        <v>112</v>
      </c>
      <c r="C167" s="1" t="s">
        <v>42</v>
      </c>
      <c r="D167" t="s">
        <v>27</v>
      </c>
      <c r="E167" s="2">
        <v>45811</v>
      </c>
      <c r="F167" s="2">
        <v>45811</v>
      </c>
      <c r="G167" s="3">
        <v>61</v>
      </c>
      <c r="H167" s="4" t="s">
        <v>28</v>
      </c>
      <c r="I167">
        <v>40</v>
      </c>
      <c r="J167">
        <v>0</v>
      </c>
      <c r="K167">
        <v>0</v>
      </c>
      <c r="L167" s="3">
        <v>1</v>
      </c>
      <c r="M167" s="3">
        <v>0</v>
      </c>
      <c r="N167">
        <v>0</v>
      </c>
      <c r="O167">
        <v>0</v>
      </c>
      <c r="P167">
        <v>0</v>
      </c>
      <c r="Q167">
        <v>0</v>
      </c>
      <c r="R167" s="3">
        <v>0</v>
      </c>
      <c r="S167" s="3">
        <v>0</v>
      </c>
      <c r="T167">
        <v>0</v>
      </c>
      <c r="U167">
        <v>0</v>
      </c>
      <c r="V167" s="3">
        <v>0</v>
      </c>
      <c r="W167" s="3">
        <v>0</v>
      </c>
      <c r="X167">
        <v>0</v>
      </c>
      <c r="Y167" t="s">
        <v>364</v>
      </c>
    </row>
    <row r="168" spans="1:25" hidden="1" x14ac:dyDescent="0.25">
      <c r="A168" s="1" t="s">
        <v>45</v>
      </c>
      <c r="B168" s="1" t="s">
        <v>116</v>
      </c>
      <c r="C168" s="1" t="s">
        <v>46</v>
      </c>
      <c r="D168" t="s">
        <v>27</v>
      </c>
      <c r="E168" s="2">
        <v>45811</v>
      </c>
      <c r="F168" s="2">
        <v>45811</v>
      </c>
      <c r="G168" s="3">
        <v>42</v>
      </c>
      <c r="H168" s="4" t="s">
        <v>28</v>
      </c>
      <c r="I168">
        <v>46</v>
      </c>
      <c r="J168">
        <v>0</v>
      </c>
      <c r="K168">
        <v>0</v>
      </c>
      <c r="L168" s="3">
        <v>0</v>
      </c>
      <c r="M168" s="3">
        <v>0</v>
      </c>
      <c r="N168">
        <v>0</v>
      </c>
      <c r="O168">
        <v>0</v>
      </c>
      <c r="P168">
        <v>0</v>
      </c>
      <c r="Q168">
        <v>0</v>
      </c>
      <c r="R168" s="3">
        <v>0</v>
      </c>
      <c r="S168" s="3">
        <v>0</v>
      </c>
      <c r="T168">
        <v>0</v>
      </c>
      <c r="U168">
        <v>0</v>
      </c>
      <c r="V168" s="3">
        <v>0</v>
      </c>
      <c r="W168" s="3">
        <v>0</v>
      </c>
      <c r="X168">
        <v>0</v>
      </c>
      <c r="Y168" t="s">
        <v>365</v>
      </c>
    </row>
    <row r="169" spans="1:25" hidden="1" x14ac:dyDescent="0.25">
      <c r="A169" s="1" t="s">
        <v>47</v>
      </c>
      <c r="B169" s="1" t="s">
        <v>137</v>
      </c>
      <c r="C169" s="1" t="s">
        <v>48</v>
      </c>
      <c r="D169" t="s">
        <v>27</v>
      </c>
      <c r="E169" s="2">
        <v>45811</v>
      </c>
      <c r="F169" s="2">
        <v>45811</v>
      </c>
      <c r="G169" s="3">
        <v>138</v>
      </c>
      <c r="H169" s="4" t="s">
        <v>28</v>
      </c>
      <c r="I169">
        <v>55</v>
      </c>
      <c r="J169">
        <v>0</v>
      </c>
      <c r="K169">
        <v>0</v>
      </c>
      <c r="L169" s="3">
        <v>0</v>
      </c>
      <c r="M169" s="3">
        <v>0</v>
      </c>
      <c r="N169">
        <v>0</v>
      </c>
      <c r="O169">
        <v>0</v>
      </c>
      <c r="P169">
        <v>0</v>
      </c>
      <c r="Q169">
        <v>0</v>
      </c>
      <c r="R169" s="3">
        <v>0</v>
      </c>
      <c r="S169" s="3">
        <v>0</v>
      </c>
      <c r="T169">
        <v>0</v>
      </c>
      <c r="U169">
        <v>0</v>
      </c>
      <c r="V169" s="3">
        <v>0</v>
      </c>
      <c r="W169" s="3">
        <v>0</v>
      </c>
      <c r="X169">
        <v>0</v>
      </c>
      <c r="Y169" t="s">
        <v>366</v>
      </c>
    </row>
    <row r="170" spans="1:25" hidden="1" x14ac:dyDescent="0.25">
      <c r="A170" s="1" t="s">
        <v>49</v>
      </c>
      <c r="B170" s="1" t="s">
        <v>118</v>
      </c>
      <c r="C170" s="1" t="s">
        <v>50</v>
      </c>
      <c r="D170" t="s">
        <v>27</v>
      </c>
      <c r="E170" s="2">
        <v>45811</v>
      </c>
      <c r="F170" s="2">
        <v>45811</v>
      </c>
      <c r="G170" s="3">
        <v>26</v>
      </c>
      <c r="H170" s="4" t="s">
        <v>28</v>
      </c>
      <c r="I170">
        <v>56</v>
      </c>
      <c r="J170">
        <v>0</v>
      </c>
      <c r="K170">
        <v>0</v>
      </c>
      <c r="L170" s="3">
        <v>1</v>
      </c>
      <c r="M170" s="3">
        <v>1</v>
      </c>
      <c r="N170">
        <v>0</v>
      </c>
      <c r="O170">
        <v>1</v>
      </c>
      <c r="P170">
        <v>0</v>
      </c>
      <c r="Q170">
        <v>56</v>
      </c>
      <c r="R170" s="3">
        <v>0</v>
      </c>
      <c r="S170" s="3">
        <v>0</v>
      </c>
      <c r="T170">
        <v>0</v>
      </c>
      <c r="U170">
        <v>0</v>
      </c>
      <c r="V170" s="3">
        <v>0</v>
      </c>
      <c r="W170" s="3">
        <v>0</v>
      </c>
      <c r="X170">
        <v>0</v>
      </c>
      <c r="Y170" t="s">
        <v>367</v>
      </c>
    </row>
    <row r="171" spans="1:25" hidden="1" x14ac:dyDescent="0.25">
      <c r="A171" s="1" t="s">
        <v>51</v>
      </c>
      <c r="B171" s="1" t="s">
        <v>120</v>
      </c>
      <c r="C171" s="1" t="s">
        <v>55</v>
      </c>
      <c r="D171" t="s">
        <v>27</v>
      </c>
      <c r="E171" s="2">
        <v>45811</v>
      </c>
      <c r="F171" s="2">
        <v>45811</v>
      </c>
      <c r="G171" s="3">
        <v>91</v>
      </c>
      <c r="H171" s="4" t="s">
        <v>28</v>
      </c>
      <c r="I171">
        <v>40</v>
      </c>
      <c r="J171">
        <v>0</v>
      </c>
      <c r="K171">
        <v>0</v>
      </c>
      <c r="L171" s="3">
        <v>0</v>
      </c>
      <c r="M171" s="3">
        <v>0</v>
      </c>
      <c r="N171">
        <v>1</v>
      </c>
      <c r="O171">
        <v>0</v>
      </c>
      <c r="P171">
        <v>0</v>
      </c>
      <c r="Q171">
        <v>0</v>
      </c>
      <c r="R171" s="3">
        <v>0</v>
      </c>
      <c r="S171" s="3">
        <v>0</v>
      </c>
      <c r="T171">
        <v>0</v>
      </c>
      <c r="U171">
        <v>0</v>
      </c>
      <c r="V171" s="3">
        <v>0</v>
      </c>
      <c r="W171" s="3">
        <v>0</v>
      </c>
      <c r="X171">
        <v>0</v>
      </c>
      <c r="Y171" t="s">
        <v>368</v>
      </c>
    </row>
    <row r="172" spans="1:25" hidden="1" x14ac:dyDescent="0.25">
      <c r="A172" s="1" t="s">
        <v>54</v>
      </c>
      <c r="B172" s="1" t="s">
        <v>122</v>
      </c>
      <c r="C172" s="1" t="s">
        <v>52</v>
      </c>
      <c r="D172" t="s">
        <v>27</v>
      </c>
      <c r="E172" s="2">
        <v>45811</v>
      </c>
      <c r="F172" s="2">
        <v>45811</v>
      </c>
      <c r="G172" s="3">
        <v>57</v>
      </c>
      <c r="H172" s="4" t="s">
        <v>28</v>
      </c>
      <c r="I172">
        <v>50</v>
      </c>
      <c r="J172">
        <v>0</v>
      </c>
      <c r="K172">
        <v>0</v>
      </c>
      <c r="L172" s="3">
        <v>0</v>
      </c>
      <c r="M172" s="3">
        <v>0</v>
      </c>
      <c r="N172">
        <v>0</v>
      </c>
      <c r="O172">
        <v>0</v>
      </c>
      <c r="P172">
        <v>0</v>
      </c>
      <c r="Q172">
        <v>0</v>
      </c>
      <c r="R172" s="3">
        <v>0</v>
      </c>
      <c r="S172" s="3">
        <v>0</v>
      </c>
      <c r="T172">
        <v>0</v>
      </c>
      <c r="U172">
        <v>0</v>
      </c>
      <c r="V172" s="3">
        <v>0</v>
      </c>
      <c r="W172" s="3">
        <v>0</v>
      </c>
      <c r="X172">
        <v>0</v>
      </c>
      <c r="Y172" t="s">
        <v>369</v>
      </c>
    </row>
    <row r="173" spans="1:25" hidden="1" x14ac:dyDescent="0.25">
      <c r="A173" s="1" t="s">
        <v>53</v>
      </c>
      <c r="B173" s="1" t="s">
        <v>142</v>
      </c>
      <c r="C173" s="1" t="s">
        <v>39</v>
      </c>
      <c r="D173" t="s">
        <v>27</v>
      </c>
      <c r="E173" s="2">
        <v>45811</v>
      </c>
      <c r="F173" s="2">
        <v>45811</v>
      </c>
      <c r="G173" s="3">
        <v>39</v>
      </c>
      <c r="H173" s="4" t="s">
        <v>28</v>
      </c>
      <c r="I173">
        <v>18</v>
      </c>
      <c r="J173">
        <v>0</v>
      </c>
      <c r="K173">
        <v>0</v>
      </c>
      <c r="L173" s="3">
        <v>1</v>
      </c>
      <c r="M173" s="3">
        <v>0</v>
      </c>
      <c r="N173">
        <v>0</v>
      </c>
      <c r="O173">
        <v>0</v>
      </c>
      <c r="P173">
        <v>0</v>
      </c>
      <c r="Q173">
        <v>18</v>
      </c>
      <c r="R173" s="3">
        <v>0</v>
      </c>
      <c r="S173" s="3">
        <v>0</v>
      </c>
      <c r="T173">
        <v>0</v>
      </c>
      <c r="U173">
        <v>0</v>
      </c>
      <c r="V173" s="3">
        <v>0</v>
      </c>
      <c r="W173" s="3">
        <v>0</v>
      </c>
      <c r="X173">
        <v>0</v>
      </c>
      <c r="Y173" t="s">
        <v>370</v>
      </c>
    </row>
    <row r="174" spans="1:25" hidden="1" x14ac:dyDescent="0.25">
      <c r="A174" s="1" t="s">
        <v>58</v>
      </c>
      <c r="B174" s="1" t="s">
        <v>144</v>
      </c>
      <c r="C174" s="1" t="s">
        <v>354</v>
      </c>
      <c r="D174" t="s">
        <v>27</v>
      </c>
      <c r="E174" s="2">
        <v>45811</v>
      </c>
      <c r="F174" s="2">
        <v>45811</v>
      </c>
      <c r="G174" s="3">
        <v>23</v>
      </c>
      <c r="H174" s="4" t="s">
        <v>28</v>
      </c>
      <c r="I174">
        <v>56</v>
      </c>
      <c r="J174">
        <v>0</v>
      </c>
      <c r="K174">
        <v>0</v>
      </c>
      <c r="L174" s="3">
        <v>1</v>
      </c>
      <c r="M174" s="3">
        <v>0</v>
      </c>
      <c r="N174">
        <v>0</v>
      </c>
      <c r="O174">
        <v>0</v>
      </c>
      <c r="P174">
        <v>0</v>
      </c>
      <c r="Q174">
        <v>0</v>
      </c>
      <c r="R174" s="3">
        <v>0</v>
      </c>
      <c r="S174" s="3">
        <v>0</v>
      </c>
      <c r="T174">
        <v>0</v>
      </c>
      <c r="U174">
        <v>0</v>
      </c>
      <c r="V174" s="3">
        <v>0</v>
      </c>
      <c r="W174" s="3">
        <v>0</v>
      </c>
      <c r="X174">
        <v>0</v>
      </c>
      <c r="Y174" t="s">
        <v>371</v>
      </c>
    </row>
    <row r="175" spans="1:25" hidden="1" x14ac:dyDescent="0.25">
      <c r="A175" s="1" t="s">
        <v>33</v>
      </c>
      <c r="B175" s="1" t="s">
        <v>106</v>
      </c>
      <c r="C175" s="1" t="s">
        <v>27</v>
      </c>
      <c r="D175" t="s">
        <v>27</v>
      </c>
      <c r="E175" s="2">
        <v>45811</v>
      </c>
      <c r="F175" s="2">
        <v>45811</v>
      </c>
      <c r="G175" s="3">
        <v>24</v>
      </c>
      <c r="H175" s="4" t="s">
        <v>180</v>
      </c>
      <c r="I175">
        <v>0</v>
      </c>
      <c r="J175">
        <v>0</v>
      </c>
      <c r="K175">
        <v>0</v>
      </c>
      <c r="L175" s="3">
        <v>0</v>
      </c>
      <c r="M175" s="3">
        <v>0</v>
      </c>
      <c r="N175">
        <v>0</v>
      </c>
      <c r="O175">
        <v>0</v>
      </c>
      <c r="P175">
        <v>0</v>
      </c>
      <c r="Q175">
        <v>0</v>
      </c>
      <c r="R175" s="3">
        <v>0</v>
      </c>
      <c r="S175" s="3">
        <v>0</v>
      </c>
      <c r="T175">
        <v>0</v>
      </c>
      <c r="U175">
        <v>0</v>
      </c>
      <c r="V175" s="3">
        <v>0</v>
      </c>
      <c r="W175" s="3">
        <v>0</v>
      </c>
      <c r="X175">
        <v>0</v>
      </c>
      <c r="Y175" t="s">
        <v>371</v>
      </c>
    </row>
    <row r="176" spans="1:25" hidden="1" x14ac:dyDescent="0.25">
      <c r="A176" s="1" t="s">
        <v>94</v>
      </c>
      <c r="B176" s="1" t="s">
        <v>182</v>
      </c>
      <c r="C176" s="1" t="s">
        <v>57</v>
      </c>
      <c r="D176" t="s">
        <v>27</v>
      </c>
      <c r="E176" s="2">
        <v>45811</v>
      </c>
      <c r="F176" s="2">
        <v>45811</v>
      </c>
      <c r="G176" s="3">
        <v>25</v>
      </c>
      <c r="H176" s="4" t="s">
        <v>959</v>
      </c>
      <c r="I176">
        <v>0</v>
      </c>
      <c r="J176">
        <v>0</v>
      </c>
      <c r="K176">
        <v>0</v>
      </c>
      <c r="L176" s="3">
        <v>0</v>
      </c>
      <c r="M176" s="3">
        <v>0</v>
      </c>
      <c r="N176">
        <v>0</v>
      </c>
      <c r="O176">
        <v>0</v>
      </c>
      <c r="P176">
        <v>0</v>
      </c>
      <c r="Q176">
        <v>0</v>
      </c>
      <c r="R176" s="3">
        <v>0</v>
      </c>
      <c r="S176" s="3">
        <v>0</v>
      </c>
      <c r="T176">
        <v>0</v>
      </c>
      <c r="U176">
        <v>0</v>
      </c>
      <c r="V176" s="3">
        <v>0</v>
      </c>
      <c r="W176" s="3">
        <v>0</v>
      </c>
      <c r="X176">
        <v>0</v>
      </c>
      <c r="Y176" t="s">
        <v>371</v>
      </c>
    </row>
    <row r="177" spans="1:25" hidden="1" x14ac:dyDescent="0.25">
      <c r="A177" s="1" t="s">
        <v>94</v>
      </c>
      <c r="B177" s="1" t="s">
        <v>184</v>
      </c>
      <c r="C177" s="1" t="s">
        <v>95</v>
      </c>
      <c r="D177" t="s">
        <v>27</v>
      </c>
      <c r="E177" s="2">
        <v>45811</v>
      </c>
      <c r="F177" s="2">
        <v>45811</v>
      </c>
      <c r="G177" s="3">
        <v>26</v>
      </c>
      <c r="H177" s="4" t="s">
        <v>248</v>
      </c>
      <c r="I177">
        <v>0</v>
      </c>
      <c r="J177">
        <v>0</v>
      </c>
      <c r="K177">
        <v>0</v>
      </c>
      <c r="L177" s="3">
        <v>0</v>
      </c>
      <c r="M177" s="3">
        <v>0</v>
      </c>
      <c r="N177">
        <v>0</v>
      </c>
      <c r="O177">
        <v>0</v>
      </c>
      <c r="P177">
        <v>0</v>
      </c>
      <c r="Q177">
        <v>0</v>
      </c>
      <c r="R177" s="3">
        <v>0</v>
      </c>
      <c r="S177" s="3">
        <v>0</v>
      </c>
      <c r="T177">
        <v>0</v>
      </c>
      <c r="U177">
        <v>0</v>
      </c>
      <c r="V177" s="3">
        <v>0</v>
      </c>
      <c r="W177" s="3">
        <v>0</v>
      </c>
      <c r="X177">
        <v>0</v>
      </c>
      <c r="Y177" t="s">
        <v>371</v>
      </c>
    </row>
    <row r="178" spans="1:25" hidden="1" x14ac:dyDescent="0.25">
      <c r="A178" s="14" t="s">
        <v>25</v>
      </c>
      <c r="B178" s="14" t="s">
        <v>96</v>
      </c>
      <c r="C178" s="14" t="s">
        <v>26</v>
      </c>
      <c r="D178" s="14" t="s">
        <v>27</v>
      </c>
      <c r="E178" s="2">
        <v>45812</v>
      </c>
      <c r="F178" s="2">
        <v>45812</v>
      </c>
      <c r="G178" s="3">
        <v>58</v>
      </c>
      <c r="H178" s="4" t="s">
        <v>28</v>
      </c>
      <c r="I178">
        <v>49</v>
      </c>
      <c r="J178">
        <v>0</v>
      </c>
      <c r="K178">
        <v>0</v>
      </c>
      <c r="L178" s="3">
        <v>0</v>
      </c>
      <c r="M178" s="3">
        <v>0</v>
      </c>
      <c r="N178">
        <v>1</v>
      </c>
      <c r="O178">
        <v>0</v>
      </c>
      <c r="P178">
        <v>0</v>
      </c>
      <c r="Q178">
        <v>0</v>
      </c>
      <c r="R178" s="3">
        <v>0</v>
      </c>
      <c r="S178" s="3">
        <v>0</v>
      </c>
      <c r="T178">
        <v>0</v>
      </c>
      <c r="U178">
        <v>0</v>
      </c>
      <c r="V178" s="3">
        <v>0</v>
      </c>
      <c r="W178" s="3">
        <v>0</v>
      </c>
      <c r="X178">
        <v>0</v>
      </c>
      <c r="Y178" t="s">
        <v>372</v>
      </c>
    </row>
    <row r="179" spans="1:25" hidden="1" x14ac:dyDescent="0.25">
      <c r="A179" s="14" t="s">
        <v>56</v>
      </c>
      <c r="B179" s="14" t="s">
        <v>98</v>
      </c>
      <c r="C179" s="14" t="s">
        <v>37</v>
      </c>
      <c r="D179" s="14" t="s">
        <v>27</v>
      </c>
      <c r="E179" s="2">
        <v>45812</v>
      </c>
      <c r="F179" s="2">
        <v>45812</v>
      </c>
      <c r="G179" s="3">
        <v>32</v>
      </c>
      <c r="H179" s="4" t="s">
        <v>28</v>
      </c>
      <c r="I179">
        <v>72</v>
      </c>
      <c r="J179">
        <v>0</v>
      </c>
      <c r="K179">
        <v>0</v>
      </c>
      <c r="L179" s="3">
        <v>1</v>
      </c>
      <c r="M179" s="3">
        <v>0</v>
      </c>
      <c r="N179">
        <v>0</v>
      </c>
      <c r="O179">
        <v>0</v>
      </c>
      <c r="P179">
        <v>0</v>
      </c>
      <c r="Q179">
        <v>0</v>
      </c>
      <c r="R179" s="3">
        <v>0</v>
      </c>
      <c r="S179" s="3">
        <v>0</v>
      </c>
      <c r="T179">
        <v>0</v>
      </c>
      <c r="U179">
        <v>0</v>
      </c>
      <c r="V179" s="3">
        <v>0</v>
      </c>
      <c r="W179" s="3">
        <v>0</v>
      </c>
      <c r="X179">
        <v>0</v>
      </c>
      <c r="Y179" t="s">
        <v>373</v>
      </c>
    </row>
    <row r="180" spans="1:25" hidden="1" x14ac:dyDescent="0.25">
      <c r="A180" s="14" t="s">
        <v>29</v>
      </c>
      <c r="B180" s="14" t="s">
        <v>100</v>
      </c>
      <c r="C180" s="14" t="s">
        <v>245</v>
      </c>
      <c r="D180" s="14" t="s">
        <v>27</v>
      </c>
      <c r="E180" s="2">
        <v>45812</v>
      </c>
      <c r="F180" s="2">
        <v>45812</v>
      </c>
      <c r="G180" s="3">
        <v>58</v>
      </c>
      <c r="H180" s="4" t="s">
        <v>28</v>
      </c>
      <c r="I180">
        <v>43</v>
      </c>
      <c r="J180">
        <v>0</v>
      </c>
      <c r="K180">
        <v>0</v>
      </c>
      <c r="L180" s="3">
        <v>1</v>
      </c>
      <c r="M180" s="3">
        <v>0</v>
      </c>
      <c r="N180">
        <v>0</v>
      </c>
      <c r="O180">
        <v>0</v>
      </c>
      <c r="P180">
        <v>0</v>
      </c>
      <c r="Q180">
        <v>0</v>
      </c>
      <c r="R180" s="3">
        <v>0</v>
      </c>
      <c r="S180" s="3">
        <v>0</v>
      </c>
      <c r="T180">
        <v>0</v>
      </c>
      <c r="U180">
        <v>0</v>
      </c>
      <c r="V180" s="3">
        <v>0</v>
      </c>
      <c r="W180" s="3">
        <v>0</v>
      </c>
      <c r="X180">
        <v>0</v>
      </c>
      <c r="Y180" t="s">
        <v>374</v>
      </c>
    </row>
    <row r="181" spans="1:25" hidden="1" x14ac:dyDescent="0.25">
      <c r="A181" s="14" t="s">
        <v>344</v>
      </c>
      <c r="B181" s="14" t="s">
        <v>102</v>
      </c>
      <c r="C181" s="14" t="s">
        <v>35</v>
      </c>
      <c r="D181" s="14" t="s">
        <v>27</v>
      </c>
      <c r="E181" s="2">
        <v>45812</v>
      </c>
      <c r="F181" s="2">
        <v>45812</v>
      </c>
      <c r="G181" s="3">
        <v>29</v>
      </c>
      <c r="H181" s="4" t="s">
        <v>28</v>
      </c>
      <c r="I181">
        <v>27</v>
      </c>
      <c r="J181">
        <v>0</v>
      </c>
      <c r="K181">
        <v>0</v>
      </c>
      <c r="L181" s="3">
        <v>0</v>
      </c>
      <c r="M181" s="3">
        <v>0</v>
      </c>
      <c r="N181">
        <v>0</v>
      </c>
      <c r="O181">
        <v>0</v>
      </c>
      <c r="P181">
        <v>0</v>
      </c>
      <c r="Q181">
        <v>0</v>
      </c>
      <c r="R181" s="3">
        <v>0</v>
      </c>
      <c r="S181" s="3">
        <v>0</v>
      </c>
      <c r="T181">
        <v>0</v>
      </c>
      <c r="U181">
        <v>0</v>
      </c>
      <c r="V181" s="3">
        <v>0</v>
      </c>
      <c r="W181" s="3">
        <v>0</v>
      </c>
      <c r="X181">
        <v>0</v>
      </c>
      <c r="Y181" t="s">
        <v>375</v>
      </c>
    </row>
    <row r="182" spans="1:25" hidden="1" x14ac:dyDescent="0.25">
      <c r="A182" s="14" t="s">
        <v>31</v>
      </c>
      <c r="B182" s="14" t="s">
        <v>104</v>
      </c>
      <c r="C182" s="14" t="s">
        <v>32</v>
      </c>
      <c r="D182" s="14" t="s">
        <v>27</v>
      </c>
      <c r="E182" s="2">
        <v>45812</v>
      </c>
      <c r="F182" s="2">
        <v>45812</v>
      </c>
      <c r="G182" s="3">
        <v>66</v>
      </c>
      <c r="H182" s="4" t="s">
        <v>28</v>
      </c>
      <c r="I182">
        <v>98</v>
      </c>
      <c r="J182">
        <v>0</v>
      </c>
      <c r="K182">
        <v>0</v>
      </c>
      <c r="L182" s="3">
        <v>0</v>
      </c>
      <c r="M182" s="3">
        <v>0</v>
      </c>
      <c r="N182">
        <v>0</v>
      </c>
      <c r="O182">
        <v>0</v>
      </c>
      <c r="P182">
        <v>0</v>
      </c>
      <c r="Q182">
        <v>50</v>
      </c>
      <c r="R182" s="3">
        <v>0</v>
      </c>
      <c r="S182" s="3">
        <v>0</v>
      </c>
      <c r="T182">
        <v>0</v>
      </c>
      <c r="U182">
        <v>0</v>
      </c>
      <c r="V182" s="3">
        <v>0</v>
      </c>
      <c r="W182" s="3">
        <v>0</v>
      </c>
      <c r="X182">
        <v>0</v>
      </c>
      <c r="Y182" t="s">
        <v>376</v>
      </c>
    </row>
    <row r="183" spans="1:25" hidden="1" x14ac:dyDescent="0.25">
      <c r="A183" s="14" t="s">
        <v>33</v>
      </c>
      <c r="B183" s="14" t="s">
        <v>106</v>
      </c>
      <c r="C183" s="14" t="s">
        <v>57</v>
      </c>
      <c r="D183" s="14" t="s">
        <v>27</v>
      </c>
      <c r="E183" s="2">
        <v>45812</v>
      </c>
      <c r="F183" s="2">
        <v>45812</v>
      </c>
      <c r="G183" s="3">
        <v>26</v>
      </c>
      <c r="H183" s="4" t="s">
        <v>28</v>
      </c>
      <c r="I183">
        <v>43</v>
      </c>
      <c r="J183">
        <v>0</v>
      </c>
      <c r="K183">
        <v>0</v>
      </c>
      <c r="L183" s="3">
        <v>0</v>
      </c>
      <c r="M183" s="3">
        <v>0</v>
      </c>
      <c r="N183">
        <v>0</v>
      </c>
      <c r="O183">
        <v>0</v>
      </c>
      <c r="P183">
        <v>0</v>
      </c>
      <c r="Q183">
        <v>0</v>
      </c>
      <c r="R183" s="3">
        <v>0</v>
      </c>
      <c r="S183" s="3">
        <v>0</v>
      </c>
      <c r="T183">
        <v>0</v>
      </c>
      <c r="U183">
        <v>0</v>
      </c>
      <c r="V183" s="3">
        <v>0</v>
      </c>
      <c r="W183" s="3">
        <v>0</v>
      </c>
      <c r="X183">
        <v>0</v>
      </c>
      <c r="Y183" t="s">
        <v>377</v>
      </c>
    </row>
    <row r="184" spans="1:25" hidden="1" x14ac:dyDescent="0.25">
      <c r="A184" s="14" t="s">
        <v>34</v>
      </c>
      <c r="B184" s="14" t="s">
        <v>247</v>
      </c>
      <c r="C184" s="14" t="s">
        <v>44</v>
      </c>
      <c r="D184" s="14" t="s">
        <v>27</v>
      </c>
      <c r="E184" s="2">
        <v>45812</v>
      </c>
      <c r="F184" s="2">
        <v>45812</v>
      </c>
      <c r="G184" s="3">
        <v>23</v>
      </c>
      <c r="H184" s="4" t="s">
        <v>28</v>
      </c>
      <c r="I184">
        <v>53</v>
      </c>
      <c r="J184">
        <v>0</v>
      </c>
      <c r="K184">
        <v>0</v>
      </c>
      <c r="L184" s="3">
        <v>0</v>
      </c>
      <c r="M184" s="3">
        <v>0</v>
      </c>
      <c r="N184">
        <v>0</v>
      </c>
      <c r="O184">
        <v>0</v>
      </c>
      <c r="P184">
        <v>0</v>
      </c>
      <c r="Q184">
        <v>0</v>
      </c>
      <c r="R184" s="3">
        <v>0</v>
      </c>
      <c r="S184" s="3">
        <v>0</v>
      </c>
      <c r="T184">
        <v>0</v>
      </c>
      <c r="U184">
        <v>0</v>
      </c>
      <c r="V184" s="3">
        <v>0</v>
      </c>
      <c r="W184" s="3">
        <v>0</v>
      </c>
      <c r="X184">
        <v>0</v>
      </c>
      <c r="Y184" t="s">
        <v>378</v>
      </c>
    </row>
    <row r="185" spans="1:25" hidden="1" x14ac:dyDescent="0.25">
      <c r="A185" s="14" t="s">
        <v>36</v>
      </c>
      <c r="B185" s="14" t="s">
        <v>249</v>
      </c>
      <c r="C185" s="14" t="s">
        <v>52</v>
      </c>
      <c r="D185" s="14" t="s">
        <v>27</v>
      </c>
      <c r="E185" s="2">
        <v>45812</v>
      </c>
      <c r="F185" s="2">
        <v>45812</v>
      </c>
      <c r="G185" s="3">
        <v>42</v>
      </c>
      <c r="H185" s="4" t="s">
        <v>28</v>
      </c>
      <c r="I185">
        <v>23</v>
      </c>
      <c r="J185">
        <v>0</v>
      </c>
      <c r="K185">
        <v>0</v>
      </c>
      <c r="L185" s="3">
        <v>0</v>
      </c>
      <c r="M185" s="3">
        <v>0</v>
      </c>
      <c r="N185">
        <v>0</v>
      </c>
      <c r="O185">
        <v>0</v>
      </c>
      <c r="P185">
        <v>0</v>
      </c>
      <c r="Q185">
        <v>0</v>
      </c>
      <c r="R185" s="3">
        <v>0</v>
      </c>
      <c r="S185" s="3">
        <v>0</v>
      </c>
      <c r="T185">
        <v>0</v>
      </c>
      <c r="U185">
        <v>0</v>
      </c>
      <c r="V185" s="3">
        <v>0</v>
      </c>
      <c r="W185" s="3">
        <v>0</v>
      </c>
      <c r="X185">
        <v>0</v>
      </c>
      <c r="Y185" t="s">
        <v>379</v>
      </c>
    </row>
    <row r="186" spans="1:25" hidden="1" x14ac:dyDescent="0.25">
      <c r="A186" s="14" t="s">
        <v>38</v>
      </c>
      <c r="B186" s="14" t="s">
        <v>108</v>
      </c>
      <c r="C186" s="14" t="s">
        <v>39</v>
      </c>
      <c r="D186" s="14" t="s">
        <v>27</v>
      </c>
      <c r="E186" s="2">
        <v>45812</v>
      </c>
      <c r="F186" s="2">
        <v>45812</v>
      </c>
      <c r="G186" s="3">
        <v>39</v>
      </c>
      <c r="H186" s="4" t="s">
        <v>28</v>
      </c>
      <c r="I186">
        <v>34</v>
      </c>
      <c r="J186">
        <v>0</v>
      </c>
      <c r="K186">
        <v>0</v>
      </c>
      <c r="L186" s="3">
        <v>1</v>
      </c>
      <c r="M186" s="3">
        <v>0</v>
      </c>
      <c r="N186">
        <v>0</v>
      </c>
      <c r="O186">
        <v>0</v>
      </c>
      <c r="P186">
        <v>0</v>
      </c>
      <c r="Q186">
        <v>34</v>
      </c>
      <c r="R186" s="3">
        <v>0</v>
      </c>
      <c r="S186" s="3">
        <v>0</v>
      </c>
      <c r="T186">
        <v>0</v>
      </c>
      <c r="U186">
        <v>0</v>
      </c>
      <c r="V186" s="3">
        <v>0</v>
      </c>
      <c r="W186" s="3">
        <v>0</v>
      </c>
      <c r="X186">
        <v>0</v>
      </c>
      <c r="Y186" t="s">
        <v>380</v>
      </c>
    </row>
    <row r="187" spans="1:25" hidden="1" x14ac:dyDescent="0.25">
      <c r="A187" s="14" t="s">
        <v>40</v>
      </c>
      <c r="B187" s="14" t="s">
        <v>110</v>
      </c>
      <c r="C187" s="14" t="s">
        <v>40</v>
      </c>
      <c r="D187" s="14" t="s">
        <v>27</v>
      </c>
      <c r="E187" s="2">
        <v>45812</v>
      </c>
      <c r="F187" s="2">
        <v>45812</v>
      </c>
      <c r="G187" s="3">
        <v>109</v>
      </c>
      <c r="H187" s="4" t="s">
        <v>28</v>
      </c>
      <c r="I187">
        <v>22</v>
      </c>
      <c r="J187">
        <v>0</v>
      </c>
      <c r="K187">
        <v>0</v>
      </c>
      <c r="L187" s="3">
        <v>0</v>
      </c>
      <c r="M187" s="3">
        <v>0</v>
      </c>
      <c r="N187">
        <v>1</v>
      </c>
      <c r="O187">
        <v>0</v>
      </c>
      <c r="P187">
        <v>0</v>
      </c>
      <c r="Q187">
        <v>0</v>
      </c>
      <c r="R187" s="3">
        <v>0</v>
      </c>
      <c r="S187" s="3">
        <v>0</v>
      </c>
      <c r="T187">
        <v>0</v>
      </c>
      <c r="U187">
        <v>0</v>
      </c>
      <c r="V187" s="3">
        <v>0</v>
      </c>
      <c r="W187" s="3">
        <v>0</v>
      </c>
      <c r="X187">
        <v>0</v>
      </c>
      <c r="Y187" t="s">
        <v>381</v>
      </c>
    </row>
    <row r="188" spans="1:25" hidden="1" x14ac:dyDescent="0.25">
      <c r="A188" s="14" t="s">
        <v>41</v>
      </c>
      <c r="B188" s="14" t="s">
        <v>112</v>
      </c>
      <c r="C188" s="14" t="s">
        <v>42</v>
      </c>
      <c r="D188" s="14" t="s">
        <v>27</v>
      </c>
      <c r="E188" s="2">
        <v>45812</v>
      </c>
      <c r="F188" s="2">
        <v>45812</v>
      </c>
      <c r="G188" s="3">
        <v>61</v>
      </c>
      <c r="H188" s="4" t="s">
        <v>28</v>
      </c>
      <c r="I188">
        <v>45</v>
      </c>
      <c r="J188">
        <v>0</v>
      </c>
      <c r="K188">
        <v>0</v>
      </c>
      <c r="L188" s="3">
        <v>1</v>
      </c>
      <c r="M188" s="3">
        <v>0</v>
      </c>
      <c r="N188">
        <v>0</v>
      </c>
      <c r="O188">
        <v>0</v>
      </c>
      <c r="P188">
        <v>0</v>
      </c>
      <c r="Q188">
        <v>0</v>
      </c>
      <c r="R188" s="3">
        <v>0</v>
      </c>
      <c r="S188" s="3">
        <v>0</v>
      </c>
      <c r="T188">
        <v>0</v>
      </c>
      <c r="U188">
        <v>0</v>
      </c>
      <c r="V188" s="3">
        <v>0</v>
      </c>
      <c r="W188" s="3">
        <v>0</v>
      </c>
      <c r="X188">
        <v>0</v>
      </c>
      <c r="Y188" t="s">
        <v>364</v>
      </c>
    </row>
    <row r="189" spans="1:25" hidden="1" x14ac:dyDescent="0.25">
      <c r="A189" s="14" t="s">
        <v>45</v>
      </c>
      <c r="B189" s="14" t="s">
        <v>116</v>
      </c>
      <c r="C189" s="14" t="s">
        <v>46</v>
      </c>
      <c r="D189" s="14" t="s">
        <v>27</v>
      </c>
      <c r="E189" s="2">
        <v>45812</v>
      </c>
      <c r="F189" s="2">
        <v>45812</v>
      </c>
      <c r="G189" s="3">
        <v>54</v>
      </c>
      <c r="H189" s="4" t="s">
        <v>28</v>
      </c>
      <c r="I189">
        <v>73</v>
      </c>
      <c r="J189">
        <v>0</v>
      </c>
      <c r="K189">
        <v>0</v>
      </c>
      <c r="L189" s="3">
        <v>1</v>
      </c>
      <c r="M189" s="3">
        <v>0</v>
      </c>
      <c r="N189">
        <v>0</v>
      </c>
      <c r="O189">
        <v>0</v>
      </c>
      <c r="P189">
        <v>0</v>
      </c>
      <c r="Q189">
        <v>0</v>
      </c>
      <c r="R189" s="3">
        <v>0</v>
      </c>
      <c r="S189" s="3">
        <v>0</v>
      </c>
      <c r="T189">
        <v>0</v>
      </c>
      <c r="U189">
        <v>0</v>
      </c>
      <c r="V189" s="3">
        <v>0</v>
      </c>
      <c r="W189" s="3">
        <v>0</v>
      </c>
      <c r="X189">
        <v>0</v>
      </c>
      <c r="Y189" t="s">
        <v>382</v>
      </c>
    </row>
    <row r="190" spans="1:25" hidden="1" x14ac:dyDescent="0.25">
      <c r="A190" s="14" t="s">
        <v>47</v>
      </c>
      <c r="B190" s="14" t="s">
        <v>137</v>
      </c>
      <c r="C190" s="14" t="s">
        <v>48</v>
      </c>
      <c r="D190" s="14" t="s">
        <v>27</v>
      </c>
      <c r="E190" s="2">
        <v>45812</v>
      </c>
      <c r="F190" s="2">
        <v>45812</v>
      </c>
      <c r="G190" s="3">
        <v>25</v>
      </c>
      <c r="H190" s="4" t="s">
        <v>28</v>
      </c>
      <c r="I190">
        <v>44</v>
      </c>
      <c r="J190">
        <v>0</v>
      </c>
      <c r="K190">
        <v>0</v>
      </c>
      <c r="L190" s="3">
        <v>0</v>
      </c>
      <c r="M190" s="3">
        <v>0</v>
      </c>
      <c r="N190">
        <v>0</v>
      </c>
      <c r="O190">
        <v>0</v>
      </c>
      <c r="P190">
        <v>0</v>
      </c>
      <c r="Q190">
        <v>0</v>
      </c>
      <c r="R190" s="3">
        <v>0</v>
      </c>
      <c r="S190" s="3">
        <v>0</v>
      </c>
      <c r="T190">
        <v>0</v>
      </c>
      <c r="U190">
        <v>0</v>
      </c>
      <c r="V190" s="3">
        <v>0</v>
      </c>
      <c r="W190" s="3">
        <v>0</v>
      </c>
      <c r="X190">
        <v>0</v>
      </c>
      <c r="Y190" t="s">
        <v>383</v>
      </c>
    </row>
    <row r="191" spans="1:25" hidden="1" x14ac:dyDescent="0.25">
      <c r="A191" s="14" t="s">
        <v>49</v>
      </c>
      <c r="B191" s="14" t="s">
        <v>118</v>
      </c>
      <c r="C191" s="14" t="s">
        <v>50</v>
      </c>
      <c r="D191" s="14" t="s">
        <v>27</v>
      </c>
      <c r="E191" s="2">
        <v>45812</v>
      </c>
      <c r="F191" s="2">
        <v>45812</v>
      </c>
      <c r="G191" s="3">
        <v>23</v>
      </c>
      <c r="H191" s="4" t="s">
        <v>28</v>
      </c>
      <c r="I191">
        <v>50</v>
      </c>
      <c r="J191">
        <v>0</v>
      </c>
      <c r="K191">
        <v>0</v>
      </c>
      <c r="L191" s="3">
        <v>1</v>
      </c>
      <c r="M191" s="3">
        <v>1</v>
      </c>
      <c r="N191">
        <v>0</v>
      </c>
      <c r="O191">
        <v>0</v>
      </c>
      <c r="P191">
        <v>0</v>
      </c>
      <c r="Q191">
        <v>50</v>
      </c>
      <c r="R191" s="3">
        <v>0</v>
      </c>
      <c r="S191" s="3">
        <v>0</v>
      </c>
      <c r="T191">
        <v>0</v>
      </c>
      <c r="U191">
        <v>0</v>
      </c>
      <c r="V191" s="3">
        <v>0</v>
      </c>
      <c r="W191" s="3">
        <v>0</v>
      </c>
      <c r="X191">
        <v>0</v>
      </c>
      <c r="Y191" t="s">
        <v>384</v>
      </c>
    </row>
    <row r="192" spans="1:25" hidden="1" x14ac:dyDescent="0.25">
      <c r="A192" s="14" t="s">
        <v>51</v>
      </c>
      <c r="B192" s="14" t="s">
        <v>120</v>
      </c>
      <c r="C192" s="14" t="s">
        <v>55</v>
      </c>
      <c r="D192" s="14" t="s">
        <v>27</v>
      </c>
      <c r="E192" s="2">
        <v>45812</v>
      </c>
      <c r="F192" s="2">
        <v>45812</v>
      </c>
      <c r="G192" s="3">
        <v>56</v>
      </c>
      <c r="H192" s="4" t="s">
        <v>28</v>
      </c>
      <c r="I192">
        <v>45</v>
      </c>
      <c r="J192">
        <v>0</v>
      </c>
      <c r="K192">
        <v>0</v>
      </c>
      <c r="L192" s="3">
        <v>1</v>
      </c>
      <c r="M192" s="3">
        <v>0</v>
      </c>
      <c r="N192">
        <v>1</v>
      </c>
      <c r="O192">
        <v>0</v>
      </c>
      <c r="P192">
        <v>0</v>
      </c>
      <c r="Q192">
        <v>0</v>
      </c>
      <c r="R192" s="3">
        <v>0</v>
      </c>
      <c r="S192" s="3">
        <v>0</v>
      </c>
      <c r="T192">
        <v>0</v>
      </c>
      <c r="U192">
        <v>0</v>
      </c>
      <c r="V192" s="3">
        <v>0</v>
      </c>
      <c r="W192" s="3">
        <v>0</v>
      </c>
      <c r="X192">
        <v>0</v>
      </c>
      <c r="Y192" t="s">
        <v>385</v>
      </c>
    </row>
    <row r="193" spans="1:25" hidden="1" x14ac:dyDescent="0.25">
      <c r="A193" s="14" t="s">
        <v>53</v>
      </c>
      <c r="B193" s="14" t="s">
        <v>142</v>
      </c>
      <c r="C193" s="14" t="s">
        <v>39</v>
      </c>
      <c r="D193" s="14" t="s">
        <v>27</v>
      </c>
      <c r="E193" s="2">
        <v>45812</v>
      </c>
      <c r="F193" s="2">
        <v>45812</v>
      </c>
      <c r="G193" s="3">
        <v>38</v>
      </c>
      <c r="H193" s="4" t="s">
        <v>28</v>
      </c>
      <c r="I193">
        <v>25</v>
      </c>
      <c r="J193">
        <v>0</v>
      </c>
      <c r="K193">
        <v>0</v>
      </c>
      <c r="L193" s="3">
        <v>1</v>
      </c>
      <c r="M193" s="3">
        <v>0</v>
      </c>
      <c r="N193">
        <v>0</v>
      </c>
      <c r="O193">
        <v>0</v>
      </c>
      <c r="P193">
        <v>0</v>
      </c>
      <c r="Q193">
        <v>25</v>
      </c>
      <c r="R193" s="3">
        <v>0</v>
      </c>
      <c r="S193" s="3">
        <v>0</v>
      </c>
      <c r="T193">
        <v>0</v>
      </c>
      <c r="U193">
        <v>0</v>
      </c>
      <c r="V193" s="3">
        <v>0</v>
      </c>
      <c r="W193" s="3">
        <v>0</v>
      </c>
      <c r="X193">
        <v>0</v>
      </c>
      <c r="Y193" t="s">
        <v>386</v>
      </c>
    </row>
    <row r="194" spans="1:25" hidden="1" x14ac:dyDescent="0.25">
      <c r="A194" s="1" t="s">
        <v>58</v>
      </c>
      <c r="B194" s="14" t="s">
        <v>144</v>
      </c>
      <c r="C194" s="14" t="s">
        <v>354</v>
      </c>
      <c r="D194" s="14" t="s">
        <v>27</v>
      </c>
      <c r="E194" s="2">
        <v>45812</v>
      </c>
      <c r="F194" s="2">
        <v>45812</v>
      </c>
      <c r="G194" s="3">
        <v>24</v>
      </c>
      <c r="H194" s="4" t="s">
        <v>28</v>
      </c>
      <c r="I194">
        <v>57</v>
      </c>
      <c r="J194">
        <v>0</v>
      </c>
      <c r="K194">
        <v>0</v>
      </c>
      <c r="L194" s="3">
        <v>1</v>
      </c>
      <c r="M194" s="3">
        <v>0</v>
      </c>
      <c r="N194">
        <v>0</v>
      </c>
      <c r="O194">
        <v>0</v>
      </c>
      <c r="P194">
        <v>0</v>
      </c>
      <c r="Q194">
        <v>0</v>
      </c>
      <c r="R194" s="3">
        <v>0</v>
      </c>
      <c r="S194" s="3">
        <v>0</v>
      </c>
      <c r="T194">
        <v>0</v>
      </c>
      <c r="U194">
        <v>0</v>
      </c>
      <c r="V194" s="3">
        <v>0</v>
      </c>
      <c r="W194" s="3">
        <v>0</v>
      </c>
      <c r="X194">
        <v>0</v>
      </c>
      <c r="Y194" t="s">
        <v>387</v>
      </c>
    </row>
    <row r="195" spans="1:25" hidden="1" x14ac:dyDescent="0.25">
      <c r="A195" s="14" t="s">
        <v>54</v>
      </c>
      <c r="B195" s="14" t="s">
        <v>106</v>
      </c>
      <c r="C195" s="14" t="s">
        <v>27</v>
      </c>
      <c r="D195" s="14" t="s">
        <v>27</v>
      </c>
      <c r="E195" s="2">
        <v>45812</v>
      </c>
      <c r="F195" s="2">
        <v>45812</v>
      </c>
      <c r="G195" s="3">
        <v>25</v>
      </c>
      <c r="H195" s="4" t="s">
        <v>250</v>
      </c>
      <c r="I195">
        <v>0</v>
      </c>
      <c r="J195">
        <v>0</v>
      </c>
      <c r="K195">
        <v>0</v>
      </c>
      <c r="L195" s="3">
        <v>0</v>
      </c>
      <c r="M195" s="3">
        <v>0</v>
      </c>
      <c r="N195">
        <v>0</v>
      </c>
      <c r="O195">
        <v>0</v>
      </c>
      <c r="P195">
        <v>0</v>
      </c>
      <c r="Q195">
        <v>0</v>
      </c>
      <c r="R195" s="3">
        <v>0</v>
      </c>
      <c r="S195" s="3">
        <v>0</v>
      </c>
      <c r="T195">
        <v>0</v>
      </c>
      <c r="U195">
        <v>0</v>
      </c>
      <c r="V195" s="3">
        <v>0</v>
      </c>
      <c r="W195" s="3">
        <v>0</v>
      </c>
      <c r="X195" s="3">
        <v>0</v>
      </c>
      <c r="Y195" t="s">
        <v>387</v>
      </c>
    </row>
    <row r="196" spans="1:25" hidden="1" x14ac:dyDescent="0.25">
      <c r="A196" s="1" t="s">
        <v>25</v>
      </c>
      <c r="B196" s="1" t="s">
        <v>96</v>
      </c>
      <c r="C196" s="1" t="s">
        <v>26</v>
      </c>
      <c r="D196" s="1" t="s">
        <v>27</v>
      </c>
      <c r="E196" s="2">
        <v>45813</v>
      </c>
      <c r="F196" s="2">
        <v>45813</v>
      </c>
      <c r="G196" s="3">
        <v>44</v>
      </c>
      <c r="H196" s="4" t="s">
        <v>28</v>
      </c>
      <c r="I196">
        <v>42</v>
      </c>
      <c r="J196">
        <v>0</v>
      </c>
      <c r="K196">
        <v>0</v>
      </c>
      <c r="L196" s="3">
        <v>0</v>
      </c>
      <c r="M196" s="3">
        <v>0</v>
      </c>
      <c r="N196">
        <v>1</v>
      </c>
      <c r="O196">
        <v>0</v>
      </c>
      <c r="P196">
        <v>0</v>
      </c>
      <c r="Q196">
        <v>0</v>
      </c>
      <c r="R196" s="3">
        <v>0</v>
      </c>
      <c r="S196" s="3">
        <v>0</v>
      </c>
      <c r="T196">
        <v>0</v>
      </c>
      <c r="U196">
        <v>0</v>
      </c>
      <c r="V196" s="3">
        <v>0</v>
      </c>
      <c r="W196" s="3">
        <v>0</v>
      </c>
      <c r="X196">
        <v>0</v>
      </c>
      <c r="Y196" t="s">
        <v>388</v>
      </c>
    </row>
    <row r="197" spans="1:25" hidden="1" x14ac:dyDescent="0.25">
      <c r="A197" s="1" t="s">
        <v>56</v>
      </c>
      <c r="B197" s="1" t="s">
        <v>98</v>
      </c>
      <c r="C197" s="1" t="s">
        <v>37</v>
      </c>
      <c r="D197" s="1" t="s">
        <v>27</v>
      </c>
      <c r="E197" s="2">
        <v>45813</v>
      </c>
      <c r="F197" s="2">
        <v>45813</v>
      </c>
      <c r="G197" s="3">
        <v>31</v>
      </c>
      <c r="H197" s="4" t="s">
        <v>28</v>
      </c>
      <c r="I197">
        <v>69</v>
      </c>
      <c r="J197">
        <v>0</v>
      </c>
      <c r="K197">
        <v>0</v>
      </c>
      <c r="L197" s="3">
        <v>1</v>
      </c>
      <c r="M197" s="3">
        <v>0</v>
      </c>
      <c r="N197">
        <v>0</v>
      </c>
      <c r="O197">
        <v>0</v>
      </c>
      <c r="P197">
        <v>0</v>
      </c>
      <c r="Q197">
        <v>0</v>
      </c>
      <c r="R197" s="3">
        <v>0</v>
      </c>
      <c r="S197" s="3">
        <v>0</v>
      </c>
      <c r="T197">
        <v>0</v>
      </c>
      <c r="U197">
        <v>0</v>
      </c>
      <c r="V197" s="3">
        <v>0</v>
      </c>
      <c r="W197" s="3">
        <v>0</v>
      </c>
      <c r="X197">
        <v>0</v>
      </c>
      <c r="Y197" t="s">
        <v>389</v>
      </c>
    </row>
    <row r="198" spans="1:25" hidden="1" x14ac:dyDescent="0.25">
      <c r="A198" s="1" t="s">
        <v>29</v>
      </c>
      <c r="B198" s="1" t="s">
        <v>100</v>
      </c>
      <c r="C198" s="1" t="s">
        <v>245</v>
      </c>
      <c r="D198" s="1" t="s">
        <v>27</v>
      </c>
      <c r="E198" s="2">
        <v>45813</v>
      </c>
      <c r="F198" s="2">
        <v>45813</v>
      </c>
      <c r="G198" s="3">
        <v>77</v>
      </c>
      <c r="H198" s="4" t="s">
        <v>28</v>
      </c>
      <c r="I198">
        <v>30</v>
      </c>
      <c r="J198">
        <v>0</v>
      </c>
      <c r="K198">
        <v>0</v>
      </c>
      <c r="L198" s="3">
        <v>0</v>
      </c>
      <c r="M198" s="3">
        <v>0</v>
      </c>
      <c r="N198">
        <v>0</v>
      </c>
      <c r="O198">
        <v>0</v>
      </c>
      <c r="P198">
        <v>0</v>
      </c>
      <c r="Q198">
        <v>0</v>
      </c>
      <c r="R198" s="3">
        <v>0</v>
      </c>
      <c r="S198" s="3">
        <v>0</v>
      </c>
      <c r="T198">
        <v>0</v>
      </c>
      <c r="U198">
        <v>0</v>
      </c>
      <c r="V198" s="3">
        <v>0</v>
      </c>
      <c r="W198" s="3">
        <v>0</v>
      </c>
      <c r="X198">
        <v>0</v>
      </c>
      <c r="Y198" t="s">
        <v>390</v>
      </c>
    </row>
    <row r="199" spans="1:25" hidden="1" x14ac:dyDescent="0.25">
      <c r="A199" s="1" t="s">
        <v>344</v>
      </c>
      <c r="B199" s="1" t="s">
        <v>102</v>
      </c>
      <c r="C199" s="1" t="s">
        <v>35</v>
      </c>
      <c r="D199" s="1" t="s">
        <v>27</v>
      </c>
      <c r="E199" s="2">
        <v>45813</v>
      </c>
      <c r="F199" s="2">
        <v>45813</v>
      </c>
      <c r="G199" s="3">
        <v>29</v>
      </c>
      <c r="H199" s="4" t="s">
        <v>28</v>
      </c>
      <c r="I199">
        <v>30</v>
      </c>
      <c r="J199">
        <v>0</v>
      </c>
      <c r="K199">
        <v>0</v>
      </c>
      <c r="L199" s="3">
        <v>0</v>
      </c>
      <c r="M199" s="3">
        <v>0</v>
      </c>
      <c r="N199">
        <v>0</v>
      </c>
      <c r="O199">
        <v>0</v>
      </c>
      <c r="P199">
        <v>0</v>
      </c>
      <c r="Q199">
        <v>0</v>
      </c>
      <c r="R199" s="3">
        <v>0</v>
      </c>
      <c r="S199" s="3">
        <v>0</v>
      </c>
      <c r="T199">
        <v>0</v>
      </c>
      <c r="U199">
        <v>0</v>
      </c>
      <c r="V199" s="3">
        <v>0</v>
      </c>
      <c r="W199" s="3">
        <v>0</v>
      </c>
      <c r="X199">
        <v>0</v>
      </c>
      <c r="Y199" t="s">
        <v>375</v>
      </c>
    </row>
    <row r="200" spans="1:25" hidden="1" x14ac:dyDescent="0.25">
      <c r="A200" s="1" t="s">
        <v>31</v>
      </c>
      <c r="B200" s="1" t="s">
        <v>104</v>
      </c>
      <c r="C200" s="1" t="s">
        <v>32</v>
      </c>
      <c r="D200" s="1" t="s">
        <v>27</v>
      </c>
      <c r="E200" s="2">
        <v>45813</v>
      </c>
      <c r="F200" s="2">
        <v>45813</v>
      </c>
      <c r="G200" s="3">
        <v>66</v>
      </c>
      <c r="H200" s="4" t="s">
        <v>28</v>
      </c>
      <c r="I200">
        <v>78</v>
      </c>
      <c r="J200">
        <v>0</v>
      </c>
      <c r="K200">
        <v>0</v>
      </c>
      <c r="L200" s="3">
        <v>0</v>
      </c>
      <c r="M200" s="3">
        <v>0</v>
      </c>
      <c r="N200">
        <v>0</v>
      </c>
      <c r="O200">
        <v>0</v>
      </c>
      <c r="P200">
        <v>0</v>
      </c>
      <c r="Q200">
        <v>50</v>
      </c>
      <c r="R200" s="3">
        <v>0</v>
      </c>
      <c r="S200" s="3">
        <v>0</v>
      </c>
      <c r="T200">
        <v>0</v>
      </c>
      <c r="U200">
        <v>0</v>
      </c>
      <c r="V200" s="3">
        <v>0</v>
      </c>
      <c r="W200" s="3">
        <v>0</v>
      </c>
      <c r="X200">
        <v>0</v>
      </c>
      <c r="Y200" t="s">
        <v>391</v>
      </c>
    </row>
    <row r="201" spans="1:25" hidden="1" x14ac:dyDescent="0.25">
      <c r="A201" s="1" t="s">
        <v>33</v>
      </c>
      <c r="B201" s="1" t="s">
        <v>106</v>
      </c>
      <c r="C201" s="1" t="s">
        <v>57</v>
      </c>
      <c r="D201" s="1" t="s">
        <v>27</v>
      </c>
      <c r="E201" s="2">
        <v>45813</v>
      </c>
      <c r="F201" s="2">
        <v>45813</v>
      </c>
      <c r="G201" s="3">
        <v>26</v>
      </c>
      <c r="H201" s="4" t="s">
        <v>28</v>
      </c>
      <c r="I201">
        <v>36</v>
      </c>
      <c r="J201">
        <v>0</v>
      </c>
      <c r="K201">
        <v>0</v>
      </c>
      <c r="L201" s="3">
        <v>0</v>
      </c>
      <c r="M201" s="3">
        <v>0</v>
      </c>
      <c r="N201">
        <v>0</v>
      </c>
      <c r="O201">
        <v>0</v>
      </c>
      <c r="P201">
        <v>0</v>
      </c>
      <c r="Q201">
        <v>0</v>
      </c>
      <c r="R201" s="3">
        <v>0</v>
      </c>
      <c r="S201" s="3">
        <v>0</v>
      </c>
      <c r="T201">
        <v>0</v>
      </c>
      <c r="U201">
        <v>0</v>
      </c>
      <c r="V201" s="3">
        <v>0</v>
      </c>
      <c r="W201" s="3">
        <v>0</v>
      </c>
      <c r="X201">
        <v>0</v>
      </c>
      <c r="Y201" t="s">
        <v>392</v>
      </c>
    </row>
    <row r="202" spans="1:25" hidden="1" x14ac:dyDescent="0.25">
      <c r="A202" s="1" t="s">
        <v>34</v>
      </c>
      <c r="B202" s="1" t="s">
        <v>247</v>
      </c>
      <c r="C202" s="1" t="s">
        <v>44</v>
      </c>
      <c r="D202" s="1" t="s">
        <v>27</v>
      </c>
      <c r="E202" s="2">
        <v>45813</v>
      </c>
      <c r="F202" s="2">
        <v>45813</v>
      </c>
      <c r="G202" s="3">
        <v>31</v>
      </c>
      <c r="H202" s="4" t="s">
        <v>28</v>
      </c>
      <c r="I202">
        <v>54</v>
      </c>
      <c r="J202">
        <v>0</v>
      </c>
      <c r="K202">
        <v>0</v>
      </c>
      <c r="L202" s="3">
        <v>1</v>
      </c>
      <c r="M202" s="3">
        <v>0</v>
      </c>
      <c r="N202">
        <v>0</v>
      </c>
      <c r="O202">
        <v>0</v>
      </c>
      <c r="P202">
        <v>0</v>
      </c>
      <c r="Q202">
        <v>0</v>
      </c>
      <c r="R202" s="3">
        <v>0</v>
      </c>
      <c r="S202" s="3">
        <v>0</v>
      </c>
      <c r="T202">
        <v>0</v>
      </c>
      <c r="U202">
        <v>0</v>
      </c>
      <c r="V202" s="3">
        <v>0</v>
      </c>
      <c r="W202" s="3">
        <v>0</v>
      </c>
      <c r="X202">
        <v>0</v>
      </c>
      <c r="Y202" t="s">
        <v>393</v>
      </c>
    </row>
    <row r="203" spans="1:25" hidden="1" x14ac:dyDescent="0.25">
      <c r="A203" s="1" t="s">
        <v>38</v>
      </c>
      <c r="B203" s="1" t="s">
        <v>108</v>
      </c>
      <c r="C203" s="1" t="s">
        <v>39</v>
      </c>
      <c r="D203" s="1" t="s">
        <v>27</v>
      </c>
      <c r="E203" s="2">
        <v>45813</v>
      </c>
      <c r="F203" s="2">
        <v>45813</v>
      </c>
      <c r="G203" s="3">
        <v>38</v>
      </c>
      <c r="H203" s="4" t="s">
        <v>28</v>
      </c>
      <c r="I203">
        <v>34</v>
      </c>
      <c r="J203">
        <v>0</v>
      </c>
      <c r="K203">
        <v>0</v>
      </c>
      <c r="L203" s="3">
        <v>1</v>
      </c>
      <c r="M203" s="3">
        <v>0</v>
      </c>
      <c r="N203">
        <v>0</v>
      </c>
      <c r="O203">
        <v>0</v>
      </c>
      <c r="P203">
        <v>0</v>
      </c>
      <c r="Q203">
        <v>34</v>
      </c>
      <c r="R203" s="3">
        <v>0</v>
      </c>
      <c r="S203" s="3">
        <v>0</v>
      </c>
      <c r="T203">
        <v>0</v>
      </c>
      <c r="U203">
        <v>0</v>
      </c>
      <c r="V203" s="3">
        <v>0</v>
      </c>
      <c r="W203" s="3">
        <v>0</v>
      </c>
      <c r="X203">
        <v>0</v>
      </c>
      <c r="Y203" t="s">
        <v>394</v>
      </c>
    </row>
    <row r="204" spans="1:25" hidden="1" x14ac:dyDescent="0.25">
      <c r="A204" s="1" t="s">
        <v>40</v>
      </c>
      <c r="B204" s="1" t="s">
        <v>110</v>
      </c>
      <c r="C204" s="1" t="s">
        <v>36</v>
      </c>
      <c r="D204" s="1" t="s">
        <v>27</v>
      </c>
      <c r="E204" s="2">
        <v>45813</v>
      </c>
      <c r="F204" s="2">
        <v>45813</v>
      </c>
      <c r="G204" s="3">
        <v>48</v>
      </c>
      <c r="H204" s="4" t="s">
        <v>28</v>
      </c>
      <c r="I204">
        <v>19</v>
      </c>
      <c r="J204">
        <v>0</v>
      </c>
      <c r="K204">
        <v>0</v>
      </c>
      <c r="L204" s="3">
        <v>0</v>
      </c>
      <c r="M204" s="3">
        <v>0</v>
      </c>
      <c r="N204">
        <v>1</v>
      </c>
      <c r="O204">
        <v>0</v>
      </c>
      <c r="P204">
        <v>0</v>
      </c>
      <c r="Q204">
        <v>0</v>
      </c>
      <c r="R204" s="3">
        <v>0</v>
      </c>
      <c r="S204" s="3">
        <v>0</v>
      </c>
      <c r="T204">
        <v>0</v>
      </c>
      <c r="U204">
        <v>0</v>
      </c>
      <c r="V204" s="3">
        <v>0</v>
      </c>
      <c r="W204" s="3">
        <v>0</v>
      </c>
      <c r="X204">
        <v>0</v>
      </c>
      <c r="Y204" t="s">
        <v>395</v>
      </c>
    </row>
    <row r="205" spans="1:25" hidden="1" x14ac:dyDescent="0.25">
      <c r="A205" s="1" t="s">
        <v>41</v>
      </c>
      <c r="B205" s="1" t="s">
        <v>112</v>
      </c>
      <c r="C205" s="1" t="s">
        <v>42</v>
      </c>
      <c r="D205" s="1" t="s">
        <v>27</v>
      </c>
      <c r="E205" s="2">
        <v>45813</v>
      </c>
      <c r="F205" s="2">
        <v>45813</v>
      </c>
      <c r="G205" s="3">
        <v>26</v>
      </c>
      <c r="H205" s="4" t="s">
        <v>28</v>
      </c>
      <c r="I205">
        <v>42</v>
      </c>
      <c r="J205">
        <v>0</v>
      </c>
      <c r="K205">
        <v>0</v>
      </c>
      <c r="L205" s="3">
        <v>1</v>
      </c>
      <c r="M205" s="3">
        <v>0</v>
      </c>
      <c r="N205">
        <v>0</v>
      </c>
      <c r="O205">
        <v>0</v>
      </c>
      <c r="P205">
        <v>0</v>
      </c>
      <c r="Q205">
        <v>0</v>
      </c>
      <c r="R205" s="3">
        <v>0</v>
      </c>
      <c r="S205" s="3">
        <v>0</v>
      </c>
      <c r="T205">
        <v>0</v>
      </c>
      <c r="U205">
        <v>0</v>
      </c>
      <c r="V205" s="3">
        <v>0</v>
      </c>
      <c r="W205" s="3">
        <v>0</v>
      </c>
      <c r="X205">
        <v>0</v>
      </c>
      <c r="Y205" t="s">
        <v>396</v>
      </c>
    </row>
    <row r="206" spans="1:25" hidden="1" x14ac:dyDescent="0.25">
      <c r="A206" s="1" t="s">
        <v>47</v>
      </c>
      <c r="B206" s="1" t="s">
        <v>137</v>
      </c>
      <c r="C206" s="1" t="s">
        <v>48</v>
      </c>
      <c r="D206" s="1" t="s">
        <v>27</v>
      </c>
      <c r="E206" s="2">
        <v>45813</v>
      </c>
      <c r="F206" s="2">
        <v>45813</v>
      </c>
      <c r="G206" s="3">
        <v>49</v>
      </c>
      <c r="H206" s="4" t="s">
        <v>28</v>
      </c>
      <c r="I206">
        <v>48</v>
      </c>
      <c r="J206">
        <v>0</v>
      </c>
      <c r="K206">
        <v>0</v>
      </c>
      <c r="L206" s="3">
        <v>0</v>
      </c>
      <c r="M206" s="3">
        <v>0</v>
      </c>
      <c r="N206">
        <v>0</v>
      </c>
      <c r="O206">
        <v>0</v>
      </c>
      <c r="P206">
        <v>0</v>
      </c>
      <c r="Q206">
        <v>0</v>
      </c>
      <c r="R206" s="3">
        <v>0</v>
      </c>
      <c r="S206" s="3">
        <v>0</v>
      </c>
      <c r="T206">
        <v>0</v>
      </c>
      <c r="U206">
        <v>0</v>
      </c>
      <c r="V206" s="3">
        <v>0</v>
      </c>
      <c r="W206" s="3">
        <v>0</v>
      </c>
      <c r="X206">
        <v>0</v>
      </c>
      <c r="Y206" t="s">
        <v>397</v>
      </c>
    </row>
    <row r="207" spans="1:25" hidden="1" x14ac:dyDescent="0.25">
      <c r="A207" s="1" t="s">
        <v>49</v>
      </c>
      <c r="B207" s="1" t="s">
        <v>118</v>
      </c>
      <c r="C207" s="1" t="s">
        <v>50</v>
      </c>
      <c r="D207" s="1" t="s">
        <v>27</v>
      </c>
      <c r="E207" s="2">
        <v>45813</v>
      </c>
      <c r="F207" s="2">
        <v>45813</v>
      </c>
      <c r="G207" s="3">
        <v>36</v>
      </c>
      <c r="H207" s="4" t="s">
        <v>28</v>
      </c>
      <c r="I207">
        <v>36</v>
      </c>
      <c r="J207">
        <v>0</v>
      </c>
      <c r="K207">
        <v>0</v>
      </c>
      <c r="L207" s="3">
        <v>1</v>
      </c>
      <c r="M207" s="3">
        <v>1</v>
      </c>
      <c r="N207">
        <v>0</v>
      </c>
      <c r="O207">
        <v>1</v>
      </c>
      <c r="P207">
        <v>0</v>
      </c>
      <c r="Q207">
        <v>30</v>
      </c>
      <c r="R207" s="3">
        <v>0</v>
      </c>
      <c r="S207" s="3">
        <v>0</v>
      </c>
      <c r="T207">
        <v>0</v>
      </c>
      <c r="U207">
        <v>0</v>
      </c>
      <c r="V207" s="3">
        <v>0</v>
      </c>
      <c r="W207" s="3">
        <v>0</v>
      </c>
      <c r="X207">
        <v>0</v>
      </c>
      <c r="Y207" t="s">
        <v>398</v>
      </c>
    </row>
    <row r="208" spans="1:25" hidden="1" x14ac:dyDescent="0.25">
      <c r="A208" s="1" t="s">
        <v>51</v>
      </c>
      <c r="B208" s="1" t="s">
        <v>120</v>
      </c>
      <c r="C208" s="1" t="s">
        <v>55</v>
      </c>
      <c r="D208" s="1" t="s">
        <v>27</v>
      </c>
      <c r="E208" s="2">
        <v>45813</v>
      </c>
      <c r="F208" s="2">
        <v>45813</v>
      </c>
      <c r="G208" s="3">
        <v>68</v>
      </c>
      <c r="H208" s="4" t="s">
        <v>28</v>
      </c>
      <c r="I208">
        <v>21</v>
      </c>
      <c r="J208">
        <v>0</v>
      </c>
      <c r="K208">
        <v>0</v>
      </c>
      <c r="L208" s="3">
        <v>0</v>
      </c>
      <c r="M208" s="3">
        <v>0</v>
      </c>
      <c r="N208">
        <v>1</v>
      </c>
      <c r="O208">
        <v>0</v>
      </c>
      <c r="P208">
        <v>0</v>
      </c>
      <c r="Q208">
        <v>0</v>
      </c>
      <c r="R208" s="3">
        <v>0</v>
      </c>
      <c r="S208" s="3">
        <v>0</v>
      </c>
      <c r="T208">
        <v>0</v>
      </c>
      <c r="U208">
        <v>0</v>
      </c>
      <c r="V208" s="3">
        <v>0</v>
      </c>
      <c r="W208" s="3">
        <v>0</v>
      </c>
      <c r="X208">
        <v>0</v>
      </c>
      <c r="Y208" t="s">
        <v>399</v>
      </c>
    </row>
    <row r="209" spans="1:25" hidden="1" x14ac:dyDescent="0.25">
      <c r="A209" s="1" t="s">
        <v>54</v>
      </c>
      <c r="B209" s="1" t="s">
        <v>122</v>
      </c>
      <c r="C209" s="1" t="s">
        <v>52</v>
      </c>
      <c r="D209" s="1" t="s">
        <v>27</v>
      </c>
      <c r="E209" s="2">
        <v>45813</v>
      </c>
      <c r="F209" s="2">
        <v>45813</v>
      </c>
      <c r="G209" s="3">
        <v>42</v>
      </c>
      <c r="H209" s="4" t="s">
        <v>28</v>
      </c>
      <c r="I209">
        <v>23</v>
      </c>
      <c r="J209">
        <v>0</v>
      </c>
      <c r="K209">
        <v>0</v>
      </c>
      <c r="L209" s="3">
        <v>0</v>
      </c>
      <c r="M209" s="3">
        <v>0</v>
      </c>
      <c r="N209">
        <v>0</v>
      </c>
      <c r="O209">
        <v>0</v>
      </c>
      <c r="P209">
        <v>0</v>
      </c>
      <c r="Q209">
        <v>0</v>
      </c>
      <c r="R209" s="3">
        <v>0</v>
      </c>
      <c r="S209" s="3">
        <v>0</v>
      </c>
      <c r="T209">
        <v>0</v>
      </c>
      <c r="U209">
        <v>0</v>
      </c>
      <c r="V209" s="3">
        <v>0</v>
      </c>
      <c r="W209" s="3">
        <v>0</v>
      </c>
      <c r="X209">
        <v>0</v>
      </c>
      <c r="Y209" t="s">
        <v>400</v>
      </c>
    </row>
    <row r="210" spans="1:25" hidden="1" x14ac:dyDescent="0.25">
      <c r="A210" s="1" t="s">
        <v>53</v>
      </c>
      <c r="B210" s="1" t="s">
        <v>142</v>
      </c>
      <c r="C210" s="1" t="s">
        <v>39</v>
      </c>
      <c r="D210" s="1" t="s">
        <v>27</v>
      </c>
      <c r="E210" s="2">
        <v>45813</v>
      </c>
      <c r="F210" s="2">
        <v>45813</v>
      </c>
      <c r="G210" s="3">
        <v>52</v>
      </c>
      <c r="H210" s="4" t="s">
        <v>28</v>
      </c>
      <c r="I210">
        <v>17</v>
      </c>
      <c r="J210">
        <v>0</v>
      </c>
      <c r="K210">
        <v>0</v>
      </c>
      <c r="L210" s="3">
        <v>1</v>
      </c>
      <c r="M210" s="3">
        <v>0</v>
      </c>
      <c r="N210">
        <v>0</v>
      </c>
      <c r="O210">
        <v>0</v>
      </c>
      <c r="P210">
        <v>0</v>
      </c>
      <c r="Q210">
        <v>17</v>
      </c>
      <c r="R210" s="3">
        <v>0</v>
      </c>
      <c r="S210" s="3">
        <v>0</v>
      </c>
      <c r="T210">
        <v>0</v>
      </c>
      <c r="U210">
        <v>0</v>
      </c>
      <c r="V210" s="3">
        <v>0</v>
      </c>
      <c r="W210" s="3">
        <v>0</v>
      </c>
      <c r="X210">
        <v>0</v>
      </c>
      <c r="Y210" t="s">
        <v>401</v>
      </c>
    </row>
    <row r="211" spans="1:25" hidden="1" x14ac:dyDescent="0.25">
      <c r="A211" s="1" t="s">
        <v>58</v>
      </c>
      <c r="B211" s="1" t="s">
        <v>144</v>
      </c>
      <c r="C211" s="1" t="s">
        <v>46</v>
      </c>
      <c r="D211" s="1" t="s">
        <v>27</v>
      </c>
      <c r="E211" s="2">
        <v>45813</v>
      </c>
      <c r="F211" s="2">
        <v>45813</v>
      </c>
      <c r="G211" s="3">
        <v>104</v>
      </c>
      <c r="H211" s="4" t="s">
        <v>28</v>
      </c>
      <c r="I211">
        <v>33</v>
      </c>
      <c r="J211">
        <v>0</v>
      </c>
      <c r="K211">
        <v>0</v>
      </c>
      <c r="L211" s="3">
        <v>0</v>
      </c>
      <c r="M211" s="3">
        <v>0</v>
      </c>
      <c r="N211">
        <v>0</v>
      </c>
      <c r="O211">
        <v>0</v>
      </c>
      <c r="P211">
        <v>0</v>
      </c>
      <c r="Q211">
        <v>0</v>
      </c>
      <c r="R211" s="3">
        <v>0</v>
      </c>
      <c r="S211" s="3">
        <v>0</v>
      </c>
      <c r="T211">
        <v>0</v>
      </c>
      <c r="U211">
        <v>0</v>
      </c>
      <c r="V211" s="3">
        <v>0</v>
      </c>
      <c r="W211" s="3">
        <v>0</v>
      </c>
      <c r="X211">
        <v>0</v>
      </c>
      <c r="Y211" t="s">
        <v>402</v>
      </c>
    </row>
    <row r="212" spans="1:25" hidden="1" x14ac:dyDescent="0.25">
      <c r="A212" s="1" t="s">
        <v>94</v>
      </c>
      <c r="B212" s="1" t="s">
        <v>106</v>
      </c>
      <c r="C212" s="1" t="s">
        <v>354</v>
      </c>
      <c r="D212" s="1" t="s">
        <v>27</v>
      </c>
      <c r="E212" s="2">
        <v>45813</v>
      </c>
      <c r="F212" s="2">
        <v>45813</v>
      </c>
      <c r="G212" s="3">
        <v>105</v>
      </c>
      <c r="H212" s="4" t="s">
        <v>28</v>
      </c>
      <c r="I212">
        <v>75</v>
      </c>
      <c r="J212">
        <v>0</v>
      </c>
      <c r="K212">
        <v>0</v>
      </c>
      <c r="L212" s="3">
        <v>0</v>
      </c>
      <c r="M212" s="3">
        <v>0</v>
      </c>
      <c r="N212">
        <v>0</v>
      </c>
      <c r="O212">
        <v>0</v>
      </c>
      <c r="P212">
        <v>0</v>
      </c>
      <c r="Q212">
        <v>0</v>
      </c>
      <c r="R212" s="3">
        <v>0</v>
      </c>
      <c r="S212" s="3">
        <v>0</v>
      </c>
      <c r="T212">
        <v>0</v>
      </c>
      <c r="U212">
        <v>0</v>
      </c>
      <c r="V212" s="3">
        <v>0</v>
      </c>
      <c r="W212" s="3">
        <v>0</v>
      </c>
      <c r="X212" s="3">
        <v>0</v>
      </c>
      <c r="Y212" t="s">
        <v>402</v>
      </c>
    </row>
    <row r="213" spans="1:25" hidden="1" x14ac:dyDescent="0.25">
      <c r="A213" s="1" t="s">
        <v>45</v>
      </c>
      <c r="B213" s="1" t="s">
        <v>182</v>
      </c>
      <c r="C213" s="1" t="s">
        <v>27</v>
      </c>
      <c r="D213" s="1" t="s">
        <v>27</v>
      </c>
      <c r="E213" s="2">
        <v>45813</v>
      </c>
      <c r="F213" s="2">
        <v>45813</v>
      </c>
      <c r="G213" s="3">
        <v>106</v>
      </c>
      <c r="H213" s="4" t="s">
        <v>959</v>
      </c>
      <c r="I213">
        <v>0</v>
      </c>
      <c r="J213">
        <v>0</v>
      </c>
      <c r="K213">
        <v>0</v>
      </c>
      <c r="L213" s="3">
        <v>0</v>
      </c>
      <c r="M213" s="3">
        <v>0</v>
      </c>
      <c r="N213">
        <v>0</v>
      </c>
      <c r="O213">
        <v>0</v>
      </c>
      <c r="P213">
        <v>0</v>
      </c>
      <c r="Q213">
        <v>0</v>
      </c>
      <c r="R213" s="3">
        <v>0</v>
      </c>
      <c r="S213" s="3">
        <v>0</v>
      </c>
      <c r="T213">
        <v>0</v>
      </c>
      <c r="U213">
        <v>0</v>
      </c>
      <c r="V213" s="3">
        <v>0</v>
      </c>
      <c r="W213" s="3">
        <v>0</v>
      </c>
      <c r="X213" s="3">
        <v>0</v>
      </c>
      <c r="Y213" t="s">
        <v>402</v>
      </c>
    </row>
    <row r="214" spans="1:25" hidden="1" x14ac:dyDescent="0.25">
      <c r="A214" s="1" t="s">
        <v>25</v>
      </c>
      <c r="B214" s="1" t="s">
        <v>96</v>
      </c>
      <c r="C214" s="1" t="s">
        <v>26</v>
      </c>
      <c r="D214" t="s">
        <v>27</v>
      </c>
      <c r="E214" s="2">
        <v>45814</v>
      </c>
      <c r="F214" s="2">
        <v>45814</v>
      </c>
      <c r="G214" s="3">
        <v>40</v>
      </c>
      <c r="H214" s="4" t="s">
        <v>28</v>
      </c>
      <c r="I214">
        <v>38</v>
      </c>
      <c r="J214">
        <v>0</v>
      </c>
      <c r="K214">
        <v>0</v>
      </c>
      <c r="L214" s="3">
        <v>0</v>
      </c>
      <c r="M214" s="3">
        <v>0</v>
      </c>
      <c r="N214">
        <v>1</v>
      </c>
      <c r="O214">
        <v>0</v>
      </c>
      <c r="P214">
        <v>0</v>
      </c>
      <c r="Q214">
        <v>0</v>
      </c>
      <c r="R214" s="3">
        <v>0</v>
      </c>
      <c r="S214" s="3">
        <v>0</v>
      </c>
      <c r="T214">
        <v>0</v>
      </c>
      <c r="U214">
        <v>0</v>
      </c>
      <c r="V214" s="3">
        <v>0</v>
      </c>
      <c r="W214" s="3">
        <v>0</v>
      </c>
      <c r="X214">
        <v>0</v>
      </c>
      <c r="Y214" t="s">
        <v>403</v>
      </c>
    </row>
    <row r="215" spans="1:25" hidden="1" x14ac:dyDescent="0.25">
      <c r="A215" s="1" t="s">
        <v>56</v>
      </c>
      <c r="B215" s="1" t="s">
        <v>98</v>
      </c>
      <c r="C215" s="1" t="s">
        <v>37</v>
      </c>
      <c r="D215" t="s">
        <v>27</v>
      </c>
      <c r="E215" s="2">
        <v>45814</v>
      </c>
      <c r="F215" s="2">
        <v>45814</v>
      </c>
      <c r="G215" s="3">
        <v>30</v>
      </c>
      <c r="H215" s="4" t="s">
        <v>28</v>
      </c>
      <c r="I215">
        <v>90</v>
      </c>
      <c r="J215">
        <v>0</v>
      </c>
      <c r="K215">
        <v>0</v>
      </c>
      <c r="L215" s="3">
        <v>1</v>
      </c>
      <c r="M215" s="3">
        <v>0</v>
      </c>
      <c r="N215">
        <v>0</v>
      </c>
      <c r="O215">
        <v>0</v>
      </c>
      <c r="P215">
        <v>0</v>
      </c>
      <c r="Q215">
        <v>0</v>
      </c>
      <c r="R215" s="3">
        <v>0</v>
      </c>
      <c r="S215" s="3">
        <v>0</v>
      </c>
      <c r="T215">
        <v>0</v>
      </c>
      <c r="U215">
        <v>0</v>
      </c>
      <c r="V215" s="3">
        <v>0</v>
      </c>
      <c r="W215" s="3">
        <v>0</v>
      </c>
      <c r="X215">
        <v>0</v>
      </c>
      <c r="Y215" t="s">
        <v>404</v>
      </c>
    </row>
    <row r="216" spans="1:25" hidden="1" x14ac:dyDescent="0.25">
      <c r="A216" s="1" t="s">
        <v>29</v>
      </c>
      <c r="B216" s="1" t="s">
        <v>100</v>
      </c>
      <c r="C216" s="1" t="s">
        <v>245</v>
      </c>
      <c r="D216" t="s">
        <v>27</v>
      </c>
      <c r="E216" s="2">
        <v>45814</v>
      </c>
      <c r="F216" s="2">
        <v>45814</v>
      </c>
      <c r="G216" s="3">
        <v>81</v>
      </c>
      <c r="H216" s="4" t="s">
        <v>28</v>
      </c>
      <c r="I216">
        <v>69</v>
      </c>
      <c r="J216">
        <v>0</v>
      </c>
      <c r="K216">
        <v>0</v>
      </c>
      <c r="L216" s="3">
        <v>1</v>
      </c>
      <c r="M216" s="3">
        <v>0</v>
      </c>
      <c r="N216">
        <v>0</v>
      </c>
      <c r="O216">
        <v>0</v>
      </c>
      <c r="P216">
        <v>0</v>
      </c>
      <c r="Q216">
        <v>0</v>
      </c>
      <c r="R216" s="3">
        <v>0</v>
      </c>
      <c r="S216" s="3">
        <v>0</v>
      </c>
      <c r="T216">
        <v>0</v>
      </c>
      <c r="U216">
        <v>0</v>
      </c>
      <c r="V216" s="3">
        <v>0</v>
      </c>
      <c r="W216" s="3">
        <v>0</v>
      </c>
      <c r="X216">
        <v>0</v>
      </c>
      <c r="Y216" t="s">
        <v>405</v>
      </c>
    </row>
    <row r="217" spans="1:25" hidden="1" x14ac:dyDescent="0.25">
      <c r="A217" s="1" t="s">
        <v>344</v>
      </c>
      <c r="B217" s="1" t="s">
        <v>102</v>
      </c>
      <c r="C217" s="1" t="s">
        <v>35</v>
      </c>
      <c r="D217" s="1" t="s">
        <v>27</v>
      </c>
      <c r="E217" s="2">
        <v>45814</v>
      </c>
      <c r="F217" s="2">
        <v>45814</v>
      </c>
      <c r="G217" s="3">
        <v>29</v>
      </c>
      <c r="H217" s="4" t="s">
        <v>28</v>
      </c>
      <c r="I217">
        <v>37</v>
      </c>
      <c r="J217">
        <v>0</v>
      </c>
      <c r="K217">
        <v>0</v>
      </c>
      <c r="L217" s="3">
        <v>0</v>
      </c>
      <c r="M217" s="3">
        <v>0</v>
      </c>
      <c r="N217">
        <v>0</v>
      </c>
      <c r="O217">
        <v>0</v>
      </c>
      <c r="P217">
        <v>0</v>
      </c>
      <c r="Q217">
        <v>0</v>
      </c>
      <c r="R217" s="3">
        <v>0</v>
      </c>
      <c r="S217" s="3">
        <v>0</v>
      </c>
      <c r="T217">
        <v>0</v>
      </c>
      <c r="U217">
        <v>0</v>
      </c>
      <c r="V217" s="3">
        <v>0</v>
      </c>
      <c r="W217" s="3">
        <v>0</v>
      </c>
      <c r="X217">
        <v>0</v>
      </c>
      <c r="Y217" t="s">
        <v>375</v>
      </c>
    </row>
    <row r="218" spans="1:25" hidden="1" x14ac:dyDescent="0.25">
      <c r="A218" s="1" t="s">
        <v>31</v>
      </c>
      <c r="B218" s="1" t="s">
        <v>104</v>
      </c>
      <c r="C218" s="1" t="s">
        <v>32</v>
      </c>
      <c r="D218" t="s">
        <v>27</v>
      </c>
      <c r="E218" s="2">
        <v>45814</v>
      </c>
      <c r="F218" s="2">
        <v>45814</v>
      </c>
      <c r="G218" s="3">
        <v>66</v>
      </c>
      <c r="H218" s="4" t="s">
        <v>28</v>
      </c>
      <c r="I218">
        <v>90</v>
      </c>
      <c r="J218">
        <v>0</v>
      </c>
      <c r="K218">
        <v>0</v>
      </c>
      <c r="L218" s="3">
        <v>0</v>
      </c>
      <c r="M218" s="3">
        <v>0</v>
      </c>
      <c r="N218">
        <v>0</v>
      </c>
      <c r="O218">
        <v>0</v>
      </c>
      <c r="P218">
        <v>0</v>
      </c>
      <c r="Q218">
        <v>50</v>
      </c>
      <c r="R218" s="3">
        <v>0</v>
      </c>
      <c r="S218" s="3">
        <v>0</v>
      </c>
      <c r="T218">
        <v>0</v>
      </c>
      <c r="U218">
        <v>0</v>
      </c>
      <c r="V218" s="3">
        <v>0</v>
      </c>
      <c r="W218" s="3">
        <v>0</v>
      </c>
      <c r="X218">
        <v>0</v>
      </c>
      <c r="Y218" t="s">
        <v>406</v>
      </c>
    </row>
    <row r="219" spans="1:25" hidden="1" x14ac:dyDescent="0.25">
      <c r="A219" s="1" t="s">
        <v>33</v>
      </c>
      <c r="B219" s="1" t="s">
        <v>106</v>
      </c>
      <c r="C219" s="1" t="s">
        <v>57</v>
      </c>
      <c r="D219" t="s">
        <v>27</v>
      </c>
      <c r="E219" s="2">
        <v>45814</v>
      </c>
      <c r="F219" s="2">
        <v>45814</v>
      </c>
      <c r="G219" s="3">
        <v>35</v>
      </c>
      <c r="H219" s="4" t="s">
        <v>28</v>
      </c>
      <c r="I219">
        <v>42</v>
      </c>
      <c r="J219">
        <v>0</v>
      </c>
      <c r="K219">
        <v>0</v>
      </c>
      <c r="L219" s="3">
        <v>0</v>
      </c>
      <c r="M219" s="3">
        <v>0</v>
      </c>
      <c r="N219">
        <v>0</v>
      </c>
      <c r="O219">
        <v>0</v>
      </c>
      <c r="P219">
        <v>0</v>
      </c>
      <c r="Q219">
        <v>0</v>
      </c>
      <c r="R219" s="3">
        <v>0</v>
      </c>
      <c r="S219" s="3">
        <v>0</v>
      </c>
      <c r="T219">
        <v>0</v>
      </c>
      <c r="U219">
        <v>0</v>
      </c>
      <c r="V219" s="3">
        <v>0</v>
      </c>
      <c r="W219" s="3">
        <v>0</v>
      </c>
      <c r="X219">
        <v>0</v>
      </c>
      <c r="Y219" t="s">
        <v>407</v>
      </c>
    </row>
    <row r="220" spans="1:25" hidden="1" x14ac:dyDescent="0.25">
      <c r="A220" s="1" t="s">
        <v>34</v>
      </c>
      <c r="B220" s="1" t="s">
        <v>247</v>
      </c>
      <c r="C220" s="1" t="s">
        <v>44</v>
      </c>
      <c r="D220" t="s">
        <v>27</v>
      </c>
      <c r="E220" s="2">
        <v>45814</v>
      </c>
      <c r="F220" s="2">
        <v>45814</v>
      </c>
      <c r="G220" s="3">
        <v>26</v>
      </c>
      <c r="H220" s="4" t="s">
        <v>28</v>
      </c>
      <c r="I220">
        <v>68</v>
      </c>
      <c r="J220">
        <v>0</v>
      </c>
      <c r="K220">
        <v>0</v>
      </c>
      <c r="L220" s="3">
        <v>1</v>
      </c>
      <c r="M220" s="3">
        <v>0</v>
      </c>
      <c r="N220">
        <v>0</v>
      </c>
      <c r="O220">
        <v>0</v>
      </c>
      <c r="P220">
        <v>0</v>
      </c>
      <c r="Q220">
        <v>0</v>
      </c>
      <c r="R220" s="3">
        <v>0</v>
      </c>
      <c r="S220" s="3">
        <v>0</v>
      </c>
      <c r="T220">
        <v>0</v>
      </c>
      <c r="U220">
        <v>0</v>
      </c>
      <c r="V220" s="3">
        <v>0</v>
      </c>
      <c r="W220" s="3">
        <v>0</v>
      </c>
      <c r="X220">
        <v>0</v>
      </c>
      <c r="Y220" t="s">
        <v>408</v>
      </c>
    </row>
    <row r="221" spans="1:25" hidden="1" x14ac:dyDescent="0.25">
      <c r="A221" s="1" t="s">
        <v>38</v>
      </c>
      <c r="B221" s="1" t="s">
        <v>108</v>
      </c>
      <c r="C221" s="1" t="s">
        <v>39</v>
      </c>
      <c r="D221" t="s">
        <v>27</v>
      </c>
      <c r="E221" s="2">
        <v>45814</v>
      </c>
      <c r="F221" s="2">
        <v>45814</v>
      </c>
      <c r="G221" s="3">
        <v>80</v>
      </c>
      <c r="H221" s="4" t="s">
        <v>28</v>
      </c>
      <c r="I221">
        <v>36</v>
      </c>
      <c r="J221">
        <v>0</v>
      </c>
      <c r="K221">
        <v>0</v>
      </c>
      <c r="L221" s="3">
        <v>1</v>
      </c>
      <c r="M221" s="3">
        <v>0</v>
      </c>
      <c r="N221">
        <v>0</v>
      </c>
      <c r="O221">
        <v>0</v>
      </c>
      <c r="P221">
        <v>0</v>
      </c>
      <c r="Q221">
        <v>36</v>
      </c>
      <c r="R221" s="3">
        <v>0</v>
      </c>
      <c r="S221" s="3">
        <v>0</v>
      </c>
      <c r="T221">
        <v>0</v>
      </c>
      <c r="U221">
        <v>0</v>
      </c>
      <c r="V221" s="3">
        <v>0</v>
      </c>
      <c r="W221" s="3">
        <v>0</v>
      </c>
      <c r="X221">
        <v>0</v>
      </c>
      <c r="Y221" t="s">
        <v>409</v>
      </c>
    </row>
    <row r="222" spans="1:25" hidden="1" x14ac:dyDescent="0.25">
      <c r="A222" s="1" t="s">
        <v>40</v>
      </c>
      <c r="B222" s="1" t="s">
        <v>110</v>
      </c>
      <c r="C222" s="1" t="s">
        <v>36</v>
      </c>
      <c r="D222" t="s">
        <v>27</v>
      </c>
      <c r="E222" s="2">
        <v>45814</v>
      </c>
      <c r="F222" s="2">
        <v>45814</v>
      </c>
      <c r="G222" s="3">
        <v>47</v>
      </c>
      <c r="H222" s="4" t="s">
        <v>28</v>
      </c>
      <c r="I222">
        <v>13</v>
      </c>
      <c r="J222">
        <v>0</v>
      </c>
      <c r="K222">
        <v>0</v>
      </c>
      <c r="L222" s="3">
        <v>1</v>
      </c>
      <c r="M222" s="3">
        <v>0</v>
      </c>
      <c r="N222">
        <v>1</v>
      </c>
      <c r="O222">
        <v>0</v>
      </c>
      <c r="P222">
        <v>0</v>
      </c>
      <c r="Q222">
        <v>0</v>
      </c>
      <c r="R222" s="3">
        <v>0</v>
      </c>
      <c r="S222" s="3">
        <v>0</v>
      </c>
      <c r="T222">
        <v>0</v>
      </c>
      <c r="U222">
        <v>0</v>
      </c>
      <c r="V222" s="3">
        <v>0</v>
      </c>
      <c r="W222" s="3">
        <v>0</v>
      </c>
      <c r="X222">
        <v>0</v>
      </c>
      <c r="Y222" t="s">
        <v>410</v>
      </c>
    </row>
    <row r="223" spans="1:25" hidden="1" x14ac:dyDescent="0.25">
      <c r="A223" s="1" t="s">
        <v>41</v>
      </c>
      <c r="B223" s="1" t="s">
        <v>112</v>
      </c>
      <c r="C223" s="1" t="s">
        <v>42</v>
      </c>
      <c r="D223" s="1" t="s">
        <v>27</v>
      </c>
      <c r="E223" s="2">
        <v>45814</v>
      </c>
      <c r="F223" s="2">
        <v>45814</v>
      </c>
      <c r="G223" s="3">
        <v>26</v>
      </c>
      <c r="H223" s="4" t="s">
        <v>28</v>
      </c>
      <c r="I223">
        <v>155</v>
      </c>
      <c r="J223">
        <v>7</v>
      </c>
      <c r="K223">
        <v>0</v>
      </c>
      <c r="L223" s="3">
        <v>1</v>
      </c>
      <c r="M223" s="3">
        <v>0</v>
      </c>
      <c r="N223">
        <v>0</v>
      </c>
      <c r="O223">
        <v>0</v>
      </c>
      <c r="P223">
        <v>0</v>
      </c>
      <c r="Q223">
        <v>155</v>
      </c>
      <c r="R223" s="3">
        <v>0</v>
      </c>
      <c r="S223" s="3">
        <v>0</v>
      </c>
      <c r="T223">
        <v>0</v>
      </c>
      <c r="U223">
        <v>0</v>
      </c>
      <c r="V223" s="3">
        <v>0</v>
      </c>
      <c r="W223" s="3">
        <v>0</v>
      </c>
      <c r="X223">
        <v>0</v>
      </c>
      <c r="Y223" t="s">
        <v>396</v>
      </c>
    </row>
    <row r="224" spans="1:25" hidden="1" x14ac:dyDescent="0.25">
      <c r="A224" s="1" t="s">
        <v>45</v>
      </c>
      <c r="B224" s="1" t="s">
        <v>116</v>
      </c>
      <c r="C224" s="1" t="s">
        <v>46</v>
      </c>
      <c r="D224" t="s">
        <v>27</v>
      </c>
      <c r="E224" s="2">
        <v>45814</v>
      </c>
      <c r="F224" s="2">
        <v>45814</v>
      </c>
      <c r="G224" s="3">
        <v>54</v>
      </c>
      <c r="H224" s="4" t="s">
        <v>28</v>
      </c>
      <c r="I224">
        <v>72</v>
      </c>
      <c r="J224">
        <v>0</v>
      </c>
      <c r="K224">
        <v>0</v>
      </c>
      <c r="L224" s="3">
        <v>1</v>
      </c>
      <c r="M224" s="3">
        <v>0</v>
      </c>
      <c r="N224">
        <v>0</v>
      </c>
      <c r="O224">
        <v>0</v>
      </c>
      <c r="P224">
        <v>0</v>
      </c>
      <c r="Q224">
        <v>0</v>
      </c>
      <c r="R224" s="3">
        <v>0</v>
      </c>
      <c r="S224" s="3">
        <v>0</v>
      </c>
      <c r="T224">
        <v>0</v>
      </c>
      <c r="U224">
        <v>0</v>
      </c>
      <c r="V224" s="3">
        <v>0</v>
      </c>
      <c r="W224" s="3">
        <v>0</v>
      </c>
      <c r="X224">
        <v>0</v>
      </c>
      <c r="Y224" t="s">
        <v>411</v>
      </c>
    </row>
    <row r="225" spans="1:25" hidden="1" x14ac:dyDescent="0.25">
      <c r="A225" s="1" t="s">
        <v>47</v>
      </c>
      <c r="B225" s="1" t="s">
        <v>137</v>
      </c>
      <c r="C225" s="1" t="s">
        <v>48</v>
      </c>
      <c r="D225" t="s">
        <v>27</v>
      </c>
      <c r="E225" s="2">
        <v>45814</v>
      </c>
      <c r="F225" s="2">
        <v>45814</v>
      </c>
      <c r="G225" s="3">
        <v>33</v>
      </c>
      <c r="H225" s="4" t="s">
        <v>28</v>
      </c>
      <c r="I225">
        <v>52</v>
      </c>
      <c r="J225">
        <v>0</v>
      </c>
      <c r="K225">
        <v>0</v>
      </c>
      <c r="L225" s="3">
        <v>0</v>
      </c>
      <c r="M225" s="3">
        <v>0</v>
      </c>
      <c r="N225">
        <v>0</v>
      </c>
      <c r="O225">
        <v>0</v>
      </c>
      <c r="P225">
        <v>0</v>
      </c>
      <c r="Q225">
        <v>0</v>
      </c>
      <c r="R225" s="3">
        <v>0</v>
      </c>
      <c r="S225" s="3">
        <v>0</v>
      </c>
      <c r="T225">
        <v>0</v>
      </c>
      <c r="U225">
        <v>0</v>
      </c>
      <c r="V225" s="3">
        <v>0</v>
      </c>
      <c r="W225" s="3">
        <v>0</v>
      </c>
      <c r="X225">
        <v>0</v>
      </c>
      <c r="Y225" t="s">
        <v>412</v>
      </c>
    </row>
    <row r="226" spans="1:25" hidden="1" x14ac:dyDescent="0.25">
      <c r="A226" s="1" t="s">
        <v>49</v>
      </c>
      <c r="B226" s="1" t="s">
        <v>118</v>
      </c>
      <c r="C226" s="1" t="s">
        <v>50</v>
      </c>
      <c r="D226" t="s">
        <v>27</v>
      </c>
      <c r="E226" s="2">
        <v>45814</v>
      </c>
      <c r="F226" s="2">
        <v>45814</v>
      </c>
      <c r="G226" s="3">
        <v>30</v>
      </c>
      <c r="H226" s="4" t="s">
        <v>28</v>
      </c>
      <c r="I226">
        <v>40</v>
      </c>
      <c r="J226">
        <v>0</v>
      </c>
      <c r="K226">
        <v>0</v>
      </c>
      <c r="L226" s="3">
        <v>1</v>
      </c>
      <c r="M226" s="3">
        <v>1</v>
      </c>
      <c r="N226">
        <v>0</v>
      </c>
      <c r="O226">
        <v>1</v>
      </c>
      <c r="P226">
        <v>0</v>
      </c>
      <c r="Q226">
        <v>49</v>
      </c>
      <c r="R226" s="3">
        <v>0</v>
      </c>
      <c r="S226" s="3">
        <v>0</v>
      </c>
      <c r="T226">
        <v>0</v>
      </c>
      <c r="U226">
        <v>0</v>
      </c>
      <c r="V226" s="3">
        <v>0</v>
      </c>
      <c r="W226" s="3">
        <v>0</v>
      </c>
      <c r="X226">
        <v>0</v>
      </c>
      <c r="Y226" t="s">
        <v>413</v>
      </c>
    </row>
    <row r="227" spans="1:25" hidden="1" x14ac:dyDescent="0.25">
      <c r="A227" s="1" t="s">
        <v>51</v>
      </c>
      <c r="B227" s="1" t="s">
        <v>120</v>
      </c>
      <c r="C227" s="1" t="s">
        <v>55</v>
      </c>
      <c r="D227" t="s">
        <v>27</v>
      </c>
      <c r="E227" s="2">
        <v>45814</v>
      </c>
      <c r="F227" s="2">
        <v>45814</v>
      </c>
      <c r="G227" s="3">
        <v>63</v>
      </c>
      <c r="H227" s="4" t="s">
        <v>28</v>
      </c>
      <c r="I227">
        <v>41</v>
      </c>
      <c r="J227">
        <v>0</v>
      </c>
      <c r="K227">
        <v>0</v>
      </c>
      <c r="L227" s="3">
        <v>1</v>
      </c>
      <c r="M227" s="3">
        <v>0</v>
      </c>
      <c r="N227">
        <v>1</v>
      </c>
      <c r="O227">
        <v>0</v>
      </c>
      <c r="P227">
        <v>0</v>
      </c>
      <c r="Q227">
        <v>0</v>
      </c>
      <c r="R227" s="3">
        <v>0</v>
      </c>
      <c r="S227" s="3">
        <v>0</v>
      </c>
      <c r="T227">
        <v>0</v>
      </c>
      <c r="U227">
        <v>0</v>
      </c>
      <c r="V227" s="3">
        <v>0</v>
      </c>
      <c r="W227" s="3">
        <v>0</v>
      </c>
      <c r="X227">
        <v>0</v>
      </c>
      <c r="Y227" t="s">
        <v>414</v>
      </c>
    </row>
    <row r="228" spans="1:25" hidden="1" x14ac:dyDescent="0.25">
      <c r="A228" s="1" t="s">
        <v>54</v>
      </c>
      <c r="B228" s="1" t="s">
        <v>122</v>
      </c>
      <c r="C228" s="1" t="s">
        <v>52</v>
      </c>
      <c r="D228" t="s">
        <v>27</v>
      </c>
      <c r="E228" s="2">
        <v>45814</v>
      </c>
      <c r="F228" s="2">
        <v>45814</v>
      </c>
      <c r="G228" s="3">
        <v>34</v>
      </c>
      <c r="H228" s="4" t="s">
        <v>28</v>
      </c>
      <c r="I228">
        <v>39</v>
      </c>
      <c r="J228">
        <v>0</v>
      </c>
      <c r="K228">
        <v>0</v>
      </c>
      <c r="L228" s="3">
        <v>0</v>
      </c>
      <c r="M228" s="3">
        <v>0</v>
      </c>
      <c r="N228">
        <v>0</v>
      </c>
      <c r="O228">
        <v>0</v>
      </c>
      <c r="P228">
        <v>0</v>
      </c>
      <c r="Q228">
        <v>0</v>
      </c>
      <c r="R228" s="3">
        <v>0</v>
      </c>
      <c r="S228" s="3">
        <v>0</v>
      </c>
      <c r="T228">
        <v>0</v>
      </c>
      <c r="U228">
        <v>0</v>
      </c>
      <c r="V228" s="3">
        <v>0</v>
      </c>
      <c r="W228" s="3">
        <v>0</v>
      </c>
      <c r="X228">
        <v>0</v>
      </c>
      <c r="Y228" t="s">
        <v>415</v>
      </c>
    </row>
    <row r="229" spans="1:25" hidden="1" x14ac:dyDescent="0.25">
      <c r="A229" s="1" t="s">
        <v>53</v>
      </c>
      <c r="B229" s="1" t="s">
        <v>142</v>
      </c>
      <c r="C229" s="1" t="s">
        <v>39</v>
      </c>
      <c r="D229" t="s">
        <v>27</v>
      </c>
      <c r="E229" s="2">
        <v>45814</v>
      </c>
      <c r="F229" s="2">
        <v>45814</v>
      </c>
      <c r="G229" s="3">
        <v>77</v>
      </c>
      <c r="H229" s="4" t="s">
        <v>28</v>
      </c>
      <c r="I229">
        <v>24</v>
      </c>
      <c r="J229">
        <v>0</v>
      </c>
      <c r="K229">
        <v>0</v>
      </c>
      <c r="L229" s="3">
        <v>1</v>
      </c>
      <c r="M229" s="3">
        <v>0</v>
      </c>
      <c r="N229">
        <v>0</v>
      </c>
      <c r="O229">
        <v>0</v>
      </c>
      <c r="P229">
        <v>0</v>
      </c>
      <c r="Q229">
        <v>24</v>
      </c>
      <c r="R229" s="3">
        <v>0</v>
      </c>
      <c r="S229" s="3">
        <v>0</v>
      </c>
      <c r="T229">
        <v>0</v>
      </c>
      <c r="U229">
        <v>0</v>
      </c>
      <c r="V229" s="3">
        <v>0</v>
      </c>
      <c r="W229" s="3">
        <v>0</v>
      </c>
      <c r="X229">
        <v>0</v>
      </c>
      <c r="Y229" t="s">
        <v>416</v>
      </c>
    </row>
    <row r="230" spans="1:25" hidden="1" x14ac:dyDescent="0.25">
      <c r="A230" s="1" t="s">
        <v>58</v>
      </c>
      <c r="B230" s="1" t="s">
        <v>144</v>
      </c>
      <c r="C230" s="1" t="s">
        <v>354</v>
      </c>
      <c r="D230" t="s">
        <v>27</v>
      </c>
      <c r="E230" s="2">
        <v>45814</v>
      </c>
      <c r="F230" s="2">
        <v>45814</v>
      </c>
      <c r="G230" s="3">
        <v>30</v>
      </c>
      <c r="H230" s="4" t="s">
        <v>28</v>
      </c>
      <c r="I230">
        <v>60</v>
      </c>
      <c r="J230">
        <v>0</v>
      </c>
      <c r="K230">
        <v>0</v>
      </c>
      <c r="L230" s="3">
        <v>1</v>
      </c>
      <c r="M230" s="3">
        <v>0</v>
      </c>
      <c r="N230">
        <v>0</v>
      </c>
      <c r="O230">
        <v>0</v>
      </c>
      <c r="P230">
        <v>0</v>
      </c>
      <c r="Q230">
        <v>0</v>
      </c>
      <c r="R230" s="3">
        <v>0</v>
      </c>
      <c r="S230" s="3">
        <v>0</v>
      </c>
      <c r="T230">
        <v>0</v>
      </c>
      <c r="U230">
        <v>0</v>
      </c>
      <c r="V230" s="3">
        <v>0</v>
      </c>
      <c r="W230" s="3">
        <v>0</v>
      </c>
      <c r="X230">
        <v>0</v>
      </c>
      <c r="Y230" t="s">
        <v>417</v>
      </c>
    </row>
    <row r="231" spans="1:25" hidden="1" x14ac:dyDescent="0.25">
      <c r="A231" s="16" t="s">
        <v>40</v>
      </c>
      <c r="B231" s="16" t="s">
        <v>110</v>
      </c>
      <c r="C231" s="16" t="s">
        <v>354</v>
      </c>
      <c r="D231" s="16" t="s">
        <v>27</v>
      </c>
      <c r="E231" s="12">
        <v>45815</v>
      </c>
      <c r="F231" s="12">
        <v>45815</v>
      </c>
      <c r="G231" s="3">
        <v>44</v>
      </c>
      <c r="H231" t="s">
        <v>28</v>
      </c>
      <c r="I231">
        <v>0</v>
      </c>
      <c r="J231">
        <v>0</v>
      </c>
      <c r="K231">
        <v>0</v>
      </c>
      <c r="L231" s="3">
        <v>1</v>
      </c>
      <c r="M231" s="3">
        <v>0</v>
      </c>
      <c r="N231">
        <v>0</v>
      </c>
      <c r="O231">
        <v>0</v>
      </c>
      <c r="P231">
        <v>0</v>
      </c>
      <c r="Q231">
        <v>0</v>
      </c>
      <c r="R231" s="3">
        <v>1</v>
      </c>
      <c r="S231" s="3">
        <v>0</v>
      </c>
      <c r="T231">
        <v>3</v>
      </c>
      <c r="U231">
        <v>48</v>
      </c>
      <c r="V231" s="3">
        <v>1</v>
      </c>
      <c r="W231" s="3">
        <v>0</v>
      </c>
      <c r="X231">
        <v>6</v>
      </c>
      <c r="Y231" t="s">
        <v>418</v>
      </c>
    </row>
    <row r="232" spans="1:25" hidden="1" x14ac:dyDescent="0.25">
      <c r="A232" s="16" t="s">
        <v>41</v>
      </c>
      <c r="B232" s="16" t="s">
        <v>112</v>
      </c>
      <c r="C232" s="16" t="s">
        <v>42</v>
      </c>
      <c r="D232" s="16" t="s">
        <v>27</v>
      </c>
      <c r="E232" s="12">
        <v>45815</v>
      </c>
      <c r="F232" s="12">
        <v>45815</v>
      </c>
      <c r="G232" s="3">
        <v>62</v>
      </c>
      <c r="H232" t="s">
        <v>28</v>
      </c>
      <c r="I232">
        <v>0</v>
      </c>
      <c r="J232">
        <v>0</v>
      </c>
      <c r="K232">
        <v>0</v>
      </c>
      <c r="L232" s="3">
        <v>0</v>
      </c>
      <c r="M232" s="3">
        <v>0</v>
      </c>
      <c r="N232">
        <v>0</v>
      </c>
      <c r="O232">
        <v>0</v>
      </c>
      <c r="P232">
        <v>0</v>
      </c>
      <c r="Q232">
        <v>11</v>
      </c>
      <c r="R232" s="3">
        <v>1</v>
      </c>
      <c r="S232" s="3">
        <v>0</v>
      </c>
      <c r="T232">
        <v>37</v>
      </c>
      <c r="U232">
        <v>39</v>
      </c>
      <c r="V232" s="3">
        <v>1</v>
      </c>
      <c r="W232" s="3">
        <v>0</v>
      </c>
      <c r="X232">
        <v>5</v>
      </c>
      <c r="Y232" t="s">
        <v>419</v>
      </c>
    </row>
    <row r="233" spans="1:25" hidden="1" x14ac:dyDescent="0.25">
      <c r="A233" s="16" t="s">
        <v>40</v>
      </c>
      <c r="B233" s="16" t="s">
        <v>110</v>
      </c>
      <c r="C233" s="16" t="s">
        <v>354</v>
      </c>
      <c r="D233" s="16" t="s">
        <v>27</v>
      </c>
      <c r="E233" s="12">
        <v>45816</v>
      </c>
      <c r="F233" s="12">
        <v>45816</v>
      </c>
      <c r="G233" s="3">
        <v>56</v>
      </c>
      <c r="H233" t="s">
        <v>28</v>
      </c>
      <c r="I233">
        <v>0</v>
      </c>
      <c r="J233">
        <v>0</v>
      </c>
      <c r="K233">
        <v>0</v>
      </c>
      <c r="L233" s="3">
        <v>0</v>
      </c>
      <c r="M233" s="3">
        <v>0</v>
      </c>
      <c r="N233">
        <v>0</v>
      </c>
      <c r="O233">
        <v>0</v>
      </c>
      <c r="P233">
        <v>0</v>
      </c>
      <c r="Q233">
        <v>0</v>
      </c>
      <c r="R233" s="3">
        <v>0</v>
      </c>
      <c r="S233" s="3">
        <v>1</v>
      </c>
      <c r="T233">
        <v>32</v>
      </c>
      <c r="U233">
        <v>66</v>
      </c>
      <c r="V233" s="3">
        <v>0</v>
      </c>
      <c r="W233" s="3">
        <v>1</v>
      </c>
      <c r="X233">
        <v>3</v>
      </c>
      <c r="Y233" t="s">
        <v>420</v>
      </c>
    </row>
    <row r="234" spans="1:25" hidden="1" x14ac:dyDescent="0.25">
      <c r="A234" s="16" t="s">
        <v>48</v>
      </c>
      <c r="B234" s="16" t="s">
        <v>149</v>
      </c>
      <c r="C234" s="16" t="s">
        <v>55</v>
      </c>
      <c r="D234" s="16" t="s">
        <v>27</v>
      </c>
      <c r="E234" s="12">
        <v>45816</v>
      </c>
      <c r="F234" s="12">
        <v>45816</v>
      </c>
      <c r="G234" s="3">
        <v>207</v>
      </c>
      <c r="H234" t="s">
        <v>28</v>
      </c>
      <c r="I234">
        <v>0</v>
      </c>
      <c r="J234">
        <v>0</v>
      </c>
      <c r="K234">
        <v>0</v>
      </c>
      <c r="L234" s="3">
        <v>0</v>
      </c>
      <c r="M234" s="3">
        <v>0</v>
      </c>
      <c r="N234">
        <v>0</v>
      </c>
      <c r="O234">
        <v>0</v>
      </c>
      <c r="P234">
        <v>0</v>
      </c>
      <c r="Q234">
        <v>0</v>
      </c>
      <c r="R234" s="3">
        <v>0</v>
      </c>
      <c r="S234" s="3">
        <v>1</v>
      </c>
      <c r="T234">
        <v>0</v>
      </c>
      <c r="U234">
        <v>50</v>
      </c>
      <c r="V234" s="3">
        <v>0</v>
      </c>
      <c r="W234" s="3">
        <v>1</v>
      </c>
      <c r="X234">
        <v>0</v>
      </c>
      <c r="Y234" t="s">
        <v>421</v>
      </c>
    </row>
    <row r="235" spans="1:25" hidden="1" x14ac:dyDescent="0.25">
      <c r="A235" s="1" t="s">
        <v>25</v>
      </c>
      <c r="B235" s="1" t="s">
        <v>96</v>
      </c>
      <c r="C235" s="1" t="s">
        <v>26</v>
      </c>
      <c r="D235" t="s">
        <v>27</v>
      </c>
      <c r="E235" s="2">
        <v>45817</v>
      </c>
      <c r="F235" s="2">
        <v>45817</v>
      </c>
      <c r="G235" s="3">
        <v>54</v>
      </c>
      <c r="H235" s="4" t="s">
        <v>28</v>
      </c>
      <c r="I235">
        <v>52</v>
      </c>
      <c r="J235">
        <v>0</v>
      </c>
      <c r="K235">
        <v>0</v>
      </c>
      <c r="L235" s="3">
        <v>0</v>
      </c>
      <c r="M235" s="3">
        <v>0</v>
      </c>
      <c r="N235">
        <v>1</v>
      </c>
      <c r="O235">
        <v>0</v>
      </c>
      <c r="P235">
        <v>0</v>
      </c>
      <c r="Q235">
        <v>0</v>
      </c>
      <c r="R235" s="3">
        <v>0</v>
      </c>
      <c r="S235" s="3">
        <v>0</v>
      </c>
      <c r="T235">
        <v>0</v>
      </c>
      <c r="U235">
        <v>0</v>
      </c>
      <c r="V235" s="3">
        <v>0</v>
      </c>
      <c r="W235" s="3">
        <v>0</v>
      </c>
      <c r="X235">
        <v>0</v>
      </c>
      <c r="Y235" t="s">
        <v>422</v>
      </c>
    </row>
    <row r="236" spans="1:25" hidden="1" x14ac:dyDescent="0.25">
      <c r="A236" s="1" t="s">
        <v>29</v>
      </c>
      <c r="B236" s="1" t="s">
        <v>100</v>
      </c>
      <c r="C236" s="1" t="s">
        <v>245</v>
      </c>
      <c r="D236" t="s">
        <v>27</v>
      </c>
      <c r="E236" s="2">
        <v>45817</v>
      </c>
      <c r="F236" s="2">
        <v>45817</v>
      </c>
      <c r="G236" s="3">
        <v>65</v>
      </c>
      <c r="H236" s="4" t="s">
        <v>28</v>
      </c>
      <c r="I236">
        <v>41</v>
      </c>
      <c r="J236">
        <v>0</v>
      </c>
      <c r="K236">
        <v>0</v>
      </c>
      <c r="L236" s="3">
        <v>1</v>
      </c>
      <c r="M236" s="3">
        <v>0</v>
      </c>
      <c r="N236">
        <v>0</v>
      </c>
      <c r="O236">
        <v>0</v>
      </c>
      <c r="P236">
        <v>0</v>
      </c>
      <c r="Q236">
        <v>0</v>
      </c>
      <c r="R236" s="3">
        <v>0</v>
      </c>
      <c r="S236" s="3">
        <v>0</v>
      </c>
      <c r="T236">
        <v>0</v>
      </c>
      <c r="U236">
        <v>0</v>
      </c>
      <c r="V236" s="3">
        <v>0</v>
      </c>
      <c r="W236" s="3">
        <v>0</v>
      </c>
      <c r="X236">
        <v>0</v>
      </c>
      <c r="Y236" t="s">
        <v>423</v>
      </c>
    </row>
    <row r="237" spans="1:25" hidden="1" x14ac:dyDescent="0.25">
      <c r="A237" s="1" t="s">
        <v>344</v>
      </c>
      <c r="B237" s="1" t="s">
        <v>102</v>
      </c>
      <c r="C237" s="1" t="s">
        <v>35</v>
      </c>
      <c r="D237" t="s">
        <v>27</v>
      </c>
      <c r="E237" s="2">
        <v>45817</v>
      </c>
      <c r="F237" s="2">
        <v>45817</v>
      </c>
      <c r="G237" s="3">
        <v>25</v>
      </c>
      <c r="H237" s="4" t="s">
        <v>28</v>
      </c>
      <c r="I237">
        <v>46</v>
      </c>
      <c r="J237">
        <v>0</v>
      </c>
      <c r="K237">
        <v>0</v>
      </c>
      <c r="L237" s="3">
        <v>0</v>
      </c>
      <c r="M237" s="3">
        <v>0</v>
      </c>
      <c r="N237">
        <v>0</v>
      </c>
      <c r="O237">
        <v>0</v>
      </c>
      <c r="P237">
        <v>0</v>
      </c>
      <c r="Q237">
        <v>0</v>
      </c>
      <c r="R237" s="3">
        <v>0</v>
      </c>
      <c r="S237" s="3">
        <v>0</v>
      </c>
      <c r="T237">
        <v>0</v>
      </c>
      <c r="U237">
        <v>0</v>
      </c>
      <c r="V237" s="3">
        <v>0</v>
      </c>
      <c r="W237" s="3">
        <v>0</v>
      </c>
      <c r="X237">
        <v>0</v>
      </c>
      <c r="Y237" t="s">
        <v>424</v>
      </c>
    </row>
    <row r="238" spans="1:25" hidden="1" x14ac:dyDescent="0.25">
      <c r="A238" s="1" t="s">
        <v>31</v>
      </c>
      <c r="B238" s="1" t="s">
        <v>104</v>
      </c>
      <c r="C238" s="1" t="s">
        <v>32</v>
      </c>
      <c r="D238" t="s">
        <v>27</v>
      </c>
      <c r="E238" s="2">
        <v>45817</v>
      </c>
      <c r="F238" s="2">
        <v>45817</v>
      </c>
      <c r="G238" s="3">
        <v>48</v>
      </c>
      <c r="H238" s="4" t="s">
        <v>28</v>
      </c>
      <c r="I238">
        <v>105</v>
      </c>
      <c r="J238">
        <v>0</v>
      </c>
      <c r="K238">
        <v>0</v>
      </c>
      <c r="L238" s="3">
        <v>0</v>
      </c>
      <c r="M238" s="3">
        <v>0</v>
      </c>
      <c r="N238">
        <v>0</v>
      </c>
      <c r="O238">
        <v>0</v>
      </c>
      <c r="P238">
        <v>0</v>
      </c>
      <c r="Q238">
        <v>50</v>
      </c>
      <c r="R238" s="3">
        <v>0</v>
      </c>
      <c r="S238" s="3">
        <v>0</v>
      </c>
      <c r="T238">
        <v>0</v>
      </c>
      <c r="U238">
        <v>0</v>
      </c>
      <c r="V238" s="3">
        <v>0</v>
      </c>
      <c r="W238" s="3">
        <v>0</v>
      </c>
      <c r="X238">
        <v>0</v>
      </c>
      <c r="Y238" t="s">
        <v>425</v>
      </c>
    </row>
    <row r="239" spans="1:25" hidden="1" x14ac:dyDescent="0.25">
      <c r="A239" s="1" t="s">
        <v>33</v>
      </c>
      <c r="B239" s="1" t="s">
        <v>106</v>
      </c>
      <c r="C239" s="1" t="s">
        <v>57</v>
      </c>
      <c r="D239" t="s">
        <v>27</v>
      </c>
      <c r="E239" s="2">
        <v>45817</v>
      </c>
      <c r="F239" s="2">
        <v>45817</v>
      </c>
      <c r="G239" s="3">
        <v>26</v>
      </c>
      <c r="H239" s="4" t="s">
        <v>28</v>
      </c>
      <c r="I239">
        <v>54</v>
      </c>
      <c r="J239">
        <v>0</v>
      </c>
      <c r="K239">
        <v>0</v>
      </c>
      <c r="L239" s="3">
        <v>0</v>
      </c>
      <c r="M239" s="3">
        <v>0</v>
      </c>
      <c r="N239">
        <v>0</v>
      </c>
      <c r="O239">
        <v>0</v>
      </c>
      <c r="P239">
        <v>0</v>
      </c>
      <c r="Q239">
        <v>0</v>
      </c>
      <c r="R239" s="3">
        <v>0</v>
      </c>
      <c r="S239" s="3">
        <v>0</v>
      </c>
      <c r="T239">
        <v>0</v>
      </c>
      <c r="U239">
        <v>0</v>
      </c>
      <c r="V239" s="3">
        <v>0</v>
      </c>
      <c r="W239" s="3">
        <v>0</v>
      </c>
      <c r="X239">
        <v>0</v>
      </c>
      <c r="Y239" t="s">
        <v>426</v>
      </c>
    </row>
    <row r="240" spans="1:25" hidden="1" x14ac:dyDescent="0.25">
      <c r="A240" s="1" t="s">
        <v>34</v>
      </c>
      <c r="B240" s="1" t="s">
        <v>247</v>
      </c>
      <c r="C240" s="1" t="s">
        <v>44</v>
      </c>
      <c r="D240" t="s">
        <v>27</v>
      </c>
      <c r="E240" s="2">
        <v>45817</v>
      </c>
      <c r="F240" s="2">
        <v>45817</v>
      </c>
      <c r="G240" s="3">
        <v>36</v>
      </c>
      <c r="H240" s="4" t="s">
        <v>28</v>
      </c>
      <c r="I240">
        <v>83</v>
      </c>
      <c r="J240">
        <v>10</v>
      </c>
      <c r="K240">
        <v>0</v>
      </c>
      <c r="L240" s="3">
        <v>0</v>
      </c>
      <c r="M240" s="3">
        <v>0</v>
      </c>
      <c r="N240">
        <v>0</v>
      </c>
      <c r="O240">
        <v>0</v>
      </c>
      <c r="P240">
        <v>0</v>
      </c>
      <c r="Q240">
        <v>0</v>
      </c>
      <c r="R240" s="3">
        <v>0</v>
      </c>
      <c r="S240" s="3">
        <v>0</v>
      </c>
      <c r="T240">
        <v>0</v>
      </c>
      <c r="U240">
        <v>0</v>
      </c>
      <c r="V240" s="3">
        <v>0</v>
      </c>
      <c r="W240" s="3">
        <v>0</v>
      </c>
      <c r="X240">
        <v>0</v>
      </c>
      <c r="Y240" t="s">
        <v>427</v>
      </c>
    </row>
    <row r="241" spans="1:25" hidden="1" x14ac:dyDescent="0.25">
      <c r="A241" s="1" t="s">
        <v>36</v>
      </c>
      <c r="B241" s="1" t="s">
        <v>249</v>
      </c>
      <c r="C241" s="1" t="s">
        <v>37</v>
      </c>
      <c r="D241" t="s">
        <v>27</v>
      </c>
      <c r="E241" s="2">
        <v>45817</v>
      </c>
      <c r="F241" s="2">
        <v>45817</v>
      </c>
      <c r="G241" s="3">
        <v>29</v>
      </c>
      <c r="H241" s="4" t="s">
        <v>28</v>
      </c>
      <c r="I241">
        <v>74</v>
      </c>
      <c r="J241">
        <v>0</v>
      </c>
      <c r="K241">
        <v>0</v>
      </c>
      <c r="L241" s="3">
        <v>1</v>
      </c>
      <c r="M241" s="3">
        <v>0</v>
      </c>
      <c r="N241">
        <v>0</v>
      </c>
      <c r="O241">
        <v>0</v>
      </c>
      <c r="P241">
        <v>0</v>
      </c>
      <c r="Q241">
        <v>0</v>
      </c>
      <c r="R241" s="3">
        <v>0</v>
      </c>
      <c r="S241" s="3">
        <v>0</v>
      </c>
      <c r="T241">
        <v>0</v>
      </c>
      <c r="U241">
        <v>0</v>
      </c>
      <c r="V241" s="3">
        <v>0</v>
      </c>
      <c r="W241" s="3">
        <v>0</v>
      </c>
      <c r="X241">
        <v>0</v>
      </c>
      <c r="Y241" t="s">
        <v>428</v>
      </c>
    </row>
    <row r="242" spans="1:25" hidden="1" x14ac:dyDescent="0.25">
      <c r="A242" s="1" t="s">
        <v>38</v>
      </c>
      <c r="B242" s="1" t="s">
        <v>108</v>
      </c>
      <c r="C242" s="1" t="s">
        <v>39</v>
      </c>
      <c r="D242" t="s">
        <v>27</v>
      </c>
      <c r="E242" s="2">
        <v>45817</v>
      </c>
      <c r="F242" s="2">
        <v>45817</v>
      </c>
      <c r="G242" s="3">
        <v>68</v>
      </c>
      <c r="H242" s="4" t="s">
        <v>28</v>
      </c>
      <c r="I242">
        <v>35</v>
      </c>
      <c r="J242">
        <v>0</v>
      </c>
      <c r="K242">
        <v>0</v>
      </c>
      <c r="L242" s="3">
        <v>1</v>
      </c>
      <c r="M242" s="3">
        <v>0</v>
      </c>
      <c r="N242">
        <v>0</v>
      </c>
      <c r="O242">
        <v>0</v>
      </c>
      <c r="P242">
        <v>0</v>
      </c>
      <c r="Q242">
        <v>35</v>
      </c>
      <c r="R242" s="3">
        <v>0</v>
      </c>
      <c r="S242" s="3">
        <v>0</v>
      </c>
      <c r="T242">
        <v>0</v>
      </c>
      <c r="U242">
        <v>0</v>
      </c>
      <c r="V242" s="3">
        <v>0</v>
      </c>
      <c r="W242" s="3">
        <v>0</v>
      </c>
      <c r="X242">
        <v>0</v>
      </c>
      <c r="Y242" t="s">
        <v>429</v>
      </c>
    </row>
    <row r="243" spans="1:25" hidden="1" x14ac:dyDescent="0.25">
      <c r="A243" s="1" t="s">
        <v>40</v>
      </c>
      <c r="B243" s="1" t="s">
        <v>110</v>
      </c>
      <c r="C243" s="1" t="s">
        <v>46</v>
      </c>
      <c r="D243" t="s">
        <v>27</v>
      </c>
      <c r="E243" s="2">
        <v>45817</v>
      </c>
      <c r="F243" s="2">
        <v>45817</v>
      </c>
      <c r="G243" s="3">
        <v>47</v>
      </c>
      <c r="H243" s="4" t="s">
        <v>28</v>
      </c>
      <c r="I243">
        <v>82</v>
      </c>
      <c r="J243">
        <v>0</v>
      </c>
      <c r="K243">
        <v>0</v>
      </c>
      <c r="L243" s="3">
        <v>1</v>
      </c>
      <c r="M243" s="3">
        <v>0</v>
      </c>
      <c r="N243">
        <v>1</v>
      </c>
      <c r="O243">
        <v>0</v>
      </c>
      <c r="P243">
        <v>0</v>
      </c>
      <c r="Q243">
        <v>0</v>
      </c>
      <c r="R243" s="3">
        <v>0</v>
      </c>
      <c r="S243" s="3">
        <v>0</v>
      </c>
      <c r="T243">
        <v>0</v>
      </c>
      <c r="U243">
        <v>0</v>
      </c>
      <c r="V243" s="3">
        <v>0</v>
      </c>
      <c r="W243" s="3">
        <v>0</v>
      </c>
      <c r="X243">
        <v>0</v>
      </c>
      <c r="Y243" t="s">
        <v>430</v>
      </c>
    </row>
    <row r="244" spans="1:25" hidden="1" x14ac:dyDescent="0.25">
      <c r="A244" s="1" t="s">
        <v>41</v>
      </c>
      <c r="B244" s="1" t="s">
        <v>112</v>
      </c>
      <c r="C244" s="1" t="s">
        <v>42</v>
      </c>
      <c r="D244" t="s">
        <v>27</v>
      </c>
      <c r="E244" s="2">
        <v>45817</v>
      </c>
      <c r="F244" s="2">
        <v>45817</v>
      </c>
      <c r="G244" s="3">
        <v>37</v>
      </c>
      <c r="H244" s="4" t="s">
        <v>28</v>
      </c>
      <c r="I244">
        <v>58</v>
      </c>
      <c r="J244">
        <v>0</v>
      </c>
      <c r="K244">
        <v>0</v>
      </c>
      <c r="L244" s="3">
        <v>1</v>
      </c>
      <c r="M244" s="3">
        <v>0</v>
      </c>
      <c r="N244">
        <v>0</v>
      </c>
      <c r="O244">
        <v>0</v>
      </c>
      <c r="P244">
        <v>0</v>
      </c>
      <c r="Q244">
        <v>0</v>
      </c>
      <c r="R244" s="3">
        <v>0</v>
      </c>
      <c r="S244" s="3">
        <v>0</v>
      </c>
      <c r="T244">
        <v>0</v>
      </c>
      <c r="U244">
        <v>0</v>
      </c>
      <c r="V244" s="3">
        <v>0</v>
      </c>
      <c r="W244" s="3">
        <v>0</v>
      </c>
      <c r="X244">
        <v>0</v>
      </c>
      <c r="Y244" t="s">
        <v>431</v>
      </c>
    </row>
    <row r="245" spans="1:25" hidden="1" x14ac:dyDescent="0.25">
      <c r="A245" s="1" t="s">
        <v>47</v>
      </c>
      <c r="B245" s="1" t="s">
        <v>137</v>
      </c>
      <c r="C245" s="1" t="s">
        <v>48</v>
      </c>
      <c r="D245" t="s">
        <v>27</v>
      </c>
      <c r="E245" s="2">
        <v>45817</v>
      </c>
      <c r="F245" s="2">
        <v>45817</v>
      </c>
      <c r="G245" s="3">
        <v>40</v>
      </c>
      <c r="H245" s="4" t="s">
        <v>28</v>
      </c>
      <c r="I245">
        <v>56</v>
      </c>
      <c r="J245">
        <v>0</v>
      </c>
      <c r="K245">
        <v>0</v>
      </c>
      <c r="L245" s="3">
        <v>0</v>
      </c>
      <c r="M245" s="3">
        <v>0</v>
      </c>
      <c r="N245">
        <v>0</v>
      </c>
      <c r="O245">
        <v>0</v>
      </c>
      <c r="P245">
        <v>0</v>
      </c>
      <c r="Q245">
        <v>0</v>
      </c>
      <c r="R245" s="3">
        <v>0</v>
      </c>
      <c r="S245" s="3">
        <v>0</v>
      </c>
      <c r="T245">
        <v>0</v>
      </c>
      <c r="U245">
        <v>0</v>
      </c>
      <c r="V245" s="3">
        <v>0</v>
      </c>
      <c r="W245" s="3">
        <v>0</v>
      </c>
      <c r="X245">
        <v>0</v>
      </c>
      <c r="Y245" t="s">
        <v>432</v>
      </c>
    </row>
    <row r="246" spans="1:25" hidden="1" x14ac:dyDescent="0.25">
      <c r="A246" s="1" t="s">
        <v>49</v>
      </c>
      <c r="B246" s="1" t="s">
        <v>118</v>
      </c>
      <c r="C246" s="1" t="s">
        <v>50</v>
      </c>
      <c r="D246" t="s">
        <v>27</v>
      </c>
      <c r="E246" s="2">
        <v>45817</v>
      </c>
      <c r="F246" s="2">
        <v>45817</v>
      </c>
      <c r="G246" s="3">
        <v>24</v>
      </c>
      <c r="H246" s="4" t="s">
        <v>28</v>
      </c>
      <c r="I246">
        <v>39</v>
      </c>
      <c r="J246">
        <v>0</v>
      </c>
      <c r="K246">
        <v>0</v>
      </c>
      <c r="L246" s="3">
        <v>1</v>
      </c>
      <c r="M246" s="3">
        <v>1</v>
      </c>
      <c r="N246">
        <v>0</v>
      </c>
      <c r="O246">
        <v>0</v>
      </c>
      <c r="P246">
        <v>0</v>
      </c>
      <c r="Q246">
        <v>39</v>
      </c>
      <c r="R246" s="3">
        <v>0</v>
      </c>
      <c r="S246" s="3">
        <v>0</v>
      </c>
      <c r="T246">
        <v>0</v>
      </c>
      <c r="U246">
        <v>0</v>
      </c>
      <c r="V246" s="3">
        <v>0</v>
      </c>
      <c r="W246" s="3">
        <v>0</v>
      </c>
      <c r="X246">
        <v>0</v>
      </c>
      <c r="Y246" t="s">
        <v>433</v>
      </c>
    </row>
    <row r="247" spans="1:25" hidden="1" x14ac:dyDescent="0.25">
      <c r="A247" s="1" t="s">
        <v>51</v>
      </c>
      <c r="B247" s="1" t="s">
        <v>120</v>
      </c>
      <c r="C247" s="1" t="s">
        <v>55</v>
      </c>
      <c r="D247" t="s">
        <v>27</v>
      </c>
      <c r="E247" s="2">
        <v>45817</v>
      </c>
      <c r="F247" s="2">
        <v>45817</v>
      </c>
      <c r="G247" s="3">
        <v>69</v>
      </c>
      <c r="H247" s="4" t="s">
        <v>28</v>
      </c>
      <c r="I247">
        <v>32</v>
      </c>
      <c r="J247">
        <v>0</v>
      </c>
      <c r="K247">
        <v>0</v>
      </c>
      <c r="L247" s="3">
        <v>0</v>
      </c>
      <c r="M247" s="3">
        <v>0</v>
      </c>
      <c r="N247">
        <v>1</v>
      </c>
      <c r="O247">
        <v>0</v>
      </c>
      <c r="P247">
        <v>0</v>
      </c>
      <c r="Q247">
        <v>0</v>
      </c>
      <c r="R247" s="3">
        <v>0</v>
      </c>
      <c r="S247" s="3">
        <v>0</v>
      </c>
      <c r="T247">
        <v>0</v>
      </c>
      <c r="U247">
        <v>0</v>
      </c>
      <c r="V247" s="3">
        <v>0</v>
      </c>
      <c r="W247" s="3">
        <v>0</v>
      </c>
      <c r="X247">
        <v>0</v>
      </c>
      <c r="Y247" t="s">
        <v>434</v>
      </c>
    </row>
    <row r="248" spans="1:25" hidden="1" x14ac:dyDescent="0.25">
      <c r="A248" s="1" t="s">
        <v>54</v>
      </c>
      <c r="B248" s="1" t="s">
        <v>122</v>
      </c>
      <c r="C248" s="1" t="s">
        <v>52</v>
      </c>
      <c r="D248" t="s">
        <v>27</v>
      </c>
      <c r="E248" s="2">
        <v>45817</v>
      </c>
      <c r="F248" s="2">
        <v>45817</v>
      </c>
      <c r="G248" s="3">
        <v>44</v>
      </c>
      <c r="H248" s="4" t="s">
        <v>28</v>
      </c>
      <c r="I248">
        <v>45</v>
      </c>
      <c r="J248">
        <v>0</v>
      </c>
      <c r="K248">
        <v>0</v>
      </c>
      <c r="L248" s="3">
        <v>0</v>
      </c>
      <c r="M248" s="3">
        <v>0</v>
      </c>
      <c r="N248">
        <v>0</v>
      </c>
      <c r="O248">
        <v>0</v>
      </c>
      <c r="P248">
        <v>0</v>
      </c>
      <c r="Q248">
        <v>0</v>
      </c>
      <c r="R248" s="3">
        <v>0</v>
      </c>
      <c r="S248" s="3">
        <v>0</v>
      </c>
      <c r="T248">
        <v>0</v>
      </c>
      <c r="U248">
        <v>0</v>
      </c>
      <c r="V248" s="3">
        <v>0</v>
      </c>
      <c r="W248" s="3">
        <v>0</v>
      </c>
      <c r="X248">
        <v>0</v>
      </c>
      <c r="Y248" t="s">
        <v>435</v>
      </c>
    </row>
    <row r="249" spans="1:25" hidden="1" x14ac:dyDescent="0.25">
      <c r="A249" s="1" t="s">
        <v>53</v>
      </c>
      <c r="B249" s="1" t="s">
        <v>142</v>
      </c>
      <c r="C249" s="1" t="s">
        <v>39</v>
      </c>
      <c r="D249" t="s">
        <v>27</v>
      </c>
      <c r="E249" s="2">
        <v>45817</v>
      </c>
      <c r="F249" s="2">
        <v>45817</v>
      </c>
      <c r="G249" s="3">
        <v>37</v>
      </c>
      <c r="H249" s="4" t="s">
        <v>28</v>
      </c>
      <c r="I249">
        <v>19</v>
      </c>
      <c r="J249">
        <v>0</v>
      </c>
      <c r="K249">
        <v>0</v>
      </c>
      <c r="L249" s="3">
        <v>1</v>
      </c>
      <c r="M249" s="3">
        <v>0</v>
      </c>
      <c r="N249">
        <v>0</v>
      </c>
      <c r="O249">
        <v>0</v>
      </c>
      <c r="P249">
        <v>0</v>
      </c>
      <c r="Q249">
        <v>19</v>
      </c>
      <c r="R249" s="3">
        <v>0</v>
      </c>
      <c r="S249" s="3">
        <v>0</v>
      </c>
      <c r="T249">
        <v>0</v>
      </c>
      <c r="U249">
        <v>0</v>
      </c>
      <c r="V249" s="3">
        <v>0</v>
      </c>
      <c r="W249" s="3">
        <v>0</v>
      </c>
      <c r="X249">
        <v>0</v>
      </c>
      <c r="Y249" t="s">
        <v>436</v>
      </c>
    </row>
    <row r="250" spans="1:25" hidden="1" x14ac:dyDescent="0.25">
      <c r="A250" s="1" t="s">
        <v>58</v>
      </c>
      <c r="B250" s="1" t="s">
        <v>144</v>
      </c>
      <c r="C250" s="1" t="s">
        <v>354</v>
      </c>
      <c r="D250" t="s">
        <v>27</v>
      </c>
      <c r="E250" s="2">
        <v>45817</v>
      </c>
      <c r="F250" s="2">
        <v>45817</v>
      </c>
      <c r="G250" s="3">
        <v>24</v>
      </c>
      <c r="H250" s="4" t="s">
        <v>28</v>
      </c>
      <c r="I250">
        <v>65</v>
      </c>
      <c r="J250">
        <v>0</v>
      </c>
      <c r="K250">
        <v>0</v>
      </c>
      <c r="L250" s="3">
        <v>1</v>
      </c>
      <c r="M250" s="3">
        <v>0</v>
      </c>
      <c r="N250">
        <v>0</v>
      </c>
      <c r="O250">
        <v>0</v>
      </c>
      <c r="P250">
        <v>6</v>
      </c>
      <c r="Q250">
        <v>0</v>
      </c>
      <c r="R250" s="3">
        <v>0</v>
      </c>
      <c r="S250" s="3">
        <v>0</v>
      </c>
      <c r="T250">
        <v>0</v>
      </c>
      <c r="U250">
        <v>0</v>
      </c>
      <c r="V250" s="3">
        <v>0</v>
      </c>
      <c r="W250" s="3">
        <v>0</v>
      </c>
      <c r="X250">
        <v>0</v>
      </c>
      <c r="Y250" t="s">
        <v>437</v>
      </c>
    </row>
    <row r="251" spans="1:25" hidden="1" x14ac:dyDescent="0.25">
      <c r="A251" s="1" t="s">
        <v>438</v>
      </c>
      <c r="B251" s="1" t="s">
        <v>106</v>
      </c>
      <c r="C251" s="1" t="s">
        <v>27</v>
      </c>
      <c r="D251" t="s">
        <v>27</v>
      </c>
      <c r="E251" s="2">
        <v>45817</v>
      </c>
      <c r="F251" s="2">
        <v>45817</v>
      </c>
      <c r="G251" s="3">
        <v>25</v>
      </c>
      <c r="H251" s="4" t="s">
        <v>180</v>
      </c>
      <c r="I251">
        <v>0</v>
      </c>
      <c r="J251">
        <v>0</v>
      </c>
      <c r="K251">
        <v>0</v>
      </c>
      <c r="L251" s="3">
        <v>0</v>
      </c>
      <c r="M251" s="3">
        <v>0</v>
      </c>
      <c r="N251">
        <v>0</v>
      </c>
      <c r="O251">
        <v>0</v>
      </c>
      <c r="P251">
        <v>0</v>
      </c>
      <c r="Q251">
        <v>0</v>
      </c>
      <c r="R251" s="3">
        <v>0</v>
      </c>
      <c r="S251" s="3">
        <v>0</v>
      </c>
      <c r="T251">
        <v>0</v>
      </c>
      <c r="U251">
        <v>0</v>
      </c>
      <c r="V251" s="3">
        <v>0</v>
      </c>
      <c r="W251" s="3">
        <v>0</v>
      </c>
      <c r="X251" s="3">
        <v>0</v>
      </c>
      <c r="Y251" t="s">
        <v>437</v>
      </c>
    </row>
    <row r="252" spans="1:25" hidden="1" x14ac:dyDescent="0.25">
      <c r="A252" s="1" t="s">
        <v>45</v>
      </c>
      <c r="B252" s="1" t="s">
        <v>182</v>
      </c>
      <c r="C252" s="1" t="s">
        <v>27</v>
      </c>
      <c r="D252" t="s">
        <v>27</v>
      </c>
      <c r="E252" s="2">
        <v>45817</v>
      </c>
      <c r="F252" s="2">
        <v>45817</v>
      </c>
      <c r="G252" s="3">
        <v>26</v>
      </c>
      <c r="H252" s="4" t="s">
        <v>959</v>
      </c>
      <c r="I252">
        <v>0</v>
      </c>
      <c r="J252">
        <v>0</v>
      </c>
      <c r="K252">
        <v>0</v>
      </c>
      <c r="L252" s="3">
        <v>0</v>
      </c>
      <c r="M252" s="3">
        <v>0</v>
      </c>
      <c r="N252">
        <v>0</v>
      </c>
      <c r="O252">
        <v>0</v>
      </c>
      <c r="P252">
        <v>0</v>
      </c>
      <c r="Q252">
        <v>0</v>
      </c>
      <c r="R252" s="3">
        <v>0</v>
      </c>
      <c r="S252" s="3">
        <v>0</v>
      </c>
      <c r="T252">
        <v>0</v>
      </c>
      <c r="U252">
        <v>0</v>
      </c>
      <c r="V252" s="3">
        <v>0</v>
      </c>
      <c r="W252" s="3">
        <v>0</v>
      </c>
      <c r="X252" s="3">
        <v>0</v>
      </c>
      <c r="Y252" t="s">
        <v>437</v>
      </c>
    </row>
    <row r="253" spans="1:25" hidden="1" x14ac:dyDescent="0.25">
      <c r="A253" s="1" t="s">
        <v>25</v>
      </c>
      <c r="B253" s="1" t="s">
        <v>96</v>
      </c>
      <c r="C253" s="1" t="s">
        <v>26</v>
      </c>
      <c r="D253" s="1" t="s">
        <v>27</v>
      </c>
      <c r="E253" s="2">
        <v>45818</v>
      </c>
      <c r="F253" s="2">
        <v>45818</v>
      </c>
      <c r="G253" s="3">
        <v>42</v>
      </c>
      <c r="H253" s="4" t="s">
        <v>28</v>
      </c>
      <c r="I253">
        <v>42</v>
      </c>
      <c r="J253">
        <v>0</v>
      </c>
      <c r="K253">
        <v>0</v>
      </c>
      <c r="L253" s="3">
        <v>0</v>
      </c>
      <c r="M253" s="3">
        <v>0</v>
      </c>
      <c r="N253">
        <v>1</v>
      </c>
      <c r="O253">
        <v>0</v>
      </c>
      <c r="P253">
        <v>0</v>
      </c>
      <c r="Q253">
        <v>0</v>
      </c>
      <c r="R253" s="3">
        <v>0</v>
      </c>
      <c r="S253" s="3">
        <v>0</v>
      </c>
      <c r="T253">
        <v>0</v>
      </c>
      <c r="U253">
        <v>0</v>
      </c>
      <c r="V253" s="3">
        <v>0</v>
      </c>
      <c r="W253" s="3">
        <v>0</v>
      </c>
      <c r="X253">
        <v>0</v>
      </c>
      <c r="Y253" t="s">
        <v>439</v>
      </c>
    </row>
    <row r="254" spans="1:25" hidden="1" x14ac:dyDescent="0.25">
      <c r="A254" s="1" t="s">
        <v>56</v>
      </c>
      <c r="B254" s="1" t="s">
        <v>249</v>
      </c>
      <c r="C254" s="1" t="s">
        <v>37</v>
      </c>
      <c r="D254" s="1" t="s">
        <v>27</v>
      </c>
      <c r="E254" s="2">
        <v>45818</v>
      </c>
      <c r="F254" s="2">
        <v>45818</v>
      </c>
      <c r="G254" s="3">
        <v>48</v>
      </c>
      <c r="H254" s="4" t="s">
        <v>28</v>
      </c>
      <c r="I254">
        <v>82</v>
      </c>
      <c r="J254">
        <v>0</v>
      </c>
      <c r="K254">
        <v>0</v>
      </c>
      <c r="L254" s="3">
        <v>1</v>
      </c>
      <c r="M254" s="3">
        <v>0</v>
      </c>
      <c r="N254">
        <v>0</v>
      </c>
      <c r="O254">
        <v>0</v>
      </c>
      <c r="P254">
        <v>0</v>
      </c>
      <c r="Q254">
        <v>0</v>
      </c>
      <c r="R254" s="3">
        <v>0</v>
      </c>
      <c r="S254" s="3">
        <v>0</v>
      </c>
      <c r="T254">
        <v>0</v>
      </c>
      <c r="U254">
        <v>0</v>
      </c>
      <c r="V254" s="3">
        <v>0</v>
      </c>
      <c r="W254" s="3">
        <v>0</v>
      </c>
      <c r="X254">
        <v>0</v>
      </c>
      <c r="Y254" t="s">
        <v>440</v>
      </c>
    </row>
    <row r="255" spans="1:25" hidden="1" x14ac:dyDescent="0.25">
      <c r="A255" s="1" t="s">
        <v>29</v>
      </c>
      <c r="B255" s="1" t="s">
        <v>100</v>
      </c>
      <c r="C255" s="1" t="s">
        <v>245</v>
      </c>
      <c r="D255" s="1" t="s">
        <v>27</v>
      </c>
      <c r="E255" s="2">
        <v>45818</v>
      </c>
      <c r="F255" s="2">
        <v>45818</v>
      </c>
      <c r="G255" s="3">
        <v>65</v>
      </c>
      <c r="H255" s="4" t="s">
        <v>28</v>
      </c>
      <c r="I255">
        <v>50</v>
      </c>
      <c r="J255">
        <v>0</v>
      </c>
      <c r="K255">
        <v>0</v>
      </c>
      <c r="L255" s="3">
        <v>0</v>
      </c>
      <c r="M255" s="3">
        <v>0</v>
      </c>
      <c r="N255">
        <v>0</v>
      </c>
      <c r="O255">
        <v>0</v>
      </c>
      <c r="P255">
        <v>0</v>
      </c>
      <c r="Q255">
        <v>0</v>
      </c>
      <c r="R255" s="3">
        <v>0</v>
      </c>
      <c r="S255" s="3">
        <v>0</v>
      </c>
      <c r="T255">
        <v>0</v>
      </c>
      <c r="U255">
        <v>0</v>
      </c>
      <c r="V255" s="3">
        <v>0</v>
      </c>
      <c r="W255" s="3">
        <v>0</v>
      </c>
      <c r="X255">
        <v>0</v>
      </c>
      <c r="Y255" t="s">
        <v>441</v>
      </c>
    </row>
    <row r="256" spans="1:25" hidden="1" x14ac:dyDescent="0.25">
      <c r="A256" s="1" t="s">
        <v>344</v>
      </c>
      <c r="B256" s="1" t="s">
        <v>102</v>
      </c>
      <c r="C256" s="1" t="s">
        <v>35</v>
      </c>
      <c r="D256" s="1" t="s">
        <v>27</v>
      </c>
      <c r="E256" s="2">
        <v>45818</v>
      </c>
      <c r="F256" s="2">
        <v>45818</v>
      </c>
      <c r="G256" s="3">
        <v>69</v>
      </c>
      <c r="H256" s="4" t="s">
        <v>28</v>
      </c>
      <c r="I256">
        <v>43</v>
      </c>
      <c r="J256">
        <v>0</v>
      </c>
      <c r="K256">
        <v>0</v>
      </c>
      <c r="L256" s="3">
        <v>0</v>
      </c>
      <c r="M256" s="3">
        <v>0</v>
      </c>
      <c r="N256">
        <v>0</v>
      </c>
      <c r="O256">
        <v>0</v>
      </c>
      <c r="P256">
        <v>0</v>
      </c>
      <c r="Q256">
        <v>0</v>
      </c>
      <c r="R256" s="3">
        <v>0</v>
      </c>
      <c r="S256" s="3">
        <v>0</v>
      </c>
      <c r="T256">
        <v>0</v>
      </c>
      <c r="U256">
        <v>0</v>
      </c>
      <c r="V256" s="3">
        <v>0</v>
      </c>
      <c r="W256" s="3">
        <v>0</v>
      </c>
      <c r="X256">
        <v>0</v>
      </c>
      <c r="Y256" t="s">
        <v>442</v>
      </c>
    </row>
    <row r="257" spans="1:25" hidden="1" x14ac:dyDescent="0.25">
      <c r="A257" s="1" t="s">
        <v>31</v>
      </c>
      <c r="B257" s="1" t="s">
        <v>104</v>
      </c>
      <c r="C257" s="1" t="s">
        <v>55</v>
      </c>
      <c r="D257" s="1" t="s">
        <v>27</v>
      </c>
      <c r="E257" s="2">
        <v>45818</v>
      </c>
      <c r="F257" s="2">
        <v>45818</v>
      </c>
      <c r="G257" s="3">
        <v>125</v>
      </c>
      <c r="H257" s="4" t="s">
        <v>28</v>
      </c>
      <c r="I257">
        <v>55</v>
      </c>
      <c r="J257">
        <v>0</v>
      </c>
      <c r="K257">
        <v>0</v>
      </c>
      <c r="L257" s="3">
        <v>0</v>
      </c>
      <c r="M257" s="3">
        <v>0</v>
      </c>
      <c r="N257">
        <v>0</v>
      </c>
      <c r="O257">
        <v>0</v>
      </c>
      <c r="P257">
        <v>0</v>
      </c>
      <c r="Q257">
        <v>50</v>
      </c>
      <c r="R257" s="3">
        <v>0</v>
      </c>
      <c r="S257" s="3">
        <v>0</v>
      </c>
      <c r="T257">
        <v>0</v>
      </c>
      <c r="U257">
        <v>0</v>
      </c>
      <c r="V257" s="3">
        <v>0</v>
      </c>
      <c r="W257" s="3">
        <v>0</v>
      </c>
      <c r="X257">
        <v>0</v>
      </c>
      <c r="Y257" t="s">
        <v>443</v>
      </c>
    </row>
    <row r="258" spans="1:25" hidden="1" x14ac:dyDescent="0.25">
      <c r="A258" s="1" t="s">
        <v>34</v>
      </c>
      <c r="B258" s="1" t="s">
        <v>247</v>
      </c>
      <c r="C258" s="1" t="s">
        <v>44</v>
      </c>
      <c r="D258" s="1" t="s">
        <v>27</v>
      </c>
      <c r="E258" s="2">
        <v>45818</v>
      </c>
      <c r="F258" s="2">
        <v>45818</v>
      </c>
      <c r="G258" s="3">
        <v>39</v>
      </c>
      <c r="H258" s="4" t="s">
        <v>28</v>
      </c>
      <c r="I258">
        <v>72</v>
      </c>
      <c r="J258">
        <v>0</v>
      </c>
      <c r="K258">
        <v>0</v>
      </c>
      <c r="L258" s="3">
        <v>1</v>
      </c>
      <c r="M258" s="3">
        <v>0</v>
      </c>
      <c r="N258">
        <v>0</v>
      </c>
      <c r="O258">
        <v>0</v>
      </c>
      <c r="P258">
        <v>0</v>
      </c>
      <c r="Q258">
        <v>0</v>
      </c>
      <c r="R258" s="3">
        <v>0</v>
      </c>
      <c r="S258" s="3">
        <v>0</v>
      </c>
      <c r="T258">
        <v>0</v>
      </c>
      <c r="U258">
        <v>0</v>
      </c>
      <c r="V258" s="3">
        <v>0</v>
      </c>
      <c r="W258" s="3">
        <v>0</v>
      </c>
      <c r="X258">
        <v>0</v>
      </c>
      <c r="Y258" t="s">
        <v>444</v>
      </c>
    </row>
    <row r="259" spans="1:25" hidden="1" x14ac:dyDescent="0.25">
      <c r="A259" s="1" t="s">
        <v>36</v>
      </c>
      <c r="B259" s="1" t="s">
        <v>249</v>
      </c>
      <c r="C259" s="1" t="s">
        <v>27</v>
      </c>
      <c r="D259" s="1" t="s">
        <v>27</v>
      </c>
      <c r="E259" s="2">
        <v>45818</v>
      </c>
      <c r="F259" s="2">
        <v>45818</v>
      </c>
      <c r="G259" s="3">
        <v>126</v>
      </c>
      <c r="H259" s="4" t="s">
        <v>28</v>
      </c>
      <c r="I259">
        <v>71</v>
      </c>
      <c r="J259">
        <v>0</v>
      </c>
      <c r="K259">
        <v>0</v>
      </c>
      <c r="L259" s="3">
        <v>0</v>
      </c>
      <c r="M259" s="3">
        <v>0</v>
      </c>
      <c r="N259">
        <v>1</v>
      </c>
      <c r="O259">
        <v>0</v>
      </c>
      <c r="P259">
        <v>0</v>
      </c>
      <c r="Q259">
        <v>0</v>
      </c>
      <c r="R259" s="3">
        <v>0</v>
      </c>
      <c r="S259" s="3">
        <v>0</v>
      </c>
      <c r="T259">
        <v>0</v>
      </c>
      <c r="U259">
        <v>0</v>
      </c>
      <c r="V259" s="3">
        <v>0</v>
      </c>
      <c r="W259" s="3">
        <v>0</v>
      </c>
      <c r="X259">
        <v>0</v>
      </c>
      <c r="Y259" t="s">
        <v>445</v>
      </c>
    </row>
    <row r="260" spans="1:25" hidden="1" x14ac:dyDescent="0.25">
      <c r="A260" s="1" t="s">
        <v>38</v>
      </c>
      <c r="B260" s="1" t="s">
        <v>108</v>
      </c>
      <c r="C260" s="1" t="s">
        <v>39</v>
      </c>
      <c r="D260" s="1" t="s">
        <v>27</v>
      </c>
      <c r="E260" s="2">
        <v>45818</v>
      </c>
      <c r="F260" s="2">
        <v>45818</v>
      </c>
      <c r="G260" s="3">
        <v>45</v>
      </c>
      <c r="H260" s="4" t="s">
        <v>28</v>
      </c>
      <c r="I260">
        <v>36</v>
      </c>
      <c r="J260">
        <v>0</v>
      </c>
      <c r="K260">
        <v>0</v>
      </c>
      <c r="L260" s="3">
        <v>1</v>
      </c>
      <c r="M260" s="3">
        <v>0</v>
      </c>
      <c r="N260">
        <v>0</v>
      </c>
      <c r="O260">
        <v>0</v>
      </c>
      <c r="P260">
        <v>0</v>
      </c>
      <c r="Q260">
        <v>36</v>
      </c>
      <c r="R260" s="3">
        <v>0</v>
      </c>
      <c r="S260" s="3">
        <v>0</v>
      </c>
      <c r="T260">
        <v>0</v>
      </c>
      <c r="U260">
        <v>0</v>
      </c>
      <c r="V260" s="3">
        <v>0</v>
      </c>
      <c r="W260" s="3">
        <v>0</v>
      </c>
      <c r="X260">
        <v>0</v>
      </c>
      <c r="Y260" t="s">
        <v>446</v>
      </c>
    </row>
    <row r="261" spans="1:25" hidden="1" x14ac:dyDescent="0.25">
      <c r="A261" s="1" t="s">
        <v>41</v>
      </c>
      <c r="B261" s="1" t="s">
        <v>112</v>
      </c>
      <c r="C261" s="1" t="s">
        <v>42</v>
      </c>
      <c r="D261" s="1" t="s">
        <v>27</v>
      </c>
      <c r="E261" s="2">
        <v>45818</v>
      </c>
      <c r="F261" s="2">
        <v>45818</v>
      </c>
      <c r="G261" s="3">
        <v>29</v>
      </c>
      <c r="H261" s="4" t="s">
        <v>28</v>
      </c>
      <c r="I261">
        <v>31</v>
      </c>
      <c r="J261">
        <v>0</v>
      </c>
      <c r="K261">
        <v>0</v>
      </c>
      <c r="L261" s="3">
        <v>1</v>
      </c>
      <c r="M261" s="3">
        <v>0</v>
      </c>
      <c r="N261">
        <v>0</v>
      </c>
      <c r="O261">
        <v>0</v>
      </c>
      <c r="P261">
        <v>0</v>
      </c>
      <c r="Q261">
        <v>0</v>
      </c>
      <c r="R261" s="3">
        <v>0</v>
      </c>
      <c r="S261" s="3">
        <v>0</v>
      </c>
      <c r="T261">
        <v>0</v>
      </c>
      <c r="U261">
        <v>0</v>
      </c>
      <c r="V261" s="3">
        <v>0</v>
      </c>
      <c r="W261" s="3">
        <v>0</v>
      </c>
      <c r="X261">
        <v>0</v>
      </c>
      <c r="Y261" t="s">
        <v>447</v>
      </c>
    </row>
    <row r="262" spans="1:25" hidden="1" x14ac:dyDescent="0.25">
      <c r="A262" s="1" t="s">
        <v>45</v>
      </c>
      <c r="B262" s="1" t="s">
        <v>116</v>
      </c>
      <c r="C262" s="1" t="s">
        <v>46</v>
      </c>
      <c r="D262" s="1" t="s">
        <v>27</v>
      </c>
      <c r="E262" s="2">
        <v>45818</v>
      </c>
      <c r="F262" s="2">
        <v>45818</v>
      </c>
      <c r="G262" s="3">
        <v>380</v>
      </c>
      <c r="H262" s="4" t="s">
        <v>28</v>
      </c>
      <c r="I262">
        <v>32</v>
      </c>
      <c r="J262">
        <v>0</v>
      </c>
      <c r="K262">
        <v>0</v>
      </c>
      <c r="L262" s="3">
        <v>0</v>
      </c>
      <c r="M262" s="3">
        <v>0</v>
      </c>
      <c r="N262">
        <v>0</v>
      </c>
      <c r="O262">
        <v>0</v>
      </c>
      <c r="P262">
        <v>0</v>
      </c>
      <c r="Q262">
        <v>0</v>
      </c>
      <c r="R262" s="3">
        <v>0</v>
      </c>
      <c r="S262" s="3">
        <v>0</v>
      </c>
      <c r="T262">
        <v>0</v>
      </c>
      <c r="U262">
        <v>0</v>
      </c>
      <c r="V262" s="3">
        <v>0</v>
      </c>
      <c r="W262" s="3">
        <v>0</v>
      </c>
      <c r="X262">
        <v>0</v>
      </c>
      <c r="Y262" t="s">
        <v>448</v>
      </c>
    </row>
    <row r="263" spans="1:25" hidden="1" x14ac:dyDescent="0.25">
      <c r="A263" s="1" t="s">
        <v>47</v>
      </c>
      <c r="B263" s="1" t="s">
        <v>137</v>
      </c>
      <c r="C263" s="1" t="s">
        <v>48</v>
      </c>
      <c r="D263" s="1" t="s">
        <v>27</v>
      </c>
      <c r="E263" s="2">
        <v>45818</v>
      </c>
      <c r="F263" s="2">
        <v>45818</v>
      </c>
      <c r="G263" s="3">
        <v>40</v>
      </c>
      <c r="H263" s="4" t="s">
        <v>28</v>
      </c>
      <c r="I263">
        <v>54</v>
      </c>
      <c r="J263">
        <v>0</v>
      </c>
      <c r="K263">
        <v>0</v>
      </c>
      <c r="L263" s="3">
        <v>0</v>
      </c>
      <c r="M263" s="3">
        <v>0</v>
      </c>
      <c r="N263">
        <v>0</v>
      </c>
      <c r="O263">
        <v>0</v>
      </c>
      <c r="P263">
        <v>0</v>
      </c>
      <c r="Q263">
        <v>0</v>
      </c>
      <c r="R263" s="3">
        <v>0</v>
      </c>
      <c r="S263" s="3">
        <v>0</v>
      </c>
      <c r="T263">
        <v>0</v>
      </c>
      <c r="U263">
        <v>0</v>
      </c>
      <c r="V263" s="3">
        <v>0</v>
      </c>
      <c r="W263" s="3">
        <v>0</v>
      </c>
      <c r="X263">
        <v>0</v>
      </c>
      <c r="Y263" t="s">
        <v>449</v>
      </c>
    </row>
    <row r="264" spans="1:25" hidden="1" x14ac:dyDescent="0.25">
      <c r="A264" s="1" t="s">
        <v>49</v>
      </c>
      <c r="B264" s="1" t="s">
        <v>118</v>
      </c>
      <c r="C264" s="1" t="s">
        <v>50</v>
      </c>
      <c r="D264" s="1" t="s">
        <v>27</v>
      </c>
      <c r="E264" s="2">
        <v>45818</v>
      </c>
      <c r="F264" s="2">
        <v>45818</v>
      </c>
      <c r="G264" s="3">
        <v>25</v>
      </c>
      <c r="H264" s="4" t="s">
        <v>28</v>
      </c>
      <c r="I264">
        <v>30</v>
      </c>
      <c r="J264">
        <v>0</v>
      </c>
      <c r="K264">
        <v>0</v>
      </c>
      <c r="L264" s="3">
        <v>1</v>
      </c>
      <c r="M264" s="3">
        <v>1</v>
      </c>
      <c r="N264">
        <v>0</v>
      </c>
      <c r="O264">
        <v>1</v>
      </c>
      <c r="P264">
        <v>0</v>
      </c>
      <c r="Q264">
        <v>30</v>
      </c>
      <c r="R264" s="3">
        <v>0</v>
      </c>
      <c r="S264" s="3">
        <v>0</v>
      </c>
      <c r="T264">
        <v>0</v>
      </c>
      <c r="U264">
        <v>0</v>
      </c>
      <c r="V264" s="3">
        <v>0</v>
      </c>
      <c r="W264" s="3">
        <v>0</v>
      </c>
      <c r="X264">
        <v>0</v>
      </c>
      <c r="Y264" t="s">
        <v>450</v>
      </c>
    </row>
    <row r="265" spans="1:25" hidden="1" x14ac:dyDescent="0.25">
      <c r="A265" s="1" t="s">
        <v>51</v>
      </c>
      <c r="B265" s="1" t="s">
        <v>120</v>
      </c>
      <c r="C265" s="1" t="s">
        <v>52</v>
      </c>
      <c r="D265" s="1" t="s">
        <v>27</v>
      </c>
      <c r="E265" s="2">
        <v>45818</v>
      </c>
      <c r="F265" s="2">
        <v>45818</v>
      </c>
      <c r="G265" s="3">
        <v>44</v>
      </c>
      <c r="H265" s="4" t="s">
        <v>28</v>
      </c>
      <c r="I265">
        <v>45</v>
      </c>
      <c r="J265">
        <v>0</v>
      </c>
      <c r="K265">
        <v>0</v>
      </c>
      <c r="L265" s="3">
        <v>0</v>
      </c>
      <c r="M265" s="3">
        <v>0</v>
      </c>
      <c r="N265">
        <v>0</v>
      </c>
      <c r="O265">
        <v>0</v>
      </c>
      <c r="P265">
        <v>0</v>
      </c>
      <c r="Q265">
        <v>0</v>
      </c>
      <c r="R265" s="3">
        <v>0</v>
      </c>
      <c r="S265" s="3">
        <v>0</v>
      </c>
      <c r="T265">
        <v>0</v>
      </c>
      <c r="U265">
        <v>0</v>
      </c>
      <c r="V265" s="3">
        <v>0</v>
      </c>
      <c r="W265" s="3">
        <v>0</v>
      </c>
      <c r="X265">
        <v>0</v>
      </c>
      <c r="Y265" t="s">
        <v>451</v>
      </c>
    </row>
    <row r="266" spans="1:25" hidden="1" x14ac:dyDescent="0.25">
      <c r="A266" s="1" t="s">
        <v>53</v>
      </c>
      <c r="B266" s="1" t="s">
        <v>142</v>
      </c>
      <c r="C266" s="1" t="s">
        <v>39</v>
      </c>
      <c r="D266" s="1" t="s">
        <v>27</v>
      </c>
      <c r="E266" s="2">
        <v>45818</v>
      </c>
      <c r="F266" s="2">
        <v>45818</v>
      </c>
      <c r="G266" s="3">
        <v>37</v>
      </c>
      <c r="H266" s="4" t="s">
        <v>28</v>
      </c>
      <c r="I266">
        <v>16</v>
      </c>
      <c r="J266">
        <v>0</v>
      </c>
      <c r="K266">
        <v>0</v>
      </c>
      <c r="L266" s="3">
        <v>1</v>
      </c>
      <c r="M266" s="3">
        <v>0</v>
      </c>
      <c r="N266">
        <v>0</v>
      </c>
      <c r="O266">
        <v>0</v>
      </c>
      <c r="P266">
        <v>0</v>
      </c>
      <c r="Q266">
        <v>16</v>
      </c>
      <c r="R266" s="3">
        <v>0</v>
      </c>
      <c r="S266" s="3">
        <v>0</v>
      </c>
      <c r="T266">
        <v>0</v>
      </c>
      <c r="U266">
        <v>0</v>
      </c>
      <c r="V266" s="3">
        <v>0</v>
      </c>
      <c r="W266" s="3">
        <v>0</v>
      </c>
      <c r="X266">
        <v>0</v>
      </c>
      <c r="Y266" t="s">
        <v>452</v>
      </c>
    </row>
    <row r="267" spans="1:25" hidden="1" x14ac:dyDescent="0.25">
      <c r="A267" s="1" t="s">
        <v>58</v>
      </c>
      <c r="B267" s="1" t="s">
        <v>144</v>
      </c>
      <c r="C267" s="1" t="s">
        <v>354</v>
      </c>
      <c r="D267" s="1" t="s">
        <v>27</v>
      </c>
      <c r="E267" s="2">
        <v>45818</v>
      </c>
      <c r="F267" s="2">
        <v>45818</v>
      </c>
      <c r="G267" s="3">
        <v>30</v>
      </c>
      <c r="H267" s="4" t="s">
        <v>28</v>
      </c>
      <c r="I267">
        <v>24</v>
      </c>
      <c r="J267">
        <v>0</v>
      </c>
      <c r="K267">
        <v>0</v>
      </c>
      <c r="L267" s="3">
        <v>0</v>
      </c>
      <c r="M267" s="3">
        <v>0</v>
      </c>
      <c r="N267">
        <v>0</v>
      </c>
      <c r="O267">
        <v>0</v>
      </c>
      <c r="P267">
        <v>0</v>
      </c>
      <c r="Q267">
        <v>0</v>
      </c>
      <c r="R267" s="3">
        <v>0</v>
      </c>
      <c r="S267" s="3">
        <v>0</v>
      </c>
      <c r="T267">
        <v>0</v>
      </c>
      <c r="U267">
        <v>0</v>
      </c>
      <c r="V267" s="3">
        <v>0</v>
      </c>
      <c r="W267" s="3">
        <v>0</v>
      </c>
      <c r="X267">
        <v>0</v>
      </c>
      <c r="Y267" t="s">
        <v>453</v>
      </c>
    </row>
    <row r="268" spans="1:25" hidden="1" x14ac:dyDescent="0.25">
      <c r="A268" s="1" t="s">
        <v>454</v>
      </c>
      <c r="B268" s="1" t="s">
        <v>106</v>
      </c>
      <c r="C268" s="1" t="s">
        <v>27</v>
      </c>
      <c r="D268" s="1" t="s">
        <v>27</v>
      </c>
      <c r="E268" s="2">
        <v>45818</v>
      </c>
      <c r="F268" s="2">
        <v>45818</v>
      </c>
      <c r="G268" s="3">
        <v>31</v>
      </c>
      <c r="H268" s="4" t="s">
        <v>28</v>
      </c>
      <c r="I268">
        <v>53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453</v>
      </c>
    </row>
    <row r="269" spans="1:25" hidden="1" x14ac:dyDescent="0.25">
      <c r="A269" s="1" t="s">
        <v>54</v>
      </c>
      <c r="B269" s="1" t="s">
        <v>182</v>
      </c>
      <c r="C269" s="1" t="s">
        <v>27</v>
      </c>
      <c r="D269" s="1" t="s">
        <v>27</v>
      </c>
      <c r="E269" s="2">
        <v>45818</v>
      </c>
      <c r="F269" s="2">
        <v>45818</v>
      </c>
      <c r="G269" s="3">
        <v>32</v>
      </c>
      <c r="H269" s="4" t="s">
        <v>505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453</v>
      </c>
    </row>
    <row r="270" spans="1:25" hidden="1" x14ac:dyDescent="0.25">
      <c r="A270" s="1" t="s">
        <v>40</v>
      </c>
      <c r="B270" s="1" t="s">
        <v>184</v>
      </c>
      <c r="C270" s="1" t="s">
        <v>27</v>
      </c>
      <c r="D270" s="1" t="s">
        <v>27</v>
      </c>
      <c r="E270" s="2">
        <v>45818</v>
      </c>
      <c r="F270" s="2">
        <v>45818</v>
      </c>
      <c r="G270" s="3">
        <v>33</v>
      </c>
      <c r="H270" s="4" t="s">
        <v>250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453</v>
      </c>
    </row>
    <row r="271" spans="1:25" hidden="1" x14ac:dyDescent="0.25">
      <c r="A271" s="1" t="s">
        <v>94</v>
      </c>
      <c r="B271" s="1" t="s">
        <v>186</v>
      </c>
      <c r="C271" s="1" t="s">
        <v>32</v>
      </c>
      <c r="D271" s="1" t="s">
        <v>27</v>
      </c>
      <c r="E271" s="2">
        <v>45818</v>
      </c>
      <c r="F271" s="2">
        <v>45818</v>
      </c>
      <c r="G271" s="3">
        <v>34</v>
      </c>
      <c r="H271" s="4" t="s">
        <v>251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453</v>
      </c>
    </row>
    <row r="272" spans="1:25" hidden="1" x14ac:dyDescent="0.25">
      <c r="A272" s="1" t="s">
        <v>94</v>
      </c>
      <c r="B272" s="1" t="s">
        <v>188</v>
      </c>
      <c r="C272" s="1" t="s">
        <v>57</v>
      </c>
      <c r="D272" s="1" t="s">
        <v>27</v>
      </c>
      <c r="E272" s="2">
        <v>45818</v>
      </c>
      <c r="F272" s="2">
        <v>45818</v>
      </c>
      <c r="G272" s="3">
        <v>35</v>
      </c>
      <c r="H272" s="4" t="s">
        <v>28</v>
      </c>
      <c r="I272">
        <v>21</v>
      </c>
      <c r="J272">
        <v>0</v>
      </c>
      <c r="K272">
        <v>0</v>
      </c>
      <c r="L272" s="3">
        <v>0</v>
      </c>
      <c r="M272" s="3">
        <v>0</v>
      </c>
      <c r="N272">
        <v>1</v>
      </c>
      <c r="O272">
        <v>0</v>
      </c>
      <c r="P272">
        <v>0</v>
      </c>
      <c r="Q272">
        <v>0</v>
      </c>
      <c r="R272" s="3">
        <v>0</v>
      </c>
      <c r="S272" s="3">
        <v>0</v>
      </c>
      <c r="T272">
        <v>0</v>
      </c>
      <c r="U272">
        <v>0</v>
      </c>
      <c r="V272" s="3">
        <v>0</v>
      </c>
      <c r="W272" s="3">
        <v>0</v>
      </c>
      <c r="X272" s="3">
        <v>0</v>
      </c>
      <c r="Y272" t="s">
        <v>453</v>
      </c>
    </row>
    <row r="273" spans="1:25" hidden="1" x14ac:dyDescent="0.25">
      <c r="A273" s="1" t="s">
        <v>25</v>
      </c>
      <c r="B273" s="1" t="s">
        <v>96</v>
      </c>
      <c r="C273" s="1" t="s">
        <v>26</v>
      </c>
      <c r="D273" s="1" t="s">
        <v>27</v>
      </c>
      <c r="E273" s="2">
        <v>45819</v>
      </c>
      <c r="F273" s="2">
        <v>45819</v>
      </c>
      <c r="G273" s="3">
        <v>71</v>
      </c>
      <c r="H273" s="4" t="s">
        <v>28</v>
      </c>
      <c r="I273">
        <f>39+11</f>
        <v>50</v>
      </c>
      <c r="J273">
        <v>0</v>
      </c>
      <c r="K273">
        <v>0</v>
      </c>
      <c r="L273" s="3">
        <v>0</v>
      </c>
      <c r="M273" s="3">
        <v>0</v>
      </c>
      <c r="N273">
        <v>1</v>
      </c>
      <c r="O273">
        <v>0</v>
      </c>
      <c r="P273">
        <v>0</v>
      </c>
      <c r="Q273">
        <v>0</v>
      </c>
      <c r="R273" s="3">
        <v>0</v>
      </c>
      <c r="S273" s="3">
        <v>0</v>
      </c>
      <c r="T273">
        <v>0</v>
      </c>
      <c r="U273">
        <v>0</v>
      </c>
      <c r="V273" s="3">
        <v>0</v>
      </c>
      <c r="W273" s="3">
        <v>0</v>
      </c>
      <c r="X273">
        <v>0</v>
      </c>
      <c r="Y273" t="s">
        <v>455</v>
      </c>
    </row>
    <row r="274" spans="1:25" hidden="1" x14ac:dyDescent="0.25">
      <c r="A274" s="1" t="s">
        <v>56</v>
      </c>
      <c r="B274" s="1" t="s">
        <v>98</v>
      </c>
      <c r="C274" s="1" t="s">
        <v>37</v>
      </c>
      <c r="D274" s="1" t="s">
        <v>27</v>
      </c>
      <c r="E274" s="2">
        <v>45819</v>
      </c>
      <c r="F274" s="2">
        <v>45819</v>
      </c>
      <c r="G274" s="3">
        <v>46</v>
      </c>
      <c r="H274" s="4" t="s">
        <v>28</v>
      </c>
      <c r="I274">
        <v>72</v>
      </c>
      <c r="J274">
        <v>0</v>
      </c>
      <c r="K274">
        <v>0</v>
      </c>
      <c r="L274" s="3">
        <v>1</v>
      </c>
      <c r="M274" s="3">
        <v>0</v>
      </c>
      <c r="N274">
        <v>0</v>
      </c>
      <c r="O274">
        <v>0</v>
      </c>
      <c r="P274">
        <v>0</v>
      </c>
      <c r="Q274">
        <v>0</v>
      </c>
      <c r="R274" s="3">
        <v>0</v>
      </c>
      <c r="S274" s="3">
        <v>0</v>
      </c>
      <c r="T274">
        <v>0</v>
      </c>
      <c r="U274">
        <v>0</v>
      </c>
      <c r="V274" s="3">
        <v>0</v>
      </c>
      <c r="W274" s="3">
        <v>0</v>
      </c>
      <c r="X274">
        <v>0</v>
      </c>
      <c r="Y274" t="s">
        <v>456</v>
      </c>
    </row>
    <row r="275" spans="1:25" hidden="1" x14ac:dyDescent="0.25">
      <c r="A275" s="1" t="s">
        <v>29</v>
      </c>
      <c r="B275" s="1" t="s">
        <v>100</v>
      </c>
      <c r="C275" s="1" t="s">
        <v>245</v>
      </c>
      <c r="D275" s="1" t="s">
        <v>27</v>
      </c>
      <c r="E275" s="2">
        <v>45819</v>
      </c>
      <c r="F275" s="2">
        <v>45819</v>
      </c>
      <c r="G275" s="3">
        <v>84</v>
      </c>
      <c r="H275" s="4" t="s">
        <v>28</v>
      </c>
      <c r="I275">
        <f>41+4</f>
        <v>45</v>
      </c>
      <c r="J275">
        <v>0</v>
      </c>
      <c r="K275">
        <v>0</v>
      </c>
      <c r="L275" s="3">
        <v>1</v>
      </c>
      <c r="M275" s="3">
        <v>0</v>
      </c>
      <c r="N275">
        <v>0</v>
      </c>
      <c r="O275">
        <v>0</v>
      </c>
      <c r="P275">
        <v>0</v>
      </c>
      <c r="Q275">
        <v>0</v>
      </c>
      <c r="R275" s="3">
        <v>0</v>
      </c>
      <c r="S275" s="3">
        <v>0</v>
      </c>
      <c r="T275">
        <v>0</v>
      </c>
      <c r="U275">
        <v>0</v>
      </c>
      <c r="V275" s="3">
        <v>0</v>
      </c>
      <c r="W275" s="3">
        <v>0</v>
      </c>
      <c r="X275">
        <v>0</v>
      </c>
      <c r="Y275" t="s">
        <v>457</v>
      </c>
    </row>
    <row r="276" spans="1:25" hidden="1" x14ac:dyDescent="0.25">
      <c r="A276" s="1" t="s">
        <v>344</v>
      </c>
      <c r="B276" s="1" t="s">
        <v>102</v>
      </c>
      <c r="C276" s="1" t="s">
        <v>35</v>
      </c>
      <c r="D276" s="1" t="s">
        <v>27</v>
      </c>
      <c r="E276" s="2">
        <v>45819</v>
      </c>
      <c r="F276" s="2">
        <v>45819</v>
      </c>
      <c r="G276" s="3">
        <v>49</v>
      </c>
      <c r="H276" s="4" t="s">
        <v>28</v>
      </c>
      <c r="I276">
        <v>29</v>
      </c>
      <c r="J276">
        <v>0</v>
      </c>
      <c r="K276">
        <v>0</v>
      </c>
      <c r="L276" s="3">
        <v>0</v>
      </c>
      <c r="M276" s="3">
        <v>0</v>
      </c>
      <c r="N276">
        <v>0</v>
      </c>
      <c r="O276">
        <v>0</v>
      </c>
      <c r="P276">
        <v>0</v>
      </c>
      <c r="Q276">
        <v>0</v>
      </c>
      <c r="R276" s="3">
        <v>0</v>
      </c>
      <c r="S276" s="3">
        <v>0</v>
      </c>
      <c r="T276">
        <v>0</v>
      </c>
      <c r="U276">
        <v>0</v>
      </c>
      <c r="V276" s="3">
        <v>0</v>
      </c>
      <c r="W276" s="3">
        <v>0</v>
      </c>
      <c r="X276">
        <v>0</v>
      </c>
      <c r="Y276" t="s">
        <v>458</v>
      </c>
    </row>
    <row r="277" spans="1:25" hidden="1" x14ac:dyDescent="0.25">
      <c r="A277" s="1" t="s">
        <v>31</v>
      </c>
      <c r="B277" s="1" t="s">
        <v>104</v>
      </c>
      <c r="C277" s="1" t="s">
        <v>32</v>
      </c>
      <c r="D277" s="1" t="s">
        <v>27</v>
      </c>
      <c r="E277" s="2">
        <v>45819</v>
      </c>
      <c r="F277" s="2">
        <v>45819</v>
      </c>
      <c r="G277" s="3">
        <v>42</v>
      </c>
      <c r="H277" s="4" t="s">
        <v>28</v>
      </c>
      <c r="I277">
        <f>95+2</f>
        <v>97</v>
      </c>
      <c r="J277">
        <v>0</v>
      </c>
      <c r="K277">
        <v>0</v>
      </c>
      <c r="L277" s="3">
        <v>0</v>
      </c>
      <c r="M277" s="3">
        <v>0</v>
      </c>
      <c r="N277">
        <v>0</v>
      </c>
      <c r="O277">
        <v>0</v>
      </c>
      <c r="P277">
        <v>2</v>
      </c>
      <c r="Q277">
        <v>50</v>
      </c>
      <c r="R277" s="3">
        <v>0</v>
      </c>
      <c r="S277" s="3">
        <v>0</v>
      </c>
      <c r="T277">
        <v>0</v>
      </c>
      <c r="U277">
        <v>0</v>
      </c>
      <c r="V277" s="3">
        <v>0</v>
      </c>
      <c r="W277" s="3">
        <v>0</v>
      </c>
      <c r="X277">
        <v>0</v>
      </c>
      <c r="Y277" t="s">
        <v>459</v>
      </c>
    </row>
    <row r="278" spans="1:25" hidden="1" x14ac:dyDescent="0.25">
      <c r="A278" s="1" t="s">
        <v>33</v>
      </c>
      <c r="B278" s="1" t="s">
        <v>106</v>
      </c>
      <c r="C278" s="1" t="s">
        <v>57</v>
      </c>
      <c r="D278" s="1" t="s">
        <v>27</v>
      </c>
      <c r="E278" s="2">
        <v>45819</v>
      </c>
      <c r="F278" s="2">
        <v>45819</v>
      </c>
      <c r="G278" s="3">
        <v>26</v>
      </c>
      <c r="H278" s="4" t="s">
        <v>28</v>
      </c>
      <c r="I278">
        <f>39+1</f>
        <v>40</v>
      </c>
      <c r="J278">
        <v>0</v>
      </c>
      <c r="K278">
        <v>0</v>
      </c>
      <c r="L278" s="3">
        <v>0</v>
      </c>
      <c r="M278" s="3">
        <v>0</v>
      </c>
      <c r="N278">
        <v>0</v>
      </c>
      <c r="O278">
        <v>0</v>
      </c>
      <c r="P278">
        <v>0</v>
      </c>
      <c r="Q278">
        <v>0</v>
      </c>
      <c r="R278" s="3">
        <v>0</v>
      </c>
      <c r="S278" s="3">
        <v>0</v>
      </c>
      <c r="T278">
        <v>0</v>
      </c>
      <c r="U278">
        <v>0</v>
      </c>
      <c r="V278" s="3">
        <v>0</v>
      </c>
      <c r="W278" s="3">
        <v>0</v>
      </c>
      <c r="X278">
        <v>0</v>
      </c>
      <c r="Y278" t="s">
        <v>460</v>
      </c>
    </row>
    <row r="279" spans="1:25" hidden="1" x14ac:dyDescent="0.25">
      <c r="A279" s="1" t="s">
        <v>34</v>
      </c>
      <c r="B279" s="1" t="s">
        <v>247</v>
      </c>
      <c r="C279" s="1" t="s">
        <v>44</v>
      </c>
      <c r="D279" s="1" t="s">
        <v>27</v>
      </c>
      <c r="E279" s="2">
        <v>45819</v>
      </c>
      <c r="F279" s="2">
        <v>45819</v>
      </c>
      <c r="G279" s="3">
        <v>23</v>
      </c>
      <c r="H279" s="4" t="s">
        <v>28</v>
      </c>
      <c r="I279">
        <v>48</v>
      </c>
      <c r="J279">
        <v>0</v>
      </c>
      <c r="K279">
        <v>0</v>
      </c>
      <c r="L279" s="3">
        <v>0</v>
      </c>
      <c r="M279" s="3">
        <v>0</v>
      </c>
      <c r="N279">
        <v>0</v>
      </c>
      <c r="O279">
        <v>0</v>
      </c>
      <c r="P279">
        <v>0</v>
      </c>
      <c r="Q279">
        <v>0</v>
      </c>
      <c r="R279" s="3">
        <v>0</v>
      </c>
      <c r="S279" s="3">
        <v>0</v>
      </c>
      <c r="T279">
        <v>0</v>
      </c>
      <c r="U279">
        <v>0</v>
      </c>
      <c r="V279" s="3">
        <v>0</v>
      </c>
      <c r="W279" s="3">
        <v>0</v>
      </c>
      <c r="X279">
        <v>0</v>
      </c>
      <c r="Y279" t="s">
        <v>461</v>
      </c>
    </row>
    <row r="280" spans="1:25" hidden="1" x14ac:dyDescent="0.25">
      <c r="A280" s="1" t="s">
        <v>38</v>
      </c>
      <c r="B280" s="1" t="s">
        <v>108</v>
      </c>
      <c r="C280" s="1" t="s">
        <v>39</v>
      </c>
      <c r="D280" s="1" t="s">
        <v>27</v>
      </c>
      <c r="E280" s="2">
        <v>45819</v>
      </c>
      <c r="F280" s="2">
        <v>45819</v>
      </c>
      <c r="G280" s="3">
        <v>104</v>
      </c>
      <c r="H280" s="4" t="s">
        <v>28</v>
      </c>
      <c r="I280">
        <v>37</v>
      </c>
      <c r="J280">
        <v>37</v>
      </c>
      <c r="K280">
        <v>0</v>
      </c>
      <c r="L280" s="3">
        <v>1</v>
      </c>
      <c r="M280" s="3">
        <v>0</v>
      </c>
      <c r="N280">
        <v>0</v>
      </c>
      <c r="O280">
        <v>0</v>
      </c>
      <c r="P280">
        <v>0</v>
      </c>
      <c r="Q280">
        <v>37</v>
      </c>
      <c r="R280" s="3">
        <v>0</v>
      </c>
      <c r="S280" s="3">
        <v>0</v>
      </c>
      <c r="T280">
        <v>0</v>
      </c>
      <c r="U280">
        <v>0</v>
      </c>
      <c r="V280" s="3">
        <v>0</v>
      </c>
      <c r="W280" s="3">
        <v>0</v>
      </c>
      <c r="X280">
        <v>0</v>
      </c>
      <c r="Y280" t="s">
        <v>462</v>
      </c>
    </row>
    <row r="281" spans="1:25" hidden="1" x14ac:dyDescent="0.25">
      <c r="A281" s="1" t="s">
        <v>41</v>
      </c>
      <c r="B281" s="1" t="s">
        <v>110</v>
      </c>
      <c r="C281" s="1" t="s">
        <v>42</v>
      </c>
      <c r="D281" s="1" t="s">
        <v>27</v>
      </c>
      <c r="E281" s="2">
        <v>45819</v>
      </c>
      <c r="F281" s="2">
        <v>45819</v>
      </c>
      <c r="G281" s="3">
        <v>38</v>
      </c>
      <c r="H281" s="4" t="s">
        <v>28</v>
      </c>
      <c r="I281">
        <v>41</v>
      </c>
      <c r="J281">
        <v>0</v>
      </c>
      <c r="K281">
        <v>0</v>
      </c>
      <c r="L281" s="3">
        <v>1</v>
      </c>
      <c r="M281" s="3">
        <v>0</v>
      </c>
      <c r="N281">
        <v>1</v>
      </c>
      <c r="O281">
        <v>0</v>
      </c>
      <c r="P281">
        <v>0</v>
      </c>
      <c r="Q281">
        <v>0</v>
      </c>
      <c r="R281" s="3">
        <v>0</v>
      </c>
      <c r="S281" s="3">
        <v>0</v>
      </c>
      <c r="T281">
        <v>0</v>
      </c>
      <c r="U281">
        <v>0</v>
      </c>
      <c r="V281" s="3">
        <v>0</v>
      </c>
      <c r="W281" s="3">
        <v>0</v>
      </c>
      <c r="X281">
        <v>0</v>
      </c>
      <c r="Y281" t="s">
        <v>463</v>
      </c>
    </row>
    <row r="282" spans="1:25" hidden="1" x14ac:dyDescent="0.25">
      <c r="A282" s="1" t="s">
        <v>40</v>
      </c>
      <c r="B282" s="1" t="s">
        <v>110</v>
      </c>
      <c r="C282" s="1" t="s">
        <v>36</v>
      </c>
      <c r="D282" s="1" t="s">
        <v>27</v>
      </c>
      <c r="E282" s="2">
        <v>45819</v>
      </c>
      <c r="F282" s="2">
        <v>45819</v>
      </c>
      <c r="G282" s="3">
        <v>38</v>
      </c>
      <c r="H282" s="4" t="s">
        <v>28</v>
      </c>
      <c r="I282">
        <v>28</v>
      </c>
      <c r="J282">
        <v>0</v>
      </c>
      <c r="K282">
        <v>0</v>
      </c>
      <c r="L282" s="3">
        <v>0</v>
      </c>
      <c r="M282" s="3">
        <v>0</v>
      </c>
      <c r="N282">
        <v>1</v>
      </c>
      <c r="O282">
        <v>0</v>
      </c>
      <c r="P282">
        <v>0</v>
      </c>
      <c r="Q282">
        <v>0</v>
      </c>
      <c r="R282" s="3">
        <v>0</v>
      </c>
      <c r="S282" s="3">
        <v>0</v>
      </c>
      <c r="T282">
        <v>0</v>
      </c>
      <c r="U282">
        <v>0</v>
      </c>
      <c r="V282" s="3">
        <v>0</v>
      </c>
      <c r="W282" s="3">
        <v>0</v>
      </c>
      <c r="X282">
        <v>0</v>
      </c>
      <c r="Y282" t="s">
        <v>463</v>
      </c>
    </row>
    <row r="283" spans="1:25" hidden="1" x14ac:dyDescent="0.25">
      <c r="A283" s="1" t="s">
        <v>45</v>
      </c>
      <c r="B283" s="1" t="s">
        <v>116</v>
      </c>
      <c r="C283" s="1" t="s">
        <v>46</v>
      </c>
      <c r="D283" s="1" t="s">
        <v>27</v>
      </c>
      <c r="E283" s="2">
        <v>45819</v>
      </c>
      <c r="F283" s="2">
        <v>45819</v>
      </c>
      <c r="G283" s="3">
        <v>52</v>
      </c>
      <c r="H283" s="4" t="s">
        <v>28</v>
      </c>
      <c r="I283">
        <f>43+30</f>
        <v>73</v>
      </c>
      <c r="J283">
        <v>0</v>
      </c>
      <c r="K283">
        <v>0</v>
      </c>
      <c r="L283" s="3">
        <v>1</v>
      </c>
      <c r="M283" s="3">
        <v>0</v>
      </c>
      <c r="N283">
        <v>0</v>
      </c>
      <c r="O283">
        <v>0</v>
      </c>
      <c r="P283">
        <v>0</v>
      </c>
      <c r="Q283">
        <v>0</v>
      </c>
      <c r="R283" s="3">
        <v>0</v>
      </c>
      <c r="S283" s="3">
        <v>0</v>
      </c>
      <c r="T283">
        <v>0</v>
      </c>
      <c r="U283">
        <v>0</v>
      </c>
      <c r="V283" s="3">
        <v>0</v>
      </c>
      <c r="W283" s="3">
        <v>0</v>
      </c>
      <c r="X283">
        <v>0</v>
      </c>
      <c r="Y283" t="s">
        <v>464</v>
      </c>
    </row>
    <row r="284" spans="1:25" hidden="1" x14ac:dyDescent="0.25">
      <c r="A284" s="1" t="s">
        <v>47</v>
      </c>
      <c r="B284" s="1" t="s">
        <v>137</v>
      </c>
      <c r="C284" s="1" t="s">
        <v>48</v>
      </c>
      <c r="D284" s="1" t="s">
        <v>27</v>
      </c>
      <c r="E284" s="2">
        <v>45819</v>
      </c>
      <c r="F284" s="2">
        <v>45819</v>
      </c>
      <c r="G284" s="3">
        <v>34</v>
      </c>
      <c r="H284" s="4" t="s">
        <v>28</v>
      </c>
      <c r="I284">
        <v>42</v>
      </c>
      <c r="J284">
        <v>0</v>
      </c>
      <c r="K284">
        <v>0</v>
      </c>
      <c r="L284" s="3">
        <v>0</v>
      </c>
      <c r="M284" s="3">
        <v>0</v>
      </c>
      <c r="N284">
        <v>0</v>
      </c>
      <c r="O284">
        <v>0</v>
      </c>
      <c r="P284">
        <v>2</v>
      </c>
      <c r="Q284">
        <v>0</v>
      </c>
      <c r="R284" s="3">
        <v>0</v>
      </c>
      <c r="S284" s="3">
        <v>0</v>
      </c>
      <c r="T284">
        <v>0</v>
      </c>
      <c r="U284">
        <v>0</v>
      </c>
      <c r="V284" s="3">
        <v>0</v>
      </c>
      <c r="W284" s="3">
        <v>0</v>
      </c>
      <c r="X284">
        <v>0</v>
      </c>
      <c r="Y284" t="s">
        <v>465</v>
      </c>
    </row>
    <row r="285" spans="1:25" hidden="1" x14ac:dyDescent="0.25">
      <c r="A285" s="1" t="s">
        <v>49</v>
      </c>
      <c r="B285" s="1" t="s">
        <v>118</v>
      </c>
      <c r="C285" s="1" t="s">
        <v>50</v>
      </c>
      <c r="D285" s="1" t="s">
        <v>27</v>
      </c>
      <c r="E285" s="2">
        <v>45819</v>
      </c>
      <c r="F285" s="2">
        <v>45819</v>
      </c>
      <c r="G285" s="3">
        <v>29</v>
      </c>
      <c r="H285" s="4" t="s">
        <v>28</v>
      </c>
      <c r="I285">
        <f>26+17</f>
        <v>43</v>
      </c>
      <c r="J285">
        <v>0</v>
      </c>
      <c r="K285">
        <v>0</v>
      </c>
      <c r="L285" s="3">
        <v>1</v>
      </c>
      <c r="M285" s="3">
        <v>1</v>
      </c>
      <c r="N285">
        <v>0</v>
      </c>
      <c r="O285">
        <v>0</v>
      </c>
      <c r="P285">
        <v>0</v>
      </c>
      <c r="Q285">
        <v>50</v>
      </c>
      <c r="R285" s="3">
        <v>0</v>
      </c>
      <c r="S285" s="3">
        <v>0</v>
      </c>
      <c r="T285">
        <v>0</v>
      </c>
      <c r="U285">
        <v>0</v>
      </c>
      <c r="V285" s="3">
        <v>0</v>
      </c>
      <c r="W285" s="3">
        <v>0</v>
      </c>
      <c r="X285">
        <v>0</v>
      </c>
      <c r="Y285" t="s">
        <v>466</v>
      </c>
    </row>
    <row r="286" spans="1:25" hidden="1" x14ac:dyDescent="0.25">
      <c r="A286" s="1" t="s">
        <v>51</v>
      </c>
      <c r="B286" s="1" t="s">
        <v>120</v>
      </c>
      <c r="C286" s="1" t="s">
        <v>55</v>
      </c>
      <c r="D286" s="1" t="s">
        <v>27</v>
      </c>
      <c r="E286" s="2">
        <v>45819</v>
      </c>
      <c r="F286" s="2">
        <v>45819</v>
      </c>
      <c r="G286" s="3">
        <v>56</v>
      </c>
      <c r="H286" s="4" t="s">
        <v>28</v>
      </c>
      <c r="I286">
        <f>38+7</f>
        <v>45</v>
      </c>
      <c r="J286">
        <v>0</v>
      </c>
      <c r="K286">
        <v>0</v>
      </c>
      <c r="L286" s="3">
        <v>1</v>
      </c>
      <c r="M286" s="3">
        <v>0</v>
      </c>
      <c r="N286">
        <v>1</v>
      </c>
      <c r="O286">
        <v>0</v>
      </c>
      <c r="P286">
        <v>0</v>
      </c>
      <c r="Q286">
        <v>0</v>
      </c>
      <c r="R286" s="3">
        <v>0</v>
      </c>
      <c r="S286" s="3">
        <v>0</v>
      </c>
      <c r="T286">
        <v>0</v>
      </c>
      <c r="U286">
        <v>0</v>
      </c>
      <c r="V286" s="3">
        <v>0</v>
      </c>
      <c r="W286" s="3">
        <v>0</v>
      </c>
      <c r="X286">
        <v>0</v>
      </c>
      <c r="Y286" t="s">
        <v>467</v>
      </c>
    </row>
    <row r="287" spans="1:25" hidden="1" x14ac:dyDescent="0.25">
      <c r="A287" s="1" t="s">
        <v>54</v>
      </c>
      <c r="B287" s="1" t="s">
        <v>122</v>
      </c>
      <c r="C287" s="1" t="s">
        <v>52</v>
      </c>
      <c r="D287" s="1" t="s">
        <v>27</v>
      </c>
      <c r="E287" s="2">
        <v>45819</v>
      </c>
      <c r="F287" s="2">
        <v>45819</v>
      </c>
      <c r="G287" s="3">
        <v>35</v>
      </c>
      <c r="H287" s="4" t="s">
        <v>28</v>
      </c>
      <c r="I287">
        <v>25</v>
      </c>
      <c r="J287">
        <v>0</v>
      </c>
      <c r="K287">
        <v>0</v>
      </c>
      <c r="L287" s="3">
        <v>0</v>
      </c>
      <c r="M287" s="3">
        <v>0</v>
      </c>
      <c r="N287">
        <v>0</v>
      </c>
      <c r="O287">
        <v>0</v>
      </c>
      <c r="P287">
        <v>0</v>
      </c>
      <c r="Q287">
        <v>0</v>
      </c>
      <c r="R287" s="3">
        <v>0</v>
      </c>
      <c r="S287" s="3">
        <v>0</v>
      </c>
      <c r="T287">
        <v>0</v>
      </c>
      <c r="U287">
        <v>0</v>
      </c>
      <c r="V287" s="3">
        <v>0</v>
      </c>
      <c r="W287" s="3">
        <v>0</v>
      </c>
      <c r="X287">
        <v>0</v>
      </c>
      <c r="Y287" t="s">
        <v>468</v>
      </c>
    </row>
    <row r="288" spans="1:25" hidden="1" x14ac:dyDescent="0.25">
      <c r="A288" s="1" t="s">
        <v>53</v>
      </c>
      <c r="B288" s="1" t="s">
        <v>142</v>
      </c>
      <c r="C288" s="1" t="s">
        <v>39</v>
      </c>
      <c r="D288" s="1" t="s">
        <v>27</v>
      </c>
      <c r="E288" s="2">
        <v>45819</v>
      </c>
      <c r="F288" s="2">
        <v>45819</v>
      </c>
      <c r="G288" s="3">
        <v>35</v>
      </c>
      <c r="H288" s="4" t="s">
        <v>28</v>
      </c>
      <c r="I288">
        <v>20</v>
      </c>
      <c r="J288">
        <v>0</v>
      </c>
      <c r="K288">
        <v>0</v>
      </c>
      <c r="L288" s="3">
        <v>1</v>
      </c>
      <c r="M288" s="3">
        <v>0</v>
      </c>
      <c r="N288">
        <v>0</v>
      </c>
      <c r="O288">
        <v>0</v>
      </c>
      <c r="P288">
        <v>0</v>
      </c>
      <c r="Q288">
        <v>20</v>
      </c>
      <c r="R288" s="3">
        <v>0</v>
      </c>
      <c r="S288" s="3">
        <v>0</v>
      </c>
      <c r="T288">
        <v>0</v>
      </c>
      <c r="U288">
        <v>0</v>
      </c>
      <c r="V288" s="3">
        <v>0</v>
      </c>
      <c r="W288" s="3">
        <v>0</v>
      </c>
      <c r="X288">
        <v>0</v>
      </c>
      <c r="Y288" t="s">
        <v>469</v>
      </c>
    </row>
    <row r="289" spans="1:25" hidden="1" x14ac:dyDescent="0.25">
      <c r="A289" s="1" t="s">
        <v>58</v>
      </c>
      <c r="B289" s="1" t="s">
        <v>144</v>
      </c>
      <c r="C289" s="1" t="s">
        <v>354</v>
      </c>
      <c r="D289" s="1" t="s">
        <v>27</v>
      </c>
      <c r="E289" s="2">
        <v>45819</v>
      </c>
      <c r="F289" s="2">
        <v>45819</v>
      </c>
      <c r="G289" s="3">
        <v>31</v>
      </c>
      <c r="H289" s="4" t="s">
        <v>28</v>
      </c>
      <c r="I289">
        <f>33+23</f>
        <v>56</v>
      </c>
      <c r="J289">
        <v>0</v>
      </c>
      <c r="K289">
        <v>0</v>
      </c>
      <c r="L289" s="3">
        <v>1</v>
      </c>
      <c r="M289" s="3">
        <v>0</v>
      </c>
      <c r="N289">
        <v>0</v>
      </c>
      <c r="O289">
        <v>0</v>
      </c>
      <c r="P289">
        <v>3</v>
      </c>
      <c r="Q289">
        <v>0</v>
      </c>
      <c r="R289" s="3">
        <v>0</v>
      </c>
      <c r="S289" s="3">
        <v>0</v>
      </c>
      <c r="T289">
        <v>0</v>
      </c>
      <c r="U289">
        <v>0</v>
      </c>
      <c r="V289" s="3">
        <v>0</v>
      </c>
      <c r="W289" s="3">
        <v>0</v>
      </c>
      <c r="X289">
        <v>0</v>
      </c>
      <c r="Y289" t="s">
        <v>470</v>
      </c>
    </row>
    <row r="290" spans="1:25" hidden="1" x14ac:dyDescent="0.25">
      <c r="A290" s="1" t="s">
        <v>25</v>
      </c>
      <c r="B290" s="1" t="s">
        <v>96</v>
      </c>
      <c r="C290" s="1" t="s">
        <v>26</v>
      </c>
      <c r="D290" t="s">
        <v>27</v>
      </c>
      <c r="E290" s="2">
        <v>45820</v>
      </c>
      <c r="F290" s="2">
        <v>45820</v>
      </c>
      <c r="G290" s="3">
        <v>68</v>
      </c>
      <c r="H290" s="4" t="s">
        <v>28</v>
      </c>
      <c r="I290" s="4">
        <v>46</v>
      </c>
      <c r="J290">
        <v>0</v>
      </c>
      <c r="K290">
        <v>0</v>
      </c>
      <c r="L290" s="3">
        <v>0</v>
      </c>
      <c r="M290" s="3">
        <v>0</v>
      </c>
      <c r="N290">
        <v>1</v>
      </c>
      <c r="O290">
        <v>0</v>
      </c>
      <c r="P290">
        <v>0</v>
      </c>
      <c r="Q290">
        <v>0</v>
      </c>
      <c r="R290" s="3">
        <v>0</v>
      </c>
      <c r="S290" s="3">
        <v>0</v>
      </c>
      <c r="T290">
        <v>0</v>
      </c>
      <c r="U290">
        <v>0</v>
      </c>
      <c r="V290" s="3">
        <v>0</v>
      </c>
      <c r="W290" s="3">
        <v>0</v>
      </c>
      <c r="X290">
        <v>0</v>
      </c>
      <c r="Y290" t="s">
        <v>252</v>
      </c>
    </row>
    <row r="291" spans="1:25" hidden="1" x14ac:dyDescent="0.25">
      <c r="A291" s="1" t="s">
        <v>56</v>
      </c>
      <c r="B291" s="1" t="s">
        <v>98</v>
      </c>
      <c r="C291" s="1" t="s">
        <v>37</v>
      </c>
      <c r="D291" t="s">
        <v>27</v>
      </c>
      <c r="E291" s="2">
        <v>45820</v>
      </c>
      <c r="F291" s="2">
        <v>45820</v>
      </c>
      <c r="G291" s="3">
        <v>26</v>
      </c>
      <c r="H291" s="4" t="s">
        <v>28</v>
      </c>
      <c r="I291" s="4">
        <f>63+2</f>
        <v>65</v>
      </c>
      <c r="J291">
        <v>0</v>
      </c>
      <c r="K291">
        <v>0</v>
      </c>
      <c r="L291" s="3">
        <v>1</v>
      </c>
      <c r="M291" s="3">
        <v>0</v>
      </c>
      <c r="N291">
        <v>0</v>
      </c>
      <c r="O291">
        <v>0</v>
      </c>
      <c r="P291">
        <v>0</v>
      </c>
      <c r="Q291">
        <v>0</v>
      </c>
      <c r="R291" s="3">
        <v>0</v>
      </c>
      <c r="S291" s="3">
        <v>0</v>
      </c>
      <c r="T291">
        <v>0</v>
      </c>
      <c r="U291">
        <v>0</v>
      </c>
      <c r="V291" s="3">
        <v>0</v>
      </c>
      <c r="W291" s="3">
        <v>0</v>
      </c>
      <c r="X291">
        <v>0</v>
      </c>
      <c r="Y291" t="s">
        <v>253</v>
      </c>
    </row>
    <row r="292" spans="1:25" hidden="1" x14ac:dyDescent="0.25">
      <c r="A292" s="1" t="s">
        <v>29</v>
      </c>
      <c r="B292" s="1" t="s">
        <v>100</v>
      </c>
      <c r="C292" s="1" t="s">
        <v>245</v>
      </c>
      <c r="D292" t="s">
        <v>27</v>
      </c>
      <c r="E292" s="2">
        <v>45820</v>
      </c>
      <c r="F292" s="2">
        <v>45820</v>
      </c>
      <c r="G292" s="3">
        <v>77</v>
      </c>
      <c r="H292" s="4" t="s">
        <v>28</v>
      </c>
      <c r="I292" s="4">
        <f>26+5</f>
        <v>31</v>
      </c>
      <c r="J292">
        <v>0</v>
      </c>
      <c r="K292">
        <v>0</v>
      </c>
      <c r="L292" s="3">
        <v>0</v>
      </c>
      <c r="M292" s="3">
        <v>0</v>
      </c>
      <c r="N292">
        <v>0</v>
      </c>
      <c r="O292">
        <v>0</v>
      </c>
      <c r="P292">
        <v>0</v>
      </c>
      <c r="Q292">
        <v>0</v>
      </c>
      <c r="R292" s="3">
        <v>0</v>
      </c>
      <c r="S292" s="3">
        <v>0</v>
      </c>
      <c r="T292">
        <v>0</v>
      </c>
      <c r="U292">
        <v>0</v>
      </c>
      <c r="V292" s="3">
        <v>0</v>
      </c>
      <c r="W292" s="3">
        <v>0</v>
      </c>
      <c r="X292">
        <v>0</v>
      </c>
      <c r="Y292" t="s">
        <v>254</v>
      </c>
    </row>
    <row r="293" spans="1:25" hidden="1" x14ac:dyDescent="0.25">
      <c r="A293" s="1" t="s">
        <v>344</v>
      </c>
      <c r="B293" s="1" t="s">
        <v>100</v>
      </c>
      <c r="C293" s="1" t="s">
        <v>35</v>
      </c>
      <c r="D293" t="s">
        <v>27</v>
      </c>
      <c r="E293" s="2">
        <v>45820</v>
      </c>
      <c r="F293" s="2">
        <v>45820</v>
      </c>
      <c r="G293" s="3">
        <v>77</v>
      </c>
      <c r="H293" s="4" t="s">
        <v>28</v>
      </c>
      <c r="I293" s="4">
        <v>27</v>
      </c>
      <c r="J293">
        <v>0</v>
      </c>
      <c r="K293">
        <v>0</v>
      </c>
      <c r="L293" s="3">
        <v>0</v>
      </c>
      <c r="M293" s="3">
        <v>0</v>
      </c>
      <c r="N293">
        <v>0</v>
      </c>
      <c r="O293">
        <v>0</v>
      </c>
      <c r="P293">
        <v>0</v>
      </c>
      <c r="Q293">
        <v>0</v>
      </c>
      <c r="R293" s="3">
        <v>0</v>
      </c>
      <c r="S293" s="3">
        <v>0</v>
      </c>
      <c r="T293">
        <v>0</v>
      </c>
      <c r="U293">
        <v>0</v>
      </c>
      <c r="V293" s="3">
        <v>0</v>
      </c>
      <c r="W293" s="3">
        <v>0</v>
      </c>
      <c r="X293">
        <v>0</v>
      </c>
      <c r="Y293" t="s">
        <v>254</v>
      </c>
    </row>
    <row r="294" spans="1:25" hidden="1" x14ac:dyDescent="0.25">
      <c r="A294" s="1" t="s">
        <v>31</v>
      </c>
      <c r="B294" s="1" t="s">
        <v>104</v>
      </c>
      <c r="C294" s="1" t="s">
        <v>32</v>
      </c>
      <c r="D294" t="s">
        <v>27</v>
      </c>
      <c r="E294" s="2">
        <v>45820</v>
      </c>
      <c r="F294" s="2">
        <v>45820</v>
      </c>
      <c r="G294" s="3">
        <v>91</v>
      </c>
      <c r="H294" s="4" t="s">
        <v>28</v>
      </c>
      <c r="I294" s="4">
        <f>73+4</f>
        <v>77</v>
      </c>
      <c r="J294">
        <v>0</v>
      </c>
      <c r="K294">
        <v>0</v>
      </c>
      <c r="L294" s="3">
        <v>0</v>
      </c>
      <c r="M294" s="3">
        <v>0</v>
      </c>
      <c r="N294">
        <v>0</v>
      </c>
      <c r="O294">
        <v>0</v>
      </c>
      <c r="P294">
        <v>0</v>
      </c>
      <c r="Q294">
        <v>50</v>
      </c>
      <c r="R294" s="3">
        <v>0</v>
      </c>
      <c r="S294" s="3">
        <v>0</v>
      </c>
      <c r="T294">
        <v>0</v>
      </c>
      <c r="U294">
        <v>0</v>
      </c>
      <c r="V294" s="3">
        <v>0</v>
      </c>
      <c r="W294" s="3">
        <v>0</v>
      </c>
      <c r="X294">
        <v>0</v>
      </c>
      <c r="Y294" t="s">
        <v>255</v>
      </c>
    </row>
    <row r="295" spans="1:25" hidden="1" x14ac:dyDescent="0.25">
      <c r="A295" s="1" t="s">
        <v>33</v>
      </c>
      <c r="B295" s="1" t="s">
        <v>106</v>
      </c>
      <c r="C295" s="1" t="s">
        <v>57</v>
      </c>
      <c r="D295" t="s">
        <v>27</v>
      </c>
      <c r="E295" s="2">
        <v>45820</v>
      </c>
      <c r="F295" s="2">
        <v>45820</v>
      </c>
      <c r="G295" s="3">
        <v>25</v>
      </c>
      <c r="H295" s="4" t="s">
        <v>28</v>
      </c>
      <c r="I295" s="4">
        <v>34</v>
      </c>
      <c r="J295">
        <v>0</v>
      </c>
      <c r="K295">
        <v>0</v>
      </c>
      <c r="L295" s="3">
        <v>0</v>
      </c>
      <c r="M295" s="3">
        <v>0</v>
      </c>
      <c r="N295">
        <v>0</v>
      </c>
      <c r="O295">
        <v>0</v>
      </c>
      <c r="P295">
        <v>0</v>
      </c>
      <c r="Q295">
        <v>0</v>
      </c>
      <c r="R295" s="3">
        <v>0</v>
      </c>
      <c r="S295" s="3">
        <v>0</v>
      </c>
      <c r="T295">
        <v>0</v>
      </c>
      <c r="U295">
        <v>0</v>
      </c>
      <c r="V295" s="3">
        <v>0</v>
      </c>
      <c r="W295" s="3">
        <v>0</v>
      </c>
      <c r="X295">
        <v>0</v>
      </c>
      <c r="Y295" t="s">
        <v>256</v>
      </c>
    </row>
    <row r="296" spans="1:25" hidden="1" x14ac:dyDescent="0.25">
      <c r="A296" s="1" t="s">
        <v>34</v>
      </c>
      <c r="B296" s="1" t="s">
        <v>247</v>
      </c>
      <c r="C296" s="1" t="s">
        <v>44</v>
      </c>
      <c r="D296" t="s">
        <v>27</v>
      </c>
      <c r="E296" s="2">
        <v>45820</v>
      </c>
      <c r="F296" s="2">
        <v>45820</v>
      </c>
      <c r="G296" s="3">
        <v>21</v>
      </c>
      <c r="H296" s="4" t="s">
        <v>28</v>
      </c>
      <c r="I296" s="4">
        <v>56</v>
      </c>
      <c r="J296">
        <v>0</v>
      </c>
      <c r="K296">
        <v>0</v>
      </c>
      <c r="L296" s="3">
        <v>1</v>
      </c>
      <c r="M296" s="3">
        <v>0</v>
      </c>
      <c r="N296">
        <v>0</v>
      </c>
      <c r="O296">
        <v>0</v>
      </c>
      <c r="P296">
        <v>0</v>
      </c>
      <c r="Q296">
        <v>0</v>
      </c>
      <c r="R296" s="3">
        <v>0</v>
      </c>
      <c r="S296" s="3">
        <v>0</v>
      </c>
      <c r="T296">
        <v>0</v>
      </c>
      <c r="U296">
        <v>0</v>
      </c>
      <c r="V296" s="3">
        <v>0</v>
      </c>
      <c r="W296" s="3">
        <v>0</v>
      </c>
      <c r="X296">
        <v>0</v>
      </c>
      <c r="Y296" t="s">
        <v>257</v>
      </c>
    </row>
    <row r="297" spans="1:25" hidden="1" x14ac:dyDescent="0.25">
      <c r="A297" s="1" t="s">
        <v>38</v>
      </c>
      <c r="B297" s="1" t="s">
        <v>108</v>
      </c>
      <c r="C297" s="1" t="s">
        <v>39</v>
      </c>
      <c r="D297" t="s">
        <v>27</v>
      </c>
      <c r="E297" s="2">
        <v>45820</v>
      </c>
      <c r="F297" s="2">
        <v>45820</v>
      </c>
      <c r="G297" s="3">
        <v>124</v>
      </c>
      <c r="H297" s="4" t="s">
        <v>28</v>
      </c>
      <c r="I297">
        <v>28</v>
      </c>
      <c r="J297">
        <v>0</v>
      </c>
      <c r="K297">
        <v>0</v>
      </c>
      <c r="L297" s="3">
        <v>0</v>
      </c>
      <c r="M297" s="3">
        <v>0</v>
      </c>
      <c r="N297">
        <v>0</v>
      </c>
      <c r="O297">
        <v>0</v>
      </c>
      <c r="P297">
        <v>0</v>
      </c>
      <c r="Q297">
        <v>28</v>
      </c>
      <c r="R297" s="3">
        <v>0</v>
      </c>
      <c r="S297" s="3">
        <v>0</v>
      </c>
      <c r="T297">
        <v>0</v>
      </c>
      <c r="U297">
        <v>0</v>
      </c>
      <c r="V297" s="3">
        <v>0</v>
      </c>
      <c r="W297" s="3">
        <v>0</v>
      </c>
      <c r="X297">
        <v>0</v>
      </c>
      <c r="Y297" t="s">
        <v>258</v>
      </c>
    </row>
    <row r="298" spans="1:25" hidden="1" x14ac:dyDescent="0.25">
      <c r="A298" s="1" t="s">
        <v>40</v>
      </c>
      <c r="B298" s="1" t="s">
        <v>110</v>
      </c>
      <c r="C298" s="1" t="s">
        <v>36</v>
      </c>
      <c r="D298" t="s">
        <v>27</v>
      </c>
      <c r="E298" s="2">
        <v>45820</v>
      </c>
      <c r="F298" s="2">
        <v>45820</v>
      </c>
      <c r="G298" s="3">
        <v>36</v>
      </c>
      <c r="H298" s="4" t="s">
        <v>28</v>
      </c>
      <c r="I298" s="4">
        <f>10+11</f>
        <v>21</v>
      </c>
      <c r="J298">
        <v>0</v>
      </c>
      <c r="K298">
        <v>0</v>
      </c>
      <c r="L298" s="3">
        <v>0</v>
      </c>
      <c r="M298" s="3">
        <v>0</v>
      </c>
      <c r="N298">
        <v>1</v>
      </c>
      <c r="O298">
        <v>0</v>
      </c>
      <c r="P298">
        <v>0</v>
      </c>
      <c r="Q298">
        <v>0</v>
      </c>
      <c r="R298" s="3">
        <v>0</v>
      </c>
      <c r="S298" s="3">
        <v>0</v>
      </c>
      <c r="T298">
        <v>0</v>
      </c>
      <c r="U298">
        <v>0</v>
      </c>
      <c r="V298" s="3">
        <v>0</v>
      </c>
      <c r="W298" s="3">
        <v>0</v>
      </c>
      <c r="X298">
        <v>0</v>
      </c>
      <c r="Y298" t="s">
        <v>259</v>
      </c>
    </row>
    <row r="299" spans="1:25" hidden="1" x14ac:dyDescent="0.25">
      <c r="A299" s="1" t="s">
        <v>41</v>
      </c>
      <c r="B299" s="1" t="s">
        <v>112</v>
      </c>
      <c r="C299" s="1" t="s">
        <v>42</v>
      </c>
      <c r="D299" t="s">
        <v>27</v>
      </c>
      <c r="E299" s="2">
        <v>45820</v>
      </c>
      <c r="F299" s="2">
        <v>45820</v>
      </c>
      <c r="G299" s="3">
        <v>51</v>
      </c>
      <c r="H299" s="4" t="s">
        <v>28</v>
      </c>
      <c r="I299" s="4">
        <f>33+2</f>
        <v>35</v>
      </c>
      <c r="J299">
        <v>0</v>
      </c>
      <c r="K299">
        <v>0</v>
      </c>
      <c r="L299" s="3">
        <v>1</v>
      </c>
      <c r="M299" s="3">
        <v>0</v>
      </c>
      <c r="N299">
        <v>0</v>
      </c>
      <c r="O299">
        <v>0</v>
      </c>
      <c r="P299">
        <v>0</v>
      </c>
      <c r="Q299">
        <v>0</v>
      </c>
      <c r="R299" s="3">
        <v>0</v>
      </c>
      <c r="S299" s="3">
        <v>0</v>
      </c>
      <c r="T299">
        <v>0</v>
      </c>
      <c r="U299">
        <v>0</v>
      </c>
      <c r="V299" s="3">
        <v>0</v>
      </c>
      <c r="W299" s="3">
        <v>0</v>
      </c>
      <c r="X299">
        <v>0</v>
      </c>
      <c r="Y299" t="s">
        <v>260</v>
      </c>
    </row>
    <row r="300" spans="1:25" hidden="1" x14ac:dyDescent="0.25">
      <c r="A300" s="1" t="s">
        <v>45</v>
      </c>
      <c r="B300" s="1" t="s">
        <v>116</v>
      </c>
      <c r="C300" s="1" t="s">
        <v>46</v>
      </c>
      <c r="D300" t="s">
        <v>27</v>
      </c>
      <c r="E300" s="2">
        <v>45820</v>
      </c>
      <c r="F300" s="2">
        <v>45820</v>
      </c>
      <c r="G300" s="3">
        <v>44</v>
      </c>
      <c r="H300" s="4" t="s">
        <v>28</v>
      </c>
      <c r="I300" s="4">
        <f>18+4</f>
        <v>22</v>
      </c>
      <c r="J300">
        <v>0</v>
      </c>
      <c r="K300">
        <v>0</v>
      </c>
      <c r="L300" s="3">
        <v>0</v>
      </c>
      <c r="M300" s="3">
        <v>0</v>
      </c>
      <c r="N300">
        <v>0</v>
      </c>
      <c r="O300">
        <v>0</v>
      </c>
      <c r="P300">
        <v>0</v>
      </c>
      <c r="Q300">
        <v>0</v>
      </c>
      <c r="R300" s="3">
        <v>0</v>
      </c>
      <c r="S300" s="3">
        <v>0</v>
      </c>
      <c r="T300">
        <v>0</v>
      </c>
      <c r="U300">
        <v>0</v>
      </c>
      <c r="V300" s="3">
        <v>0</v>
      </c>
      <c r="W300" s="3">
        <v>0</v>
      </c>
      <c r="X300">
        <v>0</v>
      </c>
      <c r="Y300" t="s">
        <v>261</v>
      </c>
    </row>
    <row r="301" spans="1:25" hidden="1" x14ac:dyDescent="0.25">
      <c r="A301" s="1" t="s">
        <v>47</v>
      </c>
      <c r="B301" s="1" t="s">
        <v>137</v>
      </c>
      <c r="C301" s="1" t="s">
        <v>48</v>
      </c>
      <c r="D301" t="s">
        <v>27</v>
      </c>
      <c r="E301" s="2">
        <v>45820</v>
      </c>
      <c r="F301" s="2">
        <v>45820</v>
      </c>
      <c r="G301" s="3">
        <v>218</v>
      </c>
      <c r="H301" s="4" t="s">
        <v>28</v>
      </c>
      <c r="I301" s="4">
        <v>52</v>
      </c>
      <c r="J301">
        <v>0</v>
      </c>
      <c r="K301">
        <v>0</v>
      </c>
      <c r="L301" s="3">
        <v>0</v>
      </c>
      <c r="M301" s="3">
        <v>0</v>
      </c>
      <c r="N301">
        <v>0</v>
      </c>
      <c r="O301">
        <v>0</v>
      </c>
      <c r="P301">
        <v>0</v>
      </c>
      <c r="Q301">
        <v>0</v>
      </c>
      <c r="R301" s="3">
        <v>0</v>
      </c>
      <c r="S301" s="3">
        <v>0</v>
      </c>
      <c r="T301">
        <v>0</v>
      </c>
      <c r="U301">
        <v>0</v>
      </c>
      <c r="V301" s="3">
        <v>0</v>
      </c>
      <c r="W301" s="3">
        <v>0</v>
      </c>
      <c r="X301">
        <v>0</v>
      </c>
      <c r="Y301" t="s">
        <v>262</v>
      </c>
    </row>
    <row r="302" spans="1:25" hidden="1" x14ac:dyDescent="0.25">
      <c r="A302" s="1" t="s">
        <v>49</v>
      </c>
      <c r="B302" s="1" t="s">
        <v>118</v>
      </c>
      <c r="C302" s="1" t="s">
        <v>50</v>
      </c>
      <c r="D302" s="1" t="s">
        <v>27</v>
      </c>
      <c r="E302" s="2">
        <v>45820</v>
      </c>
      <c r="F302" s="2">
        <v>45820</v>
      </c>
      <c r="G302" s="3">
        <v>29</v>
      </c>
      <c r="H302" s="4" t="s">
        <v>28</v>
      </c>
      <c r="I302">
        <v>10</v>
      </c>
      <c r="J302">
        <v>0</v>
      </c>
      <c r="K302">
        <v>0</v>
      </c>
      <c r="L302" s="3">
        <v>1</v>
      </c>
      <c r="M302" s="3">
        <v>1</v>
      </c>
      <c r="N302">
        <v>0</v>
      </c>
      <c r="O302">
        <v>0</v>
      </c>
      <c r="P302">
        <v>0</v>
      </c>
      <c r="Q302">
        <v>50</v>
      </c>
      <c r="R302" s="3">
        <v>0</v>
      </c>
      <c r="S302" s="3">
        <v>0</v>
      </c>
      <c r="T302">
        <v>0</v>
      </c>
      <c r="U302">
        <v>0</v>
      </c>
      <c r="V302" s="3">
        <v>0</v>
      </c>
      <c r="W302" s="3">
        <v>0</v>
      </c>
      <c r="X302">
        <v>0</v>
      </c>
      <c r="Y302" t="s">
        <v>466</v>
      </c>
    </row>
    <row r="303" spans="1:25" hidden="1" x14ac:dyDescent="0.25">
      <c r="A303" s="1" t="s">
        <v>54</v>
      </c>
      <c r="B303" s="1" t="s">
        <v>122</v>
      </c>
      <c r="C303" s="1" t="s">
        <v>52</v>
      </c>
      <c r="D303" t="s">
        <v>27</v>
      </c>
      <c r="E303" s="2">
        <v>45820</v>
      </c>
      <c r="F303" s="2">
        <v>45820</v>
      </c>
      <c r="G303" s="3">
        <v>42</v>
      </c>
      <c r="H303" s="4" t="s">
        <v>28</v>
      </c>
      <c r="I303" s="4">
        <f>28+2</f>
        <v>30</v>
      </c>
      <c r="J303">
        <v>0</v>
      </c>
      <c r="K303">
        <v>0</v>
      </c>
      <c r="L303" s="3">
        <v>0</v>
      </c>
      <c r="M303" s="3">
        <v>0</v>
      </c>
      <c r="N303">
        <v>0</v>
      </c>
      <c r="O303">
        <v>0</v>
      </c>
      <c r="P303">
        <v>0</v>
      </c>
      <c r="Q303">
        <v>0</v>
      </c>
      <c r="R303" s="3">
        <v>0</v>
      </c>
      <c r="S303" s="3">
        <v>0</v>
      </c>
      <c r="T303">
        <v>0</v>
      </c>
      <c r="U303">
        <v>0</v>
      </c>
      <c r="V303" s="3">
        <v>0</v>
      </c>
      <c r="W303" s="3">
        <v>0</v>
      </c>
      <c r="X303">
        <v>0</v>
      </c>
      <c r="Y303" t="s">
        <v>263</v>
      </c>
    </row>
    <row r="304" spans="1:25" hidden="1" x14ac:dyDescent="0.25">
      <c r="A304" s="1" t="s">
        <v>53</v>
      </c>
      <c r="B304" s="1" t="s">
        <v>142</v>
      </c>
      <c r="C304" s="1" t="s">
        <v>39</v>
      </c>
      <c r="D304" t="s">
        <v>27</v>
      </c>
      <c r="E304" s="2">
        <v>45820</v>
      </c>
      <c r="F304" s="2">
        <v>45820</v>
      </c>
      <c r="G304" s="3">
        <v>197</v>
      </c>
      <c r="H304" s="4" t="s">
        <v>28</v>
      </c>
      <c r="I304">
        <v>22</v>
      </c>
      <c r="J304">
        <v>0</v>
      </c>
      <c r="K304">
        <v>0</v>
      </c>
      <c r="L304" s="3">
        <v>1</v>
      </c>
      <c r="M304" s="3">
        <v>0</v>
      </c>
      <c r="N304">
        <v>0</v>
      </c>
      <c r="O304">
        <v>0</v>
      </c>
      <c r="P304">
        <v>0</v>
      </c>
      <c r="Q304">
        <v>22</v>
      </c>
      <c r="R304" s="3">
        <v>0</v>
      </c>
      <c r="S304" s="3">
        <v>0</v>
      </c>
      <c r="T304">
        <v>0</v>
      </c>
      <c r="U304">
        <v>0</v>
      </c>
      <c r="V304" s="3">
        <v>0</v>
      </c>
      <c r="W304" s="3">
        <v>0</v>
      </c>
      <c r="X304">
        <v>0</v>
      </c>
      <c r="Y304" t="s">
        <v>264</v>
      </c>
    </row>
    <row r="305" spans="1:25" hidden="1" x14ac:dyDescent="0.25">
      <c r="A305" s="1" t="s">
        <v>58</v>
      </c>
      <c r="B305" s="1" t="s">
        <v>144</v>
      </c>
      <c r="C305" s="1" t="s">
        <v>55</v>
      </c>
      <c r="D305" t="s">
        <v>27</v>
      </c>
      <c r="E305" s="2">
        <v>45820</v>
      </c>
      <c r="F305" s="2">
        <v>45820</v>
      </c>
      <c r="G305" s="3">
        <v>79</v>
      </c>
      <c r="H305" s="4" t="s">
        <v>28</v>
      </c>
      <c r="I305" s="4">
        <v>23</v>
      </c>
      <c r="J305">
        <v>0</v>
      </c>
      <c r="K305">
        <v>0</v>
      </c>
      <c r="L305" s="3">
        <v>0</v>
      </c>
      <c r="M305" s="3">
        <v>0</v>
      </c>
      <c r="N305">
        <v>1</v>
      </c>
      <c r="O305">
        <v>0</v>
      </c>
      <c r="P305">
        <v>0</v>
      </c>
      <c r="Q305">
        <v>0</v>
      </c>
      <c r="R305" s="3">
        <v>0</v>
      </c>
      <c r="S305" s="3">
        <v>0</v>
      </c>
      <c r="T305">
        <v>0</v>
      </c>
      <c r="U305">
        <v>0</v>
      </c>
      <c r="V305" s="3">
        <v>0</v>
      </c>
      <c r="W305" s="3">
        <v>0</v>
      </c>
      <c r="X305">
        <v>0</v>
      </c>
      <c r="Y305" t="s">
        <v>265</v>
      </c>
    </row>
    <row r="306" spans="1:25" hidden="1" x14ac:dyDescent="0.25">
      <c r="A306" s="1" t="s">
        <v>51</v>
      </c>
      <c r="B306" s="1" t="s">
        <v>106</v>
      </c>
      <c r="C306" s="1" t="s">
        <v>27</v>
      </c>
      <c r="D306" t="s">
        <v>27</v>
      </c>
      <c r="E306" s="2">
        <v>45820</v>
      </c>
      <c r="F306" s="2">
        <v>45820</v>
      </c>
      <c r="G306" s="3">
        <v>80</v>
      </c>
      <c r="H306" s="4" t="s">
        <v>28</v>
      </c>
      <c r="I306" s="4">
        <v>25</v>
      </c>
      <c r="J306">
        <v>0</v>
      </c>
      <c r="K306">
        <v>0</v>
      </c>
      <c r="L306" s="3">
        <v>0</v>
      </c>
      <c r="M306" s="3">
        <v>0</v>
      </c>
      <c r="N306">
        <v>0</v>
      </c>
      <c r="O306">
        <v>0</v>
      </c>
      <c r="P306">
        <v>0</v>
      </c>
      <c r="Q306">
        <v>0</v>
      </c>
      <c r="R306" s="3">
        <v>0</v>
      </c>
      <c r="S306" s="3">
        <v>0</v>
      </c>
      <c r="T306">
        <v>0</v>
      </c>
      <c r="U306">
        <v>0</v>
      </c>
      <c r="V306" s="3">
        <v>0</v>
      </c>
      <c r="W306" s="3">
        <v>0</v>
      </c>
      <c r="X306">
        <v>0</v>
      </c>
      <c r="Y306" t="s">
        <v>265</v>
      </c>
    </row>
    <row r="307" spans="1:25" hidden="1" x14ac:dyDescent="0.25">
      <c r="A307" s="1" t="s">
        <v>94</v>
      </c>
      <c r="B307" s="1" t="s">
        <v>182</v>
      </c>
      <c r="C307" s="1" t="s">
        <v>354</v>
      </c>
      <c r="D307" t="s">
        <v>27</v>
      </c>
      <c r="E307" s="2">
        <v>45820</v>
      </c>
      <c r="F307" s="2">
        <v>45820</v>
      </c>
      <c r="G307" s="3">
        <v>81</v>
      </c>
      <c r="H307" s="4" t="s">
        <v>250</v>
      </c>
      <c r="I307" s="4">
        <v>0</v>
      </c>
      <c r="J307">
        <v>0</v>
      </c>
      <c r="K307">
        <v>0</v>
      </c>
      <c r="L307" s="3">
        <v>0</v>
      </c>
      <c r="M307" s="3">
        <v>0</v>
      </c>
      <c r="N307">
        <v>0</v>
      </c>
      <c r="O307">
        <v>0</v>
      </c>
      <c r="P307">
        <v>0</v>
      </c>
      <c r="Q307">
        <v>0</v>
      </c>
      <c r="R307" s="3">
        <v>0</v>
      </c>
      <c r="S307" s="3">
        <v>0</v>
      </c>
      <c r="T307">
        <v>0</v>
      </c>
      <c r="U307">
        <v>0</v>
      </c>
      <c r="V307" s="3">
        <v>0</v>
      </c>
      <c r="W307" s="3">
        <v>0</v>
      </c>
      <c r="X307">
        <v>0</v>
      </c>
      <c r="Y307" t="s">
        <v>265</v>
      </c>
    </row>
    <row r="308" spans="1:25" hidden="1" x14ac:dyDescent="0.25">
      <c r="A308" t="s">
        <v>25</v>
      </c>
      <c r="B308" t="s">
        <v>96</v>
      </c>
      <c r="C308" t="s">
        <v>26</v>
      </c>
      <c r="D308" t="s">
        <v>27</v>
      </c>
      <c r="E308" s="2">
        <v>45821</v>
      </c>
      <c r="F308" s="2">
        <v>45821</v>
      </c>
      <c r="G308" s="3">
        <v>51</v>
      </c>
      <c r="H308" s="4" t="s">
        <v>28</v>
      </c>
      <c r="I308" s="4">
        <f>44+13</f>
        <v>57</v>
      </c>
      <c r="J308">
        <v>0</v>
      </c>
      <c r="K308">
        <v>0</v>
      </c>
      <c r="L308" s="3">
        <v>0</v>
      </c>
      <c r="M308" s="3">
        <v>0</v>
      </c>
      <c r="N308">
        <v>1</v>
      </c>
      <c r="O308">
        <v>0</v>
      </c>
      <c r="P308">
        <v>0</v>
      </c>
      <c r="Q308">
        <v>0</v>
      </c>
      <c r="R308" s="3">
        <v>0</v>
      </c>
      <c r="S308" s="3">
        <v>0</v>
      </c>
      <c r="T308">
        <v>0</v>
      </c>
      <c r="U308">
        <v>0</v>
      </c>
      <c r="V308" s="3">
        <v>0</v>
      </c>
      <c r="W308" s="3">
        <v>0</v>
      </c>
      <c r="X308">
        <v>0</v>
      </c>
      <c r="Y308" t="s">
        <v>266</v>
      </c>
    </row>
    <row r="309" spans="1:25" hidden="1" x14ac:dyDescent="0.25">
      <c r="A309" s="1" t="s">
        <v>56</v>
      </c>
      <c r="B309" t="s">
        <v>98</v>
      </c>
      <c r="C309" t="s">
        <v>37</v>
      </c>
      <c r="D309" t="s">
        <v>27</v>
      </c>
      <c r="E309" s="2">
        <v>45821</v>
      </c>
      <c r="F309" s="2">
        <v>45821</v>
      </c>
      <c r="G309" s="3">
        <v>26</v>
      </c>
      <c r="H309" s="4" t="s">
        <v>28</v>
      </c>
      <c r="I309" s="4">
        <v>98</v>
      </c>
      <c r="J309">
        <v>0</v>
      </c>
      <c r="K309">
        <v>0</v>
      </c>
      <c r="L309" s="3">
        <v>1</v>
      </c>
      <c r="M309" s="3">
        <v>0</v>
      </c>
      <c r="N309">
        <v>0</v>
      </c>
      <c r="O309">
        <v>0</v>
      </c>
      <c r="P309">
        <v>0</v>
      </c>
      <c r="Q309">
        <v>0</v>
      </c>
      <c r="R309" s="3">
        <v>0</v>
      </c>
      <c r="S309" s="3">
        <v>0</v>
      </c>
      <c r="T309">
        <v>0</v>
      </c>
      <c r="U309">
        <v>0</v>
      </c>
      <c r="V309" s="3">
        <v>0</v>
      </c>
      <c r="W309" s="3">
        <v>0</v>
      </c>
      <c r="X309">
        <v>0</v>
      </c>
      <c r="Y309" t="s">
        <v>267</v>
      </c>
    </row>
    <row r="310" spans="1:25" hidden="1" x14ac:dyDescent="0.25">
      <c r="A310" t="s">
        <v>29</v>
      </c>
      <c r="B310" t="s">
        <v>100</v>
      </c>
      <c r="C310" t="s">
        <v>245</v>
      </c>
      <c r="D310" t="s">
        <v>27</v>
      </c>
      <c r="E310" s="2">
        <v>45821</v>
      </c>
      <c r="F310" s="2">
        <v>45821</v>
      </c>
      <c r="G310" s="3">
        <v>71</v>
      </c>
      <c r="H310" s="4" t="s">
        <v>28</v>
      </c>
      <c r="I310" s="4">
        <v>73</v>
      </c>
      <c r="J310">
        <v>0</v>
      </c>
      <c r="K310">
        <v>0</v>
      </c>
      <c r="L310" s="3">
        <v>1</v>
      </c>
      <c r="M310" s="3">
        <v>0</v>
      </c>
      <c r="N310">
        <v>0</v>
      </c>
      <c r="O310">
        <v>0</v>
      </c>
      <c r="P310">
        <v>0</v>
      </c>
      <c r="Q310">
        <v>0</v>
      </c>
      <c r="R310" s="3">
        <v>0</v>
      </c>
      <c r="S310" s="3">
        <v>0</v>
      </c>
      <c r="T310">
        <v>0</v>
      </c>
      <c r="U310">
        <v>0</v>
      </c>
      <c r="V310" s="3">
        <v>0</v>
      </c>
      <c r="W310" s="3">
        <v>0</v>
      </c>
      <c r="X310">
        <v>0</v>
      </c>
      <c r="Y310" t="s">
        <v>268</v>
      </c>
    </row>
    <row r="311" spans="1:25" hidden="1" x14ac:dyDescent="0.25">
      <c r="A311" s="1" t="s">
        <v>344</v>
      </c>
      <c r="B311" t="s">
        <v>100</v>
      </c>
      <c r="C311" t="s">
        <v>35</v>
      </c>
      <c r="D311" t="s">
        <v>27</v>
      </c>
      <c r="E311" s="2">
        <v>45821</v>
      </c>
      <c r="F311" s="2">
        <v>45821</v>
      </c>
      <c r="G311" s="3">
        <v>71</v>
      </c>
      <c r="H311" s="4" t="s">
        <v>28</v>
      </c>
      <c r="I311" s="4">
        <v>61</v>
      </c>
      <c r="J311">
        <v>0</v>
      </c>
      <c r="K311">
        <v>0</v>
      </c>
      <c r="L311" s="3">
        <v>0</v>
      </c>
      <c r="M311" s="3">
        <v>0</v>
      </c>
      <c r="N311">
        <v>0</v>
      </c>
      <c r="O311">
        <v>0</v>
      </c>
      <c r="P311">
        <v>0</v>
      </c>
      <c r="Q311">
        <v>0</v>
      </c>
      <c r="R311" s="3">
        <v>0</v>
      </c>
      <c r="S311" s="3">
        <v>0</v>
      </c>
      <c r="T311">
        <v>0</v>
      </c>
      <c r="U311">
        <v>0</v>
      </c>
      <c r="V311" s="3">
        <v>0</v>
      </c>
      <c r="W311" s="3">
        <v>0</v>
      </c>
      <c r="X311">
        <v>0</v>
      </c>
      <c r="Y311" t="s">
        <v>268</v>
      </c>
    </row>
    <row r="312" spans="1:25" hidden="1" x14ac:dyDescent="0.25">
      <c r="A312" t="s">
        <v>31</v>
      </c>
      <c r="B312" t="s">
        <v>104</v>
      </c>
      <c r="C312" t="s">
        <v>32</v>
      </c>
      <c r="D312" t="s">
        <v>27</v>
      </c>
      <c r="E312" s="2">
        <v>45821</v>
      </c>
      <c r="F312" s="2">
        <v>45821</v>
      </c>
      <c r="G312" s="3">
        <v>40</v>
      </c>
      <c r="H312" s="4" t="s">
        <v>28</v>
      </c>
      <c r="I312" s="4">
        <v>92</v>
      </c>
      <c r="J312">
        <v>0</v>
      </c>
      <c r="K312">
        <v>0</v>
      </c>
      <c r="L312" s="3">
        <v>0</v>
      </c>
      <c r="M312" s="3">
        <v>0</v>
      </c>
      <c r="N312">
        <v>0</v>
      </c>
      <c r="O312">
        <v>0</v>
      </c>
      <c r="P312">
        <v>0</v>
      </c>
      <c r="Q312">
        <v>50</v>
      </c>
      <c r="R312" s="3">
        <v>0</v>
      </c>
      <c r="S312" s="3">
        <v>0</v>
      </c>
      <c r="T312">
        <v>0</v>
      </c>
      <c r="U312">
        <v>0</v>
      </c>
      <c r="V312" s="3">
        <v>0</v>
      </c>
      <c r="W312" s="3">
        <v>0</v>
      </c>
      <c r="X312">
        <v>0</v>
      </c>
      <c r="Y312" t="s">
        <v>269</v>
      </c>
    </row>
    <row r="313" spans="1:25" hidden="1" x14ac:dyDescent="0.25">
      <c r="A313" s="1" t="s">
        <v>33</v>
      </c>
      <c r="B313" t="s">
        <v>106</v>
      </c>
      <c r="C313" t="s">
        <v>57</v>
      </c>
      <c r="D313" t="s">
        <v>27</v>
      </c>
      <c r="E313" s="2">
        <v>45821</v>
      </c>
      <c r="F313" s="2">
        <v>45821</v>
      </c>
      <c r="G313" s="3">
        <v>26</v>
      </c>
      <c r="H313" s="4" t="s">
        <v>28</v>
      </c>
      <c r="I313" s="4">
        <f>40+2</f>
        <v>42</v>
      </c>
      <c r="J313">
        <v>0</v>
      </c>
      <c r="K313">
        <v>0</v>
      </c>
      <c r="L313" s="3">
        <v>0</v>
      </c>
      <c r="M313" s="3">
        <v>0</v>
      </c>
      <c r="N313">
        <v>0</v>
      </c>
      <c r="O313">
        <v>0</v>
      </c>
      <c r="P313">
        <v>0</v>
      </c>
      <c r="Q313">
        <v>0</v>
      </c>
      <c r="R313" s="3">
        <v>0</v>
      </c>
      <c r="S313" s="3">
        <v>0</v>
      </c>
      <c r="T313">
        <v>0</v>
      </c>
      <c r="U313">
        <v>0</v>
      </c>
      <c r="V313" s="3">
        <v>0</v>
      </c>
      <c r="W313" s="3">
        <v>0</v>
      </c>
      <c r="X313">
        <v>0</v>
      </c>
      <c r="Y313" t="s">
        <v>270</v>
      </c>
    </row>
    <row r="314" spans="1:25" hidden="1" x14ac:dyDescent="0.25">
      <c r="A314" s="1" t="s">
        <v>34</v>
      </c>
      <c r="B314" t="s">
        <v>247</v>
      </c>
      <c r="C314" t="s">
        <v>44</v>
      </c>
      <c r="D314" t="s">
        <v>27</v>
      </c>
      <c r="E314" s="2">
        <v>45821</v>
      </c>
      <c r="F314" s="2">
        <v>45821</v>
      </c>
      <c r="G314" s="3">
        <v>21</v>
      </c>
      <c r="H314" s="4" t="s">
        <v>28</v>
      </c>
      <c r="I314" s="4">
        <v>60</v>
      </c>
      <c r="J314">
        <v>0</v>
      </c>
      <c r="K314">
        <v>0</v>
      </c>
      <c r="L314" s="3">
        <v>0</v>
      </c>
      <c r="M314" s="3">
        <v>0</v>
      </c>
      <c r="N314">
        <v>0</v>
      </c>
      <c r="O314">
        <v>0</v>
      </c>
      <c r="P314">
        <v>0</v>
      </c>
      <c r="Q314">
        <v>0</v>
      </c>
      <c r="R314" s="3">
        <v>0</v>
      </c>
      <c r="S314" s="3">
        <v>0</v>
      </c>
      <c r="T314">
        <v>0</v>
      </c>
      <c r="U314">
        <v>0</v>
      </c>
      <c r="V314" s="3">
        <v>0</v>
      </c>
      <c r="W314" s="3">
        <v>0</v>
      </c>
      <c r="X314">
        <v>0</v>
      </c>
      <c r="Y314" t="s">
        <v>271</v>
      </c>
    </row>
    <row r="315" spans="1:25" hidden="1" x14ac:dyDescent="0.25">
      <c r="A315" t="s">
        <v>38</v>
      </c>
      <c r="B315" t="s">
        <v>108</v>
      </c>
      <c r="C315" t="s">
        <v>39</v>
      </c>
      <c r="D315" t="s">
        <v>27</v>
      </c>
      <c r="E315" s="2">
        <v>45821</v>
      </c>
      <c r="F315" s="2">
        <v>45821</v>
      </c>
      <c r="G315" s="3">
        <v>39</v>
      </c>
      <c r="H315" s="4" t="s">
        <v>28</v>
      </c>
      <c r="I315">
        <v>34</v>
      </c>
      <c r="J315">
        <v>0</v>
      </c>
      <c r="K315">
        <v>0</v>
      </c>
      <c r="L315" s="3">
        <v>1</v>
      </c>
      <c r="M315" s="3">
        <v>0</v>
      </c>
      <c r="N315">
        <v>0</v>
      </c>
      <c r="O315">
        <v>0</v>
      </c>
      <c r="P315">
        <v>0</v>
      </c>
      <c r="Q315">
        <v>34</v>
      </c>
      <c r="R315" s="3">
        <v>0</v>
      </c>
      <c r="S315" s="3">
        <v>0</v>
      </c>
      <c r="T315">
        <v>0</v>
      </c>
      <c r="U315">
        <v>0</v>
      </c>
      <c r="V315" s="3">
        <v>0</v>
      </c>
      <c r="W315" s="3">
        <v>0</v>
      </c>
      <c r="X315">
        <v>0</v>
      </c>
      <c r="Y315" t="s">
        <v>272</v>
      </c>
    </row>
    <row r="316" spans="1:25" hidden="1" x14ac:dyDescent="0.25">
      <c r="A316" t="s">
        <v>40</v>
      </c>
      <c r="B316" t="s">
        <v>110</v>
      </c>
      <c r="C316" t="s">
        <v>36</v>
      </c>
      <c r="D316" t="s">
        <v>27</v>
      </c>
      <c r="E316" s="2">
        <v>45821</v>
      </c>
      <c r="F316" s="2">
        <v>45821</v>
      </c>
      <c r="G316" s="3">
        <v>151</v>
      </c>
      <c r="H316" s="4" t="s">
        <v>28</v>
      </c>
      <c r="I316" s="4">
        <v>24</v>
      </c>
      <c r="J316">
        <v>0</v>
      </c>
      <c r="K316">
        <v>0</v>
      </c>
      <c r="L316" s="3">
        <v>1</v>
      </c>
      <c r="M316" s="3">
        <v>0</v>
      </c>
      <c r="N316">
        <v>1</v>
      </c>
      <c r="O316">
        <v>0</v>
      </c>
      <c r="P316">
        <v>0</v>
      </c>
      <c r="Q316">
        <v>0</v>
      </c>
      <c r="R316" s="3">
        <v>0</v>
      </c>
      <c r="S316" s="3">
        <v>0</v>
      </c>
      <c r="T316">
        <v>0</v>
      </c>
      <c r="U316">
        <v>0</v>
      </c>
      <c r="V316" s="3">
        <v>0</v>
      </c>
      <c r="W316" s="3">
        <v>0</v>
      </c>
      <c r="X316">
        <v>0</v>
      </c>
      <c r="Y316" t="s">
        <v>273</v>
      </c>
    </row>
    <row r="317" spans="1:25" hidden="1" x14ac:dyDescent="0.25">
      <c r="A317" t="s">
        <v>41</v>
      </c>
      <c r="B317" t="s">
        <v>112</v>
      </c>
      <c r="C317" t="s">
        <v>42</v>
      </c>
      <c r="D317" t="s">
        <v>27</v>
      </c>
      <c r="E317" s="2">
        <v>45821</v>
      </c>
      <c r="F317" s="2">
        <v>45821</v>
      </c>
      <c r="G317" s="3">
        <v>31</v>
      </c>
      <c r="H317" s="4" t="s">
        <v>28</v>
      </c>
      <c r="I317" s="4">
        <f>33+7</f>
        <v>40</v>
      </c>
      <c r="J317">
        <v>0</v>
      </c>
      <c r="K317">
        <v>0</v>
      </c>
      <c r="L317" s="3">
        <v>1</v>
      </c>
      <c r="M317" s="3">
        <v>0</v>
      </c>
      <c r="N317">
        <v>0</v>
      </c>
      <c r="O317">
        <v>0</v>
      </c>
      <c r="P317">
        <v>0</v>
      </c>
      <c r="Q317">
        <v>0</v>
      </c>
      <c r="R317" s="3">
        <v>0</v>
      </c>
      <c r="S317" s="3">
        <v>0</v>
      </c>
      <c r="T317">
        <v>0</v>
      </c>
      <c r="U317">
        <v>0</v>
      </c>
      <c r="V317" s="3">
        <v>0</v>
      </c>
      <c r="W317" s="3">
        <v>0</v>
      </c>
      <c r="X317">
        <v>0</v>
      </c>
      <c r="Y317" t="s">
        <v>274</v>
      </c>
    </row>
    <row r="318" spans="1:25" hidden="1" x14ac:dyDescent="0.25">
      <c r="A318" s="1" t="s">
        <v>45</v>
      </c>
      <c r="B318" t="s">
        <v>116</v>
      </c>
      <c r="C318" t="s">
        <v>46</v>
      </c>
      <c r="D318" t="s">
        <v>27</v>
      </c>
      <c r="E318" s="2">
        <v>45821</v>
      </c>
      <c r="F318" s="2">
        <v>45821</v>
      </c>
      <c r="G318" s="3">
        <v>45</v>
      </c>
      <c r="H318" s="4" t="s">
        <v>28</v>
      </c>
      <c r="I318" s="4">
        <f>42+32</f>
        <v>74</v>
      </c>
      <c r="J318">
        <v>0</v>
      </c>
      <c r="K318">
        <v>0</v>
      </c>
      <c r="L318" s="3">
        <v>1</v>
      </c>
      <c r="M318" s="3">
        <v>0</v>
      </c>
      <c r="N318">
        <v>0</v>
      </c>
      <c r="O318">
        <v>0</v>
      </c>
      <c r="P318">
        <v>0</v>
      </c>
      <c r="Q318">
        <v>0</v>
      </c>
      <c r="R318" s="3">
        <v>0</v>
      </c>
      <c r="S318" s="3">
        <v>0</v>
      </c>
      <c r="T318">
        <v>0</v>
      </c>
      <c r="U318">
        <v>0</v>
      </c>
      <c r="V318" s="3">
        <v>0</v>
      </c>
      <c r="W318" s="3">
        <v>0</v>
      </c>
      <c r="X318">
        <v>0</v>
      </c>
      <c r="Y318" t="s">
        <v>275</v>
      </c>
    </row>
    <row r="319" spans="1:25" hidden="1" x14ac:dyDescent="0.25">
      <c r="A319" t="s">
        <v>47</v>
      </c>
      <c r="B319" t="s">
        <v>137</v>
      </c>
      <c r="C319" t="s">
        <v>48</v>
      </c>
      <c r="D319" t="s">
        <v>27</v>
      </c>
      <c r="E319" s="2">
        <v>45821</v>
      </c>
      <c r="F319" s="2">
        <v>45821</v>
      </c>
      <c r="G319" s="5">
        <v>4971</v>
      </c>
      <c r="H319" s="4" t="s">
        <v>28</v>
      </c>
      <c r="I319" s="4">
        <v>54</v>
      </c>
      <c r="J319">
        <v>0</v>
      </c>
      <c r="K319">
        <v>0</v>
      </c>
      <c r="L319" s="3">
        <v>0</v>
      </c>
      <c r="M319" s="3">
        <v>0</v>
      </c>
      <c r="N319">
        <v>0</v>
      </c>
      <c r="O319">
        <v>0</v>
      </c>
      <c r="P319">
        <v>0</v>
      </c>
      <c r="Q319">
        <v>0</v>
      </c>
      <c r="R319" s="3">
        <v>0</v>
      </c>
      <c r="S319" s="3">
        <v>0</v>
      </c>
      <c r="T319">
        <v>0</v>
      </c>
      <c r="U319">
        <v>0</v>
      </c>
      <c r="V319" s="3">
        <v>0</v>
      </c>
      <c r="W319" s="3">
        <v>0</v>
      </c>
      <c r="X319">
        <v>0</v>
      </c>
      <c r="Y319" t="s">
        <v>276</v>
      </c>
    </row>
    <row r="320" spans="1:25" hidden="1" x14ac:dyDescent="0.25">
      <c r="A320" t="s">
        <v>49</v>
      </c>
      <c r="B320" t="s">
        <v>118</v>
      </c>
      <c r="C320" t="s">
        <v>50</v>
      </c>
      <c r="D320" t="s">
        <v>27</v>
      </c>
      <c r="E320" s="2">
        <v>45821</v>
      </c>
      <c r="F320" s="2">
        <v>45821</v>
      </c>
      <c r="G320" s="3">
        <v>26</v>
      </c>
      <c r="H320" s="4" t="s">
        <v>28</v>
      </c>
      <c r="I320" s="4">
        <f>17+17</f>
        <v>34</v>
      </c>
      <c r="J320">
        <v>0</v>
      </c>
      <c r="K320">
        <v>0</v>
      </c>
      <c r="L320" s="3">
        <v>1</v>
      </c>
      <c r="M320" s="3">
        <v>1</v>
      </c>
      <c r="N320">
        <v>0</v>
      </c>
      <c r="O320">
        <v>0</v>
      </c>
      <c r="P320">
        <v>0</v>
      </c>
      <c r="Q320">
        <v>48</v>
      </c>
      <c r="R320" s="3">
        <v>0</v>
      </c>
      <c r="S320" s="3">
        <v>0</v>
      </c>
      <c r="T320">
        <v>0</v>
      </c>
      <c r="U320">
        <v>0</v>
      </c>
      <c r="V320" s="3">
        <v>0</v>
      </c>
      <c r="W320" s="3">
        <v>0</v>
      </c>
      <c r="X320">
        <v>0</v>
      </c>
      <c r="Y320" t="s">
        <v>277</v>
      </c>
    </row>
    <row r="321" spans="1:25" hidden="1" x14ac:dyDescent="0.25">
      <c r="A321" s="1" t="s">
        <v>54</v>
      </c>
      <c r="B321" t="s">
        <v>122</v>
      </c>
      <c r="C321" t="s">
        <v>52</v>
      </c>
      <c r="D321" t="s">
        <v>27</v>
      </c>
      <c r="E321" s="2">
        <v>45821</v>
      </c>
      <c r="F321" s="2">
        <v>45821</v>
      </c>
      <c r="G321" s="3">
        <v>49</v>
      </c>
      <c r="H321" s="4" t="s">
        <v>28</v>
      </c>
      <c r="I321" s="4">
        <v>48</v>
      </c>
      <c r="J321">
        <v>0</v>
      </c>
      <c r="K321">
        <v>0</v>
      </c>
      <c r="L321" s="3">
        <v>0</v>
      </c>
      <c r="M321" s="3">
        <v>0</v>
      </c>
      <c r="N321">
        <v>0</v>
      </c>
      <c r="O321">
        <v>0</v>
      </c>
      <c r="P321">
        <v>0</v>
      </c>
      <c r="Q321">
        <v>0</v>
      </c>
      <c r="R321" s="3">
        <v>0</v>
      </c>
      <c r="S321" s="3">
        <v>0</v>
      </c>
      <c r="T321">
        <v>0</v>
      </c>
      <c r="U321">
        <v>0</v>
      </c>
      <c r="V321" s="3">
        <v>0</v>
      </c>
      <c r="W321" s="3">
        <v>0</v>
      </c>
      <c r="X321">
        <v>0</v>
      </c>
      <c r="Y321" t="s">
        <v>278</v>
      </c>
    </row>
    <row r="322" spans="1:25" hidden="1" x14ac:dyDescent="0.25">
      <c r="A322" t="s">
        <v>53</v>
      </c>
      <c r="B322" t="s">
        <v>142</v>
      </c>
      <c r="C322" t="s">
        <v>39</v>
      </c>
      <c r="D322" t="s">
        <v>27</v>
      </c>
      <c r="E322" s="2">
        <v>45821</v>
      </c>
      <c r="F322" s="2">
        <v>45821</v>
      </c>
      <c r="G322" s="3">
        <v>54</v>
      </c>
      <c r="H322" s="4" t="s">
        <v>28</v>
      </c>
      <c r="I322">
        <v>24</v>
      </c>
      <c r="J322">
        <v>0</v>
      </c>
      <c r="K322">
        <v>0</v>
      </c>
      <c r="L322" s="3">
        <v>1</v>
      </c>
      <c r="M322" s="3">
        <v>0</v>
      </c>
      <c r="N322">
        <v>0</v>
      </c>
      <c r="O322">
        <v>0</v>
      </c>
      <c r="P322">
        <v>0</v>
      </c>
      <c r="Q322">
        <v>24</v>
      </c>
      <c r="R322" s="3">
        <v>0</v>
      </c>
      <c r="S322" s="3">
        <v>0</v>
      </c>
      <c r="T322">
        <v>0</v>
      </c>
      <c r="U322">
        <v>0</v>
      </c>
      <c r="V322" s="3">
        <v>0</v>
      </c>
      <c r="W322" s="3">
        <v>0</v>
      </c>
      <c r="X322">
        <v>0</v>
      </c>
      <c r="Y322" t="s">
        <v>279</v>
      </c>
    </row>
    <row r="323" spans="1:25" hidden="1" x14ac:dyDescent="0.25">
      <c r="A323" s="1" t="s">
        <v>58</v>
      </c>
      <c r="B323" t="s">
        <v>144</v>
      </c>
      <c r="C323" s="1" t="s">
        <v>354</v>
      </c>
      <c r="D323" t="s">
        <v>27</v>
      </c>
      <c r="E323" s="2">
        <v>45821</v>
      </c>
      <c r="F323" s="2">
        <v>45821</v>
      </c>
      <c r="G323" s="3">
        <v>36</v>
      </c>
      <c r="H323" s="4" t="s">
        <v>28</v>
      </c>
      <c r="I323" s="4">
        <f>32+23</f>
        <v>55</v>
      </c>
      <c r="J323">
        <v>0</v>
      </c>
      <c r="K323">
        <v>0</v>
      </c>
      <c r="L323" s="3">
        <v>1</v>
      </c>
      <c r="M323" s="3">
        <v>0</v>
      </c>
      <c r="N323">
        <v>0</v>
      </c>
      <c r="O323">
        <v>0</v>
      </c>
      <c r="P323">
        <v>0</v>
      </c>
      <c r="Q323">
        <v>0</v>
      </c>
      <c r="R323" s="3">
        <v>0</v>
      </c>
      <c r="S323" s="3">
        <v>0</v>
      </c>
      <c r="T323">
        <v>0</v>
      </c>
      <c r="U323">
        <v>0</v>
      </c>
      <c r="V323" s="3">
        <v>0</v>
      </c>
      <c r="W323" s="3">
        <v>0</v>
      </c>
      <c r="X323">
        <v>0</v>
      </c>
      <c r="Y323" t="s">
        <v>280</v>
      </c>
    </row>
    <row r="324" spans="1:25" hidden="1" x14ac:dyDescent="0.25">
      <c r="A324" s="1" t="s">
        <v>51</v>
      </c>
      <c r="B324" t="s">
        <v>144</v>
      </c>
      <c r="C324" s="1" t="s">
        <v>55</v>
      </c>
      <c r="D324" t="s">
        <v>27</v>
      </c>
      <c r="E324" s="2">
        <v>45821</v>
      </c>
      <c r="F324" s="2">
        <v>45821</v>
      </c>
      <c r="G324" s="3">
        <v>36</v>
      </c>
      <c r="H324" s="4" t="s">
        <v>28</v>
      </c>
      <c r="I324" s="4">
        <v>44</v>
      </c>
      <c r="J324">
        <v>0</v>
      </c>
      <c r="K324">
        <v>0</v>
      </c>
      <c r="L324" s="3">
        <v>1</v>
      </c>
      <c r="M324" s="3">
        <v>1</v>
      </c>
      <c r="N324">
        <v>0</v>
      </c>
      <c r="O324">
        <v>0</v>
      </c>
      <c r="P324">
        <v>0</v>
      </c>
      <c r="Q324">
        <v>0</v>
      </c>
      <c r="R324" s="3">
        <v>0</v>
      </c>
      <c r="S324" s="3">
        <v>0</v>
      </c>
      <c r="T324">
        <v>0</v>
      </c>
      <c r="U324">
        <v>0</v>
      </c>
      <c r="V324" s="3">
        <v>0</v>
      </c>
      <c r="W324" s="3">
        <v>0</v>
      </c>
      <c r="X324">
        <v>0</v>
      </c>
      <c r="Y324" t="s">
        <v>280</v>
      </c>
    </row>
    <row r="325" spans="1:25" hidden="1" x14ac:dyDescent="0.25">
      <c r="A325" s="16" t="s">
        <v>41</v>
      </c>
      <c r="B325" s="16" t="s">
        <v>112</v>
      </c>
      <c r="C325" s="16" t="s">
        <v>42</v>
      </c>
      <c r="D325" s="16" t="s">
        <v>27</v>
      </c>
      <c r="E325" s="12">
        <v>45822</v>
      </c>
      <c r="F325" s="12">
        <v>45822</v>
      </c>
      <c r="G325" s="3">
        <v>88</v>
      </c>
      <c r="H325" s="4" t="s">
        <v>28</v>
      </c>
      <c r="I325">
        <v>0</v>
      </c>
      <c r="J325">
        <v>0</v>
      </c>
      <c r="K325">
        <v>0</v>
      </c>
      <c r="L325" s="3">
        <v>0</v>
      </c>
      <c r="M325" s="3">
        <v>0</v>
      </c>
      <c r="N325">
        <v>0</v>
      </c>
      <c r="O325">
        <v>0</v>
      </c>
      <c r="P325">
        <v>0</v>
      </c>
      <c r="Q325">
        <v>3</v>
      </c>
      <c r="R325" s="3">
        <v>1</v>
      </c>
      <c r="S325" s="3">
        <v>0</v>
      </c>
      <c r="T325">
        <v>11</v>
      </c>
      <c r="U325">
        <v>19</v>
      </c>
      <c r="V325" s="3">
        <v>1</v>
      </c>
      <c r="W325" s="3">
        <v>0</v>
      </c>
      <c r="X325">
        <v>0</v>
      </c>
      <c r="Y325" t="s">
        <v>281</v>
      </c>
    </row>
    <row r="326" spans="1:25" hidden="1" x14ac:dyDescent="0.25">
      <c r="A326" s="17" t="s">
        <v>54</v>
      </c>
      <c r="B326" s="16" t="s">
        <v>112</v>
      </c>
      <c r="C326" s="16" t="s">
        <v>52</v>
      </c>
      <c r="D326" s="16" t="s">
        <v>27</v>
      </c>
      <c r="E326" s="12">
        <v>45822</v>
      </c>
      <c r="F326" s="12">
        <v>45822</v>
      </c>
      <c r="G326" s="3">
        <v>88</v>
      </c>
      <c r="H326" s="4" t="s">
        <v>28</v>
      </c>
      <c r="I326">
        <v>0</v>
      </c>
      <c r="J326">
        <v>0</v>
      </c>
      <c r="K326">
        <v>0</v>
      </c>
      <c r="L326" s="3">
        <v>0</v>
      </c>
      <c r="M326" s="3">
        <v>0</v>
      </c>
      <c r="N326">
        <v>0</v>
      </c>
      <c r="O326">
        <v>0</v>
      </c>
      <c r="P326">
        <v>0</v>
      </c>
      <c r="Q326">
        <v>0</v>
      </c>
      <c r="R326" s="3">
        <v>1</v>
      </c>
      <c r="S326" s="3">
        <v>0</v>
      </c>
      <c r="T326">
        <v>3</v>
      </c>
      <c r="U326">
        <v>27</v>
      </c>
      <c r="V326" s="3">
        <v>1</v>
      </c>
      <c r="W326" s="3">
        <v>0</v>
      </c>
      <c r="X326">
        <v>0</v>
      </c>
      <c r="Y326" t="s">
        <v>281</v>
      </c>
    </row>
    <row r="327" spans="1:25" hidden="1" x14ac:dyDescent="0.25">
      <c r="A327" s="16" t="s">
        <v>25</v>
      </c>
      <c r="B327" s="16" t="s">
        <v>96</v>
      </c>
      <c r="C327" s="16" t="s">
        <v>26</v>
      </c>
      <c r="D327" s="16" t="s">
        <v>27</v>
      </c>
      <c r="E327" s="12">
        <v>45823</v>
      </c>
      <c r="F327" s="12">
        <v>45823</v>
      </c>
      <c r="G327" s="3">
        <v>184</v>
      </c>
      <c r="H327" s="4" t="s">
        <v>28</v>
      </c>
      <c r="I327">
        <v>0</v>
      </c>
      <c r="J327">
        <v>0</v>
      </c>
      <c r="K327">
        <v>0</v>
      </c>
      <c r="L327" s="3">
        <v>0</v>
      </c>
      <c r="M327" s="3">
        <v>0</v>
      </c>
      <c r="N327">
        <v>0</v>
      </c>
      <c r="O327">
        <v>0</v>
      </c>
      <c r="P327">
        <v>0</v>
      </c>
      <c r="Q327">
        <v>0</v>
      </c>
      <c r="R327" s="3">
        <v>0</v>
      </c>
      <c r="S327" s="3">
        <v>1</v>
      </c>
      <c r="T327">
        <v>6</v>
      </c>
      <c r="U327">
        <v>106</v>
      </c>
      <c r="V327" s="3">
        <v>0</v>
      </c>
      <c r="W327" s="3">
        <v>1</v>
      </c>
      <c r="X327">
        <v>5</v>
      </c>
      <c r="Y327" t="s">
        <v>282</v>
      </c>
    </row>
    <row r="328" spans="1:25" hidden="1" x14ac:dyDescent="0.25">
      <c r="A328" s="16" t="s">
        <v>48</v>
      </c>
      <c r="B328" s="16" t="s">
        <v>149</v>
      </c>
      <c r="C328" s="16" t="s">
        <v>55</v>
      </c>
      <c r="D328" s="16" t="s">
        <v>27</v>
      </c>
      <c r="E328" s="12">
        <v>45823</v>
      </c>
      <c r="F328" s="12">
        <v>45823</v>
      </c>
      <c r="G328" s="3">
        <v>135</v>
      </c>
      <c r="H328" s="4" t="s">
        <v>28</v>
      </c>
      <c r="I328">
        <v>0</v>
      </c>
      <c r="J328">
        <v>0</v>
      </c>
      <c r="K328">
        <v>0</v>
      </c>
      <c r="L328" s="3">
        <v>0</v>
      </c>
      <c r="M328" s="3">
        <v>0</v>
      </c>
      <c r="N328">
        <v>0</v>
      </c>
      <c r="O328">
        <v>0</v>
      </c>
      <c r="P328">
        <v>0</v>
      </c>
      <c r="Q328">
        <v>0</v>
      </c>
      <c r="R328" s="3">
        <v>0</v>
      </c>
      <c r="S328" s="3">
        <v>1</v>
      </c>
      <c r="T328">
        <v>8</v>
      </c>
      <c r="U328">
        <v>87</v>
      </c>
      <c r="V328" s="3">
        <v>0</v>
      </c>
      <c r="W328" s="3">
        <v>1</v>
      </c>
      <c r="X328">
        <v>5</v>
      </c>
      <c r="Y328" t="s">
        <v>283</v>
      </c>
    </row>
    <row r="329" spans="1:25" hidden="1" x14ac:dyDescent="0.25">
      <c r="A329" t="s">
        <v>25</v>
      </c>
      <c r="B329" t="s">
        <v>96</v>
      </c>
      <c r="C329" t="s">
        <v>26</v>
      </c>
      <c r="D329" t="s">
        <v>27</v>
      </c>
      <c r="E329" s="2">
        <v>45824</v>
      </c>
      <c r="F329" s="2">
        <v>45824</v>
      </c>
      <c r="G329" s="3">
        <v>58</v>
      </c>
      <c r="H329" s="4" t="s">
        <v>28</v>
      </c>
      <c r="I329" s="4">
        <f>39+10</f>
        <v>49</v>
      </c>
      <c r="J329">
        <v>0</v>
      </c>
      <c r="K329">
        <v>0</v>
      </c>
      <c r="L329" s="3">
        <v>0</v>
      </c>
      <c r="M329" s="3">
        <v>0</v>
      </c>
      <c r="N329">
        <v>1</v>
      </c>
      <c r="O329">
        <v>0</v>
      </c>
      <c r="P329">
        <v>0</v>
      </c>
      <c r="Q329">
        <v>0</v>
      </c>
      <c r="R329" s="3">
        <v>0</v>
      </c>
      <c r="S329" s="3">
        <v>0</v>
      </c>
      <c r="T329">
        <v>0</v>
      </c>
      <c r="U329">
        <v>0</v>
      </c>
      <c r="V329" s="3">
        <v>0</v>
      </c>
      <c r="W329" s="3">
        <v>0</v>
      </c>
      <c r="X329">
        <v>0</v>
      </c>
      <c r="Y329" t="s">
        <v>284</v>
      </c>
    </row>
    <row r="330" spans="1:25" hidden="1" x14ac:dyDescent="0.25">
      <c r="A330" t="s">
        <v>56</v>
      </c>
      <c r="B330" t="s">
        <v>98</v>
      </c>
      <c r="C330" t="s">
        <v>37</v>
      </c>
      <c r="D330" t="s">
        <v>27</v>
      </c>
      <c r="E330" s="2">
        <v>45824</v>
      </c>
      <c r="F330" s="2">
        <v>45824</v>
      </c>
      <c r="G330" s="3">
        <v>38</v>
      </c>
      <c r="H330" s="4" t="s">
        <v>28</v>
      </c>
      <c r="I330" s="4">
        <f>78+2</f>
        <v>80</v>
      </c>
      <c r="J330">
        <v>0</v>
      </c>
      <c r="K330">
        <v>0</v>
      </c>
      <c r="L330" s="3">
        <v>1</v>
      </c>
      <c r="M330" s="3">
        <v>0</v>
      </c>
      <c r="N330">
        <v>0</v>
      </c>
      <c r="O330">
        <v>0</v>
      </c>
      <c r="P330">
        <v>0</v>
      </c>
      <c r="Q330">
        <v>0</v>
      </c>
      <c r="R330" s="3">
        <v>0</v>
      </c>
      <c r="S330" s="3">
        <v>0</v>
      </c>
      <c r="T330">
        <v>0</v>
      </c>
      <c r="U330">
        <v>0</v>
      </c>
      <c r="V330" s="3">
        <v>0</v>
      </c>
      <c r="W330" s="3">
        <v>0</v>
      </c>
      <c r="X330">
        <v>0</v>
      </c>
      <c r="Y330" t="s">
        <v>285</v>
      </c>
    </row>
    <row r="331" spans="1:25" hidden="1" x14ac:dyDescent="0.25">
      <c r="A331" t="s">
        <v>29</v>
      </c>
      <c r="B331" t="s">
        <v>100</v>
      </c>
      <c r="C331" t="s">
        <v>245</v>
      </c>
      <c r="D331" t="s">
        <v>27</v>
      </c>
      <c r="E331" s="2">
        <v>45824</v>
      </c>
      <c r="F331" s="2">
        <v>45824</v>
      </c>
      <c r="G331" s="3">
        <v>64</v>
      </c>
      <c r="H331" s="4" t="s">
        <v>28</v>
      </c>
      <c r="I331" s="4">
        <f>45+1</f>
        <v>46</v>
      </c>
      <c r="J331">
        <v>0</v>
      </c>
      <c r="K331">
        <v>0</v>
      </c>
      <c r="L331" s="3">
        <v>1</v>
      </c>
      <c r="M331" s="3">
        <v>0</v>
      </c>
      <c r="N331">
        <v>0</v>
      </c>
      <c r="O331">
        <v>0</v>
      </c>
      <c r="P331">
        <v>0</v>
      </c>
      <c r="Q331">
        <v>0</v>
      </c>
      <c r="R331" s="3">
        <v>0</v>
      </c>
      <c r="S331" s="3">
        <v>0</v>
      </c>
      <c r="T331">
        <v>0</v>
      </c>
      <c r="U331">
        <v>0</v>
      </c>
      <c r="V331" s="3">
        <v>0</v>
      </c>
      <c r="W331" s="3">
        <v>0</v>
      </c>
      <c r="X331">
        <v>0</v>
      </c>
      <c r="Y331" t="s">
        <v>286</v>
      </c>
    </row>
    <row r="332" spans="1:25" hidden="1" x14ac:dyDescent="0.25">
      <c r="A332" t="s">
        <v>31</v>
      </c>
      <c r="B332" t="s">
        <v>104</v>
      </c>
      <c r="C332" t="s">
        <v>32</v>
      </c>
      <c r="D332" t="s">
        <v>27</v>
      </c>
      <c r="E332" s="2">
        <v>45824</v>
      </c>
      <c r="F332" s="2">
        <v>45824</v>
      </c>
      <c r="G332" s="3">
        <v>82</v>
      </c>
      <c r="H332" s="4" t="s">
        <v>28</v>
      </c>
      <c r="I332" s="4">
        <v>104</v>
      </c>
      <c r="J332">
        <v>0</v>
      </c>
      <c r="K332">
        <v>0</v>
      </c>
      <c r="L332" s="3">
        <v>0</v>
      </c>
      <c r="M332" s="3">
        <v>0</v>
      </c>
      <c r="N332">
        <v>0</v>
      </c>
      <c r="O332">
        <v>0</v>
      </c>
      <c r="P332">
        <v>0</v>
      </c>
      <c r="Q332">
        <v>50</v>
      </c>
      <c r="R332" s="3">
        <v>0</v>
      </c>
      <c r="S332" s="3">
        <v>0</v>
      </c>
      <c r="T332">
        <v>0</v>
      </c>
      <c r="U332">
        <v>0</v>
      </c>
      <c r="V332" s="3">
        <v>0</v>
      </c>
      <c r="W332" s="3">
        <v>0</v>
      </c>
      <c r="X332">
        <v>0</v>
      </c>
      <c r="Y332" t="s">
        <v>287</v>
      </c>
    </row>
    <row r="333" spans="1:25" hidden="1" x14ac:dyDescent="0.25">
      <c r="A333" t="s">
        <v>33</v>
      </c>
      <c r="B333" t="s">
        <v>106</v>
      </c>
      <c r="C333" t="s">
        <v>57</v>
      </c>
      <c r="D333" t="s">
        <v>27</v>
      </c>
      <c r="E333" s="2">
        <v>45824</v>
      </c>
      <c r="F333" s="2">
        <v>45824</v>
      </c>
      <c r="G333" s="3">
        <v>37</v>
      </c>
      <c r="H333" s="4" t="s">
        <v>28</v>
      </c>
      <c r="I333" s="4">
        <f>47+3</f>
        <v>50</v>
      </c>
      <c r="J333">
        <v>0</v>
      </c>
      <c r="K333">
        <v>0</v>
      </c>
      <c r="L333" s="3">
        <v>0</v>
      </c>
      <c r="M333" s="3">
        <v>0</v>
      </c>
      <c r="N333">
        <v>0</v>
      </c>
      <c r="O333">
        <v>0</v>
      </c>
      <c r="P333">
        <v>0</v>
      </c>
      <c r="Q333">
        <v>0</v>
      </c>
      <c r="R333" s="3">
        <v>0</v>
      </c>
      <c r="S333" s="3">
        <v>0</v>
      </c>
      <c r="T333">
        <v>0</v>
      </c>
      <c r="U333">
        <v>0</v>
      </c>
      <c r="V333" s="3">
        <v>0</v>
      </c>
      <c r="W333" s="3">
        <v>0</v>
      </c>
      <c r="X333">
        <v>0</v>
      </c>
      <c r="Y333" t="s">
        <v>288</v>
      </c>
    </row>
    <row r="334" spans="1:25" hidden="1" x14ac:dyDescent="0.25">
      <c r="A334" t="s">
        <v>34</v>
      </c>
      <c r="B334" t="s">
        <v>247</v>
      </c>
      <c r="C334" t="s">
        <v>44</v>
      </c>
      <c r="D334" t="s">
        <v>27</v>
      </c>
      <c r="E334" s="2">
        <v>45824</v>
      </c>
      <c r="F334" s="2">
        <v>45824</v>
      </c>
      <c r="G334" s="3">
        <v>21</v>
      </c>
      <c r="H334" s="4" t="s">
        <v>28</v>
      </c>
      <c r="I334" s="4">
        <v>55</v>
      </c>
      <c r="J334">
        <v>0</v>
      </c>
      <c r="K334">
        <v>0</v>
      </c>
      <c r="L334" s="3">
        <v>0</v>
      </c>
      <c r="M334" s="3">
        <v>0</v>
      </c>
      <c r="N334">
        <v>0</v>
      </c>
      <c r="O334">
        <v>0</v>
      </c>
      <c r="P334">
        <v>0</v>
      </c>
      <c r="Q334">
        <v>0</v>
      </c>
      <c r="R334" s="3">
        <v>0</v>
      </c>
      <c r="S334" s="3">
        <v>0</v>
      </c>
      <c r="T334">
        <v>0</v>
      </c>
      <c r="U334">
        <v>0</v>
      </c>
      <c r="V334" s="3">
        <v>0</v>
      </c>
      <c r="W334" s="3">
        <v>0</v>
      </c>
      <c r="X334">
        <v>0</v>
      </c>
      <c r="Y334" t="s">
        <v>289</v>
      </c>
    </row>
    <row r="335" spans="1:25" hidden="1" x14ac:dyDescent="0.25">
      <c r="A335" t="s">
        <v>38</v>
      </c>
      <c r="B335" t="s">
        <v>108</v>
      </c>
      <c r="C335" t="s">
        <v>39</v>
      </c>
      <c r="D335" t="s">
        <v>27</v>
      </c>
      <c r="E335" s="2">
        <v>45824</v>
      </c>
      <c r="F335" s="2">
        <v>45824</v>
      </c>
      <c r="G335" s="3">
        <v>105</v>
      </c>
      <c r="H335" s="4" t="s">
        <v>28</v>
      </c>
      <c r="I335">
        <v>35</v>
      </c>
      <c r="J335">
        <v>0</v>
      </c>
      <c r="K335">
        <v>0</v>
      </c>
      <c r="L335" s="3">
        <v>0</v>
      </c>
      <c r="M335" s="3">
        <v>0</v>
      </c>
      <c r="N335">
        <v>0</v>
      </c>
      <c r="O335">
        <v>0</v>
      </c>
      <c r="P335">
        <v>0</v>
      </c>
      <c r="Q335">
        <v>35</v>
      </c>
      <c r="R335" s="3">
        <v>0</v>
      </c>
      <c r="S335" s="3">
        <v>0</v>
      </c>
      <c r="T335">
        <v>0</v>
      </c>
      <c r="U335">
        <v>0</v>
      </c>
      <c r="V335" s="3">
        <v>0</v>
      </c>
      <c r="W335" s="3">
        <v>0</v>
      </c>
      <c r="X335">
        <v>0</v>
      </c>
      <c r="Y335" t="s">
        <v>290</v>
      </c>
    </row>
    <row r="336" spans="1:25" hidden="1" x14ac:dyDescent="0.25">
      <c r="A336" t="s">
        <v>40</v>
      </c>
      <c r="B336" t="s">
        <v>110</v>
      </c>
      <c r="C336" t="s">
        <v>36</v>
      </c>
      <c r="D336" t="s">
        <v>27</v>
      </c>
      <c r="E336" s="2">
        <v>45824</v>
      </c>
      <c r="F336" s="2">
        <v>45824</v>
      </c>
      <c r="G336" s="3">
        <v>35</v>
      </c>
      <c r="H336" s="4" t="s">
        <v>28</v>
      </c>
      <c r="I336" s="4">
        <f>46+1</f>
        <v>47</v>
      </c>
      <c r="J336">
        <v>0</v>
      </c>
      <c r="K336">
        <v>0</v>
      </c>
      <c r="L336" s="3">
        <v>1</v>
      </c>
      <c r="M336" s="3">
        <v>0</v>
      </c>
      <c r="N336">
        <v>1</v>
      </c>
      <c r="O336">
        <v>0</v>
      </c>
      <c r="P336">
        <v>0</v>
      </c>
      <c r="Q336">
        <v>0</v>
      </c>
      <c r="R336" s="3">
        <v>0</v>
      </c>
      <c r="S336" s="3">
        <v>0</v>
      </c>
      <c r="T336">
        <v>0</v>
      </c>
      <c r="U336">
        <v>0</v>
      </c>
      <c r="V336" s="3">
        <v>0</v>
      </c>
      <c r="W336" s="3">
        <v>0</v>
      </c>
      <c r="X336">
        <v>0</v>
      </c>
      <c r="Y336" t="s">
        <v>291</v>
      </c>
    </row>
    <row r="337" spans="1:25" hidden="1" x14ac:dyDescent="0.25">
      <c r="A337" t="s">
        <v>41</v>
      </c>
      <c r="B337" t="s">
        <v>112</v>
      </c>
      <c r="C337" t="s">
        <v>42</v>
      </c>
      <c r="D337" t="s">
        <v>27</v>
      </c>
      <c r="E337" s="2">
        <v>45824</v>
      </c>
      <c r="F337" s="2">
        <v>45824</v>
      </c>
      <c r="G337" s="3">
        <v>34</v>
      </c>
      <c r="H337" s="4" t="s">
        <v>28</v>
      </c>
      <c r="I337" s="4">
        <f>49+1</f>
        <v>50</v>
      </c>
      <c r="J337">
        <v>0</v>
      </c>
      <c r="K337">
        <v>0</v>
      </c>
      <c r="L337" s="3">
        <v>1</v>
      </c>
      <c r="M337" s="3">
        <v>0</v>
      </c>
      <c r="N337">
        <v>0</v>
      </c>
      <c r="O337">
        <v>0</v>
      </c>
      <c r="P337">
        <v>0</v>
      </c>
      <c r="Q337">
        <v>0</v>
      </c>
      <c r="R337" s="3">
        <v>0</v>
      </c>
      <c r="S337" s="3">
        <v>0</v>
      </c>
      <c r="T337">
        <v>0</v>
      </c>
      <c r="U337">
        <v>0</v>
      </c>
      <c r="V337" s="3">
        <v>0</v>
      </c>
      <c r="W337" s="3">
        <v>0</v>
      </c>
      <c r="X337">
        <v>0</v>
      </c>
      <c r="Y337" t="s">
        <v>292</v>
      </c>
    </row>
    <row r="338" spans="1:25" hidden="1" x14ac:dyDescent="0.25">
      <c r="A338" t="s">
        <v>45</v>
      </c>
      <c r="B338" t="s">
        <v>116</v>
      </c>
      <c r="C338" t="s">
        <v>46</v>
      </c>
      <c r="D338" t="s">
        <v>27</v>
      </c>
      <c r="E338" s="2">
        <v>45824</v>
      </c>
      <c r="F338" s="2">
        <v>45824</v>
      </c>
      <c r="G338" s="3">
        <v>58</v>
      </c>
      <c r="H338" s="4" t="s">
        <v>28</v>
      </c>
      <c r="I338" s="4">
        <f>37+27</f>
        <v>64</v>
      </c>
      <c r="J338">
        <v>0</v>
      </c>
      <c r="K338">
        <v>0</v>
      </c>
      <c r="L338" s="3">
        <v>1</v>
      </c>
      <c r="M338" s="3">
        <v>0</v>
      </c>
      <c r="N338">
        <v>0</v>
      </c>
      <c r="O338">
        <v>0</v>
      </c>
      <c r="P338">
        <v>0</v>
      </c>
      <c r="Q338">
        <v>0</v>
      </c>
      <c r="R338" s="3">
        <v>0</v>
      </c>
      <c r="S338" s="3">
        <v>0</v>
      </c>
      <c r="T338">
        <v>0</v>
      </c>
      <c r="U338">
        <v>0</v>
      </c>
      <c r="V338" s="3">
        <v>0</v>
      </c>
      <c r="W338" s="3">
        <v>0</v>
      </c>
      <c r="X338">
        <v>0</v>
      </c>
      <c r="Y338" t="s">
        <v>293</v>
      </c>
    </row>
    <row r="339" spans="1:25" hidden="1" x14ac:dyDescent="0.25">
      <c r="A339" t="s">
        <v>47</v>
      </c>
      <c r="B339" t="s">
        <v>137</v>
      </c>
      <c r="C339" t="s">
        <v>48</v>
      </c>
      <c r="D339" t="s">
        <v>27</v>
      </c>
      <c r="E339" s="2">
        <v>45824</v>
      </c>
      <c r="F339" s="2">
        <v>45824</v>
      </c>
      <c r="G339" s="3">
        <v>46</v>
      </c>
      <c r="H339" s="4" t="s">
        <v>28</v>
      </c>
      <c r="I339" s="4">
        <v>44</v>
      </c>
      <c r="J339">
        <v>0</v>
      </c>
      <c r="K339">
        <v>0</v>
      </c>
      <c r="L339" s="3">
        <v>0</v>
      </c>
      <c r="M339" s="3">
        <v>0</v>
      </c>
      <c r="N339">
        <v>0</v>
      </c>
      <c r="O339">
        <v>0</v>
      </c>
      <c r="P339">
        <v>0</v>
      </c>
      <c r="Q339">
        <v>0</v>
      </c>
      <c r="R339" s="3">
        <v>0</v>
      </c>
      <c r="S339" s="3">
        <v>0</v>
      </c>
      <c r="T339">
        <v>0</v>
      </c>
      <c r="U339">
        <v>0</v>
      </c>
      <c r="V339" s="3">
        <v>0</v>
      </c>
      <c r="W339" s="3">
        <v>0</v>
      </c>
      <c r="X339">
        <v>0</v>
      </c>
      <c r="Y339" t="s">
        <v>294</v>
      </c>
    </row>
    <row r="340" spans="1:25" hidden="1" x14ac:dyDescent="0.25">
      <c r="A340" t="s">
        <v>49</v>
      </c>
      <c r="B340" t="s">
        <v>118</v>
      </c>
      <c r="C340" t="s">
        <v>50</v>
      </c>
      <c r="D340" t="s">
        <v>27</v>
      </c>
      <c r="E340" s="2">
        <v>45824</v>
      </c>
      <c r="F340" s="2">
        <v>45824</v>
      </c>
      <c r="G340" s="3">
        <v>35</v>
      </c>
      <c r="H340" s="4" t="s">
        <v>28</v>
      </c>
      <c r="I340" s="4">
        <f>9+17</f>
        <v>26</v>
      </c>
      <c r="J340">
        <v>0</v>
      </c>
      <c r="K340">
        <v>0</v>
      </c>
      <c r="L340" s="3">
        <v>1</v>
      </c>
      <c r="M340" s="3">
        <v>1</v>
      </c>
      <c r="N340">
        <v>0</v>
      </c>
      <c r="O340">
        <v>0</v>
      </c>
      <c r="P340">
        <v>0</v>
      </c>
      <c r="Q340">
        <v>39</v>
      </c>
      <c r="R340" s="3">
        <v>0</v>
      </c>
      <c r="S340" s="3">
        <v>0</v>
      </c>
      <c r="T340">
        <v>0</v>
      </c>
      <c r="U340">
        <v>0</v>
      </c>
      <c r="V340" s="3">
        <v>0</v>
      </c>
      <c r="W340" s="3">
        <v>0</v>
      </c>
      <c r="X340">
        <v>0</v>
      </c>
      <c r="Y340" t="s">
        <v>295</v>
      </c>
    </row>
    <row r="341" spans="1:25" hidden="1" x14ac:dyDescent="0.25">
      <c r="A341" t="s">
        <v>51</v>
      </c>
      <c r="B341" t="s">
        <v>120</v>
      </c>
      <c r="C341" t="s">
        <v>55</v>
      </c>
      <c r="D341" t="s">
        <v>27</v>
      </c>
      <c r="E341" s="2">
        <v>45824</v>
      </c>
      <c r="F341" s="2">
        <v>45824</v>
      </c>
      <c r="G341" s="3">
        <v>64</v>
      </c>
      <c r="H341" s="4" t="s">
        <v>28</v>
      </c>
      <c r="I341" s="4">
        <v>30</v>
      </c>
      <c r="J341">
        <v>0</v>
      </c>
      <c r="K341">
        <v>0</v>
      </c>
      <c r="L341" s="3">
        <v>0</v>
      </c>
      <c r="M341" s="3">
        <v>0</v>
      </c>
      <c r="N341">
        <v>1</v>
      </c>
      <c r="O341">
        <v>0</v>
      </c>
      <c r="P341">
        <v>0</v>
      </c>
      <c r="Q341">
        <v>0</v>
      </c>
      <c r="R341" s="3">
        <v>0</v>
      </c>
      <c r="S341" s="3">
        <v>0</v>
      </c>
      <c r="T341">
        <v>0</v>
      </c>
      <c r="U341">
        <v>0</v>
      </c>
      <c r="V341" s="3">
        <v>0</v>
      </c>
      <c r="W341" s="3">
        <v>0</v>
      </c>
      <c r="X341">
        <v>0</v>
      </c>
      <c r="Y341" t="s">
        <v>296</v>
      </c>
    </row>
    <row r="342" spans="1:25" hidden="1" x14ac:dyDescent="0.25">
      <c r="A342" t="s">
        <v>54</v>
      </c>
      <c r="B342" t="s">
        <v>122</v>
      </c>
      <c r="C342" t="s">
        <v>52</v>
      </c>
      <c r="D342" t="s">
        <v>27</v>
      </c>
      <c r="E342" s="2">
        <v>45824</v>
      </c>
      <c r="F342" s="2">
        <v>45824</v>
      </c>
      <c r="G342" s="3">
        <v>31</v>
      </c>
      <c r="H342" s="4" t="s">
        <v>28</v>
      </c>
      <c r="I342" s="4">
        <f>43+1</f>
        <v>44</v>
      </c>
      <c r="J342">
        <v>0</v>
      </c>
      <c r="K342">
        <v>0</v>
      </c>
      <c r="L342" s="3">
        <v>0</v>
      </c>
      <c r="M342" s="3">
        <v>0</v>
      </c>
      <c r="N342">
        <v>0</v>
      </c>
      <c r="O342">
        <v>0</v>
      </c>
      <c r="P342">
        <v>0</v>
      </c>
      <c r="Q342">
        <v>0</v>
      </c>
      <c r="R342" s="3">
        <v>0</v>
      </c>
      <c r="S342" s="3">
        <v>0</v>
      </c>
      <c r="T342">
        <v>0</v>
      </c>
      <c r="U342">
        <v>0</v>
      </c>
      <c r="V342" s="3">
        <v>0</v>
      </c>
      <c r="W342" s="3">
        <v>0</v>
      </c>
      <c r="X342">
        <v>0</v>
      </c>
      <c r="Y342" t="s">
        <v>297</v>
      </c>
    </row>
    <row r="343" spans="1:25" hidden="1" x14ac:dyDescent="0.25">
      <c r="A343" t="s">
        <v>53</v>
      </c>
      <c r="B343" t="s">
        <v>142</v>
      </c>
      <c r="C343" t="s">
        <v>39</v>
      </c>
      <c r="D343" t="s">
        <v>27</v>
      </c>
      <c r="E343" s="2">
        <v>45824</v>
      </c>
      <c r="F343" s="2">
        <v>45824</v>
      </c>
      <c r="G343" s="3">
        <v>47</v>
      </c>
      <c r="H343" s="4" t="s">
        <v>28</v>
      </c>
      <c r="I343">
        <v>23</v>
      </c>
      <c r="J343">
        <v>0</v>
      </c>
      <c r="K343">
        <v>0</v>
      </c>
      <c r="L343" s="3">
        <v>1</v>
      </c>
      <c r="M343" s="3">
        <v>0</v>
      </c>
      <c r="N343">
        <v>0</v>
      </c>
      <c r="O343">
        <v>0</v>
      </c>
      <c r="P343">
        <v>0</v>
      </c>
      <c r="Q343">
        <v>23</v>
      </c>
      <c r="R343" s="3">
        <v>0</v>
      </c>
      <c r="S343" s="3">
        <v>0</v>
      </c>
      <c r="T343">
        <v>0</v>
      </c>
      <c r="U343">
        <v>0</v>
      </c>
      <c r="V343" s="3">
        <v>0</v>
      </c>
      <c r="W343" s="3">
        <v>0</v>
      </c>
      <c r="X343">
        <v>0</v>
      </c>
      <c r="Y343" t="s">
        <v>298</v>
      </c>
    </row>
    <row r="344" spans="1:25" hidden="1" x14ac:dyDescent="0.25">
      <c r="A344" s="1" t="s">
        <v>58</v>
      </c>
      <c r="B344" t="s">
        <v>144</v>
      </c>
      <c r="C344" t="s">
        <v>354</v>
      </c>
      <c r="D344" t="s">
        <v>27</v>
      </c>
      <c r="E344" s="2">
        <v>45824</v>
      </c>
      <c r="F344" s="2">
        <v>45824</v>
      </c>
      <c r="G344" s="3">
        <v>21</v>
      </c>
      <c r="H344" s="4" t="s">
        <v>28</v>
      </c>
      <c r="I344" s="4">
        <f>40+23</f>
        <v>63</v>
      </c>
      <c r="J344">
        <v>0</v>
      </c>
      <c r="K344">
        <v>0</v>
      </c>
      <c r="L344" s="3">
        <v>1</v>
      </c>
      <c r="M344" s="3">
        <v>0</v>
      </c>
      <c r="N344">
        <v>0</v>
      </c>
      <c r="O344">
        <v>0</v>
      </c>
      <c r="P344">
        <v>0</v>
      </c>
      <c r="Q344">
        <v>0</v>
      </c>
      <c r="R344" s="3">
        <v>0</v>
      </c>
      <c r="S344" s="3">
        <v>0</v>
      </c>
      <c r="T344">
        <v>0</v>
      </c>
      <c r="U344">
        <v>0</v>
      </c>
      <c r="V344" s="3">
        <v>0</v>
      </c>
      <c r="W344" s="3">
        <v>0</v>
      </c>
      <c r="X344">
        <v>0</v>
      </c>
      <c r="Y344" t="s">
        <v>299</v>
      </c>
    </row>
    <row r="345" spans="1:25" hidden="1" x14ac:dyDescent="0.25">
      <c r="A345" t="s">
        <v>344</v>
      </c>
      <c r="B345" t="s">
        <v>144</v>
      </c>
      <c r="C345" t="s">
        <v>94</v>
      </c>
      <c r="D345" t="s">
        <v>27</v>
      </c>
      <c r="E345" s="2">
        <v>45824</v>
      </c>
      <c r="F345" s="2">
        <v>45824</v>
      </c>
      <c r="G345" s="3">
        <v>21</v>
      </c>
      <c r="H345" s="4" t="s">
        <v>180</v>
      </c>
      <c r="I345">
        <v>0</v>
      </c>
      <c r="J345">
        <v>0</v>
      </c>
      <c r="K345">
        <v>0</v>
      </c>
      <c r="L345" s="3">
        <v>0</v>
      </c>
      <c r="M345" s="3">
        <v>0</v>
      </c>
      <c r="N345">
        <v>0</v>
      </c>
      <c r="O345">
        <v>0</v>
      </c>
      <c r="P345">
        <v>0</v>
      </c>
      <c r="Q345">
        <v>0</v>
      </c>
      <c r="R345" s="3">
        <v>0</v>
      </c>
      <c r="S345" s="3">
        <v>0</v>
      </c>
      <c r="T345">
        <v>0</v>
      </c>
      <c r="U345">
        <v>0</v>
      </c>
      <c r="V345" s="3">
        <v>0</v>
      </c>
      <c r="W345" s="3">
        <v>0</v>
      </c>
      <c r="X345">
        <v>0</v>
      </c>
      <c r="Y345" t="s">
        <v>299</v>
      </c>
    </row>
    <row r="346" spans="1:25" hidden="1" x14ac:dyDescent="0.25">
      <c r="A346" t="s">
        <v>94</v>
      </c>
      <c r="B346" t="s">
        <v>144</v>
      </c>
      <c r="C346" t="s">
        <v>35</v>
      </c>
      <c r="D346" t="s">
        <v>27</v>
      </c>
      <c r="E346" s="2">
        <v>45824</v>
      </c>
      <c r="F346" s="2">
        <v>45824</v>
      </c>
      <c r="G346" s="3">
        <v>21</v>
      </c>
      <c r="H346" s="4" t="s">
        <v>959</v>
      </c>
      <c r="I346">
        <v>0</v>
      </c>
      <c r="J346">
        <v>0</v>
      </c>
      <c r="K346">
        <v>0</v>
      </c>
      <c r="L346" s="3">
        <v>0</v>
      </c>
      <c r="M346" s="3">
        <v>0</v>
      </c>
      <c r="N346">
        <v>0</v>
      </c>
      <c r="O346">
        <v>0</v>
      </c>
      <c r="P346">
        <v>0</v>
      </c>
      <c r="Q346">
        <v>0</v>
      </c>
      <c r="R346" s="3">
        <v>0</v>
      </c>
      <c r="S346" s="3">
        <v>0</v>
      </c>
      <c r="T346">
        <v>0</v>
      </c>
      <c r="U346">
        <v>0</v>
      </c>
      <c r="V346" s="3">
        <v>0</v>
      </c>
      <c r="W346" s="3">
        <v>0</v>
      </c>
      <c r="X346">
        <v>0</v>
      </c>
      <c r="Y346" t="s">
        <v>299</v>
      </c>
    </row>
    <row r="347" spans="1:25" hidden="1" x14ac:dyDescent="0.25">
      <c r="A347" t="s">
        <v>25</v>
      </c>
      <c r="B347" t="s">
        <v>96</v>
      </c>
      <c r="C347" t="s">
        <v>26</v>
      </c>
      <c r="D347" t="s">
        <v>27</v>
      </c>
      <c r="E347" s="2">
        <v>45825</v>
      </c>
      <c r="F347" s="2">
        <v>45825</v>
      </c>
      <c r="G347" s="3">
        <v>126</v>
      </c>
      <c r="H347" s="4" t="s">
        <v>28</v>
      </c>
      <c r="I347" s="4">
        <f>41+26</f>
        <v>67</v>
      </c>
      <c r="J347">
        <v>0</v>
      </c>
      <c r="K347">
        <v>0</v>
      </c>
      <c r="L347" s="3">
        <v>0</v>
      </c>
      <c r="M347" s="3">
        <v>0</v>
      </c>
      <c r="N347">
        <v>1</v>
      </c>
      <c r="O347">
        <v>0</v>
      </c>
      <c r="P347">
        <v>0</v>
      </c>
      <c r="Q347">
        <v>0</v>
      </c>
      <c r="R347" s="3">
        <v>0</v>
      </c>
      <c r="S347" s="3">
        <v>0</v>
      </c>
      <c r="T347">
        <v>0</v>
      </c>
      <c r="U347">
        <v>0</v>
      </c>
      <c r="V347" s="3">
        <v>0</v>
      </c>
      <c r="W347" s="3">
        <v>0</v>
      </c>
      <c r="X347">
        <v>0</v>
      </c>
      <c r="Y347" t="s">
        <v>300</v>
      </c>
    </row>
    <row r="348" spans="1:25" hidden="1" x14ac:dyDescent="0.25">
      <c r="A348" s="1" t="s">
        <v>56</v>
      </c>
      <c r="B348" t="s">
        <v>98</v>
      </c>
      <c r="C348" t="s">
        <v>37</v>
      </c>
      <c r="D348" t="s">
        <v>27</v>
      </c>
      <c r="E348" s="2">
        <v>45825</v>
      </c>
      <c r="F348" s="2">
        <v>45825</v>
      </c>
      <c r="G348" s="3">
        <v>28</v>
      </c>
      <c r="H348" s="4" t="s">
        <v>28</v>
      </c>
      <c r="I348" s="4">
        <v>68</v>
      </c>
      <c r="J348">
        <v>0</v>
      </c>
      <c r="K348">
        <v>0</v>
      </c>
      <c r="L348" s="3">
        <v>1</v>
      </c>
      <c r="M348" s="3">
        <v>0</v>
      </c>
      <c r="N348">
        <v>0</v>
      </c>
      <c r="O348">
        <v>0</v>
      </c>
      <c r="P348">
        <v>0</v>
      </c>
      <c r="Q348">
        <v>0</v>
      </c>
      <c r="R348" s="3">
        <v>0</v>
      </c>
      <c r="S348" s="3">
        <v>0</v>
      </c>
      <c r="T348">
        <v>0</v>
      </c>
      <c r="U348">
        <v>0</v>
      </c>
      <c r="V348" s="3">
        <v>1</v>
      </c>
      <c r="W348" s="3">
        <v>0</v>
      </c>
      <c r="X348">
        <v>0</v>
      </c>
      <c r="Y348" t="s">
        <v>301</v>
      </c>
    </row>
    <row r="349" spans="1:25" hidden="1" x14ac:dyDescent="0.25">
      <c r="A349" t="s">
        <v>29</v>
      </c>
      <c r="B349" t="s">
        <v>100</v>
      </c>
      <c r="C349" t="s">
        <v>245</v>
      </c>
      <c r="D349" t="s">
        <v>27</v>
      </c>
      <c r="E349" s="2">
        <v>45825</v>
      </c>
      <c r="F349" s="2">
        <v>45825</v>
      </c>
      <c r="G349" s="3">
        <v>104</v>
      </c>
      <c r="H349" s="4" t="s">
        <v>28</v>
      </c>
      <c r="I349" s="4">
        <f>50+3</f>
        <v>53</v>
      </c>
      <c r="J349">
        <v>0</v>
      </c>
      <c r="K349">
        <v>0</v>
      </c>
      <c r="L349" s="3">
        <v>0</v>
      </c>
      <c r="M349" s="3">
        <v>0</v>
      </c>
      <c r="N349">
        <v>0</v>
      </c>
      <c r="O349">
        <v>0</v>
      </c>
      <c r="P349">
        <v>0</v>
      </c>
      <c r="Q349">
        <v>0</v>
      </c>
      <c r="R349" s="3">
        <v>0</v>
      </c>
      <c r="S349" s="3">
        <v>0</v>
      </c>
      <c r="T349">
        <v>0</v>
      </c>
      <c r="U349">
        <v>0</v>
      </c>
      <c r="V349" s="3">
        <v>0</v>
      </c>
      <c r="W349" s="3">
        <v>0</v>
      </c>
      <c r="X349">
        <v>0</v>
      </c>
      <c r="Y349" t="s">
        <v>302</v>
      </c>
    </row>
    <row r="350" spans="1:25" hidden="1" x14ac:dyDescent="0.25">
      <c r="A350" s="1" t="s">
        <v>344</v>
      </c>
      <c r="B350" t="s">
        <v>100</v>
      </c>
      <c r="C350" t="s">
        <v>35</v>
      </c>
      <c r="D350" t="s">
        <v>27</v>
      </c>
      <c r="E350" s="2">
        <v>45825</v>
      </c>
      <c r="F350" s="2">
        <v>45825</v>
      </c>
      <c r="G350" s="3">
        <v>104</v>
      </c>
      <c r="H350" s="4" t="s">
        <v>28</v>
      </c>
      <c r="I350" s="4">
        <f>31+1</f>
        <v>32</v>
      </c>
      <c r="J350">
        <v>0</v>
      </c>
      <c r="K350">
        <v>0</v>
      </c>
      <c r="L350" s="3">
        <v>0</v>
      </c>
      <c r="M350" s="3">
        <v>0</v>
      </c>
      <c r="N350">
        <v>0</v>
      </c>
      <c r="O350">
        <v>0</v>
      </c>
      <c r="P350">
        <v>0</v>
      </c>
      <c r="Q350">
        <v>0</v>
      </c>
      <c r="R350" s="3">
        <v>0</v>
      </c>
      <c r="S350" s="3">
        <v>0</v>
      </c>
      <c r="T350">
        <v>0</v>
      </c>
      <c r="U350">
        <v>0</v>
      </c>
      <c r="V350" s="3">
        <v>0</v>
      </c>
      <c r="W350" s="3">
        <v>0</v>
      </c>
      <c r="X350">
        <v>0</v>
      </c>
      <c r="Y350" t="s">
        <v>302</v>
      </c>
    </row>
    <row r="351" spans="1:25" hidden="1" x14ac:dyDescent="0.25">
      <c r="A351" t="s">
        <v>31</v>
      </c>
      <c r="B351" t="s">
        <v>104</v>
      </c>
      <c r="C351" t="s">
        <v>32</v>
      </c>
      <c r="D351" t="s">
        <v>27</v>
      </c>
      <c r="E351" s="2">
        <v>45825</v>
      </c>
      <c r="F351" s="2">
        <v>45825</v>
      </c>
      <c r="G351" s="3">
        <v>32</v>
      </c>
      <c r="H351" s="4" t="s">
        <v>28</v>
      </c>
      <c r="I351" s="4">
        <f>66+4</f>
        <v>70</v>
      </c>
      <c r="J351">
        <v>0</v>
      </c>
      <c r="K351">
        <v>0</v>
      </c>
      <c r="L351" s="3">
        <v>0</v>
      </c>
      <c r="M351" s="3">
        <v>0</v>
      </c>
      <c r="N351">
        <v>0</v>
      </c>
      <c r="O351">
        <v>0</v>
      </c>
      <c r="P351">
        <v>0</v>
      </c>
      <c r="Q351">
        <v>50</v>
      </c>
      <c r="R351" s="3">
        <v>0</v>
      </c>
      <c r="S351" s="3">
        <v>0</v>
      </c>
      <c r="T351">
        <v>0</v>
      </c>
      <c r="U351">
        <v>0</v>
      </c>
      <c r="V351" s="3">
        <v>0</v>
      </c>
      <c r="W351" s="3">
        <v>0</v>
      </c>
      <c r="X351">
        <v>0</v>
      </c>
      <c r="Y351" t="s">
        <v>303</v>
      </c>
    </row>
    <row r="352" spans="1:25" hidden="1" x14ac:dyDescent="0.25">
      <c r="A352" s="1" t="s">
        <v>34</v>
      </c>
      <c r="B352" t="s">
        <v>247</v>
      </c>
      <c r="C352" t="s">
        <v>44</v>
      </c>
      <c r="D352" t="s">
        <v>27</v>
      </c>
      <c r="E352" s="2">
        <v>45825</v>
      </c>
      <c r="F352" s="2">
        <v>45825</v>
      </c>
      <c r="G352" s="3">
        <v>21</v>
      </c>
      <c r="H352" s="4" t="s">
        <v>28</v>
      </c>
      <c r="I352" s="4">
        <v>59</v>
      </c>
      <c r="J352">
        <v>0</v>
      </c>
      <c r="K352">
        <v>0</v>
      </c>
      <c r="L352" s="3">
        <v>1</v>
      </c>
      <c r="M352" s="3">
        <v>0</v>
      </c>
      <c r="N352">
        <v>0</v>
      </c>
      <c r="O352">
        <v>0</v>
      </c>
      <c r="P352">
        <v>0</v>
      </c>
      <c r="Q352">
        <v>0</v>
      </c>
      <c r="R352" s="3">
        <v>0</v>
      </c>
      <c r="S352" s="3">
        <v>0</v>
      </c>
      <c r="T352">
        <v>0</v>
      </c>
      <c r="U352">
        <v>0</v>
      </c>
      <c r="V352" s="3">
        <v>0</v>
      </c>
      <c r="W352" s="3">
        <v>0</v>
      </c>
      <c r="X352">
        <v>0</v>
      </c>
      <c r="Y352" t="s">
        <v>304</v>
      </c>
    </row>
    <row r="353" spans="1:25" hidden="1" x14ac:dyDescent="0.25">
      <c r="A353" t="s">
        <v>38</v>
      </c>
      <c r="B353" t="s">
        <v>108</v>
      </c>
      <c r="C353" t="s">
        <v>39</v>
      </c>
      <c r="D353" t="s">
        <v>27</v>
      </c>
      <c r="E353" s="2">
        <v>45825</v>
      </c>
      <c r="F353" s="2">
        <v>45825</v>
      </c>
      <c r="G353" s="3">
        <v>89</v>
      </c>
      <c r="H353" s="4" t="s">
        <v>28</v>
      </c>
      <c r="I353">
        <v>36</v>
      </c>
      <c r="J353">
        <v>0</v>
      </c>
      <c r="K353">
        <v>0</v>
      </c>
      <c r="L353" s="3">
        <v>0</v>
      </c>
      <c r="M353" s="3">
        <v>0</v>
      </c>
      <c r="N353">
        <v>0</v>
      </c>
      <c r="O353">
        <v>0</v>
      </c>
      <c r="P353">
        <v>0</v>
      </c>
      <c r="Q353">
        <v>36</v>
      </c>
      <c r="R353" s="3">
        <v>0</v>
      </c>
      <c r="S353" s="3">
        <v>0</v>
      </c>
      <c r="T353">
        <v>0</v>
      </c>
      <c r="U353">
        <v>0</v>
      </c>
      <c r="V353" s="3">
        <v>0</v>
      </c>
      <c r="W353" s="3">
        <v>0</v>
      </c>
      <c r="X353">
        <v>0</v>
      </c>
      <c r="Y353" t="s">
        <v>305</v>
      </c>
    </row>
    <row r="354" spans="1:25" hidden="1" x14ac:dyDescent="0.25">
      <c r="A354" t="s">
        <v>41</v>
      </c>
      <c r="B354" t="s">
        <v>112</v>
      </c>
      <c r="C354" t="s">
        <v>42</v>
      </c>
      <c r="D354" t="s">
        <v>27</v>
      </c>
      <c r="E354" s="2">
        <v>45825</v>
      </c>
      <c r="F354" s="2">
        <v>45825</v>
      </c>
      <c r="G354" s="3">
        <v>30</v>
      </c>
      <c r="H354" s="4" t="s">
        <v>28</v>
      </c>
      <c r="I354" s="4">
        <f>29+8</f>
        <v>37</v>
      </c>
      <c r="J354">
        <v>0</v>
      </c>
      <c r="K354">
        <v>0</v>
      </c>
      <c r="L354" s="3">
        <v>1</v>
      </c>
      <c r="M354" s="3">
        <v>0</v>
      </c>
      <c r="N354">
        <v>0</v>
      </c>
      <c r="O354">
        <v>0</v>
      </c>
      <c r="P354">
        <v>0</v>
      </c>
      <c r="Q354">
        <v>0</v>
      </c>
      <c r="R354" s="3">
        <v>0</v>
      </c>
      <c r="S354" s="3">
        <v>0</v>
      </c>
      <c r="T354">
        <v>0</v>
      </c>
      <c r="U354">
        <v>0</v>
      </c>
      <c r="V354" s="3">
        <v>0</v>
      </c>
      <c r="W354" s="3">
        <v>0</v>
      </c>
      <c r="X354">
        <v>0</v>
      </c>
      <c r="Y354" t="s">
        <v>306</v>
      </c>
    </row>
    <row r="355" spans="1:25" hidden="1" x14ac:dyDescent="0.25">
      <c r="A355" s="1" t="s">
        <v>45</v>
      </c>
      <c r="B355" t="s">
        <v>116</v>
      </c>
      <c r="C355" t="s">
        <v>46</v>
      </c>
      <c r="D355" t="s">
        <v>27</v>
      </c>
      <c r="E355" s="2">
        <v>45825</v>
      </c>
      <c r="F355" s="2">
        <v>45825</v>
      </c>
      <c r="G355" s="3">
        <v>52</v>
      </c>
      <c r="H355" s="4" t="s">
        <v>28</v>
      </c>
      <c r="I355" s="4">
        <f>32+4</f>
        <v>36</v>
      </c>
      <c r="J355">
        <v>0</v>
      </c>
      <c r="K355">
        <v>0</v>
      </c>
      <c r="L355" s="3">
        <v>0</v>
      </c>
      <c r="M355" s="3">
        <v>0</v>
      </c>
      <c r="N355">
        <v>0</v>
      </c>
      <c r="O355">
        <v>0</v>
      </c>
      <c r="P355">
        <v>0</v>
      </c>
      <c r="Q355">
        <v>0</v>
      </c>
      <c r="R355" s="3">
        <v>0</v>
      </c>
      <c r="S355" s="3">
        <v>0</v>
      </c>
      <c r="T355">
        <v>0</v>
      </c>
      <c r="U355">
        <v>0</v>
      </c>
      <c r="V355" s="3">
        <v>0</v>
      </c>
      <c r="W355" s="3">
        <v>0</v>
      </c>
      <c r="X355">
        <v>0</v>
      </c>
      <c r="Y355" t="s">
        <v>307</v>
      </c>
    </row>
    <row r="356" spans="1:25" hidden="1" x14ac:dyDescent="0.25">
      <c r="A356" t="s">
        <v>47</v>
      </c>
      <c r="B356" t="s">
        <v>137</v>
      </c>
      <c r="C356" t="s">
        <v>48</v>
      </c>
      <c r="D356" t="s">
        <v>27</v>
      </c>
      <c r="E356" s="2">
        <v>45825</v>
      </c>
      <c r="F356" s="2">
        <v>45825</v>
      </c>
      <c r="G356" s="3">
        <v>41</v>
      </c>
      <c r="H356" s="4" t="s">
        <v>28</v>
      </c>
      <c r="I356" s="4">
        <v>42</v>
      </c>
      <c r="J356">
        <v>0</v>
      </c>
      <c r="K356">
        <v>0</v>
      </c>
      <c r="L356" s="3">
        <v>0</v>
      </c>
      <c r="M356" s="3">
        <v>0</v>
      </c>
      <c r="N356">
        <v>0</v>
      </c>
      <c r="O356">
        <v>0</v>
      </c>
      <c r="P356">
        <v>0</v>
      </c>
      <c r="Q356">
        <v>0</v>
      </c>
      <c r="R356" s="3">
        <v>0</v>
      </c>
      <c r="S356" s="3">
        <v>0</v>
      </c>
      <c r="T356">
        <v>0</v>
      </c>
      <c r="U356">
        <v>0</v>
      </c>
      <c r="V356" s="3">
        <v>0</v>
      </c>
      <c r="W356" s="3">
        <v>0</v>
      </c>
      <c r="X356">
        <v>0</v>
      </c>
      <c r="Y356" t="s">
        <v>308</v>
      </c>
    </row>
    <row r="357" spans="1:25" hidden="1" x14ac:dyDescent="0.25">
      <c r="A357" t="s">
        <v>49</v>
      </c>
      <c r="B357" t="s">
        <v>118</v>
      </c>
      <c r="C357" t="s">
        <v>50</v>
      </c>
      <c r="D357" t="s">
        <v>27</v>
      </c>
      <c r="E357" s="2">
        <v>45825</v>
      </c>
      <c r="F357" s="2">
        <v>45825</v>
      </c>
      <c r="G357" s="3">
        <v>25</v>
      </c>
      <c r="H357" s="4" t="s">
        <v>28</v>
      </c>
      <c r="I357" s="4">
        <f>19+2</f>
        <v>21</v>
      </c>
      <c r="J357">
        <v>0</v>
      </c>
      <c r="K357">
        <v>0</v>
      </c>
      <c r="L357" s="3">
        <v>1</v>
      </c>
      <c r="M357" s="3">
        <v>1</v>
      </c>
      <c r="N357">
        <v>0</v>
      </c>
      <c r="O357">
        <v>1</v>
      </c>
      <c r="P357">
        <v>0</v>
      </c>
      <c r="Q357">
        <v>29</v>
      </c>
      <c r="R357" s="3">
        <v>0</v>
      </c>
      <c r="S357" s="3">
        <v>0</v>
      </c>
      <c r="T357">
        <v>0</v>
      </c>
      <c r="U357">
        <v>0</v>
      </c>
      <c r="V357" s="3">
        <v>0</v>
      </c>
      <c r="W357" s="3">
        <v>0</v>
      </c>
      <c r="X357">
        <v>0</v>
      </c>
      <c r="Y357" t="s">
        <v>309</v>
      </c>
    </row>
    <row r="358" spans="1:25" hidden="1" x14ac:dyDescent="0.25">
      <c r="A358" s="1" t="s">
        <v>54</v>
      </c>
      <c r="B358" t="s">
        <v>122</v>
      </c>
      <c r="C358" t="s">
        <v>52</v>
      </c>
      <c r="D358" t="s">
        <v>27</v>
      </c>
      <c r="E358" s="2">
        <v>45825</v>
      </c>
      <c r="F358" s="2">
        <v>45825</v>
      </c>
      <c r="G358" s="3">
        <v>33</v>
      </c>
      <c r="H358" s="4" t="s">
        <v>28</v>
      </c>
      <c r="I358" s="4">
        <f>38+3</f>
        <v>41</v>
      </c>
      <c r="J358">
        <v>0</v>
      </c>
      <c r="K358">
        <v>0</v>
      </c>
      <c r="L358" s="3">
        <v>0</v>
      </c>
      <c r="M358" s="3">
        <v>0</v>
      </c>
      <c r="N358">
        <v>0</v>
      </c>
      <c r="O358">
        <v>0</v>
      </c>
      <c r="P358">
        <v>0</v>
      </c>
      <c r="Q358">
        <v>0</v>
      </c>
      <c r="R358" s="3">
        <v>0</v>
      </c>
      <c r="S358" s="3">
        <v>0</v>
      </c>
      <c r="T358">
        <v>0</v>
      </c>
      <c r="U358">
        <v>0</v>
      </c>
      <c r="V358" s="3">
        <v>0</v>
      </c>
      <c r="W358" s="3">
        <v>0</v>
      </c>
      <c r="X358">
        <v>0</v>
      </c>
      <c r="Y358" t="s">
        <v>310</v>
      </c>
    </row>
    <row r="359" spans="1:25" hidden="1" x14ac:dyDescent="0.25">
      <c r="A359" t="s">
        <v>53</v>
      </c>
      <c r="B359" t="s">
        <v>142</v>
      </c>
      <c r="C359" t="s">
        <v>39</v>
      </c>
      <c r="D359" t="s">
        <v>27</v>
      </c>
      <c r="E359" s="2">
        <v>45825</v>
      </c>
      <c r="F359" s="2">
        <v>45825</v>
      </c>
      <c r="G359" s="3">
        <v>28</v>
      </c>
      <c r="H359" s="4" t="s">
        <v>28</v>
      </c>
      <c r="I359">
        <v>21</v>
      </c>
      <c r="J359">
        <v>0</v>
      </c>
      <c r="K359">
        <v>0</v>
      </c>
      <c r="L359" s="3">
        <v>1</v>
      </c>
      <c r="M359" s="3">
        <v>0</v>
      </c>
      <c r="N359">
        <v>0</v>
      </c>
      <c r="O359">
        <v>0</v>
      </c>
      <c r="P359">
        <v>0</v>
      </c>
      <c r="Q359">
        <v>21</v>
      </c>
      <c r="R359" s="3">
        <v>0</v>
      </c>
      <c r="S359" s="3">
        <v>0</v>
      </c>
      <c r="T359">
        <v>0</v>
      </c>
      <c r="U359">
        <v>0</v>
      </c>
      <c r="V359" s="3">
        <v>0</v>
      </c>
      <c r="W359" s="3">
        <v>0</v>
      </c>
      <c r="X359">
        <v>0</v>
      </c>
      <c r="Y359" t="s">
        <v>311</v>
      </c>
    </row>
    <row r="360" spans="1:25" hidden="1" x14ac:dyDescent="0.25">
      <c r="A360" s="1" t="s">
        <v>58</v>
      </c>
      <c r="B360" t="s">
        <v>144</v>
      </c>
      <c r="C360" s="1" t="s">
        <v>354</v>
      </c>
      <c r="D360" t="s">
        <v>27</v>
      </c>
      <c r="E360" s="2">
        <v>45825</v>
      </c>
      <c r="F360" s="2">
        <v>45825</v>
      </c>
      <c r="G360" s="3">
        <v>24</v>
      </c>
      <c r="H360" s="4" t="s">
        <v>28</v>
      </c>
      <c r="I360" s="4">
        <f>25+2</f>
        <v>27</v>
      </c>
      <c r="J360">
        <v>0</v>
      </c>
      <c r="K360">
        <v>0</v>
      </c>
      <c r="L360" s="3">
        <v>0</v>
      </c>
      <c r="M360" s="3">
        <v>0</v>
      </c>
      <c r="N360">
        <v>0</v>
      </c>
      <c r="O360">
        <v>0</v>
      </c>
      <c r="P360">
        <v>0</v>
      </c>
      <c r="Q360">
        <v>0</v>
      </c>
      <c r="R360" s="3">
        <v>0</v>
      </c>
      <c r="S360" s="3">
        <v>0</v>
      </c>
      <c r="T360">
        <v>0</v>
      </c>
      <c r="U360">
        <v>0</v>
      </c>
      <c r="V360" s="3">
        <v>0</v>
      </c>
      <c r="W360" s="3">
        <v>0</v>
      </c>
      <c r="X360">
        <v>0</v>
      </c>
      <c r="Y360" t="s">
        <v>312</v>
      </c>
    </row>
    <row r="361" spans="1:25" hidden="1" x14ac:dyDescent="0.25">
      <c r="A361" s="1" t="s">
        <v>33</v>
      </c>
      <c r="B361" t="s">
        <v>144</v>
      </c>
      <c r="C361" t="s">
        <v>94</v>
      </c>
      <c r="D361" t="s">
        <v>27</v>
      </c>
      <c r="E361" s="2">
        <v>45825</v>
      </c>
      <c r="F361" s="2">
        <v>45825</v>
      </c>
      <c r="G361" s="3">
        <v>24</v>
      </c>
      <c r="H361" s="4" t="s">
        <v>28</v>
      </c>
      <c r="I361" s="4">
        <v>40</v>
      </c>
      <c r="J361">
        <v>0</v>
      </c>
      <c r="K361">
        <v>0</v>
      </c>
      <c r="L361" s="3">
        <v>0</v>
      </c>
      <c r="M361" s="3">
        <v>0</v>
      </c>
      <c r="N361">
        <v>0</v>
      </c>
      <c r="O361">
        <v>0</v>
      </c>
      <c r="P361">
        <v>0</v>
      </c>
      <c r="Q361">
        <v>0</v>
      </c>
      <c r="R361" s="3">
        <v>0</v>
      </c>
      <c r="S361" s="3">
        <v>0</v>
      </c>
      <c r="T361">
        <v>0</v>
      </c>
      <c r="U361">
        <v>0</v>
      </c>
      <c r="V361" s="3">
        <v>0</v>
      </c>
      <c r="W361" s="3">
        <v>0</v>
      </c>
      <c r="X361">
        <v>0</v>
      </c>
      <c r="Y361" t="s">
        <v>312</v>
      </c>
    </row>
    <row r="362" spans="1:25" hidden="1" x14ac:dyDescent="0.25">
      <c r="A362" t="s">
        <v>94</v>
      </c>
      <c r="B362" t="s">
        <v>144</v>
      </c>
      <c r="C362" t="s">
        <v>55</v>
      </c>
      <c r="D362" t="s">
        <v>27</v>
      </c>
      <c r="E362" s="2">
        <v>45825</v>
      </c>
      <c r="F362" s="2">
        <v>45825</v>
      </c>
      <c r="G362" s="3">
        <v>24</v>
      </c>
      <c r="H362" s="4" t="s">
        <v>28</v>
      </c>
      <c r="I362" s="4">
        <v>40</v>
      </c>
      <c r="J362">
        <v>0</v>
      </c>
      <c r="K362">
        <v>0</v>
      </c>
      <c r="L362" s="3">
        <v>0</v>
      </c>
      <c r="M362" s="3">
        <v>0</v>
      </c>
      <c r="N362">
        <v>0</v>
      </c>
      <c r="O362">
        <v>0</v>
      </c>
      <c r="P362">
        <v>0</v>
      </c>
      <c r="Q362">
        <v>0</v>
      </c>
      <c r="R362" s="3">
        <v>0</v>
      </c>
      <c r="S362" s="3">
        <v>0</v>
      </c>
      <c r="T362">
        <v>0</v>
      </c>
      <c r="U362">
        <v>0</v>
      </c>
      <c r="V362" s="3">
        <v>0</v>
      </c>
      <c r="W362" s="3">
        <v>0</v>
      </c>
      <c r="X362">
        <v>0</v>
      </c>
      <c r="Y362" t="s">
        <v>312</v>
      </c>
    </row>
    <row r="363" spans="1:25" hidden="1" x14ac:dyDescent="0.25">
      <c r="A363" t="s">
        <v>51</v>
      </c>
      <c r="B363" t="s">
        <v>144</v>
      </c>
      <c r="C363" t="s">
        <v>94</v>
      </c>
      <c r="D363" t="s">
        <v>27</v>
      </c>
      <c r="E363" s="2">
        <v>45825</v>
      </c>
      <c r="F363" s="2">
        <v>45825</v>
      </c>
      <c r="G363" s="3">
        <v>24</v>
      </c>
      <c r="H363" s="4" t="s">
        <v>959</v>
      </c>
      <c r="I363">
        <v>0</v>
      </c>
      <c r="J363">
        <v>0</v>
      </c>
      <c r="K363">
        <v>0</v>
      </c>
      <c r="L363" s="3">
        <v>0</v>
      </c>
      <c r="M363" s="3">
        <v>0</v>
      </c>
      <c r="N363">
        <v>0</v>
      </c>
      <c r="O363">
        <v>0</v>
      </c>
      <c r="P363">
        <v>0</v>
      </c>
      <c r="Q363">
        <v>0</v>
      </c>
      <c r="R363" s="3">
        <v>0</v>
      </c>
      <c r="S363" s="3">
        <v>0</v>
      </c>
      <c r="T363">
        <v>0</v>
      </c>
      <c r="U363">
        <v>0</v>
      </c>
      <c r="V363" s="3">
        <v>0</v>
      </c>
      <c r="W363" s="3">
        <v>0</v>
      </c>
      <c r="X363">
        <v>0</v>
      </c>
      <c r="Y363" t="s">
        <v>312</v>
      </c>
    </row>
    <row r="364" spans="1:25" hidden="1" x14ac:dyDescent="0.25">
      <c r="A364" t="s">
        <v>94</v>
      </c>
      <c r="B364" t="s">
        <v>144</v>
      </c>
      <c r="C364" t="s">
        <v>57</v>
      </c>
      <c r="D364" t="s">
        <v>27</v>
      </c>
      <c r="E364" s="2">
        <v>45825</v>
      </c>
      <c r="F364" s="2">
        <v>45825</v>
      </c>
      <c r="G364" s="3">
        <v>24</v>
      </c>
      <c r="H364" s="4" t="s">
        <v>782</v>
      </c>
      <c r="I364">
        <v>0</v>
      </c>
      <c r="J364">
        <v>0</v>
      </c>
      <c r="K364">
        <v>0</v>
      </c>
      <c r="L364" s="3">
        <v>0</v>
      </c>
      <c r="M364" s="3">
        <v>0</v>
      </c>
      <c r="N364">
        <v>0</v>
      </c>
      <c r="O364">
        <v>0</v>
      </c>
      <c r="P364">
        <v>0</v>
      </c>
      <c r="Q364">
        <v>0</v>
      </c>
      <c r="R364" s="3">
        <v>0</v>
      </c>
      <c r="S364" s="3">
        <v>0</v>
      </c>
      <c r="T364">
        <v>0</v>
      </c>
      <c r="U364">
        <v>0</v>
      </c>
      <c r="V364" s="3">
        <v>0</v>
      </c>
      <c r="W364" s="3">
        <v>0</v>
      </c>
      <c r="X364">
        <v>0</v>
      </c>
      <c r="Y364" t="s">
        <v>312</v>
      </c>
    </row>
    <row r="365" spans="1:25" hidden="1" x14ac:dyDescent="0.25">
      <c r="A365" t="s">
        <v>25</v>
      </c>
      <c r="B365" t="s">
        <v>96</v>
      </c>
      <c r="C365" t="s">
        <v>26</v>
      </c>
      <c r="D365" t="s">
        <v>27</v>
      </c>
      <c r="E365" s="2">
        <v>45826</v>
      </c>
      <c r="F365" s="2">
        <v>45826</v>
      </c>
      <c r="G365" s="3">
        <v>59</v>
      </c>
      <c r="H365" s="4" t="s">
        <v>28</v>
      </c>
      <c r="I365" s="4">
        <f>42+11</f>
        <v>53</v>
      </c>
      <c r="J365">
        <v>0</v>
      </c>
      <c r="K365">
        <v>0</v>
      </c>
      <c r="L365" s="3">
        <v>0</v>
      </c>
      <c r="M365" s="3">
        <v>0</v>
      </c>
      <c r="N365">
        <v>1</v>
      </c>
      <c r="O365">
        <v>0</v>
      </c>
      <c r="P365">
        <v>0</v>
      </c>
      <c r="Q365">
        <v>0</v>
      </c>
      <c r="R365" s="3">
        <v>0</v>
      </c>
      <c r="S365" s="3">
        <v>0</v>
      </c>
      <c r="T365">
        <v>0</v>
      </c>
      <c r="U365">
        <v>0</v>
      </c>
      <c r="V365" s="3">
        <v>0</v>
      </c>
      <c r="W365" s="3">
        <v>0</v>
      </c>
      <c r="X365">
        <v>0</v>
      </c>
      <c r="Y365" t="s">
        <v>313</v>
      </c>
    </row>
    <row r="366" spans="1:25" hidden="1" x14ac:dyDescent="0.25">
      <c r="A366" s="1" t="s">
        <v>56</v>
      </c>
      <c r="B366" t="s">
        <v>98</v>
      </c>
      <c r="C366" t="s">
        <v>37</v>
      </c>
      <c r="D366" t="s">
        <v>27</v>
      </c>
      <c r="E366" s="2">
        <v>45826</v>
      </c>
      <c r="F366" s="2">
        <v>45826</v>
      </c>
      <c r="G366" s="3">
        <v>29</v>
      </c>
      <c r="H366" s="4" t="s">
        <v>28</v>
      </c>
      <c r="I366" s="4">
        <v>71</v>
      </c>
      <c r="J366">
        <v>0</v>
      </c>
      <c r="K366">
        <v>0</v>
      </c>
      <c r="L366" s="3">
        <v>1</v>
      </c>
      <c r="M366" s="3">
        <v>0</v>
      </c>
      <c r="N366">
        <v>0</v>
      </c>
      <c r="O366">
        <v>0</v>
      </c>
      <c r="P366">
        <v>0</v>
      </c>
      <c r="Q366">
        <v>0</v>
      </c>
      <c r="R366" s="3">
        <v>0</v>
      </c>
      <c r="S366" s="3">
        <v>0</v>
      </c>
      <c r="T366">
        <v>0</v>
      </c>
      <c r="U366">
        <v>0</v>
      </c>
      <c r="V366" s="3">
        <v>0</v>
      </c>
      <c r="W366" s="3">
        <v>0</v>
      </c>
      <c r="X366">
        <v>0</v>
      </c>
      <c r="Y366" t="s">
        <v>314</v>
      </c>
    </row>
    <row r="367" spans="1:25" hidden="1" x14ac:dyDescent="0.25">
      <c r="A367" t="s">
        <v>29</v>
      </c>
      <c r="B367" t="s">
        <v>100</v>
      </c>
      <c r="C367" t="s">
        <v>245</v>
      </c>
      <c r="D367" t="s">
        <v>27</v>
      </c>
      <c r="E367" s="2">
        <v>45826</v>
      </c>
      <c r="F367" s="2">
        <v>45826</v>
      </c>
      <c r="G367" s="3">
        <v>86</v>
      </c>
      <c r="H367" s="4" t="s">
        <v>28</v>
      </c>
      <c r="I367" s="4">
        <f>37+4</f>
        <v>41</v>
      </c>
      <c r="J367" s="15">
        <v>0</v>
      </c>
      <c r="K367">
        <v>0</v>
      </c>
      <c r="L367" s="3">
        <v>1</v>
      </c>
      <c r="M367" s="3">
        <v>0</v>
      </c>
      <c r="N367">
        <v>0</v>
      </c>
      <c r="O367">
        <v>0</v>
      </c>
      <c r="P367">
        <v>0</v>
      </c>
      <c r="Q367">
        <v>0</v>
      </c>
      <c r="R367" s="3">
        <v>0</v>
      </c>
      <c r="S367" s="3">
        <v>0</v>
      </c>
      <c r="T367">
        <v>0</v>
      </c>
      <c r="U367">
        <v>0</v>
      </c>
      <c r="V367" s="3">
        <v>0</v>
      </c>
      <c r="W367" s="3">
        <v>0</v>
      </c>
      <c r="X367">
        <v>0</v>
      </c>
      <c r="Y367" t="s">
        <v>315</v>
      </c>
    </row>
    <row r="368" spans="1:25" hidden="1" x14ac:dyDescent="0.25">
      <c r="A368" s="1" t="s">
        <v>344</v>
      </c>
      <c r="B368" t="s">
        <v>100</v>
      </c>
      <c r="C368" t="s">
        <v>35</v>
      </c>
      <c r="D368" t="s">
        <v>27</v>
      </c>
      <c r="E368" s="2">
        <v>45826</v>
      </c>
      <c r="F368" s="2">
        <v>45826</v>
      </c>
      <c r="G368" s="3">
        <v>86</v>
      </c>
      <c r="H368" s="4" t="s">
        <v>28</v>
      </c>
      <c r="I368" s="4">
        <v>40</v>
      </c>
      <c r="J368" s="15">
        <v>0</v>
      </c>
      <c r="K368">
        <v>0</v>
      </c>
      <c r="L368" s="3">
        <v>0</v>
      </c>
      <c r="M368" s="3">
        <v>0</v>
      </c>
      <c r="N368">
        <v>0</v>
      </c>
      <c r="O368">
        <v>0</v>
      </c>
      <c r="P368">
        <v>0</v>
      </c>
      <c r="Q368">
        <v>0</v>
      </c>
      <c r="R368" s="3">
        <v>0</v>
      </c>
      <c r="S368" s="3">
        <v>0</v>
      </c>
      <c r="T368">
        <v>0</v>
      </c>
      <c r="U368">
        <v>0</v>
      </c>
      <c r="V368" s="3">
        <v>0</v>
      </c>
      <c r="W368" s="3">
        <v>0</v>
      </c>
      <c r="X368">
        <v>0</v>
      </c>
      <c r="Y368" t="s">
        <v>315</v>
      </c>
    </row>
    <row r="369" spans="1:25" hidden="1" x14ac:dyDescent="0.25">
      <c r="A369" t="s">
        <v>31</v>
      </c>
      <c r="B369" t="s">
        <v>104</v>
      </c>
      <c r="C369" t="s">
        <v>32</v>
      </c>
      <c r="D369" t="s">
        <v>27</v>
      </c>
      <c r="E369" s="2">
        <v>45826</v>
      </c>
      <c r="F369" s="2">
        <v>45826</v>
      </c>
      <c r="G369" s="3">
        <v>69</v>
      </c>
      <c r="H369" s="4" t="s">
        <v>28</v>
      </c>
      <c r="I369" s="4">
        <f>108+2</f>
        <v>110</v>
      </c>
      <c r="J369">
        <v>0</v>
      </c>
      <c r="K369">
        <v>0</v>
      </c>
      <c r="L369" s="3">
        <v>0</v>
      </c>
      <c r="M369" s="3">
        <v>0</v>
      </c>
      <c r="N369">
        <v>0</v>
      </c>
      <c r="O369">
        <v>0</v>
      </c>
      <c r="P369">
        <v>0</v>
      </c>
      <c r="Q369">
        <v>50</v>
      </c>
      <c r="R369" s="3">
        <v>0</v>
      </c>
      <c r="S369" s="3">
        <v>0</v>
      </c>
      <c r="T369">
        <v>0</v>
      </c>
      <c r="U369">
        <v>0</v>
      </c>
      <c r="V369" s="3">
        <v>0</v>
      </c>
      <c r="W369" s="3">
        <v>0</v>
      </c>
      <c r="X369">
        <v>0</v>
      </c>
      <c r="Y369" t="s">
        <v>316</v>
      </c>
    </row>
    <row r="370" spans="1:25" hidden="1" x14ac:dyDescent="0.25">
      <c r="A370" s="1" t="s">
        <v>33</v>
      </c>
      <c r="B370" t="s">
        <v>106</v>
      </c>
      <c r="C370" t="s">
        <v>57</v>
      </c>
      <c r="D370" t="s">
        <v>27</v>
      </c>
      <c r="E370" s="2">
        <v>45826</v>
      </c>
      <c r="F370" s="2">
        <v>45826</v>
      </c>
      <c r="G370" s="3">
        <v>28</v>
      </c>
      <c r="H370" s="4" t="s">
        <v>28</v>
      </c>
      <c r="I370" s="4">
        <f>40+1</f>
        <v>41</v>
      </c>
      <c r="J370">
        <v>0</v>
      </c>
      <c r="K370">
        <v>0</v>
      </c>
      <c r="L370" s="3">
        <v>0</v>
      </c>
      <c r="M370" s="3">
        <v>0</v>
      </c>
      <c r="N370">
        <v>0</v>
      </c>
      <c r="O370">
        <v>0</v>
      </c>
      <c r="P370">
        <v>0</v>
      </c>
      <c r="Q370">
        <v>0</v>
      </c>
      <c r="R370" s="3">
        <v>0</v>
      </c>
      <c r="S370" s="3">
        <v>0</v>
      </c>
      <c r="T370">
        <v>0</v>
      </c>
      <c r="U370">
        <v>0</v>
      </c>
      <c r="V370" s="3">
        <v>0</v>
      </c>
      <c r="W370" s="3">
        <v>0</v>
      </c>
      <c r="X370">
        <v>0</v>
      </c>
      <c r="Y370" t="s">
        <v>317</v>
      </c>
    </row>
    <row r="371" spans="1:25" hidden="1" x14ac:dyDescent="0.25">
      <c r="A371" s="1" t="s">
        <v>34</v>
      </c>
      <c r="B371" t="s">
        <v>247</v>
      </c>
      <c r="C371" t="s">
        <v>44</v>
      </c>
      <c r="D371" t="s">
        <v>27</v>
      </c>
      <c r="E371" s="2">
        <v>45826</v>
      </c>
      <c r="F371" s="2">
        <v>45826</v>
      </c>
      <c r="G371" s="3">
        <v>23</v>
      </c>
      <c r="H371" s="4" t="s">
        <v>28</v>
      </c>
      <c r="I371" s="4">
        <v>75</v>
      </c>
      <c r="J371">
        <v>0</v>
      </c>
      <c r="K371">
        <v>0</v>
      </c>
      <c r="L371" s="3">
        <v>0</v>
      </c>
      <c r="M371" s="3">
        <v>0</v>
      </c>
      <c r="N371">
        <v>0</v>
      </c>
      <c r="O371">
        <v>0</v>
      </c>
      <c r="P371">
        <v>0</v>
      </c>
      <c r="Q371">
        <v>0</v>
      </c>
      <c r="R371" s="3">
        <v>0</v>
      </c>
      <c r="S371" s="3">
        <v>0</v>
      </c>
      <c r="T371">
        <v>0</v>
      </c>
      <c r="U371">
        <v>0</v>
      </c>
      <c r="V371" s="3">
        <v>0</v>
      </c>
      <c r="W371" s="3">
        <v>0</v>
      </c>
      <c r="X371">
        <v>0</v>
      </c>
      <c r="Y371" t="s">
        <v>318</v>
      </c>
    </row>
    <row r="372" spans="1:25" hidden="1" x14ac:dyDescent="0.25">
      <c r="A372" t="s">
        <v>38</v>
      </c>
      <c r="B372" t="s">
        <v>108</v>
      </c>
      <c r="C372" t="s">
        <v>39</v>
      </c>
      <c r="D372" t="s">
        <v>27</v>
      </c>
      <c r="E372" s="2">
        <v>45826</v>
      </c>
      <c r="F372" s="2">
        <v>45826</v>
      </c>
      <c r="G372" s="3">
        <v>58</v>
      </c>
      <c r="H372" s="4" t="s">
        <v>28</v>
      </c>
      <c r="I372">
        <v>35</v>
      </c>
      <c r="J372">
        <v>0</v>
      </c>
      <c r="K372">
        <v>0</v>
      </c>
      <c r="L372" s="3">
        <v>0</v>
      </c>
      <c r="M372" s="3">
        <v>0</v>
      </c>
      <c r="N372">
        <v>0</v>
      </c>
      <c r="O372">
        <v>0</v>
      </c>
      <c r="P372">
        <v>0</v>
      </c>
      <c r="Q372">
        <v>35</v>
      </c>
      <c r="R372" s="3">
        <v>0</v>
      </c>
      <c r="S372" s="3">
        <v>0</v>
      </c>
      <c r="T372">
        <v>0</v>
      </c>
      <c r="U372">
        <v>0</v>
      </c>
      <c r="V372" s="3">
        <v>0</v>
      </c>
      <c r="W372" s="3">
        <v>0</v>
      </c>
      <c r="X372">
        <v>0</v>
      </c>
      <c r="Y372" t="s">
        <v>319</v>
      </c>
    </row>
    <row r="373" spans="1:25" hidden="1" x14ac:dyDescent="0.25">
      <c r="A373" t="s">
        <v>40</v>
      </c>
      <c r="B373" t="s">
        <v>110</v>
      </c>
      <c r="C373" t="s">
        <v>36</v>
      </c>
      <c r="D373" t="s">
        <v>27</v>
      </c>
      <c r="E373" s="2">
        <v>45826</v>
      </c>
      <c r="F373" s="2">
        <v>45826</v>
      </c>
      <c r="G373" s="3">
        <v>126</v>
      </c>
      <c r="H373" s="4" t="s">
        <v>28</v>
      </c>
      <c r="I373" s="4">
        <v>32</v>
      </c>
      <c r="J373">
        <v>0</v>
      </c>
      <c r="K373">
        <v>0</v>
      </c>
      <c r="L373" s="3">
        <v>1</v>
      </c>
      <c r="M373" s="3">
        <v>0</v>
      </c>
      <c r="N373">
        <v>1</v>
      </c>
      <c r="O373">
        <v>0</v>
      </c>
      <c r="P373">
        <v>0</v>
      </c>
      <c r="Q373">
        <v>0</v>
      </c>
      <c r="R373" s="3">
        <v>0</v>
      </c>
      <c r="S373" s="3">
        <v>0</v>
      </c>
      <c r="T373">
        <v>0</v>
      </c>
      <c r="U373">
        <v>0</v>
      </c>
      <c r="V373" s="3">
        <v>0</v>
      </c>
      <c r="W373" s="3">
        <v>0</v>
      </c>
      <c r="X373">
        <v>0</v>
      </c>
      <c r="Y373" t="s">
        <v>320</v>
      </c>
    </row>
    <row r="374" spans="1:25" hidden="1" x14ac:dyDescent="0.25">
      <c r="A374" t="s">
        <v>41</v>
      </c>
      <c r="B374" t="s">
        <v>112</v>
      </c>
      <c r="C374" t="s">
        <v>42</v>
      </c>
      <c r="D374" t="s">
        <v>27</v>
      </c>
      <c r="E374" s="2">
        <v>45826</v>
      </c>
      <c r="F374" s="2">
        <v>45826</v>
      </c>
      <c r="G374" s="3">
        <v>64</v>
      </c>
      <c r="H374" s="4" t="s">
        <v>28</v>
      </c>
      <c r="I374" s="4">
        <f>41+3</f>
        <v>44</v>
      </c>
      <c r="J374">
        <v>0</v>
      </c>
      <c r="K374">
        <v>0</v>
      </c>
      <c r="L374" s="3">
        <v>1</v>
      </c>
      <c r="M374" s="3">
        <v>0</v>
      </c>
      <c r="N374">
        <v>0</v>
      </c>
      <c r="O374">
        <v>0</v>
      </c>
      <c r="P374">
        <v>0</v>
      </c>
      <c r="Q374">
        <v>0</v>
      </c>
      <c r="R374" s="3">
        <v>0</v>
      </c>
      <c r="S374" s="3">
        <v>0</v>
      </c>
      <c r="T374">
        <v>0</v>
      </c>
      <c r="U374">
        <v>0</v>
      </c>
      <c r="V374" s="3">
        <v>0</v>
      </c>
      <c r="W374" s="3">
        <v>0</v>
      </c>
      <c r="X374">
        <v>0</v>
      </c>
      <c r="Y374" t="s">
        <v>321</v>
      </c>
    </row>
    <row r="375" spans="1:25" hidden="1" x14ac:dyDescent="0.25">
      <c r="A375" s="1" t="s">
        <v>45</v>
      </c>
      <c r="B375" t="s">
        <v>116</v>
      </c>
      <c r="C375" t="s">
        <v>46</v>
      </c>
      <c r="D375" t="s">
        <v>27</v>
      </c>
      <c r="E375" s="2">
        <v>45826</v>
      </c>
      <c r="F375" s="2">
        <v>45826</v>
      </c>
      <c r="G375" s="3">
        <v>54</v>
      </c>
      <c r="H375" s="4" t="s">
        <v>28</v>
      </c>
      <c r="I375" s="4">
        <f>40+30</f>
        <v>70</v>
      </c>
      <c r="J375">
        <v>0</v>
      </c>
      <c r="K375">
        <v>0</v>
      </c>
      <c r="L375" s="3">
        <v>1</v>
      </c>
      <c r="M375" s="3">
        <v>0</v>
      </c>
      <c r="N375">
        <v>0</v>
      </c>
      <c r="O375">
        <v>0</v>
      </c>
      <c r="P375">
        <v>0</v>
      </c>
      <c r="Q375">
        <v>0</v>
      </c>
      <c r="R375" s="3">
        <v>0</v>
      </c>
      <c r="S375" s="3">
        <v>0</v>
      </c>
      <c r="T375">
        <v>0</v>
      </c>
      <c r="U375">
        <v>0</v>
      </c>
      <c r="V375" s="3">
        <v>0</v>
      </c>
      <c r="W375" s="3">
        <v>0</v>
      </c>
      <c r="X375">
        <v>0</v>
      </c>
      <c r="Y375" t="s">
        <v>322</v>
      </c>
    </row>
    <row r="376" spans="1:25" hidden="1" x14ac:dyDescent="0.25">
      <c r="A376" t="s">
        <v>47</v>
      </c>
      <c r="B376" t="s">
        <v>137</v>
      </c>
      <c r="C376" t="s">
        <v>48</v>
      </c>
      <c r="D376" t="s">
        <v>27</v>
      </c>
      <c r="E376" s="2">
        <v>45826</v>
      </c>
      <c r="F376" s="2">
        <v>45826</v>
      </c>
      <c r="G376" s="5">
        <v>1762</v>
      </c>
      <c r="H376" s="4" t="s">
        <v>28</v>
      </c>
      <c r="I376" s="4">
        <v>51</v>
      </c>
      <c r="J376">
        <v>0</v>
      </c>
      <c r="K376">
        <v>0</v>
      </c>
      <c r="L376" s="3">
        <v>0</v>
      </c>
      <c r="M376" s="3">
        <v>0</v>
      </c>
      <c r="N376">
        <v>0</v>
      </c>
      <c r="O376">
        <v>0</v>
      </c>
      <c r="P376">
        <v>0</v>
      </c>
      <c r="Q376">
        <v>0</v>
      </c>
      <c r="R376" s="3">
        <v>0</v>
      </c>
      <c r="S376" s="3">
        <v>0</v>
      </c>
      <c r="T376">
        <v>0</v>
      </c>
      <c r="U376">
        <v>0</v>
      </c>
      <c r="V376" s="3">
        <v>0</v>
      </c>
      <c r="W376" s="3">
        <v>0</v>
      </c>
      <c r="X376">
        <v>0</v>
      </c>
      <c r="Y376" t="s">
        <v>323</v>
      </c>
    </row>
    <row r="377" spans="1:25" hidden="1" x14ac:dyDescent="0.25">
      <c r="A377" t="s">
        <v>49</v>
      </c>
      <c r="B377" t="s">
        <v>118</v>
      </c>
      <c r="C377" t="s">
        <v>50</v>
      </c>
      <c r="D377" t="s">
        <v>27</v>
      </c>
      <c r="E377" s="2">
        <v>45826</v>
      </c>
      <c r="F377" s="2">
        <v>45826</v>
      </c>
      <c r="G377" s="3">
        <v>25</v>
      </c>
      <c r="H377" s="4" t="s">
        <v>28</v>
      </c>
      <c r="I377" s="4">
        <f>21+17</f>
        <v>38</v>
      </c>
      <c r="J377">
        <v>0</v>
      </c>
      <c r="K377">
        <v>0</v>
      </c>
      <c r="L377" s="3">
        <v>1</v>
      </c>
      <c r="M377" s="3">
        <v>1</v>
      </c>
      <c r="N377">
        <v>0</v>
      </c>
      <c r="O377">
        <v>0</v>
      </c>
      <c r="P377">
        <v>0</v>
      </c>
      <c r="Q377">
        <v>50</v>
      </c>
      <c r="R377" s="3">
        <v>0</v>
      </c>
      <c r="S377" s="3">
        <v>0</v>
      </c>
      <c r="T377">
        <v>0</v>
      </c>
      <c r="U377">
        <v>0</v>
      </c>
      <c r="V377" s="3">
        <v>0</v>
      </c>
      <c r="W377" s="3">
        <v>0</v>
      </c>
      <c r="X377">
        <v>0</v>
      </c>
      <c r="Y377" t="s">
        <v>324</v>
      </c>
    </row>
    <row r="378" spans="1:25" hidden="1" x14ac:dyDescent="0.25">
      <c r="A378" t="s">
        <v>51</v>
      </c>
      <c r="B378" t="s">
        <v>120</v>
      </c>
      <c r="C378" t="s">
        <v>55</v>
      </c>
      <c r="D378" t="s">
        <v>27</v>
      </c>
      <c r="E378" s="2">
        <v>45826</v>
      </c>
      <c r="F378" s="2">
        <v>45826</v>
      </c>
      <c r="G378" s="3">
        <v>78</v>
      </c>
      <c r="H378" s="4" t="s">
        <v>28</v>
      </c>
      <c r="I378" s="4">
        <f>45+7</f>
        <v>52</v>
      </c>
      <c r="J378">
        <v>0</v>
      </c>
      <c r="K378">
        <v>0</v>
      </c>
      <c r="L378" s="3">
        <v>1</v>
      </c>
      <c r="M378" s="3">
        <v>0</v>
      </c>
      <c r="N378">
        <v>1</v>
      </c>
      <c r="O378">
        <v>0</v>
      </c>
      <c r="P378">
        <v>0</v>
      </c>
      <c r="Q378">
        <v>0</v>
      </c>
      <c r="R378" s="3">
        <v>0</v>
      </c>
      <c r="S378" s="3">
        <v>0</v>
      </c>
      <c r="T378">
        <v>0</v>
      </c>
      <c r="U378">
        <v>0</v>
      </c>
      <c r="V378" s="3">
        <v>0</v>
      </c>
      <c r="W378" s="3">
        <v>0</v>
      </c>
      <c r="X378">
        <v>0</v>
      </c>
      <c r="Y378" t="s">
        <v>325</v>
      </c>
    </row>
    <row r="379" spans="1:25" hidden="1" x14ac:dyDescent="0.25">
      <c r="A379" s="1" t="s">
        <v>54</v>
      </c>
      <c r="B379" t="s">
        <v>122</v>
      </c>
      <c r="C379" t="s">
        <v>52</v>
      </c>
      <c r="D379" t="s">
        <v>27</v>
      </c>
      <c r="E379" s="2">
        <v>45826</v>
      </c>
      <c r="F379" s="2">
        <v>45826</v>
      </c>
      <c r="G379" s="3">
        <v>39</v>
      </c>
      <c r="H379" s="4" t="s">
        <v>28</v>
      </c>
      <c r="I379" s="4">
        <f>30+1</f>
        <v>31</v>
      </c>
      <c r="J379">
        <v>0</v>
      </c>
      <c r="K379">
        <v>0</v>
      </c>
      <c r="L379" s="3">
        <v>0</v>
      </c>
      <c r="M379" s="3">
        <v>0</v>
      </c>
      <c r="N379">
        <v>0</v>
      </c>
      <c r="O379">
        <v>0</v>
      </c>
      <c r="P379">
        <v>0</v>
      </c>
      <c r="Q379">
        <v>0</v>
      </c>
      <c r="R379" s="3">
        <v>0</v>
      </c>
      <c r="S379" s="3">
        <v>0</v>
      </c>
      <c r="T379">
        <v>0</v>
      </c>
      <c r="U379">
        <v>0</v>
      </c>
      <c r="V379" s="3">
        <v>0</v>
      </c>
      <c r="W379" s="3">
        <v>0</v>
      </c>
      <c r="X379">
        <v>0</v>
      </c>
      <c r="Y379" t="s">
        <v>326</v>
      </c>
    </row>
    <row r="380" spans="1:25" hidden="1" x14ac:dyDescent="0.25">
      <c r="A380" t="s">
        <v>53</v>
      </c>
      <c r="B380" t="s">
        <v>142</v>
      </c>
      <c r="C380" t="s">
        <v>39</v>
      </c>
      <c r="D380" t="s">
        <v>27</v>
      </c>
      <c r="E380" s="2">
        <v>45826</v>
      </c>
      <c r="F380" s="2">
        <v>45826</v>
      </c>
      <c r="G380" s="3">
        <v>42</v>
      </c>
      <c r="H380" s="4" t="s">
        <v>28</v>
      </c>
      <c r="I380">
        <v>28</v>
      </c>
      <c r="J380">
        <v>0</v>
      </c>
      <c r="K380">
        <v>0</v>
      </c>
      <c r="L380" s="3">
        <v>1</v>
      </c>
      <c r="M380" s="3">
        <v>0</v>
      </c>
      <c r="N380">
        <v>0</v>
      </c>
      <c r="O380">
        <v>0</v>
      </c>
      <c r="P380">
        <v>0</v>
      </c>
      <c r="Q380">
        <v>28</v>
      </c>
      <c r="R380" s="3">
        <v>0</v>
      </c>
      <c r="S380" s="3">
        <v>0</v>
      </c>
      <c r="T380">
        <v>0</v>
      </c>
      <c r="U380">
        <v>0</v>
      </c>
      <c r="V380" s="3">
        <v>0</v>
      </c>
      <c r="W380" s="3">
        <v>0</v>
      </c>
      <c r="X380">
        <v>0</v>
      </c>
      <c r="Y380" t="s">
        <v>327</v>
      </c>
    </row>
    <row r="381" spans="1:25" hidden="1" x14ac:dyDescent="0.25">
      <c r="A381" s="1" t="s">
        <v>58</v>
      </c>
      <c r="B381" t="s">
        <v>144</v>
      </c>
      <c r="C381" s="1" t="s">
        <v>354</v>
      </c>
      <c r="D381" t="s">
        <v>27</v>
      </c>
      <c r="E381" s="2">
        <v>45826</v>
      </c>
      <c r="F381" s="2">
        <v>45826</v>
      </c>
      <c r="G381" s="3">
        <v>25</v>
      </c>
      <c r="H381" s="4" t="s">
        <v>28</v>
      </c>
      <c r="I381" s="4">
        <f>32+23</f>
        <v>55</v>
      </c>
      <c r="J381">
        <v>0</v>
      </c>
      <c r="K381">
        <v>0</v>
      </c>
      <c r="L381" s="3">
        <v>1</v>
      </c>
      <c r="M381" s="3">
        <v>0</v>
      </c>
      <c r="N381">
        <v>0</v>
      </c>
      <c r="O381">
        <v>0</v>
      </c>
      <c r="P381">
        <v>0</v>
      </c>
      <c r="Q381">
        <v>0</v>
      </c>
      <c r="R381" s="3">
        <v>0</v>
      </c>
      <c r="S381" s="3">
        <v>0</v>
      </c>
      <c r="T381">
        <v>0</v>
      </c>
      <c r="U381">
        <v>0</v>
      </c>
      <c r="V381" s="3">
        <v>0</v>
      </c>
      <c r="W381" s="3">
        <v>0</v>
      </c>
      <c r="X381">
        <v>0</v>
      </c>
      <c r="Y381" t="s">
        <v>328</v>
      </c>
    </row>
    <row r="382" spans="1:25" hidden="1" x14ac:dyDescent="0.25">
      <c r="A382" t="s">
        <v>25</v>
      </c>
      <c r="B382" t="s">
        <v>96</v>
      </c>
      <c r="C382" t="s">
        <v>26</v>
      </c>
      <c r="D382" t="s">
        <v>27</v>
      </c>
      <c r="E382" s="2">
        <v>45827</v>
      </c>
      <c r="F382" s="2">
        <v>45827</v>
      </c>
      <c r="G382" s="3">
        <v>46</v>
      </c>
      <c r="H382" s="4" t="s">
        <v>28</v>
      </c>
      <c r="I382" s="4">
        <v>41</v>
      </c>
      <c r="J382">
        <v>0</v>
      </c>
      <c r="K382">
        <v>0</v>
      </c>
      <c r="L382" s="3">
        <v>0</v>
      </c>
      <c r="M382" s="3">
        <v>0</v>
      </c>
      <c r="N382">
        <v>1</v>
      </c>
      <c r="O382">
        <v>0</v>
      </c>
      <c r="P382">
        <v>0</v>
      </c>
      <c r="Q382">
        <v>0</v>
      </c>
      <c r="R382" s="3">
        <v>0</v>
      </c>
      <c r="S382" s="3">
        <v>0</v>
      </c>
      <c r="T382">
        <v>0</v>
      </c>
      <c r="U382">
        <v>0</v>
      </c>
      <c r="V382" s="3">
        <v>0</v>
      </c>
      <c r="W382" s="3">
        <v>0</v>
      </c>
      <c r="X382">
        <v>0</v>
      </c>
      <c r="Y382" t="s">
        <v>329</v>
      </c>
    </row>
    <row r="383" spans="1:25" hidden="1" x14ac:dyDescent="0.25">
      <c r="A383" s="1" t="s">
        <v>56</v>
      </c>
      <c r="B383" t="s">
        <v>98</v>
      </c>
      <c r="C383" t="s">
        <v>37</v>
      </c>
      <c r="D383" t="s">
        <v>27</v>
      </c>
      <c r="E383" s="2">
        <v>45827</v>
      </c>
      <c r="F383" s="2">
        <v>45827</v>
      </c>
      <c r="G383" s="3">
        <v>42</v>
      </c>
      <c r="H383" s="4" t="s">
        <v>28</v>
      </c>
      <c r="I383" s="4">
        <f>68+2</f>
        <v>70</v>
      </c>
      <c r="J383">
        <v>0</v>
      </c>
      <c r="K383">
        <v>0</v>
      </c>
      <c r="L383" s="3">
        <v>1</v>
      </c>
      <c r="M383" s="3">
        <v>0</v>
      </c>
      <c r="N383">
        <v>0</v>
      </c>
      <c r="O383">
        <v>0</v>
      </c>
      <c r="P383">
        <v>0</v>
      </c>
      <c r="Q383">
        <v>0</v>
      </c>
      <c r="R383" s="3">
        <v>0</v>
      </c>
      <c r="S383" s="3">
        <v>0</v>
      </c>
      <c r="T383">
        <v>0</v>
      </c>
      <c r="U383">
        <v>0</v>
      </c>
      <c r="V383" s="3">
        <v>0</v>
      </c>
      <c r="W383" s="3">
        <v>0</v>
      </c>
      <c r="X383">
        <v>0</v>
      </c>
      <c r="Y383" t="s">
        <v>330</v>
      </c>
    </row>
    <row r="384" spans="1:25" hidden="1" x14ac:dyDescent="0.25">
      <c r="A384" t="s">
        <v>31</v>
      </c>
      <c r="B384" t="s">
        <v>104</v>
      </c>
      <c r="C384" t="s">
        <v>32</v>
      </c>
      <c r="D384" t="s">
        <v>27</v>
      </c>
      <c r="E384" s="2">
        <v>45827</v>
      </c>
      <c r="F384" s="2">
        <v>45827</v>
      </c>
      <c r="G384" s="3">
        <v>73</v>
      </c>
      <c r="H384" s="4" t="s">
        <v>28</v>
      </c>
      <c r="I384" s="4">
        <f>70+4</f>
        <v>74</v>
      </c>
      <c r="J384">
        <v>0</v>
      </c>
      <c r="K384">
        <v>0</v>
      </c>
      <c r="L384" s="3">
        <v>0</v>
      </c>
      <c r="M384" s="3">
        <v>0</v>
      </c>
      <c r="N384">
        <v>0</v>
      </c>
      <c r="O384">
        <v>0</v>
      </c>
      <c r="P384">
        <v>0</v>
      </c>
      <c r="Q384">
        <v>50</v>
      </c>
      <c r="R384" s="3">
        <v>0</v>
      </c>
      <c r="S384" s="3">
        <v>0</v>
      </c>
      <c r="T384">
        <v>0</v>
      </c>
      <c r="U384">
        <v>0</v>
      </c>
      <c r="V384" s="3">
        <v>0</v>
      </c>
      <c r="W384" s="3">
        <v>0</v>
      </c>
      <c r="X384">
        <v>0</v>
      </c>
      <c r="Y384" t="s">
        <v>331</v>
      </c>
    </row>
    <row r="385" spans="1:25" hidden="1" x14ac:dyDescent="0.25">
      <c r="A385" s="1" t="s">
        <v>33</v>
      </c>
      <c r="B385" t="s">
        <v>106</v>
      </c>
      <c r="C385" t="s">
        <v>57</v>
      </c>
      <c r="D385" t="s">
        <v>27</v>
      </c>
      <c r="E385" s="2">
        <v>45827</v>
      </c>
      <c r="F385" s="2">
        <v>45827</v>
      </c>
      <c r="G385" s="3">
        <v>25</v>
      </c>
      <c r="H385" s="4" t="s">
        <v>28</v>
      </c>
      <c r="I385" s="4">
        <v>38</v>
      </c>
      <c r="J385">
        <v>0</v>
      </c>
      <c r="K385">
        <v>0</v>
      </c>
      <c r="L385" s="3">
        <v>0</v>
      </c>
      <c r="M385" s="3">
        <v>0</v>
      </c>
      <c r="N385">
        <v>0</v>
      </c>
      <c r="O385">
        <v>0</v>
      </c>
      <c r="P385">
        <v>0</v>
      </c>
      <c r="Q385">
        <v>0</v>
      </c>
      <c r="R385" s="3">
        <v>0</v>
      </c>
      <c r="S385" s="3">
        <v>0</v>
      </c>
      <c r="T385">
        <v>0</v>
      </c>
      <c r="U385">
        <v>0</v>
      </c>
      <c r="V385" s="3">
        <v>0</v>
      </c>
      <c r="W385" s="3">
        <v>0</v>
      </c>
      <c r="X385">
        <v>0</v>
      </c>
      <c r="Y385" t="s">
        <v>332</v>
      </c>
    </row>
    <row r="386" spans="1:25" hidden="1" x14ac:dyDescent="0.25">
      <c r="A386" s="1" t="s">
        <v>34</v>
      </c>
      <c r="B386" t="s">
        <v>247</v>
      </c>
      <c r="C386" t="s">
        <v>44</v>
      </c>
      <c r="D386" t="s">
        <v>27</v>
      </c>
      <c r="E386" s="2">
        <v>45827</v>
      </c>
      <c r="F386" s="2">
        <v>45827</v>
      </c>
      <c r="G386" s="3">
        <v>24</v>
      </c>
      <c r="H386" s="4" t="s">
        <v>28</v>
      </c>
      <c r="I386" s="4">
        <v>58</v>
      </c>
      <c r="J386">
        <v>0</v>
      </c>
      <c r="K386">
        <v>0</v>
      </c>
      <c r="L386" s="3">
        <v>1</v>
      </c>
      <c r="M386" s="3">
        <v>0</v>
      </c>
      <c r="N386">
        <v>0</v>
      </c>
      <c r="O386">
        <v>0</v>
      </c>
      <c r="P386">
        <v>0</v>
      </c>
      <c r="Q386">
        <v>0</v>
      </c>
      <c r="R386" s="3">
        <v>0</v>
      </c>
      <c r="S386" s="3">
        <v>0</v>
      </c>
      <c r="T386">
        <v>0</v>
      </c>
      <c r="U386">
        <v>0</v>
      </c>
      <c r="V386" s="3">
        <v>0</v>
      </c>
      <c r="W386" s="3">
        <v>0</v>
      </c>
      <c r="X386">
        <v>0</v>
      </c>
      <c r="Y386" t="s">
        <v>333</v>
      </c>
    </row>
    <row r="387" spans="1:25" hidden="1" x14ac:dyDescent="0.25">
      <c r="A387" t="s">
        <v>38</v>
      </c>
      <c r="B387" t="s">
        <v>108</v>
      </c>
      <c r="C387" t="s">
        <v>39</v>
      </c>
      <c r="D387" t="s">
        <v>27</v>
      </c>
      <c r="E387" s="2">
        <v>45827</v>
      </c>
      <c r="F387" s="2">
        <v>45827</v>
      </c>
      <c r="G387" s="3">
        <v>49</v>
      </c>
      <c r="H387" s="4" t="s">
        <v>28</v>
      </c>
      <c r="I387">
        <v>32</v>
      </c>
      <c r="J387">
        <v>0</v>
      </c>
      <c r="K387">
        <v>0</v>
      </c>
      <c r="L387" s="3">
        <v>0</v>
      </c>
      <c r="M387" s="3">
        <v>0</v>
      </c>
      <c r="N387">
        <v>0</v>
      </c>
      <c r="O387">
        <v>0</v>
      </c>
      <c r="P387">
        <v>0</v>
      </c>
      <c r="Q387">
        <v>32</v>
      </c>
      <c r="R387" s="3">
        <v>0</v>
      </c>
      <c r="S387" s="3">
        <v>0</v>
      </c>
      <c r="T387">
        <v>0</v>
      </c>
      <c r="U387">
        <v>0</v>
      </c>
      <c r="V387" s="3">
        <v>0</v>
      </c>
      <c r="W387" s="3">
        <v>0</v>
      </c>
      <c r="X387">
        <v>0</v>
      </c>
      <c r="Y387" t="s">
        <v>334</v>
      </c>
    </row>
    <row r="388" spans="1:25" hidden="1" x14ac:dyDescent="0.25">
      <c r="A388" t="s">
        <v>41</v>
      </c>
      <c r="B388" t="s">
        <v>112</v>
      </c>
      <c r="C388" t="s">
        <v>42</v>
      </c>
      <c r="D388" t="s">
        <v>27</v>
      </c>
      <c r="E388" s="2">
        <v>45827</v>
      </c>
      <c r="F388" s="2">
        <v>45827</v>
      </c>
      <c r="G388" s="3">
        <v>41</v>
      </c>
      <c r="H388" s="4" t="s">
        <v>28</v>
      </c>
      <c r="I388" s="4">
        <f>47+2</f>
        <v>49</v>
      </c>
      <c r="J388">
        <v>0</v>
      </c>
      <c r="K388">
        <v>0</v>
      </c>
      <c r="L388" s="3">
        <v>1</v>
      </c>
      <c r="M388" s="3">
        <v>0</v>
      </c>
      <c r="N388">
        <v>0</v>
      </c>
      <c r="O388">
        <v>0</v>
      </c>
      <c r="P388">
        <v>0</v>
      </c>
      <c r="Q388">
        <v>0</v>
      </c>
      <c r="R388" s="3">
        <v>0</v>
      </c>
      <c r="S388" s="3">
        <v>0</v>
      </c>
      <c r="T388">
        <v>0</v>
      </c>
      <c r="U388">
        <v>0</v>
      </c>
      <c r="V388" s="3">
        <v>0</v>
      </c>
      <c r="W388" s="3">
        <v>0</v>
      </c>
      <c r="X388">
        <v>0</v>
      </c>
      <c r="Y388" t="s">
        <v>335</v>
      </c>
    </row>
    <row r="389" spans="1:25" hidden="1" x14ac:dyDescent="0.25">
      <c r="A389" s="1" t="s">
        <v>45</v>
      </c>
      <c r="B389" t="s">
        <v>116</v>
      </c>
      <c r="C389" t="s">
        <v>46</v>
      </c>
      <c r="D389" t="s">
        <v>27</v>
      </c>
      <c r="E389" s="2">
        <v>45827</v>
      </c>
      <c r="F389" s="2">
        <v>45827</v>
      </c>
      <c r="G389" s="3">
        <v>54</v>
      </c>
      <c r="H389" s="4" t="s">
        <v>28</v>
      </c>
      <c r="I389" s="4">
        <f>44+4</f>
        <v>48</v>
      </c>
      <c r="J389">
        <v>0</v>
      </c>
      <c r="K389">
        <v>0</v>
      </c>
      <c r="L389" s="3">
        <v>0</v>
      </c>
      <c r="M389" s="3">
        <v>0</v>
      </c>
      <c r="N389">
        <v>0</v>
      </c>
      <c r="O389">
        <v>0</v>
      </c>
      <c r="P389">
        <v>0</v>
      </c>
      <c r="Q389">
        <v>0</v>
      </c>
      <c r="R389" s="3">
        <v>0</v>
      </c>
      <c r="S389" s="3">
        <v>0</v>
      </c>
      <c r="T389">
        <v>0</v>
      </c>
      <c r="U389">
        <v>0</v>
      </c>
      <c r="V389" s="3">
        <v>0</v>
      </c>
      <c r="W389" s="3">
        <v>0</v>
      </c>
      <c r="X389">
        <v>0</v>
      </c>
      <c r="Y389" t="s">
        <v>336</v>
      </c>
    </row>
    <row r="390" spans="1:25" hidden="1" x14ac:dyDescent="0.25">
      <c r="A390" t="s">
        <v>47</v>
      </c>
      <c r="B390" t="s">
        <v>137</v>
      </c>
      <c r="C390" t="s">
        <v>48</v>
      </c>
      <c r="D390" t="s">
        <v>27</v>
      </c>
      <c r="E390" s="2">
        <v>45827</v>
      </c>
      <c r="F390" s="2">
        <v>45827</v>
      </c>
      <c r="G390" s="3">
        <v>267</v>
      </c>
      <c r="H390" s="4" t="s">
        <v>28</v>
      </c>
      <c r="I390" s="4">
        <v>62</v>
      </c>
      <c r="J390">
        <v>0</v>
      </c>
      <c r="K390">
        <v>0</v>
      </c>
      <c r="L390" s="3">
        <v>0</v>
      </c>
      <c r="M390" s="3">
        <v>0</v>
      </c>
      <c r="N390">
        <v>0</v>
      </c>
      <c r="O390">
        <v>0</v>
      </c>
      <c r="P390">
        <v>0</v>
      </c>
      <c r="Q390">
        <v>0</v>
      </c>
      <c r="R390" s="3">
        <v>0</v>
      </c>
      <c r="S390" s="3">
        <v>0</v>
      </c>
      <c r="T390">
        <v>0</v>
      </c>
      <c r="U390">
        <v>0</v>
      </c>
      <c r="V390" s="3">
        <v>0</v>
      </c>
      <c r="W390" s="3">
        <v>0</v>
      </c>
      <c r="X390">
        <v>0</v>
      </c>
      <c r="Y390" t="s">
        <v>337</v>
      </c>
    </row>
    <row r="391" spans="1:25" hidden="1" x14ac:dyDescent="0.25">
      <c r="A391" t="s">
        <v>49</v>
      </c>
      <c r="B391" t="s">
        <v>118</v>
      </c>
      <c r="C391" t="s">
        <v>50</v>
      </c>
      <c r="D391" t="s">
        <v>27</v>
      </c>
      <c r="E391" s="2">
        <v>45827</v>
      </c>
      <c r="F391" s="2">
        <v>45827</v>
      </c>
      <c r="G391" s="3">
        <v>22</v>
      </c>
      <c r="H391" s="4" t="s">
        <v>28</v>
      </c>
      <c r="I391" s="4">
        <v>20</v>
      </c>
      <c r="J391">
        <v>0</v>
      </c>
      <c r="K391">
        <v>0</v>
      </c>
      <c r="L391" s="3">
        <v>1</v>
      </c>
      <c r="M391" s="3">
        <v>1</v>
      </c>
      <c r="N391">
        <v>0</v>
      </c>
      <c r="O391">
        <v>1</v>
      </c>
      <c r="P391">
        <v>0</v>
      </c>
      <c r="Q391">
        <v>30</v>
      </c>
      <c r="R391" s="3">
        <v>0</v>
      </c>
      <c r="S391" s="3">
        <v>0</v>
      </c>
      <c r="T391">
        <v>0</v>
      </c>
      <c r="U391">
        <v>0</v>
      </c>
      <c r="V391" s="3">
        <v>0</v>
      </c>
      <c r="W391" s="3">
        <v>0</v>
      </c>
      <c r="X391">
        <v>0</v>
      </c>
      <c r="Y391" t="s">
        <v>338</v>
      </c>
    </row>
    <row r="392" spans="1:25" hidden="1" x14ac:dyDescent="0.25">
      <c r="A392" t="s">
        <v>51</v>
      </c>
      <c r="B392" t="s">
        <v>120</v>
      </c>
      <c r="C392" t="s">
        <v>55</v>
      </c>
      <c r="D392" t="s">
        <v>27</v>
      </c>
      <c r="E392" s="2">
        <v>45827</v>
      </c>
      <c r="F392" s="2">
        <v>45827</v>
      </c>
      <c r="G392" s="3">
        <v>104</v>
      </c>
      <c r="H392" s="4" t="s">
        <v>28</v>
      </c>
      <c r="I392" s="4">
        <v>23</v>
      </c>
      <c r="J392">
        <v>0</v>
      </c>
      <c r="K392">
        <v>0</v>
      </c>
      <c r="L392" s="3">
        <v>0</v>
      </c>
      <c r="M392" s="3">
        <v>0</v>
      </c>
      <c r="N392">
        <v>1</v>
      </c>
      <c r="O392">
        <v>0</v>
      </c>
      <c r="P392">
        <v>0</v>
      </c>
      <c r="Q392">
        <v>0</v>
      </c>
      <c r="R392" s="3">
        <v>0</v>
      </c>
      <c r="S392" s="3">
        <v>0</v>
      </c>
      <c r="T392">
        <v>0</v>
      </c>
      <c r="U392">
        <v>0</v>
      </c>
      <c r="V392" s="3">
        <v>0</v>
      </c>
      <c r="W392" s="3">
        <v>0</v>
      </c>
      <c r="X392">
        <v>0</v>
      </c>
      <c r="Y392" t="s">
        <v>339</v>
      </c>
    </row>
    <row r="393" spans="1:25" hidden="1" x14ac:dyDescent="0.25">
      <c r="A393" t="s">
        <v>53</v>
      </c>
      <c r="B393" t="s">
        <v>142</v>
      </c>
      <c r="C393" t="s">
        <v>39</v>
      </c>
      <c r="D393" t="s">
        <v>27</v>
      </c>
      <c r="E393" s="2">
        <v>45827</v>
      </c>
      <c r="F393" s="2">
        <v>45827</v>
      </c>
      <c r="G393" s="3">
        <v>44</v>
      </c>
      <c r="H393" s="4" t="s">
        <v>28</v>
      </c>
      <c r="I393">
        <v>17</v>
      </c>
      <c r="J393">
        <v>0</v>
      </c>
      <c r="K393">
        <v>0</v>
      </c>
      <c r="L393" s="3">
        <v>1</v>
      </c>
      <c r="M393" s="3">
        <v>0</v>
      </c>
      <c r="N393">
        <v>0</v>
      </c>
      <c r="O393">
        <v>0</v>
      </c>
      <c r="P393">
        <v>0</v>
      </c>
      <c r="Q393">
        <v>17</v>
      </c>
      <c r="R393" s="3">
        <v>0</v>
      </c>
      <c r="S393" s="3">
        <v>0</v>
      </c>
      <c r="T393">
        <v>0</v>
      </c>
      <c r="U393">
        <v>0</v>
      </c>
      <c r="V393" s="3">
        <v>0</v>
      </c>
      <c r="W393" s="3">
        <v>0</v>
      </c>
      <c r="X393">
        <v>0</v>
      </c>
      <c r="Y393" t="s">
        <v>340</v>
      </c>
    </row>
    <row r="394" spans="1:25" hidden="1" x14ac:dyDescent="0.25">
      <c r="A394" s="1" t="s">
        <v>344</v>
      </c>
      <c r="B394" t="s">
        <v>142</v>
      </c>
      <c r="C394" t="s">
        <v>94</v>
      </c>
      <c r="D394" t="s">
        <v>27</v>
      </c>
      <c r="E394" s="2">
        <v>45827</v>
      </c>
      <c r="F394" s="2">
        <v>45827</v>
      </c>
      <c r="G394" s="3">
        <v>44</v>
      </c>
      <c r="H394" s="4" t="s">
        <v>28</v>
      </c>
      <c r="I394" s="4">
        <v>56</v>
      </c>
      <c r="J394">
        <v>0</v>
      </c>
      <c r="K394">
        <v>0</v>
      </c>
      <c r="L394" s="3">
        <v>0</v>
      </c>
      <c r="M394" s="3">
        <v>0</v>
      </c>
      <c r="N394">
        <v>0</v>
      </c>
      <c r="O394">
        <v>0</v>
      </c>
      <c r="P394">
        <v>0</v>
      </c>
      <c r="Q394">
        <v>0</v>
      </c>
      <c r="R394" s="3">
        <v>0</v>
      </c>
      <c r="S394" s="3">
        <v>0</v>
      </c>
      <c r="T394">
        <v>0</v>
      </c>
      <c r="U394">
        <v>0</v>
      </c>
      <c r="V394" s="3">
        <v>0</v>
      </c>
      <c r="W394" s="3">
        <v>0</v>
      </c>
      <c r="X394">
        <v>0</v>
      </c>
      <c r="Y394" t="s">
        <v>340</v>
      </c>
    </row>
    <row r="395" spans="1:25" hidden="1" x14ac:dyDescent="0.25">
      <c r="A395" t="s">
        <v>94</v>
      </c>
      <c r="B395" t="s">
        <v>142</v>
      </c>
      <c r="C395" t="s">
        <v>245</v>
      </c>
      <c r="D395" t="s">
        <v>27</v>
      </c>
      <c r="E395" s="2">
        <v>45827</v>
      </c>
      <c r="F395" s="2">
        <v>45827</v>
      </c>
      <c r="G395" s="3">
        <v>44</v>
      </c>
      <c r="H395" s="4" t="s">
        <v>28</v>
      </c>
      <c r="I395" s="4">
        <v>56</v>
      </c>
      <c r="J395">
        <v>0</v>
      </c>
      <c r="K395">
        <v>0</v>
      </c>
      <c r="L395" s="3">
        <v>0</v>
      </c>
      <c r="M395" s="3">
        <v>0</v>
      </c>
      <c r="N395">
        <v>0</v>
      </c>
      <c r="O395">
        <v>0</v>
      </c>
      <c r="P395">
        <v>0</v>
      </c>
      <c r="Q395">
        <v>0</v>
      </c>
      <c r="R395" s="3">
        <v>0</v>
      </c>
      <c r="S395" s="3">
        <v>0</v>
      </c>
      <c r="T395">
        <v>0</v>
      </c>
      <c r="U395">
        <v>0</v>
      </c>
      <c r="V395" s="3">
        <v>0</v>
      </c>
      <c r="W395" s="3">
        <v>0</v>
      </c>
      <c r="X395">
        <v>0</v>
      </c>
      <c r="Y395" t="s">
        <v>340</v>
      </c>
    </row>
    <row r="396" spans="1:25" hidden="1" x14ac:dyDescent="0.25">
      <c r="A396" t="s">
        <v>94</v>
      </c>
      <c r="B396" t="s">
        <v>142</v>
      </c>
      <c r="C396" t="s">
        <v>35</v>
      </c>
      <c r="D396" t="s">
        <v>27</v>
      </c>
      <c r="E396" s="2">
        <v>45827</v>
      </c>
      <c r="F396" s="2">
        <v>45827</v>
      </c>
      <c r="G396" s="3">
        <v>44</v>
      </c>
      <c r="H396" s="4" t="s">
        <v>28</v>
      </c>
      <c r="I396" s="4">
        <v>56</v>
      </c>
      <c r="J396">
        <v>0</v>
      </c>
      <c r="K396">
        <v>0</v>
      </c>
      <c r="L396" s="3">
        <v>0</v>
      </c>
      <c r="M396" s="3">
        <v>0</v>
      </c>
      <c r="N396">
        <v>0</v>
      </c>
      <c r="O396">
        <v>0</v>
      </c>
      <c r="P396">
        <v>0</v>
      </c>
      <c r="Q396">
        <v>0</v>
      </c>
      <c r="R396" s="3">
        <v>0</v>
      </c>
      <c r="S396" s="3">
        <v>0</v>
      </c>
      <c r="T396">
        <v>0</v>
      </c>
      <c r="U396">
        <v>0</v>
      </c>
      <c r="V396" s="3">
        <v>0</v>
      </c>
      <c r="W396" s="3">
        <v>0</v>
      </c>
      <c r="X396">
        <v>0</v>
      </c>
      <c r="Y396" t="s">
        <v>340</v>
      </c>
    </row>
    <row r="397" spans="1:25" hidden="1" x14ac:dyDescent="0.25">
      <c r="A397" s="1" t="s">
        <v>54</v>
      </c>
      <c r="B397" t="s">
        <v>142</v>
      </c>
      <c r="C397" t="s">
        <v>52</v>
      </c>
      <c r="D397" t="s">
        <v>27</v>
      </c>
      <c r="E397" s="2">
        <v>45827</v>
      </c>
      <c r="F397" s="2">
        <v>45827</v>
      </c>
      <c r="G397" s="3">
        <v>44</v>
      </c>
      <c r="H397" s="4" t="s">
        <v>28</v>
      </c>
      <c r="I397" s="4">
        <f>30+2</f>
        <v>32</v>
      </c>
      <c r="J397">
        <v>0</v>
      </c>
      <c r="K397">
        <v>0</v>
      </c>
      <c r="L397" s="3">
        <v>0</v>
      </c>
      <c r="M397" s="3">
        <v>0</v>
      </c>
      <c r="N397">
        <v>0</v>
      </c>
      <c r="O397">
        <v>0</v>
      </c>
      <c r="P397">
        <v>0</v>
      </c>
      <c r="Q397">
        <v>0</v>
      </c>
      <c r="R397" s="3">
        <v>0</v>
      </c>
      <c r="S397" s="3">
        <v>0</v>
      </c>
      <c r="T397">
        <v>0</v>
      </c>
      <c r="U397">
        <v>0</v>
      </c>
      <c r="V397" s="3">
        <v>0</v>
      </c>
      <c r="W397" s="3">
        <v>0</v>
      </c>
      <c r="X397">
        <v>0</v>
      </c>
      <c r="Y397" t="s">
        <v>340</v>
      </c>
    </row>
    <row r="398" spans="1:25" hidden="1" x14ac:dyDescent="0.25">
      <c r="A398" t="s">
        <v>94</v>
      </c>
      <c r="B398" t="s">
        <v>142</v>
      </c>
      <c r="C398" s="1" t="s">
        <v>354</v>
      </c>
      <c r="D398" t="s">
        <v>27</v>
      </c>
      <c r="E398" s="2">
        <v>45827</v>
      </c>
      <c r="F398" s="2">
        <v>45827</v>
      </c>
      <c r="G398" s="3">
        <v>44</v>
      </c>
      <c r="H398" s="4" t="s">
        <v>28</v>
      </c>
      <c r="I398" s="4">
        <v>30</v>
      </c>
      <c r="J398">
        <v>0</v>
      </c>
      <c r="K398">
        <v>0</v>
      </c>
      <c r="L398" s="3">
        <v>0</v>
      </c>
      <c r="M398" s="3">
        <v>0</v>
      </c>
      <c r="N398">
        <v>0</v>
      </c>
      <c r="O398">
        <v>0</v>
      </c>
      <c r="P398">
        <v>0</v>
      </c>
      <c r="Q398">
        <v>0</v>
      </c>
      <c r="R398" s="3">
        <v>0</v>
      </c>
      <c r="S398" s="3">
        <v>0</v>
      </c>
      <c r="T398">
        <v>0</v>
      </c>
      <c r="U398">
        <v>0</v>
      </c>
      <c r="V398" s="3">
        <v>0</v>
      </c>
      <c r="W398" s="3">
        <v>0</v>
      </c>
      <c r="X398">
        <v>0</v>
      </c>
      <c r="Y398" t="s">
        <v>340</v>
      </c>
    </row>
    <row r="399" spans="1:25" hidden="1" x14ac:dyDescent="0.25">
      <c r="A399" t="s">
        <v>40</v>
      </c>
      <c r="B399" t="s">
        <v>142</v>
      </c>
      <c r="C399" t="s">
        <v>36</v>
      </c>
      <c r="D399" t="s">
        <v>27</v>
      </c>
      <c r="E399" s="2">
        <v>45827</v>
      </c>
      <c r="F399" s="2">
        <v>45827</v>
      </c>
      <c r="G399" s="3">
        <v>44</v>
      </c>
      <c r="H399" s="4" t="s">
        <v>250</v>
      </c>
      <c r="I399" s="4">
        <v>0</v>
      </c>
      <c r="J399">
        <v>0</v>
      </c>
      <c r="K399">
        <v>0</v>
      </c>
      <c r="L399" s="3">
        <v>0</v>
      </c>
      <c r="M399" s="3">
        <v>0</v>
      </c>
      <c r="N399">
        <v>0</v>
      </c>
      <c r="O399">
        <v>0</v>
      </c>
      <c r="P399">
        <v>0</v>
      </c>
      <c r="Q399">
        <v>0</v>
      </c>
      <c r="R399" s="3">
        <v>0</v>
      </c>
      <c r="S399" s="3">
        <v>0</v>
      </c>
      <c r="T399">
        <v>0</v>
      </c>
      <c r="U399">
        <v>0</v>
      </c>
      <c r="V399" s="3">
        <v>0</v>
      </c>
      <c r="W399" s="3">
        <v>0</v>
      </c>
      <c r="X399">
        <v>0</v>
      </c>
      <c r="Y399" t="s">
        <v>340</v>
      </c>
    </row>
    <row r="400" spans="1:25" hidden="1" x14ac:dyDescent="0.25">
      <c r="A400" t="s">
        <v>29</v>
      </c>
      <c r="B400" t="s">
        <v>142</v>
      </c>
      <c r="C400" t="s">
        <v>94</v>
      </c>
      <c r="D400" t="s">
        <v>27</v>
      </c>
      <c r="E400" s="2">
        <v>45827</v>
      </c>
      <c r="F400" s="2">
        <v>45827</v>
      </c>
      <c r="G400" s="3">
        <v>44</v>
      </c>
      <c r="H400" s="4" t="s">
        <v>250</v>
      </c>
      <c r="I400" s="4">
        <v>0</v>
      </c>
      <c r="J400">
        <v>0</v>
      </c>
      <c r="K400">
        <v>0</v>
      </c>
      <c r="L400" s="3">
        <v>0</v>
      </c>
      <c r="M400" s="3">
        <v>0</v>
      </c>
      <c r="N400">
        <v>0</v>
      </c>
      <c r="O400">
        <v>0</v>
      </c>
      <c r="P400">
        <v>0</v>
      </c>
      <c r="Q400">
        <v>0</v>
      </c>
      <c r="R400" s="3">
        <v>0</v>
      </c>
      <c r="S400" s="3">
        <v>0</v>
      </c>
      <c r="T400">
        <v>0</v>
      </c>
      <c r="U400">
        <v>0</v>
      </c>
      <c r="V400" s="3">
        <v>0</v>
      </c>
      <c r="W400" s="3">
        <v>0</v>
      </c>
      <c r="X400">
        <v>0</v>
      </c>
      <c r="Y400" t="s">
        <v>340</v>
      </c>
    </row>
    <row r="401" spans="1:25" hidden="1" x14ac:dyDescent="0.25">
      <c r="A401" s="1" t="s">
        <v>58</v>
      </c>
      <c r="B401" t="s">
        <v>142</v>
      </c>
      <c r="C401" t="s">
        <v>94</v>
      </c>
      <c r="D401" t="s">
        <v>27</v>
      </c>
      <c r="E401" s="2">
        <v>45827</v>
      </c>
      <c r="F401" s="2">
        <v>45827</v>
      </c>
      <c r="G401" s="3">
        <v>44</v>
      </c>
      <c r="H401" s="4" t="s">
        <v>180</v>
      </c>
      <c r="I401" s="4">
        <v>0</v>
      </c>
      <c r="J401">
        <v>0</v>
      </c>
      <c r="K401">
        <v>0</v>
      </c>
      <c r="L401" s="3">
        <v>0</v>
      </c>
      <c r="M401" s="3">
        <v>0</v>
      </c>
      <c r="N401">
        <v>0</v>
      </c>
      <c r="O401">
        <v>0</v>
      </c>
      <c r="P401">
        <v>0</v>
      </c>
      <c r="Q401">
        <v>0</v>
      </c>
      <c r="R401" s="3">
        <v>0</v>
      </c>
      <c r="S401" s="3">
        <v>0</v>
      </c>
      <c r="T401">
        <v>0</v>
      </c>
      <c r="U401">
        <v>0</v>
      </c>
      <c r="V401" s="3">
        <v>0</v>
      </c>
      <c r="W401" s="3">
        <v>0</v>
      </c>
      <c r="X401">
        <v>0</v>
      </c>
      <c r="Y401" t="s">
        <v>340</v>
      </c>
    </row>
    <row r="402" spans="1:25" hidden="1" x14ac:dyDescent="0.25">
      <c r="A402" s="16" t="s">
        <v>41</v>
      </c>
      <c r="B402" s="16" t="s">
        <v>112</v>
      </c>
      <c r="C402" s="16" t="s">
        <v>42</v>
      </c>
      <c r="D402" s="16" t="s">
        <v>27</v>
      </c>
      <c r="E402" s="19">
        <v>45828</v>
      </c>
      <c r="F402" s="19">
        <v>45828</v>
      </c>
      <c r="G402" s="3">
        <v>129</v>
      </c>
      <c r="H402" s="4" t="s">
        <v>28</v>
      </c>
      <c r="I402">
        <v>0</v>
      </c>
      <c r="J402">
        <v>0</v>
      </c>
      <c r="K402">
        <v>0</v>
      </c>
      <c r="L402" s="3">
        <v>0</v>
      </c>
      <c r="M402" s="3">
        <v>0</v>
      </c>
      <c r="N402">
        <v>0</v>
      </c>
      <c r="O402">
        <v>0</v>
      </c>
      <c r="P402">
        <v>0</v>
      </c>
      <c r="Q402">
        <v>10</v>
      </c>
      <c r="R402" s="3">
        <v>0</v>
      </c>
      <c r="S402" s="3">
        <v>1</v>
      </c>
      <c r="T402">
        <v>52</v>
      </c>
      <c r="U402">
        <v>5</v>
      </c>
      <c r="V402" s="3">
        <v>0</v>
      </c>
      <c r="W402" s="3">
        <v>1</v>
      </c>
      <c r="X402">
        <v>0</v>
      </c>
      <c r="Y402" t="s">
        <v>471</v>
      </c>
    </row>
    <row r="403" spans="1:25" hidden="1" x14ac:dyDescent="0.25">
      <c r="A403" s="16" t="s">
        <v>41</v>
      </c>
      <c r="B403" s="16" t="s">
        <v>112</v>
      </c>
      <c r="C403" s="16" t="s">
        <v>42</v>
      </c>
      <c r="D403" s="16" t="s">
        <v>27</v>
      </c>
      <c r="E403" s="12">
        <v>45829</v>
      </c>
      <c r="F403" s="12">
        <v>45829</v>
      </c>
      <c r="G403" s="3">
        <v>101</v>
      </c>
      <c r="H403" s="4" t="s">
        <v>28</v>
      </c>
      <c r="I403">
        <v>0</v>
      </c>
      <c r="J403">
        <v>0</v>
      </c>
      <c r="K403">
        <v>0</v>
      </c>
      <c r="L403" s="3">
        <v>0</v>
      </c>
      <c r="M403" s="3">
        <v>0</v>
      </c>
      <c r="N403">
        <v>0</v>
      </c>
      <c r="O403">
        <v>0</v>
      </c>
      <c r="P403">
        <v>0</v>
      </c>
      <c r="Q403">
        <v>10</v>
      </c>
      <c r="R403" s="3">
        <v>1</v>
      </c>
      <c r="S403" s="3">
        <v>0</v>
      </c>
      <c r="T403">
        <v>26</v>
      </c>
      <c r="U403">
        <v>19</v>
      </c>
      <c r="V403" s="3">
        <v>1</v>
      </c>
      <c r="W403" s="3">
        <v>0</v>
      </c>
      <c r="X403">
        <v>0</v>
      </c>
      <c r="Y403" t="s">
        <v>472</v>
      </c>
    </row>
    <row r="404" spans="1:25" hidden="1" x14ac:dyDescent="0.25">
      <c r="A404" s="16" t="s">
        <v>54</v>
      </c>
      <c r="B404" s="16" t="s">
        <v>122</v>
      </c>
      <c r="C404" s="16" t="s">
        <v>52</v>
      </c>
      <c r="D404" s="16" t="s">
        <v>27</v>
      </c>
      <c r="E404" s="12">
        <v>45829</v>
      </c>
      <c r="F404" s="12">
        <v>45829</v>
      </c>
      <c r="G404" s="3">
        <v>61</v>
      </c>
      <c r="H404" s="4" t="s">
        <v>28</v>
      </c>
      <c r="I404">
        <v>0</v>
      </c>
      <c r="J404">
        <v>0</v>
      </c>
      <c r="K404">
        <v>0</v>
      </c>
      <c r="L404" s="3">
        <v>0</v>
      </c>
      <c r="M404" s="3">
        <v>0</v>
      </c>
      <c r="N404">
        <v>0</v>
      </c>
      <c r="O404">
        <v>0</v>
      </c>
      <c r="P404">
        <v>0</v>
      </c>
      <c r="Q404">
        <v>10</v>
      </c>
      <c r="R404" s="3">
        <v>1</v>
      </c>
      <c r="S404" s="3">
        <v>0</v>
      </c>
      <c r="T404">
        <v>29</v>
      </c>
      <c r="U404">
        <v>27</v>
      </c>
      <c r="V404" s="3">
        <v>1</v>
      </c>
      <c r="W404" s="3">
        <v>0</v>
      </c>
      <c r="X404">
        <v>0</v>
      </c>
      <c r="Y404" t="s">
        <v>473</v>
      </c>
    </row>
    <row r="405" spans="1:25" s="16" customFormat="1" hidden="1" x14ac:dyDescent="0.25">
      <c r="A405" s="16" t="s">
        <v>41</v>
      </c>
      <c r="B405" s="16" t="s">
        <v>112</v>
      </c>
      <c r="C405" s="16" t="s">
        <v>42</v>
      </c>
      <c r="D405" s="16" t="s">
        <v>27</v>
      </c>
      <c r="E405" s="12">
        <v>45830</v>
      </c>
      <c r="F405" s="12">
        <v>45830</v>
      </c>
      <c r="G405" s="18">
        <v>81</v>
      </c>
      <c r="H405" s="16" t="s">
        <v>28</v>
      </c>
      <c r="I405" s="16">
        <v>0</v>
      </c>
      <c r="J405" s="16">
        <v>0</v>
      </c>
      <c r="K405" s="16">
        <v>0</v>
      </c>
      <c r="L405" s="18">
        <v>0</v>
      </c>
      <c r="M405" s="18">
        <v>0</v>
      </c>
      <c r="N405" s="16">
        <v>0</v>
      </c>
      <c r="O405" s="16">
        <v>0</v>
      </c>
      <c r="P405" s="16">
        <v>0</v>
      </c>
      <c r="Q405" s="16">
        <v>16</v>
      </c>
      <c r="R405" s="18">
        <v>0</v>
      </c>
      <c r="S405" s="18">
        <v>1</v>
      </c>
      <c r="T405" s="16">
        <v>16</v>
      </c>
      <c r="U405" s="16">
        <v>119</v>
      </c>
      <c r="V405" s="18">
        <v>0</v>
      </c>
      <c r="W405" s="18">
        <v>1</v>
      </c>
      <c r="X405" s="16">
        <v>0</v>
      </c>
      <c r="Y405" s="16" t="s">
        <v>474</v>
      </c>
    </row>
    <row r="406" spans="1:25" hidden="1" x14ac:dyDescent="0.25">
      <c r="A406" s="1" t="s">
        <v>25</v>
      </c>
      <c r="B406" s="1" t="s">
        <v>98</v>
      </c>
      <c r="C406" s="1" t="s">
        <v>26</v>
      </c>
      <c r="D406" t="s">
        <v>27</v>
      </c>
      <c r="E406" s="2">
        <v>45831</v>
      </c>
      <c r="F406" s="2">
        <v>45831</v>
      </c>
      <c r="G406" s="3">
        <v>28</v>
      </c>
      <c r="H406" s="4" t="s">
        <v>28</v>
      </c>
      <c r="I406">
        <v>50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475</v>
      </c>
    </row>
    <row r="407" spans="1:25" hidden="1" x14ac:dyDescent="0.25">
      <c r="A407" s="1" t="s">
        <v>56</v>
      </c>
      <c r="B407" s="1" t="s">
        <v>98</v>
      </c>
      <c r="C407" s="1" t="s">
        <v>37</v>
      </c>
      <c r="D407" t="s">
        <v>27</v>
      </c>
      <c r="E407" s="2">
        <v>45831</v>
      </c>
      <c r="F407" s="2">
        <v>45831</v>
      </c>
      <c r="G407" s="3">
        <v>28</v>
      </c>
      <c r="H407" s="4" t="s">
        <v>28</v>
      </c>
      <c r="I407">
        <v>77</v>
      </c>
      <c r="J407">
        <v>0</v>
      </c>
      <c r="K407">
        <v>0</v>
      </c>
      <c r="L407" s="3">
        <v>1</v>
      </c>
      <c r="M407" s="3">
        <v>0</v>
      </c>
      <c r="N407">
        <v>0</v>
      </c>
      <c r="O407">
        <v>0</v>
      </c>
      <c r="P407">
        <v>0</v>
      </c>
      <c r="Q407">
        <v>0</v>
      </c>
      <c r="R407" s="3">
        <v>0</v>
      </c>
      <c r="S407" s="3">
        <v>0</v>
      </c>
      <c r="T407">
        <v>0</v>
      </c>
      <c r="U407">
        <v>0</v>
      </c>
      <c r="V407" s="3">
        <v>0</v>
      </c>
      <c r="W407" s="3">
        <v>0</v>
      </c>
      <c r="X407">
        <v>0</v>
      </c>
      <c r="Y407" t="s">
        <v>475</v>
      </c>
    </row>
    <row r="408" spans="1:25" hidden="1" x14ac:dyDescent="0.25">
      <c r="A408" s="1" t="s">
        <v>29</v>
      </c>
      <c r="B408" s="1" t="s">
        <v>100</v>
      </c>
      <c r="C408" s="1" t="s">
        <v>245</v>
      </c>
      <c r="D408" t="s">
        <v>27</v>
      </c>
      <c r="E408" s="2">
        <v>45831</v>
      </c>
      <c r="F408" s="2">
        <v>45831</v>
      </c>
      <c r="G408" s="3">
        <v>49</v>
      </c>
      <c r="H408" s="4" t="s">
        <v>28</v>
      </c>
      <c r="I408">
        <v>41</v>
      </c>
      <c r="J408">
        <v>0</v>
      </c>
      <c r="K408">
        <v>0</v>
      </c>
      <c r="L408" s="3">
        <v>1</v>
      </c>
      <c r="M408" s="3">
        <v>0</v>
      </c>
      <c r="N408">
        <v>0</v>
      </c>
      <c r="O408">
        <v>0</v>
      </c>
      <c r="P408">
        <v>0</v>
      </c>
      <c r="Q408">
        <v>0</v>
      </c>
      <c r="R408" s="3">
        <v>0</v>
      </c>
      <c r="S408" s="3">
        <v>0</v>
      </c>
      <c r="T408">
        <v>0</v>
      </c>
      <c r="U408">
        <v>0</v>
      </c>
      <c r="V408" s="3">
        <v>0</v>
      </c>
      <c r="W408" s="3">
        <v>0</v>
      </c>
      <c r="X408">
        <v>0</v>
      </c>
      <c r="Y408" t="s">
        <v>476</v>
      </c>
    </row>
    <row r="409" spans="1:25" hidden="1" x14ac:dyDescent="0.25">
      <c r="A409" s="1" t="s">
        <v>344</v>
      </c>
      <c r="B409" s="1" t="s">
        <v>102</v>
      </c>
      <c r="C409" s="1" t="s">
        <v>35</v>
      </c>
      <c r="D409" t="s">
        <v>27</v>
      </c>
      <c r="E409" s="2">
        <v>45831</v>
      </c>
      <c r="F409" s="2">
        <v>45831</v>
      </c>
      <c r="G409" s="3">
        <v>30</v>
      </c>
      <c r="H409" s="4" t="s">
        <v>28</v>
      </c>
      <c r="I409">
        <v>45</v>
      </c>
      <c r="J409">
        <v>0</v>
      </c>
      <c r="K409">
        <v>0</v>
      </c>
      <c r="L409" s="3">
        <v>0</v>
      </c>
      <c r="M409" s="3">
        <v>0</v>
      </c>
      <c r="N409">
        <v>0</v>
      </c>
      <c r="O409">
        <v>0</v>
      </c>
      <c r="P409">
        <v>0</v>
      </c>
      <c r="Q409">
        <v>0</v>
      </c>
      <c r="R409" s="3">
        <v>0</v>
      </c>
      <c r="S409" s="3">
        <v>0</v>
      </c>
      <c r="T409">
        <v>0</v>
      </c>
      <c r="U409">
        <v>0</v>
      </c>
      <c r="V409" s="3">
        <v>0</v>
      </c>
      <c r="W409" s="3">
        <v>0</v>
      </c>
      <c r="X409">
        <v>0</v>
      </c>
      <c r="Y409" t="s">
        <v>477</v>
      </c>
    </row>
    <row r="410" spans="1:25" hidden="1" x14ac:dyDescent="0.25">
      <c r="A410" s="1" t="s">
        <v>31</v>
      </c>
      <c r="B410" s="1" t="s">
        <v>104</v>
      </c>
      <c r="C410" s="1" t="s">
        <v>32</v>
      </c>
      <c r="D410" t="s">
        <v>27</v>
      </c>
      <c r="E410" s="2">
        <v>45831</v>
      </c>
      <c r="F410" s="2">
        <v>45831</v>
      </c>
      <c r="G410" s="3">
        <v>52</v>
      </c>
      <c r="H410" s="4" t="s">
        <v>28</v>
      </c>
      <c r="I410">
        <v>116</v>
      </c>
      <c r="J410">
        <v>0</v>
      </c>
      <c r="K410">
        <v>0</v>
      </c>
      <c r="L410" s="3">
        <v>0</v>
      </c>
      <c r="M410" s="3">
        <v>0</v>
      </c>
      <c r="N410">
        <v>0</v>
      </c>
      <c r="O410">
        <v>0</v>
      </c>
      <c r="P410">
        <v>0</v>
      </c>
      <c r="Q410">
        <v>50</v>
      </c>
      <c r="R410" s="3">
        <v>0</v>
      </c>
      <c r="S410" s="3">
        <v>0</v>
      </c>
      <c r="T410">
        <v>0</v>
      </c>
      <c r="U410">
        <v>0</v>
      </c>
      <c r="V410" s="3">
        <v>0</v>
      </c>
      <c r="W410" s="3">
        <v>0</v>
      </c>
      <c r="X410">
        <v>0</v>
      </c>
      <c r="Y410" t="s">
        <v>478</v>
      </c>
    </row>
    <row r="411" spans="1:25" hidden="1" x14ac:dyDescent="0.25">
      <c r="A411" s="1" t="s">
        <v>33</v>
      </c>
      <c r="B411" s="1" t="s">
        <v>106</v>
      </c>
      <c r="C411" s="1" t="s">
        <v>57</v>
      </c>
      <c r="D411" t="s">
        <v>27</v>
      </c>
      <c r="E411" s="2">
        <v>45831</v>
      </c>
      <c r="F411" s="2">
        <v>45831</v>
      </c>
      <c r="G411" s="3">
        <v>25</v>
      </c>
      <c r="H411" s="4" t="s">
        <v>28</v>
      </c>
      <c r="I411">
        <v>56</v>
      </c>
      <c r="J411">
        <v>0</v>
      </c>
      <c r="K411">
        <v>0</v>
      </c>
      <c r="L411" s="3">
        <v>0</v>
      </c>
      <c r="M411" s="3">
        <v>0</v>
      </c>
      <c r="N411">
        <v>0</v>
      </c>
      <c r="O411">
        <v>0</v>
      </c>
      <c r="P411">
        <v>0</v>
      </c>
      <c r="Q411">
        <v>18</v>
      </c>
      <c r="R411" s="3">
        <v>0</v>
      </c>
      <c r="S411" s="3">
        <v>0</v>
      </c>
      <c r="T411">
        <v>0</v>
      </c>
      <c r="U411">
        <v>0</v>
      </c>
      <c r="V411" s="3">
        <v>0</v>
      </c>
      <c r="W411" s="3">
        <v>0</v>
      </c>
      <c r="X411">
        <v>0</v>
      </c>
      <c r="Y411" t="s">
        <v>479</v>
      </c>
    </row>
    <row r="412" spans="1:25" hidden="1" x14ac:dyDescent="0.25">
      <c r="A412" t="s">
        <v>27</v>
      </c>
      <c r="B412" s="1" t="s">
        <v>182</v>
      </c>
      <c r="C412" s="1" t="s">
        <v>46</v>
      </c>
      <c r="D412" t="s">
        <v>27</v>
      </c>
      <c r="E412" s="2">
        <v>45831</v>
      </c>
      <c r="F412" s="2">
        <v>45831</v>
      </c>
      <c r="G412" s="3">
        <v>26</v>
      </c>
      <c r="H412" s="4" t="s">
        <v>28</v>
      </c>
      <c r="I412">
        <v>67</v>
      </c>
      <c r="J412">
        <v>0</v>
      </c>
      <c r="K412">
        <v>0</v>
      </c>
      <c r="L412" s="3">
        <v>0</v>
      </c>
      <c r="M412" s="3">
        <v>0</v>
      </c>
      <c r="N412">
        <v>0</v>
      </c>
      <c r="O412">
        <v>0</v>
      </c>
      <c r="P412">
        <v>0</v>
      </c>
      <c r="Q412">
        <v>0</v>
      </c>
      <c r="R412" s="3">
        <v>0</v>
      </c>
      <c r="S412" s="3">
        <v>0</v>
      </c>
      <c r="T412">
        <v>0</v>
      </c>
      <c r="U412">
        <v>0</v>
      </c>
      <c r="V412" s="3">
        <v>0</v>
      </c>
      <c r="W412" s="3">
        <v>0</v>
      </c>
      <c r="X412" s="3">
        <v>0</v>
      </c>
      <c r="Y412" t="s">
        <v>479</v>
      </c>
    </row>
    <row r="413" spans="1:25" hidden="1" x14ac:dyDescent="0.25">
      <c r="A413" s="1" t="s">
        <v>34</v>
      </c>
      <c r="B413" s="1" t="s">
        <v>247</v>
      </c>
      <c r="C413" s="1" t="s">
        <v>44</v>
      </c>
      <c r="D413" t="s">
        <v>27</v>
      </c>
      <c r="E413" s="2">
        <v>45831</v>
      </c>
      <c r="F413" s="2">
        <v>45831</v>
      </c>
      <c r="G413" s="3">
        <v>28</v>
      </c>
      <c r="H413" s="4" t="s">
        <v>28</v>
      </c>
      <c r="I413">
        <v>76</v>
      </c>
      <c r="J413">
        <v>0</v>
      </c>
      <c r="K413">
        <v>0</v>
      </c>
      <c r="L413" s="3">
        <v>0</v>
      </c>
      <c r="M413" s="3">
        <v>0</v>
      </c>
      <c r="N413">
        <v>0</v>
      </c>
      <c r="O413">
        <v>0</v>
      </c>
      <c r="P413">
        <v>0</v>
      </c>
      <c r="Q413">
        <v>0</v>
      </c>
      <c r="R413" s="3">
        <v>0</v>
      </c>
      <c r="S413" s="3">
        <v>0</v>
      </c>
      <c r="T413">
        <v>0</v>
      </c>
      <c r="U413">
        <v>0</v>
      </c>
      <c r="V413" s="3">
        <v>0</v>
      </c>
      <c r="W413" s="3">
        <v>0</v>
      </c>
      <c r="X413">
        <v>0</v>
      </c>
      <c r="Y413" t="s">
        <v>480</v>
      </c>
    </row>
    <row r="414" spans="1:25" hidden="1" x14ac:dyDescent="0.25">
      <c r="A414" s="1" t="s">
        <v>38</v>
      </c>
      <c r="B414" s="1" t="s">
        <v>108</v>
      </c>
      <c r="C414" s="1" t="s">
        <v>39</v>
      </c>
      <c r="D414" t="s">
        <v>27</v>
      </c>
      <c r="E414" s="2">
        <v>45831</v>
      </c>
      <c r="F414" s="2">
        <v>45831</v>
      </c>
      <c r="G414" s="3">
        <v>76</v>
      </c>
      <c r="H414" s="4" t="s">
        <v>28</v>
      </c>
      <c r="I414">
        <v>35</v>
      </c>
      <c r="J414">
        <v>0</v>
      </c>
      <c r="K414">
        <v>0</v>
      </c>
      <c r="L414" s="3">
        <v>0</v>
      </c>
      <c r="M414" s="3">
        <v>0</v>
      </c>
      <c r="N414">
        <v>0</v>
      </c>
      <c r="O414">
        <v>0</v>
      </c>
      <c r="P414">
        <v>0</v>
      </c>
      <c r="Q414">
        <v>0</v>
      </c>
      <c r="R414" s="3">
        <v>0</v>
      </c>
      <c r="S414" s="3">
        <v>0</v>
      </c>
      <c r="T414">
        <v>0</v>
      </c>
      <c r="U414">
        <v>0</v>
      </c>
      <c r="V414" s="3">
        <v>0</v>
      </c>
      <c r="W414" s="3">
        <v>0</v>
      </c>
      <c r="X414">
        <v>0</v>
      </c>
      <c r="Y414" t="s">
        <v>481</v>
      </c>
    </row>
    <row r="415" spans="1:25" hidden="1" x14ac:dyDescent="0.25">
      <c r="A415" s="1" t="s">
        <v>40</v>
      </c>
      <c r="B415" s="1" t="s">
        <v>110</v>
      </c>
      <c r="C415" t="s">
        <v>27</v>
      </c>
      <c r="D415" t="s">
        <v>27</v>
      </c>
      <c r="E415" s="2">
        <v>45831</v>
      </c>
      <c r="F415" s="2">
        <v>45831</v>
      </c>
      <c r="G415" s="3">
        <v>182</v>
      </c>
      <c r="H415" s="4" t="s">
        <v>28</v>
      </c>
      <c r="I415">
        <v>39</v>
      </c>
      <c r="J415">
        <v>0</v>
      </c>
      <c r="K415">
        <v>0</v>
      </c>
      <c r="L415" s="3">
        <v>1</v>
      </c>
      <c r="M415" s="3">
        <v>0</v>
      </c>
      <c r="N415">
        <v>1</v>
      </c>
      <c r="O415">
        <v>0</v>
      </c>
      <c r="P415">
        <v>0</v>
      </c>
      <c r="Q415">
        <v>0</v>
      </c>
      <c r="R415" s="3">
        <v>0</v>
      </c>
      <c r="S415" s="3">
        <v>0</v>
      </c>
      <c r="T415">
        <v>0</v>
      </c>
      <c r="U415">
        <v>0</v>
      </c>
      <c r="V415" s="3">
        <v>0</v>
      </c>
      <c r="W415" s="3">
        <v>0</v>
      </c>
      <c r="X415">
        <v>0</v>
      </c>
      <c r="Y415" t="s">
        <v>482</v>
      </c>
    </row>
    <row r="416" spans="1:25" hidden="1" x14ac:dyDescent="0.25">
      <c r="A416" s="1" t="s">
        <v>36</v>
      </c>
      <c r="B416" s="1" t="s">
        <v>110</v>
      </c>
      <c r="C416" t="s">
        <v>27</v>
      </c>
      <c r="D416" t="s">
        <v>27</v>
      </c>
      <c r="E416" s="2">
        <v>45831</v>
      </c>
      <c r="F416" s="2">
        <v>45831</v>
      </c>
      <c r="G416" s="3">
        <v>182</v>
      </c>
      <c r="H416" s="4" t="s">
        <v>28</v>
      </c>
      <c r="I416">
        <v>39</v>
      </c>
      <c r="J416">
        <v>0</v>
      </c>
      <c r="K416">
        <v>0</v>
      </c>
      <c r="L416" s="3">
        <v>1</v>
      </c>
      <c r="M416" s="3">
        <v>0</v>
      </c>
      <c r="N416">
        <v>1</v>
      </c>
      <c r="O416">
        <v>0</v>
      </c>
      <c r="P416">
        <v>0</v>
      </c>
      <c r="Q416">
        <v>0</v>
      </c>
      <c r="R416" s="3">
        <v>0</v>
      </c>
      <c r="S416" s="3">
        <v>0</v>
      </c>
      <c r="T416">
        <v>0</v>
      </c>
      <c r="U416">
        <v>0</v>
      </c>
      <c r="V416" s="3">
        <v>0</v>
      </c>
      <c r="W416" s="3">
        <v>0</v>
      </c>
      <c r="X416">
        <v>0</v>
      </c>
      <c r="Y416" t="s">
        <v>482</v>
      </c>
    </row>
    <row r="417" spans="1:25" hidden="1" x14ac:dyDescent="0.25">
      <c r="A417" s="1" t="s">
        <v>41</v>
      </c>
      <c r="B417" s="1" t="s">
        <v>112</v>
      </c>
      <c r="C417" s="1" t="s">
        <v>42</v>
      </c>
      <c r="D417" t="s">
        <v>27</v>
      </c>
      <c r="E417" s="2">
        <v>45831</v>
      </c>
      <c r="F417" s="2">
        <v>45831</v>
      </c>
      <c r="G417" s="3">
        <v>43</v>
      </c>
      <c r="H417" s="4" t="s">
        <v>28</v>
      </c>
      <c r="I417">
        <v>57</v>
      </c>
      <c r="J417">
        <v>0</v>
      </c>
      <c r="K417">
        <v>0</v>
      </c>
      <c r="L417" s="3">
        <v>1</v>
      </c>
      <c r="M417" s="3">
        <v>0</v>
      </c>
      <c r="N417">
        <v>0</v>
      </c>
      <c r="O417">
        <v>0</v>
      </c>
      <c r="P417">
        <v>0</v>
      </c>
      <c r="Q417">
        <v>0</v>
      </c>
      <c r="R417" s="3">
        <v>0</v>
      </c>
      <c r="S417" s="3">
        <v>0</v>
      </c>
      <c r="T417">
        <v>0</v>
      </c>
      <c r="U417">
        <v>0</v>
      </c>
      <c r="V417" s="3">
        <v>0</v>
      </c>
      <c r="W417" s="3">
        <v>0</v>
      </c>
      <c r="X417">
        <v>0</v>
      </c>
      <c r="Y417" t="s">
        <v>483</v>
      </c>
    </row>
    <row r="418" spans="1:25" hidden="1" x14ac:dyDescent="0.25">
      <c r="A418" s="1" t="s">
        <v>47</v>
      </c>
      <c r="B418" s="1" t="s">
        <v>137</v>
      </c>
      <c r="C418" t="s">
        <v>27</v>
      </c>
      <c r="D418" t="s">
        <v>27</v>
      </c>
      <c r="E418" s="2">
        <v>45831</v>
      </c>
      <c r="F418" s="2">
        <v>45831</v>
      </c>
      <c r="G418" s="3">
        <v>48</v>
      </c>
      <c r="H418" s="4" t="s">
        <v>28</v>
      </c>
      <c r="I418">
        <v>29</v>
      </c>
      <c r="J418">
        <v>0</v>
      </c>
      <c r="K418">
        <v>0</v>
      </c>
      <c r="L418" s="3">
        <v>0</v>
      </c>
      <c r="M418" s="3">
        <v>0</v>
      </c>
      <c r="N418">
        <v>0</v>
      </c>
      <c r="O418">
        <v>0</v>
      </c>
      <c r="P418">
        <v>0</v>
      </c>
      <c r="Q418">
        <v>0</v>
      </c>
      <c r="R418" s="3">
        <v>0</v>
      </c>
      <c r="S418" s="3">
        <v>0</v>
      </c>
      <c r="T418">
        <v>0</v>
      </c>
      <c r="U418">
        <v>0</v>
      </c>
      <c r="V418" s="3">
        <v>0</v>
      </c>
      <c r="W418" s="3">
        <v>0</v>
      </c>
      <c r="X418">
        <v>0</v>
      </c>
      <c r="Y418" t="s">
        <v>484</v>
      </c>
    </row>
    <row r="419" spans="1:25" hidden="1" x14ac:dyDescent="0.25">
      <c r="A419" s="1" t="s">
        <v>48</v>
      </c>
      <c r="B419" s="1" t="s">
        <v>137</v>
      </c>
      <c r="C419" t="s">
        <v>27</v>
      </c>
      <c r="D419" t="s">
        <v>27</v>
      </c>
      <c r="E419" s="2">
        <v>45831</v>
      </c>
      <c r="F419" s="2">
        <v>45831</v>
      </c>
      <c r="G419" s="3">
        <v>48</v>
      </c>
      <c r="H419" s="4" t="s">
        <v>28</v>
      </c>
      <c r="I419">
        <v>29</v>
      </c>
      <c r="J419">
        <v>0</v>
      </c>
      <c r="K419">
        <v>0</v>
      </c>
      <c r="L419" s="3">
        <v>0</v>
      </c>
      <c r="M419" s="3">
        <v>0</v>
      </c>
      <c r="N419">
        <v>0</v>
      </c>
      <c r="O419">
        <v>0</v>
      </c>
      <c r="P419">
        <v>0</v>
      </c>
      <c r="Q419">
        <v>0</v>
      </c>
      <c r="R419" s="3">
        <v>0</v>
      </c>
      <c r="S419" s="3">
        <v>0</v>
      </c>
      <c r="T419">
        <v>0</v>
      </c>
      <c r="U419">
        <v>0</v>
      </c>
      <c r="V419" s="3">
        <v>0</v>
      </c>
      <c r="W419" s="3">
        <v>0</v>
      </c>
      <c r="X419">
        <v>0</v>
      </c>
      <c r="Y419" t="s">
        <v>484</v>
      </c>
    </row>
    <row r="420" spans="1:25" hidden="1" x14ac:dyDescent="0.25">
      <c r="A420" s="1" t="s">
        <v>49</v>
      </c>
      <c r="B420" s="1" t="s">
        <v>118</v>
      </c>
      <c r="C420" s="1" t="s">
        <v>50</v>
      </c>
      <c r="D420" t="s">
        <v>27</v>
      </c>
      <c r="E420" s="2">
        <v>45831</v>
      </c>
      <c r="F420" s="2">
        <v>45831</v>
      </c>
      <c r="G420" s="3">
        <v>24</v>
      </c>
      <c r="H420" s="4" t="s">
        <v>28</v>
      </c>
      <c r="I420">
        <v>26</v>
      </c>
      <c r="J420">
        <v>0</v>
      </c>
      <c r="K420">
        <v>0</v>
      </c>
      <c r="L420" s="3">
        <v>1</v>
      </c>
      <c r="M420" s="3">
        <v>1</v>
      </c>
      <c r="N420">
        <v>0</v>
      </c>
      <c r="O420">
        <v>0</v>
      </c>
      <c r="P420">
        <v>0</v>
      </c>
      <c r="Q420">
        <v>0</v>
      </c>
      <c r="R420" s="3">
        <v>0</v>
      </c>
      <c r="S420" s="3">
        <v>0</v>
      </c>
      <c r="T420">
        <v>0</v>
      </c>
      <c r="U420">
        <v>0</v>
      </c>
      <c r="V420" s="3">
        <v>0</v>
      </c>
      <c r="W420" s="3">
        <v>0</v>
      </c>
      <c r="X420">
        <v>0</v>
      </c>
      <c r="Y420" t="s">
        <v>485</v>
      </c>
    </row>
    <row r="421" spans="1:25" hidden="1" x14ac:dyDescent="0.25">
      <c r="A421" s="1" t="s">
        <v>51</v>
      </c>
      <c r="B421" s="1" t="s">
        <v>120</v>
      </c>
      <c r="C421" s="1" t="s">
        <v>55</v>
      </c>
      <c r="D421" t="s">
        <v>27</v>
      </c>
      <c r="E421" s="2">
        <v>45831</v>
      </c>
      <c r="F421" s="2">
        <v>45831</v>
      </c>
      <c r="G421" s="3">
        <v>57</v>
      </c>
      <c r="H421" s="4" t="s">
        <v>28</v>
      </c>
      <c r="I421">
        <v>43</v>
      </c>
      <c r="J421">
        <v>0</v>
      </c>
      <c r="K421">
        <v>0</v>
      </c>
      <c r="L421" s="3">
        <v>1</v>
      </c>
      <c r="M421" s="3">
        <v>0</v>
      </c>
      <c r="N421">
        <v>1</v>
      </c>
      <c r="O421">
        <v>0</v>
      </c>
      <c r="P421">
        <v>0</v>
      </c>
      <c r="Q421">
        <v>0</v>
      </c>
      <c r="R421" s="3">
        <v>0</v>
      </c>
      <c r="S421" s="3">
        <v>0</v>
      </c>
      <c r="T421">
        <v>0</v>
      </c>
      <c r="U421">
        <v>0</v>
      </c>
      <c r="V421" s="3">
        <v>0</v>
      </c>
      <c r="W421" s="3">
        <v>0</v>
      </c>
      <c r="X421">
        <v>0</v>
      </c>
      <c r="Y421" t="s">
        <v>486</v>
      </c>
    </row>
    <row r="422" spans="1:25" hidden="1" x14ac:dyDescent="0.25">
      <c r="A422" s="1" t="s">
        <v>54</v>
      </c>
      <c r="B422" s="1" t="s">
        <v>487</v>
      </c>
      <c r="C422" t="s">
        <v>52</v>
      </c>
      <c r="D422" t="s">
        <v>27</v>
      </c>
      <c r="E422" s="2">
        <v>45831</v>
      </c>
      <c r="F422" s="2">
        <v>45831</v>
      </c>
      <c r="G422" s="3">
        <v>58</v>
      </c>
      <c r="H422" s="4" t="s">
        <v>28</v>
      </c>
      <c r="I422">
        <v>53</v>
      </c>
      <c r="J422">
        <v>0</v>
      </c>
      <c r="K422">
        <v>0</v>
      </c>
      <c r="L422" s="3">
        <v>0</v>
      </c>
      <c r="M422" s="3">
        <v>0</v>
      </c>
      <c r="N422">
        <v>0</v>
      </c>
      <c r="O422">
        <v>0</v>
      </c>
      <c r="P422">
        <v>0</v>
      </c>
      <c r="Q422">
        <v>0</v>
      </c>
      <c r="R422" s="3">
        <v>0</v>
      </c>
      <c r="S422" s="3">
        <v>0</v>
      </c>
      <c r="T422">
        <v>0</v>
      </c>
      <c r="U422">
        <v>0</v>
      </c>
      <c r="V422" s="3">
        <v>0</v>
      </c>
      <c r="W422" s="3">
        <v>0</v>
      </c>
      <c r="X422" s="3">
        <v>0</v>
      </c>
      <c r="Y422" t="s">
        <v>479</v>
      </c>
    </row>
    <row r="423" spans="1:25" hidden="1" x14ac:dyDescent="0.25">
      <c r="A423" s="1" t="s">
        <v>53</v>
      </c>
      <c r="B423" s="1" t="s">
        <v>142</v>
      </c>
      <c r="C423" s="1" t="s">
        <v>39</v>
      </c>
      <c r="D423" t="s">
        <v>27</v>
      </c>
      <c r="E423" s="2">
        <v>45831</v>
      </c>
      <c r="F423" s="2">
        <v>45831</v>
      </c>
      <c r="G423" s="3">
        <v>40</v>
      </c>
      <c r="H423" s="4" t="s">
        <v>28</v>
      </c>
      <c r="I423">
        <v>29</v>
      </c>
      <c r="J423">
        <v>0</v>
      </c>
      <c r="K423">
        <v>0</v>
      </c>
      <c r="L423" s="3">
        <v>1</v>
      </c>
      <c r="M423" s="3">
        <v>0</v>
      </c>
      <c r="N423">
        <v>0</v>
      </c>
      <c r="O423">
        <v>0</v>
      </c>
      <c r="P423">
        <v>0</v>
      </c>
      <c r="Q423">
        <v>28</v>
      </c>
      <c r="R423" s="3">
        <v>0</v>
      </c>
      <c r="S423" s="3">
        <v>0</v>
      </c>
      <c r="T423">
        <v>0</v>
      </c>
      <c r="U423">
        <v>0</v>
      </c>
      <c r="V423" s="3">
        <v>0</v>
      </c>
      <c r="W423" s="3">
        <v>0</v>
      </c>
      <c r="X423">
        <v>0</v>
      </c>
      <c r="Y423" t="s">
        <v>488</v>
      </c>
    </row>
    <row r="424" spans="1:25" hidden="1" x14ac:dyDescent="0.25">
      <c r="A424" s="1" t="s">
        <v>58</v>
      </c>
      <c r="B424" s="1" t="s">
        <v>144</v>
      </c>
      <c r="C424" s="1" t="s">
        <v>489</v>
      </c>
      <c r="D424" t="s">
        <v>27</v>
      </c>
      <c r="E424" s="2">
        <v>45831</v>
      </c>
      <c r="F424" s="2">
        <v>45831</v>
      </c>
      <c r="G424" s="3">
        <v>41</v>
      </c>
      <c r="H424" s="4" t="s">
        <v>28</v>
      </c>
      <c r="I424">
        <v>50</v>
      </c>
      <c r="J424">
        <v>0</v>
      </c>
      <c r="K424">
        <v>0</v>
      </c>
      <c r="L424" s="3">
        <v>1</v>
      </c>
      <c r="M424" s="3">
        <v>0</v>
      </c>
      <c r="N424">
        <v>0</v>
      </c>
      <c r="O424">
        <v>0</v>
      </c>
      <c r="P424">
        <v>0</v>
      </c>
      <c r="Q424">
        <v>0</v>
      </c>
      <c r="R424" s="3">
        <v>0</v>
      </c>
      <c r="S424" s="3">
        <v>0</v>
      </c>
      <c r="T424">
        <v>0</v>
      </c>
      <c r="U424">
        <v>0</v>
      </c>
      <c r="V424" s="3">
        <v>0</v>
      </c>
      <c r="W424" s="3">
        <v>0</v>
      </c>
      <c r="X424">
        <v>0</v>
      </c>
      <c r="Y424" t="s">
        <v>490</v>
      </c>
    </row>
    <row r="425" spans="1:25" hidden="1" x14ac:dyDescent="0.25">
      <c r="A425" s="1" t="s">
        <v>45</v>
      </c>
      <c r="B425" s="1" t="s">
        <v>106</v>
      </c>
      <c r="C425" t="s">
        <v>27</v>
      </c>
      <c r="D425" t="s">
        <v>27</v>
      </c>
      <c r="E425" s="2">
        <v>45831</v>
      </c>
      <c r="F425" s="2">
        <v>45831</v>
      </c>
      <c r="G425" s="3">
        <v>41</v>
      </c>
      <c r="H425" s="4" t="s">
        <v>28</v>
      </c>
      <c r="I425">
        <v>117</v>
      </c>
      <c r="J425">
        <v>0</v>
      </c>
      <c r="K425">
        <v>0</v>
      </c>
      <c r="L425" s="3">
        <v>1</v>
      </c>
      <c r="M425" s="3">
        <v>0</v>
      </c>
      <c r="N425">
        <v>0</v>
      </c>
      <c r="O425">
        <v>0</v>
      </c>
      <c r="P425">
        <v>0</v>
      </c>
      <c r="Q425">
        <v>0</v>
      </c>
      <c r="R425" s="3">
        <v>0</v>
      </c>
      <c r="S425" s="3">
        <v>0</v>
      </c>
      <c r="T425">
        <v>0</v>
      </c>
      <c r="U425">
        <v>0</v>
      </c>
      <c r="V425" s="3">
        <v>0</v>
      </c>
      <c r="W425" s="3">
        <v>0</v>
      </c>
      <c r="X425" s="3">
        <v>0</v>
      </c>
      <c r="Y425" t="s">
        <v>490</v>
      </c>
    </row>
    <row r="426" spans="1:25" hidden="1" x14ac:dyDescent="0.25">
      <c r="A426" t="s">
        <v>43</v>
      </c>
      <c r="B426" s="1" t="s">
        <v>182</v>
      </c>
      <c r="C426" t="s">
        <v>27</v>
      </c>
      <c r="D426" t="s">
        <v>27</v>
      </c>
      <c r="E426" s="2">
        <v>45831</v>
      </c>
      <c r="F426" s="2">
        <v>45831</v>
      </c>
      <c r="G426" s="3">
        <v>26</v>
      </c>
      <c r="H426" s="4" t="s">
        <v>763</v>
      </c>
      <c r="I426">
        <v>0</v>
      </c>
      <c r="J426">
        <v>0</v>
      </c>
      <c r="K426">
        <v>0</v>
      </c>
      <c r="L426" s="3">
        <v>0</v>
      </c>
      <c r="M426" s="3">
        <v>0</v>
      </c>
      <c r="N426">
        <v>0</v>
      </c>
      <c r="O426">
        <v>0</v>
      </c>
      <c r="P426">
        <v>0</v>
      </c>
      <c r="Q426">
        <v>0</v>
      </c>
      <c r="R426" s="3">
        <v>0</v>
      </c>
      <c r="S426" s="3">
        <v>0</v>
      </c>
      <c r="T426">
        <v>0</v>
      </c>
      <c r="U426">
        <v>0</v>
      </c>
      <c r="V426" s="3">
        <v>0</v>
      </c>
      <c r="W426" s="3">
        <v>0</v>
      </c>
      <c r="X426" s="3">
        <v>0</v>
      </c>
      <c r="Y426" t="s">
        <v>479</v>
      </c>
    </row>
    <row r="427" spans="1:25" hidden="1" x14ac:dyDescent="0.25">
      <c r="A427" t="s">
        <v>25</v>
      </c>
      <c r="B427" t="s">
        <v>96</v>
      </c>
      <c r="C427" t="s">
        <v>55</v>
      </c>
      <c r="D427" t="s">
        <v>27</v>
      </c>
      <c r="E427" s="2">
        <v>45832</v>
      </c>
      <c r="F427" s="2">
        <v>45832</v>
      </c>
      <c r="G427" s="3">
        <v>50</v>
      </c>
      <c r="H427" s="4" t="s">
        <v>28</v>
      </c>
      <c r="I427">
        <v>44</v>
      </c>
      <c r="J427">
        <v>0</v>
      </c>
      <c r="K427">
        <v>0</v>
      </c>
      <c r="L427" s="3">
        <v>1</v>
      </c>
      <c r="M427" s="3">
        <v>0</v>
      </c>
      <c r="N427">
        <v>1</v>
      </c>
      <c r="O427">
        <v>0</v>
      </c>
      <c r="P427">
        <v>0</v>
      </c>
      <c r="Q427">
        <v>0</v>
      </c>
      <c r="R427" s="3">
        <v>0</v>
      </c>
      <c r="S427" s="3">
        <v>0</v>
      </c>
      <c r="T427">
        <v>0</v>
      </c>
      <c r="U427">
        <v>0</v>
      </c>
      <c r="V427" s="3">
        <v>0</v>
      </c>
      <c r="W427" s="3">
        <v>0</v>
      </c>
      <c r="X427">
        <v>0</v>
      </c>
      <c r="Y427" t="s">
        <v>491</v>
      </c>
    </row>
    <row r="428" spans="1:25" hidden="1" x14ac:dyDescent="0.25">
      <c r="A428" t="s">
        <v>56</v>
      </c>
      <c r="B428" t="s">
        <v>98</v>
      </c>
      <c r="C428" s="1" t="s">
        <v>37</v>
      </c>
      <c r="D428" t="s">
        <v>27</v>
      </c>
      <c r="E428" s="2">
        <v>45832</v>
      </c>
      <c r="F428" s="2">
        <v>45832</v>
      </c>
      <c r="G428" s="3">
        <v>33</v>
      </c>
      <c r="H428" s="4" t="s">
        <v>28</v>
      </c>
      <c r="I428">
        <v>79</v>
      </c>
      <c r="J428">
        <v>0</v>
      </c>
      <c r="K428">
        <v>0</v>
      </c>
      <c r="L428" s="3">
        <v>1</v>
      </c>
      <c r="M428" s="3">
        <v>0</v>
      </c>
      <c r="N428">
        <v>0</v>
      </c>
      <c r="O428">
        <v>0</v>
      </c>
      <c r="P428">
        <v>0</v>
      </c>
      <c r="Q428">
        <v>0</v>
      </c>
      <c r="R428" s="3">
        <v>0</v>
      </c>
      <c r="S428" s="3">
        <v>0</v>
      </c>
      <c r="T428">
        <v>0</v>
      </c>
      <c r="U428">
        <v>0</v>
      </c>
      <c r="V428" s="3">
        <v>0</v>
      </c>
      <c r="W428" s="3">
        <v>0</v>
      </c>
      <c r="X428">
        <v>0</v>
      </c>
      <c r="Y428" t="s">
        <v>492</v>
      </c>
    </row>
    <row r="429" spans="1:25" hidden="1" x14ac:dyDescent="0.25">
      <c r="A429" t="s">
        <v>29</v>
      </c>
      <c r="B429" t="s">
        <v>100</v>
      </c>
      <c r="C429" t="s">
        <v>245</v>
      </c>
      <c r="D429" t="s">
        <v>27</v>
      </c>
      <c r="E429" s="2">
        <v>45832</v>
      </c>
      <c r="F429" s="2">
        <v>45832</v>
      </c>
      <c r="G429" s="3">
        <v>71</v>
      </c>
      <c r="H429" s="4" t="s">
        <v>28</v>
      </c>
      <c r="I429">
        <v>58</v>
      </c>
      <c r="J429">
        <v>0</v>
      </c>
      <c r="K429">
        <v>0</v>
      </c>
      <c r="L429" s="3">
        <v>0</v>
      </c>
      <c r="M429" s="3">
        <v>0</v>
      </c>
      <c r="N429">
        <v>0</v>
      </c>
      <c r="O429">
        <v>0</v>
      </c>
      <c r="P429">
        <v>0</v>
      </c>
      <c r="Q429">
        <v>0</v>
      </c>
      <c r="R429" s="3">
        <v>0</v>
      </c>
      <c r="S429" s="3">
        <v>0</v>
      </c>
      <c r="T429">
        <v>0</v>
      </c>
      <c r="U429">
        <v>0</v>
      </c>
      <c r="V429" s="3">
        <v>0</v>
      </c>
      <c r="W429" s="3">
        <v>0</v>
      </c>
      <c r="X429">
        <v>0</v>
      </c>
      <c r="Y429" t="s">
        <v>493</v>
      </c>
    </row>
    <row r="430" spans="1:25" hidden="1" x14ac:dyDescent="0.25">
      <c r="A430" s="1" t="s">
        <v>344</v>
      </c>
      <c r="B430" s="1" t="s">
        <v>102</v>
      </c>
      <c r="C430" s="1" t="s">
        <v>35</v>
      </c>
      <c r="D430" t="s">
        <v>27</v>
      </c>
      <c r="E430" s="2">
        <v>45831</v>
      </c>
      <c r="F430" s="2">
        <v>45831</v>
      </c>
      <c r="G430" s="3">
        <v>30</v>
      </c>
      <c r="H430" s="4" t="s">
        <v>28</v>
      </c>
      <c r="I430">
        <v>45</v>
      </c>
      <c r="J430">
        <v>0</v>
      </c>
      <c r="K430">
        <v>0</v>
      </c>
      <c r="L430" s="3">
        <v>0</v>
      </c>
      <c r="M430" s="3">
        <v>0</v>
      </c>
      <c r="N430">
        <v>0</v>
      </c>
      <c r="O430">
        <v>0</v>
      </c>
      <c r="P430">
        <v>0</v>
      </c>
      <c r="Q430">
        <v>0</v>
      </c>
      <c r="R430" s="3">
        <v>0</v>
      </c>
      <c r="S430" s="3">
        <v>0</v>
      </c>
      <c r="T430">
        <v>0</v>
      </c>
      <c r="U430">
        <v>0</v>
      </c>
      <c r="V430" s="3">
        <v>0</v>
      </c>
      <c r="W430" s="3">
        <v>0</v>
      </c>
      <c r="X430">
        <v>0</v>
      </c>
      <c r="Y430" t="s">
        <v>477</v>
      </c>
    </row>
    <row r="431" spans="1:25" hidden="1" x14ac:dyDescent="0.25">
      <c r="A431" t="s">
        <v>31</v>
      </c>
      <c r="B431" t="s">
        <v>104</v>
      </c>
      <c r="C431" t="s">
        <v>32</v>
      </c>
      <c r="D431" t="s">
        <v>27</v>
      </c>
      <c r="E431" s="2">
        <v>45832</v>
      </c>
      <c r="F431" s="2">
        <v>45832</v>
      </c>
      <c r="G431" s="3">
        <v>48</v>
      </c>
      <c r="H431" s="4" t="s">
        <v>28</v>
      </c>
      <c r="I431">
        <v>70</v>
      </c>
      <c r="J431">
        <v>0</v>
      </c>
      <c r="K431">
        <v>0</v>
      </c>
      <c r="L431" s="3">
        <v>0</v>
      </c>
      <c r="M431" s="3">
        <v>0</v>
      </c>
      <c r="N431">
        <v>0</v>
      </c>
      <c r="O431">
        <v>0</v>
      </c>
      <c r="P431">
        <v>0</v>
      </c>
      <c r="Q431">
        <v>50</v>
      </c>
      <c r="R431" s="3">
        <v>0</v>
      </c>
      <c r="S431" s="3">
        <v>0</v>
      </c>
      <c r="T431">
        <v>0</v>
      </c>
      <c r="U431">
        <v>0</v>
      </c>
      <c r="V431" s="3">
        <v>0</v>
      </c>
      <c r="W431" s="3">
        <v>0</v>
      </c>
      <c r="X431">
        <v>0</v>
      </c>
      <c r="Y431" t="s">
        <v>494</v>
      </c>
    </row>
    <row r="432" spans="1:25" hidden="1" x14ac:dyDescent="0.25">
      <c r="A432" t="s">
        <v>38</v>
      </c>
      <c r="B432" t="s">
        <v>108</v>
      </c>
      <c r="C432" t="s">
        <v>39</v>
      </c>
      <c r="D432" t="s">
        <v>27</v>
      </c>
      <c r="E432" s="2">
        <v>45832</v>
      </c>
      <c r="F432" s="2">
        <v>45832</v>
      </c>
      <c r="G432" s="3">
        <v>65</v>
      </c>
      <c r="H432" s="4" t="s">
        <v>28</v>
      </c>
      <c r="I432">
        <v>36</v>
      </c>
      <c r="J432">
        <v>0</v>
      </c>
      <c r="K432">
        <v>0</v>
      </c>
      <c r="L432" s="3">
        <v>0</v>
      </c>
      <c r="M432" s="3">
        <v>0</v>
      </c>
      <c r="N432">
        <v>0</v>
      </c>
      <c r="O432">
        <v>0</v>
      </c>
      <c r="P432">
        <v>0</v>
      </c>
      <c r="Q432">
        <v>36</v>
      </c>
      <c r="R432" s="3">
        <v>0</v>
      </c>
      <c r="S432" s="3">
        <v>0</v>
      </c>
      <c r="T432">
        <v>0</v>
      </c>
      <c r="U432">
        <v>0</v>
      </c>
      <c r="V432" s="3">
        <v>0</v>
      </c>
      <c r="W432" s="3">
        <v>0</v>
      </c>
      <c r="X432">
        <v>0</v>
      </c>
      <c r="Y432" t="s">
        <v>495</v>
      </c>
    </row>
    <row r="433" spans="1:25" hidden="1" x14ac:dyDescent="0.25">
      <c r="A433" t="s">
        <v>40</v>
      </c>
      <c r="B433" t="s">
        <v>110</v>
      </c>
      <c r="C433" t="s">
        <v>27</v>
      </c>
      <c r="D433" t="s">
        <v>27</v>
      </c>
      <c r="E433" s="2">
        <v>45832</v>
      </c>
      <c r="F433" s="2">
        <v>45832</v>
      </c>
      <c r="G433" s="3">
        <v>35</v>
      </c>
      <c r="H433" s="4" t="s">
        <v>28</v>
      </c>
      <c r="I433">
        <v>13</v>
      </c>
      <c r="J433">
        <v>0</v>
      </c>
      <c r="K433">
        <v>0</v>
      </c>
      <c r="L433" s="3">
        <v>0</v>
      </c>
      <c r="M433" s="3">
        <v>0</v>
      </c>
      <c r="N433">
        <v>0</v>
      </c>
      <c r="O433">
        <v>0</v>
      </c>
      <c r="P433">
        <v>0</v>
      </c>
      <c r="Q433">
        <v>0</v>
      </c>
      <c r="R433" s="3">
        <v>0</v>
      </c>
      <c r="S433" s="3">
        <v>0</v>
      </c>
      <c r="T433">
        <v>0</v>
      </c>
      <c r="U433">
        <v>0</v>
      </c>
      <c r="V433" s="3">
        <v>0</v>
      </c>
      <c r="W433" s="3">
        <v>0</v>
      </c>
      <c r="X433">
        <v>0</v>
      </c>
      <c r="Y433" t="s">
        <v>496</v>
      </c>
    </row>
    <row r="434" spans="1:25" hidden="1" x14ac:dyDescent="0.25">
      <c r="A434" t="s">
        <v>36</v>
      </c>
      <c r="B434" t="s">
        <v>110</v>
      </c>
      <c r="C434" t="s">
        <v>27</v>
      </c>
      <c r="D434" t="s">
        <v>27</v>
      </c>
      <c r="E434" s="2">
        <v>45832</v>
      </c>
      <c r="F434" s="2">
        <v>45832</v>
      </c>
      <c r="G434" s="3">
        <v>35</v>
      </c>
      <c r="H434" s="4" t="s">
        <v>28</v>
      </c>
      <c r="I434">
        <v>13</v>
      </c>
      <c r="J434">
        <v>0</v>
      </c>
      <c r="K434">
        <v>0</v>
      </c>
      <c r="L434" s="3">
        <v>0</v>
      </c>
      <c r="M434" s="3">
        <v>0</v>
      </c>
      <c r="N434">
        <v>0</v>
      </c>
      <c r="O434">
        <v>0</v>
      </c>
      <c r="P434">
        <v>0</v>
      </c>
      <c r="Q434">
        <v>0</v>
      </c>
      <c r="R434" s="3">
        <v>0</v>
      </c>
      <c r="S434" s="3">
        <v>0</v>
      </c>
      <c r="T434">
        <v>0</v>
      </c>
      <c r="U434">
        <v>0</v>
      </c>
      <c r="V434" s="3">
        <v>0</v>
      </c>
      <c r="W434" s="3">
        <v>0</v>
      </c>
      <c r="X434">
        <v>0</v>
      </c>
      <c r="Y434" t="s">
        <v>496</v>
      </c>
    </row>
    <row r="435" spans="1:25" hidden="1" x14ac:dyDescent="0.25">
      <c r="A435" t="s">
        <v>41</v>
      </c>
      <c r="B435" t="s">
        <v>112</v>
      </c>
      <c r="C435" t="s">
        <v>42</v>
      </c>
      <c r="D435" t="s">
        <v>27</v>
      </c>
      <c r="E435" s="2">
        <v>45832</v>
      </c>
      <c r="F435" s="2">
        <v>45832</v>
      </c>
      <c r="G435" s="3">
        <v>54</v>
      </c>
      <c r="H435" s="4" t="s">
        <v>28</v>
      </c>
      <c r="I435">
        <v>38</v>
      </c>
      <c r="J435">
        <v>0</v>
      </c>
      <c r="K435">
        <v>0</v>
      </c>
      <c r="L435" s="3">
        <v>1</v>
      </c>
      <c r="M435" s="3">
        <v>0</v>
      </c>
      <c r="N435">
        <v>0</v>
      </c>
      <c r="O435">
        <v>0</v>
      </c>
      <c r="P435">
        <v>0</v>
      </c>
      <c r="Q435">
        <v>0</v>
      </c>
      <c r="R435" s="3">
        <v>0</v>
      </c>
      <c r="S435" s="3">
        <v>0</v>
      </c>
      <c r="T435">
        <v>0</v>
      </c>
      <c r="U435">
        <v>0</v>
      </c>
      <c r="V435" s="3">
        <v>0</v>
      </c>
      <c r="W435" s="3">
        <v>0</v>
      </c>
      <c r="X435">
        <v>0</v>
      </c>
      <c r="Y435" t="s">
        <v>497</v>
      </c>
    </row>
    <row r="436" spans="1:25" hidden="1" x14ac:dyDescent="0.25">
      <c r="A436" t="s">
        <v>43</v>
      </c>
      <c r="B436" t="s">
        <v>114</v>
      </c>
      <c r="C436" t="s">
        <v>44</v>
      </c>
      <c r="D436" t="s">
        <v>27</v>
      </c>
      <c r="E436" s="2">
        <v>45832</v>
      </c>
      <c r="F436" s="2">
        <v>45832</v>
      </c>
      <c r="G436" s="3">
        <v>45</v>
      </c>
      <c r="H436" s="4" t="s">
        <v>28</v>
      </c>
      <c r="I436">
        <v>71</v>
      </c>
      <c r="J436">
        <v>0</v>
      </c>
      <c r="K436">
        <v>0</v>
      </c>
      <c r="L436" s="3">
        <v>1</v>
      </c>
      <c r="M436" s="3">
        <v>0</v>
      </c>
      <c r="N436">
        <v>0</v>
      </c>
      <c r="O436">
        <v>0</v>
      </c>
      <c r="P436">
        <v>0</v>
      </c>
      <c r="Q436">
        <v>0</v>
      </c>
      <c r="R436" s="3">
        <v>0</v>
      </c>
      <c r="S436" s="3">
        <v>0</v>
      </c>
      <c r="T436">
        <v>0</v>
      </c>
      <c r="U436">
        <v>0</v>
      </c>
      <c r="V436" s="3">
        <v>0</v>
      </c>
      <c r="W436" s="3">
        <v>0</v>
      </c>
      <c r="X436">
        <v>0</v>
      </c>
      <c r="Y436" t="s">
        <v>498</v>
      </c>
    </row>
    <row r="437" spans="1:25" hidden="1" x14ac:dyDescent="0.25">
      <c r="A437" t="s">
        <v>45</v>
      </c>
      <c r="B437" t="s">
        <v>116</v>
      </c>
      <c r="C437" t="s">
        <v>46</v>
      </c>
      <c r="D437" t="s">
        <v>27</v>
      </c>
      <c r="E437" s="2">
        <v>45832</v>
      </c>
      <c r="F437" s="2">
        <v>45832</v>
      </c>
      <c r="G437" s="3">
        <v>107</v>
      </c>
      <c r="H437" s="4" t="s">
        <v>28</v>
      </c>
      <c r="I437">
        <v>38</v>
      </c>
      <c r="J437">
        <v>0</v>
      </c>
      <c r="K437">
        <v>0</v>
      </c>
      <c r="L437" s="3">
        <v>0</v>
      </c>
      <c r="M437" s="3">
        <v>0</v>
      </c>
      <c r="N437">
        <v>0</v>
      </c>
      <c r="O437">
        <v>0</v>
      </c>
      <c r="P437">
        <v>0</v>
      </c>
      <c r="Q437">
        <v>0</v>
      </c>
      <c r="R437" s="3">
        <v>0</v>
      </c>
      <c r="S437" s="3">
        <v>0</v>
      </c>
      <c r="T437">
        <v>0</v>
      </c>
      <c r="U437">
        <v>0</v>
      </c>
      <c r="V437" s="3">
        <v>0</v>
      </c>
      <c r="W437" s="3">
        <v>0</v>
      </c>
      <c r="X437">
        <v>0</v>
      </c>
      <c r="Y437" t="s">
        <v>499</v>
      </c>
    </row>
    <row r="438" spans="1:25" hidden="1" x14ac:dyDescent="0.25">
      <c r="A438" t="s">
        <v>47</v>
      </c>
      <c r="B438" t="s">
        <v>137</v>
      </c>
      <c r="C438" t="s">
        <v>27</v>
      </c>
      <c r="D438" t="s">
        <v>27</v>
      </c>
      <c r="E438" s="2">
        <v>45832</v>
      </c>
      <c r="F438" s="2">
        <v>45832</v>
      </c>
      <c r="G438" s="5">
        <v>3268</v>
      </c>
      <c r="H438" s="4" t="s">
        <v>28</v>
      </c>
      <c r="I438">
        <v>64</v>
      </c>
      <c r="J438">
        <v>0</v>
      </c>
      <c r="K438">
        <v>0</v>
      </c>
      <c r="L438" s="3">
        <v>0</v>
      </c>
      <c r="M438" s="3">
        <v>0</v>
      </c>
      <c r="N438">
        <v>0</v>
      </c>
      <c r="O438">
        <v>0</v>
      </c>
      <c r="P438">
        <v>0</v>
      </c>
      <c r="Q438">
        <v>0</v>
      </c>
      <c r="R438" s="3">
        <v>0</v>
      </c>
      <c r="S438" s="3">
        <v>0</v>
      </c>
      <c r="T438">
        <v>0</v>
      </c>
      <c r="U438">
        <v>0</v>
      </c>
      <c r="V438" s="3">
        <v>0</v>
      </c>
      <c r="W438" s="3">
        <v>0</v>
      </c>
      <c r="X438">
        <v>0</v>
      </c>
      <c r="Y438" t="s">
        <v>500</v>
      </c>
    </row>
    <row r="439" spans="1:25" hidden="1" x14ac:dyDescent="0.25">
      <c r="A439" t="s">
        <v>48</v>
      </c>
      <c r="B439" t="s">
        <v>137</v>
      </c>
      <c r="C439" t="s">
        <v>27</v>
      </c>
      <c r="D439" t="s">
        <v>27</v>
      </c>
      <c r="E439" s="2">
        <v>45832</v>
      </c>
      <c r="F439" s="2">
        <v>45832</v>
      </c>
      <c r="G439" s="5">
        <v>3268</v>
      </c>
      <c r="H439" s="4" t="s">
        <v>28</v>
      </c>
      <c r="I439">
        <v>64</v>
      </c>
      <c r="J439">
        <v>0</v>
      </c>
      <c r="K439">
        <v>0</v>
      </c>
      <c r="L439" s="3">
        <v>0</v>
      </c>
      <c r="M439" s="3">
        <v>0</v>
      </c>
      <c r="N439">
        <v>0</v>
      </c>
      <c r="O439">
        <v>0</v>
      </c>
      <c r="P439">
        <v>0</v>
      </c>
      <c r="Q439">
        <v>0</v>
      </c>
      <c r="R439" s="3">
        <v>0</v>
      </c>
      <c r="S439" s="3">
        <v>0</v>
      </c>
      <c r="T439">
        <v>0</v>
      </c>
      <c r="U439">
        <v>0</v>
      </c>
      <c r="V439" s="3">
        <v>0</v>
      </c>
      <c r="W439" s="3">
        <v>0</v>
      </c>
      <c r="X439">
        <v>0</v>
      </c>
      <c r="Y439" t="s">
        <v>500</v>
      </c>
    </row>
    <row r="440" spans="1:25" hidden="1" x14ac:dyDescent="0.25">
      <c r="A440" t="s">
        <v>49</v>
      </c>
      <c r="B440" t="s">
        <v>118</v>
      </c>
      <c r="C440" t="s">
        <v>50</v>
      </c>
      <c r="D440" t="s">
        <v>27</v>
      </c>
      <c r="E440" s="2">
        <v>45832</v>
      </c>
      <c r="F440" s="2">
        <v>45832</v>
      </c>
      <c r="G440" s="3">
        <v>99</v>
      </c>
      <c r="H440" s="4" t="s">
        <v>28</v>
      </c>
      <c r="I440">
        <v>20</v>
      </c>
      <c r="J440">
        <v>0</v>
      </c>
      <c r="K440">
        <v>0</v>
      </c>
      <c r="L440" s="3">
        <v>1</v>
      </c>
      <c r="M440" s="3">
        <v>1</v>
      </c>
      <c r="N440">
        <v>0</v>
      </c>
      <c r="O440">
        <v>1</v>
      </c>
      <c r="P440">
        <v>0</v>
      </c>
      <c r="Q440">
        <v>29</v>
      </c>
      <c r="R440" s="3">
        <v>0</v>
      </c>
      <c r="S440" s="3">
        <v>0</v>
      </c>
      <c r="T440">
        <v>0</v>
      </c>
      <c r="U440">
        <v>0</v>
      </c>
      <c r="V440" s="3">
        <v>0</v>
      </c>
      <c r="W440" s="3">
        <v>0</v>
      </c>
      <c r="X440">
        <v>0</v>
      </c>
      <c r="Y440" t="s">
        <v>501</v>
      </c>
    </row>
    <row r="441" spans="1:25" hidden="1" x14ac:dyDescent="0.25">
      <c r="A441" t="s">
        <v>54</v>
      </c>
      <c r="B441" t="s">
        <v>122</v>
      </c>
      <c r="C441" t="s">
        <v>52</v>
      </c>
      <c r="D441" t="s">
        <v>27</v>
      </c>
      <c r="E441" s="2">
        <v>45832</v>
      </c>
      <c r="F441" s="2">
        <v>45832</v>
      </c>
      <c r="G441" s="3">
        <v>35</v>
      </c>
      <c r="H441" s="4" t="s">
        <v>28</v>
      </c>
      <c r="I441">
        <v>35</v>
      </c>
      <c r="J441">
        <v>0</v>
      </c>
      <c r="K441">
        <v>0</v>
      </c>
      <c r="L441" s="3">
        <v>0</v>
      </c>
      <c r="M441" s="3">
        <v>0</v>
      </c>
      <c r="N441">
        <v>0</v>
      </c>
      <c r="O441">
        <v>0</v>
      </c>
      <c r="P441">
        <v>0</v>
      </c>
      <c r="Q441">
        <v>0</v>
      </c>
      <c r="R441" s="3">
        <v>0</v>
      </c>
      <c r="S441" s="3">
        <v>0</v>
      </c>
      <c r="T441">
        <v>0</v>
      </c>
      <c r="U441">
        <v>0</v>
      </c>
      <c r="V441" s="3">
        <v>0</v>
      </c>
      <c r="W441" s="3">
        <v>0</v>
      </c>
      <c r="X441">
        <v>0</v>
      </c>
      <c r="Y441" t="s">
        <v>502</v>
      </c>
    </row>
    <row r="442" spans="1:25" hidden="1" x14ac:dyDescent="0.25">
      <c r="A442" t="s">
        <v>53</v>
      </c>
      <c r="B442" t="s">
        <v>142</v>
      </c>
      <c r="C442" t="s">
        <v>39</v>
      </c>
      <c r="D442" t="s">
        <v>27</v>
      </c>
      <c r="E442" s="2">
        <v>45832</v>
      </c>
      <c r="F442" s="2">
        <v>45832</v>
      </c>
      <c r="G442" s="3">
        <v>33</v>
      </c>
      <c r="H442" s="4" t="s">
        <v>28</v>
      </c>
      <c r="I442">
        <v>19</v>
      </c>
      <c r="J442">
        <v>0</v>
      </c>
      <c r="K442">
        <v>0</v>
      </c>
      <c r="L442" s="3">
        <v>1</v>
      </c>
      <c r="M442" s="3">
        <v>0</v>
      </c>
      <c r="N442">
        <v>0</v>
      </c>
      <c r="O442">
        <v>0</v>
      </c>
      <c r="P442">
        <v>0</v>
      </c>
      <c r="Q442">
        <v>19</v>
      </c>
      <c r="R442" s="3">
        <v>0</v>
      </c>
      <c r="S442" s="3">
        <v>0</v>
      </c>
      <c r="T442">
        <v>0</v>
      </c>
      <c r="U442">
        <v>0</v>
      </c>
      <c r="V442" s="3">
        <v>0</v>
      </c>
      <c r="W442" s="3">
        <v>0</v>
      </c>
      <c r="X442">
        <v>0</v>
      </c>
      <c r="Y442" t="s">
        <v>503</v>
      </c>
    </row>
    <row r="443" spans="1:25" hidden="1" x14ac:dyDescent="0.25">
      <c r="A443" s="1" t="s">
        <v>58</v>
      </c>
      <c r="B443" t="s">
        <v>144</v>
      </c>
      <c r="C443" t="s">
        <v>489</v>
      </c>
      <c r="D443" t="s">
        <v>27</v>
      </c>
      <c r="E443" s="2">
        <v>45832</v>
      </c>
      <c r="F443" s="2">
        <v>45832</v>
      </c>
      <c r="G443" s="3">
        <v>22</v>
      </c>
      <c r="H443" s="4" t="s">
        <v>28</v>
      </c>
      <c r="I443">
        <v>31</v>
      </c>
      <c r="J443">
        <v>0</v>
      </c>
      <c r="K443">
        <v>0</v>
      </c>
      <c r="L443" s="3">
        <v>0</v>
      </c>
      <c r="M443" s="3">
        <v>0</v>
      </c>
      <c r="N443">
        <v>0</v>
      </c>
      <c r="O443">
        <v>0</v>
      </c>
      <c r="P443">
        <v>0</v>
      </c>
      <c r="Q443">
        <v>0</v>
      </c>
      <c r="R443" s="3">
        <v>0</v>
      </c>
      <c r="S443" s="3">
        <v>0</v>
      </c>
      <c r="T443">
        <v>0</v>
      </c>
      <c r="U443">
        <v>0</v>
      </c>
      <c r="V443" s="3">
        <v>0</v>
      </c>
      <c r="W443" s="3">
        <v>0</v>
      </c>
      <c r="X443">
        <v>0</v>
      </c>
      <c r="Y443" t="s">
        <v>504</v>
      </c>
    </row>
    <row r="444" spans="1:25" hidden="1" x14ac:dyDescent="0.25">
      <c r="A444" t="s">
        <v>51</v>
      </c>
      <c r="B444" t="s">
        <v>106</v>
      </c>
      <c r="C444" t="s">
        <v>27</v>
      </c>
      <c r="D444" t="s">
        <v>27</v>
      </c>
      <c r="E444" s="2">
        <v>45832</v>
      </c>
      <c r="F444" s="2">
        <v>45832</v>
      </c>
      <c r="G444" s="3">
        <v>23</v>
      </c>
      <c r="H444" s="4" t="s">
        <v>959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504</v>
      </c>
    </row>
    <row r="445" spans="1:25" hidden="1" x14ac:dyDescent="0.25">
      <c r="A445" t="s">
        <v>454</v>
      </c>
      <c r="B445" t="s">
        <v>182</v>
      </c>
      <c r="C445" t="s">
        <v>27</v>
      </c>
      <c r="D445" t="s">
        <v>27</v>
      </c>
      <c r="E445" s="2">
        <v>45832</v>
      </c>
      <c r="F445" s="2">
        <v>45832</v>
      </c>
      <c r="G445" s="3">
        <v>24</v>
      </c>
      <c r="H445" s="4" t="s">
        <v>959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504</v>
      </c>
    </row>
    <row r="446" spans="1:25" hidden="1" x14ac:dyDescent="0.25">
      <c r="A446" t="s">
        <v>27</v>
      </c>
      <c r="B446" t="s">
        <v>184</v>
      </c>
      <c r="C446" t="s">
        <v>57</v>
      </c>
      <c r="D446" t="s">
        <v>27</v>
      </c>
      <c r="E446" s="2">
        <v>45832</v>
      </c>
      <c r="F446" s="2">
        <v>45832</v>
      </c>
      <c r="G446" s="3">
        <v>25</v>
      </c>
      <c r="H446" s="4" t="s">
        <v>959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504</v>
      </c>
    </row>
    <row r="447" spans="1:25" hidden="1" x14ac:dyDescent="0.25">
      <c r="A447" t="s">
        <v>27</v>
      </c>
      <c r="B447" t="s">
        <v>186</v>
      </c>
      <c r="C447" t="s">
        <v>26</v>
      </c>
      <c r="D447" t="s">
        <v>27</v>
      </c>
      <c r="E447" s="2">
        <v>45832</v>
      </c>
      <c r="F447" s="2">
        <v>45832</v>
      </c>
      <c r="G447" s="3">
        <v>26</v>
      </c>
      <c r="H447" s="4" t="s">
        <v>505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504</v>
      </c>
    </row>
    <row r="448" spans="1:25" hidden="1" x14ac:dyDescent="0.25">
      <c r="A448" t="s">
        <v>34</v>
      </c>
      <c r="B448" t="s">
        <v>188</v>
      </c>
      <c r="C448" t="s">
        <v>27</v>
      </c>
      <c r="D448" t="s">
        <v>27</v>
      </c>
      <c r="E448" s="2">
        <v>45832</v>
      </c>
      <c r="F448" s="2">
        <v>45832</v>
      </c>
      <c r="G448" s="3">
        <v>27</v>
      </c>
      <c r="H448" s="4" t="s">
        <v>959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504</v>
      </c>
    </row>
    <row r="449" spans="1:25" hidden="1" x14ac:dyDescent="0.25">
      <c r="A449" s="1" t="s">
        <v>25</v>
      </c>
      <c r="B449" s="1" t="s">
        <v>96</v>
      </c>
      <c r="C449" s="1" t="s">
        <v>26</v>
      </c>
      <c r="D449" t="s">
        <v>27</v>
      </c>
      <c r="E449" s="2">
        <v>45833</v>
      </c>
      <c r="F449" s="2">
        <v>45833</v>
      </c>
      <c r="G449" s="3">
        <v>41</v>
      </c>
      <c r="H449" s="4" t="s">
        <v>28</v>
      </c>
      <c r="I449">
        <v>54</v>
      </c>
      <c r="J449">
        <v>0</v>
      </c>
      <c r="K449">
        <v>0</v>
      </c>
      <c r="L449" s="3">
        <v>0</v>
      </c>
      <c r="M449" s="3">
        <v>0</v>
      </c>
      <c r="N449">
        <v>1</v>
      </c>
      <c r="O449">
        <v>0</v>
      </c>
      <c r="P449">
        <v>0</v>
      </c>
      <c r="Q449">
        <v>0</v>
      </c>
      <c r="R449" s="3">
        <v>0</v>
      </c>
      <c r="S449" s="3">
        <v>0</v>
      </c>
      <c r="T449">
        <v>0</v>
      </c>
      <c r="U449">
        <v>0</v>
      </c>
      <c r="V449" s="3">
        <v>0</v>
      </c>
      <c r="W449" s="3">
        <v>0</v>
      </c>
      <c r="X449">
        <v>0</v>
      </c>
      <c r="Y449" t="s">
        <v>506</v>
      </c>
    </row>
    <row r="450" spans="1:25" hidden="1" x14ac:dyDescent="0.25">
      <c r="A450" s="1" t="s">
        <v>56</v>
      </c>
      <c r="B450" s="1" t="s">
        <v>98</v>
      </c>
      <c r="C450" s="1" t="s">
        <v>37</v>
      </c>
      <c r="D450" t="s">
        <v>27</v>
      </c>
      <c r="E450" s="2">
        <v>45833</v>
      </c>
      <c r="F450" s="2">
        <v>45833</v>
      </c>
      <c r="G450" s="3">
        <v>35</v>
      </c>
      <c r="H450" s="4" t="s">
        <v>28</v>
      </c>
      <c r="I450">
        <v>65</v>
      </c>
      <c r="J450">
        <v>0</v>
      </c>
      <c r="K450">
        <v>0</v>
      </c>
      <c r="L450" s="3">
        <v>1</v>
      </c>
      <c r="M450" s="3">
        <v>0</v>
      </c>
      <c r="N450">
        <v>0</v>
      </c>
      <c r="O450">
        <v>0</v>
      </c>
      <c r="P450">
        <v>0</v>
      </c>
      <c r="Q450">
        <v>0</v>
      </c>
      <c r="R450" s="3">
        <v>0</v>
      </c>
      <c r="S450" s="3">
        <v>0</v>
      </c>
      <c r="T450">
        <v>0</v>
      </c>
      <c r="U450">
        <v>0</v>
      </c>
      <c r="V450" s="3">
        <v>0</v>
      </c>
      <c r="W450" s="3">
        <v>0</v>
      </c>
      <c r="X450">
        <v>0</v>
      </c>
      <c r="Y450" t="s">
        <v>507</v>
      </c>
    </row>
    <row r="451" spans="1:25" hidden="1" x14ac:dyDescent="0.25">
      <c r="A451" s="1" t="s">
        <v>29</v>
      </c>
      <c r="B451" s="1" t="s">
        <v>100</v>
      </c>
      <c r="C451" s="1" t="s">
        <v>245</v>
      </c>
      <c r="D451" t="s">
        <v>27</v>
      </c>
      <c r="E451" s="2">
        <v>45833</v>
      </c>
      <c r="F451" s="2">
        <v>45833</v>
      </c>
      <c r="G451" s="3">
        <v>78</v>
      </c>
      <c r="H451" s="4" t="s">
        <v>28</v>
      </c>
      <c r="I451">
        <v>52</v>
      </c>
      <c r="J451">
        <v>0</v>
      </c>
      <c r="K451">
        <v>0</v>
      </c>
      <c r="L451" s="3">
        <v>1</v>
      </c>
      <c r="M451" s="3">
        <v>0</v>
      </c>
      <c r="N451">
        <v>0</v>
      </c>
      <c r="O451">
        <v>0</v>
      </c>
      <c r="P451">
        <v>0</v>
      </c>
      <c r="Q451">
        <v>0</v>
      </c>
      <c r="R451" s="3">
        <v>0</v>
      </c>
      <c r="S451" s="3">
        <v>0</v>
      </c>
      <c r="T451">
        <v>0</v>
      </c>
      <c r="U451">
        <v>0</v>
      </c>
      <c r="V451" s="3">
        <v>0</v>
      </c>
      <c r="W451" s="3">
        <v>0</v>
      </c>
      <c r="X451">
        <v>0</v>
      </c>
      <c r="Y451" t="s">
        <v>508</v>
      </c>
    </row>
    <row r="452" spans="1:25" hidden="1" x14ac:dyDescent="0.25">
      <c r="A452" s="1" t="s">
        <v>344</v>
      </c>
      <c r="B452" s="1" t="s">
        <v>102</v>
      </c>
      <c r="C452" s="1" t="s">
        <v>35</v>
      </c>
      <c r="D452" t="s">
        <v>27</v>
      </c>
      <c r="E452" s="2">
        <v>45833</v>
      </c>
      <c r="F452" s="2">
        <v>45833</v>
      </c>
      <c r="G452" s="3">
        <v>32</v>
      </c>
      <c r="H452" s="4" t="s">
        <v>28</v>
      </c>
      <c r="I452">
        <v>26</v>
      </c>
      <c r="J452">
        <v>0</v>
      </c>
      <c r="K452">
        <v>0</v>
      </c>
      <c r="L452" s="3">
        <v>0</v>
      </c>
      <c r="M452" s="3">
        <v>0</v>
      </c>
      <c r="N452">
        <v>0</v>
      </c>
      <c r="O452">
        <v>0</v>
      </c>
      <c r="P452">
        <v>0</v>
      </c>
      <c r="Q452">
        <v>0</v>
      </c>
      <c r="R452" s="3">
        <v>0</v>
      </c>
      <c r="S452" s="3">
        <v>0</v>
      </c>
      <c r="T452">
        <v>0</v>
      </c>
      <c r="U452">
        <v>0</v>
      </c>
      <c r="V452" s="3">
        <v>0</v>
      </c>
      <c r="W452" s="3">
        <v>0</v>
      </c>
      <c r="X452">
        <v>0</v>
      </c>
      <c r="Y452" t="s">
        <v>509</v>
      </c>
    </row>
    <row r="453" spans="1:25" hidden="1" x14ac:dyDescent="0.25">
      <c r="A453" s="1" t="s">
        <v>31</v>
      </c>
      <c r="B453" s="1" t="s">
        <v>104</v>
      </c>
      <c r="C453" s="1" t="s">
        <v>32</v>
      </c>
      <c r="D453" t="s">
        <v>27</v>
      </c>
      <c r="E453" s="2">
        <v>45833</v>
      </c>
      <c r="F453" s="2">
        <v>45833</v>
      </c>
      <c r="G453" s="3">
        <v>79</v>
      </c>
      <c r="H453" s="4" t="s">
        <v>28</v>
      </c>
      <c r="I453">
        <v>116</v>
      </c>
      <c r="J453">
        <v>0</v>
      </c>
      <c r="K453">
        <v>0</v>
      </c>
      <c r="L453" s="3">
        <v>0</v>
      </c>
      <c r="M453" s="3">
        <v>0</v>
      </c>
      <c r="N453">
        <v>0</v>
      </c>
      <c r="O453">
        <v>0</v>
      </c>
      <c r="P453">
        <v>0</v>
      </c>
      <c r="Q453">
        <v>50</v>
      </c>
      <c r="R453" s="3">
        <v>0</v>
      </c>
      <c r="S453" s="3">
        <v>0</v>
      </c>
      <c r="T453">
        <v>0</v>
      </c>
      <c r="U453">
        <v>0</v>
      </c>
      <c r="V453" s="3">
        <v>0</v>
      </c>
      <c r="W453" s="3">
        <v>0</v>
      </c>
      <c r="X453">
        <v>0</v>
      </c>
      <c r="Y453" t="s">
        <v>510</v>
      </c>
    </row>
    <row r="454" spans="1:25" hidden="1" x14ac:dyDescent="0.25">
      <c r="A454" s="1" t="s">
        <v>33</v>
      </c>
      <c r="B454" s="1" t="s">
        <v>184</v>
      </c>
      <c r="C454" s="1" t="s">
        <v>57</v>
      </c>
      <c r="D454" t="s">
        <v>27</v>
      </c>
      <c r="E454" s="2">
        <v>45833</v>
      </c>
      <c r="F454" s="2">
        <v>45833</v>
      </c>
      <c r="G454" s="3">
        <v>23</v>
      </c>
      <c r="H454" s="4" t="s">
        <v>28</v>
      </c>
      <c r="I454">
        <v>39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18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511</v>
      </c>
    </row>
    <row r="455" spans="1:25" hidden="1" x14ac:dyDescent="0.25">
      <c r="A455" s="1" t="s">
        <v>38</v>
      </c>
      <c r="B455" s="1" t="s">
        <v>108</v>
      </c>
      <c r="C455" s="1" t="s">
        <v>39</v>
      </c>
      <c r="D455" t="s">
        <v>27</v>
      </c>
      <c r="E455" s="2">
        <v>45833</v>
      </c>
      <c r="F455" s="2">
        <v>45833</v>
      </c>
      <c r="G455" s="3">
        <v>65</v>
      </c>
      <c r="H455" s="4" t="s">
        <v>28</v>
      </c>
      <c r="I455">
        <v>32</v>
      </c>
      <c r="J455">
        <v>0</v>
      </c>
      <c r="K455">
        <v>0</v>
      </c>
      <c r="L455" s="3">
        <v>0</v>
      </c>
      <c r="M455" s="3">
        <v>0</v>
      </c>
      <c r="N455">
        <v>0</v>
      </c>
      <c r="O455">
        <v>0</v>
      </c>
      <c r="P455">
        <v>0</v>
      </c>
      <c r="Q455">
        <v>32</v>
      </c>
      <c r="R455" s="3">
        <v>0</v>
      </c>
      <c r="S455" s="3">
        <v>0</v>
      </c>
      <c r="T455">
        <v>0</v>
      </c>
      <c r="U455">
        <v>0</v>
      </c>
      <c r="V455" s="3">
        <v>0</v>
      </c>
      <c r="W455" s="3">
        <v>0</v>
      </c>
      <c r="X455">
        <v>0</v>
      </c>
      <c r="Y455" t="s">
        <v>512</v>
      </c>
    </row>
    <row r="456" spans="1:25" hidden="1" x14ac:dyDescent="0.25">
      <c r="A456" s="1" t="s">
        <v>40</v>
      </c>
      <c r="B456" s="1" t="s">
        <v>110</v>
      </c>
      <c r="C456" t="s">
        <v>27</v>
      </c>
      <c r="D456" t="s">
        <v>27</v>
      </c>
      <c r="E456" s="2">
        <v>45833</v>
      </c>
      <c r="F456" s="2">
        <v>45833</v>
      </c>
      <c r="G456" s="3">
        <v>46</v>
      </c>
      <c r="H456" s="4" t="s">
        <v>28</v>
      </c>
      <c r="I456">
        <v>25</v>
      </c>
      <c r="J456">
        <v>0</v>
      </c>
      <c r="K456">
        <v>0</v>
      </c>
      <c r="L456" s="3">
        <v>1</v>
      </c>
      <c r="M456" s="3">
        <v>0</v>
      </c>
      <c r="N456">
        <v>1</v>
      </c>
      <c r="O456">
        <v>0</v>
      </c>
      <c r="P456">
        <v>0</v>
      </c>
      <c r="Q456">
        <v>0</v>
      </c>
      <c r="R456" s="3">
        <v>0</v>
      </c>
      <c r="S456" s="3">
        <v>0</v>
      </c>
      <c r="T456">
        <v>0</v>
      </c>
      <c r="U456">
        <v>0</v>
      </c>
      <c r="V456" s="3">
        <v>0</v>
      </c>
      <c r="W456" s="3">
        <v>0</v>
      </c>
      <c r="X456">
        <v>0</v>
      </c>
      <c r="Y456" t="s">
        <v>513</v>
      </c>
    </row>
    <row r="457" spans="1:25" hidden="1" x14ac:dyDescent="0.25">
      <c r="A457" s="1" t="s">
        <v>36</v>
      </c>
      <c r="B457" s="1" t="s">
        <v>110</v>
      </c>
      <c r="C457" t="s">
        <v>27</v>
      </c>
      <c r="D457" t="s">
        <v>27</v>
      </c>
      <c r="E457" s="2">
        <v>45833</v>
      </c>
      <c r="F457" s="2">
        <v>45833</v>
      </c>
      <c r="G457" s="3">
        <v>46</v>
      </c>
      <c r="H457" s="4" t="s">
        <v>28</v>
      </c>
      <c r="I457">
        <v>25</v>
      </c>
      <c r="J457">
        <v>0</v>
      </c>
      <c r="K457">
        <v>0</v>
      </c>
      <c r="L457" s="3">
        <v>1</v>
      </c>
      <c r="M457" s="3">
        <v>0</v>
      </c>
      <c r="N457">
        <v>1</v>
      </c>
      <c r="O457">
        <v>0</v>
      </c>
      <c r="P457">
        <v>0</v>
      </c>
      <c r="Q457">
        <v>0</v>
      </c>
      <c r="R457" s="3">
        <v>0</v>
      </c>
      <c r="S457" s="3">
        <v>0</v>
      </c>
      <c r="T457">
        <v>0</v>
      </c>
      <c r="U457">
        <v>0</v>
      </c>
      <c r="V457" s="3">
        <v>0</v>
      </c>
      <c r="W457" s="3">
        <v>0</v>
      </c>
      <c r="X457">
        <v>0</v>
      </c>
      <c r="Y457" t="s">
        <v>513</v>
      </c>
    </row>
    <row r="458" spans="1:25" hidden="1" x14ac:dyDescent="0.25">
      <c r="A458" s="1" t="s">
        <v>41</v>
      </c>
      <c r="B458" s="1" t="s">
        <v>112</v>
      </c>
      <c r="C458" s="1" t="s">
        <v>42</v>
      </c>
      <c r="D458" t="s">
        <v>27</v>
      </c>
      <c r="E458" s="2">
        <v>45833</v>
      </c>
      <c r="F458" s="2">
        <v>45833</v>
      </c>
      <c r="G458" s="3">
        <v>46</v>
      </c>
      <c r="H458" s="4" t="s">
        <v>28</v>
      </c>
      <c r="I458">
        <v>43</v>
      </c>
      <c r="J458">
        <v>0</v>
      </c>
      <c r="K458">
        <v>0</v>
      </c>
      <c r="L458" s="3">
        <v>1</v>
      </c>
      <c r="M458" s="3">
        <v>0</v>
      </c>
      <c r="N458">
        <v>0</v>
      </c>
      <c r="O458">
        <v>0</v>
      </c>
      <c r="P458">
        <v>0</v>
      </c>
      <c r="Q458">
        <v>0</v>
      </c>
      <c r="R458" s="3">
        <v>0</v>
      </c>
      <c r="S458" s="3">
        <v>0</v>
      </c>
      <c r="T458">
        <v>0</v>
      </c>
      <c r="U458">
        <v>0</v>
      </c>
      <c r="V458" s="3">
        <v>0</v>
      </c>
      <c r="W458" s="3">
        <v>0</v>
      </c>
      <c r="X458">
        <v>0</v>
      </c>
      <c r="Y458" t="s">
        <v>514</v>
      </c>
    </row>
    <row r="459" spans="1:25" hidden="1" x14ac:dyDescent="0.25">
      <c r="A459" s="1" t="s">
        <v>43</v>
      </c>
      <c r="B459" s="1" t="s">
        <v>114</v>
      </c>
      <c r="C459" t="s">
        <v>27</v>
      </c>
      <c r="D459" t="s">
        <v>27</v>
      </c>
      <c r="E459" s="2">
        <v>45833</v>
      </c>
      <c r="F459" s="2">
        <v>45833</v>
      </c>
      <c r="G459" s="3">
        <v>31</v>
      </c>
      <c r="H459" s="4" t="s">
        <v>28</v>
      </c>
      <c r="I459">
        <v>54</v>
      </c>
      <c r="J459">
        <v>0</v>
      </c>
      <c r="K459">
        <v>0</v>
      </c>
      <c r="L459" s="3">
        <v>0</v>
      </c>
      <c r="M459" s="3">
        <v>0</v>
      </c>
      <c r="N459">
        <v>0</v>
      </c>
      <c r="O459">
        <v>0</v>
      </c>
      <c r="P459">
        <v>0</v>
      </c>
      <c r="Q459">
        <v>0</v>
      </c>
      <c r="R459" s="3">
        <v>0</v>
      </c>
      <c r="S459" s="3">
        <v>0</v>
      </c>
      <c r="T459">
        <v>0</v>
      </c>
      <c r="U459">
        <v>0</v>
      </c>
      <c r="V459" s="3">
        <v>0</v>
      </c>
      <c r="W459" s="3">
        <v>0</v>
      </c>
      <c r="X459">
        <v>0</v>
      </c>
      <c r="Y459" t="s">
        <v>515</v>
      </c>
    </row>
    <row r="460" spans="1:25" hidden="1" x14ac:dyDescent="0.25">
      <c r="A460" s="1" t="s">
        <v>48</v>
      </c>
      <c r="B460" s="1" t="s">
        <v>114</v>
      </c>
      <c r="C460" t="s">
        <v>27</v>
      </c>
      <c r="D460" t="s">
        <v>27</v>
      </c>
      <c r="E460" s="2">
        <v>45833</v>
      </c>
      <c r="F460" s="2">
        <v>45833</v>
      </c>
      <c r="G460" s="3">
        <v>31</v>
      </c>
      <c r="H460" s="4" t="s">
        <v>28</v>
      </c>
      <c r="I460">
        <v>54</v>
      </c>
      <c r="J460">
        <v>0</v>
      </c>
      <c r="K460">
        <v>0</v>
      </c>
      <c r="L460" s="3">
        <v>0</v>
      </c>
      <c r="M460" s="3">
        <v>0</v>
      </c>
      <c r="N460">
        <v>0</v>
      </c>
      <c r="O460">
        <v>0</v>
      </c>
      <c r="P460">
        <v>0</v>
      </c>
      <c r="Q460">
        <v>0</v>
      </c>
      <c r="R460" s="3">
        <v>0</v>
      </c>
      <c r="S460" s="3">
        <v>0</v>
      </c>
      <c r="T460">
        <v>0</v>
      </c>
      <c r="U460">
        <v>0</v>
      </c>
      <c r="V460" s="3">
        <v>0</v>
      </c>
      <c r="W460" s="3">
        <v>0</v>
      </c>
      <c r="X460">
        <v>0</v>
      </c>
      <c r="Y460" t="s">
        <v>515</v>
      </c>
    </row>
    <row r="461" spans="1:25" hidden="1" x14ac:dyDescent="0.25">
      <c r="A461" s="1" t="s">
        <v>45</v>
      </c>
      <c r="B461" s="1" t="s">
        <v>116</v>
      </c>
      <c r="C461" s="1" t="s">
        <v>46</v>
      </c>
      <c r="D461" t="s">
        <v>27</v>
      </c>
      <c r="E461" s="2">
        <v>45833</v>
      </c>
      <c r="F461" s="2">
        <v>45833</v>
      </c>
      <c r="G461" s="3">
        <v>72</v>
      </c>
      <c r="H461" s="4" t="s">
        <v>28</v>
      </c>
      <c r="I461">
        <v>89</v>
      </c>
      <c r="J461">
        <v>0</v>
      </c>
      <c r="K461">
        <v>0</v>
      </c>
      <c r="L461" s="3">
        <v>1</v>
      </c>
      <c r="M461" s="3">
        <v>0</v>
      </c>
      <c r="N461">
        <v>0</v>
      </c>
      <c r="O461">
        <v>0</v>
      </c>
      <c r="P461">
        <v>0</v>
      </c>
      <c r="Q461">
        <v>0</v>
      </c>
      <c r="R461" s="3">
        <v>0</v>
      </c>
      <c r="S461" s="3">
        <v>0</v>
      </c>
      <c r="T461">
        <v>0</v>
      </c>
      <c r="U461">
        <v>0</v>
      </c>
      <c r="V461" s="3">
        <v>0</v>
      </c>
      <c r="W461" s="3">
        <v>0</v>
      </c>
      <c r="X461">
        <v>0</v>
      </c>
      <c r="Y461" t="s">
        <v>516</v>
      </c>
    </row>
    <row r="462" spans="1:25" hidden="1" x14ac:dyDescent="0.25">
      <c r="A462" s="1" t="s">
        <v>47</v>
      </c>
      <c r="B462" s="1" t="s">
        <v>137</v>
      </c>
      <c r="C462" t="s">
        <v>27</v>
      </c>
      <c r="D462" t="s">
        <v>27</v>
      </c>
      <c r="E462" s="2">
        <v>45833</v>
      </c>
      <c r="F462" s="2">
        <v>45833</v>
      </c>
      <c r="G462" s="3">
        <v>46</v>
      </c>
      <c r="H462" s="4" t="s">
        <v>28</v>
      </c>
      <c r="I462">
        <v>62</v>
      </c>
      <c r="J462">
        <v>0</v>
      </c>
      <c r="K462">
        <v>0</v>
      </c>
      <c r="L462" s="3">
        <v>0</v>
      </c>
      <c r="M462" s="3">
        <v>0</v>
      </c>
      <c r="N462">
        <v>0</v>
      </c>
      <c r="O462">
        <v>0</v>
      </c>
      <c r="P462">
        <v>0</v>
      </c>
      <c r="Q462">
        <v>0</v>
      </c>
      <c r="R462" s="3">
        <v>0</v>
      </c>
      <c r="S462" s="3">
        <v>0</v>
      </c>
      <c r="T462">
        <v>0</v>
      </c>
      <c r="U462">
        <v>0</v>
      </c>
      <c r="V462" s="3">
        <v>0</v>
      </c>
      <c r="W462" s="3">
        <v>0</v>
      </c>
      <c r="X462">
        <v>0</v>
      </c>
      <c r="Y462" t="s">
        <v>517</v>
      </c>
    </row>
    <row r="463" spans="1:25" hidden="1" x14ac:dyDescent="0.25">
      <c r="A463" s="1" t="s">
        <v>34</v>
      </c>
      <c r="B463" s="1" t="s">
        <v>137</v>
      </c>
      <c r="C463" t="s">
        <v>27</v>
      </c>
      <c r="D463" t="s">
        <v>27</v>
      </c>
      <c r="E463" s="2">
        <v>45833</v>
      </c>
      <c r="F463" s="2">
        <v>45833</v>
      </c>
      <c r="G463" s="3">
        <v>46</v>
      </c>
      <c r="H463" s="4" t="s">
        <v>28</v>
      </c>
      <c r="I463">
        <v>62</v>
      </c>
      <c r="J463">
        <v>0</v>
      </c>
      <c r="K463">
        <v>0</v>
      </c>
      <c r="L463" s="3">
        <v>0</v>
      </c>
      <c r="M463" s="3">
        <v>0</v>
      </c>
      <c r="N463">
        <v>0</v>
      </c>
      <c r="O463">
        <v>0</v>
      </c>
      <c r="P463">
        <v>0</v>
      </c>
      <c r="Q463">
        <v>0</v>
      </c>
      <c r="R463" s="3">
        <v>0</v>
      </c>
      <c r="S463" s="3">
        <v>0</v>
      </c>
      <c r="T463">
        <v>0</v>
      </c>
      <c r="U463">
        <v>0</v>
      </c>
      <c r="V463" s="3">
        <v>0</v>
      </c>
      <c r="W463" s="3">
        <v>0</v>
      </c>
      <c r="X463">
        <v>0</v>
      </c>
      <c r="Y463" t="s">
        <v>517</v>
      </c>
    </row>
    <row r="464" spans="1:25" hidden="1" x14ac:dyDescent="0.25">
      <c r="A464" s="1" t="s">
        <v>49</v>
      </c>
      <c r="B464" s="1" t="s">
        <v>118</v>
      </c>
      <c r="C464" s="1" t="s">
        <v>50</v>
      </c>
      <c r="D464" t="s">
        <v>27</v>
      </c>
      <c r="E464" s="2">
        <v>45833</v>
      </c>
      <c r="F464" s="2">
        <v>45833</v>
      </c>
      <c r="G464" s="3">
        <v>36</v>
      </c>
      <c r="H464" s="4" t="s">
        <v>28</v>
      </c>
      <c r="I464">
        <v>50</v>
      </c>
      <c r="J464">
        <v>0</v>
      </c>
      <c r="K464">
        <v>0</v>
      </c>
      <c r="L464" s="3">
        <v>1</v>
      </c>
      <c r="M464" s="3">
        <v>1</v>
      </c>
      <c r="N464">
        <v>0</v>
      </c>
      <c r="O464">
        <v>0</v>
      </c>
      <c r="P464">
        <v>0</v>
      </c>
      <c r="Q464">
        <v>50</v>
      </c>
      <c r="R464" s="3">
        <v>0</v>
      </c>
      <c r="S464" s="3">
        <v>0</v>
      </c>
      <c r="T464">
        <v>0</v>
      </c>
      <c r="U464">
        <v>0</v>
      </c>
      <c r="V464" s="3">
        <v>0</v>
      </c>
      <c r="W464" s="3">
        <v>0</v>
      </c>
      <c r="X464">
        <v>0</v>
      </c>
      <c r="Y464" t="s">
        <v>518</v>
      </c>
    </row>
    <row r="465" spans="1:25" hidden="1" x14ac:dyDescent="0.25">
      <c r="A465" s="1" t="s">
        <v>51</v>
      </c>
      <c r="B465" s="1" t="s">
        <v>120</v>
      </c>
      <c r="C465" s="1" t="s">
        <v>55</v>
      </c>
      <c r="D465" t="s">
        <v>27</v>
      </c>
      <c r="E465" s="2">
        <v>45833</v>
      </c>
      <c r="F465" s="2">
        <v>45833</v>
      </c>
      <c r="G465" s="3">
        <v>59</v>
      </c>
      <c r="H465" s="4" t="s">
        <v>28</v>
      </c>
      <c r="I465">
        <v>51</v>
      </c>
      <c r="J465">
        <v>0</v>
      </c>
      <c r="K465">
        <v>0</v>
      </c>
      <c r="L465" s="3">
        <v>1</v>
      </c>
      <c r="M465" s="3">
        <v>0</v>
      </c>
      <c r="N465">
        <v>1</v>
      </c>
      <c r="O465">
        <v>0</v>
      </c>
      <c r="P465">
        <v>0</v>
      </c>
      <c r="Q465">
        <v>0</v>
      </c>
      <c r="R465" s="3">
        <v>0</v>
      </c>
      <c r="S465" s="3">
        <v>0</v>
      </c>
      <c r="T465">
        <v>0</v>
      </c>
      <c r="U465">
        <v>0</v>
      </c>
      <c r="V465" s="3">
        <v>0</v>
      </c>
      <c r="W465" s="3">
        <v>0</v>
      </c>
      <c r="X465">
        <v>0</v>
      </c>
      <c r="Y465" t="s">
        <v>519</v>
      </c>
    </row>
    <row r="466" spans="1:25" hidden="1" x14ac:dyDescent="0.25">
      <c r="A466" s="1" t="s">
        <v>54</v>
      </c>
      <c r="B466" s="1" t="s">
        <v>122</v>
      </c>
      <c r="C466" s="1" t="s">
        <v>52</v>
      </c>
      <c r="D466" t="s">
        <v>27</v>
      </c>
      <c r="E466" s="2">
        <v>45833</v>
      </c>
      <c r="F466" s="2">
        <v>45833</v>
      </c>
      <c r="G466" s="3">
        <v>38</v>
      </c>
      <c r="H466" s="4" t="s">
        <v>28</v>
      </c>
      <c r="I466">
        <v>38</v>
      </c>
      <c r="J466">
        <v>0</v>
      </c>
      <c r="K466">
        <v>0</v>
      </c>
      <c r="L466" s="3">
        <v>0</v>
      </c>
      <c r="M466" s="3">
        <v>0</v>
      </c>
      <c r="N466">
        <v>0</v>
      </c>
      <c r="O466">
        <v>0</v>
      </c>
      <c r="P466">
        <v>0</v>
      </c>
      <c r="Q466">
        <v>0</v>
      </c>
      <c r="R466" s="3">
        <v>0</v>
      </c>
      <c r="S466" s="3">
        <v>0</v>
      </c>
      <c r="T466">
        <v>0</v>
      </c>
      <c r="U466">
        <v>0</v>
      </c>
      <c r="V466" s="3">
        <v>0</v>
      </c>
      <c r="W466" s="3">
        <v>0</v>
      </c>
      <c r="X466">
        <v>0</v>
      </c>
      <c r="Y466" t="s">
        <v>520</v>
      </c>
    </row>
    <row r="467" spans="1:25" hidden="1" x14ac:dyDescent="0.25">
      <c r="A467" s="1" t="s">
        <v>53</v>
      </c>
      <c r="B467" s="1" t="s">
        <v>142</v>
      </c>
      <c r="C467" s="1" t="s">
        <v>39</v>
      </c>
      <c r="D467" t="s">
        <v>27</v>
      </c>
      <c r="E467" s="2">
        <v>45833</v>
      </c>
      <c r="F467" s="2">
        <v>45833</v>
      </c>
      <c r="G467" s="3">
        <v>49</v>
      </c>
      <c r="H467" s="4" t="s">
        <v>28</v>
      </c>
      <c r="I467">
        <v>28</v>
      </c>
      <c r="J467">
        <v>0</v>
      </c>
      <c r="K467">
        <v>0</v>
      </c>
      <c r="L467" s="3">
        <v>1</v>
      </c>
      <c r="M467" s="3">
        <v>0</v>
      </c>
      <c r="N467">
        <v>0</v>
      </c>
      <c r="O467">
        <v>0</v>
      </c>
      <c r="P467">
        <v>0</v>
      </c>
      <c r="Q467">
        <v>28</v>
      </c>
      <c r="R467" s="3">
        <v>0</v>
      </c>
      <c r="S467" s="3">
        <v>0</v>
      </c>
      <c r="T467">
        <v>0</v>
      </c>
      <c r="U467">
        <v>0</v>
      </c>
      <c r="V467" s="3">
        <v>0</v>
      </c>
      <c r="W467" s="3">
        <v>0</v>
      </c>
      <c r="X467">
        <v>0</v>
      </c>
      <c r="Y467" t="s">
        <v>521</v>
      </c>
    </row>
    <row r="468" spans="1:25" hidden="1" x14ac:dyDescent="0.25">
      <c r="A468" s="1" t="s">
        <v>58</v>
      </c>
      <c r="B468" s="1" t="s">
        <v>144</v>
      </c>
      <c r="C468" s="1" t="s">
        <v>489</v>
      </c>
      <c r="D468" t="s">
        <v>27</v>
      </c>
      <c r="E468" s="2">
        <v>45833</v>
      </c>
      <c r="F468" s="2">
        <v>45833</v>
      </c>
      <c r="G468" s="3">
        <v>25</v>
      </c>
      <c r="H468" s="4" t="s">
        <v>28</v>
      </c>
      <c r="I468">
        <v>65</v>
      </c>
      <c r="J468">
        <v>0</v>
      </c>
      <c r="K468">
        <v>0</v>
      </c>
      <c r="L468" s="3">
        <v>1</v>
      </c>
      <c r="M468" s="3">
        <v>0</v>
      </c>
      <c r="N468">
        <v>0</v>
      </c>
      <c r="O468">
        <v>0</v>
      </c>
      <c r="P468">
        <v>3</v>
      </c>
      <c r="Q468">
        <v>0</v>
      </c>
      <c r="R468" s="3">
        <v>0</v>
      </c>
      <c r="S468" s="3">
        <v>0</v>
      </c>
      <c r="T468">
        <v>0</v>
      </c>
      <c r="U468">
        <v>0</v>
      </c>
      <c r="V468" s="3">
        <v>0</v>
      </c>
      <c r="W468" s="3">
        <v>0</v>
      </c>
      <c r="X468">
        <v>0</v>
      </c>
      <c r="Y468" t="s">
        <v>522</v>
      </c>
    </row>
    <row r="469" spans="1:25" hidden="1" x14ac:dyDescent="0.25">
      <c r="A469" s="1" t="s">
        <v>27</v>
      </c>
      <c r="B469" s="1" t="s">
        <v>106</v>
      </c>
      <c r="C469" s="1" t="s">
        <v>44</v>
      </c>
      <c r="D469" t="s">
        <v>27</v>
      </c>
      <c r="E469" s="2">
        <v>45833</v>
      </c>
      <c r="F469" s="2">
        <v>45833</v>
      </c>
      <c r="G469" s="3">
        <v>26</v>
      </c>
      <c r="H469" s="4" t="s">
        <v>250</v>
      </c>
      <c r="I469">
        <v>0</v>
      </c>
      <c r="J469">
        <v>0</v>
      </c>
      <c r="K469">
        <v>0</v>
      </c>
      <c r="L469" s="3">
        <v>0</v>
      </c>
      <c r="M469" s="3">
        <v>0</v>
      </c>
      <c r="N469">
        <v>0</v>
      </c>
      <c r="O469">
        <v>0</v>
      </c>
      <c r="P469">
        <v>0</v>
      </c>
      <c r="Q469">
        <v>0</v>
      </c>
      <c r="R469" s="3">
        <v>0</v>
      </c>
      <c r="S469" s="3">
        <v>0</v>
      </c>
      <c r="T469">
        <v>0</v>
      </c>
      <c r="U469">
        <v>0</v>
      </c>
      <c r="V469" s="3">
        <v>0</v>
      </c>
      <c r="W469" s="3">
        <v>0</v>
      </c>
      <c r="X469" s="3">
        <v>0</v>
      </c>
      <c r="Y469" t="s">
        <v>522</v>
      </c>
    </row>
    <row r="470" spans="1:25" hidden="1" x14ac:dyDescent="0.25">
      <c r="A470" s="1" t="s">
        <v>25</v>
      </c>
      <c r="B470" s="1" t="s">
        <v>96</v>
      </c>
      <c r="C470" s="1" t="s">
        <v>26</v>
      </c>
      <c r="D470" t="s">
        <v>27</v>
      </c>
      <c r="E470" s="2">
        <v>45834</v>
      </c>
      <c r="F470" s="2">
        <v>45834</v>
      </c>
      <c r="G470" s="3">
        <v>39</v>
      </c>
      <c r="H470" s="4" t="s">
        <v>28</v>
      </c>
      <c r="I470">
        <v>51</v>
      </c>
      <c r="J470">
        <v>0</v>
      </c>
      <c r="K470">
        <v>0</v>
      </c>
      <c r="L470" s="3">
        <v>1</v>
      </c>
      <c r="M470" s="3">
        <v>0</v>
      </c>
      <c r="N470">
        <v>1</v>
      </c>
      <c r="O470">
        <v>0</v>
      </c>
      <c r="P470">
        <v>0</v>
      </c>
      <c r="Q470">
        <v>0</v>
      </c>
      <c r="R470" s="3">
        <v>0</v>
      </c>
      <c r="S470" s="3">
        <v>0</v>
      </c>
      <c r="T470">
        <v>0</v>
      </c>
      <c r="U470">
        <v>0</v>
      </c>
      <c r="V470" s="3">
        <v>0</v>
      </c>
      <c r="W470" s="3">
        <v>0</v>
      </c>
      <c r="X470">
        <v>0</v>
      </c>
      <c r="Y470" t="s">
        <v>523</v>
      </c>
    </row>
    <row r="471" spans="1:25" hidden="1" x14ac:dyDescent="0.25">
      <c r="A471" s="1" t="s">
        <v>56</v>
      </c>
      <c r="B471" s="1" t="s">
        <v>98</v>
      </c>
      <c r="C471" s="1" t="s">
        <v>37</v>
      </c>
      <c r="D471" t="s">
        <v>27</v>
      </c>
      <c r="E471" s="2">
        <v>45834</v>
      </c>
      <c r="F471" s="2">
        <v>45834</v>
      </c>
      <c r="G471" s="3">
        <v>30</v>
      </c>
      <c r="H471" s="4" t="s">
        <v>28</v>
      </c>
      <c r="I471">
        <v>72</v>
      </c>
      <c r="J471">
        <v>0</v>
      </c>
      <c r="K471">
        <v>0</v>
      </c>
      <c r="L471" s="3">
        <v>1</v>
      </c>
      <c r="M471" s="3">
        <v>0</v>
      </c>
      <c r="N471">
        <v>0</v>
      </c>
      <c r="O471">
        <v>0</v>
      </c>
      <c r="P471">
        <v>0</v>
      </c>
      <c r="Q471">
        <v>0</v>
      </c>
      <c r="R471" s="3">
        <v>0</v>
      </c>
      <c r="S471" s="3">
        <v>0</v>
      </c>
      <c r="T471">
        <v>0</v>
      </c>
      <c r="U471">
        <v>0</v>
      </c>
      <c r="V471" s="3">
        <v>0</v>
      </c>
      <c r="W471" s="3">
        <v>0</v>
      </c>
      <c r="X471">
        <v>0</v>
      </c>
      <c r="Y471" t="s">
        <v>524</v>
      </c>
    </row>
    <row r="472" spans="1:25" hidden="1" x14ac:dyDescent="0.25">
      <c r="A472" s="1" t="s">
        <v>29</v>
      </c>
      <c r="B472" s="1" t="s">
        <v>100</v>
      </c>
      <c r="C472" s="1" t="s">
        <v>245</v>
      </c>
      <c r="D472" t="s">
        <v>27</v>
      </c>
      <c r="E472" s="2">
        <v>45834</v>
      </c>
      <c r="F472" s="2">
        <v>45834</v>
      </c>
      <c r="G472" s="3">
        <v>49</v>
      </c>
      <c r="H472" s="4" t="s">
        <v>28</v>
      </c>
      <c r="I472">
        <v>38</v>
      </c>
      <c r="J472">
        <v>0</v>
      </c>
      <c r="K472">
        <v>0</v>
      </c>
      <c r="L472" s="3">
        <v>0</v>
      </c>
      <c r="M472" s="3">
        <v>0</v>
      </c>
      <c r="N472">
        <v>0</v>
      </c>
      <c r="O472">
        <v>0</v>
      </c>
      <c r="P472">
        <v>0</v>
      </c>
      <c r="Q472">
        <v>0</v>
      </c>
      <c r="R472" s="3">
        <v>0</v>
      </c>
      <c r="S472" s="3">
        <v>0</v>
      </c>
      <c r="T472">
        <v>0</v>
      </c>
      <c r="U472">
        <v>0</v>
      </c>
      <c r="V472" s="3">
        <v>0</v>
      </c>
      <c r="W472" s="3">
        <v>0</v>
      </c>
      <c r="X472">
        <v>0</v>
      </c>
      <c r="Y472" t="s">
        <v>525</v>
      </c>
    </row>
    <row r="473" spans="1:25" hidden="1" x14ac:dyDescent="0.25">
      <c r="A473" s="1" t="s">
        <v>31</v>
      </c>
      <c r="B473" s="1" t="s">
        <v>104</v>
      </c>
      <c r="C473" t="s">
        <v>27</v>
      </c>
      <c r="D473" t="s">
        <v>27</v>
      </c>
      <c r="E473" s="2">
        <v>45834</v>
      </c>
      <c r="F473" s="2">
        <v>45834</v>
      </c>
      <c r="G473" s="3">
        <v>62</v>
      </c>
      <c r="H473" s="4" t="s">
        <v>28</v>
      </c>
      <c r="I473">
        <v>72</v>
      </c>
      <c r="J473">
        <v>0</v>
      </c>
      <c r="K473">
        <v>0</v>
      </c>
      <c r="L473" s="3">
        <v>0</v>
      </c>
      <c r="M473" s="3">
        <v>0</v>
      </c>
      <c r="N473">
        <v>0</v>
      </c>
      <c r="O473">
        <v>0</v>
      </c>
      <c r="P473">
        <v>0</v>
      </c>
      <c r="Q473">
        <v>50</v>
      </c>
      <c r="R473" s="3">
        <v>0</v>
      </c>
      <c r="S473" s="3">
        <v>0</v>
      </c>
      <c r="T473">
        <v>0</v>
      </c>
      <c r="U473">
        <v>0</v>
      </c>
      <c r="V473" s="3">
        <v>0</v>
      </c>
      <c r="W473" s="3">
        <v>0</v>
      </c>
      <c r="X473">
        <v>0</v>
      </c>
      <c r="Y473" t="s">
        <v>526</v>
      </c>
    </row>
    <row r="474" spans="1:25" hidden="1" x14ac:dyDescent="0.25">
      <c r="A474" s="1" t="s">
        <v>58</v>
      </c>
      <c r="B474" s="1" t="s">
        <v>104</v>
      </c>
      <c r="C474" t="s">
        <v>27</v>
      </c>
      <c r="D474" t="s">
        <v>27</v>
      </c>
      <c r="E474" s="2">
        <v>45834</v>
      </c>
      <c r="F474" s="2">
        <v>45834</v>
      </c>
      <c r="G474" s="3">
        <v>62</v>
      </c>
      <c r="H474" s="4" t="s">
        <v>28</v>
      </c>
      <c r="I474">
        <v>72</v>
      </c>
      <c r="J474">
        <v>0</v>
      </c>
      <c r="K474">
        <v>0</v>
      </c>
      <c r="L474" s="3">
        <v>0</v>
      </c>
      <c r="M474" s="3">
        <v>0</v>
      </c>
      <c r="N474">
        <v>0</v>
      </c>
      <c r="O474">
        <v>0</v>
      </c>
      <c r="P474">
        <v>0</v>
      </c>
      <c r="Q474">
        <v>50</v>
      </c>
      <c r="R474" s="3">
        <v>0</v>
      </c>
      <c r="S474" s="3">
        <v>0</v>
      </c>
      <c r="T474">
        <v>0</v>
      </c>
      <c r="U474">
        <v>0</v>
      </c>
      <c r="V474" s="3">
        <v>0</v>
      </c>
      <c r="W474" s="3">
        <v>0</v>
      </c>
      <c r="X474">
        <v>0</v>
      </c>
      <c r="Y474" t="s">
        <v>526</v>
      </c>
    </row>
    <row r="475" spans="1:25" hidden="1" x14ac:dyDescent="0.25">
      <c r="A475" s="1" t="s">
        <v>33</v>
      </c>
      <c r="B475" s="1" t="s">
        <v>106</v>
      </c>
      <c r="C475" s="1" t="s">
        <v>57</v>
      </c>
      <c r="D475" t="s">
        <v>27</v>
      </c>
      <c r="E475" s="2">
        <v>45834</v>
      </c>
      <c r="F475" s="2">
        <v>45834</v>
      </c>
      <c r="G475" s="3">
        <v>31</v>
      </c>
      <c r="H475" s="4" t="s">
        <v>28</v>
      </c>
      <c r="I475">
        <v>45</v>
      </c>
      <c r="J475">
        <v>0</v>
      </c>
      <c r="K475">
        <v>0</v>
      </c>
      <c r="L475" s="3">
        <v>0</v>
      </c>
      <c r="M475" s="3">
        <v>0</v>
      </c>
      <c r="N475">
        <v>0</v>
      </c>
      <c r="O475">
        <v>0</v>
      </c>
      <c r="P475">
        <v>0</v>
      </c>
      <c r="Q475">
        <v>0</v>
      </c>
      <c r="R475" s="3">
        <v>0</v>
      </c>
      <c r="S475" s="3">
        <v>0</v>
      </c>
      <c r="T475">
        <v>0</v>
      </c>
      <c r="U475">
        <v>0</v>
      </c>
      <c r="V475" s="3">
        <v>0</v>
      </c>
      <c r="W475" s="3">
        <v>0</v>
      </c>
      <c r="X475">
        <v>0</v>
      </c>
      <c r="Y475" t="s">
        <v>527</v>
      </c>
    </row>
    <row r="476" spans="1:25" hidden="1" x14ac:dyDescent="0.25">
      <c r="A476" s="1" t="s">
        <v>34</v>
      </c>
      <c r="B476" s="1" t="s">
        <v>247</v>
      </c>
      <c r="C476" s="1" t="s">
        <v>35</v>
      </c>
      <c r="D476" t="s">
        <v>27</v>
      </c>
      <c r="E476" s="2">
        <v>45834</v>
      </c>
      <c r="F476" s="2">
        <v>45834</v>
      </c>
      <c r="G476" s="3">
        <v>29</v>
      </c>
      <c r="H476" s="4" t="s">
        <v>28</v>
      </c>
      <c r="I476">
        <v>35</v>
      </c>
      <c r="J476">
        <v>0</v>
      </c>
      <c r="K476">
        <v>0</v>
      </c>
      <c r="L476" s="3">
        <v>0</v>
      </c>
      <c r="M476" s="3">
        <v>0</v>
      </c>
      <c r="N476">
        <v>0</v>
      </c>
      <c r="O476">
        <v>0</v>
      </c>
      <c r="P476">
        <v>0</v>
      </c>
      <c r="Q476">
        <v>0</v>
      </c>
      <c r="R476" s="3">
        <v>0</v>
      </c>
      <c r="S476" s="3">
        <v>0</v>
      </c>
      <c r="T476">
        <v>0</v>
      </c>
      <c r="U476">
        <v>0</v>
      </c>
      <c r="V476" s="3">
        <v>0</v>
      </c>
      <c r="W476" s="3">
        <v>0</v>
      </c>
      <c r="X476">
        <v>0</v>
      </c>
      <c r="Y476" t="s">
        <v>528</v>
      </c>
    </row>
    <row r="477" spans="1:25" hidden="1" x14ac:dyDescent="0.25">
      <c r="A477" s="1" t="s">
        <v>38</v>
      </c>
      <c r="B477" s="1" t="s">
        <v>108</v>
      </c>
      <c r="C477" s="1" t="s">
        <v>39</v>
      </c>
      <c r="D477" t="s">
        <v>27</v>
      </c>
      <c r="E477" s="2">
        <v>45834</v>
      </c>
      <c r="F477" s="2">
        <v>45834</v>
      </c>
      <c r="G477" s="3">
        <v>75</v>
      </c>
      <c r="H477" s="4" t="s">
        <v>28</v>
      </c>
      <c r="I477">
        <v>26</v>
      </c>
      <c r="J477">
        <v>0</v>
      </c>
      <c r="K477">
        <v>0</v>
      </c>
      <c r="L477" s="3">
        <v>0</v>
      </c>
      <c r="M477" s="3">
        <v>0</v>
      </c>
      <c r="N477">
        <v>0</v>
      </c>
      <c r="O477">
        <v>0</v>
      </c>
      <c r="P477">
        <v>0</v>
      </c>
      <c r="Q477">
        <v>26</v>
      </c>
      <c r="R477" s="3">
        <v>0</v>
      </c>
      <c r="S477" s="3">
        <v>0</v>
      </c>
      <c r="T477">
        <v>0</v>
      </c>
      <c r="U477">
        <v>0</v>
      </c>
      <c r="V477" s="3">
        <v>0</v>
      </c>
      <c r="W477" s="3">
        <v>0</v>
      </c>
      <c r="X477">
        <v>0</v>
      </c>
      <c r="Y477" t="s">
        <v>529</v>
      </c>
    </row>
    <row r="478" spans="1:25" hidden="1" x14ac:dyDescent="0.25">
      <c r="A478" s="1" t="s">
        <v>40</v>
      </c>
      <c r="B478" s="1" t="s">
        <v>110</v>
      </c>
      <c r="C478" t="s">
        <v>27</v>
      </c>
      <c r="D478" t="s">
        <v>27</v>
      </c>
      <c r="E478" s="2">
        <v>45834</v>
      </c>
      <c r="F478" s="2">
        <v>45834</v>
      </c>
      <c r="G478" s="3">
        <v>71</v>
      </c>
      <c r="H478" s="4" t="s">
        <v>28</v>
      </c>
      <c r="I478">
        <v>19</v>
      </c>
      <c r="J478">
        <v>0</v>
      </c>
      <c r="K478">
        <v>0</v>
      </c>
      <c r="L478" s="3">
        <v>0</v>
      </c>
      <c r="M478" s="3">
        <v>0</v>
      </c>
      <c r="N478">
        <v>1</v>
      </c>
      <c r="O478">
        <v>0</v>
      </c>
      <c r="P478">
        <v>0</v>
      </c>
      <c r="Q478">
        <v>0</v>
      </c>
      <c r="R478" s="3">
        <v>0</v>
      </c>
      <c r="S478" s="3">
        <v>0</v>
      </c>
      <c r="T478">
        <v>0</v>
      </c>
      <c r="U478">
        <v>0</v>
      </c>
      <c r="V478" s="3">
        <v>0</v>
      </c>
      <c r="W478" s="3">
        <v>0</v>
      </c>
      <c r="X478">
        <v>0</v>
      </c>
      <c r="Y478" t="s">
        <v>530</v>
      </c>
    </row>
    <row r="479" spans="1:25" hidden="1" x14ac:dyDescent="0.25">
      <c r="A479" s="1" t="s">
        <v>36</v>
      </c>
      <c r="B479" s="1" t="s">
        <v>110</v>
      </c>
      <c r="C479" t="s">
        <v>27</v>
      </c>
      <c r="D479" t="s">
        <v>27</v>
      </c>
      <c r="E479" s="2">
        <v>45834</v>
      </c>
      <c r="F479" s="2">
        <v>45834</v>
      </c>
      <c r="G479" s="3">
        <v>71</v>
      </c>
      <c r="H479" s="4" t="s">
        <v>28</v>
      </c>
      <c r="I479">
        <v>19</v>
      </c>
      <c r="J479">
        <v>0</v>
      </c>
      <c r="K479">
        <v>0</v>
      </c>
      <c r="L479" s="3">
        <v>0</v>
      </c>
      <c r="M479" s="3">
        <v>0</v>
      </c>
      <c r="N479">
        <v>1</v>
      </c>
      <c r="O479">
        <v>0</v>
      </c>
      <c r="P479">
        <v>0</v>
      </c>
      <c r="Q479">
        <v>0</v>
      </c>
      <c r="R479" s="3">
        <v>0</v>
      </c>
      <c r="S479" s="3">
        <v>0</v>
      </c>
      <c r="T479">
        <v>0</v>
      </c>
      <c r="U479">
        <v>0</v>
      </c>
      <c r="V479" s="3">
        <v>0</v>
      </c>
      <c r="W479" s="3">
        <v>0</v>
      </c>
      <c r="X479">
        <v>0</v>
      </c>
      <c r="Y479" t="s">
        <v>530</v>
      </c>
    </row>
    <row r="480" spans="1:25" hidden="1" x14ac:dyDescent="0.25">
      <c r="A480" s="1" t="s">
        <v>41</v>
      </c>
      <c r="B480" s="1" t="s">
        <v>112</v>
      </c>
      <c r="C480" s="1" t="s">
        <v>42</v>
      </c>
      <c r="D480" t="s">
        <v>27</v>
      </c>
      <c r="E480" s="2">
        <v>45834</v>
      </c>
      <c r="F480" s="2">
        <v>45834</v>
      </c>
      <c r="G480" s="3">
        <v>31</v>
      </c>
      <c r="H480" s="4" t="s">
        <v>28</v>
      </c>
      <c r="I480">
        <v>45</v>
      </c>
      <c r="J480">
        <v>0</v>
      </c>
      <c r="K480">
        <v>0</v>
      </c>
      <c r="L480" s="3">
        <v>1</v>
      </c>
      <c r="M480" s="3">
        <v>0</v>
      </c>
      <c r="N480">
        <v>0</v>
      </c>
      <c r="O480">
        <v>0</v>
      </c>
      <c r="P480">
        <v>0</v>
      </c>
      <c r="Q480">
        <v>0</v>
      </c>
      <c r="R480" s="3">
        <v>0</v>
      </c>
      <c r="S480" s="3">
        <v>0</v>
      </c>
      <c r="T480">
        <v>0</v>
      </c>
      <c r="U480">
        <v>0</v>
      </c>
      <c r="V480" s="3">
        <v>0</v>
      </c>
      <c r="W480" s="3">
        <v>0</v>
      </c>
      <c r="X480">
        <v>0</v>
      </c>
      <c r="Y480" t="s">
        <v>531</v>
      </c>
    </row>
    <row r="481" spans="1:25" hidden="1" x14ac:dyDescent="0.25">
      <c r="A481" s="1" t="s">
        <v>43</v>
      </c>
      <c r="B481" s="1" t="s">
        <v>114</v>
      </c>
      <c r="C481" s="1" t="s">
        <v>44</v>
      </c>
      <c r="D481" t="s">
        <v>27</v>
      </c>
      <c r="E481" s="2">
        <v>45834</v>
      </c>
      <c r="F481" s="2">
        <v>45834</v>
      </c>
      <c r="G481" s="3">
        <v>30</v>
      </c>
      <c r="H481" s="4" t="s">
        <v>28</v>
      </c>
      <c r="I481">
        <v>62</v>
      </c>
      <c r="J481">
        <v>0</v>
      </c>
      <c r="K481">
        <v>0</v>
      </c>
      <c r="L481" s="3">
        <v>0</v>
      </c>
      <c r="M481" s="3">
        <v>0</v>
      </c>
      <c r="N481">
        <v>0</v>
      </c>
      <c r="O481">
        <v>0</v>
      </c>
      <c r="P481">
        <v>0</v>
      </c>
      <c r="Q481">
        <v>0</v>
      </c>
      <c r="R481" s="3">
        <v>0</v>
      </c>
      <c r="S481" s="3">
        <v>0</v>
      </c>
      <c r="T481">
        <v>0</v>
      </c>
      <c r="U481">
        <v>0</v>
      </c>
      <c r="V481" s="3">
        <v>0</v>
      </c>
      <c r="W481" s="3">
        <v>0</v>
      </c>
      <c r="X481">
        <v>0</v>
      </c>
      <c r="Y481" t="s">
        <v>532</v>
      </c>
    </row>
    <row r="482" spans="1:25" hidden="1" x14ac:dyDescent="0.25">
      <c r="A482" s="1" t="s">
        <v>45</v>
      </c>
      <c r="B482" s="1" t="s">
        <v>116</v>
      </c>
      <c r="C482" s="1" t="s">
        <v>46</v>
      </c>
      <c r="D482" t="s">
        <v>27</v>
      </c>
      <c r="E482" s="2">
        <v>45834</v>
      </c>
      <c r="F482" s="2">
        <v>45834</v>
      </c>
      <c r="G482" s="3">
        <v>51</v>
      </c>
      <c r="H482" s="4" t="s">
        <v>28</v>
      </c>
      <c r="I482">
        <v>43</v>
      </c>
      <c r="J482">
        <v>0</v>
      </c>
      <c r="K482">
        <v>0</v>
      </c>
      <c r="L482" s="3">
        <v>1</v>
      </c>
      <c r="M482" s="3">
        <v>0</v>
      </c>
      <c r="N482">
        <v>0</v>
      </c>
      <c r="O482">
        <v>0</v>
      </c>
      <c r="P482">
        <v>0</v>
      </c>
      <c r="Q482">
        <v>0</v>
      </c>
      <c r="R482" s="3">
        <v>0</v>
      </c>
      <c r="S482" s="3">
        <v>0</v>
      </c>
      <c r="T482">
        <v>0</v>
      </c>
      <c r="U482">
        <v>0</v>
      </c>
      <c r="V482" s="3">
        <v>0</v>
      </c>
      <c r="W482" s="3">
        <v>0</v>
      </c>
      <c r="X482">
        <v>0</v>
      </c>
      <c r="Y482" t="s">
        <v>533</v>
      </c>
    </row>
    <row r="483" spans="1:25" hidden="1" x14ac:dyDescent="0.25">
      <c r="A483" s="1" t="s">
        <v>49</v>
      </c>
      <c r="B483" s="1" t="s">
        <v>118</v>
      </c>
      <c r="C483" s="1" t="s">
        <v>50</v>
      </c>
      <c r="D483" t="s">
        <v>27</v>
      </c>
      <c r="E483" s="2">
        <v>45834</v>
      </c>
      <c r="F483" s="2">
        <v>45834</v>
      </c>
      <c r="G483" s="3">
        <v>21</v>
      </c>
      <c r="H483" s="4" t="s">
        <v>28</v>
      </c>
      <c r="I483">
        <v>24</v>
      </c>
      <c r="J483">
        <v>0</v>
      </c>
      <c r="K483">
        <v>0</v>
      </c>
      <c r="L483" s="3">
        <v>1</v>
      </c>
      <c r="M483" s="3">
        <v>1</v>
      </c>
      <c r="N483">
        <v>0</v>
      </c>
      <c r="O483">
        <v>1</v>
      </c>
      <c r="P483">
        <v>0</v>
      </c>
      <c r="Q483">
        <v>30</v>
      </c>
      <c r="R483" s="3">
        <v>0</v>
      </c>
      <c r="S483" s="3">
        <v>0</v>
      </c>
      <c r="T483">
        <v>0</v>
      </c>
      <c r="U483">
        <v>0</v>
      </c>
      <c r="V483" s="3">
        <v>0</v>
      </c>
      <c r="W483" s="3">
        <v>0</v>
      </c>
      <c r="X483">
        <v>0</v>
      </c>
      <c r="Y483" t="s">
        <v>534</v>
      </c>
    </row>
    <row r="484" spans="1:25" hidden="1" x14ac:dyDescent="0.25">
      <c r="A484" s="1" t="s">
        <v>51</v>
      </c>
      <c r="B484" s="1" t="s">
        <v>120</v>
      </c>
      <c r="C484" s="1" t="s">
        <v>55</v>
      </c>
      <c r="D484" t="s">
        <v>27</v>
      </c>
      <c r="E484" s="2">
        <v>45834</v>
      </c>
      <c r="F484" s="2">
        <v>45834</v>
      </c>
      <c r="G484" s="3">
        <v>77</v>
      </c>
      <c r="H484" s="4" t="s">
        <v>28</v>
      </c>
      <c r="I484">
        <v>37</v>
      </c>
      <c r="J484">
        <v>0</v>
      </c>
      <c r="K484">
        <v>0</v>
      </c>
      <c r="L484" s="3">
        <v>0</v>
      </c>
      <c r="M484" s="3">
        <v>0</v>
      </c>
      <c r="N484">
        <v>1</v>
      </c>
      <c r="O484">
        <v>0</v>
      </c>
      <c r="P484">
        <v>0</v>
      </c>
      <c r="Q484">
        <v>0</v>
      </c>
      <c r="R484" s="3">
        <v>0</v>
      </c>
      <c r="S484" s="3">
        <v>0</v>
      </c>
      <c r="T484">
        <v>0</v>
      </c>
      <c r="U484">
        <v>0</v>
      </c>
      <c r="V484" s="3">
        <v>0</v>
      </c>
      <c r="W484" s="3">
        <v>0</v>
      </c>
      <c r="X484">
        <v>0</v>
      </c>
      <c r="Y484" t="s">
        <v>535</v>
      </c>
    </row>
    <row r="485" spans="1:25" hidden="1" x14ac:dyDescent="0.25">
      <c r="A485" s="1" t="s">
        <v>54</v>
      </c>
      <c r="B485" s="1" t="s">
        <v>122</v>
      </c>
      <c r="C485" s="1" t="s">
        <v>52</v>
      </c>
      <c r="D485" t="s">
        <v>27</v>
      </c>
      <c r="E485" s="2">
        <v>45834</v>
      </c>
      <c r="F485" s="2">
        <v>45834</v>
      </c>
      <c r="G485" s="3">
        <v>38</v>
      </c>
      <c r="H485" s="4" t="s">
        <v>28</v>
      </c>
      <c r="I485">
        <v>32</v>
      </c>
      <c r="J485">
        <v>0</v>
      </c>
      <c r="K485">
        <v>0</v>
      </c>
      <c r="L485" s="3">
        <v>0</v>
      </c>
      <c r="M485" s="3">
        <v>0</v>
      </c>
      <c r="N485">
        <v>0</v>
      </c>
      <c r="O485">
        <v>0</v>
      </c>
      <c r="P485">
        <v>0</v>
      </c>
      <c r="Q485">
        <v>0</v>
      </c>
      <c r="R485" s="3">
        <v>0</v>
      </c>
      <c r="S485" s="3">
        <v>0</v>
      </c>
      <c r="T485">
        <v>0</v>
      </c>
      <c r="U485">
        <v>0</v>
      </c>
      <c r="V485" s="3">
        <v>0</v>
      </c>
      <c r="W485" s="3">
        <v>0</v>
      </c>
      <c r="X485">
        <v>0</v>
      </c>
      <c r="Y485" t="s">
        <v>536</v>
      </c>
    </row>
    <row r="486" spans="1:25" hidden="1" x14ac:dyDescent="0.25">
      <c r="A486" s="1" t="s">
        <v>48</v>
      </c>
      <c r="B486" s="1" t="s">
        <v>149</v>
      </c>
      <c r="C486" s="1" t="s">
        <v>489</v>
      </c>
      <c r="D486" t="s">
        <v>27</v>
      </c>
      <c r="E486" s="2">
        <v>45834</v>
      </c>
      <c r="F486" s="2">
        <v>45834</v>
      </c>
      <c r="G486" s="3">
        <v>24</v>
      </c>
      <c r="H486" s="4" t="s">
        <v>28</v>
      </c>
      <c r="I486">
        <v>55</v>
      </c>
      <c r="J486">
        <v>0</v>
      </c>
      <c r="K486">
        <v>0</v>
      </c>
      <c r="L486" s="3">
        <v>0</v>
      </c>
      <c r="M486" s="3">
        <v>0</v>
      </c>
      <c r="N486">
        <v>0</v>
      </c>
      <c r="O486">
        <v>0</v>
      </c>
      <c r="P486">
        <v>0</v>
      </c>
      <c r="Q486">
        <v>0</v>
      </c>
      <c r="R486" s="3">
        <v>0</v>
      </c>
      <c r="S486" s="3">
        <v>0</v>
      </c>
      <c r="T486">
        <v>0</v>
      </c>
      <c r="U486">
        <v>0</v>
      </c>
      <c r="V486" s="3">
        <v>0</v>
      </c>
      <c r="W486" s="3">
        <v>0</v>
      </c>
      <c r="X486">
        <v>0</v>
      </c>
      <c r="Y486" t="s">
        <v>537</v>
      </c>
    </row>
    <row r="487" spans="1:25" hidden="1" x14ac:dyDescent="0.25">
      <c r="A487" s="1" t="s">
        <v>53</v>
      </c>
      <c r="B487" s="1" t="s">
        <v>142</v>
      </c>
      <c r="C487" s="1" t="s">
        <v>39</v>
      </c>
      <c r="D487" t="s">
        <v>27</v>
      </c>
      <c r="E487" s="2">
        <v>45834</v>
      </c>
      <c r="F487" s="2">
        <v>45834</v>
      </c>
      <c r="G487" s="3">
        <v>37</v>
      </c>
      <c r="H487" s="4" t="s">
        <v>28</v>
      </c>
      <c r="I487">
        <v>19</v>
      </c>
      <c r="J487">
        <v>0</v>
      </c>
      <c r="K487">
        <v>0</v>
      </c>
      <c r="L487" s="3">
        <v>1</v>
      </c>
      <c r="M487" s="3">
        <v>0</v>
      </c>
      <c r="N487">
        <v>0</v>
      </c>
      <c r="O487">
        <v>0</v>
      </c>
      <c r="P487">
        <v>0</v>
      </c>
      <c r="Q487">
        <v>19</v>
      </c>
      <c r="R487" s="3">
        <v>0</v>
      </c>
      <c r="S487" s="3">
        <v>0</v>
      </c>
      <c r="T487">
        <v>0</v>
      </c>
      <c r="U487">
        <v>0</v>
      </c>
      <c r="V487" s="3">
        <v>0</v>
      </c>
      <c r="W487" s="3">
        <v>0</v>
      </c>
      <c r="X487">
        <v>0</v>
      </c>
      <c r="Y487" t="s">
        <v>538</v>
      </c>
    </row>
    <row r="488" spans="1:25" hidden="1" x14ac:dyDescent="0.25">
      <c r="A488" s="1" t="s">
        <v>47</v>
      </c>
      <c r="B488" s="1"/>
      <c r="C488" s="1" t="s">
        <v>27</v>
      </c>
      <c r="D488" t="s">
        <v>27</v>
      </c>
      <c r="E488" s="2">
        <v>45834</v>
      </c>
      <c r="F488" s="2">
        <v>45834</v>
      </c>
      <c r="G488" s="3">
        <v>38</v>
      </c>
      <c r="H488" s="4" t="s">
        <v>250</v>
      </c>
      <c r="I488">
        <v>0</v>
      </c>
      <c r="J488">
        <v>0</v>
      </c>
      <c r="K488">
        <v>0</v>
      </c>
      <c r="L488" s="3">
        <v>0</v>
      </c>
      <c r="M488" s="3">
        <v>0</v>
      </c>
      <c r="N488">
        <v>0</v>
      </c>
      <c r="O488">
        <v>0</v>
      </c>
      <c r="P488">
        <v>0</v>
      </c>
      <c r="Q488">
        <v>0</v>
      </c>
      <c r="R488" s="3">
        <v>0</v>
      </c>
      <c r="S488" s="3">
        <v>0</v>
      </c>
      <c r="T488">
        <v>0</v>
      </c>
      <c r="U488">
        <v>0</v>
      </c>
      <c r="V488" s="3">
        <v>0</v>
      </c>
      <c r="W488" s="3">
        <v>0</v>
      </c>
      <c r="X488" s="3">
        <v>0</v>
      </c>
      <c r="Y488" t="s">
        <v>538</v>
      </c>
    </row>
    <row r="489" spans="1:25" hidden="1" x14ac:dyDescent="0.25">
      <c r="A489" s="1" t="s">
        <v>344</v>
      </c>
      <c r="B489" s="1"/>
      <c r="C489" s="1" t="s">
        <v>27</v>
      </c>
      <c r="D489" t="s">
        <v>27</v>
      </c>
      <c r="E489" s="2">
        <v>45834</v>
      </c>
      <c r="F489" s="2">
        <v>45834</v>
      </c>
      <c r="G489" s="3">
        <v>39</v>
      </c>
      <c r="H489" s="4" t="s">
        <v>763</v>
      </c>
      <c r="I489">
        <v>0</v>
      </c>
      <c r="J489">
        <v>0</v>
      </c>
      <c r="K489">
        <v>0</v>
      </c>
      <c r="L489" s="3">
        <v>0</v>
      </c>
      <c r="M489" s="3">
        <v>0</v>
      </c>
      <c r="N489">
        <v>0</v>
      </c>
      <c r="O489">
        <v>0</v>
      </c>
      <c r="P489">
        <v>0</v>
      </c>
      <c r="Q489">
        <v>0</v>
      </c>
      <c r="R489" s="3">
        <v>0</v>
      </c>
      <c r="S489" s="3">
        <v>0</v>
      </c>
      <c r="T489">
        <v>0</v>
      </c>
      <c r="U489">
        <v>0</v>
      </c>
      <c r="V489" s="3">
        <v>0</v>
      </c>
      <c r="W489" s="3">
        <v>0</v>
      </c>
      <c r="X489" s="3">
        <v>0</v>
      </c>
      <c r="Y489" t="s">
        <v>538</v>
      </c>
    </row>
    <row r="490" spans="1:25" hidden="1" x14ac:dyDescent="0.25">
      <c r="A490" s="1" t="s">
        <v>27</v>
      </c>
      <c r="B490" s="1"/>
      <c r="C490" s="1" t="s">
        <v>32</v>
      </c>
      <c r="D490" t="s">
        <v>27</v>
      </c>
      <c r="E490" s="2">
        <v>45834</v>
      </c>
      <c r="F490" s="2">
        <v>45834</v>
      </c>
      <c r="G490" s="3">
        <v>40</v>
      </c>
      <c r="H490" s="4" t="s">
        <v>782</v>
      </c>
      <c r="I490">
        <v>0</v>
      </c>
      <c r="J490">
        <v>0</v>
      </c>
      <c r="K490">
        <v>0</v>
      </c>
      <c r="L490" s="3">
        <v>0</v>
      </c>
      <c r="M490" s="3">
        <v>0</v>
      </c>
      <c r="N490">
        <v>0</v>
      </c>
      <c r="O490">
        <v>0</v>
      </c>
      <c r="P490">
        <v>0</v>
      </c>
      <c r="Q490">
        <v>0</v>
      </c>
      <c r="R490" s="3">
        <v>0</v>
      </c>
      <c r="S490" s="3">
        <v>0</v>
      </c>
      <c r="T490">
        <v>0</v>
      </c>
      <c r="U490">
        <v>0</v>
      </c>
      <c r="V490" s="3">
        <v>0</v>
      </c>
      <c r="W490" s="3">
        <v>0</v>
      </c>
      <c r="X490" s="3">
        <v>0</v>
      </c>
      <c r="Y490" t="s">
        <v>538</v>
      </c>
    </row>
    <row r="491" spans="1:25" hidden="1" x14ac:dyDescent="0.25">
      <c r="A491" s="1" t="s">
        <v>25</v>
      </c>
      <c r="B491" s="1" t="s">
        <v>96</v>
      </c>
      <c r="C491" s="1" t="s">
        <v>26</v>
      </c>
      <c r="D491" t="s">
        <v>27</v>
      </c>
      <c r="E491" s="2">
        <v>45835</v>
      </c>
      <c r="F491" s="2">
        <v>45835</v>
      </c>
      <c r="G491" s="3">
        <v>36</v>
      </c>
      <c r="H491" s="4" t="s">
        <v>28</v>
      </c>
      <c r="I491">
        <v>41</v>
      </c>
      <c r="J491">
        <v>0</v>
      </c>
      <c r="K491">
        <v>0</v>
      </c>
      <c r="L491" s="3">
        <v>1</v>
      </c>
      <c r="M491" s="3">
        <v>0</v>
      </c>
      <c r="N491">
        <v>1</v>
      </c>
      <c r="O491">
        <v>0</v>
      </c>
      <c r="P491">
        <v>0</v>
      </c>
      <c r="Q491">
        <v>0</v>
      </c>
      <c r="R491" s="3">
        <v>0</v>
      </c>
      <c r="S491" s="3">
        <v>0</v>
      </c>
      <c r="T491">
        <v>0</v>
      </c>
      <c r="U491">
        <v>0</v>
      </c>
      <c r="V491" s="3">
        <v>0</v>
      </c>
      <c r="W491" s="3">
        <v>0</v>
      </c>
      <c r="X491">
        <v>0</v>
      </c>
      <c r="Y491" t="s">
        <v>539</v>
      </c>
    </row>
    <row r="492" spans="1:25" hidden="1" x14ac:dyDescent="0.25">
      <c r="A492" s="1" t="s">
        <v>56</v>
      </c>
      <c r="B492" s="1" t="s">
        <v>98</v>
      </c>
      <c r="C492" s="1" t="s">
        <v>37</v>
      </c>
      <c r="D492" t="s">
        <v>27</v>
      </c>
      <c r="E492" s="2">
        <v>45835</v>
      </c>
      <c r="F492" s="2">
        <v>45835</v>
      </c>
      <c r="G492" s="3">
        <v>26</v>
      </c>
      <c r="H492" s="4" t="s">
        <v>28</v>
      </c>
      <c r="I492">
        <v>89</v>
      </c>
      <c r="J492">
        <v>0</v>
      </c>
      <c r="K492">
        <v>0</v>
      </c>
      <c r="L492" s="3">
        <v>1</v>
      </c>
      <c r="M492" s="3">
        <v>0</v>
      </c>
      <c r="N492">
        <v>0</v>
      </c>
      <c r="O492">
        <v>0</v>
      </c>
      <c r="P492">
        <v>0</v>
      </c>
      <c r="Q492">
        <v>25</v>
      </c>
      <c r="R492" s="3">
        <v>0</v>
      </c>
      <c r="S492" s="3">
        <v>0</v>
      </c>
      <c r="T492">
        <v>0</v>
      </c>
      <c r="U492">
        <v>0</v>
      </c>
      <c r="V492" s="3">
        <v>0</v>
      </c>
      <c r="W492" s="3">
        <v>0</v>
      </c>
      <c r="X492">
        <v>0</v>
      </c>
      <c r="Y492" t="s">
        <v>540</v>
      </c>
    </row>
    <row r="493" spans="1:25" hidden="1" x14ac:dyDescent="0.25">
      <c r="A493" s="1" t="s">
        <v>29</v>
      </c>
      <c r="B493" s="1" t="s">
        <v>100</v>
      </c>
      <c r="C493" s="1" t="s">
        <v>245</v>
      </c>
      <c r="D493" t="s">
        <v>27</v>
      </c>
      <c r="E493" s="2">
        <v>45835</v>
      </c>
      <c r="F493" s="2">
        <v>45835</v>
      </c>
      <c r="G493" s="3">
        <v>60</v>
      </c>
      <c r="H493" s="4" t="s">
        <v>28</v>
      </c>
      <c r="I493">
        <v>76</v>
      </c>
      <c r="J493">
        <v>0</v>
      </c>
      <c r="K493">
        <v>0</v>
      </c>
      <c r="L493" s="3">
        <v>1</v>
      </c>
      <c r="M493" s="3">
        <v>0</v>
      </c>
      <c r="N493">
        <v>0</v>
      </c>
      <c r="O493">
        <v>0</v>
      </c>
      <c r="P493">
        <v>0</v>
      </c>
      <c r="Q493">
        <v>0</v>
      </c>
      <c r="R493" s="3">
        <v>0</v>
      </c>
      <c r="S493" s="3">
        <v>0</v>
      </c>
      <c r="T493">
        <v>0</v>
      </c>
      <c r="U493">
        <v>0</v>
      </c>
      <c r="V493" s="3">
        <v>0</v>
      </c>
      <c r="W493" s="3">
        <v>0</v>
      </c>
      <c r="X493">
        <v>0</v>
      </c>
      <c r="Y493" t="s">
        <v>541</v>
      </c>
    </row>
    <row r="494" spans="1:25" hidden="1" x14ac:dyDescent="0.25">
      <c r="A494" s="1" t="s">
        <v>344</v>
      </c>
      <c r="B494" s="1" t="s">
        <v>102</v>
      </c>
      <c r="C494" s="1" t="s">
        <v>35</v>
      </c>
      <c r="D494" t="s">
        <v>27</v>
      </c>
      <c r="E494" s="2">
        <v>45835</v>
      </c>
      <c r="F494" s="2">
        <v>45835</v>
      </c>
      <c r="G494" s="3">
        <v>32</v>
      </c>
      <c r="H494" s="4" t="s">
        <v>28</v>
      </c>
      <c r="I494">
        <v>56</v>
      </c>
      <c r="J494">
        <v>0</v>
      </c>
      <c r="K494">
        <v>0</v>
      </c>
      <c r="L494" s="3">
        <v>0</v>
      </c>
      <c r="M494" s="3">
        <v>0</v>
      </c>
      <c r="N494">
        <v>0</v>
      </c>
      <c r="O494">
        <v>0</v>
      </c>
      <c r="P494">
        <v>0</v>
      </c>
      <c r="Q494">
        <v>0</v>
      </c>
      <c r="R494" s="3">
        <v>0</v>
      </c>
      <c r="S494" s="3">
        <v>0</v>
      </c>
      <c r="T494">
        <v>0</v>
      </c>
      <c r="U494">
        <v>0</v>
      </c>
      <c r="V494" s="3">
        <v>0</v>
      </c>
      <c r="W494" s="3">
        <v>0</v>
      </c>
      <c r="X494">
        <v>0</v>
      </c>
      <c r="Y494" t="s">
        <v>509</v>
      </c>
    </row>
    <row r="495" spans="1:25" hidden="1" x14ac:dyDescent="0.25">
      <c r="A495" s="1" t="s">
        <v>31</v>
      </c>
      <c r="B495" s="1" t="s">
        <v>104</v>
      </c>
      <c r="C495" s="1" t="s">
        <v>32</v>
      </c>
      <c r="D495" t="s">
        <v>27</v>
      </c>
      <c r="E495" s="2">
        <v>45835</v>
      </c>
      <c r="F495" s="2">
        <v>45835</v>
      </c>
      <c r="G495" s="3">
        <v>147</v>
      </c>
      <c r="H495" s="4" t="s">
        <v>28</v>
      </c>
      <c r="I495">
        <v>89</v>
      </c>
      <c r="J495">
        <v>0</v>
      </c>
      <c r="K495">
        <v>0</v>
      </c>
      <c r="L495" s="3">
        <v>0</v>
      </c>
      <c r="M495" s="3">
        <v>0</v>
      </c>
      <c r="N495">
        <v>0</v>
      </c>
      <c r="O495">
        <v>0</v>
      </c>
      <c r="P495">
        <v>0</v>
      </c>
      <c r="Q495">
        <v>50</v>
      </c>
      <c r="R495" s="3">
        <v>0</v>
      </c>
      <c r="S495" s="3">
        <v>0</v>
      </c>
      <c r="T495">
        <v>0</v>
      </c>
      <c r="U495">
        <v>0</v>
      </c>
      <c r="V495" s="3">
        <v>0</v>
      </c>
      <c r="W495" s="3">
        <v>0</v>
      </c>
      <c r="X495">
        <v>0</v>
      </c>
      <c r="Y495" t="s">
        <v>542</v>
      </c>
    </row>
    <row r="496" spans="1:25" hidden="1" x14ac:dyDescent="0.25">
      <c r="A496" s="1" t="s">
        <v>33</v>
      </c>
      <c r="B496" s="1" t="s">
        <v>106</v>
      </c>
      <c r="C496" s="1" t="s">
        <v>57</v>
      </c>
      <c r="D496" t="s">
        <v>27</v>
      </c>
      <c r="E496" s="2">
        <v>45835</v>
      </c>
      <c r="F496" s="2">
        <v>45835</v>
      </c>
      <c r="G496" s="3">
        <v>35</v>
      </c>
      <c r="H496" s="4" t="s">
        <v>28</v>
      </c>
      <c r="I496">
        <v>41</v>
      </c>
      <c r="J496">
        <v>0</v>
      </c>
      <c r="K496">
        <v>0</v>
      </c>
      <c r="L496" s="3">
        <v>0</v>
      </c>
      <c r="M496" s="3">
        <v>0</v>
      </c>
      <c r="N496">
        <v>0</v>
      </c>
      <c r="O496">
        <v>0</v>
      </c>
      <c r="P496">
        <v>0</v>
      </c>
      <c r="Q496">
        <v>18</v>
      </c>
      <c r="R496" s="3">
        <v>0</v>
      </c>
      <c r="S496" s="3">
        <v>0</v>
      </c>
      <c r="T496">
        <v>0</v>
      </c>
      <c r="U496">
        <v>0</v>
      </c>
      <c r="V496" s="3">
        <v>0</v>
      </c>
      <c r="W496" s="3">
        <v>0</v>
      </c>
      <c r="X496">
        <v>0</v>
      </c>
      <c r="Y496" t="s">
        <v>543</v>
      </c>
    </row>
    <row r="497" spans="1:25" hidden="1" x14ac:dyDescent="0.25">
      <c r="A497" s="1" t="s">
        <v>38</v>
      </c>
      <c r="B497" s="1" t="s">
        <v>108</v>
      </c>
      <c r="C497" s="1" t="s">
        <v>39</v>
      </c>
      <c r="D497" t="s">
        <v>27</v>
      </c>
      <c r="E497" s="2">
        <v>45835</v>
      </c>
      <c r="F497" s="2">
        <v>45835</v>
      </c>
      <c r="G497" s="3">
        <v>45</v>
      </c>
      <c r="H497" s="4" t="s">
        <v>28</v>
      </c>
      <c r="I497">
        <v>32</v>
      </c>
      <c r="J497">
        <v>0</v>
      </c>
      <c r="K497">
        <v>0</v>
      </c>
      <c r="L497" s="3">
        <v>0</v>
      </c>
      <c r="M497" s="3">
        <v>0</v>
      </c>
      <c r="N497">
        <v>0</v>
      </c>
      <c r="O497">
        <v>0</v>
      </c>
      <c r="P497">
        <v>0</v>
      </c>
      <c r="Q497">
        <v>32</v>
      </c>
      <c r="R497" s="3">
        <v>0</v>
      </c>
      <c r="S497" s="3">
        <v>0</v>
      </c>
      <c r="T497">
        <v>0</v>
      </c>
      <c r="U497">
        <v>0</v>
      </c>
      <c r="V497" s="3">
        <v>0</v>
      </c>
      <c r="W497" s="3">
        <v>0</v>
      </c>
      <c r="X497">
        <v>0</v>
      </c>
      <c r="Y497" t="s">
        <v>544</v>
      </c>
    </row>
    <row r="498" spans="1:25" hidden="1" x14ac:dyDescent="0.25">
      <c r="A498" s="1" t="s">
        <v>40</v>
      </c>
      <c r="B498" s="1" t="s">
        <v>110</v>
      </c>
      <c r="C498" t="s">
        <v>27</v>
      </c>
      <c r="D498" t="s">
        <v>27</v>
      </c>
      <c r="E498" s="2">
        <v>45835</v>
      </c>
      <c r="F498" s="2">
        <v>45835</v>
      </c>
      <c r="G498" s="3">
        <v>35</v>
      </c>
      <c r="H498" s="4" t="s">
        <v>28</v>
      </c>
      <c r="I498">
        <v>10</v>
      </c>
      <c r="J498">
        <v>0</v>
      </c>
      <c r="K498">
        <v>0</v>
      </c>
      <c r="L498" s="3">
        <v>1</v>
      </c>
      <c r="M498" s="3">
        <v>0</v>
      </c>
      <c r="N498">
        <v>0</v>
      </c>
      <c r="O498">
        <v>0</v>
      </c>
      <c r="P498">
        <v>0</v>
      </c>
      <c r="Q498">
        <v>0</v>
      </c>
      <c r="R498" s="3">
        <v>0</v>
      </c>
      <c r="S498" s="3">
        <v>0</v>
      </c>
      <c r="T498">
        <v>0</v>
      </c>
      <c r="U498">
        <v>0</v>
      </c>
      <c r="V498" s="3">
        <v>0</v>
      </c>
      <c r="W498" s="3">
        <v>0</v>
      </c>
      <c r="X498">
        <v>0</v>
      </c>
      <c r="Y498" t="s">
        <v>545</v>
      </c>
    </row>
    <row r="499" spans="1:25" hidden="1" x14ac:dyDescent="0.25">
      <c r="A499" s="1" t="s">
        <v>36</v>
      </c>
      <c r="B499" s="1" t="s">
        <v>110</v>
      </c>
      <c r="C499" t="s">
        <v>27</v>
      </c>
      <c r="D499" t="s">
        <v>27</v>
      </c>
      <c r="E499" s="2">
        <v>45835</v>
      </c>
      <c r="F499" s="2">
        <v>45835</v>
      </c>
      <c r="G499" s="3">
        <v>35</v>
      </c>
      <c r="H499" s="4" t="s">
        <v>28</v>
      </c>
      <c r="I499">
        <v>10</v>
      </c>
      <c r="J499">
        <v>0</v>
      </c>
      <c r="K499">
        <v>0</v>
      </c>
      <c r="L499" s="3">
        <v>1</v>
      </c>
      <c r="M499" s="3">
        <v>0</v>
      </c>
      <c r="N499">
        <v>0</v>
      </c>
      <c r="O499">
        <v>0</v>
      </c>
      <c r="P499">
        <v>0</v>
      </c>
      <c r="Q499">
        <v>0</v>
      </c>
      <c r="R499" s="3">
        <v>0</v>
      </c>
      <c r="S499" s="3">
        <v>0</v>
      </c>
      <c r="T499">
        <v>0</v>
      </c>
      <c r="U499">
        <v>0</v>
      </c>
      <c r="V499" s="3">
        <v>0</v>
      </c>
      <c r="W499" s="3">
        <v>0</v>
      </c>
      <c r="X499">
        <v>0</v>
      </c>
      <c r="Y499" t="s">
        <v>545</v>
      </c>
    </row>
    <row r="500" spans="1:25" hidden="1" x14ac:dyDescent="0.25">
      <c r="A500" s="1" t="s">
        <v>41</v>
      </c>
      <c r="B500" s="1" t="s">
        <v>112</v>
      </c>
      <c r="C500" s="1" t="s">
        <v>42</v>
      </c>
      <c r="D500" t="s">
        <v>27</v>
      </c>
      <c r="E500" s="2">
        <v>45835</v>
      </c>
      <c r="F500" s="2">
        <v>45835</v>
      </c>
      <c r="G500" s="3">
        <v>35</v>
      </c>
      <c r="H500" s="4" t="s">
        <v>28</v>
      </c>
      <c r="I500">
        <v>36</v>
      </c>
      <c r="J500">
        <v>0</v>
      </c>
      <c r="K500">
        <v>0</v>
      </c>
      <c r="L500" s="3">
        <v>1</v>
      </c>
      <c r="M500" s="3">
        <v>0</v>
      </c>
      <c r="N500">
        <v>0</v>
      </c>
      <c r="O500">
        <v>0</v>
      </c>
      <c r="P500">
        <v>0</v>
      </c>
      <c r="Q500">
        <v>0</v>
      </c>
      <c r="R500" s="3">
        <v>0</v>
      </c>
      <c r="S500" s="3">
        <v>0</v>
      </c>
      <c r="T500">
        <v>0</v>
      </c>
      <c r="U500">
        <v>0</v>
      </c>
      <c r="V500" s="3">
        <v>0</v>
      </c>
      <c r="W500" s="3">
        <v>0</v>
      </c>
      <c r="X500">
        <v>0</v>
      </c>
      <c r="Y500" t="s">
        <v>546</v>
      </c>
    </row>
    <row r="501" spans="1:25" hidden="1" x14ac:dyDescent="0.25">
      <c r="A501" s="1" t="s">
        <v>43</v>
      </c>
      <c r="B501" s="1" t="s">
        <v>114</v>
      </c>
      <c r="C501" s="1" t="s">
        <v>44</v>
      </c>
      <c r="D501" t="s">
        <v>27</v>
      </c>
      <c r="E501" s="2">
        <v>45835</v>
      </c>
      <c r="F501" s="2">
        <v>45835</v>
      </c>
      <c r="G501" s="3">
        <v>39</v>
      </c>
      <c r="H501" s="4" t="s">
        <v>28</v>
      </c>
      <c r="I501">
        <v>72</v>
      </c>
      <c r="J501">
        <v>0</v>
      </c>
      <c r="K501">
        <v>0</v>
      </c>
      <c r="L501" s="3">
        <v>1</v>
      </c>
      <c r="M501" s="3">
        <v>0</v>
      </c>
      <c r="N501">
        <v>0</v>
      </c>
      <c r="O501">
        <v>0</v>
      </c>
      <c r="P501">
        <v>0</v>
      </c>
      <c r="Q501">
        <v>0</v>
      </c>
      <c r="R501" s="3">
        <v>0</v>
      </c>
      <c r="S501" s="3">
        <v>0</v>
      </c>
      <c r="T501">
        <v>0</v>
      </c>
      <c r="U501">
        <v>0</v>
      </c>
      <c r="V501" s="3">
        <v>0</v>
      </c>
      <c r="W501" s="3">
        <v>0</v>
      </c>
      <c r="X501">
        <v>0</v>
      </c>
      <c r="Y501" t="s">
        <v>568</v>
      </c>
    </row>
    <row r="502" spans="1:25" hidden="1" x14ac:dyDescent="0.25">
      <c r="A502" s="1" t="s">
        <v>45</v>
      </c>
      <c r="B502" s="1" t="s">
        <v>116</v>
      </c>
      <c r="C502" s="1" t="s">
        <v>46</v>
      </c>
      <c r="D502" t="s">
        <v>27</v>
      </c>
      <c r="E502" s="2">
        <v>45835</v>
      </c>
      <c r="F502" s="2">
        <v>45835</v>
      </c>
      <c r="G502" s="3">
        <v>84</v>
      </c>
      <c r="H502" s="4" t="s">
        <v>28</v>
      </c>
      <c r="I502">
        <v>66</v>
      </c>
      <c r="J502">
        <v>0</v>
      </c>
      <c r="K502">
        <v>0</v>
      </c>
      <c r="L502" s="3">
        <v>1</v>
      </c>
      <c r="M502" s="3">
        <v>0</v>
      </c>
      <c r="N502">
        <v>0</v>
      </c>
      <c r="O502">
        <v>0</v>
      </c>
      <c r="P502">
        <v>0</v>
      </c>
      <c r="Q502">
        <v>0</v>
      </c>
      <c r="R502" s="3">
        <v>0</v>
      </c>
      <c r="S502" s="3">
        <v>0</v>
      </c>
      <c r="T502">
        <v>0</v>
      </c>
      <c r="U502">
        <v>0</v>
      </c>
      <c r="V502" s="3">
        <v>0</v>
      </c>
      <c r="W502" s="3">
        <v>0</v>
      </c>
      <c r="X502">
        <v>0</v>
      </c>
      <c r="Y502" t="s">
        <v>547</v>
      </c>
    </row>
    <row r="503" spans="1:25" hidden="1" x14ac:dyDescent="0.25">
      <c r="A503" s="1" t="s">
        <v>49</v>
      </c>
      <c r="B503" s="1" t="s">
        <v>118</v>
      </c>
      <c r="C503" s="1" t="s">
        <v>50</v>
      </c>
      <c r="D503" t="s">
        <v>27</v>
      </c>
      <c r="E503" s="2">
        <v>45835</v>
      </c>
      <c r="F503" s="2">
        <v>45835</v>
      </c>
      <c r="G503" s="3">
        <v>20</v>
      </c>
      <c r="H503" s="4" t="s">
        <v>28</v>
      </c>
      <c r="I503">
        <v>39</v>
      </c>
      <c r="J503">
        <v>0</v>
      </c>
      <c r="K503">
        <v>0</v>
      </c>
      <c r="L503" s="3">
        <v>1</v>
      </c>
      <c r="M503" s="3">
        <v>1</v>
      </c>
      <c r="N503">
        <v>0</v>
      </c>
      <c r="O503">
        <v>0</v>
      </c>
      <c r="P503">
        <v>0</v>
      </c>
      <c r="Q503">
        <v>49</v>
      </c>
      <c r="R503" s="3">
        <v>0</v>
      </c>
      <c r="S503" s="3">
        <v>0</v>
      </c>
      <c r="T503">
        <v>0</v>
      </c>
      <c r="U503">
        <v>0</v>
      </c>
      <c r="V503" s="3">
        <v>0</v>
      </c>
      <c r="W503" s="3">
        <v>0</v>
      </c>
      <c r="X503">
        <v>0</v>
      </c>
      <c r="Y503" t="s">
        <v>548</v>
      </c>
    </row>
    <row r="504" spans="1:25" hidden="1" x14ac:dyDescent="0.25">
      <c r="A504" s="1" t="s">
        <v>51</v>
      </c>
      <c r="B504" s="1" t="s">
        <v>120</v>
      </c>
      <c r="C504" s="1" t="s">
        <v>55</v>
      </c>
      <c r="D504" t="s">
        <v>27</v>
      </c>
      <c r="E504" s="2">
        <v>45835</v>
      </c>
      <c r="F504" s="2">
        <v>45835</v>
      </c>
      <c r="G504" s="3">
        <v>48</v>
      </c>
      <c r="H504" s="4" t="s">
        <v>28</v>
      </c>
      <c r="I504">
        <v>56</v>
      </c>
      <c r="J504">
        <v>0</v>
      </c>
      <c r="K504">
        <v>0</v>
      </c>
      <c r="L504" s="3">
        <v>1</v>
      </c>
      <c r="M504" s="3">
        <v>0</v>
      </c>
      <c r="N504">
        <v>1</v>
      </c>
      <c r="O504">
        <v>0</v>
      </c>
      <c r="P504">
        <v>0</v>
      </c>
      <c r="Q504">
        <v>0</v>
      </c>
      <c r="R504" s="3">
        <v>0</v>
      </c>
      <c r="S504" s="3">
        <v>0</v>
      </c>
      <c r="T504">
        <v>0</v>
      </c>
      <c r="U504">
        <v>0</v>
      </c>
      <c r="V504" s="3">
        <v>0</v>
      </c>
      <c r="W504" s="3">
        <v>0</v>
      </c>
      <c r="X504">
        <v>0</v>
      </c>
      <c r="Y504" t="s">
        <v>549</v>
      </c>
    </row>
    <row r="505" spans="1:25" hidden="1" x14ac:dyDescent="0.25">
      <c r="A505" s="1" t="s">
        <v>54</v>
      </c>
      <c r="B505" s="1" t="s">
        <v>122</v>
      </c>
      <c r="C505" s="1" t="s">
        <v>52</v>
      </c>
      <c r="D505" t="s">
        <v>27</v>
      </c>
      <c r="E505" s="2">
        <v>45835</v>
      </c>
      <c r="F505" s="2">
        <v>45835</v>
      </c>
      <c r="G505" s="3">
        <v>38</v>
      </c>
      <c r="H505" s="4" t="s">
        <v>28</v>
      </c>
      <c r="I505">
        <v>21</v>
      </c>
      <c r="J505">
        <v>0</v>
      </c>
      <c r="K505">
        <v>0</v>
      </c>
      <c r="L505" s="3">
        <v>0</v>
      </c>
      <c r="M505" s="3">
        <v>0</v>
      </c>
      <c r="N505">
        <v>0</v>
      </c>
      <c r="O505">
        <v>0</v>
      </c>
      <c r="P505">
        <v>0</v>
      </c>
      <c r="Q505">
        <v>0</v>
      </c>
      <c r="R505" s="3">
        <v>0</v>
      </c>
      <c r="S505" s="3">
        <v>0</v>
      </c>
      <c r="T505">
        <v>0</v>
      </c>
      <c r="U505">
        <v>0</v>
      </c>
      <c r="V505" s="3">
        <v>0</v>
      </c>
      <c r="W505" s="3">
        <v>0</v>
      </c>
      <c r="X505">
        <v>0</v>
      </c>
      <c r="Y505" t="s">
        <v>550</v>
      </c>
    </row>
    <row r="506" spans="1:25" hidden="1" x14ac:dyDescent="0.25">
      <c r="A506" s="1" t="s">
        <v>48</v>
      </c>
      <c r="B506" s="1" t="s">
        <v>149</v>
      </c>
      <c r="C506" t="s">
        <v>27</v>
      </c>
      <c r="D506" t="s">
        <v>27</v>
      </c>
      <c r="E506" s="2">
        <v>45835</v>
      </c>
      <c r="F506" s="2">
        <v>45835</v>
      </c>
      <c r="G506" s="3">
        <v>37</v>
      </c>
      <c r="H506" s="4" t="s">
        <v>28</v>
      </c>
      <c r="I506">
        <v>57</v>
      </c>
      <c r="J506">
        <v>0</v>
      </c>
      <c r="K506">
        <v>0</v>
      </c>
      <c r="L506" s="3">
        <v>0</v>
      </c>
      <c r="M506" s="3">
        <v>0</v>
      </c>
      <c r="N506">
        <v>0</v>
      </c>
      <c r="O506">
        <v>0</v>
      </c>
      <c r="P506">
        <v>0</v>
      </c>
      <c r="Q506">
        <v>0</v>
      </c>
      <c r="R506" s="3">
        <v>0</v>
      </c>
      <c r="S506" s="3">
        <v>0</v>
      </c>
      <c r="T506">
        <v>0</v>
      </c>
      <c r="U506">
        <v>0</v>
      </c>
      <c r="V506" s="3">
        <v>0</v>
      </c>
      <c r="W506" s="3">
        <v>0</v>
      </c>
      <c r="X506">
        <v>0</v>
      </c>
      <c r="Y506" t="s">
        <v>551</v>
      </c>
    </row>
    <row r="507" spans="1:25" hidden="1" x14ac:dyDescent="0.25">
      <c r="A507" s="1" t="s">
        <v>34</v>
      </c>
      <c r="B507" s="1" t="s">
        <v>149</v>
      </c>
      <c r="C507" t="s">
        <v>27</v>
      </c>
      <c r="D507" t="s">
        <v>27</v>
      </c>
      <c r="E507" s="2">
        <v>45835</v>
      </c>
      <c r="F507" s="2">
        <v>45835</v>
      </c>
      <c r="G507" s="3">
        <v>37</v>
      </c>
      <c r="H507" s="4" t="s">
        <v>28</v>
      </c>
      <c r="I507">
        <v>57</v>
      </c>
      <c r="J507">
        <v>0</v>
      </c>
      <c r="K507">
        <v>0</v>
      </c>
      <c r="L507" s="3">
        <v>0</v>
      </c>
      <c r="M507" s="3">
        <v>0</v>
      </c>
      <c r="N507">
        <v>0</v>
      </c>
      <c r="O507">
        <v>0</v>
      </c>
      <c r="P507">
        <v>0</v>
      </c>
      <c r="Q507">
        <v>0</v>
      </c>
      <c r="R507" s="3">
        <v>0</v>
      </c>
      <c r="S507" s="3">
        <v>0</v>
      </c>
      <c r="T507">
        <v>0</v>
      </c>
      <c r="U507">
        <v>0</v>
      </c>
      <c r="V507" s="3">
        <v>0</v>
      </c>
      <c r="W507" s="3">
        <v>0</v>
      </c>
      <c r="X507">
        <v>0</v>
      </c>
      <c r="Y507" t="s">
        <v>551</v>
      </c>
    </row>
    <row r="508" spans="1:25" hidden="1" x14ac:dyDescent="0.25">
      <c r="A508" s="1" t="s">
        <v>53</v>
      </c>
      <c r="B508" s="1" t="s">
        <v>142</v>
      </c>
      <c r="C508" s="1" t="s">
        <v>39</v>
      </c>
      <c r="D508" t="s">
        <v>27</v>
      </c>
      <c r="E508" s="2">
        <v>45835</v>
      </c>
      <c r="F508" s="2">
        <v>45835</v>
      </c>
      <c r="G508" s="3">
        <v>46</v>
      </c>
      <c r="H508" s="4" t="s">
        <v>28</v>
      </c>
      <c r="I508">
        <v>27</v>
      </c>
      <c r="J508">
        <v>0</v>
      </c>
      <c r="K508">
        <v>0</v>
      </c>
      <c r="L508" s="3">
        <v>1</v>
      </c>
      <c r="M508" s="3">
        <v>0</v>
      </c>
      <c r="N508">
        <v>0</v>
      </c>
      <c r="O508">
        <v>0</v>
      </c>
      <c r="P508">
        <v>0</v>
      </c>
      <c r="Q508">
        <v>27</v>
      </c>
      <c r="R508" s="3">
        <v>0</v>
      </c>
      <c r="S508" s="3">
        <v>0</v>
      </c>
      <c r="T508">
        <v>0</v>
      </c>
      <c r="U508">
        <v>0</v>
      </c>
      <c r="V508" s="3">
        <v>0</v>
      </c>
      <c r="W508" s="3">
        <v>0</v>
      </c>
      <c r="X508">
        <v>0</v>
      </c>
      <c r="Y508" t="s">
        <v>552</v>
      </c>
    </row>
    <row r="509" spans="1:25" hidden="1" x14ac:dyDescent="0.25">
      <c r="A509" s="1" t="s">
        <v>58</v>
      </c>
      <c r="B509" s="1" t="s">
        <v>144</v>
      </c>
      <c r="C509" s="1" t="s">
        <v>489</v>
      </c>
      <c r="D509" t="s">
        <v>27</v>
      </c>
      <c r="E509" s="2">
        <v>45835</v>
      </c>
      <c r="F509" s="2">
        <v>45835</v>
      </c>
      <c r="G509" s="3">
        <v>25</v>
      </c>
      <c r="H509" s="4" t="s">
        <v>28</v>
      </c>
      <c r="I509">
        <v>60</v>
      </c>
      <c r="J509">
        <v>0</v>
      </c>
      <c r="K509">
        <v>0</v>
      </c>
      <c r="L509" s="3">
        <v>1</v>
      </c>
      <c r="M509" s="3">
        <v>0</v>
      </c>
      <c r="N509">
        <v>0</v>
      </c>
      <c r="O509">
        <v>0</v>
      </c>
      <c r="P509">
        <v>0</v>
      </c>
      <c r="Q509">
        <v>0</v>
      </c>
      <c r="R509" s="3">
        <v>0</v>
      </c>
      <c r="S509" s="3">
        <v>0</v>
      </c>
      <c r="T509">
        <v>0</v>
      </c>
      <c r="U509">
        <v>0</v>
      </c>
      <c r="V509" s="3">
        <v>0</v>
      </c>
      <c r="W509" s="3">
        <v>0</v>
      </c>
      <c r="X509">
        <v>0</v>
      </c>
      <c r="Y509" t="s">
        <v>553</v>
      </c>
    </row>
    <row r="510" spans="1:25" hidden="1" x14ac:dyDescent="0.25">
      <c r="A510" s="1" t="s">
        <v>47</v>
      </c>
      <c r="B510" s="1" t="s">
        <v>106</v>
      </c>
      <c r="C510" s="1" t="s">
        <v>27</v>
      </c>
      <c r="D510" t="s">
        <v>27</v>
      </c>
      <c r="E510" s="2">
        <v>45835</v>
      </c>
      <c r="F510" s="2">
        <v>45835</v>
      </c>
      <c r="G510" s="3">
        <v>26</v>
      </c>
      <c r="H510" s="4" t="s">
        <v>250</v>
      </c>
      <c r="I510">
        <v>0</v>
      </c>
      <c r="J510">
        <v>0</v>
      </c>
      <c r="K510">
        <v>0</v>
      </c>
      <c r="L510" s="3">
        <v>0</v>
      </c>
      <c r="M510" s="3">
        <v>0</v>
      </c>
      <c r="N510">
        <v>0</v>
      </c>
      <c r="O510">
        <v>0</v>
      </c>
      <c r="P510">
        <v>0</v>
      </c>
      <c r="Q510">
        <v>0</v>
      </c>
      <c r="R510" s="3">
        <v>0</v>
      </c>
      <c r="S510" s="3">
        <v>0</v>
      </c>
      <c r="T510">
        <v>0</v>
      </c>
      <c r="U510">
        <v>0</v>
      </c>
      <c r="V510" s="3">
        <v>0</v>
      </c>
      <c r="W510" s="3">
        <v>0</v>
      </c>
      <c r="X510" s="3">
        <v>0</v>
      </c>
      <c r="Y510" t="s">
        <v>553</v>
      </c>
    </row>
    <row r="511" spans="1:25" s="16" customFormat="1" hidden="1" x14ac:dyDescent="0.25">
      <c r="A511" s="16" t="s">
        <v>41</v>
      </c>
      <c r="B511" s="16" t="s">
        <v>112</v>
      </c>
      <c r="C511" s="16" t="s">
        <v>42</v>
      </c>
      <c r="D511" s="16" t="s">
        <v>27</v>
      </c>
      <c r="E511" s="12">
        <v>45836</v>
      </c>
      <c r="F511" s="12">
        <v>45836</v>
      </c>
      <c r="G511" s="18">
        <v>59</v>
      </c>
      <c r="H511" s="16" t="s">
        <v>28</v>
      </c>
      <c r="I511" s="16">
        <v>0</v>
      </c>
      <c r="J511" s="16">
        <v>0</v>
      </c>
      <c r="K511" s="16">
        <v>0</v>
      </c>
      <c r="L511" s="18">
        <v>0</v>
      </c>
      <c r="M511" s="18">
        <v>0</v>
      </c>
      <c r="N511" s="16">
        <v>0</v>
      </c>
      <c r="O511" s="16">
        <v>0</v>
      </c>
      <c r="P511" s="16">
        <v>0</v>
      </c>
      <c r="Q511" s="16">
        <v>8</v>
      </c>
      <c r="R511" s="18">
        <v>1</v>
      </c>
      <c r="S511" s="18">
        <v>0</v>
      </c>
      <c r="T511" s="16">
        <v>15</v>
      </c>
      <c r="U511" s="16">
        <v>20</v>
      </c>
      <c r="V511" s="18">
        <v>1</v>
      </c>
      <c r="W511" s="18">
        <v>0</v>
      </c>
      <c r="X511" s="16">
        <v>0</v>
      </c>
      <c r="Y511" s="16" t="s">
        <v>554</v>
      </c>
    </row>
    <row r="512" spans="1:25" s="16" customFormat="1" hidden="1" x14ac:dyDescent="0.25">
      <c r="A512" s="16" t="s">
        <v>54</v>
      </c>
      <c r="B512" s="16" t="s">
        <v>122</v>
      </c>
      <c r="C512" s="16" t="s">
        <v>52</v>
      </c>
      <c r="D512" s="16" t="s">
        <v>27</v>
      </c>
      <c r="E512" s="12">
        <v>45836</v>
      </c>
      <c r="F512" s="12">
        <v>45836</v>
      </c>
      <c r="G512" s="18">
        <v>71</v>
      </c>
      <c r="H512" s="16" t="s">
        <v>28</v>
      </c>
      <c r="I512" s="16">
        <v>0</v>
      </c>
      <c r="J512" s="16">
        <v>0</v>
      </c>
      <c r="K512" s="16">
        <v>0</v>
      </c>
      <c r="L512" s="18">
        <v>0</v>
      </c>
      <c r="M512" s="18">
        <v>0</v>
      </c>
      <c r="N512" s="16">
        <v>0</v>
      </c>
      <c r="O512" s="16">
        <v>0</v>
      </c>
      <c r="P512" s="16">
        <v>0</v>
      </c>
      <c r="Q512" s="16">
        <v>0</v>
      </c>
      <c r="R512" s="18">
        <v>1</v>
      </c>
      <c r="S512" s="18">
        <v>0</v>
      </c>
      <c r="T512" s="16">
        <v>30</v>
      </c>
      <c r="U512" s="16">
        <v>27</v>
      </c>
      <c r="V512" s="18">
        <v>1</v>
      </c>
      <c r="W512" s="18">
        <v>0</v>
      </c>
      <c r="X512" s="16">
        <v>1</v>
      </c>
      <c r="Y512" s="16" t="s">
        <v>555</v>
      </c>
    </row>
    <row r="513" spans="1:25" s="16" customFormat="1" hidden="1" x14ac:dyDescent="0.25">
      <c r="A513" s="16" t="s">
        <v>33</v>
      </c>
      <c r="B513" s="16" t="s">
        <v>106</v>
      </c>
      <c r="C513" s="16" t="s">
        <v>55</v>
      </c>
      <c r="D513" s="16" t="s">
        <v>27</v>
      </c>
      <c r="E513" s="12">
        <v>45837</v>
      </c>
      <c r="F513" s="12">
        <v>45837</v>
      </c>
      <c r="G513" s="18">
        <v>43</v>
      </c>
      <c r="H513" s="16" t="s">
        <v>28</v>
      </c>
      <c r="I513" s="16">
        <v>0</v>
      </c>
      <c r="J513" s="16">
        <v>0</v>
      </c>
      <c r="K513" s="16">
        <v>0</v>
      </c>
      <c r="L513" s="18">
        <v>0</v>
      </c>
      <c r="M513" s="18">
        <v>0</v>
      </c>
      <c r="N513" s="16">
        <v>0</v>
      </c>
      <c r="O513" s="16">
        <v>0</v>
      </c>
      <c r="P513" s="16">
        <v>0</v>
      </c>
      <c r="Q513" s="16">
        <v>6</v>
      </c>
      <c r="R513" s="18">
        <v>0</v>
      </c>
      <c r="S513" s="18">
        <v>1</v>
      </c>
      <c r="T513" s="16">
        <v>6</v>
      </c>
      <c r="U513" s="16">
        <v>30</v>
      </c>
      <c r="V513" s="18">
        <v>0</v>
      </c>
      <c r="W513" s="18">
        <v>1</v>
      </c>
      <c r="X513" s="16">
        <v>0</v>
      </c>
      <c r="Y513" s="16" t="s">
        <v>556</v>
      </c>
    </row>
    <row r="514" spans="1:25" s="16" customFormat="1" hidden="1" x14ac:dyDescent="0.25">
      <c r="A514" s="16" t="s">
        <v>48</v>
      </c>
      <c r="B514" s="16" t="s">
        <v>149</v>
      </c>
      <c r="C514" s="16" t="s">
        <v>26</v>
      </c>
      <c r="D514" s="16" t="s">
        <v>27</v>
      </c>
      <c r="E514" s="12">
        <v>45837</v>
      </c>
      <c r="F514" s="12">
        <v>45837</v>
      </c>
      <c r="G514" s="18">
        <v>722</v>
      </c>
      <c r="H514" s="16" t="s">
        <v>28</v>
      </c>
      <c r="I514" s="16">
        <v>0</v>
      </c>
      <c r="J514" s="16">
        <v>0</v>
      </c>
      <c r="K514" s="16">
        <v>0</v>
      </c>
      <c r="L514" s="18">
        <v>0</v>
      </c>
      <c r="M514" s="18">
        <v>0</v>
      </c>
      <c r="N514" s="16">
        <v>0</v>
      </c>
      <c r="O514" s="16">
        <v>0</v>
      </c>
      <c r="P514" s="16">
        <v>0</v>
      </c>
      <c r="Q514" s="16">
        <v>2</v>
      </c>
      <c r="R514" s="18">
        <v>0</v>
      </c>
      <c r="S514" s="18">
        <v>1</v>
      </c>
      <c r="T514" s="16">
        <v>6</v>
      </c>
      <c r="U514" s="16">
        <v>17</v>
      </c>
      <c r="V514" s="18">
        <v>0</v>
      </c>
      <c r="W514" s="18">
        <v>1</v>
      </c>
      <c r="X514" s="16">
        <v>0</v>
      </c>
      <c r="Y514" s="16" t="s">
        <v>557</v>
      </c>
    </row>
    <row r="515" spans="1:25" hidden="1" x14ac:dyDescent="0.25">
      <c r="A515" s="1" t="s">
        <v>25</v>
      </c>
      <c r="B515" s="1" t="s">
        <v>96</v>
      </c>
      <c r="C515" s="1" t="s">
        <v>26</v>
      </c>
      <c r="D515" t="s">
        <v>27</v>
      </c>
      <c r="E515" s="2">
        <v>45838</v>
      </c>
      <c r="F515" s="2">
        <v>45838</v>
      </c>
      <c r="G515" s="3">
        <v>50</v>
      </c>
      <c r="H515" s="4" t="s">
        <v>28</v>
      </c>
      <c r="I515">
        <v>50</v>
      </c>
      <c r="J515">
        <v>0</v>
      </c>
      <c r="K515">
        <v>0</v>
      </c>
      <c r="L515" s="3">
        <v>0</v>
      </c>
      <c r="M515" s="3">
        <v>0</v>
      </c>
      <c r="N515">
        <v>1</v>
      </c>
      <c r="O515">
        <v>0</v>
      </c>
      <c r="P515">
        <v>0</v>
      </c>
      <c r="Q515">
        <v>0</v>
      </c>
      <c r="R515" s="3">
        <v>0</v>
      </c>
      <c r="S515" s="3">
        <v>0</v>
      </c>
      <c r="T515">
        <v>0</v>
      </c>
      <c r="U515">
        <v>0</v>
      </c>
      <c r="V515" s="3">
        <v>0</v>
      </c>
      <c r="W515" s="3">
        <v>0</v>
      </c>
      <c r="X515">
        <v>0</v>
      </c>
      <c r="Y515" t="s">
        <v>558</v>
      </c>
    </row>
    <row r="516" spans="1:25" hidden="1" x14ac:dyDescent="0.25">
      <c r="A516" s="1" t="s">
        <v>56</v>
      </c>
      <c r="B516" s="1" t="s">
        <v>98</v>
      </c>
      <c r="C516" s="1" t="s">
        <v>37</v>
      </c>
      <c r="D516" t="s">
        <v>27</v>
      </c>
      <c r="E516" s="2">
        <v>45838</v>
      </c>
      <c r="F516" s="2">
        <v>45838</v>
      </c>
      <c r="G516" s="3">
        <v>38</v>
      </c>
      <c r="H516" s="4" t="s">
        <v>28</v>
      </c>
      <c r="I516">
        <v>73</v>
      </c>
      <c r="J516">
        <v>0</v>
      </c>
      <c r="K516">
        <v>0</v>
      </c>
      <c r="L516" s="3">
        <v>1</v>
      </c>
      <c r="M516" s="3">
        <v>0</v>
      </c>
      <c r="N516">
        <v>0</v>
      </c>
      <c r="O516">
        <v>0</v>
      </c>
      <c r="P516">
        <v>0</v>
      </c>
      <c r="Q516">
        <v>15</v>
      </c>
      <c r="R516" s="3">
        <v>0</v>
      </c>
      <c r="S516" s="3">
        <v>0</v>
      </c>
      <c r="T516">
        <v>0</v>
      </c>
      <c r="U516">
        <v>0</v>
      </c>
      <c r="V516" s="3">
        <v>0</v>
      </c>
      <c r="W516" s="3">
        <v>0</v>
      </c>
      <c r="X516">
        <v>0</v>
      </c>
      <c r="Y516" t="s">
        <v>559</v>
      </c>
    </row>
    <row r="517" spans="1:25" hidden="1" x14ac:dyDescent="0.25">
      <c r="A517" s="1" t="s">
        <v>29</v>
      </c>
      <c r="B517" s="1" t="s">
        <v>100</v>
      </c>
      <c r="C517" s="1" t="s">
        <v>245</v>
      </c>
      <c r="D517" t="s">
        <v>27</v>
      </c>
      <c r="E517" s="2">
        <v>45838</v>
      </c>
      <c r="F517" s="2">
        <v>45838</v>
      </c>
      <c r="G517" s="3">
        <v>56</v>
      </c>
      <c r="H517" s="4" t="s">
        <v>28</v>
      </c>
      <c r="I517">
        <v>44</v>
      </c>
      <c r="J517">
        <v>0</v>
      </c>
      <c r="K517">
        <v>0</v>
      </c>
      <c r="L517" s="3">
        <v>1</v>
      </c>
      <c r="M517" s="3">
        <v>0</v>
      </c>
      <c r="N517">
        <v>0</v>
      </c>
      <c r="O517">
        <v>0</v>
      </c>
      <c r="P517">
        <v>0</v>
      </c>
      <c r="Q517">
        <v>8</v>
      </c>
      <c r="R517" s="3">
        <v>0</v>
      </c>
      <c r="S517" s="3">
        <v>0</v>
      </c>
      <c r="T517">
        <v>0</v>
      </c>
      <c r="U517">
        <v>0</v>
      </c>
      <c r="V517" s="3">
        <v>0</v>
      </c>
      <c r="W517" s="3">
        <v>0</v>
      </c>
      <c r="X517">
        <v>0</v>
      </c>
      <c r="Y517" t="s">
        <v>560</v>
      </c>
    </row>
    <row r="518" spans="1:25" hidden="1" x14ac:dyDescent="0.25">
      <c r="A518" s="1" t="s">
        <v>344</v>
      </c>
      <c r="B518" s="1" t="s">
        <v>102</v>
      </c>
      <c r="C518" s="1" t="s">
        <v>35</v>
      </c>
      <c r="D518" t="s">
        <v>27</v>
      </c>
      <c r="E518" s="2">
        <v>45838</v>
      </c>
      <c r="F518" s="2">
        <v>45838</v>
      </c>
      <c r="G518" s="3">
        <v>28</v>
      </c>
      <c r="H518" s="4" t="s">
        <v>28</v>
      </c>
      <c r="I518">
        <v>45</v>
      </c>
      <c r="J518">
        <v>0</v>
      </c>
      <c r="K518">
        <v>0</v>
      </c>
      <c r="L518" s="3">
        <v>0</v>
      </c>
      <c r="M518" s="3">
        <v>0</v>
      </c>
      <c r="N518">
        <v>0</v>
      </c>
      <c r="O518">
        <v>0</v>
      </c>
      <c r="P518">
        <v>0</v>
      </c>
      <c r="Q518">
        <v>0</v>
      </c>
      <c r="R518" s="3">
        <v>0</v>
      </c>
      <c r="S518" s="3">
        <v>0</v>
      </c>
      <c r="T518">
        <v>0</v>
      </c>
      <c r="U518">
        <v>0</v>
      </c>
      <c r="V518" s="3">
        <v>0</v>
      </c>
      <c r="W518" s="3">
        <v>0</v>
      </c>
      <c r="X518">
        <v>0</v>
      </c>
      <c r="Y518" t="s">
        <v>561</v>
      </c>
    </row>
    <row r="519" spans="1:25" hidden="1" x14ac:dyDescent="0.25">
      <c r="A519" s="1" t="s">
        <v>31</v>
      </c>
      <c r="B519" s="1" t="s">
        <v>104</v>
      </c>
      <c r="C519" s="1" t="s">
        <v>32</v>
      </c>
      <c r="D519" t="s">
        <v>27</v>
      </c>
      <c r="E519" s="2">
        <v>45838</v>
      </c>
      <c r="F519" s="2">
        <v>45838</v>
      </c>
      <c r="G519" s="3">
        <v>82</v>
      </c>
      <c r="H519" s="4" t="s">
        <v>28</v>
      </c>
      <c r="I519">
        <v>105</v>
      </c>
      <c r="J519">
        <v>0</v>
      </c>
      <c r="K519">
        <v>0</v>
      </c>
      <c r="L519" s="3">
        <v>1</v>
      </c>
      <c r="M519" s="3">
        <v>0</v>
      </c>
      <c r="N519">
        <v>0</v>
      </c>
      <c r="O519">
        <v>0</v>
      </c>
      <c r="P519">
        <v>0</v>
      </c>
      <c r="Q519">
        <v>50</v>
      </c>
      <c r="R519" s="3">
        <v>0</v>
      </c>
      <c r="S519" s="3">
        <v>0</v>
      </c>
      <c r="T519">
        <v>0</v>
      </c>
      <c r="U519">
        <v>0</v>
      </c>
      <c r="V519" s="3">
        <v>0</v>
      </c>
      <c r="W519" s="3">
        <v>0</v>
      </c>
      <c r="X519">
        <v>0</v>
      </c>
      <c r="Y519" t="s">
        <v>562</v>
      </c>
    </row>
    <row r="520" spans="1:25" hidden="1" x14ac:dyDescent="0.25">
      <c r="A520" s="1" t="s">
        <v>33</v>
      </c>
      <c r="B520" s="1" t="s">
        <v>106</v>
      </c>
      <c r="C520" s="1" t="s">
        <v>57</v>
      </c>
      <c r="D520" t="s">
        <v>27</v>
      </c>
      <c r="E520" s="2">
        <v>45838</v>
      </c>
      <c r="F520" s="2">
        <v>45838</v>
      </c>
      <c r="G520" s="3">
        <v>31</v>
      </c>
      <c r="H520" s="4" t="s">
        <v>28</v>
      </c>
      <c r="I520">
        <v>56</v>
      </c>
      <c r="J520">
        <v>1</v>
      </c>
      <c r="K520">
        <v>0</v>
      </c>
      <c r="L520" s="3">
        <v>0</v>
      </c>
      <c r="M520" s="3">
        <v>0</v>
      </c>
      <c r="N520">
        <v>0</v>
      </c>
      <c r="O520">
        <v>0</v>
      </c>
      <c r="P520">
        <v>0</v>
      </c>
      <c r="Q520">
        <v>18</v>
      </c>
      <c r="R520" s="3">
        <v>0</v>
      </c>
      <c r="S520" s="3">
        <v>0</v>
      </c>
      <c r="T520">
        <v>0</v>
      </c>
      <c r="U520">
        <v>0</v>
      </c>
      <c r="V520" s="3">
        <v>0</v>
      </c>
      <c r="W520" s="3">
        <v>0</v>
      </c>
      <c r="X520">
        <v>0</v>
      </c>
      <c r="Y520" t="s">
        <v>563</v>
      </c>
    </row>
    <row r="521" spans="1:25" hidden="1" x14ac:dyDescent="0.25">
      <c r="A521" s="1" t="s">
        <v>34</v>
      </c>
      <c r="B521" s="1" t="s">
        <v>247</v>
      </c>
      <c r="C521" s="1" t="s">
        <v>489</v>
      </c>
      <c r="D521" t="s">
        <v>27</v>
      </c>
      <c r="E521" s="2">
        <v>45838</v>
      </c>
      <c r="F521" s="2">
        <v>45838</v>
      </c>
      <c r="G521" s="3">
        <v>32</v>
      </c>
      <c r="H521" s="4" t="s">
        <v>28</v>
      </c>
      <c r="I521">
        <v>54</v>
      </c>
      <c r="J521">
        <v>0</v>
      </c>
      <c r="K521">
        <v>0</v>
      </c>
      <c r="L521" s="3">
        <v>1</v>
      </c>
      <c r="M521" s="3">
        <v>0</v>
      </c>
      <c r="N521">
        <v>0</v>
      </c>
      <c r="O521">
        <v>0</v>
      </c>
      <c r="P521">
        <v>2</v>
      </c>
      <c r="Q521">
        <v>48</v>
      </c>
      <c r="R521" s="3">
        <v>0</v>
      </c>
      <c r="S521" s="3">
        <v>0</v>
      </c>
      <c r="T521">
        <v>0</v>
      </c>
      <c r="U521">
        <v>0</v>
      </c>
      <c r="V521" s="3">
        <v>0</v>
      </c>
      <c r="W521" s="3">
        <v>0</v>
      </c>
      <c r="X521">
        <v>1</v>
      </c>
      <c r="Y521" t="s">
        <v>564</v>
      </c>
    </row>
    <row r="522" spans="1:25" hidden="1" x14ac:dyDescent="0.25">
      <c r="A522" s="1" t="s">
        <v>38</v>
      </c>
      <c r="B522" s="1" t="s">
        <v>108</v>
      </c>
      <c r="C522" s="1" t="s">
        <v>39</v>
      </c>
      <c r="D522" t="s">
        <v>27</v>
      </c>
      <c r="E522" s="2">
        <v>45838</v>
      </c>
      <c r="F522" s="2">
        <v>45838</v>
      </c>
      <c r="G522" s="3">
        <v>58</v>
      </c>
      <c r="H522" s="4" t="s">
        <v>28</v>
      </c>
      <c r="I522">
        <v>38</v>
      </c>
      <c r="J522">
        <v>0</v>
      </c>
      <c r="K522">
        <v>0</v>
      </c>
      <c r="L522" s="3">
        <v>0</v>
      </c>
      <c r="M522" s="3">
        <v>0</v>
      </c>
      <c r="N522">
        <v>0</v>
      </c>
      <c r="O522">
        <v>0</v>
      </c>
      <c r="P522">
        <v>0</v>
      </c>
      <c r="Q522">
        <v>38</v>
      </c>
      <c r="R522" s="3">
        <v>0</v>
      </c>
      <c r="S522" s="3">
        <v>0</v>
      </c>
      <c r="T522">
        <v>0</v>
      </c>
      <c r="U522">
        <v>0</v>
      </c>
      <c r="V522" s="3">
        <v>0</v>
      </c>
      <c r="W522" s="3">
        <v>0</v>
      </c>
      <c r="X522">
        <v>0</v>
      </c>
      <c r="Y522" t="s">
        <v>565</v>
      </c>
    </row>
    <row r="523" spans="1:25" hidden="1" x14ac:dyDescent="0.25">
      <c r="A523" s="1" t="s">
        <v>40</v>
      </c>
      <c r="B523" s="1" t="s">
        <v>110</v>
      </c>
      <c r="C523" s="1" t="s">
        <v>40</v>
      </c>
      <c r="D523" t="s">
        <v>27</v>
      </c>
      <c r="E523" s="2">
        <v>45838</v>
      </c>
      <c r="F523" s="2">
        <v>45838</v>
      </c>
      <c r="G523" s="3">
        <v>41</v>
      </c>
      <c r="H523" s="4" t="s">
        <v>28</v>
      </c>
      <c r="I523">
        <v>35</v>
      </c>
      <c r="J523">
        <v>0</v>
      </c>
      <c r="K523">
        <v>0</v>
      </c>
      <c r="L523" s="3">
        <v>1</v>
      </c>
      <c r="M523" s="3">
        <v>0</v>
      </c>
      <c r="N523">
        <v>1</v>
      </c>
      <c r="O523">
        <v>0</v>
      </c>
      <c r="P523">
        <v>0</v>
      </c>
      <c r="Q523">
        <v>15</v>
      </c>
      <c r="R523" s="3">
        <v>0</v>
      </c>
      <c r="S523" s="3">
        <v>0</v>
      </c>
      <c r="T523">
        <v>0</v>
      </c>
      <c r="U523">
        <v>0</v>
      </c>
      <c r="V523" s="3">
        <v>0</v>
      </c>
      <c r="W523" s="3">
        <v>0</v>
      </c>
      <c r="X523">
        <v>0</v>
      </c>
      <c r="Y523" t="s">
        <v>566</v>
      </c>
    </row>
    <row r="524" spans="1:25" hidden="1" x14ac:dyDescent="0.25">
      <c r="A524" s="1" t="s">
        <v>41</v>
      </c>
      <c r="B524" s="1" t="s">
        <v>112</v>
      </c>
      <c r="C524" s="1" t="s">
        <v>42</v>
      </c>
      <c r="D524" t="s">
        <v>27</v>
      </c>
      <c r="E524" s="2">
        <v>45838</v>
      </c>
      <c r="F524" s="2">
        <v>45838</v>
      </c>
      <c r="G524" s="3">
        <v>41</v>
      </c>
      <c r="H524" s="4" t="s">
        <v>28</v>
      </c>
      <c r="I524">
        <v>54</v>
      </c>
      <c r="J524">
        <v>0</v>
      </c>
      <c r="K524">
        <v>0</v>
      </c>
      <c r="L524" s="3">
        <v>1</v>
      </c>
      <c r="M524" s="3">
        <v>0</v>
      </c>
      <c r="N524">
        <v>0</v>
      </c>
      <c r="O524">
        <v>0</v>
      </c>
      <c r="P524">
        <v>0</v>
      </c>
      <c r="Q524">
        <v>4</v>
      </c>
      <c r="R524" s="3">
        <v>0</v>
      </c>
      <c r="S524" s="3">
        <v>0</v>
      </c>
      <c r="T524">
        <v>0</v>
      </c>
      <c r="U524">
        <v>0</v>
      </c>
      <c r="V524" s="3">
        <v>0</v>
      </c>
      <c r="W524" s="3">
        <v>0</v>
      </c>
      <c r="X524">
        <v>0</v>
      </c>
      <c r="Y524" t="s">
        <v>567</v>
      </c>
    </row>
    <row r="525" spans="1:25" hidden="1" x14ac:dyDescent="0.25">
      <c r="A525" s="1" t="s">
        <v>43</v>
      </c>
      <c r="B525" s="1" t="s">
        <v>114</v>
      </c>
      <c r="C525" t="s">
        <v>27</v>
      </c>
      <c r="D525" t="s">
        <v>27</v>
      </c>
      <c r="E525" s="2">
        <v>45838</v>
      </c>
      <c r="F525" s="2">
        <v>45838</v>
      </c>
      <c r="G525" s="3">
        <v>39</v>
      </c>
      <c r="H525" s="4" t="s">
        <v>28</v>
      </c>
      <c r="I525">
        <v>77</v>
      </c>
      <c r="J525">
        <v>0</v>
      </c>
      <c r="K525">
        <v>0</v>
      </c>
      <c r="L525" s="3">
        <v>1</v>
      </c>
      <c r="M525" s="3">
        <v>0</v>
      </c>
      <c r="N525">
        <v>0</v>
      </c>
      <c r="O525">
        <v>0</v>
      </c>
      <c r="P525">
        <v>0</v>
      </c>
      <c r="Q525">
        <v>0</v>
      </c>
      <c r="R525" s="3">
        <v>0</v>
      </c>
      <c r="S525" s="3">
        <v>0</v>
      </c>
      <c r="T525">
        <v>0</v>
      </c>
      <c r="U525">
        <v>0</v>
      </c>
      <c r="V525" s="3">
        <v>0</v>
      </c>
      <c r="W525" s="3">
        <v>0</v>
      </c>
      <c r="X525">
        <v>0</v>
      </c>
      <c r="Y525" t="s">
        <v>568</v>
      </c>
    </row>
    <row r="526" spans="1:25" hidden="1" x14ac:dyDescent="0.25">
      <c r="A526" s="1" t="s">
        <v>36</v>
      </c>
      <c r="B526" s="1" t="s">
        <v>114</v>
      </c>
      <c r="C526" t="s">
        <v>27</v>
      </c>
      <c r="D526" t="s">
        <v>27</v>
      </c>
      <c r="E526" s="2">
        <v>45838</v>
      </c>
      <c r="F526" s="2">
        <v>45838</v>
      </c>
      <c r="G526" s="3">
        <v>39</v>
      </c>
      <c r="H526" s="4" t="s">
        <v>28</v>
      </c>
      <c r="I526">
        <v>77</v>
      </c>
      <c r="J526">
        <v>0</v>
      </c>
      <c r="K526">
        <v>0</v>
      </c>
      <c r="L526" s="3">
        <v>1</v>
      </c>
      <c r="M526" s="3">
        <v>0</v>
      </c>
      <c r="N526">
        <v>0</v>
      </c>
      <c r="O526">
        <v>0</v>
      </c>
      <c r="P526">
        <v>0</v>
      </c>
      <c r="Q526">
        <v>0</v>
      </c>
      <c r="R526" s="3">
        <v>0</v>
      </c>
      <c r="S526" s="3">
        <v>0</v>
      </c>
      <c r="T526">
        <v>0</v>
      </c>
      <c r="U526">
        <v>0</v>
      </c>
      <c r="V526" s="3">
        <v>0</v>
      </c>
      <c r="W526" s="3">
        <v>0</v>
      </c>
      <c r="X526">
        <v>0</v>
      </c>
      <c r="Y526" t="s">
        <v>568</v>
      </c>
    </row>
    <row r="527" spans="1:25" hidden="1" x14ac:dyDescent="0.25">
      <c r="A527" s="1" t="s">
        <v>45</v>
      </c>
      <c r="B527" s="1" t="s">
        <v>116</v>
      </c>
      <c r="C527" s="1" t="s">
        <v>46</v>
      </c>
      <c r="D527" t="s">
        <v>27</v>
      </c>
      <c r="E527" s="2">
        <v>45838</v>
      </c>
      <c r="F527" s="2">
        <v>45838</v>
      </c>
      <c r="G527" s="3">
        <v>78</v>
      </c>
      <c r="H527" s="4" t="s">
        <v>28</v>
      </c>
      <c r="I527">
        <v>66</v>
      </c>
      <c r="J527">
        <v>0</v>
      </c>
      <c r="K527">
        <v>0</v>
      </c>
      <c r="L527" s="3">
        <v>1</v>
      </c>
      <c r="M527" s="3">
        <v>0</v>
      </c>
      <c r="N527">
        <v>0</v>
      </c>
      <c r="O527">
        <v>0</v>
      </c>
      <c r="P527">
        <v>0</v>
      </c>
      <c r="Q527">
        <v>0</v>
      </c>
      <c r="R527" s="3">
        <v>0</v>
      </c>
      <c r="S527" s="3">
        <v>0</v>
      </c>
      <c r="T527">
        <v>0</v>
      </c>
      <c r="U527">
        <v>0</v>
      </c>
      <c r="V527" s="3">
        <v>0</v>
      </c>
      <c r="W527" s="3">
        <v>0</v>
      </c>
      <c r="X527">
        <v>0</v>
      </c>
      <c r="Y527" t="s">
        <v>569</v>
      </c>
    </row>
    <row r="528" spans="1:25" hidden="1" x14ac:dyDescent="0.25">
      <c r="A528" s="1" t="s">
        <v>47</v>
      </c>
      <c r="B528" s="1" t="s">
        <v>137</v>
      </c>
      <c r="C528" t="s">
        <v>27</v>
      </c>
      <c r="D528" t="s">
        <v>27</v>
      </c>
      <c r="E528" s="2">
        <v>45838</v>
      </c>
      <c r="F528" s="2">
        <v>45838</v>
      </c>
      <c r="G528" s="3">
        <v>218</v>
      </c>
      <c r="H528" s="4" t="s">
        <v>28</v>
      </c>
      <c r="I528">
        <v>39</v>
      </c>
      <c r="J528">
        <v>0</v>
      </c>
      <c r="K528">
        <v>0</v>
      </c>
      <c r="L528" s="3">
        <v>0</v>
      </c>
      <c r="M528" s="3">
        <v>0</v>
      </c>
      <c r="N528">
        <v>0</v>
      </c>
      <c r="O528">
        <v>0</v>
      </c>
      <c r="P528">
        <v>0</v>
      </c>
      <c r="Q528">
        <v>0</v>
      </c>
      <c r="R528" s="3">
        <v>0</v>
      </c>
      <c r="S528" s="3">
        <v>0</v>
      </c>
      <c r="T528">
        <v>0</v>
      </c>
      <c r="U528">
        <v>0</v>
      </c>
      <c r="V528" s="3">
        <v>0</v>
      </c>
      <c r="W528" s="3">
        <v>0</v>
      </c>
      <c r="X528">
        <v>0</v>
      </c>
      <c r="Y528" t="s">
        <v>570</v>
      </c>
    </row>
    <row r="529" spans="1:25" hidden="1" x14ac:dyDescent="0.25">
      <c r="A529" s="1" t="s">
        <v>48</v>
      </c>
      <c r="B529" s="1" t="s">
        <v>137</v>
      </c>
      <c r="C529" t="s">
        <v>27</v>
      </c>
      <c r="D529" t="s">
        <v>27</v>
      </c>
      <c r="E529" s="2">
        <v>45838</v>
      </c>
      <c r="F529" s="2">
        <v>45838</v>
      </c>
      <c r="G529" s="3">
        <v>218</v>
      </c>
      <c r="H529" s="4" t="s">
        <v>28</v>
      </c>
      <c r="I529">
        <v>39</v>
      </c>
      <c r="J529">
        <v>0</v>
      </c>
      <c r="K529">
        <v>0</v>
      </c>
      <c r="L529" s="3">
        <v>0</v>
      </c>
      <c r="M529" s="3">
        <v>0</v>
      </c>
      <c r="N529">
        <v>0</v>
      </c>
      <c r="O529">
        <v>0</v>
      </c>
      <c r="P529">
        <v>0</v>
      </c>
      <c r="Q529">
        <v>0</v>
      </c>
      <c r="R529" s="3">
        <v>0</v>
      </c>
      <c r="S529" s="3">
        <v>0</v>
      </c>
      <c r="T529">
        <v>0</v>
      </c>
      <c r="U529">
        <v>0</v>
      </c>
      <c r="V529" s="3">
        <v>0</v>
      </c>
      <c r="W529" s="3">
        <v>0</v>
      </c>
      <c r="X529">
        <v>0</v>
      </c>
      <c r="Y529" t="s">
        <v>570</v>
      </c>
    </row>
    <row r="530" spans="1:25" hidden="1" x14ac:dyDescent="0.25">
      <c r="A530" s="1" t="s">
        <v>49</v>
      </c>
      <c r="B530" s="1" t="s">
        <v>118</v>
      </c>
      <c r="C530" s="1" t="s">
        <v>50</v>
      </c>
      <c r="D530" t="s">
        <v>27</v>
      </c>
      <c r="E530" s="2">
        <v>45838</v>
      </c>
      <c r="F530" s="2">
        <v>45838</v>
      </c>
      <c r="G530" s="3">
        <v>32</v>
      </c>
      <c r="H530" s="4" t="s">
        <v>28</v>
      </c>
      <c r="I530">
        <v>27</v>
      </c>
      <c r="J530">
        <v>0</v>
      </c>
      <c r="K530">
        <v>0</v>
      </c>
      <c r="L530" s="3">
        <v>1</v>
      </c>
      <c r="M530" s="3">
        <v>1</v>
      </c>
      <c r="N530">
        <v>0</v>
      </c>
      <c r="O530">
        <v>0</v>
      </c>
      <c r="P530">
        <v>0</v>
      </c>
      <c r="Q530">
        <v>40</v>
      </c>
      <c r="R530" s="3">
        <v>0</v>
      </c>
      <c r="S530" s="3">
        <v>0</v>
      </c>
      <c r="T530">
        <v>0</v>
      </c>
      <c r="U530">
        <v>0</v>
      </c>
      <c r="V530" s="3">
        <v>0</v>
      </c>
      <c r="W530" s="3">
        <v>0</v>
      </c>
      <c r="X530">
        <v>0</v>
      </c>
      <c r="Y530" t="s">
        <v>571</v>
      </c>
    </row>
    <row r="531" spans="1:25" hidden="1" x14ac:dyDescent="0.25">
      <c r="A531" s="1" t="s">
        <v>51</v>
      </c>
      <c r="B531" s="1" t="s">
        <v>120</v>
      </c>
      <c r="C531" s="1" t="s">
        <v>55</v>
      </c>
      <c r="D531" t="s">
        <v>27</v>
      </c>
      <c r="E531" s="2">
        <v>45838</v>
      </c>
      <c r="F531" s="2">
        <v>45838</v>
      </c>
      <c r="G531" s="3">
        <v>54</v>
      </c>
      <c r="H531" s="4" t="s">
        <v>28</v>
      </c>
      <c r="I531">
        <v>40</v>
      </c>
      <c r="J531">
        <v>0</v>
      </c>
      <c r="K531">
        <v>0</v>
      </c>
      <c r="L531" s="3">
        <v>0</v>
      </c>
      <c r="M531" s="3">
        <v>0</v>
      </c>
      <c r="N531">
        <v>1</v>
      </c>
      <c r="O531">
        <v>0</v>
      </c>
      <c r="P531">
        <v>0</v>
      </c>
      <c r="Q531">
        <v>0</v>
      </c>
      <c r="R531" s="3">
        <v>0</v>
      </c>
      <c r="S531" s="3">
        <v>0</v>
      </c>
      <c r="T531">
        <v>0</v>
      </c>
      <c r="U531">
        <v>0</v>
      </c>
      <c r="V531" s="3">
        <v>0</v>
      </c>
      <c r="W531" s="3">
        <v>0</v>
      </c>
      <c r="X531">
        <v>0</v>
      </c>
      <c r="Y531" t="s">
        <v>572</v>
      </c>
    </row>
    <row r="532" spans="1:25" hidden="1" x14ac:dyDescent="0.25">
      <c r="A532" s="1" t="s">
        <v>53</v>
      </c>
      <c r="B532" s="1" t="s">
        <v>142</v>
      </c>
      <c r="C532" s="1" t="s">
        <v>39</v>
      </c>
      <c r="D532" t="s">
        <v>27</v>
      </c>
      <c r="E532" s="2">
        <v>45838</v>
      </c>
      <c r="F532" s="2">
        <v>45838</v>
      </c>
      <c r="G532" s="3">
        <v>31</v>
      </c>
      <c r="H532" s="4" t="s">
        <v>28</v>
      </c>
      <c r="I532">
        <v>31</v>
      </c>
      <c r="J532">
        <v>0</v>
      </c>
      <c r="K532">
        <v>0</v>
      </c>
      <c r="L532" s="3">
        <v>1</v>
      </c>
      <c r="M532" s="3">
        <v>0</v>
      </c>
      <c r="N532">
        <v>0</v>
      </c>
      <c r="O532">
        <v>0</v>
      </c>
      <c r="P532">
        <v>0</v>
      </c>
      <c r="Q532">
        <v>31</v>
      </c>
      <c r="R532" s="3">
        <v>0</v>
      </c>
      <c r="S532" s="3">
        <v>0</v>
      </c>
      <c r="T532">
        <v>0</v>
      </c>
      <c r="U532">
        <v>0</v>
      </c>
      <c r="V532" s="3">
        <v>0</v>
      </c>
      <c r="W532" s="3">
        <v>0</v>
      </c>
      <c r="X532">
        <v>0</v>
      </c>
      <c r="Y532" t="s">
        <v>573</v>
      </c>
    </row>
    <row r="533" spans="1:25" hidden="1" x14ac:dyDescent="0.25">
      <c r="A533" s="1" t="s">
        <v>54</v>
      </c>
      <c r="B533" s="1" t="s">
        <v>122</v>
      </c>
      <c r="C533" s="1" t="s">
        <v>52</v>
      </c>
      <c r="D533" t="s">
        <v>27</v>
      </c>
      <c r="E533" s="2">
        <v>45838</v>
      </c>
      <c r="F533" s="2">
        <v>45838</v>
      </c>
      <c r="G533" s="3">
        <v>38</v>
      </c>
      <c r="H533" s="4" t="s">
        <v>28</v>
      </c>
      <c r="I533">
        <v>37</v>
      </c>
      <c r="J533">
        <v>0</v>
      </c>
      <c r="K533">
        <v>0</v>
      </c>
      <c r="L533" s="3">
        <v>0</v>
      </c>
      <c r="M533" s="3">
        <v>0</v>
      </c>
      <c r="N533">
        <v>0</v>
      </c>
      <c r="O533">
        <v>0</v>
      </c>
      <c r="P533">
        <v>0</v>
      </c>
      <c r="Q533">
        <v>0</v>
      </c>
      <c r="R533" s="3">
        <v>0</v>
      </c>
      <c r="S533" s="3">
        <v>0</v>
      </c>
      <c r="T533">
        <v>0</v>
      </c>
      <c r="U533">
        <v>0</v>
      </c>
      <c r="V533" s="3">
        <v>0</v>
      </c>
      <c r="W533" s="3">
        <v>0</v>
      </c>
      <c r="X533">
        <v>0</v>
      </c>
      <c r="Y533" t="s">
        <v>550</v>
      </c>
    </row>
    <row r="534" spans="1:25" hidden="1" x14ac:dyDescent="0.25">
      <c r="A534" s="1" t="s">
        <v>58</v>
      </c>
      <c r="B534" s="1" t="s">
        <v>123</v>
      </c>
      <c r="C534" s="1" t="s">
        <v>27</v>
      </c>
      <c r="D534" t="s">
        <v>27</v>
      </c>
      <c r="E534" s="2">
        <v>45838</v>
      </c>
      <c r="F534" s="2">
        <v>45838</v>
      </c>
      <c r="G534" s="3">
        <v>39</v>
      </c>
      <c r="H534" s="4" t="s">
        <v>180</v>
      </c>
      <c r="I534">
        <v>0</v>
      </c>
      <c r="J534">
        <v>0</v>
      </c>
      <c r="K534">
        <v>0</v>
      </c>
      <c r="L534" s="3">
        <v>0</v>
      </c>
      <c r="M534" s="3">
        <v>0</v>
      </c>
      <c r="N534">
        <v>0</v>
      </c>
      <c r="O534">
        <v>0</v>
      </c>
      <c r="P534">
        <v>0</v>
      </c>
      <c r="Q534">
        <v>0</v>
      </c>
      <c r="R534" s="3">
        <v>0</v>
      </c>
      <c r="S534" s="3">
        <v>0</v>
      </c>
      <c r="T534">
        <v>0</v>
      </c>
      <c r="U534">
        <v>0</v>
      </c>
      <c r="V534" s="3">
        <v>0</v>
      </c>
      <c r="W534" s="3">
        <v>0</v>
      </c>
      <c r="X534">
        <v>0</v>
      </c>
      <c r="Y534" t="s">
        <v>550</v>
      </c>
    </row>
    <row r="535" spans="1:25" hidden="1" x14ac:dyDescent="0.25">
      <c r="A535" t="s">
        <v>27</v>
      </c>
      <c r="B535" s="1" t="s">
        <v>98</v>
      </c>
      <c r="C535" s="1" t="s">
        <v>44</v>
      </c>
      <c r="D535" t="s">
        <v>27</v>
      </c>
      <c r="E535" s="2">
        <v>45838</v>
      </c>
      <c r="F535" s="2">
        <v>45838</v>
      </c>
      <c r="G535" s="3">
        <v>40</v>
      </c>
      <c r="H535" s="4" t="s">
        <v>180</v>
      </c>
      <c r="I535">
        <v>0</v>
      </c>
      <c r="J535">
        <v>0</v>
      </c>
      <c r="K535">
        <v>0</v>
      </c>
      <c r="L535" s="3">
        <v>0</v>
      </c>
      <c r="M535" s="3">
        <v>0</v>
      </c>
      <c r="N535">
        <v>0</v>
      </c>
      <c r="O535">
        <v>0</v>
      </c>
      <c r="P535">
        <v>0</v>
      </c>
      <c r="Q535">
        <v>0</v>
      </c>
      <c r="R535" s="3">
        <v>0</v>
      </c>
      <c r="S535" s="3">
        <v>0</v>
      </c>
      <c r="T535">
        <v>0</v>
      </c>
      <c r="U535">
        <v>0</v>
      </c>
      <c r="V535" s="3">
        <v>0</v>
      </c>
      <c r="W535" s="3">
        <v>0</v>
      </c>
      <c r="X535">
        <v>0</v>
      </c>
      <c r="Y535" t="s">
        <v>550</v>
      </c>
    </row>
    <row r="536" spans="1:25" hidden="1" x14ac:dyDescent="0.25">
      <c r="A536" s="1" t="s">
        <v>25</v>
      </c>
      <c r="B536" s="1" t="s">
        <v>96</v>
      </c>
      <c r="C536" s="1" t="s">
        <v>26</v>
      </c>
      <c r="D536" t="s">
        <v>27</v>
      </c>
      <c r="E536" s="2">
        <v>45839</v>
      </c>
      <c r="F536" s="2">
        <v>45839</v>
      </c>
      <c r="G536" s="3">
        <v>40</v>
      </c>
      <c r="H536" s="4" t="s">
        <v>28</v>
      </c>
      <c r="I536">
        <v>78</v>
      </c>
      <c r="J536">
        <v>0</v>
      </c>
      <c r="K536">
        <v>0</v>
      </c>
      <c r="L536" s="3">
        <v>1</v>
      </c>
      <c r="M536" s="3">
        <v>0</v>
      </c>
      <c r="N536">
        <v>1</v>
      </c>
      <c r="O536">
        <v>0</v>
      </c>
      <c r="P536">
        <v>0</v>
      </c>
      <c r="Q536">
        <v>0</v>
      </c>
      <c r="R536" s="3">
        <v>0</v>
      </c>
      <c r="S536" s="3">
        <v>0</v>
      </c>
      <c r="T536">
        <v>0</v>
      </c>
      <c r="U536">
        <v>0</v>
      </c>
      <c r="V536" s="3">
        <v>0</v>
      </c>
      <c r="W536" s="3">
        <v>0</v>
      </c>
      <c r="X536">
        <v>0</v>
      </c>
      <c r="Y536" t="s">
        <v>574</v>
      </c>
    </row>
    <row r="537" spans="1:25" hidden="1" x14ac:dyDescent="0.25">
      <c r="A537" s="1" t="s">
        <v>56</v>
      </c>
      <c r="B537" s="1" t="s">
        <v>98</v>
      </c>
      <c r="C537" s="1" t="s">
        <v>37</v>
      </c>
      <c r="D537" t="s">
        <v>27</v>
      </c>
      <c r="E537" s="2">
        <v>45839</v>
      </c>
      <c r="F537" s="2">
        <v>45839</v>
      </c>
      <c r="G537" s="3">
        <v>29</v>
      </c>
      <c r="H537" s="4" t="s">
        <v>28</v>
      </c>
      <c r="I537">
        <v>76</v>
      </c>
      <c r="J537">
        <v>0</v>
      </c>
      <c r="K537">
        <v>0</v>
      </c>
      <c r="L537" s="3">
        <v>1</v>
      </c>
      <c r="M537" s="3">
        <v>0</v>
      </c>
      <c r="N537">
        <v>0</v>
      </c>
      <c r="O537">
        <v>0</v>
      </c>
      <c r="P537">
        <v>0</v>
      </c>
      <c r="Q537">
        <v>0</v>
      </c>
      <c r="R537" s="3">
        <v>0</v>
      </c>
      <c r="S537" s="3">
        <v>0</v>
      </c>
      <c r="T537">
        <v>0</v>
      </c>
      <c r="U537">
        <v>0</v>
      </c>
      <c r="V537" s="3">
        <v>0</v>
      </c>
      <c r="W537" s="3">
        <v>0</v>
      </c>
      <c r="X537">
        <v>0</v>
      </c>
      <c r="Y537" t="s">
        <v>575</v>
      </c>
    </row>
    <row r="538" spans="1:25" hidden="1" x14ac:dyDescent="0.25">
      <c r="A538" s="1" t="s">
        <v>29</v>
      </c>
      <c r="B538" s="1" t="s">
        <v>100</v>
      </c>
      <c r="C538" s="1" t="s">
        <v>245</v>
      </c>
      <c r="D538" t="s">
        <v>27</v>
      </c>
      <c r="E538" s="2">
        <v>45839</v>
      </c>
      <c r="F538" s="2">
        <v>45839</v>
      </c>
      <c r="G538" s="3">
        <v>70</v>
      </c>
      <c r="H538" s="4" t="s">
        <v>28</v>
      </c>
      <c r="I538">
        <v>52</v>
      </c>
      <c r="J538">
        <v>0</v>
      </c>
      <c r="K538">
        <v>0</v>
      </c>
      <c r="L538" s="3">
        <v>0</v>
      </c>
      <c r="M538" s="3">
        <v>0</v>
      </c>
      <c r="N538">
        <v>0</v>
      </c>
      <c r="O538">
        <v>0</v>
      </c>
      <c r="P538">
        <v>0</v>
      </c>
      <c r="Q538">
        <v>0</v>
      </c>
      <c r="R538" s="3">
        <v>0</v>
      </c>
      <c r="S538" s="3">
        <v>0</v>
      </c>
      <c r="T538">
        <v>0</v>
      </c>
      <c r="U538">
        <v>0</v>
      </c>
      <c r="V538" s="3">
        <v>0</v>
      </c>
      <c r="W538" s="3">
        <v>0</v>
      </c>
      <c r="X538">
        <v>0</v>
      </c>
      <c r="Y538" t="s">
        <v>576</v>
      </c>
    </row>
    <row r="539" spans="1:25" hidden="1" x14ac:dyDescent="0.25">
      <c r="A539" s="1" t="s">
        <v>31</v>
      </c>
      <c r="B539" s="1" t="s">
        <v>104</v>
      </c>
      <c r="C539" s="1" t="s">
        <v>32</v>
      </c>
      <c r="D539" t="s">
        <v>27</v>
      </c>
      <c r="E539" s="2">
        <v>45839</v>
      </c>
      <c r="F539" s="2">
        <v>45839</v>
      </c>
      <c r="G539" s="3">
        <v>53</v>
      </c>
      <c r="H539" s="4" t="s">
        <v>28</v>
      </c>
      <c r="I539">
        <v>67</v>
      </c>
      <c r="J539">
        <v>0</v>
      </c>
      <c r="K539">
        <v>0</v>
      </c>
      <c r="L539" s="3">
        <v>0</v>
      </c>
      <c r="M539" s="3">
        <v>0</v>
      </c>
      <c r="N539">
        <v>0</v>
      </c>
      <c r="O539">
        <v>0</v>
      </c>
      <c r="P539">
        <v>0</v>
      </c>
      <c r="Q539">
        <v>50</v>
      </c>
      <c r="R539" s="3">
        <v>0</v>
      </c>
      <c r="S539" s="3">
        <v>0</v>
      </c>
      <c r="T539">
        <v>0</v>
      </c>
      <c r="U539">
        <v>0</v>
      </c>
      <c r="V539" s="3">
        <v>0</v>
      </c>
      <c r="W539" s="3">
        <v>0</v>
      </c>
      <c r="X539">
        <v>0</v>
      </c>
      <c r="Y539" t="s">
        <v>577</v>
      </c>
    </row>
    <row r="540" spans="1:25" hidden="1" x14ac:dyDescent="0.25">
      <c r="A540" s="1" t="s">
        <v>34</v>
      </c>
      <c r="B540" s="1" t="s">
        <v>247</v>
      </c>
      <c r="C540" s="1" t="s">
        <v>489</v>
      </c>
      <c r="D540" t="s">
        <v>27</v>
      </c>
      <c r="E540" s="2">
        <v>45839</v>
      </c>
      <c r="F540" s="2">
        <v>45839</v>
      </c>
      <c r="G540" s="3">
        <v>24</v>
      </c>
      <c r="H540" s="4" t="s">
        <v>28</v>
      </c>
      <c r="I540">
        <v>31</v>
      </c>
      <c r="J540">
        <v>0</v>
      </c>
      <c r="K540">
        <v>0</v>
      </c>
      <c r="L540" s="3">
        <v>0</v>
      </c>
      <c r="M540" s="3">
        <v>0</v>
      </c>
      <c r="N540">
        <v>0</v>
      </c>
      <c r="O540">
        <v>0</v>
      </c>
      <c r="P540">
        <v>2</v>
      </c>
      <c r="Q540">
        <v>0</v>
      </c>
      <c r="R540" s="3">
        <v>0</v>
      </c>
      <c r="S540" s="3">
        <v>0</v>
      </c>
      <c r="T540">
        <v>0</v>
      </c>
      <c r="U540">
        <v>0</v>
      </c>
      <c r="V540" s="3">
        <v>0</v>
      </c>
      <c r="W540" s="3">
        <v>0</v>
      </c>
      <c r="X540">
        <v>0</v>
      </c>
      <c r="Y540" t="s">
        <v>578</v>
      </c>
    </row>
    <row r="541" spans="1:25" hidden="1" x14ac:dyDescent="0.25">
      <c r="A541" s="1" t="s">
        <v>38</v>
      </c>
      <c r="B541" s="1" t="s">
        <v>108</v>
      </c>
      <c r="C541" s="1" t="s">
        <v>39</v>
      </c>
      <c r="D541" t="s">
        <v>27</v>
      </c>
      <c r="E541" s="2">
        <v>45839</v>
      </c>
      <c r="F541" s="2">
        <v>45839</v>
      </c>
      <c r="G541" s="3">
        <v>44</v>
      </c>
      <c r="H541" s="4" t="s">
        <v>28</v>
      </c>
      <c r="I541">
        <v>32</v>
      </c>
      <c r="J541">
        <v>0</v>
      </c>
      <c r="K541">
        <v>0</v>
      </c>
      <c r="L541" s="3">
        <v>0</v>
      </c>
      <c r="M541" s="3">
        <v>0</v>
      </c>
      <c r="N541">
        <v>0</v>
      </c>
      <c r="O541">
        <v>0</v>
      </c>
      <c r="P541">
        <v>0</v>
      </c>
      <c r="Q541">
        <v>32</v>
      </c>
      <c r="R541" s="3">
        <v>0</v>
      </c>
      <c r="S541" s="3">
        <v>0</v>
      </c>
      <c r="T541">
        <v>0</v>
      </c>
      <c r="U541">
        <v>0</v>
      </c>
      <c r="V541" s="3">
        <v>0</v>
      </c>
      <c r="W541" s="3">
        <v>0</v>
      </c>
      <c r="X541">
        <v>0</v>
      </c>
      <c r="Y541" t="s">
        <v>579</v>
      </c>
    </row>
    <row r="542" spans="1:25" hidden="1" x14ac:dyDescent="0.25">
      <c r="A542" s="1" t="s">
        <v>40</v>
      </c>
      <c r="B542" s="1" t="s">
        <v>110</v>
      </c>
      <c r="C542" s="1" t="s">
        <v>40</v>
      </c>
      <c r="D542" t="s">
        <v>27</v>
      </c>
      <c r="E542" s="2">
        <v>45839</v>
      </c>
      <c r="F542" s="2">
        <v>45839</v>
      </c>
      <c r="G542" s="3">
        <v>77</v>
      </c>
      <c r="H542" s="4" t="s">
        <v>28</v>
      </c>
      <c r="I542">
        <v>17</v>
      </c>
      <c r="J542">
        <v>0</v>
      </c>
      <c r="K542">
        <v>0</v>
      </c>
      <c r="L542" s="3">
        <v>0</v>
      </c>
      <c r="M542" s="3">
        <v>0</v>
      </c>
      <c r="N542">
        <v>1</v>
      </c>
      <c r="O542">
        <v>0</v>
      </c>
      <c r="P542">
        <v>0</v>
      </c>
      <c r="Q542">
        <v>0</v>
      </c>
      <c r="R542" s="3">
        <v>0</v>
      </c>
      <c r="S542" s="3">
        <v>0</v>
      </c>
      <c r="T542">
        <v>0</v>
      </c>
      <c r="U542">
        <v>0</v>
      </c>
      <c r="V542" s="3">
        <v>0</v>
      </c>
      <c r="W542" s="3">
        <v>0</v>
      </c>
      <c r="X542">
        <v>0</v>
      </c>
      <c r="Y542" t="s">
        <v>580</v>
      </c>
    </row>
    <row r="543" spans="1:25" hidden="1" x14ac:dyDescent="0.25">
      <c r="A543" s="1" t="s">
        <v>41</v>
      </c>
      <c r="B543" s="1" t="s">
        <v>112</v>
      </c>
      <c r="C543" s="1" t="s">
        <v>42</v>
      </c>
      <c r="D543" t="s">
        <v>27</v>
      </c>
      <c r="E543" s="2">
        <v>45839</v>
      </c>
      <c r="F543" s="2">
        <v>45839</v>
      </c>
      <c r="G543" s="3">
        <v>65</v>
      </c>
      <c r="H543" s="4" t="s">
        <v>28</v>
      </c>
      <c r="I543">
        <v>33</v>
      </c>
      <c r="J543">
        <v>0</v>
      </c>
      <c r="K543">
        <v>0</v>
      </c>
      <c r="L543" s="3">
        <v>1</v>
      </c>
      <c r="M543" s="3">
        <v>0</v>
      </c>
      <c r="N543">
        <v>0</v>
      </c>
      <c r="O543">
        <v>0</v>
      </c>
      <c r="P543">
        <v>0</v>
      </c>
      <c r="Q543">
        <v>0</v>
      </c>
      <c r="R543" s="3">
        <v>0</v>
      </c>
      <c r="S543" s="3">
        <v>0</v>
      </c>
      <c r="T543">
        <v>0</v>
      </c>
      <c r="U543">
        <v>0</v>
      </c>
      <c r="V543" s="3">
        <v>0</v>
      </c>
      <c r="W543" s="3">
        <v>0</v>
      </c>
      <c r="X543">
        <v>0</v>
      </c>
      <c r="Y543" t="s">
        <v>581</v>
      </c>
    </row>
    <row r="544" spans="1:25" hidden="1" x14ac:dyDescent="0.25">
      <c r="A544" s="1" t="s">
        <v>43</v>
      </c>
      <c r="B544" s="1" t="s">
        <v>114</v>
      </c>
      <c r="C544" t="s">
        <v>27</v>
      </c>
      <c r="D544" t="s">
        <v>27</v>
      </c>
      <c r="E544" s="2">
        <v>45839</v>
      </c>
      <c r="F544" s="2">
        <v>45839</v>
      </c>
      <c r="G544" s="3">
        <v>34</v>
      </c>
      <c r="H544" s="4" t="s">
        <v>28</v>
      </c>
      <c r="I544">
        <v>72</v>
      </c>
      <c r="J544">
        <v>0</v>
      </c>
      <c r="K544">
        <v>0</v>
      </c>
      <c r="L544" s="3">
        <v>1</v>
      </c>
      <c r="M544" s="3">
        <v>0</v>
      </c>
      <c r="N544">
        <v>0</v>
      </c>
      <c r="O544">
        <v>0</v>
      </c>
      <c r="P544">
        <v>0</v>
      </c>
      <c r="Q544">
        <v>0</v>
      </c>
      <c r="R544" s="3">
        <v>0</v>
      </c>
      <c r="S544" s="3">
        <v>0</v>
      </c>
      <c r="T544">
        <v>0</v>
      </c>
      <c r="U544">
        <v>0</v>
      </c>
      <c r="V544" s="3">
        <v>0</v>
      </c>
      <c r="W544" s="3">
        <v>0</v>
      </c>
      <c r="X544">
        <v>0</v>
      </c>
      <c r="Y544" t="s">
        <v>582</v>
      </c>
    </row>
    <row r="545" spans="1:25" hidden="1" x14ac:dyDescent="0.25">
      <c r="A545" s="1" t="s">
        <v>36</v>
      </c>
      <c r="B545" s="1" t="s">
        <v>114</v>
      </c>
      <c r="C545" t="s">
        <v>27</v>
      </c>
      <c r="D545" t="s">
        <v>27</v>
      </c>
      <c r="E545" s="2">
        <v>45839</v>
      </c>
      <c r="F545" s="2">
        <v>45839</v>
      </c>
      <c r="G545" s="3">
        <v>34</v>
      </c>
      <c r="H545" s="4" t="s">
        <v>28</v>
      </c>
      <c r="I545">
        <v>72</v>
      </c>
      <c r="J545">
        <v>0</v>
      </c>
      <c r="K545">
        <v>0</v>
      </c>
      <c r="L545" s="3">
        <v>1</v>
      </c>
      <c r="M545" s="3">
        <v>0</v>
      </c>
      <c r="N545">
        <v>0</v>
      </c>
      <c r="O545">
        <v>0</v>
      </c>
      <c r="P545">
        <v>0</v>
      </c>
      <c r="Q545">
        <v>0</v>
      </c>
      <c r="R545" s="3">
        <v>0</v>
      </c>
      <c r="S545" s="3">
        <v>0</v>
      </c>
      <c r="T545">
        <v>0</v>
      </c>
      <c r="U545">
        <v>0</v>
      </c>
      <c r="V545" s="3">
        <v>0</v>
      </c>
      <c r="W545" s="3">
        <v>0</v>
      </c>
      <c r="X545">
        <v>0</v>
      </c>
      <c r="Y545" t="s">
        <v>582</v>
      </c>
    </row>
    <row r="546" spans="1:25" hidden="1" x14ac:dyDescent="0.25">
      <c r="A546" s="1" t="s">
        <v>45</v>
      </c>
      <c r="B546" s="1" t="s">
        <v>116</v>
      </c>
      <c r="C546" s="1" t="s">
        <v>46</v>
      </c>
      <c r="D546" t="s">
        <v>27</v>
      </c>
      <c r="E546" s="2">
        <v>45839</v>
      </c>
      <c r="F546" s="2">
        <v>45839</v>
      </c>
      <c r="G546" s="3">
        <v>55</v>
      </c>
      <c r="H546" s="4" t="s">
        <v>28</v>
      </c>
      <c r="I546">
        <v>44</v>
      </c>
      <c r="J546">
        <v>0</v>
      </c>
      <c r="K546">
        <v>0</v>
      </c>
      <c r="L546" s="3">
        <v>0</v>
      </c>
      <c r="M546" s="3">
        <v>0</v>
      </c>
      <c r="N546">
        <v>0</v>
      </c>
      <c r="O546">
        <v>0</v>
      </c>
      <c r="P546">
        <v>0</v>
      </c>
      <c r="Q546">
        <v>0</v>
      </c>
      <c r="R546" s="3">
        <v>0</v>
      </c>
      <c r="S546" s="3">
        <v>0</v>
      </c>
      <c r="T546">
        <v>0</v>
      </c>
      <c r="U546">
        <v>0</v>
      </c>
      <c r="V546" s="3">
        <v>0</v>
      </c>
      <c r="W546" s="3">
        <v>0</v>
      </c>
      <c r="X546">
        <v>0</v>
      </c>
      <c r="Y546" t="s">
        <v>583</v>
      </c>
    </row>
    <row r="547" spans="1:25" hidden="1" x14ac:dyDescent="0.25">
      <c r="A547" s="1" t="s">
        <v>47</v>
      </c>
      <c r="B547" s="1" t="s">
        <v>137</v>
      </c>
      <c r="C547" t="s">
        <v>27</v>
      </c>
      <c r="D547" t="s">
        <v>27</v>
      </c>
      <c r="E547" s="2">
        <v>45839</v>
      </c>
      <c r="F547" s="2">
        <v>45839</v>
      </c>
      <c r="G547" s="3">
        <v>29</v>
      </c>
      <c r="H547" s="4" t="s">
        <v>28</v>
      </c>
      <c r="I547">
        <v>52</v>
      </c>
      <c r="J547">
        <v>0</v>
      </c>
      <c r="K547">
        <v>0</v>
      </c>
      <c r="L547" s="3">
        <v>0</v>
      </c>
      <c r="M547" s="3">
        <v>0</v>
      </c>
      <c r="N547">
        <v>0</v>
      </c>
      <c r="O547">
        <v>0</v>
      </c>
      <c r="P547">
        <v>0</v>
      </c>
      <c r="Q547">
        <v>0</v>
      </c>
      <c r="R547" s="3">
        <v>0</v>
      </c>
      <c r="S547" s="3">
        <v>0</v>
      </c>
      <c r="T547">
        <v>0</v>
      </c>
      <c r="U547">
        <v>0</v>
      </c>
      <c r="V547" s="3">
        <v>0</v>
      </c>
      <c r="W547" s="3">
        <v>0</v>
      </c>
      <c r="X547">
        <v>0</v>
      </c>
      <c r="Y547" t="s">
        <v>584</v>
      </c>
    </row>
    <row r="548" spans="1:25" hidden="1" x14ac:dyDescent="0.25">
      <c r="A548" s="1" t="s">
        <v>48</v>
      </c>
      <c r="B548" s="1" t="s">
        <v>137</v>
      </c>
      <c r="C548" t="s">
        <v>27</v>
      </c>
      <c r="D548" t="s">
        <v>27</v>
      </c>
      <c r="E548" s="2">
        <v>45839</v>
      </c>
      <c r="F548" s="2">
        <v>45839</v>
      </c>
      <c r="G548" s="3">
        <v>29</v>
      </c>
      <c r="H548" s="4" t="s">
        <v>28</v>
      </c>
      <c r="I548">
        <v>52</v>
      </c>
      <c r="J548">
        <v>0</v>
      </c>
      <c r="K548">
        <v>0</v>
      </c>
      <c r="L548" s="3">
        <v>0</v>
      </c>
      <c r="M548" s="3">
        <v>0</v>
      </c>
      <c r="N548">
        <v>0</v>
      </c>
      <c r="O548">
        <v>0</v>
      </c>
      <c r="P548">
        <v>0</v>
      </c>
      <c r="Q548">
        <v>0</v>
      </c>
      <c r="R548" s="3">
        <v>0</v>
      </c>
      <c r="S548" s="3">
        <v>0</v>
      </c>
      <c r="T548">
        <v>0</v>
      </c>
      <c r="U548">
        <v>0</v>
      </c>
      <c r="V548" s="3">
        <v>0</v>
      </c>
      <c r="W548" s="3">
        <v>0</v>
      </c>
      <c r="X548">
        <v>0</v>
      </c>
      <c r="Y548" t="s">
        <v>584</v>
      </c>
    </row>
    <row r="549" spans="1:25" hidden="1" x14ac:dyDescent="0.25">
      <c r="A549" s="1" t="s">
        <v>49</v>
      </c>
      <c r="B549" s="1" t="s">
        <v>118</v>
      </c>
      <c r="C549" s="1" t="s">
        <v>50</v>
      </c>
      <c r="D549" t="s">
        <v>27</v>
      </c>
      <c r="E549" s="2">
        <v>45839</v>
      </c>
      <c r="F549" s="2">
        <v>45839</v>
      </c>
      <c r="G549" s="3">
        <v>32</v>
      </c>
      <c r="H549" s="4" t="s">
        <v>28</v>
      </c>
      <c r="I549">
        <v>28</v>
      </c>
      <c r="J549">
        <v>0</v>
      </c>
      <c r="K549">
        <v>0</v>
      </c>
      <c r="L549" s="3">
        <v>1</v>
      </c>
      <c r="M549" s="3">
        <v>1</v>
      </c>
      <c r="N549">
        <v>0</v>
      </c>
      <c r="O549">
        <v>0</v>
      </c>
      <c r="P549">
        <v>0</v>
      </c>
      <c r="Q549">
        <v>28</v>
      </c>
      <c r="R549" s="3">
        <v>0</v>
      </c>
      <c r="S549" s="3">
        <v>0</v>
      </c>
      <c r="T549">
        <v>0</v>
      </c>
      <c r="U549">
        <v>0</v>
      </c>
      <c r="V549" s="3">
        <v>0</v>
      </c>
      <c r="W549" s="3">
        <v>0</v>
      </c>
      <c r="X549">
        <v>0</v>
      </c>
      <c r="Y549" t="s">
        <v>585</v>
      </c>
    </row>
    <row r="550" spans="1:25" hidden="1" x14ac:dyDescent="0.25">
      <c r="A550" s="1" t="s">
        <v>51</v>
      </c>
      <c r="B550" s="1" t="s">
        <v>120</v>
      </c>
      <c r="C550" s="1" t="s">
        <v>35</v>
      </c>
      <c r="D550" t="s">
        <v>27</v>
      </c>
      <c r="E550" s="2">
        <v>45839</v>
      </c>
      <c r="F550" s="2">
        <v>45839</v>
      </c>
      <c r="G550" s="3">
        <v>47</v>
      </c>
      <c r="H550" s="4" t="s">
        <v>28</v>
      </c>
      <c r="I550">
        <v>35</v>
      </c>
      <c r="J550">
        <v>0</v>
      </c>
      <c r="K550">
        <v>0</v>
      </c>
      <c r="L550" s="3">
        <v>0</v>
      </c>
      <c r="M550" s="3">
        <v>0</v>
      </c>
      <c r="N550">
        <v>0</v>
      </c>
      <c r="O550">
        <v>0</v>
      </c>
      <c r="P550">
        <v>0</v>
      </c>
      <c r="Q550">
        <v>0</v>
      </c>
      <c r="R550" s="3">
        <v>0</v>
      </c>
      <c r="S550" s="3">
        <v>0</v>
      </c>
      <c r="T550">
        <v>0</v>
      </c>
      <c r="U550">
        <v>0</v>
      </c>
      <c r="V550" s="3">
        <v>0</v>
      </c>
      <c r="W550" s="3">
        <v>0</v>
      </c>
      <c r="X550">
        <v>0</v>
      </c>
      <c r="Y550" t="s">
        <v>586</v>
      </c>
    </row>
    <row r="551" spans="1:25" hidden="1" x14ac:dyDescent="0.25">
      <c r="A551" s="1" t="s">
        <v>54</v>
      </c>
      <c r="B551" s="1" t="s">
        <v>122</v>
      </c>
      <c r="C551" s="1" t="s">
        <v>52</v>
      </c>
      <c r="D551" t="s">
        <v>27</v>
      </c>
      <c r="E551" s="2">
        <v>45839</v>
      </c>
      <c r="F551" s="2">
        <v>45839</v>
      </c>
      <c r="G551" s="3">
        <v>33</v>
      </c>
      <c r="H551" s="4" t="s">
        <v>28</v>
      </c>
      <c r="I551">
        <v>38</v>
      </c>
      <c r="J551">
        <v>0</v>
      </c>
      <c r="K551">
        <v>0</v>
      </c>
      <c r="L551" s="3">
        <v>0</v>
      </c>
      <c r="M551" s="3">
        <v>0</v>
      </c>
      <c r="N551">
        <v>0</v>
      </c>
      <c r="O551">
        <v>0</v>
      </c>
      <c r="P551">
        <v>0</v>
      </c>
      <c r="Q551">
        <v>0</v>
      </c>
      <c r="R551" s="3">
        <v>0</v>
      </c>
      <c r="S551" s="3">
        <v>0</v>
      </c>
      <c r="T551">
        <v>0</v>
      </c>
      <c r="U551">
        <v>0</v>
      </c>
      <c r="V551" s="3">
        <v>0</v>
      </c>
      <c r="W551" s="3">
        <v>0</v>
      </c>
      <c r="X551">
        <v>0</v>
      </c>
      <c r="Y551" t="s">
        <v>587</v>
      </c>
    </row>
    <row r="552" spans="1:25" hidden="1" x14ac:dyDescent="0.25">
      <c r="A552" s="1" t="s">
        <v>53</v>
      </c>
      <c r="B552" s="1" t="s">
        <v>142</v>
      </c>
      <c r="C552" s="1" t="s">
        <v>39</v>
      </c>
      <c r="D552" t="s">
        <v>27</v>
      </c>
      <c r="E552" s="2">
        <v>45839</v>
      </c>
      <c r="F552" s="2">
        <v>45839</v>
      </c>
      <c r="G552" s="3">
        <v>36</v>
      </c>
      <c r="H552" s="4" t="s">
        <v>28</v>
      </c>
      <c r="I552">
        <v>22</v>
      </c>
      <c r="J552">
        <v>0</v>
      </c>
      <c r="K552">
        <v>0</v>
      </c>
      <c r="L552" s="3">
        <v>1</v>
      </c>
      <c r="M552" s="3">
        <v>0</v>
      </c>
      <c r="N552">
        <v>0</v>
      </c>
      <c r="O552">
        <v>0</v>
      </c>
      <c r="P552">
        <v>0</v>
      </c>
      <c r="Q552">
        <v>22</v>
      </c>
      <c r="R552" s="3">
        <v>0</v>
      </c>
      <c r="S552" s="3">
        <v>0</v>
      </c>
      <c r="T552">
        <v>0</v>
      </c>
      <c r="U552">
        <v>0</v>
      </c>
      <c r="V552" s="3">
        <v>0</v>
      </c>
      <c r="W552" s="3">
        <v>0</v>
      </c>
      <c r="X552">
        <v>0</v>
      </c>
      <c r="Y552" t="s">
        <v>588</v>
      </c>
    </row>
    <row r="553" spans="1:25" hidden="1" x14ac:dyDescent="0.25">
      <c r="A553" s="1" t="s">
        <v>344</v>
      </c>
      <c r="B553" s="1" t="s">
        <v>589</v>
      </c>
      <c r="C553" s="1" t="s">
        <v>27</v>
      </c>
      <c r="D553" t="s">
        <v>27</v>
      </c>
      <c r="E553" s="2">
        <v>45839</v>
      </c>
      <c r="F553" s="2">
        <v>45839</v>
      </c>
      <c r="G553" s="3">
        <v>37</v>
      </c>
      <c r="H553" s="4" t="s">
        <v>28</v>
      </c>
      <c r="I553">
        <v>40</v>
      </c>
      <c r="J553">
        <v>0</v>
      </c>
      <c r="K553">
        <v>0</v>
      </c>
      <c r="L553" s="3">
        <v>0</v>
      </c>
      <c r="M553" s="3">
        <v>0</v>
      </c>
      <c r="N553">
        <v>0</v>
      </c>
      <c r="O553">
        <v>0</v>
      </c>
      <c r="P553">
        <v>0</v>
      </c>
      <c r="Q553">
        <v>0</v>
      </c>
      <c r="R553" s="3">
        <v>0</v>
      </c>
      <c r="S553" s="3">
        <v>0</v>
      </c>
      <c r="T553">
        <v>0</v>
      </c>
      <c r="U553">
        <v>0</v>
      </c>
      <c r="V553" s="3">
        <v>0</v>
      </c>
      <c r="W553" s="3">
        <v>0</v>
      </c>
      <c r="X553" s="3">
        <v>0</v>
      </c>
      <c r="Y553" t="s">
        <v>588</v>
      </c>
    </row>
    <row r="554" spans="1:25" hidden="1" x14ac:dyDescent="0.25">
      <c r="A554" t="s">
        <v>27</v>
      </c>
      <c r="B554" t="s">
        <v>112</v>
      </c>
      <c r="C554" s="1" t="s">
        <v>55</v>
      </c>
      <c r="D554" t="s">
        <v>27</v>
      </c>
      <c r="E554" s="2">
        <v>45839</v>
      </c>
      <c r="F554" s="2">
        <v>45839</v>
      </c>
      <c r="G554" s="3">
        <v>38</v>
      </c>
      <c r="H554" s="4" t="s">
        <v>959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588</v>
      </c>
    </row>
    <row r="555" spans="1:25" hidden="1" x14ac:dyDescent="0.25">
      <c r="A555" s="1" t="s">
        <v>33</v>
      </c>
      <c r="B555" t="s">
        <v>590</v>
      </c>
      <c r="C555" t="s">
        <v>27</v>
      </c>
      <c r="D555" t="s">
        <v>27</v>
      </c>
      <c r="E555" s="2">
        <v>45839</v>
      </c>
      <c r="F555" s="2">
        <v>45839</v>
      </c>
      <c r="G555" s="3">
        <v>39</v>
      </c>
      <c r="H555" s="4" t="s">
        <v>959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588</v>
      </c>
    </row>
    <row r="556" spans="1:25" hidden="1" x14ac:dyDescent="0.25">
      <c r="A556" t="s">
        <v>27</v>
      </c>
      <c r="B556" t="s">
        <v>591</v>
      </c>
      <c r="C556" s="1" t="s">
        <v>57</v>
      </c>
      <c r="D556" t="s">
        <v>27</v>
      </c>
      <c r="E556" s="2">
        <v>45839</v>
      </c>
      <c r="F556" s="2">
        <v>45839</v>
      </c>
      <c r="G556" s="3">
        <v>40</v>
      </c>
      <c r="H556" s="4" t="s">
        <v>959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588</v>
      </c>
    </row>
    <row r="557" spans="1:25" hidden="1" x14ac:dyDescent="0.25">
      <c r="A557" s="1" t="s">
        <v>58</v>
      </c>
      <c r="B557" s="1" t="s">
        <v>123</v>
      </c>
      <c r="C557" s="1" t="s">
        <v>27</v>
      </c>
      <c r="D557" t="s">
        <v>27</v>
      </c>
      <c r="E557" s="2">
        <v>45839</v>
      </c>
      <c r="F557" s="2">
        <v>45839</v>
      </c>
      <c r="G557" s="3">
        <v>39</v>
      </c>
      <c r="H557" s="4" t="s">
        <v>180</v>
      </c>
      <c r="I557">
        <v>0</v>
      </c>
      <c r="J557">
        <v>0</v>
      </c>
      <c r="K557">
        <v>0</v>
      </c>
      <c r="L557" s="3">
        <v>0</v>
      </c>
      <c r="M557" s="3">
        <v>0</v>
      </c>
      <c r="N557">
        <v>0</v>
      </c>
      <c r="O557">
        <v>0</v>
      </c>
      <c r="P557">
        <v>0</v>
      </c>
      <c r="Q557">
        <v>0</v>
      </c>
      <c r="R557" s="3">
        <v>0</v>
      </c>
      <c r="S557" s="3">
        <v>0</v>
      </c>
      <c r="T557">
        <v>0</v>
      </c>
      <c r="U557">
        <v>0</v>
      </c>
      <c r="V557" s="3">
        <v>0</v>
      </c>
      <c r="W557" s="3">
        <v>0</v>
      </c>
      <c r="X557">
        <v>0</v>
      </c>
      <c r="Y557" t="s">
        <v>550</v>
      </c>
    </row>
    <row r="558" spans="1:25" hidden="1" x14ac:dyDescent="0.25">
      <c r="A558" t="s">
        <v>27</v>
      </c>
      <c r="B558" s="1" t="s">
        <v>98</v>
      </c>
      <c r="C558" s="1" t="s">
        <v>44</v>
      </c>
      <c r="D558" t="s">
        <v>27</v>
      </c>
      <c r="E558" s="2">
        <v>45839</v>
      </c>
      <c r="F558" s="2">
        <v>45839</v>
      </c>
      <c r="G558" s="3">
        <v>40</v>
      </c>
      <c r="H558" s="4" t="s">
        <v>180</v>
      </c>
      <c r="I558">
        <v>0</v>
      </c>
      <c r="J558">
        <v>0</v>
      </c>
      <c r="K558">
        <v>0</v>
      </c>
      <c r="L558" s="3">
        <v>0</v>
      </c>
      <c r="M558" s="3">
        <v>0</v>
      </c>
      <c r="N558">
        <v>0</v>
      </c>
      <c r="O558">
        <v>0</v>
      </c>
      <c r="P558">
        <v>0</v>
      </c>
      <c r="Q558">
        <v>0</v>
      </c>
      <c r="R558" s="3">
        <v>0</v>
      </c>
      <c r="S558" s="3">
        <v>0</v>
      </c>
      <c r="T558">
        <v>0</v>
      </c>
      <c r="U558">
        <v>0</v>
      </c>
      <c r="V558" s="3">
        <v>0</v>
      </c>
      <c r="W558" s="3">
        <v>0</v>
      </c>
      <c r="X558">
        <v>0</v>
      </c>
      <c r="Y558" t="s">
        <v>550</v>
      </c>
    </row>
    <row r="559" spans="1:25" hidden="1" x14ac:dyDescent="0.25">
      <c r="A559" s="1" t="s">
        <v>25</v>
      </c>
      <c r="B559" s="1" t="s">
        <v>96</v>
      </c>
      <c r="C559" s="1" t="s">
        <v>26</v>
      </c>
      <c r="D559" t="s">
        <v>27</v>
      </c>
      <c r="E559" s="2">
        <v>45840</v>
      </c>
      <c r="F559" s="2">
        <v>45840</v>
      </c>
      <c r="G559" s="3">
        <v>40</v>
      </c>
      <c r="H559" s="15" t="s">
        <v>28</v>
      </c>
      <c r="I559">
        <v>53</v>
      </c>
      <c r="J559">
        <v>0</v>
      </c>
      <c r="K559">
        <v>0</v>
      </c>
      <c r="L559" s="3">
        <v>1</v>
      </c>
      <c r="M559" s="3">
        <v>0</v>
      </c>
      <c r="N559">
        <v>1</v>
      </c>
      <c r="O559">
        <v>0</v>
      </c>
      <c r="P559">
        <v>0</v>
      </c>
      <c r="Q559">
        <v>0</v>
      </c>
      <c r="R559" s="3">
        <v>0</v>
      </c>
      <c r="S559" s="3">
        <v>0</v>
      </c>
      <c r="T559">
        <v>0</v>
      </c>
      <c r="U559">
        <v>0</v>
      </c>
      <c r="V559" s="3">
        <v>0</v>
      </c>
      <c r="W559" s="3">
        <v>0</v>
      </c>
      <c r="X559">
        <v>0</v>
      </c>
      <c r="Y559" t="s">
        <v>592</v>
      </c>
    </row>
    <row r="560" spans="1:25" hidden="1" x14ac:dyDescent="0.25">
      <c r="A560" s="1" t="s">
        <v>56</v>
      </c>
      <c r="B560" s="1" t="s">
        <v>98</v>
      </c>
      <c r="C560" s="1" t="s">
        <v>37</v>
      </c>
      <c r="D560" t="s">
        <v>27</v>
      </c>
      <c r="E560" s="2">
        <v>45840</v>
      </c>
      <c r="F560" s="2">
        <v>45840</v>
      </c>
      <c r="G560" s="3">
        <v>28</v>
      </c>
      <c r="H560" s="15" t="s">
        <v>28</v>
      </c>
      <c r="I560">
        <v>65</v>
      </c>
      <c r="J560">
        <v>0</v>
      </c>
      <c r="K560">
        <v>0</v>
      </c>
      <c r="L560" s="3">
        <v>1</v>
      </c>
      <c r="M560" s="3">
        <v>0</v>
      </c>
      <c r="N560">
        <v>0</v>
      </c>
      <c r="O560">
        <v>0</v>
      </c>
      <c r="P560">
        <v>0</v>
      </c>
      <c r="Q560">
        <v>20</v>
      </c>
      <c r="R560" s="3">
        <v>0</v>
      </c>
      <c r="S560" s="3">
        <v>0</v>
      </c>
      <c r="T560">
        <v>0</v>
      </c>
      <c r="U560">
        <v>0</v>
      </c>
      <c r="V560" s="3">
        <v>0</v>
      </c>
      <c r="W560" s="3">
        <v>0</v>
      </c>
      <c r="X560">
        <v>0</v>
      </c>
      <c r="Y560" t="s">
        <v>593</v>
      </c>
    </row>
    <row r="561" spans="1:25" hidden="1" x14ac:dyDescent="0.25">
      <c r="A561" s="1" t="s">
        <v>29</v>
      </c>
      <c r="B561" s="1" t="s">
        <v>100</v>
      </c>
      <c r="C561" s="1" t="s">
        <v>245</v>
      </c>
      <c r="D561" t="s">
        <v>27</v>
      </c>
      <c r="E561" s="2">
        <v>45840</v>
      </c>
      <c r="F561" s="2">
        <v>45840</v>
      </c>
      <c r="G561" s="3">
        <v>78</v>
      </c>
      <c r="H561" s="15" t="s">
        <v>28</v>
      </c>
      <c r="I561">
        <v>26</v>
      </c>
      <c r="J561">
        <v>0</v>
      </c>
      <c r="K561">
        <v>0</v>
      </c>
      <c r="L561" s="3">
        <v>1</v>
      </c>
      <c r="M561" s="3">
        <v>0</v>
      </c>
      <c r="N561">
        <v>0</v>
      </c>
      <c r="O561">
        <v>0</v>
      </c>
      <c r="P561">
        <v>0</v>
      </c>
      <c r="Q561">
        <v>4</v>
      </c>
      <c r="R561" s="3">
        <v>0</v>
      </c>
      <c r="S561" s="3">
        <v>0</v>
      </c>
      <c r="T561">
        <v>0</v>
      </c>
      <c r="U561">
        <v>0</v>
      </c>
      <c r="V561" s="3">
        <v>0</v>
      </c>
      <c r="W561" s="3">
        <v>0</v>
      </c>
      <c r="X561">
        <v>0</v>
      </c>
      <c r="Y561" t="s">
        <v>594</v>
      </c>
    </row>
    <row r="562" spans="1:25" hidden="1" x14ac:dyDescent="0.25">
      <c r="A562" s="1" t="s">
        <v>344</v>
      </c>
      <c r="B562" s="1" t="s">
        <v>102</v>
      </c>
      <c r="C562" s="1" t="s">
        <v>35</v>
      </c>
      <c r="D562" t="s">
        <v>27</v>
      </c>
      <c r="E562" s="2">
        <v>45840</v>
      </c>
      <c r="F562" s="2">
        <v>45840</v>
      </c>
      <c r="G562" s="3">
        <v>28</v>
      </c>
      <c r="H562" s="15" t="s">
        <v>28</v>
      </c>
      <c r="I562">
        <v>45</v>
      </c>
      <c r="J562">
        <v>0</v>
      </c>
      <c r="K562">
        <v>0</v>
      </c>
      <c r="L562" s="3">
        <v>0</v>
      </c>
      <c r="M562" s="3">
        <v>0</v>
      </c>
      <c r="N562">
        <v>0</v>
      </c>
      <c r="O562">
        <v>0</v>
      </c>
      <c r="P562">
        <v>0</v>
      </c>
      <c r="Q562">
        <v>0</v>
      </c>
      <c r="R562" s="3">
        <v>0</v>
      </c>
      <c r="S562" s="3">
        <v>0</v>
      </c>
      <c r="T562">
        <v>0</v>
      </c>
      <c r="U562">
        <v>0</v>
      </c>
      <c r="V562" s="3">
        <v>0</v>
      </c>
      <c r="W562" s="3">
        <v>0</v>
      </c>
      <c r="X562">
        <v>0</v>
      </c>
      <c r="Y562" t="s">
        <v>561</v>
      </c>
    </row>
    <row r="563" spans="1:25" hidden="1" x14ac:dyDescent="0.25">
      <c r="A563" s="1" t="s">
        <v>31</v>
      </c>
      <c r="B563" s="1" t="s">
        <v>104</v>
      </c>
      <c r="C563" s="1" t="s">
        <v>32</v>
      </c>
      <c r="D563" t="s">
        <v>27</v>
      </c>
      <c r="E563" s="2">
        <v>45840</v>
      </c>
      <c r="F563" s="2">
        <v>45840</v>
      </c>
      <c r="G563" s="3">
        <v>48</v>
      </c>
      <c r="H563" s="15" t="s">
        <v>28</v>
      </c>
      <c r="I563">
        <v>101</v>
      </c>
      <c r="J563">
        <v>0</v>
      </c>
      <c r="K563">
        <v>0</v>
      </c>
      <c r="L563" s="3">
        <v>1</v>
      </c>
      <c r="M563" s="3">
        <v>0</v>
      </c>
      <c r="N563">
        <v>0</v>
      </c>
      <c r="O563">
        <v>0</v>
      </c>
      <c r="P563">
        <v>0</v>
      </c>
      <c r="Q563">
        <v>52</v>
      </c>
      <c r="R563" s="3">
        <v>0</v>
      </c>
      <c r="S563" s="3">
        <v>0</v>
      </c>
      <c r="T563">
        <v>0</v>
      </c>
      <c r="U563">
        <v>0</v>
      </c>
      <c r="V563" s="3">
        <v>0</v>
      </c>
      <c r="W563" s="3">
        <v>0</v>
      </c>
      <c r="X563">
        <v>0</v>
      </c>
      <c r="Y563" t="s">
        <v>595</v>
      </c>
    </row>
    <row r="564" spans="1:25" hidden="1" x14ac:dyDescent="0.25">
      <c r="A564" s="1" t="s">
        <v>33</v>
      </c>
      <c r="B564" s="1" t="s">
        <v>106</v>
      </c>
      <c r="C564" s="1" t="s">
        <v>57</v>
      </c>
      <c r="D564" t="s">
        <v>27</v>
      </c>
      <c r="E564" s="2">
        <v>45840</v>
      </c>
      <c r="F564" s="2">
        <v>45840</v>
      </c>
      <c r="G564" s="3">
        <v>31</v>
      </c>
      <c r="H564" s="15" t="s">
        <v>28</v>
      </c>
      <c r="I564">
        <v>41</v>
      </c>
      <c r="J564">
        <v>0</v>
      </c>
      <c r="K564">
        <v>0</v>
      </c>
      <c r="L564" s="3">
        <v>0</v>
      </c>
      <c r="M564" s="3">
        <v>0</v>
      </c>
      <c r="N564">
        <v>0</v>
      </c>
      <c r="O564">
        <v>0</v>
      </c>
      <c r="P564">
        <v>0</v>
      </c>
      <c r="Q564">
        <v>18</v>
      </c>
      <c r="R564" s="3">
        <v>0</v>
      </c>
      <c r="S564" s="3">
        <v>0</v>
      </c>
      <c r="T564">
        <v>0</v>
      </c>
      <c r="U564">
        <v>0</v>
      </c>
      <c r="V564" s="3">
        <v>0</v>
      </c>
      <c r="W564" s="3">
        <v>0</v>
      </c>
      <c r="X564">
        <v>0</v>
      </c>
      <c r="Y564" t="s">
        <v>596</v>
      </c>
    </row>
    <row r="565" spans="1:25" hidden="1" x14ac:dyDescent="0.25">
      <c r="A565" s="1" t="s">
        <v>597</v>
      </c>
      <c r="B565" s="1" t="s">
        <v>598</v>
      </c>
      <c r="C565" s="1" t="s">
        <v>46</v>
      </c>
      <c r="D565" t="s">
        <v>27</v>
      </c>
      <c r="E565" s="2">
        <v>45840</v>
      </c>
      <c r="F565" s="2">
        <v>45840</v>
      </c>
      <c r="G565" s="3">
        <v>50</v>
      </c>
      <c r="H565" s="15" t="s">
        <v>28</v>
      </c>
      <c r="I565">
        <v>77</v>
      </c>
      <c r="J565">
        <v>0</v>
      </c>
      <c r="K565">
        <v>0</v>
      </c>
      <c r="L565" s="3">
        <v>1</v>
      </c>
      <c r="M565" s="3">
        <v>0</v>
      </c>
      <c r="N565">
        <v>0</v>
      </c>
      <c r="O565">
        <v>0</v>
      </c>
      <c r="P565">
        <v>0</v>
      </c>
      <c r="Q565">
        <v>30</v>
      </c>
      <c r="R565" s="3">
        <v>0</v>
      </c>
      <c r="S565" s="3">
        <v>0</v>
      </c>
      <c r="T565">
        <v>0</v>
      </c>
      <c r="U565">
        <v>0</v>
      </c>
      <c r="V565" s="3">
        <v>0</v>
      </c>
      <c r="W565" s="3">
        <v>0</v>
      </c>
      <c r="X565">
        <v>0</v>
      </c>
      <c r="Y565" t="s">
        <v>599</v>
      </c>
    </row>
    <row r="566" spans="1:25" hidden="1" x14ac:dyDescent="0.25">
      <c r="A566" s="1" t="s">
        <v>34</v>
      </c>
      <c r="B566" s="1" t="s">
        <v>247</v>
      </c>
      <c r="C566" s="1" t="s">
        <v>241</v>
      </c>
      <c r="D566" t="s">
        <v>27</v>
      </c>
      <c r="E566" s="2">
        <v>45840</v>
      </c>
      <c r="F566" s="2">
        <v>45840</v>
      </c>
      <c r="G566" s="3">
        <v>34</v>
      </c>
      <c r="H566" s="15" t="s">
        <v>28</v>
      </c>
      <c r="I566">
        <v>65</v>
      </c>
      <c r="J566">
        <v>0</v>
      </c>
      <c r="K566">
        <v>0</v>
      </c>
      <c r="L566" s="3">
        <v>1</v>
      </c>
      <c r="M566" s="3">
        <v>0</v>
      </c>
      <c r="N566">
        <v>0</v>
      </c>
      <c r="O566">
        <v>0</v>
      </c>
      <c r="P566">
        <v>0</v>
      </c>
      <c r="Q566">
        <v>28</v>
      </c>
      <c r="R566" s="3">
        <v>0</v>
      </c>
      <c r="S566" s="3">
        <v>0</v>
      </c>
      <c r="T566">
        <v>0</v>
      </c>
      <c r="U566">
        <v>0</v>
      </c>
      <c r="V566" s="3">
        <v>0</v>
      </c>
      <c r="W566" s="3">
        <v>0</v>
      </c>
      <c r="X566">
        <v>0</v>
      </c>
      <c r="Y566" t="s">
        <v>600</v>
      </c>
    </row>
    <row r="567" spans="1:25" hidden="1" x14ac:dyDescent="0.25">
      <c r="A567" s="1" t="s">
        <v>40</v>
      </c>
      <c r="B567" s="1" t="s">
        <v>110</v>
      </c>
      <c r="C567" s="1" t="s">
        <v>40</v>
      </c>
      <c r="D567" t="s">
        <v>27</v>
      </c>
      <c r="E567" s="2">
        <v>45840</v>
      </c>
      <c r="F567" s="2">
        <v>45840</v>
      </c>
      <c r="G567" s="3">
        <v>80</v>
      </c>
      <c r="H567" s="15" t="s">
        <v>28</v>
      </c>
      <c r="I567">
        <v>24</v>
      </c>
      <c r="J567">
        <v>0</v>
      </c>
      <c r="K567">
        <v>0</v>
      </c>
      <c r="L567" s="3">
        <v>1</v>
      </c>
      <c r="M567" s="3">
        <v>0</v>
      </c>
      <c r="N567">
        <v>1</v>
      </c>
      <c r="O567">
        <v>0</v>
      </c>
      <c r="P567">
        <v>0</v>
      </c>
      <c r="Q567">
        <v>10</v>
      </c>
      <c r="R567" s="3">
        <v>0</v>
      </c>
      <c r="S567" s="3">
        <v>0</v>
      </c>
      <c r="T567">
        <v>0</v>
      </c>
      <c r="U567">
        <v>0</v>
      </c>
      <c r="V567" s="3">
        <v>0</v>
      </c>
      <c r="W567" s="3">
        <v>0</v>
      </c>
      <c r="X567">
        <v>0</v>
      </c>
      <c r="Y567" t="s">
        <v>601</v>
      </c>
    </row>
    <row r="568" spans="1:25" hidden="1" x14ac:dyDescent="0.25">
      <c r="A568" s="1" t="s">
        <v>41</v>
      </c>
      <c r="B568" s="1" t="s">
        <v>112</v>
      </c>
      <c r="C568" s="1" t="s">
        <v>42</v>
      </c>
      <c r="D568" t="s">
        <v>27</v>
      </c>
      <c r="E568" s="2">
        <v>45840</v>
      </c>
      <c r="F568" s="2">
        <v>45840</v>
      </c>
      <c r="G568" s="3">
        <v>96</v>
      </c>
      <c r="H568" s="15" t="s">
        <v>28</v>
      </c>
      <c r="I568">
        <v>42</v>
      </c>
      <c r="J568">
        <v>0</v>
      </c>
      <c r="K568">
        <v>0</v>
      </c>
      <c r="L568" s="3">
        <v>1</v>
      </c>
      <c r="M568" s="3">
        <v>0</v>
      </c>
      <c r="N568">
        <v>0</v>
      </c>
      <c r="O568">
        <v>0</v>
      </c>
      <c r="P568">
        <v>0</v>
      </c>
      <c r="Q568">
        <v>0</v>
      </c>
      <c r="R568" s="3">
        <v>0</v>
      </c>
      <c r="S568" s="3">
        <v>0</v>
      </c>
      <c r="T568">
        <v>0</v>
      </c>
      <c r="U568">
        <v>0</v>
      </c>
      <c r="V568" s="3">
        <v>0</v>
      </c>
      <c r="W568" s="3">
        <v>0</v>
      </c>
      <c r="X568">
        <v>0</v>
      </c>
      <c r="Y568" t="s">
        <v>602</v>
      </c>
    </row>
    <row r="569" spans="1:25" hidden="1" x14ac:dyDescent="0.25">
      <c r="A569" s="1" t="s">
        <v>43</v>
      </c>
      <c r="B569" s="1" t="s">
        <v>114</v>
      </c>
      <c r="C569" t="s">
        <v>27</v>
      </c>
      <c r="D569" t="s">
        <v>27</v>
      </c>
      <c r="E569" s="2">
        <v>45840</v>
      </c>
      <c r="F569" s="2">
        <v>45840</v>
      </c>
      <c r="G569" s="3">
        <v>52</v>
      </c>
      <c r="H569" s="15" t="s">
        <v>28</v>
      </c>
      <c r="I569">
        <v>46</v>
      </c>
      <c r="J569">
        <v>0</v>
      </c>
      <c r="K569">
        <v>0</v>
      </c>
      <c r="L569" s="3">
        <v>1</v>
      </c>
      <c r="M569" s="3">
        <v>0</v>
      </c>
      <c r="N569">
        <v>0</v>
      </c>
      <c r="O569">
        <v>0</v>
      </c>
      <c r="P569">
        <v>0</v>
      </c>
      <c r="Q569">
        <v>0</v>
      </c>
      <c r="R569" s="3">
        <v>0</v>
      </c>
      <c r="S569" s="3">
        <v>0</v>
      </c>
      <c r="T569">
        <v>0</v>
      </c>
      <c r="U569">
        <v>0</v>
      </c>
      <c r="V569" s="3">
        <v>0</v>
      </c>
      <c r="W569" s="3">
        <v>0</v>
      </c>
      <c r="X569">
        <v>0</v>
      </c>
      <c r="Y569" t="s">
        <v>603</v>
      </c>
    </row>
    <row r="570" spans="1:25" hidden="1" x14ac:dyDescent="0.25">
      <c r="A570" s="1" t="s">
        <v>36</v>
      </c>
      <c r="B570" s="1" t="s">
        <v>114</v>
      </c>
      <c r="C570" t="s">
        <v>27</v>
      </c>
      <c r="D570" t="s">
        <v>27</v>
      </c>
      <c r="E570" s="2">
        <v>45840</v>
      </c>
      <c r="F570" s="2">
        <v>45840</v>
      </c>
      <c r="G570" s="3">
        <v>52</v>
      </c>
      <c r="H570" s="15" t="s">
        <v>28</v>
      </c>
      <c r="I570">
        <v>46</v>
      </c>
      <c r="J570">
        <v>0</v>
      </c>
      <c r="K570">
        <v>0</v>
      </c>
      <c r="L570" s="3">
        <v>1</v>
      </c>
      <c r="M570" s="3">
        <v>0</v>
      </c>
      <c r="N570">
        <v>0</v>
      </c>
      <c r="O570">
        <v>0</v>
      </c>
      <c r="P570">
        <v>0</v>
      </c>
      <c r="Q570">
        <v>0</v>
      </c>
      <c r="R570" s="3">
        <v>0</v>
      </c>
      <c r="S570" s="3">
        <v>0</v>
      </c>
      <c r="T570">
        <v>0</v>
      </c>
      <c r="U570">
        <v>0</v>
      </c>
      <c r="V570" s="3">
        <v>0</v>
      </c>
      <c r="W570" s="3">
        <v>0</v>
      </c>
      <c r="X570">
        <v>0</v>
      </c>
      <c r="Y570" t="s">
        <v>603</v>
      </c>
    </row>
    <row r="571" spans="1:25" hidden="1" x14ac:dyDescent="0.25">
      <c r="A571" s="1" t="s">
        <v>47</v>
      </c>
      <c r="B571" s="1" t="s">
        <v>137</v>
      </c>
      <c r="C571" t="s">
        <v>27</v>
      </c>
      <c r="D571" t="s">
        <v>27</v>
      </c>
      <c r="E571" s="2">
        <v>45840</v>
      </c>
      <c r="F571" s="2">
        <v>45840</v>
      </c>
      <c r="G571" s="3">
        <v>39</v>
      </c>
      <c r="H571" s="15" t="s">
        <v>28</v>
      </c>
      <c r="I571">
        <v>66</v>
      </c>
      <c r="J571">
        <v>0</v>
      </c>
      <c r="K571">
        <v>0</v>
      </c>
      <c r="L571" s="3">
        <v>0</v>
      </c>
      <c r="M571" s="3">
        <v>0</v>
      </c>
      <c r="N571">
        <v>0</v>
      </c>
      <c r="O571">
        <v>0</v>
      </c>
      <c r="P571">
        <v>0</v>
      </c>
      <c r="Q571">
        <v>0</v>
      </c>
      <c r="R571" s="3">
        <v>0</v>
      </c>
      <c r="S571" s="3">
        <v>0</v>
      </c>
      <c r="T571">
        <v>0</v>
      </c>
      <c r="U571">
        <v>0</v>
      </c>
      <c r="V571" s="3">
        <v>0</v>
      </c>
      <c r="W571" s="3">
        <v>0</v>
      </c>
      <c r="X571">
        <v>0</v>
      </c>
      <c r="Y571" t="s">
        <v>604</v>
      </c>
    </row>
    <row r="572" spans="1:25" hidden="1" x14ac:dyDescent="0.25">
      <c r="A572" s="1" t="s">
        <v>48</v>
      </c>
      <c r="B572" s="1" t="s">
        <v>137</v>
      </c>
      <c r="C572" t="s">
        <v>27</v>
      </c>
      <c r="D572" t="s">
        <v>27</v>
      </c>
      <c r="E572" s="2">
        <v>45840</v>
      </c>
      <c r="F572" s="2">
        <v>45840</v>
      </c>
      <c r="G572" s="3">
        <v>39</v>
      </c>
      <c r="H572" s="15" t="s">
        <v>28</v>
      </c>
      <c r="I572">
        <v>66</v>
      </c>
      <c r="J572">
        <v>0</v>
      </c>
      <c r="K572">
        <v>0</v>
      </c>
      <c r="L572" s="3">
        <v>0</v>
      </c>
      <c r="M572" s="3">
        <v>0</v>
      </c>
      <c r="N572">
        <v>0</v>
      </c>
      <c r="O572">
        <v>0</v>
      </c>
      <c r="P572">
        <v>0</v>
      </c>
      <c r="Q572">
        <v>0</v>
      </c>
      <c r="R572" s="3">
        <v>0</v>
      </c>
      <c r="S572" s="3">
        <v>0</v>
      </c>
      <c r="T572">
        <v>0</v>
      </c>
      <c r="U572">
        <v>0</v>
      </c>
      <c r="V572" s="3">
        <v>0</v>
      </c>
      <c r="W572" s="3">
        <v>0</v>
      </c>
      <c r="X572">
        <v>0</v>
      </c>
      <c r="Y572" t="s">
        <v>604</v>
      </c>
    </row>
    <row r="573" spans="1:25" hidden="1" x14ac:dyDescent="0.25">
      <c r="A573" s="1" t="s">
        <v>49</v>
      </c>
      <c r="B573" s="1" t="s">
        <v>118</v>
      </c>
      <c r="C573" s="1" t="s">
        <v>50</v>
      </c>
      <c r="D573" t="s">
        <v>27</v>
      </c>
      <c r="E573" s="2">
        <v>45840</v>
      </c>
      <c r="F573" s="2">
        <v>45840</v>
      </c>
      <c r="G573" s="3">
        <v>27</v>
      </c>
      <c r="H573" s="15" t="s">
        <v>28</v>
      </c>
      <c r="I573">
        <v>53</v>
      </c>
      <c r="J573">
        <v>0</v>
      </c>
      <c r="K573">
        <v>0</v>
      </c>
      <c r="L573" s="3">
        <v>1</v>
      </c>
      <c r="M573" s="3">
        <v>1</v>
      </c>
      <c r="N573">
        <v>0</v>
      </c>
      <c r="O573">
        <v>0</v>
      </c>
      <c r="P573">
        <v>0</v>
      </c>
      <c r="Q573">
        <v>53</v>
      </c>
      <c r="R573" s="3">
        <v>0</v>
      </c>
      <c r="S573" s="3">
        <v>0</v>
      </c>
      <c r="T573">
        <v>0</v>
      </c>
      <c r="U573">
        <v>0</v>
      </c>
      <c r="V573" s="3">
        <v>0</v>
      </c>
      <c r="W573" s="3">
        <v>0</v>
      </c>
      <c r="X573">
        <v>0</v>
      </c>
      <c r="Y573" t="s">
        <v>605</v>
      </c>
    </row>
    <row r="574" spans="1:25" hidden="1" x14ac:dyDescent="0.25">
      <c r="A574" s="1" t="s">
        <v>51</v>
      </c>
      <c r="B574" s="1" t="s">
        <v>120</v>
      </c>
      <c r="C574" s="1" t="s">
        <v>55</v>
      </c>
      <c r="D574" t="s">
        <v>27</v>
      </c>
      <c r="E574" s="2">
        <v>45840</v>
      </c>
      <c r="F574" s="2">
        <v>45840</v>
      </c>
      <c r="G574" s="3">
        <v>65</v>
      </c>
      <c r="H574" s="15" t="s">
        <v>28</v>
      </c>
      <c r="I574">
        <v>55</v>
      </c>
      <c r="J574">
        <v>0</v>
      </c>
      <c r="K574">
        <v>0</v>
      </c>
      <c r="L574" s="3">
        <v>1</v>
      </c>
      <c r="M574" s="3">
        <v>0</v>
      </c>
      <c r="N574">
        <v>1</v>
      </c>
      <c r="O574">
        <v>0</v>
      </c>
      <c r="P574">
        <v>0</v>
      </c>
      <c r="Q574">
        <v>0</v>
      </c>
      <c r="R574" s="3">
        <v>0</v>
      </c>
      <c r="S574" s="3">
        <v>0</v>
      </c>
      <c r="T574">
        <v>0</v>
      </c>
      <c r="U574">
        <v>0</v>
      </c>
      <c r="V574" s="3">
        <v>0</v>
      </c>
      <c r="W574" s="3">
        <v>0</v>
      </c>
      <c r="X574">
        <v>0</v>
      </c>
      <c r="Y574" t="s">
        <v>606</v>
      </c>
    </row>
    <row r="575" spans="1:25" hidden="1" x14ac:dyDescent="0.25">
      <c r="A575" s="1" t="s">
        <v>54</v>
      </c>
      <c r="B575" s="1" t="s">
        <v>122</v>
      </c>
      <c r="C575" s="1" t="s">
        <v>52</v>
      </c>
      <c r="D575" t="s">
        <v>27</v>
      </c>
      <c r="E575" s="2">
        <v>45840</v>
      </c>
      <c r="F575" s="2">
        <v>45840</v>
      </c>
      <c r="G575" s="3">
        <v>34</v>
      </c>
      <c r="H575" s="15" t="s">
        <v>28</v>
      </c>
      <c r="I575">
        <v>28</v>
      </c>
      <c r="J575">
        <v>0</v>
      </c>
      <c r="K575">
        <v>0</v>
      </c>
      <c r="L575" s="3">
        <v>0</v>
      </c>
      <c r="M575" s="3">
        <v>0</v>
      </c>
      <c r="N575">
        <v>0</v>
      </c>
      <c r="O575">
        <v>0</v>
      </c>
      <c r="P575">
        <v>0</v>
      </c>
      <c r="Q575">
        <v>12</v>
      </c>
      <c r="R575" s="3">
        <v>0</v>
      </c>
      <c r="S575" s="3">
        <v>0</v>
      </c>
      <c r="T575">
        <v>0</v>
      </c>
      <c r="U575">
        <v>0</v>
      </c>
      <c r="V575" s="3">
        <v>0</v>
      </c>
      <c r="W575" s="3">
        <v>0</v>
      </c>
      <c r="X575">
        <v>0</v>
      </c>
      <c r="Y575" t="s">
        <v>607</v>
      </c>
    </row>
    <row r="576" spans="1:25" hidden="1" x14ac:dyDescent="0.25">
      <c r="A576" t="s">
        <v>53</v>
      </c>
      <c r="B576" t="s">
        <v>142</v>
      </c>
      <c r="C576" t="s">
        <v>39</v>
      </c>
      <c r="D576" t="s">
        <v>27</v>
      </c>
      <c r="E576" s="2">
        <v>45840</v>
      </c>
      <c r="F576" s="2">
        <v>45840</v>
      </c>
      <c r="G576" s="3">
        <v>55</v>
      </c>
      <c r="H576" s="15" t="s">
        <v>28</v>
      </c>
      <c r="I576">
        <v>32</v>
      </c>
      <c r="J576">
        <v>0</v>
      </c>
      <c r="K576">
        <v>0</v>
      </c>
      <c r="L576" s="3">
        <v>1</v>
      </c>
      <c r="M576" s="3">
        <v>0</v>
      </c>
      <c r="N576">
        <v>0</v>
      </c>
      <c r="O576">
        <v>0</v>
      </c>
      <c r="P576">
        <v>0</v>
      </c>
      <c r="Q576">
        <v>32</v>
      </c>
      <c r="R576" s="3">
        <v>0</v>
      </c>
      <c r="S576" s="3">
        <v>0</v>
      </c>
      <c r="T576">
        <v>0</v>
      </c>
      <c r="U576">
        <v>0</v>
      </c>
      <c r="V576" s="3">
        <v>0</v>
      </c>
      <c r="W576" s="3">
        <v>0</v>
      </c>
      <c r="X576">
        <v>0</v>
      </c>
      <c r="Y576" t="s">
        <v>608</v>
      </c>
    </row>
    <row r="577" spans="1:25" hidden="1" x14ac:dyDescent="0.25">
      <c r="A577" s="1" t="s">
        <v>45</v>
      </c>
      <c r="B577" t="s">
        <v>589</v>
      </c>
      <c r="C577" t="s">
        <v>27</v>
      </c>
      <c r="D577" t="s">
        <v>27</v>
      </c>
      <c r="E577" s="2">
        <v>45840</v>
      </c>
      <c r="F577" s="2">
        <v>45840</v>
      </c>
      <c r="G577" s="3">
        <v>56</v>
      </c>
      <c r="H577" s="4" t="s">
        <v>505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608</v>
      </c>
    </row>
    <row r="578" spans="1:25" hidden="1" x14ac:dyDescent="0.25">
      <c r="A578" t="s">
        <v>27</v>
      </c>
      <c r="B578" t="s">
        <v>112</v>
      </c>
      <c r="C578" s="1" t="s">
        <v>489</v>
      </c>
      <c r="D578" t="s">
        <v>27</v>
      </c>
      <c r="E578" s="2">
        <v>45840</v>
      </c>
      <c r="F578" s="2">
        <v>45840</v>
      </c>
      <c r="G578" s="3">
        <v>57</v>
      </c>
      <c r="H578" s="4" t="s">
        <v>250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608</v>
      </c>
    </row>
    <row r="579" spans="1:25" hidden="1" x14ac:dyDescent="0.25">
      <c r="A579" s="1" t="s">
        <v>58</v>
      </c>
      <c r="B579" s="1" t="s">
        <v>123</v>
      </c>
      <c r="C579" s="1" t="s">
        <v>27</v>
      </c>
      <c r="D579" t="s">
        <v>27</v>
      </c>
      <c r="E579" s="2">
        <v>45840</v>
      </c>
      <c r="F579" s="2">
        <v>45840</v>
      </c>
      <c r="G579" s="3">
        <v>39</v>
      </c>
      <c r="H579" s="4" t="s">
        <v>180</v>
      </c>
      <c r="I579">
        <v>0</v>
      </c>
      <c r="J579">
        <v>0</v>
      </c>
      <c r="K579">
        <v>0</v>
      </c>
      <c r="L579" s="3">
        <v>0</v>
      </c>
      <c r="M579" s="3">
        <v>0</v>
      </c>
      <c r="N579">
        <v>0</v>
      </c>
      <c r="O579">
        <v>0</v>
      </c>
      <c r="P579">
        <v>0</v>
      </c>
      <c r="Q579">
        <v>0</v>
      </c>
      <c r="R579" s="3">
        <v>0</v>
      </c>
      <c r="S579" s="3">
        <v>0</v>
      </c>
      <c r="T579">
        <v>0</v>
      </c>
      <c r="U579">
        <v>0</v>
      </c>
      <c r="V579" s="3">
        <v>0</v>
      </c>
      <c r="W579" s="3">
        <v>0</v>
      </c>
      <c r="X579">
        <v>0</v>
      </c>
      <c r="Y579" t="s">
        <v>550</v>
      </c>
    </row>
    <row r="580" spans="1:25" hidden="1" x14ac:dyDescent="0.25">
      <c r="A580" t="s">
        <v>27</v>
      </c>
      <c r="B580" s="1" t="s">
        <v>98</v>
      </c>
      <c r="C580" s="1" t="s">
        <v>44</v>
      </c>
      <c r="D580" t="s">
        <v>27</v>
      </c>
      <c r="E580" s="2">
        <v>45840</v>
      </c>
      <c r="F580" s="2">
        <v>45840</v>
      </c>
      <c r="G580" s="3">
        <v>40</v>
      </c>
      <c r="H580" s="4" t="s">
        <v>180</v>
      </c>
      <c r="I580">
        <v>0</v>
      </c>
      <c r="J580">
        <v>0</v>
      </c>
      <c r="K580">
        <v>0</v>
      </c>
      <c r="L580" s="3">
        <v>0</v>
      </c>
      <c r="M580" s="3">
        <v>0</v>
      </c>
      <c r="N580">
        <v>0</v>
      </c>
      <c r="O580">
        <v>0</v>
      </c>
      <c r="P580">
        <v>0</v>
      </c>
      <c r="Q580">
        <v>0</v>
      </c>
      <c r="R580" s="3">
        <v>0</v>
      </c>
      <c r="S580" s="3">
        <v>0</v>
      </c>
      <c r="T580">
        <v>0</v>
      </c>
      <c r="U580">
        <v>0</v>
      </c>
      <c r="V580" s="3">
        <v>0</v>
      </c>
      <c r="W580" s="3">
        <v>0</v>
      </c>
      <c r="X580">
        <v>0</v>
      </c>
      <c r="Y580" t="s">
        <v>550</v>
      </c>
    </row>
    <row r="581" spans="1:25" hidden="1" x14ac:dyDescent="0.25">
      <c r="A581" s="14" t="s">
        <v>25</v>
      </c>
      <c r="B581" s="14" t="s">
        <v>96</v>
      </c>
      <c r="C581" s="14" t="s">
        <v>26</v>
      </c>
      <c r="D581" t="s">
        <v>27</v>
      </c>
      <c r="E581" s="2">
        <v>45841</v>
      </c>
      <c r="F581" s="2">
        <v>45841</v>
      </c>
      <c r="G581" s="3">
        <v>42</v>
      </c>
      <c r="H581" s="4" t="s">
        <v>28</v>
      </c>
      <c r="I581">
        <v>64</v>
      </c>
      <c r="J581">
        <v>0</v>
      </c>
      <c r="K581">
        <v>0</v>
      </c>
      <c r="L581" s="3">
        <v>1</v>
      </c>
      <c r="M581" s="3">
        <v>0</v>
      </c>
      <c r="N581">
        <v>0</v>
      </c>
      <c r="O581">
        <v>0</v>
      </c>
      <c r="P581">
        <v>0</v>
      </c>
      <c r="Q581">
        <v>0</v>
      </c>
      <c r="R581" s="3">
        <v>0</v>
      </c>
      <c r="S581" s="3">
        <v>0</v>
      </c>
      <c r="T581">
        <v>0</v>
      </c>
      <c r="U581">
        <v>0</v>
      </c>
      <c r="V581" s="3">
        <v>0</v>
      </c>
      <c r="W581" s="3">
        <v>0</v>
      </c>
      <c r="X581">
        <v>0</v>
      </c>
      <c r="Y581" t="s">
        <v>609</v>
      </c>
    </row>
    <row r="582" spans="1:25" hidden="1" x14ac:dyDescent="0.25">
      <c r="A582" s="14" t="s">
        <v>56</v>
      </c>
      <c r="B582" s="14" t="s">
        <v>98</v>
      </c>
      <c r="C582" s="14" t="s">
        <v>37</v>
      </c>
      <c r="D582" t="s">
        <v>27</v>
      </c>
      <c r="E582" s="2">
        <v>45841</v>
      </c>
      <c r="F582" s="2">
        <v>45841</v>
      </c>
      <c r="G582" s="3">
        <v>48</v>
      </c>
      <c r="H582" s="4" t="s">
        <v>28</v>
      </c>
      <c r="I582">
        <v>72</v>
      </c>
      <c r="J582">
        <v>0</v>
      </c>
      <c r="K582">
        <v>0</v>
      </c>
      <c r="L582" s="3">
        <v>1</v>
      </c>
      <c r="M582" s="3">
        <v>0</v>
      </c>
      <c r="N582">
        <v>0</v>
      </c>
      <c r="O582">
        <v>0</v>
      </c>
      <c r="P582">
        <v>0</v>
      </c>
      <c r="Q582">
        <v>0</v>
      </c>
      <c r="R582" s="3">
        <v>0</v>
      </c>
      <c r="S582" s="3">
        <v>0</v>
      </c>
      <c r="T582">
        <v>0</v>
      </c>
      <c r="U582">
        <v>0</v>
      </c>
      <c r="V582" s="3">
        <v>0</v>
      </c>
      <c r="W582" s="3">
        <v>0</v>
      </c>
      <c r="X582">
        <v>0</v>
      </c>
      <c r="Y582" t="s">
        <v>610</v>
      </c>
    </row>
    <row r="583" spans="1:25" hidden="1" x14ac:dyDescent="0.25">
      <c r="A583" s="14" t="s">
        <v>29</v>
      </c>
      <c r="B583" s="14" t="s">
        <v>100</v>
      </c>
      <c r="C583" s="14" t="s">
        <v>245</v>
      </c>
      <c r="D583" t="s">
        <v>27</v>
      </c>
      <c r="E583" s="2">
        <v>45841</v>
      </c>
      <c r="F583" s="2">
        <v>45841</v>
      </c>
      <c r="G583" s="3">
        <v>59</v>
      </c>
      <c r="H583" s="4" t="s">
        <v>28</v>
      </c>
      <c r="I583">
        <v>49</v>
      </c>
      <c r="J583">
        <v>0</v>
      </c>
      <c r="K583">
        <v>0</v>
      </c>
      <c r="L583" s="3">
        <v>0</v>
      </c>
      <c r="M583" s="3">
        <v>0</v>
      </c>
      <c r="N583">
        <v>0</v>
      </c>
      <c r="O583">
        <v>0</v>
      </c>
      <c r="P583">
        <v>0</v>
      </c>
      <c r="Q583">
        <v>0</v>
      </c>
      <c r="R583" s="3">
        <v>0</v>
      </c>
      <c r="S583" s="3">
        <v>0</v>
      </c>
      <c r="T583">
        <v>0</v>
      </c>
      <c r="U583">
        <v>0</v>
      </c>
      <c r="V583" s="3">
        <v>0</v>
      </c>
      <c r="W583" s="3">
        <v>0</v>
      </c>
      <c r="X583">
        <v>0</v>
      </c>
      <c r="Y583" t="s">
        <v>611</v>
      </c>
    </row>
    <row r="584" spans="1:25" hidden="1" x14ac:dyDescent="0.25">
      <c r="A584" s="14" t="s">
        <v>344</v>
      </c>
      <c r="B584" s="14" t="s">
        <v>102</v>
      </c>
      <c r="C584" s="14" t="s">
        <v>35</v>
      </c>
      <c r="D584" t="s">
        <v>27</v>
      </c>
      <c r="E584" s="2">
        <v>45841</v>
      </c>
      <c r="F584" s="2">
        <v>45841</v>
      </c>
      <c r="G584" s="3">
        <v>27</v>
      </c>
      <c r="H584" s="4" t="s">
        <v>28</v>
      </c>
      <c r="I584">
        <v>54</v>
      </c>
      <c r="J584">
        <v>0</v>
      </c>
      <c r="K584">
        <v>0</v>
      </c>
      <c r="L584" s="3">
        <v>0</v>
      </c>
      <c r="M584" s="3">
        <v>0</v>
      </c>
      <c r="N584">
        <v>0</v>
      </c>
      <c r="O584">
        <v>0</v>
      </c>
      <c r="P584">
        <v>0</v>
      </c>
      <c r="Q584">
        <v>0</v>
      </c>
      <c r="R584" s="3">
        <v>0</v>
      </c>
      <c r="S584" s="3">
        <v>0</v>
      </c>
      <c r="T584">
        <v>0</v>
      </c>
      <c r="U584">
        <v>0</v>
      </c>
      <c r="V584" s="3">
        <v>0</v>
      </c>
      <c r="W584" s="3">
        <v>0</v>
      </c>
      <c r="X584">
        <v>0</v>
      </c>
      <c r="Y584" t="s">
        <v>612</v>
      </c>
    </row>
    <row r="585" spans="1:25" hidden="1" x14ac:dyDescent="0.25">
      <c r="A585" s="14" t="s">
        <v>31</v>
      </c>
      <c r="B585" s="14" t="s">
        <v>104</v>
      </c>
      <c r="C585" s="14" t="s">
        <v>32</v>
      </c>
      <c r="D585" t="s">
        <v>27</v>
      </c>
      <c r="E585" s="2">
        <v>45841</v>
      </c>
      <c r="F585" s="2">
        <v>45841</v>
      </c>
      <c r="G585" s="3">
        <v>34</v>
      </c>
      <c r="H585" s="4" t="s">
        <v>28</v>
      </c>
      <c r="I585">
        <v>75</v>
      </c>
      <c r="J585">
        <v>0</v>
      </c>
      <c r="K585">
        <v>0</v>
      </c>
      <c r="L585" s="3">
        <v>0</v>
      </c>
      <c r="M585" s="3">
        <v>0</v>
      </c>
      <c r="N585">
        <v>0</v>
      </c>
      <c r="O585">
        <v>0</v>
      </c>
      <c r="P585">
        <v>0</v>
      </c>
      <c r="Q585">
        <v>50</v>
      </c>
      <c r="R585" s="3">
        <v>0</v>
      </c>
      <c r="S585" s="3">
        <v>0</v>
      </c>
      <c r="T585">
        <v>0</v>
      </c>
      <c r="U585">
        <v>0</v>
      </c>
      <c r="V585" s="3">
        <v>0</v>
      </c>
      <c r="W585" s="3">
        <v>0</v>
      </c>
      <c r="X585">
        <v>0</v>
      </c>
      <c r="Y585" t="s">
        <v>613</v>
      </c>
    </row>
    <row r="586" spans="1:25" hidden="1" x14ac:dyDescent="0.25">
      <c r="A586" s="14" t="s">
        <v>33</v>
      </c>
      <c r="B586" s="14" t="s">
        <v>106</v>
      </c>
      <c r="C586" s="14" t="s">
        <v>57</v>
      </c>
      <c r="D586" t="s">
        <v>27</v>
      </c>
      <c r="E586" s="2">
        <v>45841</v>
      </c>
      <c r="F586" s="2">
        <v>45841</v>
      </c>
      <c r="G586" s="3">
        <v>24</v>
      </c>
      <c r="H586" s="4" t="s">
        <v>28</v>
      </c>
      <c r="I586">
        <v>39</v>
      </c>
      <c r="J586">
        <v>0</v>
      </c>
      <c r="K586">
        <v>0</v>
      </c>
      <c r="L586" s="3">
        <v>0</v>
      </c>
      <c r="M586" s="3">
        <v>0</v>
      </c>
      <c r="N586">
        <v>0</v>
      </c>
      <c r="O586">
        <v>0</v>
      </c>
      <c r="P586">
        <v>0</v>
      </c>
      <c r="Q586">
        <v>0</v>
      </c>
      <c r="R586" s="3">
        <v>0</v>
      </c>
      <c r="S586" s="3">
        <v>0</v>
      </c>
      <c r="T586">
        <v>0</v>
      </c>
      <c r="U586">
        <v>0</v>
      </c>
      <c r="V586" s="3">
        <v>0</v>
      </c>
      <c r="W586" s="3">
        <v>0</v>
      </c>
      <c r="X586">
        <v>0</v>
      </c>
      <c r="Y586" t="s">
        <v>614</v>
      </c>
    </row>
    <row r="587" spans="1:25" hidden="1" x14ac:dyDescent="0.25">
      <c r="A587" s="14" t="s">
        <v>45</v>
      </c>
      <c r="B587" s="14" t="s">
        <v>598</v>
      </c>
      <c r="C587" s="14" t="s">
        <v>46</v>
      </c>
      <c r="D587" t="s">
        <v>27</v>
      </c>
      <c r="E587" s="2">
        <v>45841</v>
      </c>
      <c r="F587" s="2">
        <v>45841</v>
      </c>
      <c r="G587" s="3">
        <v>54</v>
      </c>
      <c r="H587" s="4" t="s">
        <v>28</v>
      </c>
      <c r="I587">
        <v>38</v>
      </c>
      <c r="J587">
        <v>0</v>
      </c>
      <c r="K587">
        <v>0</v>
      </c>
      <c r="L587" s="3">
        <v>0</v>
      </c>
      <c r="M587" s="3">
        <v>0</v>
      </c>
      <c r="N587">
        <v>0</v>
      </c>
      <c r="O587">
        <v>0</v>
      </c>
      <c r="P587">
        <v>0</v>
      </c>
      <c r="Q587">
        <v>0</v>
      </c>
      <c r="R587" s="3">
        <v>0</v>
      </c>
      <c r="S587" s="3">
        <v>0</v>
      </c>
      <c r="T587">
        <v>0</v>
      </c>
      <c r="U587">
        <v>0</v>
      </c>
      <c r="V587" s="3">
        <v>0</v>
      </c>
      <c r="W587" s="3">
        <v>0</v>
      </c>
      <c r="X587">
        <v>0</v>
      </c>
      <c r="Y587" t="s">
        <v>615</v>
      </c>
    </row>
    <row r="588" spans="1:25" hidden="1" x14ac:dyDescent="0.25">
      <c r="A588" s="14" t="s">
        <v>40</v>
      </c>
      <c r="B588" s="14" t="s">
        <v>110</v>
      </c>
      <c r="C588" s="14" t="s">
        <v>489</v>
      </c>
      <c r="D588" t="s">
        <v>27</v>
      </c>
      <c r="E588" s="2">
        <v>45841</v>
      </c>
      <c r="F588" s="2">
        <v>45841</v>
      </c>
      <c r="G588" s="3">
        <v>55</v>
      </c>
      <c r="H588" s="4" t="s">
        <v>28</v>
      </c>
      <c r="I588">
        <v>48</v>
      </c>
      <c r="J588">
        <v>0</v>
      </c>
      <c r="K588">
        <v>0</v>
      </c>
      <c r="L588" s="3">
        <v>0</v>
      </c>
      <c r="M588" s="3">
        <v>0</v>
      </c>
      <c r="N588">
        <v>1</v>
      </c>
      <c r="O588">
        <v>0</v>
      </c>
      <c r="P588">
        <v>0</v>
      </c>
      <c r="Q588">
        <v>0</v>
      </c>
      <c r="R588" s="3">
        <v>0</v>
      </c>
      <c r="S588" s="3">
        <v>0</v>
      </c>
      <c r="T588">
        <v>0</v>
      </c>
      <c r="U588">
        <v>0</v>
      </c>
      <c r="V588" s="3">
        <v>0</v>
      </c>
      <c r="W588" s="3">
        <v>0</v>
      </c>
      <c r="X588">
        <v>0</v>
      </c>
      <c r="Y588" t="s">
        <v>616</v>
      </c>
    </row>
    <row r="589" spans="1:25" hidden="1" x14ac:dyDescent="0.25">
      <c r="A589" s="14" t="s">
        <v>41</v>
      </c>
      <c r="B589" s="14" t="s">
        <v>112</v>
      </c>
      <c r="C589" s="14" t="s">
        <v>42</v>
      </c>
      <c r="D589" t="s">
        <v>27</v>
      </c>
      <c r="E589" s="2">
        <v>45841</v>
      </c>
      <c r="F589" s="2">
        <v>45841</v>
      </c>
      <c r="G589" s="3">
        <v>34</v>
      </c>
      <c r="H589" s="4" t="s">
        <v>28</v>
      </c>
      <c r="I589">
        <v>45</v>
      </c>
      <c r="J589">
        <v>1</v>
      </c>
      <c r="K589">
        <v>0</v>
      </c>
      <c r="L589" s="3">
        <v>1</v>
      </c>
      <c r="M589" s="3">
        <v>0</v>
      </c>
      <c r="N589">
        <v>0</v>
      </c>
      <c r="O589">
        <v>0</v>
      </c>
      <c r="P589">
        <v>0</v>
      </c>
      <c r="Q589">
        <v>0</v>
      </c>
      <c r="R589" s="3">
        <v>0</v>
      </c>
      <c r="S589" s="3">
        <v>0</v>
      </c>
      <c r="T589">
        <v>0</v>
      </c>
      <c r="U589">
        <v>0</v>
      </c>
      <c r="V589" s="3">
        <v>0</v>
      </c>
      <c r="W589" s="3">
        <v>0</v>
      </c>
      <c r="X589">
        <v>0</v>
      </c>
      <c r="Y589" t="s">
        <v>617</v>
      </c>
    </row>
    <row r="590" spans="1:25" hidden="1" x14ac:dyDescent="0.25">
      <c r="A590" s="14" t="s">
        <v>43</v>
      </c>
      <c r="B590" s="14" t="s">
        <v>114</v>
      </c>
      <c r="C590" t="s">
        <v>27</v>
      </c>
      <c r="D590" t="s">
        <v>27</v>
      </c>
      <c r="E590" s="2">
        <v>45841</v>
      </c>
      <c r="F590" s="2">
        <v>45841</v>
      </c>
      <c r="G590" s="3">
        <v>25</v>
      </c>
      <c r="H590" s="4" t="s">
        <v>28</v>
      </c>
      <c r="I590">
        <v>56</v>
      </c>
      <c r="J590">
        <v>0</v>
      </c>
      <c r="K590">
        <v>0</v>
      </c>
      <c r="L590" s="3">
        <v>1</v>
      </c>
      <c r="M590" s="3">
        <v>0</v>
      </c>
      <c r="N590">
        <v>0</v>
      </c>
      <c r="O590">
        <v>0</v>
      </c>
      <c r="P590">
        <v>0</v>
      </c>
      <c r="Q590">
        <v>0</v>
      </c>
      <c r="R590" s="3">
        <v>0</v>
      </c>
      <c r="S590" s="3">
        <v>0</v>
      </c>
      <c r="T590">
        <v>0</v>
      </c>
      <c r="U590">
        <v>0</v>
      </c>
      <c r="V590" s="3">
        <v>0</v>
      </c>
      <c r="W590" s="3">
        <v>0</v>
      </c>
      <c r="X590">
        <v>0</v>
      </c>
      <c r="Y590" t="s">
        <v>618</v>
      </c>
    </row>
    <row r="591" spans="1:25" hidden="1" x14ac:dyDescent="0.25">
      <c r="A591" s="14" t="s">
        <v>36</v>
      </c>
      <c r="B591" s="14" t="s">
        <v>114</v>
      </c>
      <c r="C591" t="s">
        <v>27</v>
      </c>
      <c r="D591" t="s">
        <v>27</v>
      </c>
      <c r="E591" s="2">
        <v>45841</v>
      </c>
      <c r="F591" s="2">
        <v>45841</v>
      </c>
      <c r="G591" s="3">
        <v>25</v>
      </c>
      <c r="H591" s="4" t="s">
        <v>28</v>
      </c>
      <c r="I591">
        <v>56</v>
      </c>
      <c r="J591">
        <v>0</v>
      </c>
      <c r="K591">
        <v>0</v>
      </c>
      <c r="L591" s="3">
        <v>1</v>
      </c>
      <c r="M591" s="3">
        <v>0</v>
      </c>
      <c r="N591">
        <v>0</v>
      </c>
      <c r="O591">
        <v>0</v>
      </c>
      <c r="P591">
        <v>0</v>
      </c>
      <c r="Q591">
        <v>0</v>
      </c>
      <c r="R591" s="3">
        <v>0</v>
      </c>
      <c r="S591" s="3">
        <v>0</v>
      </c>
      <c r="T591">
        <v>0</v>
      </c>
      <c r="U591">
        <v>0</v>
      </c>
      <c r="V591" s="3">
        <v>0</v>
      </c>
      <c r="W591" s="3">
        <v>0</v>
      </c>
      <c r="X591">
        <v>0</v>
      </c>
      <c r="Y591" t="s">
        <v>618</v>
      </c>
    </row>
    <row r="592" spans="1:25" hidden="1" x14ac:dyDescent="0.25">
      <c r="A592" s="14" t="s">
        <v>49</v>
      </c>
      <c r="B592" s="14" t="s">
        <v>118</v>
      </c>
      <c r="C592" s="14" t="s">
        <v>50</v>
      </c>
      <c r="D592" t="s">
        <v>27</v>
      </c>
      <c r="E592" s="2">
        <v>45841</v>
      </c>
      <c r="F592" s="2">
        <v>45841</v>
      </c>
      <c r="G592" s="3">
        <v>21</v>
      </c>
      <c r="H592" s="4" t="s">
        <v>28</v>
      </c>
      <c r="I592">
        <v>35</v>
      </c>
      <c r="J592">
        <v>0</v>
      </c>
      <c r="K592">
        <v>0</v>
      </c>
      <c r="L592" s="3">
        <v>1</v>
      </c>
      <c r="M592" s="3">
        <v>1</v>
      </c>
      <c r="N592">
        <v>0</v>
      </c>
      <c r="O592">
        <v>1</v>
      </c>
      <c r="P592">
        <v>0</v>
      </c>
      <c r="Q592">
        <v>35</v>
      </c>
      <c r="R592" s="3">
        <v>0</v>
      </c>
      <c r="S592" s="3">
        <v>0</v>
      </c>
      <c r="T592">
        <v>0</v>
      </c>
      <c r="U592">
        <v>0</v>
      </c>
      <c r="V592" s="3">
        <v>0</v>
      </c>
      <c r="W592" s="3">
        <v>0</v>
      </c>
      <c r="X592">
        <v>0</v>
      </c>
      <c r="Y592" t="s">
        <v>619</v>
      </c>
    </row>
    <row r="593" spans="1:25" hidden="1" x14ac:dyDescent="0.25">
      <c r="A593" s="14" t="s">
        <v>51</v>
      </c>
      <c r="B593" s="14" t="s">
        <v>120</v>
      </c>
      <c r="C593" s="14" t="s">
        <v>55</v>
      </c>
      <c r="D593" t="s">
        <v>27</v>
      </c>
      <c r="E593" s="2">
        <v>45841</v>
      </c>
      <c r="F593" s="2">
        <v>45841</v>
      </c>
      <c r="G593" s="3">
        <v>126</v>
      </c>
      <c r="H593" s="4" t="s">
        <v>28</v>
      </c>
      <c r="I593">
        <v>40</v>
      </c>
      <c r="J593">
        <v>0</v>
      </c>
      <c r="K593">
        <v>0</v>
      </c>
      <c r="L593" s="3">
        <v>0</v>
      </c>
      <c r="M593" s="3">
        <v>0</v>
      </c>
      <c r="N593">
        <v>1</v>
      </c>
      <c r="O593">
        <v>0</v>
      </c>
      <c r="P593">
        <v>0</v>
      </c>
      <c r="Q593">
        <v>0</v>
      </c>
      <c r="R593" s="3">
        <v>0</v>
      </c>
      <c r="S593" s="3">
        <v>0</v>
      </c>
      <c r="T593">
        <v>0</v>
      </c>
      <c r="U593">
        <v>0</v>
      </c>
      <c r="V593" s="3">
        <v>0</v>
      </c>
      <c r="W593" s="3">
        <v>0</v>
      </c>
      <c r="X593">
        <v>0</v>
      </c>
      <c r="Y593" t="s">
        <v>620</v>
      </c>
    </row>
    <row r="594" spans="1:25" hidden="1" x14ac:dyDescent="0.25">
      <c r="A594" s="14" t="s">
        <v>53</v>
      </c>
      <c r="B594" s="14" t="s">
        <v>142</v>
      </c>
      <c r="C594" s="14" t="s">
        <v>39</v>
      </c>
      <c r="D594" t="s">
        <v>27</v>
      </c>
      <c r="E594" s="2">
        <v>45841</v>
      </c>
      <c r="F594" s="2">
        <v>45841</v>
      </c>
      <c r="G594" s="3">
        <v>59</v>
      </c>
      <c r="H594" s="4" t="s">
        <v>28</v>
      </c>
      <c r="I594">
        <v>21</v>
      </c>
      <c r="J594">
        <v>0</v>
      </c>
      <c r="K594">
        <v>0</v>
      </c>
      <c r="L594" s="3">
        <v>1</v>
      </c>
      <c r="M594" s="3">
        <v>0</v>
      </c>
      <c r="N594">
        <v>0</v>
      </c>
      <c r="O594">
        <v>0</v>
      </c>
      <c r="P594">
        <v>0</v>
      </c>
      <c r="Q594">
        <v>21</v>
      </c>
      <c r="R594" s="3">
        <v>0</v>
      </c>
      <c r="S594" s="3">
        <v>0</v>
      </c>
      <c r="T594">
        <v>0</v>
      </c>
      <c r="U594">
        <v>0</v>
      </c>
      <c r="V594" s="3">
        <v>0</v>
      </c>
      <c r="W594" s="3">
        <v>0</v>
      </c>
      <c r="X594">
        <v>0</v>
      </c>
      <c r="Y594" t="s">
        <v>621</v>
      </c>
    </row>
    <row r="595" spans="1:25" hidden="1" x14ac:dyDescent="0.25">
      <c r="A595" s="14" t="s">
        <v>54</v>
      </c>
      <c r="B595" s="14" t="s">
        <v>122</v>
      </c>
      <c r="C595" s="14" t="s">
        <v>52</v>
      </c>
      <c r="D595" t="s">
        <v>27</v>
      </c>
      <c r="E595" s="2">
        <v>45841</v>
      </c>
      <c r="F595" s="2">
        <v>45841</v>
      </c>
      <c r="G595" s="3">
        <v>34</v>
      </c>
      <c r="H595" s="15" t="s">
        <v>28</v>
      </c>
      <c r="I595">
        <v>29</v>
      </c>
      <c r="J595">
        <v>0</v>
      </c>
      <c r="K595">
        <v>0</v>
      </c>
      <c r="L595" s="3">
        <v>0</v>
      </c>
      <c r="M595" s="3">
        <v>0</v>
      </c>
      <c r="N595">
        <v>0</v>
      </c>
      <c r="O595">
        <v>0</v>
      </c>
      <c r="P595">
        <v>0</v>
      </c>
      <c r="Q595">
        <v>0</v>
      </c>
      <c r="R595" s="3">
        <v>0</v>
      </c>
      <c r="S595" s="3">
        <v>0</v>
      </c>
      <c r="T595">
        <v>0</v>
      </c>
      <c r="U595">
        <v>0</v>
      </c>
      <c r="V595" s="3">
        <v>0</v>
      </c>
      <c r="W595" s="3">
        <v>0</v>
      </c>
      <c r="X595">
        <v>0</v>
      </c>
      <c r="Y595" t="s">
        <v>607</v>
      </c>
    </row>
    <row r="596" spans="1:25" hidden="1" x14ac:dyDescent="0.25">
      <c r="A596" s="14" t="s">
        <v>34</v>
      </c>
      <c r="B596" s="14" t="s">
        <v>123</v>
      </c>
      <c r="C596" s="14" t="s">
        <v>27</v>
      </c>
      <c r="D596" t="s">
        <v>27</v>
      </c>
      <c r="E596" s="2">
        <v>45841</v>
      </c>
      <c r="F596" s="2">
        <v>45841</v>
      </c>
      <c r="G596" s="3">
        <v>35</v>
      </c>
      <c r="H596" s="4" t="s">
        <v>959</v>
      </c>
      <c r="I596">
        <v>0</v>
      </c>
      <c r="J596">
        <v>0</v>
      </c>
      <c r="K596">
        <v>0</v>
      </c>
      <c r="L596" s="3">
        <v>0</v>
      </c>
      <c r="M596" s="3">
        <v>0</v>
      </c>
      <c r="N596">
        <v>0</v>
      </c>
      <c r="O596">
        <v>0</v>
      </c>
      <c r="P596">
        <v>0</v>
      </c>
      <c r="Q596">
        <v>0</v>
      </c>
      <c r="R596" s="3">
        <v>0</v>
      </c>
      <c r="S596" s="3">
        <v>0</v>
      </c>
      <c r="T596">
        <v>0</v>
      </c>
      <c r="U596">
        <v>0</v>
      </c>
      <c r="V596" s="3">
        <v>0</v>
      </c>
      <c r="W596" s="3">
        <v>0</v>
      </c>
      <c r="X596" s="3">
        <v>0</v>
      </c>
      <c r="Y596" t="s">
        <v>607</v>
      </c>
    </row>
    <row r="597" spans="1:25" hidden="1" x14ac:dyDescent="0.25">
      <c r="A597" s="14" t="s">
        <v>48</v>
      </c>
      <c r="B597" s="14" t="s">
        <v>98</v>
      </c>
      <c r="C597" s="14" t="s">
        <v>27</v>
      </c>
      <c r="D597" t="s">
        <v>27</v>
      </c>
      <c r="E597" s="2">
        <v>45841</v>
      </c>
      <c r="F597" s="2">
        <v>45841</v>
      </c>
      <c r="G597" s="3">
        <v>36</v>
      </c>
      <c r="H597" s="4" t="s">
        <v>959</v>
      </c>
      <c r="I597">
        <v>0</v>
      </c>
      <c r="J597">
        <v>0</v>
      </c>
      <c r="K597">
        <v>0</v>
      </c>
      <c r="L597" s="3">
        <v>0</v>
      </c>
      <c r="M597" s="3">
        <v>0</v>
      </c>
      <c r="N597">
        <v>0</v>
      </c>
      <c r="O597">
        <v>0</v>
      </c>
      <c r="P597">
        <v>0</v>
      </c>
      <c r="Q597">
        <v>0</v>
      </c>
      <c r="R597" s="3">
        <v>0</v>
      </c>
      <c r="S597" s="3">
        <v>0</v>
      </c>
      <c r="T597">
        <v>0</v>
      </c>
      <c r="U597">
        <v>0</v>
      </c>
      <c r="V597" s="3">
        <v>0</v>
      </c>
      <c r="W597" s="3">
        <v>0</v>
      </c>
      <c r="X597" s="3">
        <v>0</v>
      </c>
      <c r="Y597" t="s">
        <v>607</v>
      </c>
    </row>
    <row r="598" spans="1:25" hidden="1" x14ac:dyDescent="0.25">
      <c r="A598" s="14" t="s">
        <v>47</v>
      </c>
      <c r="B598" s="14" t="s">
        <v>125</v>
      </c>
      <c r="C598" s="14" t="s">
        <v>27</v>
      </c>
      <c r="D598" t="s">
        <v>27</v>
      </c>
      <c r="E598" s="2">
        <v>45841</v>
      </c>
      <c r="F598" s="2">
        <v>45841</v>
      </c>
      <c r="G598" s="3">
        <v>37</v>
      </c>
      <c r="H598" s="4" t="s">
        <v>250</v>
      </c>
      <c r="I598">
        <v>0</v>
      </c>
      <c r="J598">
        <v>0</v>
      </c>
      <c r="K598">
        <v>0</v>
      </c>
      <c r="L598" s="3">
        <v>0</v>
      </c>
      <c r="M598" s="3">
        <v>0</v>
      </c>
      <c r="N598">
        <v>0</v>
      </c>
      <c r="O598">
        <v>0</v>
      </c>
      <c r="P598">
        <v>0</v>
      </c>
      <c r="Q598">
        <v>0</v>
      </c>
      <c r="R598" s="3">
        <v>0</v>
      </c>
      <c r="S598" s="3">
        <v>0</v>
      </c>
      <c r="T598">
        <v>0</v>
      </c>
      <c r="U598">
        <v>0</v>
      </c>
      <c r="V598" s="3">
        <v>0</v>
      </c>
      <c r="W598" s="3">
        <v>0</v>
      </c>
      <c r="X598" s="3">
        <v>0</v>
      </c>
      <c r="Y598" t="s">
        <v>607</v>
      </c>
    </row>
    <row r="599" spans="1:25" hidden="1" x14ac:dyDescent="0.25">
      <c r="A599" s="1" t="s">
        <v>58</v>
      </c>
      <c r="B599" s="1" t="s">
        <v>123</v>
      </c>
      <c r="C599" s="1" t="s">
        <v>27</v>
      </c>
      <c r="D599" t="s">
        <v>27</v>
      </c>
      <c r="E599" s="2">
        <v>45841</v>
      </c>
      <c r="F599" s="2">
        <v>45841</v>
      </c>
      <c r="G599" s="3">
        <v>39</v>
      </c>
      <c r="H599" s="4" t="s">
        <v>180</v>
      </c>
      <c r="I599">
        <v>0</v>
      </c>
      <c r="J599">
        <v>0</v>
      </c>
      <c r="K599">
        <v>0</v>
      </c>
      <c r="L599" s="3">
        <v>0</v>
      </c>
      <c r="M599" s="3">
        <v>0</v>
      </c>
      <c r="N599">
        <v>0</v>
      </c>
      <c r="O599">
        <v>0</v>
      </c>
      <c r="P599">
        <v>0</v>
      </c>
      <c r="Q599">
        <v>0</v>
      </c>
      <c r="R599" s="3">
        <v>0</v>
      </c>
      <c r="S599" s="3">
        <v>0</v>
      </c>
      <c r="T599">
        <v>0</v>
      </c>
      <c r="U599">
        <v>0</v>
      </c>
      <c r="V599" s="3">
        <v>0</v>
      </c>
      <c r="W599" s="3">
        <v>0</v>
      </c>
      <c r="X599">
        <v>0</v>
      </c>
      <c r="Y599" t="s">
        <v>550</v>
      </c>
    </row>
    <row r="600" spans="1:25" hidden="1" x14ac:dyDescent="0.25">
      <c r="A600" t="s">
        <v>27</v>
      </c>
      <c r="B600" s="1" t="s">
        <v>98</v>
      </c>
      <c r="C600" s="1" t="s">
        <v>44</v>
      </c>
      <c r="D600" t="s">
        <v>27</v>
      </c>
      <c r="E600" s="2">
        <v>45841</v>
      </c>
      <c r="F600" s="2">
        <v>45841</v>
      </c>
      <c r="G600" s="3">
        <v>40</v>
      </c>
      <c r="H600" s="4" t="s">
        <v>180</v>
      </c>
      <c r="I600">
        <v>0</v>
      </c>
      <c r="J600">
        <v>0</v>
      </c>
      <c r="K600">
        <v>0</v>
      </c>
      <c r="L600" s="3">
        <v>0</v>
      </c>
      <c r="M600" s="3">
        <v>0</v>
      </c>
      <c r="N600">
        <v>0</v>
      </c>
      <c r="O600">
        <v>0</v>
      </c>
      <c r="P600">
        <v>0</v>
      </c>
      <c r="Q600">
        <v>0</v>
      </c>
      <c r="R600" s="3">
        <v>0</v>
      </c>
      <c r="S600" s="3">
        <v>0</v>
      </c>
      <c r="T600">
        <v>0</v>
      </c>
      <c r="U600">
        <v>0</v>
      </c>
      <c r="V600" s="3">
        <v>0</v>
      </c>
      <c r="W600" s="3">
        <v>0</v>
      </c>
      <c r="X600">
        <v>0</v>
      </c>
      <c r="Y600" t="s">
        <v>550</v>
      </c>
    </row>
    <row r="601" spans="1:25" hidden="1" x14ac:dyDescent="0.25">
      <c r="A601" s="1" t="s">
        <v>25</v>
      </c>
      <c r="B601" s="1" t="s">
        <v>96</v>
      </c>
      <c r="C601" s="1" t="s">
        <v>26</v>
      </c>
      <c r="D601" t="s">
        <v>27</v>
      </c>
      <c r="E601" s="2">
        <v>45842</v>
      </c>
      <c r="F601" s="2">
        <v>45842</v>
      </c>
      <c r="G601" s="3">
        <v>50</v>
      </c>
      <c r="H601" s="4" t="s">
        <v>28</v>
      </c>
      <c r="I601">
        <v>54</v>
      </c>
      <c r="J601">
        <v>0</v>
      </c>
      <c r="K601">
        <v>0</v>
      </c>
      <c r="L601" s="3">
        <v>0</v>
      </c>
      <c r="M601" s="3">
        <v>0</v>
      </c>
      <c r="N601">
        <v>1</v>
      </c>
      <c r="O601">
        <v>0</v>
      </c>
      <c r="P601">
        <v>0</v>
      </c>
      <c r="Q601">
        <v>0</v>
      </c>
      <c r="R601" s="3">
        <v>0</v>
      </c>
      <c r="S601" s="3">
        <v>0</v>
      </c>
      <c r="T601">
        <v>0</v>
      </c>
      <c r="U601">
        <v>0</v>
      </c>
      <c r="V601" s="3">
        <v>0</v>
      </c>
      <c r="W601" s="3">
        <v>0</v>
      </c>
      <c r="X601">
        <v>0</v>
      </c>
      <c r="Y601" t="s">
        <v>622</v>
      </c>
    </row>
    <row r="602" spans="1:25" hidden="1" x14ac:dyDescent="0.25">
      <c r="A602" s="1" t="s">
        <v>56</v>
      </c>
      <c r="B602" s="1" t="s">
        <v>98</v>
      </c>
      <c r="C602" s="1" t="s">
        <v>37</v>
      </c>
      <c r="D602" t="s">
        <v>27</v>
      </c>
      <c r="E602" s="2">
        <v>45842</v>
      </c>
      <c r="F602" s="2">
        <v>45842</v>
      </c>
      <c r="G602" s="3">
        <v>31</v>
      </c>
      <c r="H602" s="4" t="s">
        <v>28</v>
      </c>
      <c r="I602">
        <v>84</v>
      </c>
      <c r="J602">
        <v>0</v>
      </c>
      <c r="K602">
        <v>0</v>
      </c>
      <c r="L602" s="3">
        <v>1</v>
      </c>
      <c r="M602" s="3">
        <v>0</v>
      </c>
      <c r="N602">
        <v>0</v>
      </c>
      <c r="O602">
        <v>0</v>
      </c>
      <c r="P602">
        <v>0</v>
      </c>
      <c r="Q602">
        <v>0</v>
      </c>
      <c r="R602" s="3">
        <v>0</v>
      </c>
      <c r="S602" s="3">
        <v>0</v>
      </c>
      <c r="T602">
        <v>0</v>
      </c>
      <c r="U602">
        <v>0</v>
      </c>
      <c r="V602" s="3">
        <v>0</v>
      </c>
      <c r="W602" s="3">
        <v>0</v>
      </c>
      <c r="X602">
        <v>0</v>
      </c>
      <c r="Y602" t="s">
        <v>623</v>
      </c>
    </row>
    <row r="603" spans="1:25" hidden="1" x14ac:dyDescent="0.25">
      <c r="A603" s="1" t="s">
        <v>29</v>
      </c>
      <c r="B603" s="1" t="s">
        <v>100</v>
      </c>
      <c r="C603" s="1" t="s">
        <v>245</v>
      </c>
      <c r="D603" t="s">
        <v>27</v>
      </c>
      <c r="E603" s="2">
        <v>45842</v>
      </c>
      <c r="F603" s="2">
        <v>45842</v>
      </c>
      <c r="G603" s="3">
        <v>67</v>
      </c>
      <c r="H603" s="4" t="s">
        <v>28</v>
      </c>
      <c r="I603">
        <v>67</v>
      </c>
      <c r="J603">
        <v>0</v>
      </c>
      <c r="K603">
        <v>0</v>
      </c>
      <c r="L603" s="3">
        <v>1</v>
      </c>
      <c r="M603" s="3">
        <v>0</v>
      </c>
      <c r="N603">
        <v>0</v>
      </c>
      <c r="O603">
        <v>0</v>
      </c>
      <c r="P603">
        <v>0</v>
      </c>
      <c r="Q603">
        <v>0</v>
      </c>
      <c r="R603" s="3">
        <v>0</v>
      </c>
      <c r="S603" s="3">
        <v>0</v>
      </c>
      <c r="T603">
        <v>0</v>
      </c>
      <c r="U603">
        <v>0</v>
      </c>
      <c r="V603" s="3">
        <v>0</v>
      </c>
      <c r="W603" s="3">
        <v>0</v>
      </c>
      <c r="X603">
        <v>0</v>
      </c>
      <c r="Y603" t="s">
        <v>624</v>
      </c>
    </row>
    <row r="604" spans="1:25" hidden="1" x14ac:dyDescent="0.25">
      <c r="A604" s="1" t="s">
        <v>344</v>
      </c>
      <c r="B604" s="1" t="s">
        <v>102</v>
      </c>
      <c r="C604" s="1" t="s">
        <v>35</v>
      </c>
      <c r="D604" t="s">
        <v>27</v>
      </c>
      <c r="E604" s="2">
        <v>45842</v>
      </c>
      <c r="F604" s="2">
        <v>45842</v>
      </c>
      <c r="G604" s="3">
        <v>27</v>
      </c>
      <c r="H604" s="4" t="s">
        <v>28</v>
      </c>
      <c r="I604">
        <v>66</v>
      </c>
      <c r="J604">
        <v>0</v>
      </c>
      <c r="K604">
        <v>0</v>
      </c>
      <c r="L604" s="3">
        <v>0</v>
      </c>
      <c r="M604" s="3">
        <v>0</v>
      </c>
      <c r="N604">
        <v>0</v>
      </c>
      <c r="O604">
        <v>0</v>
      </c>
      <c r="P604">
        <v>0</v>
      </c>
      <c r="Q604">
        <v>0</v>
      </c>
      <c r="R604" s="3">
        <v>0</v>
      </c>
      <c r="S604" s="3">
        <v>0</v>
      </c>
      <c r="T604">
        <v>0</v>
      </c>
      <c r="U604">
        <v>0</v>
      </c>
      <c r="V604" s="3">
        <v>0</v>
      </c>
      <c r="W604" s="3">
        <v>0</v>
      </c>
      <c r="X604">
        <v>0</v>
      </c>
      <c r="Y604" t="s">
        <v>612</v>
      </c>
    </row>
    <row r="605" spans="1:25" hidden="1" x14ac:dyDescent="0.25">
      <c r="A605" s="1" t="s">
        <v>31</v>
      </c>
      <c r="B605" s="1" t="s">
        <v>104</v>
      </c>
      <c r="C605" s="1" t="s">
        <v>32</v>
      </c>
      <c r="D605" t="s">
        <v>27</v>
      </c>
      <c r="E605" s="2">
        <v>45842</v>
      </c>
      <c r="F605" s="2">
        <v>45842</v>
      </c>
      <c r="G605" s="3">
        <v>34</v>
      </c>
      <c r="H605" s="4" t="s">
        <v>28</v>
      </c>
      <c r="I605">
        <v>87</v>
      </c>
      <c r="J605">
        <v>0</v>
      </c>
      <c r="K605">
        <v>0</v>
      </c>
      <c r="L605" s="3">
        <v>0</v>
      </c>
      <c r="M605" s="3">
        <v>0</v>
      </c>
      <c r="N605">
        <v>0</v>
      </c>
      <c r="O605">
        <v>0</v>
      </c>
      <c r="P605">
        <v>0</v>
      </c>
      <c r="Q605">
        <v>50</v>
      </c>
      <c r="R605" s="3">
        <v>0</v>
      </c>
      <c r="S605" s="3">
        <v>0</v>
      </c>
      <c r="T605">
        <v>0</v>
      </c>
      <c r="U605">
        <v>0</v>
      </c>
      <c r="V605" s="3">
        <v>0</v>
      </c>
      <c r="W605" s="3">
        <v>0</v>
      </c>
      <c r="X605">
        <v>0</v>
      </c>
      <c r="Y605" t="s">
        <v>625</v>
      </c>
    </row>
    <row r="606" spans="1:25" hidden="1" x14ac:dyDescent="0.25">
      <c r="A606" s="1" t="s">
        <v>33</v>
      </c>
      <c r="B606" s="1" t="s">
        <v>106</v>
      </c>
      <c r="C606" s="1" t="s">
        <v>57</v>
      </c>
      <c r="D606" t="s">
        <v>27</v>
      </c>
      <c r="E606" s="2">
        <v>45842</v>
      </c>
      <c r="F606" s="2">
        <v>45842</v>
      </c>
      <c r="G606" s="3">
        <v>27</v>
      </c>
      <c r="H606" s="4" t="s">
        <v>28</v>
      </c>
      <c r="I606">
        <v>42</v>
      </c>
      <c r="J606">
        <v>0</v>
      </c>
      <c r="K606">
        <v>0</v>
      </c>
      <c r="L606" s="3">
        <v>0</v>
      </c>
      <c r="M606" s="3">
        <v>0</v>
      </c>
      <c r="N606">
        <v>0</v>
      </c>
      <c r="O606">
        <v>0</v>
      </c>
      <c r="P606">
        <v>0</v>
      </c>
      <c r="Q606">
        <v>18</v>
      </c>
      <c r="R606" s="3">
        <v>0</v>
      </c>
      <c r="S606" s="3">
        <v>0</v>
      </c>
      <c r="T606">
        <v>0</v>
      </c>
      <c r="U606">
        <v>0</v>
      </c>
      <c r="V606" s="3">
        <v>0</v>
      </c>
      <c r="W606" s="3">
        <v>0</v>
      </c>
      <c r="X606">
        <v>0</v>
      </c>
      <c r="Y606" t="s">
        <v>626</v>
      </c>
    </row>
    <row r="607" spans="1:25" hidden="1" x14ac:dyDescent="0.25">
      <c r="A607" s="1" t="s">
        <v>45</v>
      </c>
      <c r="B607" s="1" t="s">
        <v>598</v>
      </c>
      <c r="C607" s="1" t="s">
        <v>46</v>
      </c>
      <c r="D607" t="s">
        <v>27</v>
      </c>
      <c r="E607" s="2">
        <v>45842</v>
      </c>
      <c r="F607" s="2">
        <v>45842</v>
      </c>
      <c r="G607" s="3">
        <v>52</v>
      </c>
      <c r="H607" s="4" t="s">
        <v>28</v>
      </c>
      <c r="I607">
        <v>60</v>
      </c>
      <c r="J607">
        <v>0</v>
      </c>
      <c r="K607">
        <v>0</v>
      </c>
      <c r="L607" s="3">
        <v>1</v>
      </c>
      <c r="M607" s="3">
        <v>0</v>
      </c>
      <c r="N607">
        <v>0</v>
      </c>
      <c r="O607">
        <v>0</v>
      </c>
      <c r="P607">
        <v>0</v>
      </c>
      <c r="Q607">
        <v>0</v>
      </c>
      <c r="R607" s="3">
        <v>0</v>
      </c>
      <c r="S607" s="3">
        <v>0</v>
      </c>
      <c r="T607">
        <v>0</v>
      </c>
      <c r="U607">
        <v>0</v>
      </c>
      <c r="V607" s="3">
        <v>0</v>
      </c>
      <c r="W607" s="3">
        <v>0</v>
      </c>
      <c r="X607">
        <v>0</v>
      </c>
      <c r="Y607" t="s">
        <v>627</v>
      </c>
    </row>
    <row r="608" spans="1:25" hidden="1" x14ac:dyDescent="0.25">
      <c r="A608" s="1" t="s">
        <v>34</v>
      </c>
      <c r="B608" s="1" t="s">
        <v>247</v>
      </c>
      <c r="C608" s="1" t="s">
        <v>489</v>
      </c>
      <c r="D608" t="s">
        <v>27</v>
      </c>
      <c r="E608" s="2">
        <v>45842</v>
      </c>
      <c r="F608" s="2">
        <v>45842</v>
      </c>
      <c r="G608" s="3">
        <v>25</v>
      </c>
      <c r="H608" s="4" t="s">
        <v>28</v>
      </c>
      <c r="I608">
        <v>62</v>
      </c>
      <c r="J608">
        <v>0</v>
      </c>
      <c r="K608">
        <v>0</v>
      </c>
      <c r="L608" s="3">
        <v>1</v>
      </c>
      <c r="M608" s="3">
        <v>0</v>
      </c>
      <c r="N608">
        <v>0</v>
      </c>
      <c r="O608">
        <v>0</v>
      </c>
      <c r="P608">
        <v>0</v>
      </c>
      <c r="Q608">
        <v>0</v>
      </c>
      <c r="R608" s="3">
        <v>0</v>
      </c>
      <c r="S608" s="3">
        <v>0</v>
      </c>
      <c r="T608">
        <v>0</v>
      </c>
      <c r="U608">
        <v>0</v>
      </c>
      <c r="V608" s="3">
        <v>0</v>
      </c>
      <c r="W608" s="3">
        <v>0</v>
      </c>
      <c r="X608">
        <v>0</v>
      </c>
      <c r="Y608" t="s">
        <v>628</v>
      </c>
    </row>
    <row r="609" spans="1:25" hidden="1" x14ac:dyDescent="0.25">
      <c r="A609" s="1" t="s">
        <v>38</v>
      </c>
      <c r="B609" s="1" t="s">
        <v>108</v>
      </c>
      <c r="C609" s="1" t="s">
        <v>39</v>
      </c>
      <c r="D609" t="s">
        <v>27</v>
      </c>
      <c r="E609" s="2">
        <v>45842</v>
      </c>
      <c r="F609" s="2">
        <v>45842</v>
      </c>
      <c r="G609" s="3">
        <v>49</v>
      </c>
      <c r="H609" s="4" t="s">
        <v>28</v>
      </c>
      <c r="I609">
        <v>39</v>
      </c>
      <c r="J609">
        <v>0</v>
      </c>
      <c r="K609">
        <v>0</v>
      </c>
      <c r="L609" s="3">
        <v>0</v>
      </c>
      <c r="M609" s="3">
        <v>0</v>
      </c>
      <c r="N609">
        <v>0</v>
      </c>
      <c r="O609">
        <v>0</v>
      </c>
      <c r="P609">
        <v>0</v>
      </c>
      <c r="Q609">
        <v>39</v>
      </c>
      <c r="R609" s="3">
        <v>0</v>
      </c>
      <c r="S609" s="3">
        <v>0</v>
      </c>
      <c r="T609">
        <v>0</v>
      </c>
      <c r="U609">
        <v>0</v>
      </c>
      <c r="V609" s="3">
        <v>0</v>
      </c>
      <c r="W609" s="3">
        <v>0</v>
      </c>
      <c r="X609">
        <v>0</v>
      </c>
      <c r="Y609" t="s">
        <v>629</v>
      </c>
    </row>
    <row r="610" spans="1:25" hidden="1" x14ac:dyDescent="0.25">
      <c r="A610" s="1" t="s">
        <v>40</v>
      </c>
      <c r="B610" s="1" t="s">
        <v>110</v>
      </c>
      <c r="C610" s="1" t="s">
        <v>40</v>
      </c>
      <c r="D610" t="s">
        <v>27</v>
      </c>
      <c r="E610" s="2">
        <v>45842</v>
      </c>
      <c r="F610" s="2">
        <v>45842</v>
      </c>
      <c r="G610" s="3">
        <v>46</v>
      </c>
      <c r="H610" s="4" t="s">
        <v>28</v>
      </c>
      <c r="I610">
        <v>9</v>
      </c>
      <c r="J610">
        <v>0</v>
      </c>
      <c r="K610">
        <v>0</v>
      </c>
      <c r="L610" s="3">
        <v>0</v>
      </c>
      <c r="M610" s="3">
        <v>0</v>
      </c>
      <c r="N610">
        <v>1</v>
      </c>
      <c r="O610">
        <v>0</v>
      </c>
      <c r="P610">
        <v>0</v>
      </c>
      <c r="Q610">
        <v>0</v>
      </c>
      <c r="R610" s="3">
        <v>0</v>
      </c>
      <c r="S610" s="3">
        <v>0</v>
      </c>
      <c r="T610">
        <v>0</v>
      </c>
      <c r="U610">
        <v>0</v>
      </c>
      <c r="V610" s="3">
        <v>0</v>
      </c>
      <c r="W610" s="3">
        <v>0</v>
      </c>
      <c r="X610">
        <v>0</v>
      </c>
      <c r="Y610" t="s">
        <v>630</v>
      </c>
    </row>
    <row r="611" spans="1:25" hidden="1" x14ac:dyDescent="0.25">
      <c r="A611" s="1" t="s">
        <v>41</v>
      </c>
      <c r="B611" s="1" t="s">
        <v>112</v>
      </c>
      <c r="C611" s="1" t="s">
        <v>42</v>
      </c>
      <c r="D611" t="s">
        <v>27</v>
      </c>
      <c r="E611" s="2">
        <v>45842</v>
      </c>
      <c r="F611" s="2">
        <v>45842</v>
      </c>
      <c r="G611" s="3">
        <v>54</v>
      </c>
      <c r="H611" s="4" t="s">
        <v>28</v>
      </c>
      <c r="I611">
        <v>41</v>
      </c>
      <c r="J611">
        <v>0</v>
      </c>
      <c r="K611">
        <v>0</v>
      </c>
      <c r="L611" s="3">
        <v>1</v>
      </c>
      <c r="M611" s="3">
        <v>0</v>
      </c>
      <c r="N611">
        <v>0</v>
      </c>
      <c r="O611">
        <v>0</v>
      </c>
      <c r="P611">
        <v>0</v>
      </c>
      <c r="Q611">
        <v>0</v>
      </c>
      <c r="R611" s="3">
        <v>0</v>
      </c>
      <c r="S611" s="3">
        <v>0</v>
      </c>
      <c r="T611">
        <v>0</v>
      </c>
      <c r="U611">
        <v>0</v>
      </c>
      <c r="V611" s="3">
        <v>0</v>
      </c>
      <c r="W611" s="3">
        <v>0</v>
      </c>
      <c r="X611">
        <v>0</v>
      </c>
      <c r="Y611" t="s">
        <v>631</v>
      </c>
    </row>
    <row r="612" spans="1:25" hidden="1" x14ac:dyDescent="0.25">
      <c r="A612" s="1" t="s">
        <v>43</v>
      </c>
      <c r="B612" s="1" t="s">
        <v>114</v>
      </c>
      <c r="C612" t="s">
        <v>27</v>
      </c>
      <c r="D612" t="s">
        <v>27</v>
      </c>
      <c r="E612" s="2">
        <v>45842</v>
      </c>
      <c r="F612" s="2">
        <v>45842</v>
      </c>
      <c r="G612" s="3">
        <v>24</v>
      </c>
      <c r="H612" s="4" t="s">
        <v>28</v>
      </c>
      <c r="I612">
        <v>69</v>
      </c>
      <c r="J612">
        <v>0</v>
      </c>
      <c r="K612">
        <v>0</v>
      </c>
      <c r="L612" s="3">
        <v>0</v>
      </c>
      <c r="M612" s="3">
        <v>0</v>
      </c>
      <c r="N612">
        <v>0</v>
      </c>
      <c r="O612">
        <v>0</v>
      </c>
      <c r="P612">
        <v>0</v>
      </c>
      <c r="Q612">
        <v>0</v>
      </c>
      <c r="R612" s="3">
        <v>0</v>
      </c>
      <c r="S612" s="3">
        <v>0</v>
      </c>
      <c r="T612">
        <v>0</v>
      </c>
      <c r="U612">
        <v>0</v>
      </c>
      <c r="V612" s="3">
        <v>0</v>
      </c>
      <c r="W612" s="3">
        <v>0</v>
      </c>
      <c r="X612">
        <v>0</v>
      </c>
      <c r="Y612" t="s">
        <v>632</v>
      </c>
    </row>
    <row r="613" spans="1:25" hidden="1" x14ac:dyDescent="0.25">
      <c r="A613" s="1" t="s">
        <v>36</v>
      </c>
      <c r="B613" s="1" t="s">
        <v>114</v>
      </c>
      <c r="C613" t="s">
        <v>27</v>
      </c>
      <c r="D613" t="s">
        <v>27</v>
      </c>
      <c r="E613" s="2">
        <v>45842</v>
      </c>
      <c r="F613" s="2">
        <v>45842</v>
      </c>
      <c r="G613" s="3">
        <v>24</v>
      </c>
      <c r="H613" s="4" t="s">
        <v>28</v>
      </c>
      <c r="I613">
        <v>69</v>
      </c>
      <c r="J613">
        <v>0</v>
      </c>
      <c r="K613">
        <v>0</v>
      </c>
      <c r="L613" s="3">
        <v>0</v>
      </c>
      <c r="M613" s="3">
        <v>0</v>
      </c>
      <c r="N613">
        <v>0</v>
      </c>
      <c r="O613">
        <v>0</v>
      </c>
      <c r="P613">
        <v>0</v>
      </c>
      <c r="Q613">
        <v>0</v>
      </c>
      <c r="R613" s="3">
        <v>0</v>
      </c>
      <c r="S613" s="3">
        <v>0</v>
      </c>
      <c r="T613">
        <v>0</v>
      </c>
      <c r="U613">
        <v>0</v>
      </c>
      <c r="V613" s="3">
        <v>0</v>
      </c>
      <c r="W613" s="3">
        <v>0</v>
      </c>
      <c r="X613">
        <v>0</v>
      </c>
      <c r="Y613" t="s">
        <v>632</v>
      </c>
    </row>
    <row r="614" spans="1:25" hidden="1" x14ac:dyDescent="0.25">
      <c r="A614" s="1" t="s">
        <v>48</v>
      </c>
      <c r="B614" s="1" t="s">
        <v>137</v>
      </c>
      <c r="C614" t="s">
        <v>27</v>
      </c>
      <c r="D614" t="s">
        <v>27</v>
      </c>
      <c r="E614" s="2">
        <v>45842</v>
      </c>
      <c r="F614" s="2">
        <v>45842</v>
      </c>
      <c r="G614" s="5">
        <v>2302</v>
      </c>
      <c r="H614" s="4" t="s">
        <v>28</v>
      </c>
      <c r="I614">
        <v>53</v>
      </c>
      <c r="J614">
        <v>0</v>
      </c>
      <c r="K614">
        <v>0</v>
      </c>
      <c r="L614" s="3">
        <v>0</v>
      </c>
      <c r="M614" s="3">
        <v>0</v>
      </c>
      <c r="N614">
        <v>0</v>
      </c>
      <c r="O614">
        <v>0</v>
      </c>
      <c r="P614">
        <v>0</v>
      </c>
      <c r="Q614">
        <v>0</v>
      </c>
      <c r="R614" s="3">
        <v>0</v>
      </c>
      <c r="S614" s="3">
        <v>0</v>
      </c>
      <c r="T614">
        <v>0</v>
      </c>
      <c r="U614">
        <v>0</v>
      </c>
      <c r="V614" s="3">
        <v>0</v>
      </c>
      <c r="W614" s="3">
        <v>0</v>
      </c>
      <c r="X614">
        <v>0</v>
      </c>
      <c r="Y614" t="s">
        <v>633</v>
      </c>
    </row>
    <row r="615" spans="1:25" hidden="1" x14ac:dyDescent="0.25">
      <c r="A615" s="1" t="s">
        <v>47</v>
      </c>
      <c r="B615" s="1" t="s">
        <v>137</v>
      </c>
      <c r="C615" t="s">
        <v>27</v>
      </c>
      <c r="D615" t="s">
        <v>27</v>
      </c>
      <c r="E615" s="2">
        <v>45842</v>
      </c>
      <c r="F615" s="2">
        <v>45842</v>
      </c>
      <c r="G615" s="5">
        <v>2302</v>
      </c>
      <c r="H615" s="4" t="s">
        <v>28</v>
      </c>
      <c r="I615">
        <v>53</v>
      </c>
      <c r="J615">
        <v>0</v>
      </c>
      <c r="K615">
        <v>0</v>
      </c>
      <c r="L615" s="3">
        <v>0</v>
      </c>
      <c r="M615" s="3">
        <v>0</v>
      </c>
      <c r="N615">
        <v>0</v>
      </c>
      <c r="O615">
        <v>0</v>
      </c>
      <c r="P615">
        <v>0</v>
      </c>
      <c r="Q615">
        <v>0</v>
      </c>
      <c r="R615" s="3">
        <v>0</v>
      </c>
      <c r="S615" s="3">
        <v>0</v>
      </c>
      <c r="T615">
        <v>0</v>
      </c>
      <c r="U615">
        <v>0</v>
      </c>
      <c r="V615" s="3">
        <v>0</v>
      </c>
      <c r="W615" s="3">
        <v>0</v>
      </c>
      <c r="X615">
        <v>0</v>
      </c>
      <c r="Y615" t="s">
        <v>633</v>
      </c>
    </row>
    <row r="616" spans="1:25" hidden="1" x14ac:dyDescent="0.25">
      <c r="A616" s="1" t="s">
        <v>49</v>
      </c>
      <c r="B616" s="1" t="s">
        <v>118</v>
      </c>
      <c r="C616" s="1" t="s">
        <v>50</v>
      </c>
      <c r="D616" t="s">
        <v>27</v>
      </c>
      <c r="E616" s="2">
        <v>45842</v>
      </c>
      <c r="F616" s="2">
        <v>45842</v>
      </c>
      <c r="G616" s="3">
        <v>39</v>
      </c>
      <c r="H616" s="4" t="s">
        <v>28</v>
      </c>
      <c r="I616">
        <v>40</v>
      </c>
      <c r="J616">
        <v>0</v>
      </c>
      <c r="K616">
        <v>0</v>
      </c>
      <c r="L616" s="3">
        <v>1</v>
      </c>
      <c r="M616" s="3">
        <v>1</v>
      </c>
      <c r="N616">
        <v>0</v>
      </c>
      <c r="O616">
        <v>0</v>
      </c>
      <c r="P616">
        <v>0</v>
      </c>
      <c r="Q616">
        <v>51</v>
      </c>
      <c r="R616" s="3">
        <v>0</v>
      </c>
      <c r="S616" s="3">
        <v>0</v>
      </c>
      <c r="T616">
        <v>0</v>
      </c>
      <c r="U616">
        <v>0</v>
      </c>
      <c r="V616" s="3">
        <v>0</v>
      </c>
      <c r="W616" s="3">
        <v>0</v>
      </c>
      <c r="X616">
        <v>0</v>
      </c>
      <c r="Y616" t="s">
        <v>634</v>
      </c>
    </row>
    <row r="617" spans="1:25" hidden="1" x14ac:dyDescent="0.25">
      <c r="A617" s="1" t="s">
        <v>51</v>
      </c>
      <c r="B617" s="1" t="s">
        <v>120</v>
      </c>
      <c r="C617" s="1" t="s">
        <v>55</v>
      </c>
      <c r="D617" t="s">
        <v>27</v>
      </c>
      <c r="E617" s="2">
        <v>45842</v>
      </c>
      <c r="F617" s="2">
        <v>45842</v>
      </c>
      <c r="G617" s="3">
        <v>58</v>
      </c>
      <c r="H617" s="4" t="s">
        <v>28</v>
      </c>
      <c r="I617">
        <v>60</v>
      </c>
      <c r="J617">
        <v>0</v>
      </c>
      <c r="K617">
        <v>0</v>
      </c>
      <c r="L617" s="3">
        <v>1</v>
      </c>
      <c r="M617" s="3">
        <v>0</v>
      </c>
      <c r="N617">
        <v>1</v>
      </c>
      <c r="O617">
        <v>0</v>
      </c>
      <c r="P617">
        <v>0</v>
      </c>
      <c r="Q617">
        <v>0</v>
      </c>
      <c r="R617" s="3">
        <v>0</v>
      </c>
      <c r="S617" s="3">
        <v>0</v>
      </c>
      <c r="T617">
        <v>0</v>
      </c>
      <c r="U617">
        <v>0</v>
      </c>
      <c r="V617" s="3">
        <v>0</v>
      </c>
      <c r="W617" s="3">
        <v>0</v>
      </c>
      <c r="X617">
        <v>0</v>
      </c>
      <c r="Y617" t="s">
        <v>635</v>
      </c>
    </row>
    <row r="618" spans="1:25" hidden="1" x14ac:dyDescent="0.25">
      <c r="A618" s="1" t="s">
        <v>54</v>
      </c>
      <c r="B618" s="1" t="s">
        <v>122</v>
      </c>
      <c r="C618" s="1" t="s">
        <v>52</v>
      </c>
      <c r="D618" t="s">
        <v>27</v>
      </c>
      <c r="E618" s="2">
        <v>45842</v>
      </c>
      <c r="F618" s="2">
        <v>45842</v>
      </c>
      <c r="G618" s="3">
        <v>38</v>
      </c>
      <c r="H618" s="4" t="s">
        <v>28</v>
      </c>
      <c r="I618">
        <v>51</v>
      </c>
      <c r="J618">
        <v>0</v>
      </c>
      <c r="K618">
        <v>0</v>
      </c>
      <c r="L618" s="3">
        <v>0</v>
      </c>
      <c r="M618" s="3">
        <v>0</v>
      </c>
      <c r="N618">
        <v>0</v>
      </c>
      <c r="O618">
        <v>0</v>
      </c>
      <c r="P618">
        <v>0</v>
      </c>
      <c r="Q618">
        <v>0</v>
      </c>
      <c r="R618" s="3">
        <v>0</v>
      </c>
      <c r="S618" s="3">
        <v>0</v>
      </c>
      <c r="T618">
        <v>0</v>
      </c>
      <c r="U618">
        <v>0</v>
      </c>
      <c r="V618" s="3">
        <v>0</v>
      </c>
      <c r="W618" s="3">
        <v>0</v>
      </c>
      <c r="X618">
        <v>0</v>
      </c>
      <c r="Y618" t="s">
        <v>636</v>
      </c>
    </row>
    <row r="619" spans="1:25" hidden="1" x14ac:dyDescent="0.25">
      <c r="A619" s="1" t="s">
        <v>53</v>
      </c>
      <c r="B619" s="1" t="s">
        <v>142</v>
      </c>
      <c r="C619" s="1" t="s">
        <v>39</v>
      </c>
      <c r="D619" t="s">
        <v>27</v>
      </c>
      <c r="E619" s="2">
        <v>45842</v>
      </c>
      <c r="F619" s="2">
        <v>45842</v>
      </c>
      <c r="G619" s="3">
        <v>67</v>
      </c>
      <c r="H619" s="4" t="s">
        <v>28</v>
      </c>
      <c r="I619">
        <v>31</v>
      </c>
      <c r="J619">
        <v>0</v>
      </c>
      <c r="K619">
        <v>0</v>
      </c>
      <c r="L619" s="3">
        <v>1</v>
      </c>
      <c r="M619" s="3">
        <v>0</v>
      </c>
      <c r="N619">
        <v>0</v>
      </c>
      <c r="O619">
        <v>0</v>
      </c>
      <c r="P619">
        <v>0</v>
      </c>
      <c r="Q619">
        <v>31</v>
      </c>
      <c r="R619" s="3">
        <v>0</v>
      </c>
      <c r="S619" s="3">
        <v>0</v>
      </c>
      <c r="T619">
        <v>0</v>
      </c>
      <c r="U619">
        <v>0</v>
      </c>
      <c r="V619" s="3">
        <v>0</v>
      </c>
      <c r="W619" s="3">
        <v>0</v>
      </c>
      <c r="X619">
        <v>0</v>
      </c>
      <c r="Y619" t="s">
        <v>637</v>
      </c>
    </row>
    <row r="620" spans="1:25" hidden="1" x14ac:dyDescent="0.25">
      <c r="A620" s="1" t="s">
        <v>58</v>
      </c>
      <c r="B620" s="1" t="s">
        <v>123</v>
      </c>
      <c r="C620" s="1" t="s">
        <v>27</v>
      </c>
      <c r="D620" t="s">
        <v>27</v>
      </c>
      <c r="E620" s="2">
        <v>45842</v>
      </c>
      <c r="F620" s="2">
        <v>45842</v>
      </c>
      <c r="G620" s="3">
        <v>39</v>
      </c>
      <c r="H620" s="4" t="s">
        <v>180</v>
      </c>
      <c r="I620">
        <v>0</v>
      </c>
      <c r="J620">
        <v>0</v>
      </c>
      <c r="K620">
        <v>0</v>
      </c>
      <c r="L620" s="3">
        <v>0</v>
      </c>
      <c r="M620" s="3">
        <v>0</v>
      </c>
      <c r="N620">
        <v>0</v>
      </c>
      <c r="O620">
        <v>0</v>
      </c>
      <c r="P620">
        <v>0</v>
      </c>
      <c r="Q620">
        <v>0</v>
      </c>
      <c r="R620" s="3">
        <v>0</v>
      </c>
      <c r="S620" s="3">
        <v>0</v>
      </c>
      <c r="T620">
        <v>0</v>
      </c>
      <c r="U620">
        <v>0</v>
      </c>
      <c r="V620" s="3">
        <v>0</v>
      </c>
      <c r="W620" s="3">
        <v>0</v>
      </c>
      <c r="X620">
        <v>0</v>
      </c>
      <c r="Y620" t="s">
        <v>550</v>
      </c>
    </row>
    <row r="621" spans="1:25" hidden="1" x14ac:dyDescent="0.25">
      <c r="A621" t="s">
        <v>27</v>
      </c>
      <c r="B621" s="1" t="s">
        <v>98</v>
      </c>
      <c r="C621" s="1" t="s">
        <v>44</v>
      </c>
      <c r="D621" t="s">
        <v>27</v>
      </c>
      <c r="E621" s="2">
        <v>45842</v>
      </c>
      <c r="F621" s="2">
        <v>45842</v>
      </c>
      <c r="G621" s="3">
        <v>40</v>
      </c>
      <c r="H621" s="4" t="s">
        <v>180</v>
      </c>
      <c r="I621">
        <v>0</v>
      </c>
      <c r="J621">
        <v>0</v>
      </c>
      <c r="K621">
        <v>0</v>
      </c>
      <c r="L621" s="3">
        <v>0</v>
      </c>
      <c r="M621" s="3">
        <v>0</v>
      </c>
      <c r="N621">
        <v>0</v>
      </c>
      <c r="O621">
        <v>0</v>
      </c>
      <c r="P621">
        <v>0</v>
      </c>
      <c r="Q621">
        <v>0</v>
      </c>
      <c r="R621" s="3">
        <v>0</v>
      </c>
      <c r="S621" s="3">
        <v>0</v>
      </c>
      <c r="T621">
        <v>0</v>
      </c>
      <c r="U621">
        <v>0</v>
      </c>
      <c r="V621" s="3">
        <v>0</v>
      </c>
      <c r="W621" s="3">
        <v>0</v>
      </c>
      <c r="X621">
        <v>0</v>
      </c>
      <c r="Y621" t="s">
        <v>550</v>
      </c>
    </row>
    <row r="622" spans="1:25" s="16" customFormat="1" hidden="1" x14ac:dyDescent="0.25">
      <c r="A622" s="16" t="s">
        <v>56</v>
      </c>
      <c r="B622" s="16" t="s">
        <v>98</v>
      </c>
      <c r="C622" s="16" t="s">
        <v>37</v>
      </c>
      <c r="D622" s="16" t="s">
        <v>27</v>
      </c>
      <c r="E622" s="12">
        <v>45843</v>
      </c>
      <c r="F622" s="12">
        <v>45843</v>
      </c>
      <c r="G622" s="18">
        <v>73</v>
      </c>
      <c r="H622" s="16" t="s">
        <v>28</v>
      </c>
      <c r="I622" s="16">
        <v>0</v>
      </c>
      <c r="J622" s="16">
        <v>0</v>
      </c>
      <c r="K622" s="16">
        <v>0</v>
      </c>
      <c r="L622" s="18">
        <v>0</v>
      </c>
      <c r="M622" s="18">
        <v>0</v>
      </c>
      <c r="N622" s="16">
        <v>0</v>
      </c>
      <c r="O622" s="16">
        <v>0</v>
      </c>
      <c r="P622" s="16">
        <v>0</v>
      </c>
      <c r="Q622" s="16">
        <v>0</v>
      </c>
      <c r="R622" s="18">
        <v>1</v>
      </c>
      <c r="S622" s="18">
        <v>0</v>
      </c>
      <c r="T622" s="16">
        <v>7</v>
      </c>
      <c r="U622" s="16">
        <v>78</v>
      </c>
      <c r="V622" s="18">
        <v>1</v>
      </c>
      <c r="W622" s="18">
        <v>0</v>
      </c>
      <c r="X622" s="16">
        <v>0</v>
      </c>
      <c r="Y622" s="16" t="s">
        <v>638</v>
      </c>
    </row>
    <row r="623" spans="1:25" s="16" customFormat="1" hidden="1" x14ac:dyDescent="0.25">
      <c r="A623" s="16" t="s">
        <v>41</v>
      </c>
      <c r="B623" s="16" t="s">
        <v>112</v>
      </c>
      <c r="C623" s="16" t="s">
        <v>42</v>
      </c>
      <c r="D623" s="16" t="s">
        <v>27</v>
      </c>
      <c r="E623" s="12">
        <v>45843</v>
      </c>
      <c r="F623" s="12">
        <v>45843</v>
      </c>
      <c r="G623" s="18">
        <v>120</v>
      </c>
      <c r="H623" s="16" t="s">
        <v>28</v>
      </c>
      <c r="I623" s="16">
        <v>0</v>
      </c>
      <c r="J623" s="16">
        <v>0</v>
      </c>
      <c r="K623" s="16">
        <v>0</v>
      </c>
      <c r="L623" s="18">
        <v>0</v>
      </c>
      <c r="M623" s="18">
        <v>0</v>
      </c>
      <c r="N623" s="16">
        <v>0</v>
      </c>
      <c r="O623" s="16">
        <v>0</v>
      </c>
      <c r="P623" s="16">
        <v>0</v>
      </c>
      <c r="Q623" s="16">
        <v>10</v>
      </c>
      <c r="R623" s="18">
        <v>1</v>
      </c>
      <c r="S623" s="18">
        <v>0</v>
      </c>
      <c r="T623" s="16">
        <v>20</v>
      </c>
      <c r="U623" s="16">
        <v>69</v>
      </c>
      <c r="V623" s="18">
        <v>1</v>
      </c>
      <c r="W623" s="18">
        <v>0</v>
      </c>
      <c r="X623" s="16">
        <v>4</v>
      </c>
      <c r="Y623" s="16" t="s">
        <v>639</v>
      </c>
    </row>
    <row r="624" spans="1:25" s="16" customFormat="1" hidden="1" x14ac:dyDescent="0.25">
      <c r="A624" s="16" t="s">
        <v>56</v>
      </c>
      <c r="B624" s="16" t="s">
        <v>98</v>
      </c>
      <c r="C624" s="16" t="s">
        <v>37</v>
      </c>
      <c r="D624" s="16" t="s">
        <v>27</v>
      </c>
      <c r="E624" s="12">
        <v>45844</v>
      </c>
      <c r="F624" s="12">
        <v>45844</v>
      </c>
      <c r="G624" s="18">
        <v>65</v>
      </c>
      <c r="H624" s="16" t="s">
        <v>28</v>
      </c>
      <c r="I624" s="16">
        <v>0</v>
      </c>
      <c r="J624" s="16">
        <v>0</v>
      </c>
      <c r="K624" s="16">
        <v>0</v>
      </c>
      <c r="L624" s="18">
        <v>1</v>
      </c>
      <c r="M624" s="18">
        <v>0</v>
      </c>
      <c r="N624" s="16">
        <v>0</v>
      </c>
      <c r="O624" s="16">
        <v>0</v>
      </c>
      <c r="P624" s="16">
        <v>0</v>
      </c>
      <c r="Q624" s="16">
        <v>37</v>
      </c>
      <c r="R624" s="18">
        <v>0</v>
      </c>
      <c r="S624" s="18">
        <v>1</v>
      </c>
      <c r="T624" s="16">
        <v>40</v>
      </c>
      <c r="U624" s="16">
        <v>20</v>
      </c>
      <c r="V624" s="18">
        <v>0</v>
      </c>
      <c r="W624" s="18">
        <v>1</v>
      </c>
      <c r="X624" s="16">
        <v>0</v>
      </c>
      <c r="Y624" s="16" t="s">
        <v>640</v>
      </c>
    </row>
    <row r="625" spans="1:25" s="16" customFormat="1" hidden="1" x14ac:dyDescent="0.25">
      <c r="A625" s="16" t="s">
        <v>33</v>
      </c>
      <c r="B625" s="16" t="s">
        <v>106</v>
      </c>
      <c r="C625" s="16" t="s">
        <v>55</v>
      </c>
      <c r="D625" s="16" t="s">
        <v>27</v>
      </c>
      <c r="E625" s="12">
        <v>45844</v>
      </c>
      <c r="F625" s="12">
        <v>45844</v>
      </c>
      <c r="G625" s="18">
        <v>112</v>
      </c>
      <c r="H625" s="16" t="s">
        <v>28</v>
      </c>
      <c r="I625" s="16">
        <v>0</v>
      </c>
      <c r="J625" s="16">
        <v>0</v>
      </c>
      <c r="K625" s="16">
        <v>0</v>
      </c>
      <c r="L625" s="18">
        <v>0</v>
      </c>
      <c r="M625" s="18">
        <v>0</v>
      </c>
      <c r="N625" s="16">
        <v>0</v>
      </c>
      <c r="O625" s="16">
        <v>0</v>
      </c>
      <c r="P625" s="16">
        <v>0</v>
      </c>
      <c r="Q625" s="16">
        <v>16</v>
      </c>
      <c r="R625" s="18">
        <v>0</v>
      </c>
      <c r="S625" s="18">
        <v>1</v>
      </c>
      <c r="T625" s="16">
        <v>16</v>
      </c>
      <c r="U625" s="16">
        <v>32</v>
      </c>
      <c r="V625" s="18">
        <v>0</v>
      </c>
      <c r="W625" s="18">
        <v>1</v>
      </c>
      <c r="X625" s="16">
        <v>4</v>
      </c>
      <c r="Y625" s="16" t="s">
        <v>641</v>
      </c>
    </row>
    <row r="626" spans="1:25" hidden="1" x14ac:dyDescent="0.25">
      <c r="A626" s="1" t="s">
        <v>25</v>
      </c>
      <c r="B626" s="1" t="s">
        <v>96</v>
      </c>
      <c r="C626" s="1" t="s">
        <v>26</v>
      </c>
      <c r="D626" t="s">
        <v>27</v>
      </c>
      <c r="E626" s="2">
        <v>45845</v>
      </c>
      <c r="F626" s="2">
        <v>45845</v>
      </c>
      <c r="G626" s="3">
        <v>55</v>
      </c>
      <c r="H626" s="4" t="s">
        <v>28</v>
      </c>
      <c r="I626">
        <v>45</v>
      </c>
      <c r="J626">
        <v>0</v>
      </c>
      <c r="K626">
        <v>0</v>
      </c>
      <c r="L626" s="3">
        <v>0</v>
      </c>
      <c r="M626" s="3">
        <v>0</v>
      </c>
      <c r="N626">
        <v>1</v>
      </c>
      <c r="O626">
        <v>0</v>
      </c>
      <c r="P626">
        <v>0</v>
      </c>
      <c r="Q626">
        <v>0</v>
      </c>
      <c r="R626" s="3">
        <v>0</v>
      </c>
      <c r="S626" s="3">
        <v>0</v>
      </c>
      <c r="T626">
        <v>0</v>
      </c>
      <c r="U626">
        <v>0</v>
      </c>
      <c r="V626" s="3">
        <v>0</v>
      </c>
      <c r="W626" s="3">
        <v>0</v>
      </c>
      <c r="X626">
        <v>0</v>
      </c>
      <c r="Y626" t="s">
        <v>642</v>
      </c>
    </row>
    <row r="627" spans="1:25" hidden="1" x14ac:dyDescent="0.25">
      <c r="A627" s="1" t="s">
        <v>56</v>
      </c>
      <c r="B627" s="1" t="s">
        <v>98</v>
      </c>
      <c r="C627" s="1" t="s">
        <v>37</v>
      </c>
      <c r="D627" t="s">
        <v>27</v>
      </c>
      <c r="E627" s="2">
        <v>45845</v>
      </c>
      <c r="F627" s="2">
        <v>45845</v>
      </c>
      <c r="G627" s="3">
        <v>42</v>
      </c>
      <c r="H627" s="4" t="s">
        <v>28</v>
      </c>
      <c r="I627">
        <v>72</v>
      </c>
      <c r="J627">
        <v>0</v>
      </c>
      <c r="K627">
        <v>0</v>
      </c>
      <c r="L627" s="3">
        <v>1</v>
      </c>
      <c r="M627" s="3">
        <v>0</v>
      </c>
      <c r="N627">
        <v>0</v>
      </c>
      <c r="O627">
        <v>0</v>
      </c>
      <c r="P627">
        <v>0</v>
      </c>
      <c r="Q627">
        <v>0</v>
      </c>
      <c r="R627" s="3">
        <v>0</v>
      </c>
      <c r="S627" s="3">
        <v>0</v>
      </c>
      <c r="T627">
        <v>0</v>
      </c>
      <c r="U627">
        <v>0</v>
      </c>
      <c r="V627" s="3">
        <v>0</v>
      </c>
      <c r="W627" s="3">
        <v>0</v>
      </c>
      <c r="X627">
        <v>0</v>
      </c>
      <c r="Y627" t="s">
        <v>643</v>
      </c>
    </row>
    <row r="628" spans="1:25" hidden="1" x14ac:dyDescent="0.25">
      <c r="A628" s="1" t="s">
        <v>29</v>
      </c>
      <c r="B628" s="1" t="s">
        <v>100</v>
      </c>
      <c r="C628" s="1" t="s">
        <v>245</v>
      </c>
      <c r="D628" t="s">
        <v>27</v>
      </c>
      <c r="E628" s="2">
        <v>45845</v>
      </c>
      <c r="F628" s="2">
        <v>45845</v>
      </c>
      <c r="G628" s="3">
        <v>54</v>
      </c>
      <c r="H628" s="4" t="s">
        <v>28</v>
      </c>
      <c r="I628">
        <v>43</v>
      </c>
      <c r="J628">
        <v>0</v>
      </c>
      <c r="K628">
        <v>0</v>
      </c>
      <c r="L628" s="3">
        <v>1</v>
      </c>
      <c r="M628" s="3">
        <v>0</v>
      </c>
      <c r="N628">
        <v>0</v>
      </c>
      <c r="O628">
        <v>0</v>
      </c>
      <c r="P628">
        <v>0</v>
      </c>
      <c r="Q628">
        <v>0</v>
      </c>
      <c r="R628" s="3">
        <v>0</v>
      </c>
      <c r="S628" s="3">
        <v>0</v>
      </c>
      <c r="T628">
        <v>0</v>
      </c>
      <c r="U628">
        <v>0</v>
      </c>
      <c r="V628" s="3">
        <v>0</v>
      </c>
      <c r="W628" s="3">
        <v>0</v>
      </c>
      <c r="X628">
        <v>0</v>
      </c>
      <c r="Y628" t="s">
        <v>644</v>
      </c>
    </row>
    <row r="629" spans="1:25" hidden="1" x14ac:dyDescent="0.25">
      <c r="A629" s="1" t="s">
        <v>344</v>
      </c>
      <c r="B629" s="1" t="s">
        <v>102</v>
      </c>
      <c r="C629" s="1" t="s">
        <v>35</v>
      </c>
      <c r="D629" t="s">
        <v>27</v>
      </c>
      <c r="E629" s="2">
        <v>45845</v>
      </c>
      <c r="F629" s="2">
        <v>45845</v>
      </c>
      <c r="G629" s="3">
        <v>27</v>
      </c>
      <c r="H629" s="4" t="s">
        <v>28</v>
      </c>
      <c r="I629">
        <v>40</v>
      </c>
      <c r="J629">
        <v>12</v>
      </c>
      <c r="K629">
        <v>0</v>
      </c>
      <c r="L629" s="3">
        <v>0</v>
      </c>
      <c r="M629" s="3">
        <v>0</v>
      </c>
      <c r="N629">
        <v>0</v>
      </c>
      <c r="O629">
        <v>0</v>
      </c>
      <c r="P629">
        <v>0</v>
      </c>
      <c r="Q629">
        <v>0</v>
      </c>
      <c r="R629" s="3">
        <v>0</v>
      </c>
      <c r="S629" s="3">
        <v>0</v>
      </c>
      <c r="T629">
        <v>0</v>
      </c>
      <c r="U629">
        <v>0</v>
      </c>
      <c r="V629" s="3">
        <v>0</v>
      </c>
      <c r="W629" s="3">
        <v>0</v>
      </c>
      <c r="X629">
        <v>1</v>
      </c>
      <c r="Y629" t="s">
        <v>612</v>
      </c>
    </row>
    <row r="630" spans="1:25" hidden="1" x14ac:dyDescent="0.25">
      <c r="A630" s="1" t="s">
        <v>31</v>
      </c>
      <c r="B630" s="1" t="s">
        <v>104</v>
      </c>
      <c r="C630" s="1" t="s">
        <v>32</v>
      </c>
      <c r="D630" t="s">
        <v>27</v>
      </c>
      <c r="E630" s="2">
        <v>45845</v>
      </c>
      <c r="F630" s="2">
        <v>45845</v>
      </c>
      <c r="G630" s="3">
        <v>53</v>
      </c>
      <c r="H630" s="4" t="s">
        <v>28</v>
      </c>
      <c r="I630">
        <v>100</v>
      </c>
      <c r="J630">
        <v>3</v>
      </c>
      <c r="K630">
        <v>0</v>
      </c>
      <c r="L630" s="3">
        <v>0</v>
      </c>
      <c r="M630" s="3">
        <v>0</v>
      </c>
      <c r="N630">
        <v>0</v>
      </c>
      <c r="O630">
        <v>0</v>
      </c>
      <c r="P630">
        <v>0</v>
      </c>
      <c r="Q630">
        <v>50</v>
      </c>
      <c r="R630" s="3">
        <v>0</v>
      </c>
      <c r="S630" s="3">
        <v>0</v>
      </c>
      <c r="T630">
        <v>0</v>
      </c>
      <c r="U630">
        <v>0</v>
      </c>
      <c r="V630" s="3">
        <v>0</v>
      </c>
      <c r="W630" s="3">
        <v>0</v>
      </c>
      <c r="X630">
        <v>0</v>
      </c>
      <c r="Y630" t="s">
        <v>645</v>
      </c>
    </row>
    <row r="631" spans="1:25" hidden="1" x14ac:dyDescent="0.25">
      <c r="A631" s="1" t="s">
        <v>33</v>
      </c>
      <c r="B631" s="1" t="s">
        <v>106</v>
      </c>
      <c r="C631" s="1" t="s">
        <v>57</v>
      </c>
      <c r="D631" t="s">
        <v>27</v>
      </c>
      <c r="E631" s="2">
        <v>45845</v>
      </c>
      <c r="F631" s="2">
        <v>45845</v>
      </c>
      <c r="G631" s="3">
        <v>29</v>
      </c>
      <c r="H631" s="4" t="s">
        <v>28</v>
      </c>
      <c r="I631">
        <v>37</v>
      </c>
      <c r="J631">
        <v>0</v>
      </c>
      <c r="K631">
        <v>0</v>
      </c>
      <c r="L631" s="3">
        <v>0</v>
      </c>
      <c r="M631" s="3">
        <v>0</v>
      </c>
      <c r="N631">
        <v>0</v>
      </c>
      <c r="O631">
        <v>0</v>
      </c>
      <c r="P631">
        <v>0</v>
      </c>
      <c r="Q631">
        <v>18</v>
      </c>
      <c r="R631" s="3">
        <v>0</v>
      </c>
      <c r="S631" s="3">
        <v>0</v>
      </c>
      <c r="T631">
        <v>0</v>
      </c>
      <c r="U631">
        <v>0</v>
      </c>
      <c r="V631" s="3">
        <v>0</v>
      </c>
      <c r="W631" s="3">
        <v>0</v>
      </c>
      <c r="X631">
        <v>0</v>
      </c>
      <c r="Y631" t="s">
        <v>646</v>
      </c>
    </row>
    <row r="632" spans="1:25" hidden="1" x14ac:dyDescent="0.25">
      <c r="A632" s="1" t="s">
        <v>45</v>
      </c>
      <c r="B632" s="1" t="s">
        <v>598</v>
      </c>
      <c r="C632" s="1" t="s">
        <v>46</v>
      </c>
      <c r="D632" t="s">
        <v>27</v>
      </c>
      <c r="E632" s="2">
        <v>45845</v>
      </c>
      <c r="F632" s="2">
        <v>45845</v>
      </c>
      <c r="G632" s="3">
        <v>64</v>
      </c>
      <c r="H632" s="4" t="s">
        <v>28</v>
      </c>
      <c r="I632">
        <v>60</v>
      </c>
      <c r="J632">
        <v>0</v>
      </c>
      <c r="K632">
        <v>0</v>
      </c>
      <c r="L632" s="3">
        <v>1</v>
      </c>
      <c r="M632" s="3">
        <v>0</v>
      </c>
      <c r="N632">
        <v>0</v>
      </c>
      <c r="O632">
        <v>0</v>
      </c>
      <c r="P632">
        <v>0</v>
      </c>
      <c r="Q632">
        <v>0</v>
      </c>
      <c r="R632" s="3">
        <v>0</v>
      </c>
      <c r="S632" s="3">
        <v>0</v>
      </c>
      <c r="T632">
        <v>0</v>
      </c>
      <c r="U632">
        <v>0</v>
      </c>
      <c r="V632" s="3">
        <v>0</v>
      </c>
      <c r="W632" s="3">
        <v>0</v>
      </c>
      <c r="X632">
        <v>0</v>
      </c>
      <c r="Y632" t="s">
        <v>647</v>
      </c>
    </row>
    <row r="633" spans="1:25" hidden="1" x14ac:dyDescent="0.25">
      <c r="A633" s="1" t="s">
        <v>34</v>
      </c>
      <c r="B633" s="1" t="s">
        <v>247</v>
      </c>
      <c r="C633" s="1" t="s">
        <v>489</v>
      </c>
      <c r="D633" t="s">
        <v>27</v>
      </c>
      <c r="E633" s="2">
        <v>45845</v>
      </c>
      <c r="F633" s="2">
        <v>45845</v>
      </c>
      <c r="G633" s="3">
        <v>24</v>
      </c>
      <c r="H633" s="4" t="s">
        <v>28</v>
      </c>
      <c r="I633">
        <v>54</v>
      </c>
      <c r="J633">
        <v>0</v>
      </c>
      <c r="K633">
        <v>0</v>
      </c>
      <c r="L633" s="3">
        <v>1</v>
      </c>
      <c r="M633" s="3">
        <v>0</v>
      </c>
      <c r="N633">
        <v>0</v>
      </c>
      <c r="O633">
        <v>0</v>
      </c>
      <c r="P633">
        <v>0</v>
      </c>
      <c r="Q633">
        <v>0</v>
      </c>
      <c r="R633" s="3">
        <v>0</v>
      </c>
      <c r="S633" s="3">
        <v>0</v>
      </c>
      <c r="T633">
        <v>0</v>
      </c>
      <c r="U633">
        <v>0</v>
      </c>
      <c r="V633" s="3">
        <v>0</v>
      </c>
      <c r="W633" s="3">
        <v>0</v>
      </c>
      <c r="X633">
        <v>0</v>
      </c>
      <c r="Y633" t="s">
        <v>648</v>
      </c>
    </row>
    <row r="634" spans="1:25" hidden="1" x14ac:dyDescent="0.25">
      <c r="A634" s="1" t="s">
        <v>38</v>
      </c>
      <c r="B634" s="1" t="s">
        <v>108</v>
      </c>
      <c r="C634" s="1" t="s">
        <v>39</v>
      </c>
      <c r="D634" t="s">
        <v>27</v>
      </c>
      <c r="E634" s="2">
        <v>45845</v>
      </c>
      <c r="F634" s="2">
        <v>45845</v>
      </c>
      <c r="G634" s="3">
        <v>51</v>
      </c>
      <c r="H634" s="4" t="s">
        <v>28</v>
      </c>
      <c r="I634">
        <v>29</v>
      </c>
      <c r="J634">
        <v>0</v>
      </c>
      <c r="K634">
        <v>0</v>
      </c>
      <c r="L634" s="3">
        <v>1</v>
      </c>
      <c r="M634" s="3">
        <v>0</v>
      </c>
      <c r="N634">
        <v>0</v>
      </c>
      <c r="O634">
        <v>0</v>
      </c>
      <c r="P634">
        <v>0</v>
      </c>
      <c r="Q634">
        <v>29</v>
      </c>
      <c r="R634" s="3">
        <v>0</v>
      </c>
      <c r="S634" s="3">
        <v>0</v>
      </c>
      <c r="T634">
        <v>0</v>
      </c>
      <c r="U634">
        <v>0</v>
      </c>
      <c r="V634" s="3">
        <v>0</v>
      </c>
      <c r="W634" s="3">
        <v>0</v>
      </c>
      <c r="X634">
        <v>0</v>
      </c>
      <c r="Y634" t="s">
        <v>649</v>
      </c>
    </row>
    <row r="635" spans="1:25" hidden="1" x14ac:dyDescent="0.25">
      <c r="A635" s="1" t="s">
        <v>40</v>
      </c>
      <c r="B635" s="1" t="s">
        <v>110</v>
      </c>
      <c r="C635" s="1" t="s">
        <v>40</v>
      </c>
      <c r="D635" t="s">
        <v>27</v>
      </c>
      <c r="E635" s="2">
        <v>45845</v>
      </c>
      <c r="F635" s="2">
        <v>45845</v>
      </c>
      <c r="G635" s="3">
        <v>36</v>
      </c>
      <c r="H635" s="4" t="s">
        <v>28</v>
      </c>
      <c r="I635">
        <v>35</v>
      </c>
      <c r="J635">
        <v>0</v>
      </c>
      <c r="K635">
        <v>0</v>
      </c>
      <c r="L635" s="3">
        <v>1</v>
      </c>
      <c r="M635" s="3">
        <v>0</v>
      </c>
      <c r="N635">
        <v>1</v>
      </c>
      <c r="O635">
        <v>0</v>
      </c>
      <c r="P635">
        <v>0</v>
      </c>
      <c r="Q635">
        <v>0</v>
      </c>
      <c r="R635" s="3">
        <v>0</v>
      </c>
      <c r="S635" s="3">
        <v>0</v>
      </c>
      <c r="T635">
        <v>0</v>
      </c>
      <c r="U635">
        <v>0</v>
      </c>
      <c r="V635" s="3">
        <v>0</v>
      </c>
      <c r="W635" s="3">
        <v>0</v>
      </c>
      <c r="X635">
        <v>0</v>
      </c>
      <c r="Y635" t="s">
        <v>650</v>
      </c>
    </row>
    <row r="636" spans="1:25" hidden="1" x14ac:dyDescent="0.25">
      <c r="A636" s="1" t="s">
        <v>41</v>
      </c>
      <c r="B636" s="1" t="s">
        <v>112</v>
      </c>
      <c r="C636" s="1" t="s">
        <v>42</v>
      </c>
      <c r="D636" t="s">
        <v>27</v>
      </c>
      <c r="E636" s="2">
        <v>45845</v>
      </c>
      <c r="F636" s="2">
        <v>45845</v>
      </c>
      <c r="G636" s="3">
        <v>119</v>
      </c>
      <c r="H636" s="4" t="s">
        <v>28</v>
      </c>
      <c r="I636">
        <v>46</v>
      </c>
      <c r="J636">
        <v>42</v>
      </c>
      <c r="K636">
        <v>0</v>
      </c>
      <c r="L636" s="3">
        <v>1</v>
      </c>
      <c r="M636" s="3">
        <v>0</v>
      </c>
      <c r="N636">
        <v>0</v>
      </c>
      <c r="O636">
        <v>0</v>
      </c>
      <c r="P636">
        <v>0</v>
      </c>
      <c r="Q636">
        <v>4</v>
      </c>
      <c r="R636" s="3">
        <v>0</v>
      </c>
      <c r="S636" s="3">
        <v>0</v>
      </c>
      <c r="T636">
        <v>0</v>
      </c>
      <c r="U636">
        <v>0</v>
      </c>
      <c r="V636" s="3">
        <v>0</v>
      </c>
      <c r="W636" s="3">
        <v>0</v>
      </c>
      <c r="X636">
        <v>2</v>
      </c>
      <c r="Y636" t="s">
        <v>651</v>
      </c>
    </row>
    <row r="637" spans="1:25" hidden="1" x14ac:dyDescent="0.25">
      <c r="A637" s="1" t="s">
        <v>43</v>
      </c>
      <c r="B637" s="1" t="s">
        <v>114</v>
      </c>
      <c r="C637" t="s">
        <v>27</v>
      </c>
      <c r="D637" t="s">
        <v>27</v>
      </c>
      <c r="E637" s="2">
        <v>45845</v>
      </c>
      <c r="F637" s="2">
        <v>45845</v>
      </c>
      <c r="G637" s="3">
        <v>25</v>
      </c>
      <c r="H637" s="4" t="s">
        <v>28</v>
      </c>
      <c r="I637">
        <v>74</v>
      </c>
      <c r="J637">
        <v>0</v>
      </c>
      <c r="K637">
        <v>0</v>
      </c>
      <c r="L637" s="3">
        <v>0</v>
      </c>
      <c r="M637" s="3">
        <v>0</v>
      </c>
      <c r="N637">
        <v>0</v>
      </c>
      <c r="O637">
        <v>0</v>
      </c>
      <c r="P637">
        <v>0</v>
      </c>
      <c r="Q637">
        <v>0</v>
      </c>
      <c r="R637" s="3">
        <v>0</v>
      </c>
      <c r="S637" s="3">
        <v>0</v>
      </c>
      <c r="T637">
        <v>0</v>
      </c>
      <c r="U637">
        <v>0</v>
      </c>
      <c r="V637" s="3">
        <v>0</v>
      </c>
      <c r="W637" s="3">
        <v>0</v>
      </c>
      <c r="X637">
        <v>0</v>
      </c>
      <c r="Y637" t="s">
        <v>652</v>
      </c>
    </row>
    <row r="638" spans="1:25" hidden="1" x14ac:dyDescent="0.25">
      <c r="A638" s="1" t="s">
        <v>36</v>
      </c>
      <c r="B638" s="1" t="s">
        <v>114</v>
      </c>
      <c r="C638" t="s">
        <v>27</v>
      </c>
      <c r="D638" t="s">
        <v>27</v>
      </c>
      <c r="E638" s="2">
        <v>45845</v>
      </c>
      <c r="F638" s="2">
        <v>45845</v>
      </c>
      <c r="G638" s="3">
        <v>25</v>
      </c>
      <c r="H638" s="4" t="s">
        <v>28</v>
      </c>
      <c r="I638">
        <v>74</v>
      </c>
      <c r="J638">
        <v>0</v>
      </c>
      <c r="K638">
        <v>0</v>
      </c>
      <c r="L638" s="3">
        <v>0</v>
      </c>
      <c r="M638" s="3">
        <v>0</v>
      </c>
      <c r="N638">
        <v>0</v>
      </c>
      <c r="O638">
        <v>0</v>
      </c>
      <c r="P638">
        <v>0</v>
      </c>
      <c r="Q638">
        <v>0</v>
      </c>
      <c r="R638" s="3">
        <v>0</v>
      </c>
      <c r="S638" s="3">
        <v>0</v>
      </c>
      <c r="T638">
        <v>0</v>
      </c>
      <c r="U638">
        <v>0</v>
      </c>
      <c r="V638" s="3">
        <v>0</v>
      </c>
      <c r="W638" s="3">
        <v>0</v>
      </c>
      <c r="X638">
        <v>0</v>
      </c>
      <c r="Y638" t="s">
        <v>652</v>
      </c>
    </row>
    <row r="639" spans="1:25" hidden="1" x14ac:dyDescent="0.25">
      <c r="A639" s="1" t="s">
        <v>47</v>
      </c>
      <c r="B639" s="1" t="s">
        <v>137</v>
      </c>
      <c r="C639" t="s">
        <v>27</v>
      </c>
      <c r="D639" t="s">
        <v>27</v>
      </c>
      <c r="E639" s="2">
        <v>45845</v>
      </c>
      <c r="F639" s="2">
        <v>45845</v>
      </c>
      <c r="G639" s="3">
        <v>49</v>
      </c>
      <c r="H639" s="4" t="s">
        <v>28</v>
      </c>
      <c r="I639">
        <v>44</v>
      </c>
      <c r="J639">
        <v>1</v>
      </c>
      <c r="K639">
        <v>0</v>
      </c>
      <c r="L639" s="3">
        <v>0</v>
      </c>
      <c r="M639" s="3">
        <v>0</v>
      </c>
      <c r="N639">
        <v>0</v>
      </c>
      <c r="O639">
        <v>0</v>
      </c>
      <c r="P639">
        <v>0</v>
      </c>
      <c r="Q639">
        <v>0</v>
      </c>
      <c r="R639" s="3">
        <v>0</v>
      </c>
      <c r="S639" s="3">
        <v>0</v>
      </c>
      <c r="T639">
        <v>0</v>
      </c>
      <c r="U639">
        <v>0</v>
      </c>
      <c r="V639" s="3">
        <v>0</v>
      </c>
      <c r="W639" s="3">
        <v>0</v>
      </c>
      <c r="X639">
        <v>0</v>
      </c>
      <c r="Y639" t="s">
        <v>653</v>
      </c>
    </row>
    <row r="640" spans="1:25" hidden="1" x14ac:dyDescent="0.25">
      <c r="A640" s="1" t="s">
        <v>48</v>
      </c>
      <c r="B640" s="1" t="s">
        <v>137</v>
      </c>
      <c r="C640" t="s">
        <v>27</v>
      </c>
      <c r="D640" t="s">
        <v>27</v>
      </c>
      <c r="E640" s="2">
        <v>45845</v>
      </c>
      <c r="F640" s="2">
        <v>45845</v>
      </c>
      <c r="G640" s="3">
        <v>49</v>
      </c>
      <c r="H640" s="4" t="s">
        <v>28</v>
      </c>
      <c r="I640">
        <v>44</v>
      </c>
      <c r="J640">
        <v>1</v>
      </c>
      <c r="K640">
        <v>0</v>
      </c>
      <c r="L640" s="3">
        <v>0</v>
      </c>
      <c r="M640" s="3">
        <v>0</v>
      </c>
      <c r="N640">
        <v>0</v>
      </c>
      <c r="O640">
        <v>0</v>
      </c>
      <c r="P640">
        <v>0</v>
      </c>
      <c r="Q640">
        <v>0</v>
      </c>
      <c r="R640" s="3">
        <v>0</v>
      </c>
      <c r="S640" s="3">
        <v>0</v>
      </c>
      <c r="T640">
        <v>0</v>
      </c>
      <c r="U640">
        <v>0</v>
      </c>
      <c r="V640" s="3">
        <v>0</v>
      </c>
      <c r="W640" s="3">
        <v>0</v>
      </c>
      <c r="X640">
        <v>0</v>
      </c>
      <c r="Y640" t="s">
        <v>653</v>
      </c>
    </row>
    <row r="641" spans="1:25" hidden="1" x14ac:dyDescent="0.25">
      <c r="A641" s="1" t="s">
        <v>49</v>
      </c>
      <c r="B641" s="1" t="s">
        <v>118</v>
      </c>
      <c r="C641" s="1" t="s">
        <v>50</v>
      </c>
      <c r="D641" t="s">
        <v>27</v>
      </c>
      <c r="E641" s="2">
        <v>45845</v>
      </c>
      <c r="F641" s="2">
        <v>45845</v>
      </c>
      <c r="G641" s="3">
        <v>25</v>
      </c>
      <c r="H641" s="4" t="s">
        <v>28</v>
      </c>
      <c r="I641">
        <v>27</v>
      </c>
      <c r="J641">
        <v>0</v>
      </c>
      <c r="K641">
        <v>0</v>
      </c>
      <c r="L641" s="3">
        <v>1</v>
      </c>
      <c r="M641" s="3">
        <v>1</v>
      </c>
      <c r="N641">
        <v>0</v>
      </c>
      <c r="O641">
        <v>0</v>
      </c>
      <c r="P641">
        <v>0</v>
      </c>
      <c r="Q641">
        <v>40</v>
      </c>
      <c r="R641" s="3">
        <v>0</v>
      </c>
      <c r="S641" s="3">
        <v>0</v>
      </c>
      <c r="T641">
        <v>0</v>
      </c>
      <c r="U641">
        <v>0</v>
      </c>
      <c r="V641" s="3">
        <v>0</v>
      </c>
      <c r="W641" s="3">
        <v>0</v>
      </c>
      <c r="X641">
        <v>0</v>
      </c>
      <c r="Y641" t="s">
        <v>654</v>
      </c>
    </row>
    <row r="642" spans="1:25" hidden="1" x14ac:dyDescent="0.25">
      <c r="A642" s="1" t="s">
        <v>51</v>
      </c>
      <c r="B642" s="1" t="s">
        <v>120</v>
      </c>
      <c r="C642" s="1" t="s">
        <v>55</v>
      </c>
      <c r="D642" t="s">
        <v>27</v>
      </c>
      <c r="E642" s="2">
        <v>45845</v>
      </c>
      <c r="F642" s="2">
        <v>45845</v>
      </c>
      <c r="G642" s="3">
        <v>76</v>
      </c>
      <c r="H642" s="4" t="s">
        <v>28</v>
      </c>
      <c r="I642">
        <v>40</v>
      </c>
      <c r="J642">
        <v>0</v>
      </c>
      <c r="K642">
        <v>0</v>
      </c>
      <c r="L642" s="3">
        <v>0</v>
      </c>
      <c r="M642" s="3">
        <v>0</v>
      </c>
      <c r="N642">
        <v>1</v>
      </c>
      <c r="O642">
        <v>0</v>
      </c>
      <c r="P642">
        <v>0</v>
      </c>
      <c r="Q642">
        <v>0</v>
      </c>
      <c r="R642" s="3">
        <v>0</v>
      </c>
      <c r="S642" s="3">
        <v>0</v>
      </c>
      <c r="T642">
        <v>0</v>
      </c>
      <c r="U642">
        <v>0</v>
      </c>
      <c r="V642" s="3">
        <v>0</v>
      </c>
      <c r="W642" s="3">
        <v>0</v>
      </c>
      <c r="X642">
        <v>0</v>
      </c>
      <c r="Y642" t="s">
        <v>655</v>
      </c>
    </row>
    <row r="643" spans="1:25" hidden="1" x14ac:dyDescent="0.25">
      <c r="A643" s="1" t="s">
        <v>53</v>
      </c>
      <c r="B643" s="1" t="s">
        <v>142</v>
      </c>
      <c r="C643" s="1" t="s">
        <v>39</v>
      </c>
      <c r="D643" t="s">
        <v>27</v>
      </c>
      <c r="E643" s="2">
        <v>45845</v>
      </c>
      <c r="F643" s="2">
        <v>45845</v>
      </c>
      <c r="G643" s="3">
        <v>32</v>
      </c>
      <c r="H643" s="4" t="s">
        <v>28</v>
      </c>
      <c r="I643">
        <v>29</v>
      </c>
      <c r="J643">
        <v>0</v>
      </c>
      <c r="K643">
        <v>0</v>
      </c>
      <c r="L643" s="3">
        <v>1</v>
      </c>
      <c r="M643" s="3">
        <v>0</v>
      </c>
      <c r="N643">
        <v>0</v>
      </c>
      <c r="O643">
        <v>0</v>
      </c>
      <c r="P643">
        <v>0</v>
      </c>
      <c r="Q643">
        <v>29</v>
      </c>
      <c r="R643" s="3">
        <v>0</v>
      </c>
      <c r="S643" s="3">
        <v>0</v>
      </c>
      <c r="T643">
        <v>0</v>
      </c>
      <c r="U643">
        <v>0</v>
      </c>
      <c r="V643" s="3">
        <v>0</v>
      </c>
      <c r="W643" s="3">
        <v>0</v>
      </c>
      <c r="X643">
        <v>0</v>
      </c>
      <c r="Y643" t="s">
        <v>656</v>
      </c>
    </row>
    <row r="644" spans="1:25" hidden="1" x14ac:dyDescent="0.25">
      <c r="A644" s="1" t="s">
        <v>54</v>
      </c>
      <c r="B644" s="1" t="s">
        <v>122</v>
      </c>
      <c r="C644" s="1" t="s">
        <v>52</v>
      </c>
      <c r="D644" t="s">
        <v>27</v>
      </c>
      <c r="E644" s="2">
        <v>45845</v>
      </c>
      <c r="F644" s="2">
        <v>45845</v>
      </c>
      <c r="G644" s="3">
        <v>33</v>
      </c>
      <c r="H644" s="4" t="s">
        <v>28</v>
      </c>
      <c r="I644">
        <v>43</v>
      </c>
      <c r="J644">
        <v>0</v>
      </c>
      <c r="K644">
        <v>0</v>
      </c>
      <c r="L644" s="3">
        <v>0</v>
      </c>
      <c r="M644" s="3">
        <v>0</v>
      </c>
      <c r="N644">
        <v>0</v>
      </c>
      <c r="O644">
        <v>0</v>
      </c>
      <c r="P644">
        <v>0</v>
      </c>
      <c r="Q644">
        <v>0</v>
      </c>
      <c r="R644" s="3">
        <v>0</v>
      </c>
      <c r="S644" s="3">
        <v>0</v>
      </c>
      <c r="T644">
        <v>0</v>
      </c>
      <c r="U644">
        <v>0</v>
      </c>
      <c r="V644" s="3">
        <v>0</v>
      </c>
      <c r="W644" s="3">
        <v>0</v>
      </c>
      <c r="X644">
        <v>0</v>
      </c>
      <c r="Y644" t="s">
        <v>636</v>
      </c>
    </row>
    <row r="645" spans="1:25" hidden="1" x14ac:dyDescent="0.25">
      <c r="A645" s="1" t="s">
        <v>58</v>
      </c>
      <c r="B645" s="1" t="s">
        <v>123</v>
      </c>
      <c r="C645" s="1" t="s">
        <v>27</v>
      </c>
      <c r="D645" t="s">
        <v>27</v>
      </c>
      <c r="E645" s="2">
        <v>45845</v>
      </c>
      <c r="F645" s="2">
        <v>45845</v>
      </c>
      <c r="G645" s="3">
        <v>39</v>
      </c>
      <c r="H645" s="4" t="s">
        <v>180</v>
      </c>
      <c r="I645">
        <v>0</v>
      </c>
      <c r="J645">
        <v>0</v>
      </c>
      <c r="K645">
        <v>0</v>
      </c>
      <c r="L645" s="3">
        <v>0</v>
      </c>
      <c r="M645" s="3">
        <v>0</v>
      </c>
      <c r="N645">
        <v>0</v>
      </c>
      <c r="O645">
        <v>0</v>
      </c>
      <c r="P645">
        <v>0</v>
      </c>
      <c r="Q645">
        <v>0</v>
      </c>
      <c r="R645" s="3">
        <v>0</v>
      </c>
      <c r="S645" s="3">
        <v>0</v>
      </c>
      <c r="T645">
        <v>0</v>
      </c>
      <c r="U645">
        <v>0</v>
      </c>
      <c r="V645" s="3">
        <v>0</v>
      </c>
      <c r="W645" s="3">
        <v>0</v>
      </c>
      <c r="X645">
        <v>0</v>
      </c>
      <c r="Y645" t="s">
        <v>550</v>
      </c>
    </row>
    <row r="646" spans="1:25" hidden="1" x14ac:dyDescent="0.25">
      <c r="A646" t="s">
        <v>27</v>
      </c>
      <c r="B646" s="1" t="s">
        <v>98</v>
      </c>
      <c r="C646" s="1" t="s">
        <v>44</v>
      </c>
      <c r="D646" t="s">
        <v>27</v>
      </c>
      <c r="E646" s="2">
        <v>45845</v>
      </c>
      <c r="F646" s="2">
        <v>45845</v>
      </c>
      <c r="G646" s="3">
        <v>40</v>
      </c>
      <c r="H646" s="4" t="s">
        <v>180</v>
      </c>
      <c r="I646">
        <v>0</v>
      </c>
      <c r="J646">
        <v>0</v>
      </c>
      <c r="K646">
        <v>0</v>
      </c>
      <c r="L646" s="3">
        <v>0</v>
      </c>
      <c r="M646" s="3">
        <v>0</v>
      </c>
      <c r="N646">
        <v>0</v>
      </c>
      <c r="O646">
        <v>0</v>
      </c>
      <c r="P646">
        <v>0</v>
      </c>
      <c r="Q646">
        <v>0</v>
      </c>
      <c r="R646" s="3">
        <v>0</v>
      </c>
      <c r="S646" s="3">
        <v>0</v>
      </c>
      <c r="T646">
        <v>0</v>
      </c>
      <c r="U646">
        <v>0</v>
      </c>
      <c r="V646" s="3">
        <v>0</v>
      </c>
      <c r="W646" s="3">
        <v>0</v>
      </c>
      <c r="X646">
        <v>0</v>
      </c>
      <c r="Y646" t="s">
        <v>550</v>
      </c>
    </row>
    <row r="647" spans="1:25" hidden="1" x14ac:dyDescent="0.25">
      <c r="A647" s="1" t="s">
        <v>25</v>
      </c>
      <c r="B647" s="1" t="s">
        <v>96</v>
      </c>
      <c r="C647" s="1" t="s">
        <v>26</v>
      </c>
      <c r="D647" t="s">
        <v>27</v>
      </c>
      <c r="E647" s="2">
        <v>45846</v>
      </c>
      <c r="F647" s="2">
        <v>45846</v>
      </c>
      <c r="G647" s="3">
        <v>40</v>
      </c>
      <c r="H647" s="4" t="s">
        <v>28</v>
      </c>
      <c r="I647">
        <v>61</v>
      </c>
      <c r="J647">
        <v>0</v>
      </c>
      <c r="K647">
        <v>0</v>
      </c>
      <c r="L647" s="3">
        <v>0</v>
      </c>
      <c r="M647" s="3">
        <v>0</v>
      </c>
      <c r="N647">
        <v>1</v>
      </c>
      <c r="O647">
        <v>0</v>
      </c>
      <c r="P647">
        <v>0</v>
      </c>
      <c r="Q647">
        <v>0</v>
      </c>
      <c r="R647" s="3">
        <v>0</v>
      </c>
      <c r="S647" s="3">
        <v>0</v>
      </c>
      <c r="T647">
        <v>0</v>
      </c>
      <c r="U647">
        <v>0</v>
      </c>
      <c r="V647" s="3">
        <v>0</v>
      </c>
      <c r="W647" s="3">
        <v>0</v>
      </c>
      <c r="X647">
        <v>0</v>
      </c>
      <c r="Y647" t="s">
        <v>657</v>
      </c>
    </row>
    <row r="648" spans="1:25" hidden="1" x14ac:dyDescent="0.25">
      <c r="A648" s="1" t="s">
        <v>58</v>
      </c>
      <c r="B648" s="1" t="s">
        <v>123</v>
      </c>
      <c r="C648" s="1" t="s">
        <v>27</v>
      </c>
      <c r="D648" t="s">
        <v>27</v>
      </c>
      <c r="E648" s="2">
        <v>45846</v>
      </c>
      <c r="F648" s="2">
        <v>45846</v>
      </c>
      <c r="G648" s="3">
        <v>39</v>
      </c>
      <c r="H648" s="4" t="s">
        <v>180</v>
      </c>
      <c r="I648">
        <v>0</v>
      </c>
      <c r="J648">
        <v>0</v>
      </c>
      <c r="K648">
        <v>0</v>
      </c>
      <c r="L648" s="3">
        <v>0</v>
      </c>
      <c r="M648" s="3">
        <v>0</v>
      </c>
      <c r="N648">
        <v>0</v>
      </c>
      <c r="O648">
        <v>0</v>
      </c>
      <c r="P648">
        <v>0</v>
      </c>
      <c r="Q648">
        <v>0</v>
      </c>
      <c r="R648" s="3">
        <v>0</v>
      </c>
      <c r="S648" s="3">
        <v>0</v>
      </c>
      <c r="T648">
        <v>0</v>
      </c>
      <c r="U648">
        <v>0</v>
      </c>
      <c r="V648" s="3">
        <v>0</v>
      </c>
      <c r="W648" s="3">
        <v>0</v>
      </c>
      <c r="X648">
        <v>0</v>
      </c>
      <c r="Y648" t="s">
        <v>550</v>
      </c>
    </row>
    <row r="649" spans="1:25" hidden="1" x14ac:dyDescent="0.25">
      <c r="A649" s="1" t="s">
        <v>56</v>
      </c>
      <c r="B649" s="1" t="s">
        <v>98</v>
      </c>
      <c r="C649" s="1" t="s">
        <v>37</v>
      </c>
      <c r="D649" t="s">
        <v>27</v>
      </c>
      <c r="E649" s="2">
        <v>45846</v>
      </c>
      <c r="F649" s="2">
        <v>45846</v>
      </c>
      <c r="G649" s="3">
        <v>29</v>
      </c>
      <c r="H649" s="4" t="s">
        <v>28</v>
      </c>
      <c r="I649">
        <v>71</v>
      </c>
      <c r="J649">
        <v>0</v>
      </c>
      <c r="K649">
        <v>0</v>
      </c>
      <c r="L649" s="3">
        <v>1</v>
      </c>
      <c r="M649" s="3">
        <v>0</v>
      </c>
      <c r="N649">
        <v>0</v>
      </c>
      <c r="O649">
        <v>0</v>
      </c>
      <c r="P649">
        <v>0</v>
      </c>
      <c r="Q649">
        <v>0</v>
      </c>
      <c r="R649" s="3">
        <v>0</v>
      </c>
      <c r="S649" s="3">
        <v>0</v>
      </c>
      <c r="T649">
        <v>0</v>
      </c>
      <c r="U649">
        <v>0</v>
      </c>
      <c r="V649" s="3">
        <v>0</v>
      </c>
      <c r="W649" s="3">
        <v>0</v>
      </c>
      <c r="X649">
        <v>0</v>
      </c>
      <c r="Y649" t="s">
        <v>658</v>
      </c>
    </row>
    <row r="650" spans="1:25" hidden="1" x14ac:dyDescent="0.25">
      <c r="A650" s="1" t="s">
        <v>29</v>
      </c>
      <c r="B650" s="1" t="s">
        <v>100</v>
      </c>
      <c r="C650" s="1" t="s">
        <v>245</v>
      </c>
      <c r="D650" t="s">
        <v>27</v>
      </c>
      <c r="E650" s="2">
        <v>45846</v>
      </c>
      <c r="F650" s="2">
        <v>45846</v>
      </c>
      <c r="G650" s="3">
        <v>68</v>
      </c>
      <c r="H650" s="4" t="s">
        <v>28</v>
      </c>
      <c r="I650">
        <v>56</v>
      </c>
      <c r="J650">
        <v>0</v>
      </c>
      <c r="K650">
        <v>0</v>
      </c>
      <c r="L650" s="3">
        <v>0</v>
      </c>
      <c r="M650" s="3">
        <v>0</v>
      </c>
      <c r="N650">
        <v>0</v>
      </c>
      <c r="O650">
        <v>0</v>
      </c>
      <c r="P650">
        <v>0</v>
      </c>
      <c r="Q650">
        <v>0</v>
      </c>
      <c r="R650" s="3">
        <v>0</v>
      </c>
      <c r="S650" s="3">
        <v>0</v>
      </c>
      <c r="T650">
        <v>0</v>
      </c>
      <c r="U650">
        <v>0</v>
      </c>
      <c r="V650" s="3">
        <v>0</v>
      </c>
      <c r="W650" s="3">
        <v>0</v>
      </c>
      <c r="X650">
        <v>0</v>
      </c>
      <c r="Y650" t="s">
        <v>659</v>
      </c>
    </row>
    <row r="651" spans="1:25" hidden="1" x14ac:dyDescent="0.25">
      <c r="A651" s="1" t="s">
        <v>344</v>
      </c>
      <c r="B651" s="1" t="s">
        <v>102</v>
      </c>
      <c r="C651" s="1" t="s">
        <v>35</v>
      </c>
      <c r="D651" t="s">
        <v>27</v>
      </c>
      <c r="E651" s="2">
        <v>45846</v>
      </c>
      <c r="F651" s="2">
        <v>45846</v>
      </c>
      <c r="G651" s="3">
        <v>29</v>
      </c>
      <c r="H651" s="4" t="s">
        <v>28</v>
      </c>
      <c r="I651">
        <v>40</v>
      </c>
      <c r="J651">
        <v>0</v>
      </c>
      <c r="K651">
        <v>0</v>
      </c>
      <c r="L651" s="3">
        <v>0</v>
      </c>
      <c r="M651" s="3">
        <v>0</v>
      </c>
      <c r="N651">
        <v>0</v>
      </c>
      <c r="O651">
        <v>0</v>
      </c>
      <c r="P651">
        <v>0</v>
      </c>
      <c r="Q651">
        <v>0</v>
      </c>
      <c r="R651" s="3">
        <v>0</v>
      </c>
      <c r="S651" s="3">
        <v>0</v>
      </c>
      <c r="T651">
        <v>0</v>
      </c>
      <c r="U651">
        <v>0</v>
      </c>
      <c r="V651" s="3">
        <v>0</v>
      </c>
      <c r="W651" s="3">
        <v>0</v>
      </c>
      <c r="X651">
        <v>0</v>
      </c>
      <c r="Y651" t="s">
        <v>660</v>
      </c>
    </row>
    <row r="652" spans="1:25" hidden="1" x14ac:dyDescent="0.25">
      <c r="A652" s="1" t="s">
        <v>31</v>
      </c>
      <c r="B652" s="1" t="s">
        <v>104</v>
      </c>
      <c r="C652" s="1" t="s">
        <v>32</v>
      </c>
      <c r="D652" t="s">
        <v>27</v>
      </c>
      <c r="E652" s="2">
        <v>45846</v>
      </c>
      <c r="F652" s="2">
        <v>45846</v>
      </c>
      <c r="G652" s="3">
        <v>37</v>
      </c>
      <c r="H652" s="4" t="s">
        <v>28</v>
      </c>
      <c r="I652">
        <v>72</v>
      </c>
      <c r="J652">
        <v>0</v>
      </c>
      <c r="K652">
        <v>0</v>
      </c>
      <c r="L652" s="3">
        <v>0</v>
      </c>
      <c r="M652" s="3">
        <v>0</v>
      </c>
      <c r="N652">
        <v>0</v>
      </c>
      <c r="O652">
        <v>0</v>
      </c>
      <c r="P652">
        <v>0</v>
      </c>
      <c r="Q652">
        <v>50</v>
      </c>
      <c r="R652" s="3">
        <v>0</v>
      </c>
      <c r="S652" s="3">
        <v>0</v>
      </c>
      <c r="T652">
        <v>0</v>
      </c>
      <c r="U652">
        <v>0</v>
      </c>
      <c r="V652" s="3">
        <v>0</v>
      </c>
      <c r="W652" s="3">
        <v>0</v>
      </c>
      <c r="X652">
        <v>0</v>
      </c>
      <c r="Y652" t="s">
        <v>661</v>
      </c>
    </row>
    <row r="653" spans="1:25" hidden="1" x14ac:dyDescent="0.25">
      <c r="A653" s="1" t="s">
        <v>34</v>
      </c>
      <c r="B653" s="1" t="s">
        <v>247</v>
      </c>
      <c r="C653" s="1" t="s">
        <v>489</v>
      </c>
      <c r="D653" t="s">
        <v>27</v>
      </c>
      <c r="E653" s="2">
        <v>45846</v>
      </c>
      <c r="F653" s="2">
        <v>45846</v>
      </c>
      <c r="G653" s="3">
        <v>26</v>
      </c>
      <c r="H653" s="4" t="s">
        <v>28</v>
      </c>
      <c r="I653">
        <v>40</v>
      </c>
      <c r="J653">
        <v>0</v>
      </c>
      <c r="K653">
        <v>0</v>
      </c>
      <c r="L653" s="3">
        <v>0</v>
      </c>
      <c r="M653" s="3">
        <v>0</v>
      </c>
      <c r="N653">
        <v>0</v>
      </c>
      <c r="O653">
        <v>0</v>
      </c>
      <c r="P653">
        <v>0</v>
      </c>
      <c r="Q653">
        <v>0</v>
      </c>
      <c r="R653" s="3">
        <v>0</v>
      </c>
      <c r="S653" s="3">
        <v>0</v>
      </c>
      <c r="T653">
        <v>0</v>
      </c>
      <c r="U653">
        <v>0</v>
      </c>
      <c r="V653" s="3">
        <v>0</v>
      </c>
      <c r="W653" s="3">
        <v>0</v>
      </c>
      <c r="X653">
        <v>0</v>
      </c>
      <c r="Y653" t="s">
        <v>662</v>
      </c>
    </row>
    <row r="654" spans="1:25" hidden="1" x14ac:dyDescent="0.25">
      <c r="A654" s="1" t="s">
        <v>38</v>
      </c>
      <c r="B654" s="1" t="s">
        <v>108</v>
      </c>
      <c r="C654" s="1" t="s">
        <v>39</v>
      </c>
      <c r="D654" t="s">
        <v>27</v>
      </c>
      <c r="E654" s="2">
        <v>45846</v>
      </c>
      <c r="F654" s="2">
        <v>45846</v>
      </c>
      <c r="G654" s="3">
        <v>57</v>
      </c>
      <c r="H654" s="4" t="s">
        <v>28</v>
      </c>
      <c r="I654">
        <v>23</v>
      </c>
      <c r="J654">
        <v>0</v>
      </c>
      <c r="K654">
        <v>0</v>
      </c>
      <c r="L654" s="3">
        <v>0</v>
      </c>
      <c r="M654" s="3">
        <v>0</v>
      </c>
      <c r="N654">
        <v>0</v>
      </c>
      <c r="O654">
        <v>0</v>
      </c>
      <c r="P654">
        <v>0</v>
      </c>
      <c r="Q654">
        <v>23</v>
      </c>
      <c r="R654" s="3">
        <v>0</v>
      </c>
      <c r="S654" s="3">
        <v>0</v>
      </c>
      <c r="T654">
        <v>0</v>
      </c>
      <c r="U654">
        <v>0</v>
      </c>
      <c r="V654" s="3">
        <v>0</v>
      </c>
      <c r="W654" s="3">
        <v>0</v>
      </c>
      <c r="X654">
        <v>0</v>
      </c>
      <c r="Y654" t="s">
        <v>663</v>
      </c>
    </row>
    <row r="655" spans="1:25" hidden="1" x14ac:dyDescent="0.25">
      <c r="A655" s="1" t="s">
        <v>40</v>
      </c>
      <c r="B655" s="1" t="s">
        <v>110</v>
      </c>
      <c r="C655" s="1" t="s">
        <v>40</v>
      </c>
      <c r="D655" t="s">
        <v>27</v>
      </c>
      <c r="E655" s="2">
        <v>45846</v>
      </c>
      <c r="F655" s="2">
        <v>45846</v>
      </c>
      <c r="G655" s="3">
        <v>37</v>
      </c>
      <c r="H655" s="4" t="s">
        <v>28</v>
      </c>
      <c r="I655">
        <v>15</v>
      </c>
      <c r="J655">
        <v>0</v>
      </c>
      <c r="K655">
        <v>0</v>
      </c>
      <c r="L655" s="3">
        <v>0</v>
      </c>
      <c r="M655" s="3">
        <v>0</v>
      </c>
      <c r="N655">
        <v>0</v>
      </c>
      <c r="O655">
        <v>0</v>
      </c>
      <c r="P655">
        <v>0</v>
      </c>
      <c r="Q655">
        <v>0</v>
      </c>
      <c r="R655" s="3">
        <v>0</v>
      </c>
      <c r="S655" s="3">
        <v>0</v>
      </c>
      <c r="T655">
        <v>0</v>
      </c>
      <c r="U655">
        <v>0</v>
      </c>
      <c r="V655" s="3">
        <v>0</v>
      </c>
      <c r="W655" s="3">
        <v>0</v>
      </c>
      <c r="X655">
        <v>0</v>
      </c>
      <c r="Y655" t="s">
        <v>664</v>
      </c>
    </row>
    <row r="656" spans="1:25" hidden="1" x14ac:dyDescent="0.25">
      <c r="A656" s="1" t="s">
        <v>41</v>
      </c>
      <c r="B656" s="1" t="s">
        <v>112</v>
      </c>
      <c r="C656" s="1" t="s">
        <v>42</v>
      </c>
      <c r="D656" t="s">
        <v>27</v>
      </c>
      <c r="E656" s="2">
        <v>45846</v>
      </c>
      <c r="F656" s="2">
        <v>45846</v>
      </c>
      <c r="G656" s="3">
        <v>65</v>
      </c>
      <c r="H656" s="4" t="s">
        <v>28</v>
      </c>
      <c r="I656">
        <v>37</v>
      </c>
      <c r="J656">
        <v>0</v>
      </c>
      <c r="K656">
        <v>0</v>
      </c>
      <c r="L656" s="3">
        <v>1</v>
      </c>
      <c r="M656" s="3">
        <v>0</v>
      </c>
      <c r="N656">
        <v>0</v>
      </c>
      <c r="O656">
        <v>0</v>
      </c>
      <c r="P656">
        <v>0</v>
      </c>
      <c r="Q656">
        <v>0</v>
      </c>
      <c r="R656" s="3">
        <v>0</v>
      </c>
      <c r="S656" s="3">
        <v>0</v>
      </c>
      <c r="T656">
        <v>0</v>
      </c>
      <c r="U656">
        <v>0</v>
      </c>
      <c r="V656" s="3">
        <v>0</v>
      </c>
      <c r="W656" s="3">
        <v>0</v>
      </c>
      <c r="X656">
        <v>0</v>
      </c>
      <c r="Y656" t="s">
        <v>665</v>
      </c>
    </row>
    <row r="657" spans="1:25" hidden="1" x14ac:dyDescent="0.25">
      <c r="A657" s="1" t="s">
        <v>43</v>
      </c>
      <c r="B657" s="1" t="s">
        <v>114</v>
      </c>
      <c r="C657" t="s">
        <v>27</v>
      </c>
      <c r="D657" t="s">
        <v>27</v>
      </c>
      <c r="E657" s="2">
        <v>45846</v>
      </c>
      <c r="F657" s="2">
        <v>45846</v>
      </c>
      <c r="G657" s="3">
        <v>37</v>
      </c>
      <c r="H657" s="4" t="s">
        <v>28</v>
      </c>
      <c r="I657">
        <v>74</v>
      </c>
      <c r="J657">
        <v>0</v>
      </c>
      <c r="K657">
        <v>0</v>
      </c>
      <c r="L657" s="3">
        <v>1</v>
      </c>
      <c r="M657" s="3">
        <v>0</v>
      </c>
      <c r="N657">
        <v>0</v>
      </c>
      <c r="O657">
        <v>0</v>
      </c>
      <c r="P657">
        <v>0</v>
      </c>
      <c r="Q657">
        <v>0</v>
      </c>
      <c r="R657" s="3">
        <v>0</v>
      </c>
      <c r="S657" s="3">
        <v>0</v>
      </c>
      <c r="T657">
        <v>0</v>
      </c>
      <c r="U657">
        <v>0</v>
      </c>
      <c r="V657" s="3">
        <v>0</v>
      </c>
      <c r="W657" s="3">
        <v>0</v>
      </c>
      <c r="X657">
        <v>0</v>
      </c>
      <c r="Y657" t="s">
        <v>666</v>
      </c>
    </row>
    <row r="658" spans="1:25" hidden="1" x14ac:dyDescent="0.25">
      <c r="A658" s="1" t="s">
        <v>36</v>
      </c>
      <c r="B658" s="1" t="s">
        <v>114</v>
      </c>
      <c r="C658" t="s">
        <v>27</v>
      </c>
      <c r="D658" t="s">
        <v>27</v>
      </c>
      <c r="E658" s="2">
        <v>45846</v>
      </c>
      <c r="F658" s="2">
        <v>45846</v>
      </c>
      <c r="G658" s="3">
        <v>37</v>
      </c>
      <c r="H658" s="4" t="s">
        <v>28</v>
      </c>
      <c r="I658">
        <v>74</v>
      </c>
      <c r="J658">
        <v>0</v>
      </c>
      <c r="K658">
        <v>0</v>
      </c>
      <c r="L658" s="3">
        <v>1</v>
      </c>
      <c r="M658" s="3">
        <v>0</v>
      </c>
      <c r="N658">
        <v>0</v>
      </c>
      <c r="O658">
        <v>0</v>
      </c>
      <c r="P658">
        <v>0</v>
      </c>
      <c r="Q658">
        <v>0</v>
      </c>
      <c r="R658" s="3">
        <v>0</v>
      </c>
      <c r="S658" s="3">
        <v>0</v>
      </c>
      <c r="T658">
        <v>0</v>
      </c>
      <c r="U658">
        <v>0</v>
      </c>
      <c r="V658" s="3">
        <v>0</v>
      </c>
      <c r="W658" s="3">
        <v>0</v>
      </c>
      <c r="X658">
        <v>0</v>
      </c>
      <c r="Y658" t="s">
        <v>666</v>
      </c>
    </row>
    <row r="659" spans="1:25" hidden="1" x14ac:dyDescent="0.25">
      <c r="A659" s="1" t="s">
        <v>45</v>
      </c>
      <c r="B659" s="1" t="s">
        <v>116</v>
      </c>
      <c r="C659" s="1" t="s">
        <v>46</v>
      </c>
      <c r="D659" t="s">
        <v>27</v>
      </c>
      <c r="E659" s="2">
        <v>45846</v>
      </c>
      <c r="F659" s="2">
        <v>45846</v>
      </c>
      <c r="G659" s="3">
        <v>54</v>
      </c>
      <c r="H659" s="4" t="s">
        <v>28</v>
      </c>
      <c r="I659">
        <v>40</v>
      </c>
      <c r="J659">
        <v>0</v>
      </c>
      <c r="K659">
        <v>0</v>
      </c>
      <c r="L659" s="3">
        <v>0</v>
      </c>
      <c r="M659" s="3">
        <v>0</v>
      </c>
      <c r="N659">
        <v>0</v>
      </c>
      <c r="O659">
        <v>0</v>
      </c>
      <c r="P659">
        <v>0</v>
      </c>
      <c r="Q659">
        <v>8</v>
      </c>
      <c r="R659" s="3">
        <v>0</v>
      </c>
      <c r="S659" s="3">
        <v>0</v>
      </c>
      <c r="T659">
        <v>0</v>
      </c>
      <c r="U659">
        <v>0</v>
      </c>
      <c r="V659" s="3">
        <v>0</v>
      </c>
      <c r="W659" s="3">
        <v>0</v>
      </c>
      <c r="X659">
        <v>0</v>
      </c>
      <c r="Y659" t="s">
        <v>667</v>
      </c>
    </row>
    <row r="660" spans="1:25" hidden="1" x14ac:dyDescent="0.25">
      <c r="A660" s="1" t="s">
        <v>47</v>
      </c>
      <c r="B660" s="1" t="s">
        <v>137</v>
      </c>
      <c r="C660" t="s">
        <v>27</v>
      </c>
      <c r="D660" t="s">
        <v>27</v>
      </c>
      <c r="E660" s="2">
        <v>45846</v>
      </c>
      <c r="F660" s="2">
        <v>45846</v>
      </c>
      <c r="G660" s="3">
        <v>45</v>
      </c>
      <c r="H660" s="4" t="s">
        <v>28</v>
      </c>
      <c r="I660">
        <v>55</v>
      </c>
      <c r="J660">
        <v>0</v>
      </c>
      <c r="K660">
        <v>0</v>
      </c>
      <c r="L660" s="3">
        <v>0</v>
      </c>
      <c r="M660" s="3">
        <v>0</v>
      </c>
      <c r="N660">
        <v>0</v>
      </c>
      <c r="O660">
        <v>0</v>
      </c>
      <c r="P660">
        <v>0</v>
      </c>
      <c r="Q660">
        <v>0</v>
      </c>
      <c r="R660" s="3">
        <v>0</v>
      </c>
      <c r="S660" s="3">
        <v>0</v>
      </c>
      <c r="T660">
        <v>0</v>
      </c>
      <c r="U660">
        <v>0</v>
      </c>
      <c r="V660" s="3">
        <v>0</v>
      </c>
      <c r="W660" s="3">
        <v>0</v>
      </c>
      <c r="X660">
        <v>0</v>
      </c>
      <c r="Y660" t="s">
        <v>668</v>
      </c>
    </row>
    <row r="661" spans="1:25" hidden="1" x14ac:dyDescent="0.25">
      <c r="A661" s="1" t="s">
        <v>48</v>
      </c>
      <c r="B661" s="1" t="s">
        <v>137</v>
      </c>
      <c r="C661" t="s">
        <v>27</v>
      </c>
      <c r="D661" t="s">
        <v>27</v>
      </c>
      <c r="E661" s="2">
        <v>45846</v>
      </c>
      <c r="F661" s="2">
        <v>45846</v>
      </c>
      <c r="G661" s="3">
        <v>45</v>
      </c>
      <c r="H661" s="4" t="s">
        <v>28</v>
      </c>
      <c r="I661">
        <v>55</v>
      </c>
      <c r="J661">
        <v>0</v>
      </c>
      <c r="K661">
        <v>0</v>
      </c>
      <c r="L661" s="3">
        <v>0</v>
      </c>
      <c r="M661" s="3">
        <v>0</v>
      </c>
      <c r="N661">
        <v>0</v>
      </c>
      <c r="O661">
        <v>0</v>
      </c>
      <c r="P661">
        <v>0</v>
      </c>
      <c r="Q661">
        <v>0</v>
      </c>
      <c r="R661" s="3">
        <v>0</v>
      </c>
      <c r="S661" s="3">
        <v>0</v>
      </c>
      <c r="T661">
        <v>0</v>
      </c>
      <c r="U661">
        <v>0</v>
      </c>
      <c r="V661" s="3">
        <v>0</v>
      </c>
      <c r="W661" s="3">
        <v>0</v>
      </c>
      <c r="X661">
        <v>0</v>
      </c>
      <c r="Y661" t="s">
        <v>668</v>
      </c>
    </row>
    <row r="662" spans="1:25" hidden="1" x14ac:dyDescent="0.25">
      <c r="A662" s="1" t="s">
        <v>49</v>
      </c>
      <c r="B662" s="1" t="s">
        <v>118</v>
      </c>
      <c r="C662" s="1" t="s">
        <v>50</v>
      </c>
      <c r="D662" t="s">
        <v>27</v>
      </c>
      <c r="E662" s="2">
        <v>45846</v>
      </c>
      <c r="F662" s="2">
        <v>45846</v>
      </c>
      <c r="G662" s="3">
        <v>22</v>
      </c>
      <c r="H662" s="4" t="s">
        <v>28</v>
      </c>
      <c r="I662">
        <v>24</v>
      </c>
      <c r="J662">
        <v>0</v>
      </c>
      <c r="K662">
        <v>0</v>
      </c>
      <c r="L662" s="3">
        <v>1</v>
      </c>
      <c r="M662" s="3">
        <v>1</v>
      </c>
      <c r="N662">
        <v>0</v>
      </c>
      <c r="O662">
        <v>1</v>
      </c>
      <c r="P662">
        <v>0</v>
      </c>
      <c r="Q662">
        <v>35</v>
      </c>
      <c r="R662" s="3">
        <v>0</v>
      </c>
      <c r="S662" s="3">
        <v>0</v>
      </c>
      <c r="T662">
        <v>0</v>
      </c>
      <c r="U662">
        <v>0</v>
      </c>
      <c r="V662" s="3">
        <v>0</v>
      </c>
      <c r="W662" s="3">
        <v>0</v>
      </c>
      <c r="X662">
        <v>0</v>
      </c>
      <c r="Y662" t="s">
        <v>669</v>
      </c>
    </row>
    <row r="663" spans="1:25" hidden="1" x14ac:dyDescent="0.25">
      <c r="A663" s="1" t="s">
        <v>54</v>
      </c>
      <c r="B663" s="1" t="s">
        <v>122</v>
      </c>
      <c r="C663" s="1" t="s">
        <v>52</v>
      </c>
      <c r="D663" t="s">
        <v>27</v>
      </c>
      <c r="E663" s="2">
        <v>45846</v>
      </c>
      <c r="F663" s="2">
        <v>45846</v>
      </c>
      <c r="G663" s="3">
        <v>40</v>
      </c>
      <c r="H663" s="4" t="s">
        <v>28</v>
      </c>
      <c r="I663">
        <v>43</v>
      </c>
      <c r="J663">
        <v>0</v>
      </c>
      <c r="K663">
        <v>0</v>
      </c>
      <c r="L663" s="3">
        <v>0</v>
      </c>
      <c r="M663" s="3">
        <v>0</v>
      </c>
      <c r="N663">
        <v>0</v>
      </c>
      <c r="O663">
        <v>0</v>
      </c>
      <c r="P663">
        <v>0</v>
      </c>
      <c r="Q663">
        <v>0</v>
      </c>
      <c r="R663" s="3">
        <v>0</v>
      </c>
      <c r="S663" s="3">
        <v>0</v>
      </c>
      <c r="T663">
        <v>0</v>
      </c>
      <c r="U663">
        <v>0</v>
      </c>
      <c r="V663" s="3">
        <v>0</v>
      </c>
      <c r="W663" s="3">
        <v>0</v>
      </c>
      <c r="X663">
        <v>0</v>
      </c>
      <c r="Y663" t="s">
        <v>670</v>
      </c>
    </row>
    <row r="664" spans="1:25" hidden="1" x14ac:dyDescent="0.25">
      <c r="A664" s="1" t="s">
        <v>53</v>
      </c>
      <c r="B664" s="1" t="s">
        <v>142</v>
      </c>
      <c r="C664" s="1" t="s">
        <v>39</v>
      </c>
      <c r="D664" t="s">
        <v>27</v>
      </c>
      <c r="E664" s="2">
        <v>45846</v>
      </c>
      <c r="F664" s="2">
        <v>45846</v>
      </c>
      <c r="G664" s="3">
        <v>56</v>
      </c>
      <c r="H664" s="4" t="s">
        <v>28</v>
      </c>
      <c r="I664">
        <v>19</v>
      </c>
      <c r="J664">
        <v>0</v>
      </c>
      <c r="K664">
        <v>0</v>
      </c>
      <c r="L664" s="3">
        <v>1</v>
      </c>
      <c r="M664" s="3">
        <v>0</v>
      </c>
      <c r="N664">
        <v>0</v>
      </c>
      <c r="O664">
        <v>0</v>
      </c>
      <c r="P664">
        <v>0</v>
      </c>
      <c r="Q664">
        <v>19</v>
      </c>
      <c r="R664" s="3">
        <v>0</v>
      </c>
      <c r="S664" s="3">
        <v>0</v>
      </c>
      <c r="T664">
        <v>0</v>
      </c>
      <c r="U664">
        <v>0</v>
      </c>
      <c r="V664" s="3">
        <v>0</v>
      </c>
      <c r="W664" s="3">
        <v>0</v>
      </c>
      <c r="X664">
        <v>0</v>
      </c>
      <c r="Y664" t="s">
        <v>671</v>
      </c>
    </row>
    <row r="665" spans="1:25" hidden="1" x14ac:dyDescent="0.25">
      <c r="A665" s="1" t="s">
        <v>51</v>
      </c>
      <c r="B665" s="1" t="s">
        <v>589</v>
      </c>
      <c r="C665" s="1" t="s">
        <v>27</v>
      </c>
      <c r="D665" t="s">
        <v>27</v>
      </c>
      <c r="E665" s="2">
        <v>45846</v>
      </c>
      <c r="F665" s="2">
        <v>45846</v>
      </c>
      <c r="G665" s="3">
        <v>57</v>
      </c>
      <c r="H665" s="4" t="s">
        <v>28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671</v>
      </c>
    </row>
    <row r="666" spans="1:25" hidden="1" x14ac:dyDescent="0.25">
      <c r="A666" s="1" t="s">
        <v>27</v>
      </c>
      <c r="B666" s="1" t="s">
        <v>112</v>
      </c>
      <c r="C666" s="1" t="s">
        <v>55</v>
      </c>
      <c r="D666" t="s">
        <v>27</v>
      </c>
      <c r="E666" s="2">
        <v>45846</v>
      </c>
      <c r="F666" s="2">
        <v>45846</v>
      </c>
      <c r="G666" s="3">
        <v>58</v>
      </c>
      <c r="H666" s="4" t="s">
        <v>28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671</v>
      </c>
    </row>
    <row r="667" spans="1:25" hidden="1" x14ac:dyDescent="0.25">
      <c r="A667" s="1" t="s">
        <v>33</v>
      </c>
      <c r="B667" s="1" t="s">
        <v>106</v>
      </c>
      <c r="C667" t="s">
        <v>27</v>
      </c>
      <c r="D667" t="s">
        <v>27</v>
      </c>
      <c r="E667" s="2">
        <v>45846</v>
      </c>
      <c r="F667" s="2">
        <v>45846</v>
      </c>
      <c r="G667" s="3">
        <v>39</v>
      </c>
      <c r="H667" s="4" t="s">
        <v>959</v>
      </c>
      <c r="I667">
        <v>0</v>
      </c>
      <c r="J667">
        <v>0</v>
      </c>
      <c r="K667">
        <v>0</v>
      </c>
      <c r="L667" s="3">
        <v>0</v>
      </c>
      <c r="M667" s="3">
        <v>0</v>
      </c>
      <c r="N667">
        <v>0</v>
      </c>
      <c r="O667">
        <v>0</v>
      </c>
      <c r="P667">
        <v>0</v>
      </c>
      <c r="Q667">
        <v>0</v>
      </c>
      <c r="R667" s="3">
        <v>0</v>
      </c>
      <c r="S667" s="3">
        <v>0</v>
      </c>
      <c r="T667">
        <v>0</v>
      </c>
      <c r="U667">
        <v>0</v>
      </c>
      <c r="V667" s="3">
        <v>0</v>
      </c>
      <c r="W667" s="3">
        <v>0</v>
      </c>
      <c r="X667">
        <v>0</v>
      </c>
      <c r="Y667" t="s">
        <v>694</v>
      </c>
    </row>
    <row r="668" spans="1:25" hidden="1" x14ac:dyDescent="0.25">
      <c r="A668" s="1" t="s">
        <v>25</v>
      </c>
      <c r="B668" s="1" t="s">
        <v>96</v>
      </c>
      <c r="C668" s="1" t="s">
        <v>26</v>
      </c>
      <c r="D668" t="s">
        <v>27</v>
      </c>
      <c r="E668" s="2">
        <v>45847</v>
      </c>
      <c r="F668" s="2">
        <v>45847</v>
      </c>
      <c r="G668" s="3">
        <v>60</v>
      </c>
      <c r="H668" s="4" t="s">
        <v>28</v>
      </c>
      <c r="I668">
        <v>50</v>
      </c>
      <c r="J668">
        <v>0</v>
      </c>
      <c r="K668">
        <v>0</v>
      </c>
      <c r="L668" s="3">
        <v>0</v>
      </c>
      <c r="M668" s="3">
        <v>0</v>
      </c>
      <c r="N668">
        <v>1</v>
      </c>
      <c r="O668">
        <v>0</v>
      </c>
      <c r="P668">
        <v>0</v>
      </c>
      <c r="Q668">
        <v>0</v>
      </c>
      <c r="R668" s="3">
        <v>0</v>
      </c>
      <c r="S668" s="3">
        <v>0</v>
      </c>
      <c r="T668">
        <v>0</v>
      </c>
      <c r="U668">
        <v>0</v>
      </c>
      <c r="V668" s="3">
        <v>0</v>
      </c>
      <c r="W668" s="3">
        <v>0</v>
      </c>
      <c r="X668">
        <v>0</v>
      </c>
      <c r="Y668" t="s">
        <v>672</v>
      </c>
    </row>
    <row r="669" spans="1:25" hidden="1" x14ac:dyDescent="0.25">
      <c r="A669" s="1" t="s">
        <v>58</v>
      </c>
      <c r="B669" s="1" t="s">
        <v>123</v>
      </c>
      <c r="C669" s="1" t="s">
        <v>27</v>
      </c>
      <c r="D669" t="s">
        <v>27</v>
      </c>
      <c r="E669" s="2">
        <v>45847</v>
      </c>
      <c r="F669" s="2">
        <v>45847</v>
      </c>
      <c r="G669" s="3">
        <v>39</v>
      </c>
      <c r="H669" s="4" t="s">
        <v>180</v>
      </c>
      <c r="I669">
        <v>0</v>
      </c>
      <c r="J669">
        <v>0</v>
      </c>
      <c r="K669">
        <v>0</v>
      </c>
      <c r="L669" s="3">
        <v>0</v>
      </c>
      <c r="M669" s="3">
        <v>0</v>
      </c>
      <c r="N669">
        <v>0</v>
      </c>
      <c r="O669">
        <v>0</v>
      </c>
      <c r="P669">
        <v>0</v>
      </c>
      <c r="Q669">
        <v>0</v>
      </c>
      <c r="R669" s="3">
        <v>0</v>
      </c>
      <c r="S669" s="3">
        <v>0</v>
      </c>
      <c r="T669">
        <v>0</v>
      </c>
      <c r="U669">
        <v>0</v>
      </c>
      <c r="V669" s="3">
        <v>0</v>
      </c>
      <c r="W669" s="3">
        <v>0</v>
      </c>
      <c r="X669">
        <v>0</v>
      </c>
      <c r="Y669" t="s">
        <v>550</v>
      </c>
    </row>
    <row r="670" spans="1:25" hidden="1" x14ac:dyDescent="0.25">
      <c r="A670" s="1" t="s">
        <v>56</v>
      </c>
      <c r="B670" s="1" t="s">
        <v>98</v>
      </c>
      <c r="C670" s="1" t="s">
        <v>56</v>
      </c>
      <c r="D670" t="s">
        <v>27</v>
      </c>
      <c r="E670" s="2">
        <v>45847</v>
      </c>
      <c r="F670" s="2">
        <v>45847</v>
      </c>
      <c r="G670" s="3">
        <v>30</v>
      </c>
      <c r="H670" s="4" t="s">
        <v>28</v>
      </c>
      <c r="I670">
        <v>58</v>
      </c>
      <c r="J670">
        <v>0</v>
      </c>
      <c r="K670">
        <v>0</v>
      </c>
      <c r="L670" s="3">
        <v>1</v>
      </c>
      <c r="M670" s="3">
        <v>0</v>
      </c>
      <c r="N670">
        <v>0</v>
      </c>
      <c r="O670">
        <v>0</v>
      </c>
      <c r="P670">
        <v>0</v>
      </c>
      <c r="Q670">
        <v>0</v>
      </c>
      <c r="R670" s="3">
        <v>0</v>
      </c>
      <c r="S670" s="3">
        <v>0</v>
      </c>
      <c r="T670">
        <v>0</v>
      </c>
      <c r="U670">
        <v>0</v>
      </c>
      <c r="V670" s="3">
        <v>0</v>
      </c>
      <c r="W670" s="3">
        <v>0</v>
      </c>
      <c r="X670">
        <v>0</v>
      </c>
      <c r="Y670" t="s">
        <v>673</v>
      </c>
    </row>
    <row r="671" spans="1:25" hidden="1" x14ac:dyDescent="0.25">
      <c r="A671" s="1" t="s">
        <v>29</v>
      </c>
      <c r="B671" s="1" t="s">
        <v>100</v>
      </c>
      <c r="C671" s="1" t="s">
        <v>245</v>
      </c>
      <c r="D671" t="s">
        <v>27</v>
      </c>
      <c r="E671" s="2">
        <v>45847</v>
      </c>
      <c r="F671" s="2">
        <v>45847</v>
      </c>
      <c r="G671" s="3">
        <v>83</v>
      </c>
      <c r="H671" s="4" t="s">
        <v>28</v>
      </c>
      <c r="I671">
        <v>46</v>
      </c>
      <c r="J671">
        <v>0</v>
      </c>
      <c r="K671">
        <v>0</v>
      </c>
      <c r="L671" s="3">
        <v>1</v>
      </c>
      <c r="M671" s="3">
        <v>0</v>
      </c>
      <c r="N671">
        <v>0</v>
      </c>
      <c r="O671">
        <v>0</v>
      </c>
      <c r="P671">
        <v>0</v>
      </c>
      <c r="Q671">
        <v>0</v>
      </c>
      <c r="R671" s="3">
        <v>0</v>
      </c>
      <c r="S671" s="3">
        <v>0</v>
      </c>
      <c r="T671">
        <v>0</v>
      </c>
      <c r="U671">
        <v>0</v>
      </c>
      <c r="V671" s="3">
        <v>0</v>
      </c>
      <c r="W671" s="3">
        <v>0</v>
      </c>
      <c r="X671">
        <v>0</v>
      </c>
      <c r="Y671" t="s">
        <v>674</v>
      </c>
    </row>
    <row r="672" spans="1:25" hidden="1" x14ac:dyDescent="0.25">
      <c r="A672" s="1" t="s">
        <v>344</v>
      </c>
      <c r="B672" s="1" t="s">
        <v>102</v>
      </c>
      <c r="C672" s="1" t="s">
        <v>35</v>
      </c>
      <c r="D672" t="s">
        <v>27</v>
      </c>
      <c r="E672" s="2">
        <v>45847</v>
      </c>
      <c r="F672" s="2">
        <v>45847</v>
      </c>
      <c r="G672" s="3">
        <v>29</v>
      </c>
      <c r="H672" s="4" t="s">
        <v>28</v>
      </c>
      <c r="I672">
        <v>30</v>
      </c>
      <c r="J672">
        <v>0</v>
      </c>
      <c r="K672">
        <v>0</v>
      </c>
      <c r="L672" s="3">
        <v>0</v>
      </c>
      <c r="M672" s="3">
        <v>0</v>
      </c>
      <c r="N672">
        <v>0</v>
      </c>
      <c r="O672">
        <v>0</v>
      </c>
      <c r="P672">
        <v>0</v>
      </c>
      <c r="Q672">
        <v>0</v>
      </c>
      <c r="R672" s="3">
        <v>0</v>
      </c>
      <c r="S672" s="3">
        <v>0</v>
      </c>
      <c r="T672">
        <v>0</v>
      </c>
      <c r="U672">
        <v>0</v>
      </c>
      <c r="V672" s="3">
        <v>0</v>
      </c>
      <c r="W672" s="3">
        <v>0</v>
      </c>
      <c r="X672">
        <v>0</v>
      </c>
      <c r="Y672" t="s">
        <v>660</v>
      </c>
    </row>
    <row r="673" spans="1:25" hidden="1" x14ac:dyDescent="0.25">
      <c r="A673" s="1" t="s">
        <v>31</v>
      </c>
      <c r="B673" s="1" t="s">
        <v>104</v>
      </c>
      <c r="C673" s="1" t="s">
        <v>32</v>
      </c>
      <c r="D673" t="s">
        <v>27</v>
      </c>
      <c r="E673" s="2">
        <v>45847</v>
      </c>
      <c r="F673" s="2">
        <v>45847</v>
      </c>
      <c r="G673" s="3">
        <v>38</v>
      </c>
      <c r="H673" s="4" t="s">
        <v>28</v>
      </c>
      <c r="I673">
        <v>89</v>
      </c>
      <c r="J673">
        <v>0</v>
      </c>
      <c r="K673">
        <v>0</v>
      </c>
      <c r="L673" s="3">
        <v>0</v>
      </c>
      <c r="M673" s="3">
        <v>0</v>
      </c>
      <c r="N673">
        <v>0</v>
      </c>
      <c r="O673">
        <v>0</v>
      </c>
      <c r="P673">
        <v>0</v>
      </c>
      <c r="Q673">
        <v>50</v>
      </c>
      <c r="R673" s="3">
        <v>0</v>
      </c>
      <c r="S673" s="3">
        <v>0</v>
      </c>
      <c r="T673">
        <v>0</v>
      </c>
      <c r="U673">
        <v>0</v>
      </c>
      <c r="V673" s="3">
        <v>0</v>
      </c>
      <c r="W673" s="3">
        <v>0</v>
      </c>
      <c r="X673">
        <v>0</v>
      </c>
      <c r="Y673" t="s">
        <v>675</v>
      </c>
    </row>
    <row r="674" spans="1:25" hidden="1" x14ac:dyDescent="0.25">
      <c r="A674" s="1" t="s">
        <v>33</v>
      </c>
      <c r="B674" s="1" t="s">
        <v>106</v>
      </c>
      <c r="C674" s="1" t="s">
        <v>57</v>
      </c>
      <c r="D674" t="s">
        <v>27</v>
      </c>
      <c r="E674" s="2">
        <v>45847</v>
      </c>
      <c r="F674" s="2">
        <v>45847</v>
      </c>
      <c r="G674" s="3">
        <v>31</v>
      </c>
      <c r="H674" s="4" t="s">
        <v>28</v>
      </c>
      <c r="I674">
        <v>41</v>
      </c>
      <c r="J674">
        <v>0</v>
      </c>
      <c r="K674">
        <v>0</v>
      </c>
      <c r="L674" s="3">
        <v>0</v>
      </c>
      <c r="M674" s="3">
        <v>0</v>
      </c>
      <c r="N674">
        <v>0</v>
      </c>
      <c r="O674">
        <v>0</v>
      </c>
      <c r="P674">
        <v>0</v>
      </c>
      <c r="Q674">
        <v>18</v>
      </c>
      <c r="R674" s="3">
        <v>0</v>
      </c>
      <c r="S674" s="3">
        <v>0</v>
      </c>
      <c r="T674">
        <v>0</v>
      </c>
      <c r="U674">
        <v>0</v>
      </c>
      <c r="V674" s="3">
        <v>0</v>
      </c>
      <c r="W674" s="3">
        <v>0</v>
      </c>
      <c r="X674">
        <v>0</v>
      </c>
      <c r="Y674" t="s">
        <v>676</v>
      </c>
    </row>
    <row r="675" spans="1:25" hidden="1" x14ac:dyDescent="0.25">
      <c r="A675" s="1" t="s">
        <v>34</v>
      </c>
      <c r="B675" s="1" t="s">
        <v>247</v>
      </c>
      <c r="C675" s="1" t="s">
        <v>489</v>
      </c>
      <c r="D675" t="s">
        <v>27</v>
      </c>
      <c r="E675" s="2">
        <v>45847</v>
      </c>
      <c r="F675" s="2">
        <v>45847</v>
      </c>
      <c r="G675" s="3">
        <v>32</v>
      </c>
      <c r="H675" s="4" t="s">
        <v>28</v>
      </c>
      <c r="I675">
        <v>56</v>
      </c>
      <c r="J675">
        <v>0</v>
      </c>
      <c r="K675">
        <v>0</v>
      </c>
      <c r="L675" s="3">
        <v>1</v>
      </c>
      <c r="M675" s="3">
        <v>0</v>
      </c>
      <c r="N675">
        <v>0</v>
      </c>
      <c r="O675">
        <v>0</v>
      </c>
      <c r="P675">
        <v>0</v>
      </c>
      <c r="Q675">
        <v>0</v>
      </c>
      <c r="R675" s="3">
        <v>0</v>
      </c>
      <c r="S675" s="3">
        <v>0</v>
      </c>
      <c r="T675">
        <v>0</v>
      </c>
      <c r="U675">
        <v>0</v>
      </c>
      <c r="V675" s="3">
        <v>0</v>
      </c>
      <c r="W675" s="3">
        <v>0</v>
      </c>
      <c r="X675">
        <v>0</v>
      </c>
      <c r="Y675" t="s">
        <v>677</v>
      </c>
    </row>
    <row r="676" spans="1:25" hidden="1" x14ac:dyDescent="0.25">
      <c r="A676" s="1" t="s">
        <v>38</v>
      </c>
      <c r="B676" s="1" t="s">
        <v>108</v>
      </c>
      <c r="C676" s="1" t="s">
        <v>39</v>
      </c>
      <c r="D676" t="s">
        <v>27</v>
      </c>
      <c r="E676" s="2">
        <v>45847</v>
      </c>
      <c r="F676" s="2">
        <v>45847</v>
      </c>
      <c r="G676" s="3">
        <v>46</v>
      </c>
      <c r="H676" s="4" t="s">
        <v>28</v>
      </c>
      <c r="I676">
        <v>36</v>
      </c>
      <c r="J676">
        <v>0</v>
      </c>
      <c r="K676">
        <v>0</v>
      </c>
      <c r="L676" s="3">
        <v>0</v>
      </c>
      <c r="M676" s="3">
        <v>0</v>
      </c>
      <c r="N676">
        <v>0</v>
      </c>
      <c r="O676">
        <v>0</v>
      </c>
      <c r="P676">
        <v>0</v>
      </c>
      <c r="Q676">
        <v>36</v>
      </c>
      <c r="R676" s="3">
        <v>0</v>
      </c>
      <c r="S676" s="3">
        <v>0</v>
      </c>
      <c r="T676">
        <v>0</v>
      </c>
      <c r="U676">
        <v>0</v>
      </c>
      <c r="V676" s="3">
        <v>0</v>
      </c>
      <c r="W676" s="3">
        <v>0</v>
      </c>
      <c r="X676">
        <v>0</v>
      </c>
      <c r="Y676" t="s">
        <v>678</v>
      </c>
    </row>
    <row r="677" spans="1:25" hidden="1" x14ac:dyDescent="0.25">
      <c r="A677" s="1" t="s">
        <v>40</v>
      </c>
      <c r="B677" s="1" t="s">
        <v>110</v>
      </c>
      <c r="C677" s="1" t="s">
        <v>40</v>
      </c>
      <c r="D677" t="s">
        <v>27</v>
      </c>
      <c r="E677" s="2">
        <v>45847</v>
      </c>
      <c r="F677" s="2">
        <v>45847</v>
      </c>
      <c r="G677" s="3">
        <v>56</v>
      </c>
      <c r="H677" s="4" t="s">
        <v>28</v>
      </c>
      <c r="I677">
        <v>21</v>
      </c>
      <c r="J677">
        <v>0</v>
      </c>
      <c r="K677">
        <v>0</v>
      </c>
      <c r="L677" s="3">
        <v>1</v>
      </c>
      <c r="M677" s="3">
        <v>0</v>
      </c>
      <c r="N677">
        <v>1</v>
      </c>
      <c r="O677">
        <v>0</v>
      </c>
      <c r="P677">
        <v>0</v>
      </c>
      <c r="Q677">
        <v>0</v>
      </c>
      <c r="R677" s="3">
        <v>0</v>
      </c>
      <c r="S677" s="3">
        <v>0</v>
      </c>
      <c r="T677">
        <v>0</v>
      </c>
      <c r="U677">
        <v>0</v>
      </c>
      <c r="V677" s="3">
        <v>0</v>
      </c>
      <c r="W677" s="3">
        <v>0</v>
      </c>
      <c r="X677">
        <v>0</v>
      </c>
      <c r="Y677" t="s">
        <v>679</v>
      </c>
    </row>
    <row r="678" spans="1:25" hidden="1" x14ac:dyDescent="0.25">
      <c r="A678" s="1" t="s">
        <v>41</v>
      </c>
      <c r="B678" s="1" t="s">
        <v>112</v>
      </c>
      <c r="C678" s="1" t="s">
        <v>42</v>
      </c>
      <c r="D678" t="s">
        <v>27</v>
      </c>
      <c r="E678" s="2">
        <v>45847</v>
      </c>
      <c r="F678" s="2">
        <v>45847</v>
      </c>
      <c r="G678" s="3">
        <v>41</v>
      </c>
      <c r="H678" s="4" t="s">
        <v>28</v>
      </c>
      <c r="I678">
        <v>39</v>
      </c>
      <c r="J678">
        <v>0</v>
      </c>
      <c r="K678">
        <v>0</v>
      </c>
      <c r="L678" s="3">
        <v>1</v>
      </c>
      <c r="M678" s="3">
        <v>0</v>
      </c>
      <c r="N678">
        <v>0</v>
      </c>
      <c r="O678">
        <v>0</v>
      </c>
      <c r="P678">
        <v>0</v>
      </c>
      <c r="Q678">
        <v>0</v>
      </c>
      <c r="R678" s="3">
        <v>0</v>
      </c>
      <c r="S678" s="3">
        <v>0</v>
      </c>
      <c r="T678">
        <v>0</v>
      </c>
      <c r="U678">
        <v>0</v>
      </c>
      <c r="V678" s="3">
        <v>0</v>
      </c>
      <c r="W678" s="3">
        <v>0</v>
      </c>
      <c r="X678">
        <v>0</v>
      </c>
      <c r="Y678" t="s">
        <v>680</v>
      </c>
    </row>
    <row r="679" spans="1:25" hidden="1" x14ac:dyDescent="0.25">
      <c r="A679" s="1" t="s">
        <v>43</v>
      </c>
      <c r="B679" s="1" t="s">
        <v>114</v>
      </c>
      <c r="C679" s="1" t="s">
        <v>27</v>
      </c>
      <c r="D679" t="s">
        <v>27</v>
      </c>
      <c r="E679" s="2">
        <v>45847</v>
      </c>
      <c r="F679" s="2">
        <v>45847</v>
      </c>
      <c r="G679" s="3">
        <v>24</v>
      </c>
      <c r="H679" s="4" t="s">
        <v>28</v>
      </c>
      <c r="I679">
        <v>46</v>
      </c>
      <c r="J679">
        <v>0</v>
      </c>
      <c r="K679">
        <v>0</v>
      </c>
      <c r="L679" s="3">
        <v>0</v>
      </c>
      <c r="M679" s="3">
        <v>0</v>
      </c>
      <c r="N679">
        <v>0</v>
      </c>
      <c r="O679">
        <v>0</v>
      </c>
      <c r="P679">
        <v>0</v>
      </c>
      <c r="Q679">
        <v>0</v>
      </c>
      <c r="R679" s="3">
        <v>0</v>
      </c>
      <c r="S679" s="3">
        <v>0</v>
      </c>
      <c r="T679">
        <v>0</v>
      </c>
      <c r="U679">
        <v>0</v>
      </c>
      <c r="V679" s="3">
        <v>0</v>
      </c>
      <c r="W679" s="3">
        <v>0</v>
      </c>
      <c r="X679">
        <v>0</v>
      </c>
      <c r="Y679" t="s">
        <v>681</v>
      </c>
    </row>
    <row r="680" spans="1:25" hidden="1" x14ac:dyDescent="0.25">
      <c r="A680" s="1" t="s">
        <v>36</v>
      </c>
      <c r="B680" s="1" t="s">
        <v>114</v>
      </c>
      <c r="C680" s="1" t="s">
        <v>27</v>
      </c>
      <c r="D680" t="s">
        <v>27</v>
      </c>
      <c r="E680" s="2">
        <v>45847</v>
      </c>
      <c r="F680" s="2">
        <v>45847</v>
      </c>
      <c r="G680" s="3">
        <v>24</v>
      </c>
      <c r="H680" s="4" t="s">
        <v>28</v>
      </c>
      <c r="I680">
        <v>46</v>
      </c>
      <c r="J680">
        <v>0</v>
      </c>
      <c r="K680">
        <v>0</v>
      </c>
      <c r="L680" s="3">
        <v>0</v>
      </c>
      <c r="M680" s="3">
        <v>0</v>
      </c>
      <c r="N680">
        <v>0</v>
      </c>
      <c r="O680">
        <v>0</v>
      </c>
      <c r="P680">
        <v>0</v>
      </c>
      <c r="Q680">
        <v>0</v>
      </c>
      <c r="R680" s="3">
        <v>0</v>
      </c>
      <c r="S680" s="3">
        <v>0</v>
      </c>
      <c r="T680">
        <v>0</v>
      </c>
      <c r="U680">
        <v>0</v>
      </c>
      <c r="V680" s="3">
        <v>0</v>
      </c>
      <c r="W680" s="3">
        <v>0</v>
      </c>
      <c r="X680">
        <v>0</v>
      </c>
      <c r="Y680" t="s">
        <v>681</v>
      </c>
    </row>
    <row r="681" spans="1:25" hidden="1" x14ac:dyDescent="0.25">
      <c r="A681" s="1" t="s">
        <v>45</v>
      </c>
      <c r="B681" s="1" t="s">
        <v>116</v>
      </c>
      <c r="C681" s="1" t="s">
        <v>46</v>
      </c>
      <c r="D681" t="s">
        <v>27</v>
      </c>
      <c r="E681" s="2">
        <v>45847</v>
      </c>
      <c r="F681" s="2">
        <v>45847</v>
      </c>
      <c r="G681" s="3">
        <v>46</v>
      </c>
      <c r="H681" s="4" t="s">
        <v>28</v>
      </c>
      <c r="I681">
        <v>66</v>
      </c>
      <c r="J681">
        <v>0</v>
      </c>
      <c r="K681">
        <v>0</v>
      </c>
      <c r="L681" s="3">
        <v>1</v>
      </c>
      <c r="M681" s="3">
        <v>0</v>
      </c>
      <c r="N681">
        <v>0</v>
      </c>
      <c r="O681">
        <v>0</v>
      </c>
      <c r="P681">
        <v>0</v>
      </c>
      <c r="Q681">
        <v>0</v>
      </c>
      <c r="R681" s="3">
        <v>0</v>
      </c>
      <c r="S681" s="3">
        <v>0</v>
      </c>
      <c r="T681">
        <v>0</v>
      </c>
      <c r="U681">
        <v>0</v>
      </c>
      <c r="V681" s="3">
        <v>0</v>
      </c>
      <c r="W681" s="3">
        <v>0</v>
      </c>
      <c r="X681">
        <v>0</v>
      </c>
      <c r="Y681" t="s">
        <v>682</v>
      </c>
    </row>
    <row r="682" spans="1:25" hidden="1" x14ac:dyDescent="0.25">
      <c r="A682" s="1" t="s">
        <v>49</v>
      </c>
      <c r="B682" s="1" t="s">
        <v>118</v>
      </c>
      <c r="C682" s="1" t="s">
        <v>50</v>
      </c>
      <c r="D682" t="s">
        <v>27</v>
      </c>
      <c r="E682" s="2">
        <v>45847</v>
      </c>
      <c r="F682" s="2">
        <v>45847</v>
      </c>
      <c r="G682" s="3">
        <v>35</v>
      </c>
      <c r="H682" s="4" t="s">
        <v>28</v>
      </c>
      <c r="I682">
        <v>51</v>
      </c>
      <c r="J682">
        <v>0</v>
      </c>
      <c r="K682">
        <v>0</v>
      </c>
      <c r="L682" s="3">
        <v>1</v>
      </c>
      <c r="M682" s="3">
        <v>1</v>
      </c>
      <c r="N682">
        <v>0</v>
      </c>
      <c r="O682">
        <v>0</v>
      </c>
      <c r="P682">
        <v>0</v>
      </c>
      <c r="Q682">
        <v>53</v>
      </c>
      <c r="R682" s="3">
        <v>0</v>
      </c>
      <c r="S682" s="3">
        <v>0</v>
      </c>
      <c r="T682">
        <v>0</v>
      </c>
      <c r="U682">
        <v>0</v>
      </c>
      <c r="V682" s="3">
        <v>0</v>
      </c>
      <c r="W682" s="3">
        <v>0</v>
      </c>
      <c r="X682">
        <v>0</v>
      </c>
      <c r="Y682" t="s">
        <v>683</v>
      </c>
    </row>
    <row r="683" spans="1:25" hidden="1" x14ac:dyDescent="0.25">
      <c r="A683" s="1" t="s">
        <v>51</v>
      </c>
      <c r="B683" s="1" t="s">
        <v>120</v>
      </c>
      <c r="C683" s="1" t="s">
        <v>55</v>
      </c>
      <c r="D683" t="s">
        <v>27</v>
      </c>
      <c r="E683" s="2">
        <v>45847</v>
      </c>
      <c r="F683" s="2">
        <v>45847</v>
      </c>
      <c r="G683" s="3">
        <v>48</v>
      </c>
      <c r="H683" s="4" t="s">
        <v>28</v>
      </c>
      <c r="I683">
        <v>62</v>
      </c>
      <c r="J683">
        <v>0</v>
      </c>
      <c r="K683">
        <v>0</v>
      </c>
      <c r="L683" s="3">
        <v>1</v>
      </c>
      <c r="M683" s="3">
        <v>0</v>
      </c>
      <c r="N683">
        <v>1</v>
      </c>
      <c r="O683">
        <v>0</v>
      </c>
      <c r="P683">
        <v>0</v>
      </c>
      <c r="Q683">
        <v>0</v>
      </c>
      <c r="R683" s="3">
        <v>0</v>
      </c>
      <c r="S683" s="3">
        <v>0</v>
      </c>
      <c r="T683">
        <v>0</v>
      </c>
      <c r="U683">
        <v>0</v>
      </c>
      <c r="V683" s="3">
        <v>0</v>
      </c>
      <c r="W683" s="3">
        <v>0</v>
      </c>
      <c r="X683">
        <v>0</v>
      </c>
      <c r="Y683" t="s">
        <v>684</v>
      </c>
    </row>
    <row r="684" spans="1:25" hidden="1" x14ac:dyDescent="0.25">
      <c r="A684" s="1" t="s">
        <v>54</v>
      </c>
      <c r="B684" s="1" t="s">
        <v>122</v>
      </c>
      <c r="C684" s="1" t="s">
        <v>52</v>
      </c>
      <c r="D684" t="s">
        <v>27</v>
      </c>
      <c r="E684" s="2">
        <v>45847</v>
      </c>
      <c r="F684" s="2">
        <v>45847</v>
      </c>
      <c r="G684" s="3">
        <v>37</v>
      </c>
      <c r="H684" s="4" t="s">
        <v>28</v>
      </c>
      <c r="I684">
        <v>29</v>
      </c>
      <c r="J684">
        <v>0</v>
      </c>
      <c r="K684">
        <v>0</v>
      </c>
      <c r="L684" s="3">
        <v>0</v>
      </c>
      <c r="M684" s="3">
        <v>0</v>
      </c>
      <c r="N684">
        <v>0</v>
      </c>
      <c r="O684">
        <v>0</v>
      </c>
      <c r="P684">
        <v>0</v>
      </c>
      <c r="Q684">
        <v>0</v>
      </c>
      <c r="R684" s="3">
        <v>0</v>
      </c>
      <c r="S684" s="3">
        <v>0</v>
      </c>
      <c r="T684">
        <v>0</v>
      </c>
      <c r="U684">
        <v>0</v>
      </c>
      <c r="V684" s="3">
        <v>0</v>
      </c>
      <c r="W684" s="3">
        <v>0</v>
      </c>
      <c r="X684">
        <v>0</v>
      </c>
      <c r="Y684" t="s">
        <v>685</v>
      </c>
    </row>
    <row r="685" spans="1:25" hidden="1" x14ac:dyDescent="0.25">
      <c r="A685" s="1" t="s">
        <v>48</v>
      </c>
      <c r="B685" s="1" t="s">
        <v>149</v>
      </c>
      <c r="C685" s="1" t="s">
        <v>686</v>
      </c>
      <c r="D685" t="s">
        <v>27</v>
      </c>
      <c r="E685" s="2">
        <v>45847</v>
      </c>
      <c r="F685" s="2">
        <v>45847</v>
      </c>
      <c r="G685" s="3">
        <v>42</v>
      </c>
      <c r="H685" s="4" t="s">
        <v>28</v>
      </c>
      <c r="I685">
        <v>46</v>
      </c>
      <c r="J685">
        <v>0</v>
      </c>
      <c r="K685">
        <v>0</v>
      </c>
      <c r="L685" s="3">
        <v>0</v>
      </c>
      <c r="M685" s="3">
        <v>0</v>
      </c>
      <c r="N685">
        <v>0</v>
      </c>
      <c r="O685">
        <v>0</v>
      </c>
      <c r="P685">
        <v>0</v>
      </c>
      <c r="Q685">
        <v>0</v>
      </c>
      <c r="R685" s="3">
        <v>0</v>
      </c>
      <c r="S685" s="3">
        <v>0</v>
      </c>
      <c r="T685">
        <v>0</v>
      </c>
      <c r="U685">
        <v>0</v>
      </c>
      <c r="V685" s="3">
        <v>0</v>
      </c>
      <c r="W685" s="3">
        <v>0</v>
      </c>
      <c r="X685">
        <v>0</v>
      </c>
      <c r="Y685" t="s">
        <v>687</v>
      </c>
    </row>
    <row r="686" spans="1:25" hidden="1" x14ac:dyDescent="0.25">
      <c r="A686" s="1" t="s">
        <v>53</v>
      </c>
      <c r="B686" s="1" t="s">
        <v>142</v>
      </c>
      <c r="C686" s="1" t="s">
        <v>39</v>
      </c>
      <c r="D686" t="s">
        <v>27</v>
      </c>
      <c r="E686" s="2">
        <v>45847</v>
      </c>
      <c r="F686" s="2">
        <v>45847</v>
      </c>
      <c r="G686" s="3">
        <v>30</v>
      </c>
      <c r="H686" s="4" t="s">
        <v>28</v>
      </c>
      <c r="I686">
        <v>30</v>
      </c>
      <c r="J686">
        <v>0</v>
      </c>
      <c r="K686">
        <v>0</v>
      </c>
      <c r="L686" s="3">
        <v>1</v>
      </c>
      <c r="M686" s="3">
        <v>0</v>
      </c>
      <c r="N686">
        <v>0</v>
      </c>
      <c r="O686">
        <v>0</v>
      </c>
      <c r="P686">
        <v>0</v>
      </c>
      <c r="Q686">
        <v>30</v>
      </c>
      <c r="R686" s="3">
        <v>0</v>
      </c>
      <c r="S686" s="3">
        <v>0</v>
      </c>
      <c r="T686">
        <v>0</v>
      </c>
      <c r="U686">
        <v>0</v>
      </c>
      <c r="V686" s="3">
        <v>0</v>
      </c>
      <c r="W686" s="3">
        <v>0</v>
      </c>
      <c r="X686">
        <v>0</v>
      </c>
      <c r="Y686" t="s">
        <v>688</v>
      </c>
    </row>
    <row r="687" spans="1:25" hidden="1" x14ac:dyDescent="0.25">
      <c r="A687" s="1" t="s">
        <v>47</v>
      </c>
      <c r="B687" s="1" t="s">
        <v>589</v>
      </c>
      <c r="C687" s="1" t="s">
        <v>27</v>
      </c>
      <c r="D687" t="s">
        <v>27</v>
      </c>
      <c r="E687" s="2">
        <v>45847</v>
      </c>
      <c r="F687" s="2">
        <v>45847</v>
      </c>
      <c r="G687" s="3">
        <v>31</v>
      </c>
      <c r="H687" s="4" t="s">
        <v>28</v>
      </c>
      <c r="I687">
        <v>50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688</v>
      </c>
    </row>
    <row r="688" spans="1:25" hidden="1" x14ac:dyDescent="0.25">
      <c r="A688" s="1" t="s">
        <v>27</v>
      </c>
      <c r="B688" s="1" t="s">
        <v>112</v>
      </c>
      <c r="C688" s="1" t="s">
        <v>37</v>
      </c>
      <c r="D688" t="s">
        <v>27</v>
      </c>
      <c r="E688" s="2">
        <v>45847</v>
      </c>
      <c r="F688" s="2">
        <v>45847</v>
      </c>
      <c r="G688" s="3">
        <v>32</v>
      </c>
      <c r="H688" s="4" t="s">
        <v>782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688</v>
      </c>
    </row>
    <row r="689" spans="1:25" hidden="1" x14ac:dyDescent="0.25">
      <c r="A689" s="1" t="s">
        <v>25</v>
      </c>
      <c r="B689" s="1" t="s">
        <v>96</v>
      </c>
      <c r="C689" s="1" t="s">
        <v>26</v>
      </c>
      <c r="D689" t="s">
        <v>27</v>
      </c>
      <c r="E689" s="2">
        <v>45848</v>
      </c>
      <c r="F689" s="2">
        <v>45848</v>
      </c>
      <c r="G689" s="3">
        <v>76</v>
      </c>
      <c r="H689" s="4" t="s">
        <v>28</v>
      </c>
      <c r="I689">
        <v>73</v>
      </c>
      <c r="J689">
        <v>0</v>
      </c>
      <c r="K689">
        <v>0</v>
      </c>
      <c r="L689" s="3">
        <v>1</v>
      </c>
      <c r="M689" s="3">
        <v>0</v>
      </c>
      <c r="N689">
        <v>1</v>
      </c>
      <c r="O689">
        <v>0</v>
      </c>
      <c r="P689">
        <v>0</v>
      </c>
      <c r="Q689">
        <v>0</v>
      </c>
      <c r="R689" s="3">
        <v>0</v>
      </c>
      <c r="S689" s="3">
        <v>0</v>
      </c>
      <c r="T689">
        <v>0</v>
      </c>
      <c r="U689">
        <v>0</v>
      </c>
      <c r="V689" s="3">
        <v>0</v>
      </c>
      <c r="W689" s="3">
        <v>0</v>
      </c>
      <c r="X689">
        <v>0</v>
      </c>
      <c r="Y689" t="s">
        <v>689</v>
      </c>
    </row>
    <row r="690" spans="1:25" hidden="1" x14ac:dyDescent="0.25">
      <c r="A690" s="1" t="s">
        <v>58</v>
      </c>
      <c r="B690" s="1" t="s">
        <v>123</v>
      </c>
      <c r="C690" s="1" t="s">
        <v>27</v>
      </c>
      <c r="D690" t="s">
        <v>27</v>
      </c>
      <c r="E690" s="2">
        <v>45848</v>
      </c>
      <c r="F690" s="2">
        <v>45848</v>
      </c>
      <c r="G690" s="3">
        <v>39</v>
      </c>
      <c r="H690" s="4" t="s">
        <v>180</v>
      </c>
      <c r="I690">
        <v>0</v>
      </c>
      <c r="J690">
        <v>0</v>
      </c>
      <c r="K690">
        <v>0</v>
      </c>
      <c r="L690" s="3">
        <v>0</v>
      </c>
      <c r="M690" s="3">
        <v>0</v>
      </c>
      <c r="N690">
        <v>0</v>
      </c>
      <c r="O690">
        <v>0</v>
      </c>
      <c r="P690">
        <v>0</v>
      </c>
      <c r="Q690">
        <v>0</v>
      </c>
      <c r="R690" s="3">
        <v>0</v>
      </c>
      <c r="S690" s="3">
        <v>0</v>
      </c>
      <c r="T690">
        <v>0</v>
      </c>
      <c r="U690">
        <v>0</v>
      </c>
      <c r="V690" s="3">
        <v>0</v>
      </c>
      <c r="W690" s="3">
        <v>0</v>
      </c>
      <c r="X690">
        <v>0</v>
      </c>
      <c r="Y690" t="s">
        <v>550</v>
      </c>
    </row>
    <row r="691" spans="1:25" hidden="1" x14ac:dyDescent="0.25">
      <c r="A691" s="1" t="s">
        <v>56</v>
      </c>
      <c r="B691" s="1" t="s">
        <v>98</v>
      </c>
      <c r="C691" s="1" t="s">
        <v>37</v>
      </c>
      <c r="D691" t="s">
        <v>27</v>
      </c>
      <c r="E691" s="2">
        <v>45848</v>
      </c>
      <c r="F691" s="2">
        <v>45848</v>
      </c>
      <c r="G691" s="3">
        <v>28</v>
      </c>
      <c r="H691" s="4" t="s">
        <v>28</v>
      </c>
      <c r="I691">
        <v>91</v>
      </c>
      <c r="J691">
        <v>0</v>
      </c>
      <c r="K691">
        <v>0</v>
      </c>
      <c r="L691" s="3">
        <v>1</v>
      </c>
      <c r="M691" s="3">
        <v>0</v>
      </c>
      <c r="N691">
        <v>0</v>
      </c>
      <c r="O691">
        <v>0</v>
      </c>
      <c r="P691">
        <v>0</v>
      </c>
      <c r="Q691">
        <v>0</v>
      </c>
      <c r="R691" s="3">
        <v>0</v>
      </c>
      <c r="S691" s="3">
        <v>0</v>
      </c>
      <c r="T691">
        <v>0</v>
      </c>
      <c r="U691">
        <v>0</v>
      </c>
      <c r="V691" s="3">
        <v>0</v>
      </c>
      <c r="W691" s="3">
        <v>0</v>
      </c>
      <c r="X691">
        <v>0</v>
      </c>
      <c r="Y691" t="s">
        <v>690</v>
      </c>
    </row>
    <row r="692" spans="1:25" hidden="1" x14ac:dyDescent="0.25">
      <c r="A692" s="1" t="s">
        <v>29</v>
      </c>
      <c r="B692" s="1" t="s">
        <v>100</v>
      </c>
      <c r="C692" s="1" t="s">
        <v>245</v>
      </c>
      <c r="D692" t="s">
        <v>27</v>
      </c>
      <c r="E692" s="2">
        <v>45848</v>
      </c>
      <c r="F692" s="2">
        <v>45848</v>
      </c>
      <c r="G692" s="3">
        <v>48</v>
      </c>
      <c r="H692" s="4" t="s">
        <v>28</v>
      </c>
      <c r="I692">
        <v>30</v>
      </c>
      <c r="J692">
        <v>0</v>
      </c>
      <c r="K692">
        <v>0</v>
      </c>
      <c r="L692" s="3">
        <v>0</v>
      </c>
      <c r="M692" s="3">
        <v>0</v>
      </c>
      <c r="N692">
        <v>0</v>
      </c>
      <c r="O692">
        <v>0</v>
      </c>
      <c r="P692">
        <v>0</v>
      </c>
      <c r="Q692">
        <v>0</v>
      </c>
      <c r="R692" s="3">
        <v>0</v>
      </c>
      <c r="S692" s="3">
        <v>0</v>
      </c>
      <c r="T692">
        <v>0</v>
      </c>
      <c r="U692">
        <v>0</v>
      </c>
      <c r="V692" s="3">
        <v>0</v>
      </c>
      <c r="W692" s="3">
        <v>0</v>
      </c>
      <c r="X692">
        <v>0</v>
      </c>
      <c r="Y692" t="s">
        <v>691</v>
      </c>
    </row>
    <row r="693" spans="1:25" hidden="1" x14ac:dyDescent="0.25">
      <c r="A693" s="1" t="s">
        <v>344</v>
      </c>
      <c r="B693" s="1" t="s">
        <v>102</v>
      </c>
      <c r="C693" s="1" t="s">
        <v>35</v>
      </c>
      <c r="D693" t="s">
        <v>27</v>
      </c>
      <c r="E693" s="2">
        <v>45848</v>
      </c>
      <c r="F693" s="2">
        <v>45848</v>
      </c>
      <c r="G693" s="3">
        <v>40</v>
      </c>
      <c r="H693" s="4" t="s">
        <v>28</v>
      </c>
      <c r="I693">
        <v>36</v>
      </c>
      <c r="J693">
        <v>0</v>
      </c>
      <c r="K693">
        <v>0</v>
      </c>
      <c r="L693" s="3">
        <v>0</v>
      </c>
      <c r="M693" s="3">
        <v>0</v>
      </c>
      <c r="N693">
        <v>0</v>
      </c>
      <c r="O693">
        <v>0</v>
      </c>
      <c r="P693">
        <v>0</v>
      </c>
      <c r="Q693">
        <v>0</v>
      </c>
      <c r="R693" s="3">
        <v>0</v>
      </c>
      <c r="S693" s="3">
        <v>0</v>
      </c>
      <c r="T693">
        <v>0</v>
      </c>
      <c r="U693">
        <v>0</v>
      </c>
      <c r="V693" s="3">
        <v>0</v>
      </c>
      <c r="W693" s="3">
        <v>0</v>
      </c>
      <c r="X693">
        <v>0</v>
      </c>
      <c r="Y693" t="s">
        <v>692</v>
      </c>
    </row>
    <row r="694" spans="1:25" hidden="1" x14ac:dyDescent="0.25">
      <c r="A694" s="1" t="s">
        <v>31</v>
      </c>
      <c r="B694" s="1" t="s">
        <v>104</v>
      </c>
      <c r="C694" s="1" t="s">
        <v>32</v>
      </c>
      <c r="D694" t="s">
        <v>27</v>
      </c>
      <c r="E694" s="2">
        <v>45848</v>
      </c>
      <c r="F694" s="2">
        <v>45848</v>
      </c>
      <c r="G694" s="3">
        <v>51</v>
      </c>
      <c r="H694" s="4" t="s">
        <v>28</v>
      </c>
      <c r="I694">
        <v>71</v>
      </c>
      <c r="J694">
        <v>0</v>
      </c>
      <c r="K694">
        <v>0</v>
      </c>
      <c r="L694" s="3">
        <v>0</v>
      </c>
      <c r="M694" s="3">
        <v>0</v>
      </c>
      <c r="N694">
        <v>0</v>
      </c>
      <c r="O694">
        <v>0</v>
      </c>
      <c r="P694">
        <v>0</v>
      </c>
      <c r="Q694">
        <v>50</v>
      </c>
      <c r="R694" s="3">
        <v>0</v>
      </c>
      <c r="S694" s="3">
        <v>0</v>
      </c>
      <c r="T694">
        <v>0</v>
      </c>
      <c r="U694">
        <v>0</v>
      </c>
      <c r="V694" s="3">
        <v>0</v>
      </c>
      <c r="W694" s="3">
        <v>0</v>
      </c>
      <c r="X694">
        <v>0</v>
      </c>
      <c r="Y694" t="s">
        <v>693</v>
      </c>
    </row>
    <row r="695" spans="1:25" hidden="1" x14ac:dyDescent="0.25">
      <c r="A695" s="1" t="s">
        <v>33</v>
      </c>
      <c r="B695" s="1" t="s">
        <v>106</v>
      </c>
      <c r="C695" s="1" t="s">
        <v>57</v>
      </c>
      <c r="D695" t="s">
        <v>27</v>
      </c>
      <c r="E695" s="2">
        <v>45848</v>
      </c>
      <c r="F695" s="2">
        <v>45848</v>
      </c>
      <c r="G695" s="3">
        <v>39</v>
      </c>
      <c r="H695" s="4" t="s">
        <v>28</v>
      </c>
      <c r="I695">
        <v>36</v>
      </c>
      <c r="J695">
        <v>0</v>
      </c>
      <c r="K695">
        <v>0</v>
      </c>
      <c r="L695" s="3">
        <v>0</v>
      </c>
      <c r="M695" s="3">
        <v>0</v>
      </c>
      <c r="N695">
        <v>0</v>
      </c>
      <c r="O695">
        <v>0</v>
      </c>
      <c r="P695">
        <v>0</v>
      </c>
      <c r="Q695">
        <v>0</v>
      </c>
      <c r="R695" s="3">
        <v>0</v>
      </c>
      <c r="S695" s="3">
        <v>0</v>
      </c>
      <c r="T695">
        <v>0</v>
      </c>
      <c r="U695">
        <v>0</v>
      </c>
      <c r="V695" s="3">
        <v>0</v>
      </c>
      <c r="W695" s="3">
        <v>0</v>
      </c>
      <c r="X695">
        <v>0</v>
      </c>
      <c r="Y695" t="s">
        <v>694</v>
      </c>
    </row>
    <row r="696" spans="1:25" hidden="1" x14ac:dyDescent="0.25">
      <c r="A696" s="1" t="s">
        <v>38</v>
      </c>
      <c r="B696" s="1" t="s">
        <v>108</v>
      </c>
      <c r="C696" s="1" t="s">
        <v>39</v>
      </c>
      <c r="D696" t="s">
        <v>27</v>
      </c>
      <c r="E696" s="2">
        <v>45848</v>
      </c>
      <c r="F696" s="2">
        <v>45848</v>
      </c>
      <c r="G696" s="3">
        <v>53</v>
      </c>
      <c r="H696" s="4" t="s">
        <v>28</v>
      </c>
      <c r="I696">
        <v>29</v>
      </c>
      <c r="J696">
        <v>0</v>
      </c>
      <c r="K696">
        <v>0</v>
      </c>
      <c r="L696" s="3">
        <v>0</v>
      </c>
      <c r="M696" s="3">
        <v>0</v>
      </c>
      <c r="N696">
        <v>0</v>
      </c>
      <c r="O696">
        <v>0</v>
      </c>
      <c r="P696">
        <v>0</v>
      </c>
      <c r="Q696">
        <v>29</v>
      </c>
      <c r="R696" s="3">
        <v>0</v>
      </c>
      <c r="S696" s="3">
        <v>0</v>
      </c>
      <c r="T696">
        <v>0</v>
      </c>
      <c r="U696">
        <v>0</v>
      </c>
      <c r="V696" s="3">
        <v>0</v>
      </c>
      <c r="W696" s="3">
        <v>0</v>
      </c>
      <c r="X696">
        <v>0</v>
      </c>
      <c r="Y696" t="s">
        <v>695</v>
      </c>
    </row>
    <row r="697" spans="1:25" hidden="1" x14ac:dyDescent="0.25">
      <c r="A697" s="1" t="s">
        <v>40</v>
      </c>
      <c r="B697" s="1" t="s">
        <v>110</v>
      </c>
      <c r="C697" s="1" t="s">
        <v>40</v>
      </c>
      <c r="D697" t="s">
        <v>27</v>
      </c>
      <c r="E697" s="2">
        <v>45848</v>
      </c>
      <c r="F697" s="2">
        <v>45848</v>
      </c>
      <c r="G697" s="3">
        <v>56</v>
      </c>
      <c r="H697" s="4" t="s">
        <v>28</v>
      </c>
      <c r="I697">
        <v>25</v>
      </c>
      <c r="J697">
        <v>0</v>
      </c>
      <c r="K697">
        <v>0</v>
      </c>
      <c r="L697" s="3">
        <v>0</v>
      </c>
      <c r="M697" s="3">
        <v>0</v>
      </c>
      <c r="N697">
        <v>1</v>
      </c>
      <c r="O697">
        <v>0</v>
      </c>
      <c r="P697">
        <v>0</v>
      </c>
      <c r="Q697">
        <v>0</v>
      </c>
      <c r="R697" s="3">
        <v>0</v>
      </c>
      <c r="S697" s="3">
        <v>0</v>
      </c>
      <c r="T697">
        <v>0</v>
      </c>
      <c r="U697">
        <v>0</v>
      </c>
      <c r="V697" s="3">
        <v>0</v>
      </c>
      <c r="W697" s="3">
        <v>0</v>
      </c>
      <c r="X697">
        <v>0</v>
      </c>
      <c r="Y697" t="s">
        <v>696</v>
      </c>
    </row>
    <row r="698" spans="1:25" hidden="1" x14ac:dyDescent="0.25">
      <c r="A698" s="1" t="s">
        <v>41</v>
      </c>
      <c r="B698" s="1" t="s">
        <v>112</v>
      </c>
      <c r="C698" s="1" t="s">
        <v>42</v>
      </c>
      <c r="D698" t="s">
        <v>27</v>
      </c>
      <c r="E698" s="2">
        <v>45848</v>
      </c>
      <c r="F698" s="2">
        <v>45848</v>
      </c>
      <c r="G698" s="3">
        <v>34</v>
      </c>
      <c r="H698" s="4" t="s">
        <v>28</v>
      </c>
      <c r="I698">
        <v>46</v>
      </c>
      <c r="J698">
        <v>0</v>
      </c>
      <c r="K698">
        <v>0</v>
      </c>
      <c r="L698" s="3">
        <v>1</v>
      </c>
      <c r="M698" s="3">
        <v>0</v>
      </c>
      <c r="N698">
        <v>0</v>
      </c>
      <c r="O698">
        <v>0</v>
      </c>
      <c r="P698">
        <v>0</v>
      </c>
      <c r="Q698">
        <v>0</v>
      </c>
      <c r="R698" s="3">
        <v>0</v>
      </c>
      <c r="S698" s="3">
        <v>0</v>
      </c>
      <c r="T698">
        <v>0</v>
      </c>
      <c r="U698">
        <v>0</v>
      </c>
      <c r="V698" s="3">
        <v>0</v>
      </c>
      <c r="W698" s="3">
        <v>0</v>
      </c>
      <c r="X698">
        <v>0</v>
      </c>
      <c r="Y698" t="s">
        <v>697</v>
      </c>
    </row>
    <row r="699" spans="1:25" hidden="1" x14ac:dyDescent="0.25">
      <c r="A699" s="1" t="s">
        <v>43</v>
      </c>
      <c r="B699" s="1" t="s">
        <v>114</v>
      </c>
      <c r="C699" s="1" t="s">
        <v>27</v>
      </c>
      <c r="D699" t="s">
        <v>27</v>
      </c>
      <c r="E699" s="2">
        <v>45848</v>
      </c>
      <c r="F699" s="2">
        <v>45848</v>
      </c>
      <c r="G699" s="3">
        <v>33</v>
      </c>
      <c r="H699" s="4" t="s">
        <v>28</v>
      </c>
      <c r="I699">
        <v>58</v>
      </c>
      <c r="J699">
        <v>0</v>
      </c>
      <c r="K699">
        <v>0</v>
      </c>
      <c r="L699" s="3">
        <v>1</v>
      </c>
      <c r="M699" s="3">
        <v>0</v>
      </c>
      <c r="N699">
        <v>0</v>
      </c>
      <c r="O699">
        <v>0</v>
      </c>
      <c r="P699">
        <v>0</v>
      </c>
      <c r="Q699">
        <v>0</v>
      </c>
      <c r="R699" s="3">
        <v>0</v>
      </c>
      <c r="S699" s="3">
        <v>0</v>
      </c>
      <c r="T699">
        <v>0</v>
      </c>
      <c r="U699">
        <v>0</v>
      </c>
      <c r="V699" s="3">
        <v>0</v>
      </c>
      <c r="W699" s="3">
        <v>0</v>
      </c>
      <c r="X699">
        <v>0</v>
      </c>
      <c r="Y699" t="s">
        <v>698</v>
      </c>
    </row>
    <row r="700" spans="1:25" hidden="1" x14ac:dyDescent="0.25">
      <c r="A700" s="1" t="s">
        <v>36</v>
      </c>
      <c r="B700" s="1" t="s">
        <v>114</v>
      </c>
      <c r="C700" s="1" t="s">
        <v>27</v>
      </c>
      <c r="D700" t="s">
        <v>27</v>
      </c>
      <c r="E700" s="2">
        <v>45848</v>
      </c>
      <c r="F700" s="2">
        <v>45848</v>
      </c>
      <c r="G700" s="3">
        <v>33</v>
      </c>
      <c r="H700" s="4" t="s">
        <v>28</v>
      </c>
      <c r="I700">
        <v>58</v>
      </c>
      <c r="J700">
        <v>0</v>
      </c>
      <c r="K700">
        <v>0</v>
      </c>
      <c r="L700" s="3">
        <v>1</v>
      </c>
      <c r="M700" s="3">
        <v>0</v>
      </c>
      <c r="N700">
        <v>0</v>
      </c>
      <c r="O700">
        <v>0</v>
      </c>
      <c r="P700">
        <v>0</v>
      </c>
      <c r="Q700">
        <v>0</v>
      </c>
      <c r="R700" s="3">
        <v>0</v>
      </c>
      <c r="S700" s="3">
        <v>0</v>
      </c>
      <c r="T700">
        <v>0</v>
      </c>
      <c r="U700">
        <v>0</v>
      </c>
      <c r="V700" s="3">
        <v>0</v>
      </c>
      <c r="W700" s="3">
        <v>0</v>
      </c>
      <c r="X700">
        <v>0</v>
      </c>
      <c r="Y700" t="s">
        <v>698</v>
      </c>
    </row>
    <row r="701" spans="1:25" hidden="1" x14ac:dyDescent="0.25">
      <c r="A701" s="1" t="s">
        <v>45</v>
      </c>
      <c r="B701" s="1" t="s">
        <v>116</v>
      </c>
      <c r="C701" s="1" t="s">
        <v>46</v>
      </c>
      <c r="D701" t="s">
        <v>27</v>
      </c>
      <c r="E701" s="2">
        <v>45848</v>
      </c>
      <c r="F701" s="2">
        <v>45848</v>
      </c>
      <c r="G701" s="3">
        <v>39</v>
      </c>
      <c r="H701" s="4" t="s">
        <v>28</v>
      </c>
      <c r="I701">
        <v>37</v>
      </c>
      <c r="J701">
        <v>0</v>
      </c>
      <c r="K701">
        <v>0</v>
      </c>
      <c r="L701" s="3">
        <v>0</v>
      </c>
      <c r="M701" s="3">
        <v>0</v>
      </c>
      <c r="N701">
        <v>0</v>
      </c>
      <c r="O701">
        <v>0</v>
      </c>
      <c r="P701">
        <v>0</v>
      </c>
      <c r="Q701">
        <v>0</v>
      </c>
      <c r="R701" s="3">
        <v>0</v>
      </c>
      <c r="S701" s="3">
        <v>0</v>
      </c>
      <c r="T701">
        <v>0</v>
      </c>
      <c r="U701">
        <v>0</v>
      </c>
      <c r="V701" s="3">
        <v>0</v>
      </c>
      <c r="W701" s="3">
        <v>0</v>
      </c>
      <c r="X701">
        <v>0</v>
      </c>
      <c r="Y701" t="s">
        <v>699</v>
      </c>
    </row>
    <row r="702" spans="1:25" hidden="1" x14ac:dyDescent="0.25">
      <c r="A702" s="1" t="s">
        <v>49</v>
      </c>
      <c r="B702" s="1" t="s">
        <v>118</v>
      </c>
      <c r="C702" s="1" t="s">
        <v>50</v>
      </c>
      <c r="D702" t="s">
        <v>27</v>
      </c>
      <c r="E702" s="2">
        <v>45848</v>
      </c>
      <c r="F702" s="2">
        <v>45848</v>
      </c>
      <c r="G702" s="3">
        <v>25</v>
      </c>
      <c r="H702" s="4" t="s">
        <v>28</v>
      </c>
      <c r="I702">
        <v>50</v>
      </c>
      <c r="J702">
        <v>0</v>
      </c>
      <c r="K702">
        <v>0</v>
      </c>
      <c r="L702" s="3">
        <v>1</v>
      </c>
      <c r="M702" s="3">
        <v>1</v>
      </c>
      <c r="N702">
        <v>0</v>
      </c>
      <c r="O702">
        <v>1</v>
      </c>
      <c r="P702">
        <v>0</v>
      </c>
      <c r="Q702">
        <v>0</v>
      </c>
      <c r="R702" s="3">
        <v>0</v>
      </c>
      <c r="S702" s="3">
        <v>0</v>
      </c>
      <c r="T702">
        <v>0</v>
      </c>
      <c r="U702">
        <v>0</v>
      </c>
      <c r="V702" s="3">
        <v>0</v>
      </c>
      <c r="W702" s="3">
        <v>0</v>
      </c>
      <c r="X702">
        <v>0</v>
      </c>
      <c r="Y702" t="s">
        <v>700</v>
      </c>
    </row>
    <row r="703" spans="1:25" hidden="1" x14ac:dyDescent="0.25">
      <c r="A703" s="1" t="s">
        <v>51</v>
      </c>
      <c r="B703" s="1" t="s">
        <v>120</v>
      </c>
      <c r="C703" s="1" t="s">
        <v>55</v>
      </c>
      <c r="D703" t="s">
        <v>27</v>
      </c>
      <c r="E703" s="2">
        <v>45848</v>
      </c>
      <c r="F703" s="2">
        <v>45848</v>
      </c>
      <c r="G703" s="3">
        <v>65</v>
      </c>
      <c r="H703" s="4" t="s">
        <v>28</v>
      </c>
      <c r="I703">
        <v>39</v>
      </c>
      <c r="J703">
        <v>0</v>
      </c>
      <c r="K703">
        <v>0</v>
      </c>
      <c r="L703" s="3">
        <v>0</v>
      </c>
      <c r="M703" s="3">
        <v>0</v>
      </c>
      <c r="N703">
        <v>1</v>
      </c>
      <c r="O703">
        <v>0</v>
      </c>
      <c r="P703">
        <v>0</v>
      </c>
      <c r="Q703">
        <v>0</v>
      </c>
      <c r="R703" s="3">
        <v>0</v>
      </c>
      <c r="S703" s="3">
        <v>0</v>
      </c>
      <c r="T703">
        <v>0</v>
      </c>
      <c r="U703">
        <v>0</v>
      </c>
      <c r="V703" s="3">
        <v>0</v>
      </c>
      <c r="W703" s="3">
        <v>0</v>
      </c>
      <c r="X703">
        <v>0</v>
      </c>
      <c r="Y703" t="s">
        <v>701</v>
      </c>
    </row>
    <row r="704" spans="1:25" hidden="1" x14ac:dyDescent="0.25">
      <c r="A704" s="1" t="s">
        <v>54</v>
      </c>
      <c r="B704" s="1" t="s">
        <v>122</v>
      </c>
      <c r="C704" s="1" t="s">
        <v>52</v>
      </c>
      <c r="D704" t="s">
        <v>27</v>
      </c>
      <c r="E704" s="2">
        <v>45848</v>
      </c>
      <c r="F704" s="2">
        <v>45848</v>
      </c>
      <c r="G704" s="3">
        <v>52</v>
      </c>
      <c r="H704" s="4" t="s">
        <v>28</v>
      </c>
      <c r="I704">
        <v>70</v>
      </c>
      <c r="J704">
        <v>0</v>
      </c>
      <c r="K704">
        <v>0</v>
      </c>
      <c r="L704" s="3">
        <v>0</v>
      </c>
      <c r="M704" s="3">
        <v>0</v>
      </c>
      <c r="N704">
        <v>0</v>
      </c>
      <c r="O704">
        <v>0</v>
      </c>
      <c r="P704">
        <v>0</v>
      </c>
      <c r="Q704">
        <v>0</v>
      </c>
      <c r="R704" s="3">
        <v>0</v>
      </c>
      <c r="S704" s="3">
        <v>0</v>
      </c>
      <c r="T704">
        <v>0</v>
      </c>
      <c r="U704">
        <v>0</v>
      </c>
      <c r="V704" s="3">
        <v>0</v>
      </c>
      <c r="W704" s="3">
        <v>0</v>
      </c>
      <c r="X704">
        <v>0</v>
      </c>
      <c r="Y704" t="s">
        <v>702</v>
      </c>
    </row>
    <row r="705" spans="1:25" hidden="1" x14ac:dyDescent="0.25">
      <c r="A705" s="1" t="s">
        <v>48</v>
      </c>
      <c r="B705" s="1" t="s">
        <v>149</v>
      </c>
      <c r="C705" s="1" t="s">
        <v>489</v>
      </c>
      <c r="D705" t="s">
        <v>27</v>
      </c>
      <c r="E705" s="2">
        <v>45848</v>
      </c>
      <c r="F705" s="2">
        <v>45848</v>
      </c>
      <c r="G705" s="3">
        <v>26</v>
      </c>
      <c r="H705" s="4" t="s">
        <v>28</v>
      </c>
      <c r="I705">
        <v>75</v>
      </c>
      <c r="J705">
        <v>0</v>
      </c>
      <c r="K705">
        <v>0</v>
      </c>
      <c r="L705" s="3">
        <v>0</v>
      </c>
      <c r="M705" s="3">
        <v>0</v>
      </c>
      <c r="N705">
        <v>0</v>
      </c>
      <c r="O705">
        <v>0</v>
      </c>
      <c r="P705">
        <v>8</v>
      </c>
      <c r="Q705">
        <v>0</v>
      </c>
      <c r="R705" s="3">
        <v>0</v>
      </c>
      <c r="S705" s="3">
        <v>0</v>
      </c>
      <c r="T705">
        <v>0</v>
      </c>
      <c r="U705">
        <v>0</v>
      </c>
      <c r="V705" s="3">
        <v>0</v>
      </c>
      <c r="W705" s="3">
        <v>0</v>
      </c>
      <c r="X705">
        <v>0</v>
      </c>
      <c r="Y705" t="s">
        <v>703</v>
      </c>
    </row>
    <row r="706" spans="1:25" hidden="1" x14ac:dyDescent="0.25">
      <c r="A706" s="1" t="s">
        <v>53</v>
      </c>
      <c r="B706" s="1" t="s">
        <v>142</v>
      </c>
      <c r="C706" s="1" t="s">
        <v>39</v>
      </c>
      <c r="D706" t="s">
        <v>27</v>
      </c>
      <c r="E706" s="2">
        <v>45848</v>
      </c>
      <c r="F706" s="2">
        <v>45848</v>
      </c>
      <c r="G706" s="3">
        <v>38</v>
      </c>
      <c r="H706" s="4" t="s">
        <v>28</v>
      </c>
      <c r="I706">
        <v>21</v>
      </c>
      <c r="J706">
        <v>0</v>
      </c>
      <c r="K706">
        <v>0</v>
      </c>
      <c r="L706" s="3">
        <v>1</v>
      </c>
      <c r="M706" s="3">
        <v>0</v>
      </c>
      <c r="N706">
        <v>0</v>
      </c>
      <c r="O706">
        <v>0</v>
      </c>
      <c r="P706">
        <v>0</v>
      </c>
      <c r="Q706">
        <v>21</v>
      </c>
      <c r="R706" s="3">
        <v>0</v>
      </c>
      <c r="S706" s="3">
        <v>0</v>
      </c>
      <c r="T706">
        <v>0</v>
      </c>
      <c r="U706">
        <v>0</v>
      </c>
      <c r="V706" s="3">
        <v>0</v>
      </c>
      <c r="W706" s="3">
        <v>0</v>
      </c>
      <c r="X706">
        <v>0</v>
      </c>
      <c r="Y706" t="s">
        <v>704</v>
      </c>
    </row>
    <row r="707" spans="1:25" hidden="1" x14ac:dyDescent="0.25">
      <c r="A707" s="1" t="s">
        <v>34</v>
      </c>
      <c r="B707" s="1" t="s">
        <v>589</v>
      </c>
      <c r="C707" s="1" t="s">
        <v>27</v>
      </c>
      <c r="D707" t="s">
        <v>27</v>
      </c>
      <c r="E707" s="2">
        <v>45848</v>
      </c>
      <c r="F707" s="2">
        <v>45848</v>
      </c>
      <c r="G707" s="3">
        <v>38</v>
      </c>
      <c r="H707" s="4" t="s">
        <v>250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704</v>
      </c>
    </row>
    <row r="708" spans="1:25" hidden="1" x14ac:dyDescent="0.25">
      <c r="A708" s="1" t="s">
        <v>47</v>
      </c>
      <c r="B708" s="1" t="s">
        <v>112</v>
      </c>
      <c r="C708" s="1" t="s">
        <v>27</v>
      </c>
      <c r="D708" t="s">
        <v>27</v>
      </c>
      <c r="E708" s="2">
        <v>45848</v>
      </c>
      <c r="F708" s="2">
        <v>45848</v>
      </c>
      <c r="G708" s="3">
        <v>38</v>
      </c>
      <c r="H708" s="4" t="s">
        <v>763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704</v>
      </c>
    </row>
    <row r="709" spans="1:25" hidden="1" x14ac:dyDescent="0.25">
      <c r="A709" s="1" t="s">
        <v>25</v>
      </c>
      <c r="B709" s="1" t="s">
        <v>96</v>
      </c>
      <c r="C709" s="1" t="s">
        <v>26</v>
      </c>
      <c r="D709" s="1" t="s">
        <v>27</v>
      </c>
      <c r="E709" s="2">
        <v>45849</v>
      </c>
      <c r="F709" s="2">
        <v>45849</v>
      </c>
      <c r="G709" s="3">
        <v>33</v>
      </c>
      <c r="H709" s="4" t="s">
        <v>28</v>
      </c>
      <c r="I709">
        <v>32</v>
      </c>
      <c r="J709">
        <v>0</v>
      </c>
      <c r="K709">
        <v>0</v>
      </c>
      <c r="L709" s="3">
        <v>0</v>
      </c>
      <c r="M709" s="3">
        <v>0</v>
      </c>
      <c r="N709">
        <v>1</v>
      </c>
      <c r="O709">
        <v>0</v>
      </c>
      <c r="P709">
        <v>0</v>
      </c>
      <c r="Q709">
        <v>0</v>
      </c>
      <c r="R709" s="3">
        <v>0</v>
      </c>
      <c r="S709" s="3">
        <v>0</v>
      </c>
      <c r="T709">
        <v>0</v>
      </c>
      <c r="U709">
        <v>0</v>
      </c>
      <c r="V709" s="3">
        <v>0</v>
      </c>
      <c r="W709" s="3">
        <v>0</v>
      </c>
      <c r="X709">
        <v>0</v>
      </c>
      <c r="Y709" t="s">
        <v>705</v>
      </c>
    </row>
    <row r="710" spans="1:25" hidden="1" x14ac:dyDescent="0.25">
      <c r="A710" s="1" t="s">
        <v>58</v>
      </c>
      <c r="B710" s="1" t="s">
        <v>123</v>
      </c>
      <c r="C710" s="1" t="s">
        <v>27</v>
      </c>
      <c r="D710" t="s">
        <v>27</v>
      </c>
      <c r="E710" s="2">
        <v>45849</v>
      </c>
      <c r="F710" s="2">
        <v>45849</v>
      </c>
      <c r="G710" s="3">
        <v>39</v>
      </c>
      <c r="H710" s="4" t="s">
        <v>180</v>
      </c>
      <c r="I710">
        <v>0</v>
      </c>
      <c r="J710">
        <v>0</v>
      </c>
      <c r="K710">
        <v>0</v>
      </c>
      <c r="L710" s="3">
        <v>0</v>
      </c>
      <c r="M710" s="3">
        <v>0</v>
      </c>
      <c r="N710">
        <v>0</v>
      </c>
      <c r="O710">
        <v>0</v>
      </c>
      <c r="P710">
        <v>0</v>
      </c>
      <c r="Q710">
        <v>0</v>
      </c>
      <c r="R710" s="3">
        <v>0</v>
      </c>
      <c r="S710" s="3">
        <v>0</v>
      </c>
      <c r="T710">
        <v>0</v>
      </c>
      <c r="U710">
        <v>0</v>
      </c>
      <c r="V710" s="3">
        <v>0</v>
      </c>
      <c r="W710" s="3">
        <v>0</v>
      </c>
      <c r="X710">
        <v>0</v>
      </c>
      <c r="Y710" t="s">
        <v>550</v>
      </c>
    </row>
    <row r="711" spans="1:25" hidden="1" x14ac:dyDescent="0.25">
      <c r="A711" s="1" t="s">
        <v>56</v>
      </c>
      <c r="B711" s="1" t="s">
        <v>98</v>
      </c>
      <c r="C711" s="1" t="s">
        <v>37</v>
      </c>
      <c r="D711" s="1" t="s">
        <v>27</v>
      </c>
      <c r="E711" s="2">
        <v>45849</v>
      </c>
      <c r="F711" s="2">
        <v>45849</v>
      </c>
      <c r="G711" s="3">
        <v>28</v>
      </c>
      <c r="H711" s="4" t="s">
        <v>28</v>
      </c>
      <c r="I711">
        <v>84</v>
      </c>
      <c r="J711">
        <v>0</v>
      </c>
      <c r="K711">
        <v>0</v>
      </c>
      <c r="L711" s="3">
        <v>1</v>
      </c>
      <c r="M711" s="3">
        <v>0</v>
      </c>
      <c r="N711">
        <v>0</v>
      </c>
      <c r="O711">
        <v>0</v>
      </c>
      <c r="P711">
        <v>0</v>
      </c>
      <c r="Q711">
        <v>0</v>
      </c>
      <c r="R711" s="3">
        <v>0</v>
      </c>
      <c r="S711" s="3">
        <v>0</v>
      </c>
      <c r="T711">
        <v>0</v>
      </c>
      <c r="U711">
        <v>0</v>
      </c>
      <c r="V711" s="3">
        <v>0</v>
      </c>
      <c r="W711" s="3">
        <v>0</v>
      </c>
      <c r="X711">
        <v>0</v>
      </c>
      <c r="Y711" t="s">
        <v>706</v>
      </c>
    </row>
    <row r="712" spans="1:25" hidden="1" x14ac:dyDescent="0.25">
      <c r="A712" s="1" t="s">
        <v>29</v>
      </c>
      <c r="B712" s="1" t="s">
        <v>100</v>
      </c>
      <c r="C712" s="1" t="s">
        <v>245</v>
      </c>
      <c r="D712" s="1" t="s">
        <v>27</v>
      </c>
      <c r="E712" s="2">
        <v>45849</v>
      </c>
      <c r="F712" s="2">
        <v>45849</v>
      </c>
      <c r="G712" s="3">
        <v>72</v>
      </c>
      <c r="H712" s="4" t="s">
        <v>28</v>
      </c>
      <c r="I712">
        <v>66</v>
      </c>
      <c r="J712">
        <v>68</v>
      </c>
      <c r="K712">
        <v>0</v>
      </c>
      <c r="L712" s="3">
        <v>1</v>
      </c>
      <c r="M712" s="3">
        <v>0</v>
      </c>
      <c r="N712">
        <v>0</v>
      </c>
      <c r="O712">
        <v>0</v>
      </c>
      <c r="P712">
        <v>0</v>
      </c>
      <c r="Q712">
        <v>0</v>
      </c>
      <c r="R712" s="3">
        <v>0</v>
      </c>
      <c r="S712" s="3">
        <v>0</v>
      </c>
      <c r="T712">
        <v>0</v>
      </c>
      <c r="U712">
        <v>0</v>
      </c>
      <c r="V712" s="3">
        <v>0</v>
      </c>
      <c r="W712" s="3">
        <v>0</v>
      </c>
      <c r="X712">
        <v>0</v>
      </c>
      <c r="Y712" t="s">
        <v>707</v>
      </c>
    </row>
    <row r="713" spans="1:25" hidden="1" x14ac:dyDescent="0.25">
      <c r="A713" s="1" t="s">
        <v>344</v>
      </c>
      <c r="B713" s="1" t="s">
        <v>102</v>
      </c>
      <c r="C713" s="1" t="s">
        <v>35</v>
      </c>
      <c r="D713" s="1" t="s">
        <v>27</v>
      </c>
      <c r="E713" s="2">
        <v>45849</v>
      </c>
      <c r="F713" s="2">
        <v>45849</v>
      </c>
      <c r="G713" s="3">
        <v>40</v>
      </c>
      <c r="H713" s="4" t="s">
        <v>28</v>
      </c>
      <c r="I713">
        <v>62</v>
      </c>
      <c r="J713">
        <v>0</v>
      </c>
      <c r="K713">
        <v>0</v>
      </c>
      <c r="L713" s="3">
        <v>0</v>
      </c>
      <c r="M713" s="3">
        <v>0</v>
      </c>
      <c r="N713">
        <v>0</v>
      </c>
      <c r="O713">
        <v>0</v>
      </c>
      <c r="P713">
        <v>0</v>
      </c>
      <c r="Q713">
        <v>0</v>
      </c>
      <c r="R713" s="3">
        <v>0</v>
      </c>
      <c r="S713" s="3">
        <v>0</v>
      </c>
      <c r="T713">
        <v>0</v>
      </c>
      <c r="U713">
        <v>0</v>
      </c>
      <c r="V713" s="3">
        <v>0</v>
      </c>
      <c r="W713" s="3">
        <v>0</v>
      </c>
      <c r="X713">
        <v>0</v>
      </c>
      <c r="Y713" t="s">
        <v>692</v>
      </c>
    </row>
    <row r="714" spans="1:25" hidden="1" x14ac:dyDescent="0.25">
      <c r="A714" s="1" t="s">
        <v>31</v>
      </c>
      <c r="B714" s="1" t="s">
        <v>104</v>
      </c>
      <c r="C714" s="1" t="s">
        <v>32</v>
      </c>
      <c r="D714" s="1" t="s">
        <v>27</v>
      </c>
      <c r="E714" s="2">
        <v>45849</v>
      </c>
      <c r="F714" s="2">
        <v>45849</v>
      </c>
      <c r="G714" s="3">
        <v>51</v>
      </c>
      <c r="H714" s="4" t="s">
        <v>28</v>
      </c>
      <c r="I714">
        <v>84</v>
      </c>
      <c r="J714">
        <v>0</v>
      </c>
      <c r="K714">
        <v>0</v>
      </c>
      <c r="L714" s="3">
        <v>0</v>
      </c>
      <c r="M714" s="3">
        <v>0</v>
      </c>
      <c r="N714">
        <v>0</v>
      </c>
      <c r="O714">
        <v>0</v>
      </c>
      <c r="P714">
        <v>0</v>
      </c>
      <c r="Q714">
        <v>50</v>
      </c>
      <c r="R714" s="3">
        <v>0</v>
      </c>
      <c r="S714" s="3">
        <v>0</v>
      </c>
      <c r="T714">
        <v>0</v>
      </c>
      <c r="U714">
        <v>0</v>
      </c>
      <c r="V714" s="3">
        <v>0</v>
      </c>
      <c r="W714" s="3">
        <v>0</v>
      </c>
      <c r="X714">
        <v>0</v>
      </c>
      <c r="Y714" t="s">
        <v>708</v>
      </c>
    </row>
    <row r="715" spans="1:25" hidden="1" x14ac:dyDescent="0.25">
      <c r="A715" s="1" t="s">
        <v>33</v>
      </c>
      <c r="B715" s="1" t="s">
        <v>106</v>
      </c>
      <c r="C715" s="1" t="s">
        <v>57</v>
      </c>
      <c r="D715" s="1" t="s">
        <v>27</v>
      </c>
      <c r="E715" s="2">
        <v>45849</v>
      </c>
      <c r="F715" s="2">
        <v>45849</v>
      </c>
      <c r="G715" s="3">
        <v>65</v>
      </c>
      <c r="H715" s="4" t="s">
        <v>28</v>
      </c>
      <c r="I715">
        <v>44</v>
      </c>
      <c r="J715">
        <v>0</v>
      </c>
      <c r="K715">
        <v>0</v>
      </c>
      <c r="L715" s="3">
        <v>0</v>
      </c>
      <c r="M715" s="3">
        <v>0</v>
      </c>
      <c r="N715">
        <v>0</v>
      </c>
      <c r="O715">
        <v>0</v>
      </c>
      <c r="P715">
        <v>0</v>
      </c>
      <c r="Q715">
        <v>18</v>
      </c>
      <c r="R715" s="3">
        <v>0</v>
      </c>
      <c r="S715" s="3">
        <v>0</v>
      </c>
      <c r="T715">
        <v>0</v>
      </c>
      <c r="U715">
        <v>0</v>
      </c>
      <c r="V715" s="3">
        <v>0</v>
      </c>
      <c r="W715" s="3">
        <v>0</v>
      </c>
      <c r="X715">
        <v>0</v>
      </c>
      <c r="Y715" t="s">
        <v>709</v>
      </c>
    </row>
    <row r="716" spans="1:25" hidden="1" x14ac:dyDescent="0.25">
      <c r="A716" s="1" t="s">
        <v>34</v>
      </c>
      <c r="B716" s="1" t="s">
        <v>247</v>
      </c>
      <c r="C716" s="1" t="s">
        <v>489</v>
      </c>
      <c r="D716" s="1" t="s">
        <v>27</v>
      </c>
      <c r="E716" s="2">
        <v>45849</v>
      </c>
      <c r="F716" s="2">
        <v>45849</v>
      </c>
      <c r="G716" s="3">
        <v>26</v>
      </c>
      <c r="H716" s="4" t="s">
        <v>28</v>
      </c>
      <c r="I716">
        <v>63</v>
      </c>
      <c r="J716">
        <v>0</v>
      </c>
      <c r="K716">
        <v>0</v>
      </c>
      <c r="L716" s="3">
        <v>1</v>
      </c>
      <c r="M716" s="3">
        <v>0</v>
      </c>
      <c r="N716">
        <v>0</v>
      </c>
      <c r="O716">
        <v>0</v>
      </c>
      <c r="P716">
        <v>0</v>
      </c>
      <c r="Q716">
        <v>0</v>
      </c>
      <c r="R716" s="3">
        <v>0</v>
      </c>
      <c r="S716" s="3">
        <v>0</v>
      </c>
      <c r="T716">
        <v>0</v>
      </c>
      <c r="U716">
        <v>0</v>
      </c>
      <c r="V716" s="3">
        <v>0</v>
      </c>
      <c r="W716" s="3">
        <v>0</v>
      </c>
      <c r="X716">
        <v>0</v>
      </c>
      <c r="Y716" t="s">
        <v>710</v>
      </c>
    </row>
    <row r="717" spans="1:25" hidden="1" x14ac:dyDescent="0.25">
      <c r="A717" s="1" t="s">
        <v>38</v>
      </c>
      <c r="B717" s="1" t="s">
        <v>108</v>
      </c>
      <c r="C717" s="1" t="s">
        <v>39</v>
      </c>
      <c r="D717" s="1" t="s">
        <v>27</v>
      </c>
      <c r="E717" s="2">
        <v>45849</v>
      </c>
      <c r="F717" s="2">
        <v>45849</v>
      </c>
      <c r="G717" s="3">
        <v>66</v>
      </c>
      <c r="H717" s="4" t="s">
        <v>28</v>
      </c>
      <c r="I717">
        <v>29</v>
      </c>
      <c r="J717">
        <v>0</v>
      </c>
      <c r="K717">
        <v>0</v>
      </c>
      <c r="L717" s="3">
        <v>0</v>
      </c>
      <c r="M717" s="3">
        <v>0</v>
      </c>
      <c r="N717">
        <v>0</v>
      </c>
      <c r="O717">
        <v>0</v>
      </c>
      <c r="P717">
        <v>0</v>
      </c>
      <c r="Q717">
        <v>0</v>
      </c>
      <c r="R717" s="3">
        <v>0</v>
      </c>
      <c r="S717" s="3">
        <v>0</v>
      </c>
      <c r="T717">
        <v>0</v>
      </c>
      <c r="U717">
        <v>0</v>
      </c>
      <c r="V717" s="3">
        <v>0</v>
      </c>
      <c r="W717" s="3">
        <v>0</v>
      </c>
      <c r="X717">
        <v>0</v>
      </c>
      <c r="Y717" t="s">
        <v>711</v>
      </c>
    </row>
    <row r="718" spans="1:25" hidden="1" x14ac:dyDescent="0.25">
      <c r="A718" s="1" t="s">
        <v>40</v>
      </c>
      <c r="B718" s="1" t="s">
        <v>110</v>
      </c>
      <c r="C718" s="1" t="s">
        <v>40</v>
      </c>
      <c r="D718" s="1" t="s">
        <v>27</v>
      </c>
      <c r="E718" s="2">
        <v>45849</v>
      </c>
      <c r="F718" s="2">
        <v>45849</v>
      </c>
      <c r="G718" s="3">
        <v>30</v>
      </c>
      <c r="H718" s="4" t="s">
        <v>28</v>
      </c>
      <c r="I718">
        <v>7</v>
      </c>
      <c r="J718">
        <v>0</v>
      </c>
      <c r="K718">
        <v>0</v>
      </c>
      <c r="L718" s="3">
        <v>1</v>
      </c>
      <c r="M718" s="3">
        <v>0</v>
      </c>
      <c r="N718">
        <v>1</v>
      </c>
      <c r="O718">
        <v>0</v>
      </c>
      <c r="P718">
        <v>0</v>
      </c>
      <c r="Q718">
        <v>0</v>
      </c>
      <c r="R718" s="3">
        <v>0</v>
      </c>
      <c r="S718" s="3">
        <v>0</v>
      </c>
      <c r="T718">
        <v>0</v>
      </c>
      <c r="U718">
        <v>0</v>
      </c>
      <c r="V718" s="3">
        <v>0</v>
      </c>
      <c r="W718" s="3">
        <v>0</v>
      </c>
      <c r="X718">
        <v>0</v>
      </c>
      <c r="Y718" t="s">
        <v>712</v>
      </c>
    </row>
    <row r="719" spans="1:25" hidden="1" x14ac:dyDescent="0.25">
      <c r="A719" s="1" t="s">
        <v>41</v>
      </c>
      <c r="B719" s="1" t="s">
        <v>112</v>
      </c>
      <c r="C719" s="1" t="s">
        <v>42</v>
      </c>
      <c r="D719" s="1" t="s">
        <v>27</v>
      </c>
      <c r="E719" s="2">
        <v>45849</v>
      </c>
      <c r="F719" s="2">
        <v>45849</v>
      </c>
      <c r="G719" s="3">
        <v>30</v>
      </c>
      <c r="H719" s="4" t="s">
        <v>28</v>
      </c>
      <c r="I719">
        <v>40</v>
      </c>
      <c r="J719">
        <v>0</v>
      </c>
      <c r="K719">
        <v>0</v>
      </c>
      <c r="L719" s="3">
        <v>1</v>
      </c>
      <c r="M719" s="3">
        <v>0</v>
      </c>
      <c r="N719">
        <v>0</v>
      </c>
      <c r="O719">
        <v>0</v>
      </c>
      <c r="P719">
        <v>0</v>
      </c>
      <c r="Q719">
        <v>1</v>
      </c>
      <c r="R719" s="3">
        <v>0</v>
      </c>
      <c r="S719" s="3">
        <v>0</v>
      </c>
      <c r="T719">
        <v>0</v>
      </c>
      <c r="U719">
        <v>0</v>
      </c>
      <c r="V719" s="3">
        <v>0</v>
      </c>
      <c r="W719" s="3">
        <v>0</v>
      </c>
      <c r="X719">
        <v>0</v>
      </c>
      <c r="Y719" t="s">
        <v>713</v>
      </c>
    </row>
    <row r="720" spans="1:25" hidden="1" x14ac:dyDescent="0.25">
      <c r="A720" s="1" t="s">
        <v>43</v>
      </c>
      <c r="B720" s="1" t="s">
        <v>114</v>
      </c>
      <c r="C720" s="1" t="s">
        <v>27</v>
      </c>
      <c r="D720" s="1" t="s">
        <v>27</v>
      </c>
      <c r="E720" s="2">
        <v>45849</v>
      </c>
      <c r="F720" s="2">
        <v>45849</v>
      </c>
      <c r="G720" s="3">
        <v>63</v>
      </c>
      <c r="H720" s="4" t="s">
        <v>28</v>
      </c>
      <c r="I720">
        <v>68</v>
      </c>
      <c r="J720">
        <v>0</v>
      </c>
      <c r="K720">
        <v>0</v>
      </c>
      <c r="L720" s="3">
        <v>0</v>
      </c>
      <c r="M720" s="3">
        <v>0</v>
      </c>
      <c r="N720">
        <v>0</v>
      </c>
      <c r="O720">
        <v>0</v>
      </c>
      <c r="P720">
        <v>0</v>
      </c>
      <c r="Q720">
        <v>0</v>
      </c>
      <c r="R720" s="3">
        <v>0</v>
      </c>
      <c r="S720" s="3">
        <v>0</v>
      </c>
      <c r="T720">
        <v>0</v>
      </c>
      <c r="U720">
        <v>0</v>
      </c>
      <c r="V720" s="3">
        <v>0</v>
      </c>
      <c r="W720" s="3">
        <v>0</v>
      </c>
      <c r="X720">
        <v>0</v>
      </c>
      <c r="Y720" t="s">
        <v>714</v>
      </c>
    </row>
    <row r="721" spans="1:25" hidden="1" x14ac:dyDescent="0.25">
      <c r="A721" s="1" t="s">
        <v>36</v>
      </c>
      <c r="B721" s="1" t="s">
        <v>114</v>
      </c>
      <c r="C721" s="1" t="s">
        <v>27</v>
      </c>
      <c r="D721" s="1" t="s">
        <v>27</v>
      </c>
      <c r="E721" s="2">
        <v>45849</v>
      </c>
      <c r="F721" s="2">
        <v>45849</v>
      </c>
      <c r="G721" s="3">
        <v>63</v>
      </c>
      <c r="H721" s="4" t="s">
        <v>28</v>
      </c>
      <c r="I721">
        <v>68</v>
      </c>
      <c r="J721">
        <v>0</v>
      </c>
      <c r="K721">
        <v>0</v>
      </c>
      <c r="L721" s="3">
        <v>0</v>
      </c>
      <c r="M721" s="3">
        <v>0</v>
      </c>
      <c r="N721">
        <v>0</v>
      </c>
      <c r="O721">
        <v>0</v>
      </c>
      <c r="P721">
        <v>0</v>
      </c>
      <c r="Q721">
        <v>0</v>
      </c>
      <c r="R721" s="3">
        <v>0</v>
      </c>
      <c r="S721" s="3">
        <v>0</v>
      </c>
      <c r="T721">
        <v>0</v>
      </c>
      <c r="U721">
        <v>0</v>
      </c>
      <c r="V721" s="3">
        <v>0</v>
      </c>
      <c r="W721" s="3">
        <v>0</v>
      </c>
      <c r="X721">
        <v>0</v>
      </c>
      <c r="Y721" t="s">
        <v>714</v>
      </c>
    </row>
    <row r="722" spans="1:25" hidden="1" x14ac:dyDescent="0.25">
      <c r="A722" s="1" t="s">
        <v>45</v>
      </c>
      <c r="B722" s="1" t="s">
        <v>116</v>
      </c>
      <c r="C722" s="1" t="s">
        <v>46</v>
      </c>
      <c r="D722" s="1" t="s">
        <v>27</v>
      </c>
      <c r="E722" s="2">
        <v>45849</v>
      </c>
      <c r="F722" s="2">
        <v>45849</v>
      </c>
      <c r="G722" s="3">
        <v>50</v>
      </c>
      <c r="H722" s="4" t="s">
        <v>28</v>
      </c>
      <c r="I722">
        <v>66</v>
      </c>
      <c r="J722">
        <v>0</v>
      </c>
      <c r="K722">
        <v>0</v>
      </c>
      <c r="L722" s="3">
        <v>1</v>
      </c>
      <c r="M722" s="3">
        <v>0</v>
      </c>
      <c r="N722">
        <v>0</v>
      </c>
      <c r="O722">
        <v>0</v>
      </c>
      <c r="P722">
        <v>0</v>
      </c>
      <c r="Q722">
        <v>0</v>
      </c>
      <c r="R722" s="3">
        <v>0</v>
      </c>
      <c r="S722" s="3">
        <v>0</v>
      </c>
      <c r="T722">
        <v>0</v>
      </c>
      <c r="U722">
        <v>0</v>
      </c>
      <c r="V722" s="3">
        <v>0</v>
      </c>
      <c r="W722" s="3">
        <v>0</v>
      </c>
      <c r="X722">
        <v>0</v>
      </c>
      <c r="Y722" t="s">
        <v>715</v>
      </c>
    </row>
    <row r="723" spans="1:25" hidden="1" x14ac:dyDescent="0.25">
      <c r="A723" s="1" t="s">
        <v>49</v>
      </c>
      <c r="B723" s="1" t="s">
        <v>118</v>
      </c>
      <c r="C723" s="1" t="s">
        <v>50</v>
      </c>
      <c r="D723" s="1" t="s">
        <v>27</v>
      </c>
      <c r="E723" s="2">
        <v>45849</v>
      </c>
      <c r="F723" s="2">
        <v>45849</v>
      </c>
      <c r="G723" s="3">
        <v>21</v>
      </c>
      <c r="H723" s="4" t="s">
        <v>28</v>
      </c>
      <c r="I723">
        <v>41</v>
      </c>
      <c r="J723">
        <v>0</v>
      </c>
      <c r="K723">
        <v>0</v>
      </c>
      <c r="L723" s="3">
        <v>1</v>
      </c>
      <c r="M723" s="3">
        <v>1</v>
      </c>
      <c r="N723">
        <v>0</v>
      </c>
      <c r="O723">
        <v>0</v>
      </c>
      <c r="P723">
        <v>0</v>
      </c>
      <c r="Q723">
        <v>48</v>
      </c>
      <c r="R723" s="3">
        <v>0</v>
      </c>
      <c r="S723" s="3">
        <v>0</v>
      </c>
      <c r="T723">
        <v>0</v>
      </c>
      <c r="U723">
        <v>0</v>
      </c>
      <c r="V723" s="3">
        <v>0</v>
      </c>
      <c r="W723" s="3">
        <v>0</v>
      </c>
      <c r="X723">
        <v>0</v>
      </c>
      <c r="Y723" t="s">
        <v>716</v>
      </c>
    </row>
    <row r="724" spans="1:25" hidden="1" x14ac:dyDescent="0.25">
      <c r="A724" s="1" t="s">
        <v>51</v>
      </c>
      <c r="B724" s="1" t="s">
        <v>120</v>
      </c>
      <c r="C724" s="1" t="s">
        <v>55</v>
      </c>
      <c r="D724" s="1" t="s">
        <v>27</v>
      </c>
      <c r="E724" s="2">
        <v>45849</v>
      </c>
      <c r="F724" s="2">
        <v>45849</v>
      </c>
      <c r="G724" s="3">
        <v>83</v>
      </c>
      <c r="H724" s="4" t="s">
        <v>28</v>
      </c>
      <c r="I724">
        <v>60</v>
      </c>
      <c r="J724">
        <v>0</v>
      </c>
      <c r="K724">
        <v>0</v>
      </c>
      <c r="L724" s="3">
        <v>1</v>
      </c>
      <c r="M724" s="3">
        <v>0</v>
      </c>
      <c r="N724">
        <v>1</v>
      </c>
      <c r="O724">
        <v>0</v>
      </c>
      <c r="P724">
        <v>0</v>
      </c>
      <c r="Q724">
        <v>0</v>
      </c>
      <c r="R724" s="3">
        <v>0</v>
      </c>
      <c r="S724" s="3">
        <v>0</v>
      </c>
      <c r="T724">
        <v>0</v>
      </c>
      <c r="U724">
        <v>0</v>
      </c>
      <c r="V724" s="3">
        <v>0</v>
      </c>
      <c r="W724" s="3">
        <v>0</v>
      </c>
      <c r="X724">
        <v>0</v>
      </c>
      <c r="Y724" t="s">
        <v>717</v>
      </c>
    </row>
    <row r="725" spans="1:25" hidden="1" x14ac:dyDescent="0.25">
      <c r="A725" s="1" t="s">
        <v>54</v>
      </c>
      <c r="B725" s="1" t="s">
        <v>122</v>
      </c>
      <c r="C725" s="1" t="s">
        <v>52</v>
      </c>
      <c r="D725" s="1" t="s">
        <v>27</v>
      </c>
      <c r="E725" s="2">
        <v>45849</v>
      </c>
      <c r="F725" s="2">
        <v>45849</v>
      </c>
      <c r="G725" s="3">
        <v>38</v>
      </c>
      <c r="H725" s="4" t="s">
        <v>28</v>
      </c>
      <c r="I725">
        <v>49</v>
      </c>
      <c r="J725">
        <v>0</v>
      </c>
      <c r="K725">
        <v>0</v>
      </c>
      <c r="L725" s="3">
        <v>0</v>
      </c>
      <c r="M725" s="3">
        <v>0</v>
      </c>
      <c r="N725">
        <v>0</v>
      </c>
      <c r="O725">
        <v>0</v>
      </c>
      <c r="P725">
        <v>0</v>
      </c>
      <c r="Q725">
        <v>0</v>
      </c>
      <c r="R725" s="3">
        <v>0</v>
      </c>
      <c r="S725" s="3">
        <v>0</v>
      </c>
      <c r="T725">
        <v>0</v>
      </c>
      <c r="U725">
        <v>0</v>
      </c>
      <c r="V725" s="3">
        <v>0</v>
      </c>
      <c r="W725" s="3">
        <v>0</v>
      </c>
      <c r="X725">
        <v>0</v>
      </c>
      <c r="Y725" t="s">
        <v>718</v>
      </c>
    </row>
    <row r="726" spans="1:25" hidden="1" x14ac:dyDescent="0.25">
      <c r="A726" s="1" t="s">
        <v>48</v>
      </c>
      <c r="B726" s="1" t="s">
        <v>149</v>
      </c>
      <c r="C726" s="1" t="s">
        <v>47</v>
      </c>
      <c r="D726" s="1" t="s">
        <v>27</v>
      </c>
      <c r="E726" s="2">
        <v>45849</v>
      </c>
      <c r="F726" s="2">
        <v>45849</v>
      </c>
      <c r="G726" s="3">
        <v>31</v>
      </c>
      <c r="H726" s="4" t="s">
        <v>28</v>
      </c>
      <c r="I726">
        <v>53</v>
      </c>
      <c r="J726">
        <v>0</v>
      </c>
      <c r="K726">
        <v>0</v>
      </c>
      <c r="L726" s="3">
        <v>0</v>
      </c>
      <c r="M726" s="3">
        <v>0</v>
      </c>
      <c r="N726">
        <v>0</v>
      </c>
      <c r="O726">
        <v>0</v>
      </c>
      <c r="P726">
        <v>0</v>
      </c>
      <c r="Q726">
        <v>0</v>
      </c>
      <c r="R726" s="3">
        <v>0</v>
      </c>
      <c r="S726" s="3">
        <v>0</v>
      </c>
      <c r="T726">
        <v>0</v>
      </c>
      <c r="U726">
        <v>0</v>
      </c>
      <c r="V726" s="3">
        <v>0</v>
      </c>
      <c r="W726" s="3">
        <v>0</v>
      </c>
      <c r="X726">
        <v>0</v>
      </c>
      <c r="Y726" t="s">
        <v>719</v>
      </c>
    </row>
    <row r="727" spans="1:25" hidden="1" x14ac:dyDescent="0.25">
      <c r="A727" s="1" t="s">
        <v>53</v>
      </c>
      <c r="B727" s="1" t="s">
        <v>142</v>
      </c>
      <c r="C727" s="1" t="s">
        <v>39</v>
      </c>
      <c r="D727" s="1" t="s">
        <v>27</v>
      </c>
      <c r="E727" s="2">
        <v>45849</v>
      </c>
      <c r="F727" s="2">
        <v>45849</v>
      </c>
      <c r="G727" s="3">
        <v>33</v>
      </c>
      <c r="H727" s="4" t="s">
        <v>28</v>
      </c>
      <c r="I727">
        <v>30</v>
      </c>
      <c r="J727">
        <v>0</v>
      </c>
      <c r="K727">
        <v>0</v>
      </c>
      <c r="L727" s="3">
        <v>1</v>
      </c>
      <c r="M727" s="3">
        <v>1</v>
      </c>
      <c r="N727">
        <v>0</v>
      </c>
      <c r="O727">
        <v>0</v>
      </c>
      <c r="P727">
        <v>0</v>
      </c>
      <c r="Q727">
        <v>30</v>
      </c>
      <c r="R727" s="3">
        <v>0</v>
      </c>
      <c r="S727" s="3">
        <v>0</v>
      </c>
      <c r="T727">
        <v>0</v>
      </c>
      <c r="U727">
        <v>0</v>
      </c>
      <c r="V727" s="3">
        <v>0</v>
      </c>
      <c r="W727" s="3">
        <v>0</v>
      </c>
      <c r="X727">
        <v>0</v>
      </c>
      <c r="Y727" t="s">
        <v>720</v>
      </c>
    </row>
    <row r="728" spans="1:25" s="16" customFormat="1" hidden="1" x14ac:dyDescent="0.25">
      <c r="A728" s="16" t="s">
        <v>41</v>
      </c>
      <c r="B728" s="16" t="s">
        <v>112</v>
      </c>
      <c r="C728" s="16" t="s">
        <v>42</v>
      </c>
      <c r="D728" s="16" t="s">
        <v>27</v>
      </c>
      <c r="E728" s="12">
        <v>45850</v>
      </c>
      <c r="F728" s="12">
        <v>45850</v>
      </c>
      <c r="G728" s="18">
        <v>80</v>
      </c>
      <c r="H728" s="16" t="s">
        <v>28</v>
      </c>
      <c r="I728" s="16">
        <v>0</v>
      </c>
      <c r="J728" s="16">
        <v>0</v>
      </c>
      <c r="K728" s="16">
        <v>0</v>
      </c>
      <c r="L728" s="18">
        <v>0</v>
      </c>
      <c r="M728" s="18">
        <v>0</v>
      </c>
      <c r="N728" s="16">
        <v>0</v>
      </c>
      <c r="O728" s="16">
        <v>0</v>
      </c>
      <c r="P728" s="16">
        <v>0</v>
      </c>
      <c r="Q728" s="16">
        <v>5</v>
      </c>
      <c r="R728" s="18">
        <v>1</v>
      </c>
      <c r="S728" s="18">
        <v>0</v>
      </c>
      <c r="T728" s="16">
        <v>9</v>
      </c>
      <c r="U728" s="16">
        <v>19</v>
      </c>
      <c r="V728" s="18">
        <v>1</v>
      </c>
      <c r="W728" s="18">
        <v>0</v>
      </c>
      <c r="X728" s="16">
        <v>0</v>
      </c>
      <c r="Y728" s="16" t="s">
        <v>721</v>
      </c>
    </row>
    <row r="729" spans="1:25" hidden="1" x14ac:dyDescent="0.25">
      <c r="A729" s="1" t="s">
        <v>58</v>
      </c>
      <c r="B729" s="1" t="s">
        <v>123</v>
      </c>
      <c r="C729" s="1" t="s">
        <v>27</v>
      </c>
      <c r="D729" t="s">
        <v>27</v>
      </c>
      <c r="E729" s="12">
        <v>45850</v>
      </c>
      <c r="F729" s="12">
        <v>45850</v>
      </c>
      <c r="G729" s="3">
        <v>39</v>
      </c>
      <c r="H729" s="4" t="s">
        <v>180</v>
      </c>
      <c r="I729">
        <v>0</v>
      </c>
      <c r="J729">
        <v>0</v>
      </c>
      <c r="K729">
        <v>0</v>
      </c>
      <c r="L729" s="3">
        <v>0</v>
      </c>
      <c r="M729" s="3">
        <v>0</v>
      </c>
      <c r="N729">
        <v>0</v>
      </c>
      <c r="O729">
        <v>0</v>
      </c>
      <c r="P729">
        <v>0</v>
      </c>
      <c r="Q729">
        <v>0</v>
      </c>
      <c r="R729" s="3">
        <v>0</v>
      </c>
      <c r="S729" s="3">
        <v>0</v>
      </c>
      <c r="T729">
        <v>0</v>
      </c>
      <c r="U729">
        <v>0</v>
      </c>
      <c r="V729" s="3">
        <v>0</v>
      </c>
      <c r="W729" s="3">
        <v>0</v>
      </c>
      <c r="X729">
        <v>0</v>
      </c>
      <c r="Y729" t="s">
        <v>550</v>
      </c>
    </row>
    <row r="730" spans="1:25" s="16" customFormat="1" hidden="1" x14ac:dyDescent="0.25">
      <c r="A730" s="17" t="s">
        <v>344</v>
      </c>
      <c r="B730" s="16" t="s">
        <v>112</v>
      </c>
      <c r="C730" s="17" t="s">
        <v>35</v>
      </c>
      <c r="D730" s="16" t="s">
        <v>27</v>
      </c>
      <c r="E730" s="12">
        <v>45850</v>
      </c>
      <c r="F730" s="12">
        <v>45850</v>
      </c>
      <c r="G730" s="18">
        <v>80</v>
      </c>
      <c r="H730" s="16" t="s">
        <v>28</v>
      </c>
      <c r="I730" s="16">
        <v>0</v>
      </c>
      <c r="J730" s="16">
        <v>0</v>
      </c>
      <c r="K730" s="16">
        <v>0</v>
      </c>
      <c r="L730" s="18">
        <v>0</v>
      </c>
      <c r="M730" s="18">
        <v>0</v>
      </c>
      <c r="N730" s="16">
        <v>0</v>
      </c>
      <c r="O730" s="16">
        <v>0</v>
      </c>
      <c r="P730" s="16">
        <v>0</v>
      </c>
      <c r="Q730" s="16">
        <v>5</v>
      </c>
      <c r="R730" s="18">
        <v>1</v>
      </c>
      <c r="S730" s="18">
        <v>0</v>
      </c>
      <c r="T730" s="16">
        <v>3</v>
      </c>
      <c r="U730" s="16">
        <v>27</v>
      </c>
      <c r="V730" s="18">
        <v>1</v>
      </c>
      <c r="W730" s="18">
        <v>0</v>
      </c>
      <c r="X730" s="16">
        <v>0</v>
      </c>
      <c r="Y730" s="16" t="s">
        <v>721</v>
      </c>
    </row>
    <row r="731" spans="1:25" s="16" customFormat="1" hidden="1" x14ac:dyDescent="0.25">
      <c r="A731" s="16" t="s">
        <v>33</v>
      </c>
      <c r="B731" s="16" t="s">
        <v>106</v>
      </c>
      <c r="C731" s="16" t="s">
        <v>55</v>
      </c>
      <c r="D731" s="16" t="s">
        <v>27</v>
      </c>
      <c r="E731" s="12">
        <v>45851</v>
      </c>
      <c r="F731" s="12">
        <v>45851</v>
      </c>
      <c r="G731" s="18">
        <v>136</v>
      </c>
      <c r="H731" s="20" t="s">
        <v>28</v>
      </c>
      <c r="I731" s="16">
        <v>0</v>
      </c>
      <c r="J731" s="16">
        <v>0</v>
      </c>
      <c r="K731" s="16">
        <v>0</v>
      </c>
      <c r="L731" s="18">
        <v>0</v>
      </c>
      <c r="M731" s="18">
        <v>0</v>
      </c>
      <c r="N731" s="16">
        <v>0</v>
      </c>
      <c r="O731" s="16">
        <v>0</v>
      </c>
      <c r="P731" s="16">
        <v>0</v>
      </c>
      <c r="Q731" s="16">
        <v>80</v>
      </c>
      <c r="R731" s="18">
        <v>0</v>
      </c>
      <c r="S731" s="18">
        <v>1</v>
      </c>
      <c r="T731" s="16">
        <v>83</v>
      </c>
      <c r="U731" s="16">
        <v>11</v>
      </c>
      <c r="V731" s="18">
        <v>0</v>
      </c>
      <c r="W731" s="18">
        <v>1</v>
      </c>
      <c r="X731" s="16">
        <v>3</v>
      </c>
      <c r="Y731" s="16" t="s">
        <v>722</v>
      </c>
    </row>
    <row r="732" spans="1:25" hidden="1" x14ac:dyDescent="0.25">
      <c r="A732" s="1" t="s">
        <v>58</v>
      </c>
      <c r="B732" s="1" t="s">
        <v>123</v>
      </c>
      <c r="C732" s="1" t="s">
        <v>27</v>
      </c>
      <c r="D732" t="s">
        <v>27</v>
      </c>
      <c r="E732" s="12">
        <v>45851</v>
      </c>
      <c r="F732" s="12">
        <v>45851</v>
      </c>
      <c r="G732" s="3">
        <v>39</v>
      </c>
      <c r="H732" s="4" t="s">
        <v>180</v>
      </c>
      <c r="I732">
        <v>0</v>
      </c>
      <c r="J732">
        <v>0</v>
      </c>
      <c r="K732">
        <v>0</v>
      </c>
      <c r="L732" s="3">
        <v>0</v>
      </c>
      <c r="M732" s="3">
        <v>0</v>
      </c>
      <c r="N732">
        <v>0</v>
      </c>
      <c r="O732">
        <v>0</v>
      </c>
      <c r="P732">
        <v>0</v>
      </c>
      <c r="Q732">
        <v>0</v>
      </c>
      <c r="R732" s="3">
        <v>0</v>
      </c>
      <c r="S732" s="3">
        <v>0</v>
      </c>
      <c r="T732">
        <v>0</v>
      </c>
      <c r="U732">
        <v>0</v>
      </c>
      <c r="V732" s="3">
        <v>0</v>
      </c>
      <c r="W732" s="3">
        <v>0</v>
      </c>
      <c r="X732">
        <v>0</v>
      </c>
      <c r="Y732" t="s">
        <v>550</v>
      </c>
    </row>
    <row r="733" spans="1:25" s="16" customFormat="1" hidden="1" x14ac:dyDescent="0.25">
      <c r="A733" s="17" t="s">
        <v>344</v>
      </c>
      <c r="B733" s="16" t="s">
        <v>112</v>
      </c>
      <c r="C733" s="17" t="s">
        <v>35</v>
      </c>
      <c r="D733" s="16" t="s">
        <v>27</v>
      </c>
      <c r="E733" s="12">
        <v>45851</v>
      </c>
      <c r="F733" s="12">
        <v>45851</v>
      </c>
      <c r="G733" s="18">
        <v>80</v>
      </c>
      <c r="H733" s="20" t="s">
        <v>28</v>
      </c>
      <c r="I733" s="16">
        <v>0</v>
      </c>
      <c r="J733" s="16">
        <v>0</v>
      </c>
      <c r="K733" s="16">
        <v>0</v>
      </c>
      <c r="L733" s="18">
        <v>0</v>
      </c>
      <c r="M733" s="18">
        <v>0</v>
      </c>
      <c r="N733" s="16">
        <v>0</v>
      </c>
      <c r="O733" s="16">
        <v>0</v>
      </c>
      <c r="P733" s="16">
        <v>0</v>
      </c>
      <c r="Q733" s="16">
        <v>5</v>
      </c>
      <c r="R733" s="18">
        <v>0</v>
      </c>
      <c r="S733" s="18">
        <v>1</v>
      </c>
      <c r="T733" s="16">
        <v>86</v>
      </c>
      <c r="U733" s="16">
        <v>30</v>
      </c>
      <c r="V733" s="18">
        <v>0</v>
      </c>
      <c r="W733" s="18">
        <v>1</v>
      </c>
      <c r="X733" s="16">
        <v>0</v>
      </c>
      <c r="Y733" s="16" t="s">
        <v>721</v>
      </c>
    </row>
    <row r="734" spans="1:25" s="16" customFormat="1" hidden="1" x14ac:dyDescent="0.25">
      <c r="A734" s="17" t="s">
        <v>29</v>
      </c>
      <c r="B734" s="17" t="s">
        <v>100</v>
      </c>
      <c r="C734" s="17" t="s">
        <v>245</v>
      </c>
      <c r="D734" s="16" t="s">
        <v>27</v>
      </c>
      <c r="E734" s="12">
        <v>45851</v>
      </c>
      <c r="F734" s="12">
        <v>45851</v>
      </c>
      <c r="G734" s="18">
        <v>48</v>
      </c>
      <c r="H734" s="20" t="s">
        <v>28</v>
      </c>
      <c r="I734" s="16">
        <v>0</v>
      </c>
      <c r="J734" s="16">
        <v>0</v>
      </c>
      <c r="K734" s="16">
        <v>0</v>
      </c>
      <c r="L734" s="18">
        <v>0</v>
      </c>
      <c r="M734" s="18">
        <v>0</v>
      </c>
      <c r="N734" s="16">
        <v>0</v>
      </c>
      <c r="O734" s="16">
        <v>0</v>
      </c>
      <c r="P734" s="16">
        <v>0</v>
      </c>
      <c r="Q734" s="16">
        <v>0</v>
      </c>
      <c r="R734" s="18">
        <v>0</v>
      </c>
      <c r="S734" s="18">
        <v>1</v>
      </c>
      <c r="T734" s="16">
        <v>87</v>
      </c>
      <c r="U734" s="16">
        <v>0</v>
      </c>
      <c r="V734" s="18">
        <v>0</v>
      </c>
      <c r="W734" s="18">
        <v>0</v>
      </c>
      <c r="X734" s="16">
        <v>7</v>
      </c>
      <c r="Y734" s="16" t="s">
        <v>691</v>
      </c>
    </row>
    <row r="735" spans="1:25" hidden="1" x14ac:dyDescent="0.25">
      <c r="A735" s="1" t="s">
        <v>25</v>
      </c>
      <c r="B735" s="1" t="s">
        <v>96</v>
      </c>
      <c r="C735" s="1" t="s">
        <v>26</v>
      </c>
      <c r="D735" t="s">
        <v>27</v>
      </c>
      <c r="E735" s="2">
        <v>45852</v>
      </c>
      <c r="F735" s="2">
        <v>45852</v>
      </c>
      <c r="G735" s="3">
        <v>39</v>
      </c>
      <c r="H735" s="4" t="s">
        <v>28</v>
      </c>
      <c r="I735">
        <v>50</v>
      </c>
      <c r="J735">
        <v>0</v>
      </c>
      <c r="K735">
        <v>0</v>
      </c>
      <c r="L735" s="3">
        <v>0</v>
      </c>
      <c r="M735" s="3">
        <v>0</v>
      </c>
      <c r="N735">
        <v>1</v>
      </c>
      <c r="O735">
        <v>0</v>
      </c>
      <c r="P735">
        <v>0</v>
      </c>
      <c r="Q735">
        <v>0</v>
      </c>
      <c r="R735" s="3">
        <v>0</v>
      </c>
      <c r="S735" s="3">
        <v>0</v>
      </c>
      <c r="T735">
        <v>0</v>
      </c>
      <c r="U735">
        <v>0</v>
      </c>
      <c r="V735" s="3">
        <v>0</v>
      </c>
      <c r="W735" s="3">
        <v>0</v>
      </c>
      <c r="X735">
        <v>0</v>
      </c>
      <c r="Y735" t="s">
        <v>723</v>
      </c>
    </row>
    <row r="736" spans="1:25" hidden="1" x14ac:dyDescent="0.25">
      <c r="A736" s="1" t="s">
        <v>58</v>
      </c>
      <c r="B736" s="1" t="s">
        <v>123</v>
      </c>
      <c r="C736" s="1" t="s">
        <v>27</v>
      </c>
      <c r="D736" t="s">
        <v>27</v>
      </c>
      <c r="E736" s="2">
        <v>45852</v>
      </c>
      <c r="F736" s="2">
        <v>45852</v>
      </c>
      <c r="G736" s="3">
        <v>39</v>
      </c>
      <c r="H736" s="4" t="s">
        <v>180</v>
      </c>
      <c r="I736">
        <v>0</v>
      </c>
      <c r="J736">
        <v>0</v>
      </c>
      <c r="K736">
        <v>0</v>
      </c>
      <c r="L736" s="3">
        <v>0</v>
      </c>
      <c r="M736" s="3">
        <v>0</v>
      </c>
      <c r="N736">
        <v>0</v>
      </c>
      <c r="O736">
        <v>0</v>
      </c>
      <c r="P736">
        <v>0</v>
      </c>
      <c r="Q736">
        <v>0</v>
      </c>
      <c r="R736" s="3">
        <v>0</v>
      </c>
      <c r="S736" s="3">
        <v>0</v>
      </c>
      <c r="T736">
        <v>0</v>
      </c>
      <c r="U736">
        <v>0</v>
      </c>
      <c r="V736" s="3">
        <v>0</v>
      </c>
      <c r="W736" s="3">
        <v>0</v>
      </c>
      <c r="X736">
        <v>0</v>
      </c>
      <c r="Y736" t="s">
        <v>550</v>
      </c>
    </row>
    <row r="737" spans="1:25" hidden="1" x14ac:dyDescent="0.25">
      <c r="A737" s="1" t="s">
        <v>56</v>
      </c>
      <c r="B737" s="1" t="s">
        <v>98</v>
      </c>
      <c r="C737" s="1" t="s">
        <v>37</v>
      </c>
      <c r="D737" t="s">
        <v>27</v>
      </c>
      <c r="E737" s="2">
        <v>45852</v>
      </c>
      <c r="F737" s="2">
        <v>45852</v>
      </c>
      <c r="G737" s="3">
        <v>39</v>
      </c>
      <c r="H737" s="4" t="s">
        <v>28</v>
      </c>
      <c r="I737">
        <v>93</v>
      </c>
      <c r="J737">
        <v>0</v>
      </c>
      <c r="K737">
        <v>0</v>
      </c>
      <c r="L737" s="3">
        <v>1</v>
      </c>
      <c r="M737" s="3">
        <v>0</v>
      </c>
      <c r="N737">
        <v>0</v>
      </c>
      <c r="O737">
        <v>0</v>
      </c>
      <c r="P737">
        <v>0</v>
      </c>
      <c r="Q737">
        <v>0</v>
      </c>
      <c r="R737" s="3">
        <v>0</v>
      </c>
      <c r="S737" s="3">
        <v>0</v>
      </c>
      <c r="T737">
        <v>0</v>
      </c>
      <c r="U737">
        <v>0</v>
      </c>
      <c r="V737" s="3">
        <v>1</v>
      </c>
      <c r="W737" s="3">
        <v>0</v>
      </c>
      <c r="X737">
        <v>0</v>
      </c>
      <c r="Y737" t="s">
        <v>724</v>
      </c>
    </row>
    <row r="738" spans="1:25" hidden="1" x14ac:dyDescent="0.25">
      <c r="A738" s="1" t="s">
        <v>29</v>
      </c>
      <c r="B738" s="1" t="s">
        <v>100</v>
      </c>
      <c r="C738" s="1" t="s">
        <v>245</v>
      </c>
      <c r="D738" t="s">
        <v>27</v>
      </c>
      <c r="E738" s="2">
        <v>45852</v>
      </c>
      <c r="F738" s="2">
        <v>45852</v>
      </c>
      <c r="G738" s="3">
        <v>48</v>
      </c>
      <c r="H738" s="4" t="s">
        <v>28</v>
      </c>
      <c r="I738">
        <v>38</v>
      </c>
      <c r="J738">
        <v>0</v>
      </c>
      <c r="K738">
        <v>0</v>
      </c>
      <c r="L738" s="3">
        <v>1</v>
      </c>
      <c r="M738" s="3">
        <v>0</v>
      </c>
      <c r="N738">
        <v>0</v>
      </c>
      <c r="O738">
        <v>0</v>
      </c>
      <c r="P738">
        <v>0</v>
      </c>
      <c r="Q738">
        <v>0</v>
      </c>
      <c r="R738" s="3">
        <v>0</v>
      </c>
      <c r="S738" s="3">
        <v>0</v>
      </c>
      <c r="T738">
        <v>0</v>
      </c>
      <c r="U738">
        <v>0</v>
      </c>
      <c r="V738" s="3">
        <v>0</v>
      </c>
      <c r="W738" s="3">
        <v>0</v>
      </c>
      <c r="X738">
        <v>0</v>
      </c>
      <c r="Y738" t="s">
        <v>725</v>
      </c>
    </row>
    <row r="739" spans="1:25" hidden="1" x14ac:dyDescent="0.25">
      <c r="A739" s="1" t="s">
        <v>344</v>
      </c>
      <c r="B739" s="1" t="s">
        <v>102</v>
      </c>
      <c r="C739" s="1" t="s">
        <v>35</v>
      </c>
      <c r="D739" t="s">
        <v>27</v>
      </c>
      <c r="E739" s="2">
        <v>45852</v>
      </c>
      <c r="F739" s="2">
        <v>45852</v>
      </c>
      <c r="G739" s="3">
        <v>36</v>
      </c>
      <c r="H739" s="4" t="s">
        <v>28</v>
      </c>
      <c r="I739">
        <v>37</v>
      </c>
      <c r="J739">
        <v>8</v>
      </c>
      <c r="K739">
        <v>0</v>
      </c>
      <c r="L739" s="3">
        <v>0</v>
      </c>
      <c r="M739" s="3">
        <v>0</v>
      </c>
      <c r="N739">
        <v>0</v>
      </c>
      <c r="O739">
        <v>0</v>
      </c>
      <c r="P739">
        <v>0</v>
      </c>
      <c r="Q739">
        <v>2</v>
      </c>
      <c r="R739" s="3">
        <v>0</v>
      </c>
      <c r="S739" s="3">
        <v>0</v>
      </c>
      <c r="T739">
        <v>0</v>
      </c>
      <c r="U739">
        <v>0</v>
      </c>
      <c r="V739" s="3">
        <v>0</v>
      </c>
      <c r="W739" s="3">
        <v>0</v>
      </c>
      <c r="X739">
        <v>0</v>
      </c>
      <c r="Y739" t="s">
        <v>726</v>
      </c>
    </row>
    <row r="740" spans="1:25" hidden="1" x14ac:dyDescent="0.25">
      <c r="A740" s="1" t="s">
        <v>31</v>
      </c>
      <c r="B740" s="1" t="s">
        <v>104</v>
      </c>
      <c r="C740" s="1" t="s">
        <v>32</v>
      </c>
      <c r="D740" t="s">
        <v>27</v>
      </c>
      <c r="E740" s="2">
        <v>45852</v>
      </c>
      <c r="F740" s="2">
        <v>45852</v>
      </c>
      <c r="G740" s="3">
        <v>43</v>
      </c>
      <c r="H740" s="4" t="s">
        <v>28</v>
      </c>
      <c r="I740">
        <v>101</v>
      </c>
      <c r="J740">
        <v>0</v>
      </c>
      <c r="K740">
        <v>0</v>
      </c>
      <c r="L740" s="3">
        <v>0</v>
      </c>
      <c r="M740" s="3">
        <v>0</v>
      </c>
      <c r="N740">
        <v>0</v>
      </c>
      <c r="O740">
        <v>0</v>
      </c>
      <c r="P740">
        <v>4</v>
      </c>
      <c r="Q740">
        <v>50</v>
      </c>
      <c r="R740" s="3">
        <v>0</v>
      </c>
      <c r="S740" s="3">
        <v>0</v>
      </c>
      <c r="T740">
        <v>0</v>
      </c>
      <c r="U740">
        <v>0</v>
      </c>
      <c r="V740" s="3">
        <v>0</v>
      </c>
      <c r="W740" s="3">
        <v>0</v>
      </c>
      <c r="X740">
        <v>0</v>
      </c>
      <c r="Y740" t="s">
        <v>727</v>
      </c>
    </row>
    <row r="741" spans="1:25" hidden="1" x14ac:dyDescent="0.25">
      <c r="A741" s="1" t="s">
        <v>33</v>
      </c>
      <c r="B741" s="1" t="s">
        <v>106</v>
      </c>
      <c r="C741" s="1" t="s">
        <v>57</v>
      </c>
      <c r="D741" t="s">
        <v>27</v>
      </c>
      <c r="E741" s="2">
        <v>45852</v>
      </c>
      <c r="F741" s="2">
        <v>45852</v>
      </c>
      <c r="G741" s="3">
        <v>25</v>
      </c>
      <c r="H741" s="4" t="s">
        <v>28</v>
      </c>
      <c r="I741">
        <v>55</v>
      </c>
      <c r="J741">
        <v>0</v>
      </c>
      <c r="K741">
        <v>0</v>
      </c>
      <c r="L741" s="3">
        <v>0</v>
      </c>
      <c r="M741" s="3">
        <v>0</v>
      </c>
      <c r="N741">
        <v>0</v>
      </c>
      <c r="O741">
        <v>0</v>
      </c>
      <c r="P741">
        <v>0</v>
      </c>
      <c r="Q741">
        <v>18</v>
      </c>
      <c r="R741" s="3">
        <v>0</v>
      </c>
      <c r="S741" s="3">
        <v>0</v>
      </c>
      <c r="T741">
        <v>0</v>
      </c>
      <c r="U741">
        <v>0</v>
      </c>
      <c r="V741" s="3">
        <v>0</v>
      </c>
      <c r="W741" s="3">
        <v>0</v>
      </c>
      <c r="X741">
        <v>0</v>
      </c>
      <c r="Y741" t="s">
        <v>728</v>
      </c>
    </row>
    <row r="742" spans="1:25" hidden="1" x14ac:dyDescent="0.25">
      <c r="A742" s="1" t="s">
        <v>34</v>
      </c>
      <c r="B742" s="1" t="s">
        <v>247</v>
      </c>
      <c r="C742" s="1" t="s">
        <v>489</v>
      </c>
      <c r="D742" t="s">
        <v>27</v>
      </c>
      <c r="E742" s="2">
        <v>45852</v>
      </c>
      <c r="F742" s="2">
        <v>45852</v>
      </c>
      <c r="G742" s="3">
        <v>35</v>
      </c>
      <c r="H742" s="4" t="s">
        <v>28</v>
      </c>
      <c r="I742">
        <v>65</v>
      </c>
      <c r="J742">
        <v>0</v>
      </c>
      <c r="K742">
        <v>0</v>
      </c>
      <c r="L742" s="3">
        <v>1</v>
      </c>
      <c r="M742" s="3">
        <v>0</v>
      </c>
      <c r="N742">
        <v>0</v>
      </c>
      <c r="O742">
        <v>0</v>
      </c>
      <c r="P742">
        <v>8</v>
      </c>
      <c r="Q742">
        <v>0</v>
      </c>
      <c r="R742" s="3">
        <v>0</v>
      </c>
      <c r="S742" s="3">
        <v>0</v>
      </c>
      <c r="T742">
        <v>0</v>
      </c>
      <c r="U742">
        <v>0</v>
      </c>
      <c r="V742" s="3">
        <v>0</v>
      </c>
      <c r="W742" s="3">
        <v>0</v>
      </c>
      <c r="X742">
        <v>0</v>
      </c>
      <c r="Y742" t="s">
        <v>729</v>
      </c>
    </row>
    <row r="743" spans="1:25" hidden="1" x14ac:dyDescent="0.25">
      <c r="A743" s="1" t="s">
        <v>38</v>
      </c>
      <c r="B743" s="1" t="s">
        <v>108</v>
      </c>
      <c r="C743" s="1" t="s">
        <v>39</v>
      </c>
      <c r="D743" t="s">
        <v>27</v>
      </c>
      <c r="E743" s="2">
        <v>45852</v>
      </c>
      <c r="F743" s="2">
        <v>45852</v>
      </c>
      <c r="G743" s="3">
        <v>68</v>
      </c>
      <c r="H743" s="4" t="s">
        <v>28</v>
      </c>
      <c r="I743">
        <v>34</v>
      </c>
      <c r="J743">
        <v>0</v>
      </c>
      <c r="K743">
        <v>0</v>
      </c>
      <c r="L743" s="3">
        <v>0</v>
      </c>
      <c r="M743" s="3">
        <v>0</v>
      </c>
      <c r="N743">
        <v>0</v>
      </c>
      <c r="O743">
        <v>0</v>
      </c>
      <c r="P743">
        <v>0</v>
      </c>
      <c r="Q743">
        <v>34</v>
      </c>
      <c r="R743" s="3">
        <v>0</v>
      </c>
      <c r="S743" s="3">
        <v>0</v>
      </c>
      <c r="T743">
        <v>0</v>
      </c>
      <c r="U743">
        <v>0</v>
      </c>
      <c r="V743" s="3">
        <v>0</v>
      </c>
      <c r="W743" s="3">
        <v>0</v>
      </c>
      <c r="X743">
        <v>0</v>
      </c>
      <c r="Y743" t="s">
        <v>730</v>
      </c>
    </row>
    <row r="744" spans="1:25" hidden="1" x14ac:dyDescent="0.25">
      <c r="A744" s="1" t="s">
        <v>40</v>
      </c>
      <c r="B744" s="1" t="s">
        <v>110</v>
      </c>
      <c r="C744" s="1" t="s">
        <v>40</v>
      </c>
      <c r="D744" t="s">
        <v>27</v>
      </c>
      <c r="E744" s="2">
        <v>45852</v>
      </c>
      <c r="F744" s="2">
        <v>45852</v>
      </c>
      <c r="G744" s="3">
        <v>39</v>
      </c>
      <c r="H744" s="4" t="s">
        <v>28</v>
      </c>
      <c r="I744">
        <v>31</v>
      </c>
      <c r="J744">
        <v>0</v>
      </c>
      <c r="K744">
        <v>0</v>
      </c>
      <c r="L744" s="3">
        <v>1</v>
      </c>
      <c r="M744" s="3">
        <v>0</v>
      </c>
      <c r="N744">
        <v>1</v>
      </c>
      <c r="O744">
        <v>0</v>
      </c>
      <c r="P744">
        <v>0</v>
      </c>
      <c r="Q744">
        <v>0</v>
      </c>
      <c r="R744" s="3">
        <v>0</v>
      </c>
      <c r="S744" s="3">
        <v>0</v>
      </c>
      <c r="T744">
        <v>0</v>
      </c>
      <c r="U744">
        <v>0</v>
      </c>
      <c r="V744" s="3">
        <v>0</v>
      </c>
      <c r="W744" s="3">
        <v>0</v>
      </c>
      <c r="X744">
        <v>0</v>
      </c>
      <c r="Y744" t="s">
        <v>731</v>
      </c>
    </row>
    <row r="745" spans="1:25" hidden="1" x14ac:dyDescent="0.25">
      <c r="A745" s="1" t="s">
        <v>41</v>
      </c>
      <c r="B745" s="1" t="s">
        <v>112</v>
      </c>
      <c r="C745" s="1" t="s">
        <v>42</v>
      </c>
      <c r="D745" t="s">
        <v>27</v>
      </c>
      <c r="E745" s="2">
        <v>45852</v>
      </c>
      <c r="F745" s="2">
        <v>45852</v>
      </c>
      <c r="G745" s="3">
        <v>80</v>
      </c>
      <c r="H745" s="4" t="s">
        <v>28</v>
      </c>
      <c r="I745">
        <v>48</v>
      </c>
      <c r="J745">
        <v>0</v>
      </c>
      <c r="K745">
        <v>0</v>
      </c>
      <c r="L745" s="3">
        <v>1</v>
      </c>
      <c r="M745" s="3">
        <v>0</v>
      </c>
      <c r="N745">
        <v>0</v>
      </c>
      <c r="O745">
        <v>0</v>
      </c>
      <c r="P745">
        <v>0</v>
      </c>
      <c r="Q745">
        <v>0</v>
      </c>
      <c r="R745" s="3">
        <v>0</v>
      </c>
      <c r="S745" s="3">
        <v>0</v>
      </c>
      <c r="T745">
        <v>0</v>
      </c>
      <c r="U745">
        <v>0</v>
      </c>
      <c r="V745" s="3">
        <v>0</v>
      </c>
      <c r="W745" s="3">
        <v>0</v>
      </c>
      <c r="X745">
        <v>0</v>
      </c>
      <c r="Y745" t="s">
        <v>732</v>
      </c>
    </row>
    <row r="746" spans="1:25" s="16" customFormat="1" hidden="1" x14ac:dyDescent="0.25">
      <c r="A746" s="1" t="s">
        <v>43</v>
      </c>
      <c r="B746" s="1" t="s">
        <v>114</v>
      </c>
      <c r="C746" s="1" t="s">
        <v>27</v>
      </c>
      <c r="D746" t="s">
        <v>27</v>
      </c>
      <c r="E746" s="2">
        <v>45852</v>
      </c>
      <c r="F746" s="2">
        <v>45852</v>
      </c>
      <c r="G746" s="3">
        <v>22</v>
      </c>
      <c r="H746" s="4" t="s">
        <v>28</v>
      </c>
      <c r="I746">
        <v>77</v>
      </c>
      <c r="J746">
        <v>0</v>
      </c>
      <c r="K746">
        <v>0</v>
      </c>
      <c r="L746" s="3">
        <v>0</v>
      </c>
      <c r="M746" s="3">
        <v>0</v>
      </c>
      <c r="N746">
        <v>0</v>
      </c>
      <c r="O746">
        <v>0</v>
      </c>
      <c r="P746">
        <v>0</v>
      </c>
      <c r="Q746">
        <v>0</v>
      </c>
      <c r="R746" s="3">
        <v>0</v>
      </c>
      <c r="S746" s="3">
        <v>0</v>
      </c>
      <c r="T746">
        <v>0</v>
      </c>
      <c r="U746">
        <v>0</v>
      </c>
      <c r="V746" s="3">
        <v>0</v>
      </c>
      <c r="W746" s="3">
        <v>0</v>
      </c>
      <c r="X746">
        <v>0</v>
      </c>
      <c r="Y746" t="s">
        <v>733</v>
      </c>
    </row>
    <row r="747" spans="1:25" hidden="1" x14ac:dyDescent="0.25">
      <c r="A747" s="1" t="s">
        <v>45</v>
      </c>
      <c r="B747" s="1" t="s">
        <v>116</v>
      </c>
      <c r="C747" s="1" t="s">
        <v>46</v>
      </c>
      <c r="D747" t="s">
        <v>27</v>
      </c>
      <c r="E747" s="2">
        <v>45852</v>
      </c>
      <c r="F747" s="2">
        <v>45852</v>
      </c>
      <c r="G747" s="3">
        <v>48</v>
      </c>
      <c r="H747" s="4" t="s">
        <v>28</v>
      </c>
      <c r="I747">
        <v>68</v>
      </c>
      <c r="J747">
        <v>0</v>
      </c>
      <c r="K747">
        <v>0</v>
      </c>
      <c r="L747" s="3">
        <v>1</v>
      </c>
      <c r="M747" s="3">
        <v>0</v>
      </c>
      <c r="N747">
        <v>0</v>
      </c>
      <c r="O747">
        <v>0</v>
      </c>
      <c r="P747">
        <v>0</v>
      </c>
      <c r="Q747">
        <v>0</v>
      </c>
      <c r="R747" s="3">
        <v>0</v>
      </c>
      <c r="S747" s="3">
        <v>0</v>
      </c>
      <c r="T747">
        <v>0</v>
      </c>
      <c r="U747">
        <v>0</v>
      </c>
      <c r="V747" s="3">
        <v>0</v>
      </c>
      <c r="W747" s="3">
        <v>0</v>
      </c>
      <c r="X747">
        <v>0</v>
      </c>
      <c r="Y747" t="s">
        <v>734</v>
      </c>
    </row>
    <row r="748" spans="1:25" hidden="1" x14ac:dyDescent="0.25">
      <c r="A748" s="1" t="s">
        <v>49</v>
      </c>
      <c r="B748" s="1" t="s">
        <v>118</v>
      </c>
      <c r="C748" s="1" t="s">
        <v>50</v>
      </c>
      <c r="D748" t="s">
        <v>27</v>
      </c>
      <c r="E748" s="2">
        <v>45852</v>
      </c>
      <c r="F748" s="2">
        <v>45852</v>
      </c>
      <c r="G748" s="3">
        <v>34</v>
      </c>
      <c r="H748" s="4" t="s">
        <v>28</v>
      </c>
      <c r="I748">
        <v>36</v>
      </c>
      <c r="J748">
        <v>0</v>
      </c>
      <c r="K748">
        <v>0</v>
      </c>
      <c r="L748" s="3">
        <v>1</v>
      </c>
      <c r="M748" s="3">
        <v>1</v>
      </c>
      <c r="N748">
        <v>0</v>
      </c>
      <c r="O748">
        <v>0</v>
      </c>
      <c r="P748">
        <v>0</v>
      </c>
      <c r="Q748">
        <v>78</v>
      </c>
      <c r="R748" s="3">
        <v>0</v>
      </c>
      <c r="S748" s="3">
        <v>0</v>
      </c>
      <c r="T748">
        <v>0</v>
      </c>
      <c r="U748">
        <v>0</v>
      </c>
      <c r="V748" s="3">
        <v>0</v>
      </c>
      <c r="W748" s="3">
        <v>0</v>
      </c>
      <c r="X748">
        <v>0</v>
      </c>
      <c r="Y748" t="s">
        <v>735</v>
      </c>
    </row>
    <row r="749" spans="1:25" hidden="1" x14ac:dyDescent="0.25">
      <c r="A749" s="1" t="s">
        <v>48</v>
      </c>
      <c r="B749" s="1" t="s">
        <v>149</v>
      </c>
      <c r="C749" s="1" t="s">
        <v>27</v>
      </c>
      <c r="D749" s="1" t="s">
        <v>27</v>
      </c>
      <c r="E749" s="2">
        <v>45852</v>
      </c>
      <c r="F749" s="2">
        <v>45852</v>
      </c>
      <c r="G749" s="3">
        <v>31</v>
      </c>
      <c r="H749" s="4" t="s">
        <v>28</v>
      </c>
      <c r="I749">
        <v>43</v>
      </c>
      <c r="J749">
        <v>0</v>
      </c>
      <c r="K749">
        <v>0</v>
      </c>
      <c r="L749" s="3">
        <v>0</v>
      </c>
      <c r="M749" s="3">
        <v>0</v>
      </c>
      <c r="N749">
        <v>0</v>
      </c>
      <c r="O749">
        <v>0</v>
      </c>
      <c r="P749">
        <v>0</v>
      </c>
      <c r="Q749">
        <v>0</v>
      </c>
      <c r="R749" s="3">
        <v>0</v>
      </c>
      <c r="S749" s="3">
        <v>0</v>
      </c>
      <c r="T749">
        <v>0</v>
      </c>
      <c r="U749">
        <v>0</v>
      </c>
      <c r="V749" s="3">
        <v>0</v>
      </c>
      <c r="W749" s="3">
        <v>0</v>
      </c>
      <c r="X749">
        <v>0</v>
      </c>
      <c r="Y749" t="s">
        <v>719</v>
      </c>
    </row>
    <row r="750" spans="1:25" hidden="1" x14ac:dyDescent="0.25">
      <c r="A750" s="1" t="s">
        <v>51</v>
      </c>
      <c r="B750" s="1" t="s">
        <v>120</v>
      </c>
      <c r="C750" s="1" t="s">
        <v>55</v>
      </c>
      <c r="D750" t="s">
        <v>27</v>
      </c>
      <c r="E750" s="2">
        <v>45852</v>
      </c>
      <c r="F750" s="2">
        <v>45852</v>
      </c>
      <c r="G750" s="3">
        <v>60</v>
      </c>
      <c r="H750" s="4" t="s">
        <v>28</v>
      </c>
      <c r="I750">
        <v>40</v>
      </c>
      <c r="J750">
        <v>0</v>
      </c>
      <c r="K750">
        <v>0</v>
      </c>
      <c r="L750" s="3">
        <v>0</v>
      </c>
      <c r="M750" s="3">
        <v>0</v>
      </c>
      <c r="N750">
        <v>1</v>
      </c>
      <c r="O750">
        <v>0</v>
      </c>
      <c r="P750">
        <v>0</v>
      </c>
      <c r="Q750">
        <v>0</v>
      </c>
      <c r="R750" s="3">
        <v>0</v>
      </c>
      <c r="S750" s="3">
        <v>0</v>
      </c>
      <c r="T750">
        <v>0</v>
      </c>
      <c r="U750">
        <v>0</v>
      </c>
      <c r="V750" s="3">
        <v>0</v>
      </c>
      <c r="W750" s="3">
        <v>0</v>
      </c>
      <c r="X750">
        <v>0</v>
      </c>
      <c r="Y750" t="s">
        <v>736</v>
      </c>
    </row>
    <row r="751" spans="1:25" hidden="1" x14ac:dyDescent="0.25">
      <c r="A751" s="1" t="s">
        <v>54</v>
      </c>
      <c r="B751" s="1" t="s">
        <v>122</v>
      </c>
      <c r="C751" s="1" t="s">
        <v>52</v>
      </c>
      <c r="D751" t="s">
        <v>27</v>
      </c>
      <c r="E751" s="2">
        <v>45852</v>
      </c>
      <c r="F751" s="2">
        <v>45852</v>
      </c>
      <c r="G751" s="3">
        <v>49</v>
      </c>
      <c r="H751" s="4" t="s">
        <v>28</v>
      </c>
      <c r="I751">
        <v>32</v>
      </c>
      <c r="J751">
        <v>0</v>
      </c>
      <c r="K751">
        <v>0</v>
      </c>
      <c r="L751" s="3">
        <v>0</v>
      </c>
      <c r="M751" s="3">
        <v>0</v>
      </c>
      <c r="N751">
        <v>0</v>
      </c>
      <c r="O751">
        <v>0</v>
      </c>
      <c r="P751">
        <v>0</v>
      </c>
      <c r="Q751">
        <v>0</v>
      </c>
      <c r="R751" s="3">
        <v>0</v>
      </c>
      <c r="S751" s="3">
        <v>0</v>
      </c>
      <c r="T751">
        <v>0</v>
      </c>
      <c r="U751">
        <v>0</v>
      </c>
      <c r="V751" s="3">
        <v>0</v>
      </c>
      <c r="W751" s="3">
        <v>0</v>
      </c>
      <c r="X751">
        <v>0</v>
      </c>
      <c r="Y751" t="s">
        <v>737</v>
      </c>
    </row>
    <row r="752" spans="1:25" hidden="1" x14ac:dyDescent="0.25">
      <c r="A752" s="1" t="s">
        <v>36</v>
      </c>
      <c r="B752" s="1" t="s">
        <v>149</v>
      </c>
      <c r="C752" s="1" t="s">
        <v>27</v>
      </c>
      <c r="D752" t="s">
        <v>27</v>
      </c>
      <c r="E752" s="2">
        <v>45852</v>
      </c>
      <c r="F752" s="2">
        <v>45852</v>
      </c>
      <c r="G752" s="3">
        <v>36</v>
      </c>
      <c r="H752" s="4" t="s">
        <v>28</v>
      </c>
      <c r="I752">
        <v>77</v>
      </c>
      <c r="J752">
        <v>0</v>
      </c>
      <c r="K752">
        <v>0</v>
      </c>
      <c r="L752" s="3">
        <v>1</v>
      </c>
      <c r="M752" s="3">
        <v>0</v>
      </c>
      <c r="N752">
        <v>0</v>
      </c>
      <c r="O752">
        <v>0</v>
      </c>
      <c r="P752">
        <v>0</v>
      </c>
      <c r="Q752">
        <v>0</v>
      </c>
      <c r="R752" s="3">
        <v>0</v>
      </c>
      <c r="S752" s="3">
        <v>0</v>
      </c>
      <c r="T752">
        <v>0</v>
      </c>
      <c r="U752">
        <v>0</v>
      </c>
      <c r="V752" s="3">
        <v>0</v>
      </c>
      <c r="W752" s="3">
        <v>0</v>
      </c>
      <c r="X752">
        <v>0</v>
      </c>
      <c r="Y752" t="s">
        <v>738</v>
      </c>
    </row>
    <row r="753" spans="1:25" hidden="1" x14ac:dyDescent="0.25">
      <c r="A753" s="1" t="s">
        <v>47</v>
      </c>
      <c r="B753" s="1" t="s">
        <v>739</v>
      </c>
      <c r="C753" s="1" t="s">
        <v>27</v>
      </c>
      <c r="D753" t="s">
        <v>27</v>
      </c>
      <c r="E753" s="2">
        <v>45852</v>
      </c>
      <c r="F753" s="2">
        <v>45852</v>
      </c>
      <c r="G753" s="3">
        <v>37</v>
      </c>
      <c r="H753" s="4" t="s">
        <v>28</v>
      </c>
      <c r="I753">
        <v>43</v>
      </c>
      <c r="J753">
        <v>0</v>
      </c>
      <c r="K753">
        <v>0</v>
      </c>
      <c r="L753" s="3">
        <v>0</v>
      </c>
      <c r="M753" s="3">
        <v>0</v>
      </c>
      <c r="N753">
        <v>0</v>
      </c>
      <c r="O753">
        <v>0</v>
      </c>
      <c r="P753">
        <v>0</v>
      </c>
      <c r="Q753">
        <v>0</v>
      </c>
      <c r="R753" s="3">
        <v>0</v>
      </c>
      <c r="S753" s="3">
        <v>0</v>
      </c>
      <c r="T753">
        <v>0</v>
      </c>
      <c r="U753">
        <v>0</v>
      </c>
      <c r="V753" s="3">
        <v>0</v>
      </c>
      <c r="W753" s="3">
        <v>0</v>
      </c>
      <c r="X753" s="3">
        <v>0</v>
      </c>
      <c r="Y753" t="s">
        <v>738</v>
      </c>
    </row>
    <row r="754" spans="1:25" hidden="1" x14ac:dyDescent="0.25">
      <c r="A754" s="1" t="s">
        <v>25</v>
      </c>
      <c r="B754" s="1" t="s">
        <v>96</v>
      </c>
      <c r="C754" s="1" t="s">
        <v>26</v>
      </c>
      <c r="D754" t="s">
        <v>27</v>
      </c>
      <c r="E754" s="2">
        <v>45853</v>
      </c>
      <c r="F754" s="2">
        <v>45853</v>
      </c>
      <c r="G754" s="3">
        <v>39</v>
      </c>
      <c r="H754" t="s">
        <v>28</v>
      </c>
      <c r="I754">
        <v>48</v>
      </c>
      <c r="J754">
        <v>0</v>
      </c>
      <c r="K754">
        <v>0</v>
      </c>
      <c r="L754" s="3">
        <v>0</v>
      </c>
      <c r="M754" s="3">
        <v>0</v>
      </c>
      <c r="N754">
        <v>1</v>
      </c>
      <c r="O754">
        <v>0</v>
      </c>
      <c r="P754">
        <v>0</v>
      </c>
      <c r="Q754">
        <v>0</v>
      </c>
      <c r="R754" s="3">
        <v>0</v>
      </c>
      <c r="S754" s="3">
        <v>0</v>
      </c>
      <c r="T754">
        <v>0</v>
      </c>
      <c r="U754">
        <v>0</v>
      </c>
      <c r="V754" s="3">
        <v>0</v>
      </c>
      <c r="W754" s="3">
        <v>0</v>
      </c>
      <c r="X754">
        <v>0</v>
      </c>
      <c r="Y754" t="s">
        <v>723</v>
      </c>
    </row>
    <row r="755" spans="1:25" hidden="1" x14ac:dyDescent="0.25">
      <c r="A755" s="1" t="s">
        <v>58</v>
      </c>
      <c r="B755" s="1" t="s">
        <v>123</v>
      </c>
      <c r="C755" s="1" t="s">
        <v>27</v>
      </c>
      <c r="D755" t="s">
        <v>27</v>
      </c>
      <c r="E755" s="2">
        <v>45853</v>
      </c>
      <c r="F755" s="2">
        <v>45853</v>
      </c>
      <c r="G755" s="3">
        <v>39</v>
      </c>
      <c r="H755" s="4" t="s">
        <v>180</v>
      </c>
      <c r="I755">
        <v>0</v>
      </c>
      <c r="J755">
        <v>0</v>
      </c>
      <c r="K755">
        <v>0</v>
      </c>
      <c r="L755" s="3">
        <v>0</v>
      </c>
      <c r="M755" s="3">
        <v>0</v>
      </c>
      <c r="N755">
        <v>0</v>
      </c>
      <c r="O755">
        <v>0</v>
      </c>
      <c r="P755">
        <v>0</v>
      </c>
      <c r="Q755">
        <v>0</v>
      </c>
      <c r="R755" s="3">
        <v>0</v>
      </c>
      <c r="S755" s="3">
        <v>0</v>
      </c>
      <c r="T755">
        <v>0</v>
      </c>
      <c r="U755">
        <v>0</v>
      </c>
      <c r="V755" s="3">
        <v>0</v>
      </c>
      <c r="W755" s="3">
        <v>0</v>
      </c>
      <c r="X755">
        <v>0</v>
      </c>
      <c r="Y755" t="s">
        <v>550</v>
      </c>
    </row>
    <row r="756" spans="1:25" hidden="1" x14ac:dyDescent="0.25">
      <c r="A756" s="1" t="s">
        <v>56</v>
      </c>
      <c r="B756" s="1" t="s">
        <v>98</v>
      </c>
      <c r="C756" s="1" t="s">
        <v>37</v>
      </c>
      <c r="D756" t="s">
        <v>27</v>
      </c>
      <c r="E756" s="2">
        <v>45853</v>
      </c>
      <c r="F756" s="2">
        <v>45853</v>
      </c>
      <c r="G756" s="3">
        <v>41</v>
      </c>
      <c r="H756" t="s">
        <v>28</v>
      </c>
      <c r="I756">
        <v>79</v>
      </c>
      <c r="J756">
        <v>2</v>
      </c>
      <c r="K756">
        <v>0</v>
      </c>
      <c r="L756" s="3">
        <v>1</v>
      </c>
      <c r="M756" s="3">
        <v>0</v>
      </c>
      <c r="N756">
        <v>0</v>
      </c>
      <c r="O756">
        <v>0</v>
      </c>
      <c r="P756">
        <v>0</v>
      </c>
      <c r="Q756">
        <v>0</v>
      </c>
      <c r="R756" s="3">
        <v>0</v>
      </c>
      <c r="S756" s="3">
        <v>0</v>
      </c>
      <c r="T756">
        <v>0</v>
      </c>
      <c r="U756">
        <v>0</v>
      </c>
      <c r="V756" s="3">
        <v>0</v>
      </c>
      <c r="W756" s="3">
        <v>0</v>
      </c>
      <c r="X756">
        <v>0</v>
      </c>
      <c r="Y756" t="s">
        <v>762</v>
      </c>
    </row>
    <row r="757" spans="1:25" hidden="1" x14ac:dyDescent="0.25">
      <c r="A757" s="1" t="s">
        <v>29</v>
      </c>
      <c r="B757" s="1" t="s">
        <v>100</v>
      </c>
      <c r="C757" s="1" t="s">
        <v>245</v>
      </c>
      <c r="D757" t="s">
        <v>27</v>
      </c>
      <c r="E757" s="2">
        <v>45853</v>
      </c>
      <c r="F757" s="2">
        <v>45853</v>
      </c>
      <c r="G757" s="3">
        <v>54</v>
      </c>
      <c r="H757" t="s">
        <v>28</v>
      </c>
      <c r="I757">
        <v>54</v>
      </c>
      <c r="J757">
        <v>0</v>
      </c>
      <c r="K757">
        <v>0</v>
      </c>
      <c r="L757" s="3">
        <v>0</v>
      </c>
      <c r="M757" s="3">
        <v>0</v>
      </c>
      <c r="N757">
        <v>0</v>
      </c>
      <c r="O757">
        <v>0</v>
      </c>
      <c r="P757">
        <v>0</v>
      </c>
      <c r="Q757">
        <v>0</v>
      </c>
      <c r="R757" s="3">
        <v>0</v>
      </c>
      <c r="S757" s="3">
        <v>0</v>
      </c>
      <c r="T757">
        <v>0</v>
      </c>
      <c r="U757">
        <v>0</v>
      </c>
      <c r="V757" s="3">
        <v>0</v>
      </c>
      <c r="W757" s="3">
        <v>0</v>
      </c>
      <c r="X757">
        <v>0</v>
      </c>
      <c r="Y757" t="s">
        <v>757</v>
      </c>
    </row>
    <row r="758" spans="1:25" hidden="1" x14ac:dyDescent="0.25">
      <c r="A758" s="1" t="s">
        <v>344</v>
      </c>
      <c r="B758" s="1" t="s">
        <v>102</v>
      </c>
      <c r="C758" s="1" t="s">
        <v>35</v>
      </c>
      <c r="D758" t="s">
        <v>27</v>
      </c>
      <c r="E758" s="2">
        <v>45853</v>
      </c>
      <c r="F758" s="2">
        <v>45853</v>
      </c>
      <c r="G758" s="3">
        <v>36</v>
      </c>
      <c r="H758" t="s">
        <v>28</v>
      </c>
      <c r="I758">
        <v>43</v>
      </c>
      <c r="J758">
        <v>8</v>
      </c>
      <c r="K758">
        <v>0</v>
      </c>
      <c r="L758" s="3">
        <v>0</v>
      </c>
      <c r="M758" s="3">
        <v>0</v>
      </c>
      <c r="N758">
        <v>0</v>
      </c>
      <c r="O758">
        <v>0</v>
      </c>
      <c r="P758">
        <v>0</v>
      </c>
      <c r="Q758">
        <v>2</v>
      </c>
      <c r="R758" s="3">
        <v>0</v>
      </c>
      <c r="S758" s="3">
        <v>0</v>
      </c>
      <c r="T758">
        <v>0</v>
      </c>
      <c r="U758">
        <v>0</v>
      </c>
      <c r="V758" s="3">
        <v>0</v>
      </c>
      <c r="W758" s="3">
        <v>0</v>
      </c>
      <c r="X758">
        <v>0</v>
      </c>
      <c r="Y758" t="s">
        <v>726</v>
      </c>
    </row>
    <row r="759" spans="1:25" hidden="1" x14ac:dyDescent="0.25">
      <c r="A759" s="1" t="s">
        <v>31</v>
      </c>
      <c r="B759" s="1" t="s">
        <v>104</v>
      </c>
      <c r="C759" s="1" t="s">
        <v>32</v>
      </c>
      <c r="D759" t="s">
        <v>27</v>
      </c>
      <c r="E759" s="2">
        <v>45853</v>
      </c>
      <c r="F759" s="2">
        <v>45853</v>
      </c>
      <c r="G759" s="3">
        <v>43</v>
      </c>
      <c r="H759" t="s">
        <v>28</v>
      </c>
      <c r="I759">
        <v>64</v>
      </c>
      <c r="J759">
        <v>0</v>
      </c>
      <c r="K759">
        <v>0</v>
      </c>
      <c r="L759" s="3">
        <v>0</v>
      </c>
      <c r="M759" s="3">
        <v>0</v>
      </c>
      <c r="N759">
        <v>0</v>
      </c>
      <c r="O759">
        <v>0</v>
      </c>
      <c r="P759">
        <v>4</v>
      </c>
      <c r="Q759">
        <v>50</v>
      </c>
      <c r="R759" s="3">
        <v>0</v>
      </c>
      <c r="S759" s="3">
        <v>0</v>
      </c>
      <c r="T759">
        <v>0</v>
      </c>
      <c r="U759">
        <v>0</v>
      </c>
      <c r="V759" s="3">
        <v>0</v>
      </c>
      <c r="W759" s="3">
        <v>0</v>
      </c>
      <c r="X759">
        <v>0</v>
      </c>
      <c r="Y759" t="s">
        <v>727</v>
      </c>
    </row>
    <row r="760" spans="1:25" hidden="1" x14ac:dyDescent="0.25">
      <c r="A760" s="1" t="s">
        <v>34</v>
      </c>
      <c r="B760" s="1" t="s">
        <v>247</v>
      </c>
      <c r="C760" s="1" t="s">
        <v>489</v>
      </c>
      <c r="D760" t="s">
        <v>27</v>
      </c>
      <c r="E760" s="2">
        <v>45853</v>
      </c>
      <c r="F760" s="2">
        <v>45853</v>
      </c>
      <c r="G760" s="3">
        <v>35</v>
      </c>
      <c r="H760" t="s">
        <v>28</v>
      </c>
      <c r="I760">
        <v>30</v>
      </c>
      <c r="J760">
        <v>0</v>
      </c>
      <c r="K760">
        <v>0</v>
      </c>
      <c r="L760" s="3">
        <v>0</v>
      </c>
      <c r="M760" s="3">
        <v>0</v>
      </c>
      <c r="N760">
        <v>0</v>
      </c>
      <c r="O760">
        <v>0</v>
      </c>
      <c r="P760">
        <v>8</v>
      </c>
      <c r="Q760">
        <v>0</v>
      </c>
      <c r="R760" s="3">
        <v>0</v>
      </c>
      <c r="S760" s="3">
        <v>0</v>
      </c>
      <c r="T760">
        <v>0</v>
      </c>
      <c r="U760">
        <v>0</v>
      </c>
      <c r="V760" s="3">
        <v>0</v>
      </c>
      <c r="W760" s="3">
        <v>0</v>
      </c>
      <c r="X760">
        <v>0</v>
      </c>
      <c r="Y760" t="s">
        <v>729</v>
      </c>
    </row>
    <row r="761" spans="1:25" hidden="1" x14ac:dyDescent="0.25">
      <c r="A761" s="1" t="s">
        <v>38</v>
      </c>
      <c r="B761" s="1" t="s">
        <v>108</v>
      </c>
      <c r="C761" s="1" t="s">
        <v>39</v>
      </c>
      <c r="D761" t="s">
        <v>27</v>
      </c>
      <c r="E761" s="2">
        <v>45853</v>
      </c>
      <c r="F761" s="2">
        <v>45853</v>
      </c>
      <c r="G761" s="3">
        <v>58</v>
      </c>
      <c r="H761" t="s">
        <v>28</v>
      </c>
      <c r="I761">
        <v>27</v>
      </c>
      <c r="J761">
        <v>0</v>
      </c>
      <c r="K761">
        <v>0</v>
      </c>
      <c r="L761" s="3">
        <v>0</v>
      </c>
      <c r="M761" s="3">
        <v>0</v>
      </c>
      <c r="N761">
        <v>0</v>
      </c>
      <c r="O761">
        <v>0</v>
      </c>
      <c r="P761">
        <v>0</v>
      </c>
      <c r="Q761">
        <v>27</v>
      </c>
      <c r="R761" s="3">
        <v>0</v>
      </c>
      <c r="S761" s="3">
        <v>0</v>
      </c>
      <c r="T761">
        <v>0</v>
      </c>
      <c r="U761">
        <v>0</v>
      </c>
      <c r="V761" s="3">
        <v>0</v>
      </c>
      <c r="W761" s="3">
        <v>0</v>
      </c>
      <c r="X761">
        <v>0</v>
      </c>
      <c r="Y761" t="s">
        <v>761</v>
      </c>
    </row>
    <row r="762" spans="1:25" hidden="1" x14ac:dyDescent="0.25">
      <c r="A762" s="1" t="s">
        <v>40</v>
      </c>
      <c r="B762" s="1" t="s">
        <v>110</v>
      </c>
      <c r="C762" s="1" t="s">
        <v>40</v>
      </c>
      <c r="D762" t="s">
        <v>27</v>
      </c>
      <c r="E762" s="2">
        <v>45853</v>
      </c>
      <c r="F762" s="2">
        <v>45853</v>
      </c>
      <c r="G762" s="3">
        <v>39</v>
      </c>
      <c r="H762" t="s">
        <v>28</v>
      </c>
      <c r="I762">
        <v>15</v>
      </c>
      <c r="J762">
        <v>0</v>
      </c>
      <c r="K762">
        <v>0</v>
      </c>
      <c r="L762" s="3">
        <v>0</v>
      </c>
      <c r="M762" s="3">
        <v>0</v>
      </c>
      <c r="N762">
        <v>1</v>
      </c>
      <c r="O762">
        <v>0</v>
      </c>
      <c r="P762">
        <v>0</v>
      </c>
      <c r="Q762">
        <v>0</v>
      </c>
      <c r="R762" s="3">
        <v>0</v>
      </c>
      <c r="S762" s="3">
        <v>0</v>
      </c>
      <c r="T762">
        <v>0</v>
      </c>
      <c r="U762">
        <v>0</v>
      </c>
      <c r="V762" s="3">
        <v>0</v>
      </c>
      <c r="W762" s="3">
        <v>0</v>
      </c>
      <c r="X762">
        <v>0</v>
      </c>
      <c r="Y762" t="s">
        <v>731</v>
      </c>
    </row>
    <row r="763" spans="1:25" hidden="1" x14ac:dyDescent="0.25">
      <c r="A763" s="1" t="s">
        <v>41</v>
      </c>
      <c r="B763" s="1" t="s">
        <v>112</v>
      </c>
      <c r="C763" s="1" t="s">
        <v>42</v>
      </c>
      <c r="D763" t="s">
        <v>27</v>
      </c>
      <c r="E763" s="2">
        <v>45853</v>
      </c>
      <c r="F763" s="2">
        <v>45853</v>
      </c>
      <c r="G763" s="3">
        <v>38</v>
      </c>
      <c r="H763" t="s">
        <v>28</v>
      </c>
      <c r="I763">
        <v>34</v>
      </c>
      <c r="J763">
        <v>0</v>
      </c>
      <c r="K763">
        <v>0</v>
      </c>
      <c r="L763" s="3">
        <v>1</v>
      </c>
      <c r="M763" s="3">
        <v>0</v>
      </c>
      <c r="N763">
        <v>0</v>
      </c>
      <c r="O763">
        <v>0</v>
      </c>
      <c r="P763">
        <v>0</v>
      </c>
      <c r="Q763">
        <v>1</v>
      </c>
      <c r="R763" s="3">
        <v>0</v>
      </c>
      <c r="S763" s="3">
        <v>0</v>
      </c>
      <c r="T763">
        <v>0</v>
      </c>
      <c r="U763">
        <v>0</v>
      </c>
      <c r="V763" s="3">
        <v>0</v>
      </c>
      <c r="W763" s="3">
        <v>0</v>
      </c>
      <c r="X763">
        <v>0</v>
      </c>
      <c r="Y763" t="s">
        <v>760</v>
      </c>
    </row>
    <row r="764" spans="1:25" hidden="1" x14ac:dyDescent="0.25">
      <c r="A764" s="1" t="s">
        <v>43</v>
      </c>
      <c r="B764" s="1" t="s">
        <v>114</v>
      </c>
      <c r="C764" s="1" t="s">
        <v>27</v>
      </c>
      <c r="D764" t="s">
        <v>27</v>
      </c>
      <c r="E764" s="2">
        <v>45853</v>
      </c>
      <c r="F764" s="2">
        <v>45853</v>
      </c>
      <c r="G764" s="3">
        <v>27</v>
      </c>
      <c r="H764" t="s">
        <v>28</v>
      </c>
      <c r="I764">
        <v>74</v>
      </c>
      <c r="J764">
        <v>0</v>
      </c>
      <c r="K764">
        <v>0</v>
      </c>
      <c r="L764" s="3">
        <v>1</v>
      </c>
      <c r="M764" s="3">
        <v>0</v>
      </c>
      <c r="N764">
        <v>0</v>
      </c>
      <c r="O764">
        <v>0</v>
      </c>
      <c r="P764">
        <v>0</v>
      </c>
      <c r="Q764">
        <v>0</v>
      </c>
      <c r="R764" s="3">
        <v>0</v>
      </c>
      <c r="S764" s="3">
        <v>0</v>
      </c>
      <c r="T764">
        <v>0</v>
      </c>
      <c r="U764">
        <v>0</v>
      </c>
      <c r="V764" s="3">
        <v>0</v>
      </c>
      <c r="W764" s="3">
        <v>0</v>
      </c>
      <c r="X764">
        <v>0</v>
      </c>
      <c r="Y764" t="s">
        <v>759</v>
      </c>
    </row>
    <row r="765" spans="1:25" hidden="1" x14ac:dyDescent="0.25">
      <c r="A765" s="1" t="s">
        <v>36</v>
      </c>
      <c r="B765" s="1" t="s">
        <v>114</v>
      </c>
      <c r="C765" s="1" t="s">
        <v>27</v>
      </c>
      <c r="D765" t="s">
        <v>27</v>
      </c>
      <c r="E765" s="2">
        <v>45853</v>
      </c>
      <c r="F765" s="2">
        <v>45853</v>
      </c>
      <c r="G765" s="3">
        <v>27</v>
      </c>
      <c r="H765" t="s">
        <v>28</v>
      </c>
      <c r="I765">
        <v>74</v>
      </c>
      <c r="J765">
        <v>0</v>
      </c>
      <c r="K765">
        <v>0</v>
      </c>
      <c r="L765" s="3">
        <v>1</v>
      </c>
      <c r="M765" s="3">
        <v>0</v>
      </c>
      <c r="N765">
        <v>0</v>
      </c>
      <c r="O765">
        <v>0</v>
      </c>
      <c r="P765">
        <v>0</v>
      </c>
      <c r="Q765">
        <v>0</v>
      </c>
      <c r="R765" s="3">
        <v>0</v>
      </c>
      <c r="S765" s="3">
        <v>0</v>
      </c>
      <c r="T765">
        <v>0</v>
      </c>
      <c r="U765">
        <v>0</v>
      </c>
      <c r="V765" s="3">
        <v>0</v>
      </c>
      <c r="W765" s="3">
        <v>0</v>
      </c>
      <c r="X765">
        <v>0</v>
      </c>
      <c r="Y765" t="s">
        <v>759</v>
      </c>
    </row>
    <row r="766" spans="1:25" hidden="1" x14ac:dyDescent="0.25">
      <c r="A766" s="1" t="s">
        <v>49</v>
      </c>
      <c r="B766" s="1" t="s">
        <v>118</v>
      </c>
      <c r="C766" s="1" t="s">
        <v>50</v>
      </c>
      <c r="D766" t="s">
        <v>27</v>
      </c>
      <c r="E766" s="2">
        <v>45853</v>
      </c>
      <c r="F766" s="2">
        <v>45853</v>
      </c>
      <c r="G766" s="3">
        <v>34</v>
      </c>
      <c r="H766" t="s">
        <v>28</v>
      </c>
      <c r="I766">
        <v>25</v>
      </c>
      <c r="J766">
        <v>0</v>
      </c>
      <c r="K766">
        <v>0</v>
      </c>
      <c r="L766" s="3">
        <v>1</v>
      </c>
      <c r="M766" s="3">
        <v>1</v>
      </c>
      <c r="N766">
        <v>0</v>
      </c>
      <c r="O766">
        <v>0</v>
      </c>
      <c r="P766">
        <v>0</v>
      </c>
      <c r="Q766">
        <v>78</v>
      </c>
      <c r="R766" s="3">
        <v>0</v>
      </c>
      <c r="S766" s="3">
        <v>0</v>
      </c>
      <c r="T766">
        <v>0</v>
      </c>
      <c r="U766">
        <v>0</v>
      </c>
      <c r="V766" s="3">
        <v>0</v>
      </c>
      <c r="W766" s="3">
        <v>0</v>
      </c>
      <c r="X766">
        <v>0</v>
      </c>
      <c r="Y766" t="s">
        <v>735</v>
      </c>
    </row>
    <row r="767" spans="1:25" hidden="1" x14ac:dyDescent="0.25">
      <c r="A767" s="1" t="s">
        <v>45</v>
      </c>
      <c r="B767" s="1" t="s">
        <v>116</v>
      </c>
      <c r="C767" t="s">
        <v>27</v>
      </c>
      <c r="D767" t="s">
        <v>27</v>
      </c>
      <c r="E767" s="2">
        <v>45853</v>
      </c>
      <c r="F767" s="2">
        <v>45853</v>
      </c>
      <c r="G767" s="3">
        <v>77</v>
      </c>
      <c r="H767" t="s">
        <v>28</v>
      </c>
      <c r="I767">
        <v>15</v>
      </c>
      <c r="J767">
        <v>0</v>
      </c>
      <c r="K767">
        <v>0</v>
      </c>
      <c r="L767" s="3">
        <v>0</v>
      </c>
      <c r="M767" s="3">
        <v>0</v>
      </c>
      <c r="N767">
        <v>0</v>
      </c>
      <c r="O767">
        <v>0</v>
      </c>
      <c r="P767">
        <v>0</v>
      </c>
      <c r="Q767">
        <v>0</v>
      </c>
      <c r="R767" s="3">
        <v>0</v>
      </c>
      <c r="S767" s="3">
        <v>0</v>
      </c>
      <c r="T767">
        <v>0</v>
      </c>
      <c r="U767">
        <v>0</v>
      </c>
      <c r="V767" s="3">
        <v>0</v>
      </c>
      <c r="W767" s="3">
        <v>0</v>
      </c>
      <c r="X767">
        <v>0</v>
      </c>
      <c r="Y767" t="s">
        <v>756</v>
      </c>
    </row>
    <row r="768" spans="1:25" hidden="1" x14ac:dyDescent="0.25">
      <c r="A768" s="1" t="s">
        <v>51</v>
      </c>
      <c r="B768" s="1" t="s">
        <v>120</v>
      </c>
      <c r="C768" t="s">
        <v>27</v>
      </c>
      <c r="D768" t="s">
        <v>27</v>
      </c>
      <c r="E768" s="2">
        <v>45853</v>
      </c>
      <c r="F768" s="2">
        <v>45853</v>
      </c>
      <c r="G768" s="3">
        <v>60</v>
      </c>
      <c r="H768" t="s">
        <v>28</v>
      </c>
      <c r="I768">
        <v>43</v>
      </c>
      <c r="J768">
        <v>0</v>
      </c>
      <c r="K768">
        <v>0</v>
      </c>
      <c r="L768" s="3">
        <v>0</v>
      </c>
      <c r="M768" s="3">
        <v>0</v>
      </c>
      <c r="N768">
        <v>1</v>
      </c>
      <c r="O768">
        <v>0</v>
      </c>
      <c r="P768">
        <v>0</v>
      </c>
      <c r="Q768">
        <v>0</v>
      </c>
      <c r="R768" s="3">
        <v>0</v>
      </c>
      <c r="S768" s="3">
        <v>0</v>
      </c>
      <c r="T768">
        <v>0</v>
      </c>
      <c r="U768">
        <v>0</v>
      </c>
      <c r="V768" s="3">
        <v>0</v>
      </c>
      <c r="W768" s="3">
        <v>0</v>
      </c>
      <c r="X768">
        <v>0</v>
      </c>
      <c r="Y768" t="s">
        <v>736</v>
      </c>
    </row>
    <row r="769" spans="1:25" hidden="1" x14ac:dyDescent="0.25">
      <c r="A769" s="1" t="s">
        <v>27</v>
      </c>
      <c r="B769" s="1" t="s">
        <v>120</v>
      </c>
      <c r="C769" s="1" t="s">
        <v>46</v>
      </c>
      <c r="D769" t="s">
        <v>27</v>
      </c>
      <c r="E769" s="2">
        <v>45853</v>
      </c>
      <c r="F769" s="2">
        <v>45853</v>
      </c>
      <c r="G769" s="3">
        <v>60</v>
      </c>
      <c r="H769" t="s">
        <v>28</v>
      </c>
      <c r="I769">
        <f>43+15</f>
        <v>58</v>
      </c>
      <c r="J769">
        <v>0</v>
      </c>
      <c r="K769">
        <v>0</v>
      </c>
      <c r="L769" s="3">
        <v>0</v>
      </c>
      <c r="M769" s="3">
        <v>0</v>
      </c>
      <c r="N769">
        <v>1</v>
      </c>
      <c r="O769">
        <v>0</v>
      </c>
      <c r="P769">
        <v>0</v>
      </c>
      <c r="Q769">
        <v>0</v>
      </c>
      <c r="R769" s="3">
        <v>0</v>
      </c>
      <c r="S769" s="3">
        <v>0</v>
      </c>
      <c r="T769">
        <v>0</v>
      </c>
      <c r="U769">
        <v>0</v>
      </c>
      <c r="V769" s="3">
        <v>0</v>
      </c>
      <c r="W769" s="3">
        <v>0</v>
      </c>
      <c r="X769">
        <v>0</v>
      </c>
      <c r="Y769" t="s">
        <v>736</v>
      </c>
    </row>
    <row r="770" spans="1:25" hidden="1" x14ac:dyDescent="0.25">
      <c r="A770" s="1" t="s">
        <v>54</v>
      </c>
      <c r="B770" s="1" t="s">
        <v>122</v>
      </c>
      <c r="C770" s="1" t="s">
        <v>52</v>
      </c>
      <c r="D770" t="s">
        <v>27</v>
      </c>
      <c r="E770" s="2">
        <v>45853</v>
      </c>
      <c r="F770" s="2">
        <v>45853</v>
      </c>
      <c r="G770" s="3">
        <v>49</v>
      </c>
      <c r="H770" t="s">
        <v>28</v>
      </c>
      <c r="I770">
        <v>42</v>
      </c>
      <c r="J770">
        <v>0</v>
      </c>
      <c r="K770">
        <v>0</v>
      </c>
      <c r="L770" s="3">
        <v>0</v>
      </c>
      <c r="M770" s="3">
        <v>0</v>
      </c>
      <c r="N770">
        <v>0</v>
      </c>
      <c r="O770">
        <v>0</v>
      </c>
      <c r="P770">
        <v>0</v>
      </c>
      <c r="Q770">
        <v>0</v>
      </c>
      <c r="R770" s="3">
        <v>0</v>
      </c>
      <c r="S770" s="3">
        <v>0</v>
      </c>
      <c r="T770">
        <v>0</v>
      </c>
      <c r="U770">
        <v>0</v>
      </c>
      <c r="V770" s="3">
        <v>0</v>
      </c>
      <c r="W770" s="3">
        <v>0</v>
      </c>
      <c r="X770">
        <v>0</v>
      </c>
      <c r="Y770" t="s">
        <v>737</v>
      </c>
    </row>
    <row r="771" spans="1:25" hidden="1" x14ac:dyDescent="0.25">
      <c r="A771" s="1" t="s">
        <v>48</v>
      </c>
      <c r="B771" s="1" t="s">
        <v>149</v>
      </c>
      <c r="C771" s="1" t="s">
        <v>55</v>
      </c>
      <c r="D771" s="1" t="s">
        <v>27</v>
      </c>
      <c r="E771" s="2">
        <v>45853</v>
      </c>
      <c r="F771" s="2">
        <v>45853</v>
      </c>
      <c r="G771" s="3">
        <v>31</v>
      </c>
      <c r="H771" t="s">
        <v>28</v>
      </c>
      <c r="I771">
        <v>35</v>
      </c>
      <c r="J771">
        <v>0</v>
      </c>
      <c r="K771">
        <v>0</v>
      </c>
      <c r="L771" s="3">
        <v>0</v>
      </c>
      <c r="M771" s="3">
        <v>0</v>
      </c>
      <c r="N771">
        <v>0</v>
      </c>
      <c r="O771">
        <v>0</v>
      </c>
      <c r="P771">
        <v>0</v>
      </c>
      <c r="Q771">
        <v>0</v>
      </c>
      <c r="R771" s="3">
        <v>0</v>
      </c>
      <c r="S771" s="3">
        <v>0</v>
      </c>
      <c r="T771">
        <v>0</v>
      </c>
      <c r="U771">
        <v>0</v>
      </c>
      <c r="V771" s="3">
        <v>0</v>
      </c>
      <c r="W771" s="3">
        <v>0</v>
      </c>
      <c r="X771">
        <v>0</v>
      </c>
      <c r="Y771" t="s">
        <v>719</v>
      </c>
    </row>
    <row r="772" spans="1:25" hidden="1" x14ac:dyDescent="0.25">
      <c r="A772" s="1" t="s">
        <v>33</v>
      </c>
      <c r="B772" s="1" t="s">
        <v>739</v>
      </c>
      <c r="C772" s="1" t="s">
        <v>27</v>
      </c>
      <c r="D772" s="1" t="s">
        <v>27</v>
      </c>
      <c r="E772" s="2">
        <v>45853</v>
      </c>
      <c r="F772" s="2">
        <v>45853</v>
      </c>
      <c r="G772" s="3">
        <v>31</v>
      </c>
      <c r="H772" s="4" t="s">
        <v>959</v>
      </c>
      <c r="I772">
        <v>0</v>
      </c>
      <c r="J772">
        <v>0</v>
      </c>
      <c r="K772">
        <v>0</v>
      </c>
      <c r="L772" s="3">
        <v>0</v>
      </c>
      <c r="M772" s="3">
        <v>0</v>
      </c>
      <c r="N772">
        <v>0</v>
      </c>
      <c r="O772">
        <v>0</v>
      </c>
      <c r="P772">
        <v>0</v>
      </c>
      <c r="Q772">
        <v>0</v>
      </c>
      <c r="R772" s="3">
        <v>0</v>
      </c>
      <c r="S772" s="3">
        <v>0</v>
      </c>
      <c r="T772">
        <v>0</v>
      </c>
      <c r="U772">
        <v>0</v>
      </c>
      <c r="V772" s="3">
        <v>0</v>
      </c>
      <c r="W772" s="3">
        <v>0</v>
      </c>
      <c r="X772">
        <v>0</v>
      </c>
      <c r="Y772" t="s">
        <v>719</v>
      </c>
    </row>
    <row r="773" spans="1:25" hidden="1" x14ac:dyDescent="0.25">
      <c r="A773" s="1" t="s">
        <v>47</v>
      </c>
      <c r="B773" s="1" t="s">
        <v>755</v>
      </c>
      <c r="C773" s="1" t="s">
        <v>27</v>
      </c>
      <c r="D773" s="1" t="s">
        <v>27</v>
      </c>
      <c r="E773" s="2">
        <v>45853</v>
      </c>
      <c r="F773" s="2">
        <v>45853</v>
      </c>
      <c r="G773" s="3">
        <v>31</v>
      </c>
      <c r="H773" s="4" t="s">
        <v>180</v>
      </c>
      <c r="I773">
        <v>0</v>
      </c>
      <c r="J773">
        <v>0</v>
      </c>
      <c r="K773">
        <v>0</v>
      </c>
      <c r="L773" s="3">
        <v>0</v>
      </c>
      <c r="M773" s="3">
        <v>0</v>
      </c>
      <c r="N773">
        <v>0</v>
      </c>
      <c r="O773">
        <v>0</v>
      </c>
      <c r="P773">
        <v>0</v>
      </c>
      <c r="Q773">
        <v>0</v>
      </c>
      <c r="R773" s="3">
        <v>0</v>
      </c>
      <c r="S773" s="3">
        <v>0</v>
      </c>
      <c r="T773">
        <v>0</v>
      </c>
      <c r="U773">
        <v>0</v>
      </c>
      <c r="V773" s="3">
        <v>0</v>
      </c>
      <c r="W773" s="3">
        <v>0</v>
      </c>
      <c r="X773">
        <v>0</v>
      </c>
      <c r="Y773" t="s">
        <v>719</v>
      </c>
    </row>
    <row r="774" spans="1:25" hidden="1" x14ac:dyDescent="0.25">
      <c r="A774" s="1" t="s">
        <v>27</v>
      </c>
      <c r="B774" s="1" t="s">
        <v>758</v>
      </c>
      <c r="C774" s="1" t="s">
        <v>57</v>
      </c>
      <c r="D774" s="1" t="s">
        <v>27</v>
      </c>
      <c r="E774" s="2">
        <v>45853</v>
      </c>
      <c r="F774" s="2">
        <v>45853</v>
      </c>
      <c r="G774" s="3">
        <v>31</v>
      </c>
      <c r="H774" s="4" t="s">
        <v>782</v>
      </c>
      <c r="I774">
        <v>0</v>
      </c>
      <c r="J774">
        <v>0</v>
      </c>
      <c r="K774">
        <v>0</v>
      </c>
      <c r="L774" s="3">
        <v>0</v>
      </c>
      <c r="M774" s="3">
        <v>0</v>
      </c>
      <c r="N774">
        <v>0</v>
      </c>
      <c r="O774">
        <v>0</v>
      </c>
      <c r="P774">
        <v>0</v>
      </c>
      <c r="Q774">
        <v>0</v>
      </c>
      <c r="R774" s="3">
        <v>0</v>
      </c>
      <c r="S774" s="3">
        <v>0</v>
      </c>
      <c r="T774">
        <v>0</v>
      </c>
      <c r="U774">
        <v>0</v>
      </c>
      <c r="V774" s="3">
        <v>0</v>
      </c>
      <c r="W774" s="3">
        <v>0</v>
      </c>
      <c r="X774">
        <v>0</v>
      </c>
      <c r="Y774" t="s">
        <v>719</v>
      </c>
    </row>
    <row r="775" spans="1:25" s="16" customFormat="1" hidden="1" x14ac:dyDescent="0.25">
      <c r="A775" s="16" t="s">
        <v>41</v>
      </c>
      <c r="B775" s="16" t="s">
        <v>112</v>
      </c>
      <c r="C775" s="16" t="s">
        <v>42</v>
      </c>
      <c r="D775" s="16" t="s">
        <v>27</v>
      </c>
      <c r="E775" s="12">
        <v>45854</v>
      </c>
      <c r="F775" s="12">
        <v>45854</v>
      </c>
      <c r="G775" s="18">
        <v>200</v>
      </c>
      <c r="H775" s="16" t="s">
        <v>28</v>
      </c>
      <c r="I775" s="16">
        <v>0</v>
      </c>
      <c r="J775" s="16">
        <v>0</v>
      </c>
      <c r="K775" s="16">
        <v>0</v>
      </c>
      <c r="L775" s="18">
        <v>0</v>
      </c>
      <c r="M775" s="18">
        <v>0</v>
      </c>
      <c r="N775" s="16">
        <v>0</v>
      </c>
      <c r="O775" s="16">
        <v>0</v>
      </c>
      <c r="P775" s="16">
        <v>0</v>
      </c>
      <c r="Q775" s="16">
        <v>10</v>
      </c>
      <c r="R775" s="18">
        <v>0</v>
      </c>
      <c r="S775" s="18">
        <v>1</v>
      </c>
      <c r="T775" s="16">
        <v>20</v>
      </c>
      <c r="U775" s="16">
        <v>17</v>
      </c>
      <c r="V775" s="18">
        <v>0</v>
      </c>
      <c r="W775" s="18">
        <v>1</v>
      </c>
      <c r="X775" s="16">
        <v>0</v>
      </c>
      <c r="Y775" s="16" t="s">
        <v>740</v>
      </c>
    </row>
    <row r="776" spans="1:25" hidden="1" x14ac:dyDescent="0.25">
      <c r="A776" s="1" t="s">
        <v>58</v>
      </c>
      <c r="B776" s="1" t="s">
        <v>123</v>
      </c>
      <c r="C776" s="1" t="s">
        <v>27</v>
      </c>
      <c r="D776" t="s">
        <v>27</v>
      </c>
      <c r="E776" s="12">
        <v>45854</v>
      </c>
      <c r="F776" s="12">
        <v>45854</v>
      </c>
      <c r="G776" s="3">
        <v>39</v>
      </c>
      <c r="H776" s="4" t="s">
        <v>180</v>
      </c>
      <c r="I776">
        <v>0</v>
      </c>
      <c r="J776">
        <v>0</v>
      </c>
      <c r="K776">
        <v>0</v>
      </c>
      <c r="L776" s="3">
        <v>0</v>
      </c>
      <c r="M776" s="3">
        <v>0</v>
      </c>
      <c r="N776">
        <v>0</v>
      </c>
      <c r="O776">
        <v>0</v>
      </c>
      <c r="P776">
        <v>0</v>
      </c>
      <c r="Q776">
        <v>0</v>
      </c>
      <c r="R776" s="3">
        <v>0</v>
      </c>
      <c r="S776" s="3">
        <v>0</v>
      </c>
      <c r="T776">
        <v>0</v>
      </c>
      <c r="U776">
        <v>0</v>
      </c>
      <c r="V776" s="3">
        <v>0</v>
      </c>
      <c r="W776" s="3">
        <v>0</v>
      </c>
      <c r="X776">
        <v>0</v>
      </c>
      <c r="Y776" t="s">
        <v>550</v>
      </c>
    </row>
    <row r="777" spans="1:25" hidden="1" x14ac:dyDescent="0.25">
      <c r="A777" s="1" t="s">
        <v>58</v>
      </c>
      <c r="B777" s="1" t="s">
        <v>123</v>
      </c>
      <c r="C777" s="1" t="s">
        <v>27</v>
      </c>
      <c r="D777" t="s">
        <v>27</v>
      </c>
      <c r="E777" s="2">
        <v>45855</v>
      </c>
      <c r="F777" s="2">
        <v>45855</v>
      </c>
      <c r="G777" s="3">
        <v>39</v>
      </c>
      <c r="H777" s="4" t="s">
        <v>180</v>
      </c>
      <c r="I777">
        <v>0</v>
      </c>
      <c r="J777">
        <v>0</v>
      </c>
      <c r="K777">
        <v>0</v>
      </c>
      <c r="L777" s="3">
        <v>0</v>
      </c>
      <c r="M777" s="3">
        <v>0</v>
      </c>
      <c r="N777">
        <v>0</v>
      </c>
      <c r="O777">
        <v>0</v>
      </c>
      <c r="P777">
        <v>0</v>
      </c>
      <c r="Q777">
        <v>0</v>
      </c>
      <c r="R777" s="3">
        <v>0</v>
      </c>
      <c r="S777" s="3">
        <v>0</v>
      </c>
      <c r="T777">
        <v>0</v>
      </c>
      <c r="U777">
        <v>0</v>
      </c>
      <c r="V777" s="3">
        <v>0</v>
      </c>
      <c r="W777" s="3">
        <v>0</v>
      </c>
      <c r="X777">
        <v>0</v>
      </c>
      <c r="Y777" t="s">
        <v>550</v>
      </c>
    </row>
    <row r="778" spans="1:25" hidden="1" x14ac:dyDescent="0.25">
      <c r="A778" s="1" t="s">
        <v>25</v>
      </c>
      <c r="B778" s="1" t="s">
        <v>96</v>
      </c>
      <c r="C778" s="1" t="s">
        <v>489</v>
      </c>
      <c r="D778" t="s">
        <v>27</v>
      </c>
      <c r="E778" s="2">
        <v>45855</v>
      </c>
      <c r="F778" s="2">
        <v>45855</v>
      </c>
      <c r="G778" s="3">
        <v>39</v>
      </c>
      <c r="H778" s="4" t="s">
        <v>28</v>
      </c>
      <c r="I778">
        <v>91</v>
      </c>
      <c r="J778">
        <v>0</v>
      </c>
      <c r="K778">
        <v>0</v>
      </c>
      <c r="L778" s="3">
        <v>1</v>
      </c>
      <c r="M778" s="3">
        <v>0</v>
      </c>
      <c r="N778">
        <v>1</v>
      </c>
      <c r="O778">
        <v>0</v>
      </c>
      <c r="P778">
        <v>0</v>
      </c>
      <c r="Q778">
        <v>0</v>
      </c>
      <c r="R778" s="3">
        <v>0</v>
      </c>
      <c r="S778" s="3">
        <v>0</v>
      </c>
      <c r="T778">
        <v>0</v>
      </c>
      <c r="U778">
        <v>0</v>
      </c>
      <c r="V778" s="3">
        <v>0</v>
      </c>
      <c r="W778" s="3">
        <v>0</v>
      </c>
      <c r="X778">
        <v>0</v>
      </c>
      <c r="Y778" t="s">
        <v>741</v>
      </c>
    </row>
    <row r="779" spans="1:25" hidden="1" x14ac:dyDescent="0.25">
      <c r="A779" s="1" t="s">
        <v>56</v>
      </c>
      <c r="B779" s="1" t="s">
        <v>98</v>
      </c>
      <c r="C779" s="1" t="s">
        <v>37</v>
      </c>
      <c r="D779" t="s">
        <v>27</v>
      </c>
      <c r="E779" s="2">
        <v>45855</v>
      </c>
      <c r="F779" s="2">
        <v>45855</v>
      </c>
      <c r="G779" s="3">
        <v>32</v>
      </c>
      <c r="H779" s="4" t="s">
        <v>28</v>
      </c>
      <c r="I779">
        <v>80</v>
      </c>
      <c r="J779">
        <v>0</v>
      </c>
      <c r="K779">
        <v>0</v>
      </c>
      <c r="L779" s="3">
        <v>1</v>
      </c>
      <c r="M779" s="3">
        <v>0</v>
      </c>
      <c r="N779">
        <v>0</v>
      </c>
      <c r="O779">
        <v>0</v>
      </c>
      <c r="P779">
        <v>0</v>
      </c>
      <c r="Q779">
        <v>0</v>
      </c>
      <c r="R779" s="3">
        <v>0</v>
      </c>
      <c r="S779" s="3">
        <v>0</v>
      </c>
      <c r="T779">
        <v>0</v>
      </c>
      <c r="U779">
        <v>0</v>
      </c>
      <c r="V779" s="3">
        <v>0</v>
      </c>
      <c r="W779" s="3">
        <v>0</v>
      </c>
      <c r="X779">
        <v>0</v>
      </c>
      <c r="Y779" t="s">
        <v>742</v>
      </c>
    </row>
    <row r="780" spans="1:25" hidden="1" x14ac:dyDescent="0.25">
      <c r="A780" s="1" t="s">
        <v>344</v>
      </c>
      <c r="B780" s="1" t="s">
        <v>102</v>
      </c>
      <c r="C780" s="1" t="s">
        <v>35</v>
      </c>
      <c r="D780" t="s">
        <v>27</v>
      </c>
      <c r="E780" s="2">
        <v>45855</v>
      </c>
      <c r="F780" s="2">
        <v>45855</v>
      </c>
      <c r="G780" s="3">
        <v>36</v>
      </c>
      <c r="H780" s="4" t="s">
        <v>28</v>
      </c>
      <c r="I780">
        <v>32</v>
      </c>
      <c r="J780">
        <v>0</v>
      </c>
      <c r="K780">
        <v>0</v>
      </c>
      <c r="L780" s="3">
        <v>0</v>
      </c>
      <c r="M780" s="3">
        <v>0</v>
      </c>
      <c r="N780">
        <v>0</v>
      </c>
      <c r="O780">
        <v>0</v>
      </c>
      <c r="P780">
        <v>0</v>
      </c>
      <c r="Q780">
        <v>0</v>
      </c>
      <c r="R780" s="3">
        <v>0</v>
      </c>
      <c r="S780" s="3">
        <v>0</v>
      </c>
      <c r="T780">
        <v>0</v>
      </c>
      <c r="U780">
        <v>0</v>
      </c>
      <c r="V780" s="3">
        <v>0</v>
      </c>
      <c r="W780" s="3">
        <v>0</v>
      </c>
      <c r="X780">
        <v>0</v>
      </c>
      <c r="Y780" t="s">
        <v>726</v>
      </c>
    </row>
    <row r="781" spans="1:25" hidden="1" x14ac:dyDescent="0.25">
      <c r="A781" s="1" t="s">
        <v>31</v>
      </c>
      <c r="B781" s="1" t="s">
        <v>104</v>
      </c>
      <c r="C781" s="1" t="s">
        <v>32</v>
      </c>
      <c r="D781" t="s">
        <v>27</v>
      </c>
      <c r="E781" s="2">
        <v>45855</v>
      </c>
      <c r="F781" s="2">
        <v>45855</v>
      </c>
      <c r="G781" s="3">
        <v>53</v>
      </c>
      <c r="H781" s="4" t="s">
        <v>28</v>
      </c>
      <c r="I781">
        <v>80</v>
      </c>
      <c r="J781">
        <v>0</v>
      </c>
      <c r="K781">
        <v>0</v>
      </c>
      <c r="L781" s="3">
        <v>0</v>
      </c>
      <c r="M781" s="3">
        <v>0</v>
      </c>
      <c r="N781">
        <v>0</v>
      </c>
      <c r="O781">
        <v>0</v>
      </c>
      <c r="P781">
        <v>0</v>
      </c>
      <c r="Q781">
        <v>50</v>
      </c>
      <c r="R781" s="3">
        <v>0</v>
      </c>
      <c r="S781" s="3">
        <v>0</v>
      </c>
      <c r="T781">
        <v>0</v>
      </c>
      <c r="U781">
        <v>0</v>
      </c>
      <c r="V781" s="3">
        <v>0</v>
      </c>
      <c r="W781" s="3">
        <v>0</v>
      </c>
      <c r="X781">
        <v>0</v>
      </c>
      <c r="Y781" t="s">
        <v>743</v>
      </c>
    </row>
    <row r="782" spans="1:25" hidden="1" x14ac:dyDescent="0.25">
      <c r="A782" s="1" t="s">
        <v>33</v>
      </c>
      <c r="B782" s="1" t="s">
        <v>106</v>
      </c>
      <c r="C782" s="1" t="s">
        <v>57</v>
      </c>
      <c r="D782" t="s">
        <v>27</v>
      </c>
      <c r="E782" s="2">
        <v>45855</v>
      </c>
      <c r="F782" s="2">
        <v>45855</v>
      </c>
      <c r="G782" s="3">
        <v>57</v>
      </c>
      <c r="H782" s="4" t="s">
        <v>28</v>
      </c>
      <c r="I782">
        <v>38</v>
      </c>
      <c r="J782">
        <v>0</v>
      </c>
      <c r="K782">
        <v>0</v>
      </c>
      <c r="L782" s="3">
        <v>0</v>
      </c>
      <c r="M782" s="3">
        <v>0</v>
      </c>
      <c r="N782">
        <v>0</v>
      </c>
      <c r="O782">
        <v>0</v>
      </c>
      <c r="P782">
        <v>0</v>
      </c>
      <c r="Q782">
        <v>0</v>
      </c>
      <c r="R782" s="3">
        <v>0</v>
      </c>
      <c r="S782" s="3">
        <v>0</v>
      </c>
      <c r="T782">
        <v>0</v>
      </c>
      <c r="U782">
        <v>0</v>
      </c>
      <c r="V782" s="3">
        <v>0</v>
      </c>
      <c r="W782" s="3">
        <v>0</v>
      </c>
      <c r="X782">
        <v>0</v>
      </c>
      <c r="Y782" t="s">
        <v>744</v>
      </c>
    </row>
    <row r="783" spans="1:25" hidden="1" x14ac:dyDescent="0.25">
      <c r="A783" s="1" t="s">
        <v>597</v>
      </c>
      <c r="B783" s="1" t="s">
        <v>598</v>
      </c>
      <c r="C783" s="1" t="s">
        <v>46</v>
      </c>
      <c r="D783" t="s">
        <v>27</v>
      </c>
      <c r="E783" s="2">
        <v>45855</v>
      </c>
      <c r="F783" s="2">
        <v>45855</v>
      </c>
      <c r="G783" s="3">
        <v>50</v>
      </c>
      <c r="H783" s="4" t="s">
        <v>28</v>
      </c>
      <c r="I783">
        <v>31</v>
      </c>
      <c r="J783">
        <v>0</v>
      </c>
      <c r="K783">
        <v>0</v>
      </c>
      <c r="L783" s="3">
        <v>0</v>
      </c>
      <c r="M783" s="3">
        <v>0</v>
      </c>
      <c r="N783">
        <v>0</v>
      </c>
      <c r="O783">
        <v>0</v>
      </c>
      <c r="P783">
        <v>0</v>
      </c>
      <c r="Q783">
        <v>0</v>
      </c>
      <c r="R783" s="3">
        <v>0</v>
      </c>
      <c r="S783" s="3">
        <v>0</v>
      </c>
      <c r="T783">
        <v>0</v>
      </c>
      <c r="U783">
        <v>0</v>
      </c>
      <c r="V783" s="3">
        <v>0</v>
      </c>
      <c r="W783" s="3">
        <v>0</v>
      </c>
      <c r="X783">
        <v>0</v>
      </c>
      <c r="Y783" t="s">
        <v>745</v>
      </c>
    </row>
    <row r="784" spans="1:25" hidden="1" x14ac:dyDescent="0.25">
      <c r="A784" s="1" t="s">
        <v>38</v>
      </c>
      <c r="B784" s="1" t="s">
        <v>108</v>
      </c>
      <c r="C784" s="1" t="s">
        <v>39</v>
      </c>
      <c r="D784" t="s">
        <v>27</v>
      </c>
      <c r="E784" s="2">
        <v>45855</v>
      </c>
      <c r="F784" s="2">
        <v>45855</v>
      </c>
      <c r="G784" s="3">
        <v>44</v>
      </c>
      <c r="H784" s="4" t="s">
        <v>28</v>
      </c>
      <c r="I784">
        <v>26</v>
      </c>
      <c r="J784">
        <v>0</v>
      </c>
      <c r="K784">
        <v>0</v>
      </c>
      <c r="L784" s="3">
        <v>0</v>
      </c>
      <c r="M784" s="3">
        <v>0</v>
      </c>
      <c r="N784">
        <v>0</v>
      </c>
      <c r="O784">
        <v>0</v>
      </c>
      <c r="P784">
        <v>0</v>
      </c>
      <c r="Q784">
        <v>26</v>
      </c>
      <c r="R784" s="3">
        <v>0</v>
      </c>
      <c r="S784" s="3">
        <v>0</v>
      </c>
      <c r="T784">
        <v>0</v>
      </c>
      <c r="U784">
        <v>0</v>
      </c>
      <c r="V784" s="3">
        <v>0</v>
      </c>
      <c r="W784" s="3">
        <v>0</v>
      </c>
      <c r="X784">
        <v>0</v>
      </c>
      <c r="Y784" t="s">
        <v>746</v>
      </c>
    </row>
    <row r="785" spans="1:25" hidden="1" x14ac:dyDescent="0.25">
      <c r="A785" s="1" t="s">
        <v>40</v>
      </c>
      <c r="B785" s="1" t="s">
        <v>110</v>
      </c>
      <c r="C785" s="1" t="s">
        <v>245</v>
      </c>
      <c r="D785" t="s">
        <v>27</v>
      </c>
      <c r="E785" s="2">
        <v>45855</v>
      </c>
      <c r="F785" s="2">
        <v>45855</v>
      </c>
      <c r="G785" s="3">
        <v>96</v>
      </c>
      <c r="H785" s="4" t="s">
        <v>28</v>
      </c>
      <c r="I785">
        <v>42</v>
      </c>
      <c r="J785">
        <v>0</v>
      </c>
      <c r="K785">
        <v>0</v>
      </c>
      <c r="L785" s="3">
        <v>1</v>
      </c>
      <c r="M785" s="3">
        <v>0</v>
      </c>
      <c r="N785">
        <v>1</v>
      </c>
      <c r="O785">
        <v>0</v>
      </c>
      <c r="P785">
        <v>0</v>
      </c>
      <c r="Q785">
        <v>0</v>
      </c>
      <c r="R785" s="3">
        <v>0</v>
      </c>
      <c r="S785" s="3">
        <v>0</v>
      </c>
      <c r="T785">
        <v>0</v>
      </c>
      <c r="U785">
        <v>0</v>
      </c>
      <c r="V785" s="3">
        <v>0</v>
      </c>
      <c r="W785" s="3">
        <v>0</v>
      </c>
      <c r="X785">
        <v>0</v>
      </c>
      <c r="Y785" t="s">
        <v>747</v>
      </c>
    </row>
    <row r="786" spans="1:25" hidden="1" x14ac:dyDescent="0.25">
      <c r="A786" s="1" t="s">
        <v>41</v>
      </c>
      <c r="B786" s="1" t="s">
        <v>112</v>
      </c>
      <c r="C786" s="1" t="s">
        <v>42</v>
      </c>
      <c r="D786" t="s">
        <v>27</v>
      </c>
      <c r="E786" s="2">
        <v>45855</v>
      </c>
      <c r="F786" s="2">
        <v>45855</v>
      </c>
      <c r="G786" s="3">
        <v>73</v>
      </c>
      <c r="H786" s="4" t="s">
        <v>28</v>
      </c>
      <c r="I786">
        <v>41</v>
      </c>
      <c r="J786">
        <v>0</v>
      </c>
      <c r="K786">
        <v>0</v>
      </c>
      <c r="L786" s="3">
        <v>1</v>
      </c>
      <c r="M786" s="3">
        <v>0</v>
      </c>
      <c r="N786">
        <v>0</v>
      </c>
      <c r="O786">
        <v>0</v>
      </c>
      <c r="P786">
        <v>0</v>
      </c>
      <c r="Q786">
        <v>0</v>
      </c>
      <c r="R786" s="3">
        <v>0</v>
      </c>
      <c r="S786" s="3">
        <v>0</v>
      </c>
      <c r="T786">
        <v>0</v>
      </c>
      <c r="U786">
        <v>0</v>
      </c>
      <c r="V786" s="3">
        <v>0</v>
      </c>
      <c r="W786" s="3">
        <v>0</v>
      </c>
      <c r="X786">
        <v>0</v>
      </c>
      <c r="Y786" t="s">
        <v>748</v>
      </c>
    </row>
    <row r="787" spans="1:25" hidden="1" x14ac:dyDescent="0.25">
      <c r="A787" s="1" t="s">
        <v>43</v>
      </c>
      <c r="B787" s="1" t="s">
        <v>114</v>
      </c>
      <c r="C787" t="s">
        <v>27</v>
      </c>
      <c r="D787" t="s">
        <v>27</v>
      </c>
      <c r="E787" s="2">
        <v>45855</v>
      </c>
      <c r="F787" s="2">
        <v>45855</v>
      </c>
      <c r="G787" s="3">
        <v>19</v>
      </c>
      <c r="H787" s="4" t="s">
        <v>28</v>
      </c>
      <c r="I787">
        <v>61</v>
      </c>
      <c r="J787">
        <v>0</v>
      </c>
      <c r="K787">
        <v>0</v>
      </c>
      <c r="L787" s="3">
        <v>1</v>
      </c>
      <c r="M787" s="3">
        <v>0</v>
      </c>
      <c r="N787">
        <v>0</v>
      </c>
      <c r="O787">
        <v>0</v>
      </c>
      <c r="P787">
        <v>0</v>
      </c>
      <c r="Q787">
        <v>0</v>
      </c>
      <c r="R787" s="3">
        <v>0</v>
      </c>
      <c r="S787" s="3">
        <v>0</v>
      </c>
      <c r="T787">
        <v>0</v>
      </c>
      <c r="U787">
        <v>0</v>
      </c>
      <c r="V787" s="3">
        <v>0</v>
      </c>
      <c r="W787" s="3">
        <v>0</v>
      </c>
      <c r="X787">
        <v>0</v>
      </c>
      <c r="Y787" t="s">
        <v>749</v>
      </c>
    </row>
    <row r="788" spans="1:25" hidden="1" x14ac:dyDescent="0.25">
      <c r="A788" s="1" t="s">
        <v>49</v>
      </c>
      <c r="B788" s="1" t="s">
        <v>118</v>
      </c>
      <c r="C788" s="1" t="s">
        <v>50</v>
      </c>
      <c r="D788" t="s">
        <v>27</v>
      </c>
      <c r="E788" s="2">
        <v>45855</v>
      </c>
      <c r="F788" s="2">
        <v>45855</v>
      </c>
      <c r="G788" s="3">
        <v>19</v>
      </c>
      <c r="H788" s="4" t="s">
        <v>28</v>
      </c>
      <c r="I788">
        <v>19</v>
      </c>
      <c r="J788">
        <v>0</v>
      </c>
      <c r="K788">
        <v>0</v>
      </c>
      <c r="L788" s="3">
        <v>1</v>
      </c>
      <c r="M788" s="3">
        <v>1</v>
      </c>
      <c r="N788">
        <v>0</v>
      </c>
      <c r="O788">
        <v>1</v>
      </c>
      <c r="P788">
        <v>0</v>
      </c>
      <c r="Q788">
        <v>35</v>
      </c>
      <c r="R788" s="3">
        <v>0</v>
      </c>
      <c r="S788" s="3">
        <v>0</v>
      </c>
      <c r="T788">
        <v>0</v>
      </c>
      <c r="U788">
        <v>0</v>
      </c>
      <c r="V788" s="3">
        <v>0</v>
      </c>
      <c r="W788" s="3">
        <v>0</v>
      </c>
      <c r="X788">
        <v>0</v>
      </c>
      <c r="Y788" t="s">
        <v>750</v>
      </c>
    </row>
    <row r="789" spans="1:25" hidden="1" x14ac:dyDescent="0.25">
      <c r="A789" s="1" t="s">
        <v>51</v>
      </c>
      <c r="B789" s="1" t="s">
        <v>120</v>
      </c>
      <c r="C789" s="1" t="s">
        <v>55</v>
      </c>
      <c r="D789" t="s">
        <v>27</v>
      </c>
      <c r="E789" s="2">
        <v>45855</v>
      </c>
      <c r="F789" s="2">
        <v>45855</v>
      </c>
      <c r="G789" s="3">
        <v>52</v>
      </c>
      <c r="H789" s="4" t="s">
        <v>28</v>
      </c>
      <c r="I789">
        <v>39</v>
      </c>
      <c r="J789">
        <v>0</v>
      </c>
      <c r="K789">
        <v>0</v>
      </c>
      <c r="L789" s="3">
        <v>0</v>
      </c>
      <c r="M789" s="3">
        <v>0</v>
      </c>
      <c r="N789">
        <v>1</v>
      </c>
      <c r="O789">
        <v>0</v>
      </c>
      <c r="P789">
        <v>0</v>
      </c>
      <c r="Q789">
        <v>0</v>
      </c>
      <c r="R789" s="3">
        <v>0</v>
      </c>
      <c r="S789" s="3">
        <v>0</v>
      </c>
      <c r="T789">
        <v>0</v>
      </c>
      <c r="U789">
        <v>0</v>
      </c>
      <c r="V789" s="3">
        <v>0</v>
      </c>
      <c r="W789" s="3">
        <v>0</v>
      </c>
      <c r="X789">
        <v>0</v>
      </c>
      <c r="Y789" t="s">
        <v>751</v>
      </c>
    </row>
    <row r="790" spans="1:25" hidden="1" x14ac:dyDescent="0.25">
      <c r="A790" s="1" t="s">
        <v>54</v>
      </c>
      <c r="B790" s="1" t="s">
        <v>122</v>
      </c>
      <c r="C790" s="1" t="s">
        <v>52</v>
      </c>
      <c r="D790" t="s">
        <v>27</v>
      </c>
      <c r="E790" s="2">
        <v>45855</v>
      </c>
      <c r="F790" s="2">
        <v>45855</v>
      </c>
      <c r="G790" s="3">
        <v>32</v>
      </c>
      <c r="H790" s="4" t="s">
        <v>28</v>
      </c>
      <c r="I790">
        <v>17</v>
      </c>
      <c r="J790">
        <v>0</v>
      </c>
      <c r="K790">
        <v>0</v>
      </c>
      <c r="L790" s="3">
        <v>0</v>
      </c>
      <c r="M790" s="3">
        <v>0</v>
      </c>
      <c r="N790">
        <v>0</v>
      </c>
      <c r="O790">
        <v>0</v>
      </c>
      <c r="P790">
        <v>0</v>
      </c>
      <c r="Q790">
        <v>0</v>
      </c>
      <c r="R790" s="3">
        <v>0</v>
      </c>
      <c r="S790" s="3">
        <v>0</v>
      </c>
      <c r="T790">
        <v>0</v>
      </c>
      <c r="U790">
        <v>0</v>
      </c>
      <c r="V790" s="3">
        <v>0</v>
      </c>
      <c r="W790" s="3">
        <v>0</v>
      </c>
      <c r="X790">
        <v>0</v>
      </c>
      <c r="Y790" t="s">
        <v>752</v>
      </c>
    </row>
    <row r="791" spans="1:25" hidden="1" x14ac:dyDescent="0.25">
      <c r="A791" s="1" t="s">
        <v>48</v>
      </c>
      <c r="B791" s="1" t="s">
        <v>149</v>
      </c>
      <c r="C791" t="s">
        <v>27</v>
      </c>
      <c r="D791" t="s">
        <v>27</v>
      </c>
      <c r="E791" s="2">
        <v>45855</v>
      </c>
      <c r="F791" s="2">
        <v>45855</v>
      </c>
      <c r="G791" s="3">
        <v>42</v>
      </c>
      <c r="H791" s="4" t="s">
        <v>28</v>
      </c>
      <c r="I791">
        <v>75</v>
      </c>
      <c r="J791">
        <v>0</v>
      </c>
      <c r="K791">
        <v>0</v>
      </c>
      <c r="L791" s="3">
        <v>1</v>
      </c>
      <c r="M791" s="3">
        <v>0</v>
      </c>
      <c r="N791">
        <v>1</v>
      </c>
      <c r="O791">
        <v>0</v>
      </c>
      <c r="P791">
        <v>0</v>
      </c>
      <c r="Q791">
        <v>0</v>
      </c>
      <c r="R791" s="3">
        <v>0</v>
      </c>
      <c r="S791" s="3">
        <v>0</v>
      </c>
      <c r="T791">
        <v>0</v>
      </c>
      <c r="U791">
        <v>0</v>
      </c>
      <c r="V791" s="3">
        <v>0</v>
      </c>
      <c r="W791" s="3">
        <v>0</v>
      </c>
      <c r="X791">
        <v>0</v>
      </c>
      <c r="Y791" t="s">
        <v>753</v>
      </c>
    </row>
    <row r="792" spans="1:25" hidden="1" x14ac:dyDescent="0.25">
      <c r="A792" s="1" t="s">
        <v>53</v>
      </c>
      <c r="B792" s="1" t="s">
        <v>142</v>
      </c>
      <c r="C792" s="1" t="s">
        <v>39</v>
      </c>
      <c r="D792" t="s">
        <v>27</v>
      </c>
      <c r="E792" s="2">
        <v>45855</v>
      </c>
      <c r="F792" s="2">
        <v>45855</v>
      </c>
      <c r="G792" s="3">
        <v>37</v>
      </c>
      <c r="H792" s="4" t="s">
        <v>28</v>
      </c>
      <c r="I792">
        <v>22</v>
      </c>
      <c r="J792">
        <v>0</v>
      </c>
      <c r="K792">
        <v>0</v>
      </c>
      <c r="L792" s="3">
        <v>1</v>
      </c>
      <c r="M792" s="3">
        <v>0</v>
      </c>
      <c r="N792">
        <v>0</v>
      </c>
      <c r="O792">
        <v>0</v>
      </c>
      <c r="P792">
        <v>0</v>
      </c>
      <c r="Q792">
        <v>0</v>
      </c>
      <c r="R792" s="3">
        <v>0</v>
      </c>
      <c r="S792" s="3">
        <v>0</v>
      </c>
      <c r="T792">
        <v>0</v>
      </c>
      <c r="U792">
        <v>0</v>
      </c>
      <c r="V792" s="3">
        <v>0</v>
      </c>
      <c r="W792" s="3">
        <v>0</v>
      </c>
      <c r="X792">
        <v>0</v>
      </c>
      <c r="Y792" t="s">
        <v>754</v>
      </c>
    </row>
    <row r="793" spans="1:25" hidden="1" x14ac:dyDescent="0.25">
      <c r="A793" s="1" t="s">
        <v>47</v>
      </c>
      <c r="B793" s="1" t="s">
        <v>755</v>
      </c>
      <c r="C793" s="1" t="s">
        <v>27</v>
      </c>
      <c r="D793" s="1" t="s">
        <v>27</v>
      </c>
      <c r="E793" s="2">
        <v>45855</v>
      </c>
      <c r="F793" s="2">
        <v>45855</v>
      </c>
      <c r="G793" s="3">
        <v>31</v>
      </c>
      <c r="H793" s="4" t="s">
        <v>180</v>
      </c>
      <c r="I793">
        <v>0</v>
      </c>
      <c r="J793">
        <v>0</v>
      </c>
      <c r="K793">
        <v>0</v>
      </c>
      <c r="L793" s="3">
        <v>0</v>
      </c>
      <c r="M793" s="3">
        <v>0</v>
      </c>
      <c r="N793">
        <v>0</v>
      </c>
      <c r="O793">
        <v>0</v>
      </c>
      <c r="P793">
        <v>0</v>
      </c>
      <c r="Q793">
        <v>0</v>
      </c>
      <c r="R793" s="3">
        <v>0</v>
      </c>
      <c r="S793" s="3">
        <v>0</v>
      </c>
      <c r="T793">
        <v>0</v>
      </c>
      <c r="U793">
        <v>0</v>
      </c>
      <c r="V793" s="3">
        <v>0</v>
      </c>
      <c r="W793" s="3">
        <v>0</v>
      </c>
      <c r="X793">
        <v>0</v>
      </c>
      <c r="Y793" t="s">
        <v>719</v>
      </c>
    </row>
    <row r="794" spans="1:25" hidden="1" x14ac:dyDescent="0.25">
      <c r="A794" s="1" t="s">
        <v>45</v>
      </c>
      <c r="B794" s="1" t="s">
        <v>116</v>
      </c>
      <c r="C794" s="1" t="s">
        <v>27</v>
      </c>
      <c r="D794" t="s">
        <v>27</v>
      </c>
      <c r="E794" s="2">
        <v>45855</v>
      </c>
      <c r="F794" s="2">
        <v>45855</v>
      </c>
      <c r="G794" s="3">
        <v>77</v>
      </c>
      <c r="H794" s="4" t="s">
        <v>250</v>
      </c>
      <c r="I794">
        <v>0</v>
      </c>
      <c r="J794">
        <v>0</v>
      </c>
      <c r="K794">
        <v>0</v>
      </c>
      <c r="L794" s="3">
        <v>0</v>
      </c>
      <c r="M794" s="3">
        <v>0</v>
      </c>
      <c r="N794">
        <v>0</v>
      </c>
      <c r="O794">
        <v>0</v>
      </c>
      <c r="P794">
        <v>0</v>
      </c>
      <c r="Q794">
        <v>0</v>
      </c>
      <c r="R794" s="3">
        <v>0</v>
      </c>
      <c r="S794" s="3">
        <v>0</v>
      </c>
      <c r="T794">
        <v>0</v>
      </c>
      <c r="U794">
        <v>0</v>
      </c>
      <c r="V794" s="3">
        <v>0</v>
      </c>
      <c r="W794" s="3">
        <v>0</v>
      </c>
      <c r="X794">
        <v>0</v>
      </c>
      <c r="Y794" t="s">
        <v>756</v>
      </c>
    </row>
    <row r="795" spans="1:25" hidden="1" x14ac:dyDescent="0.25">
      <c r="A795" s="1" t="s">
        <v>29</v>
      </c>
      <c r="B795" s="1" t="s">
        <v>100</v>
      </c>
      <c r="C795" s="1" t="s">
        <v>27</v>
      </c>
      <c r="D795" t="s">
        <v>27</v>
      </c>
      <c r="E795" s="2">
        <v>45855</v>
      </c>
      <c r="F795" s="2">
        <v>45855</v>
      </c>
      <c r="G795" s="3">
        <v>54</v>
      </c>
      <c r="H795" s="4" t="s">
        <v>959</v>
      </c>
      <c r="I795">
        <v>0</v>
      </c>
      <c r="J795">
        <v>0</v>
      </c>
      <c r="K795">
        <v>0</v>
      </c>
      <c r="L795" s="3">
        <v>0</v>
      </c>
      <c r="M795" s="3">
        <v>0</v>
      </c>
      <c r="N795">
        <v>0</v>
      </c>
      <c r="O795">
        <v>0</v>
      </c>
      <c r="P795">
        <v>0</v>
      </c>
      <c r="Q795">
        <v>0</v>
      </c>
      <c r="R795" s="3">
        <v>0</v>
      </c>
      <c r="S795" s="3">
        <v>0</v>
      </c>
      <c r="T795">
        <v>0</v>
      </c>
      <c r="U795">
        <v>0</v>
      </c>
      <c r="V795" s="3">
        <v>0</v>
      </c>
      <c r="W795" s="3">
        <v>0</v>
      </c>
      <c r="X795">
        <v>0</v>
      </c>
      <c r="Y795" t="s">
        <v>757</v>
      </c>
    </row>
    <row r="796" spans="1:25" hidden="1" x14ac:dyDescent="0.25">
      <c r="A796" s="1" t="s">
        <v>36</v>
      </c>
      <c r="B796" s="1" t="s">
        <v>114</v>
      </c>
      <c r="C796" t="s">
        <v>27</v>
      </c>
      <c r="D796" t="s">
        <v>27</v>
      </c>
      <c r="E796" s="2">
        <v>45855</v>
      </c>
      <c r="F796" s="2">
        <v>45855</v>
      </c>
      <c r="G796" s="3">
        <v>19</v>
      </c>
      <c r="H796" s="4" t="s">
        <v>28</v>
      </c>
      <c r="I796">
        <v>61</v>
      </c>
      <c r="J796">
        <v>0</v>
      </c>
      <c r="K796">
        <v>0</v>
      </c>
      <c r="L796" s="3">
        <v>1</v>
      </c>
      <c r="M796" s="3">
        <v>0</v>
      </c>
      <c r="N796">
        <v>0</v>
      </c>
      <c r="O796">
        <v>0</v>
      </c>
      <c r="P796">
        <v>0</v>
      </c>
      <c r="Q796">
        <v>0</v>
      </c>
      <c r="R796" s="3">
        <v>0</v>
      </c>
      <c r="S796" s="3">
        <v>0</v>
      </c>
      <c r="T796">
        <v>0</v>
      </c>
      <c r="U796">
        <v>0</v>
      </c>
      <c r="V796" s="3">
        <v>0</v>
      </c>
      <c r="W796" s="3">
        <v>0</v>
      </c>
      <c r="X796">
        <v>0</v>
      </c>
      <c r="Y796" t="s">
        <v>749</v>
      </c>
    </row>
    <row r="797" spans="1:25" hidden="1" x14ac:dyDescent="0.25">
      <c r="A797" s="1" t="s">
        <v>34</v>
      </c>
      <c r="B797" s="1" t="s">
        <v>149</v>
      </c>
      <c r="C797" t="s">
        <v>27</v>
      </c>
      <c r="D797" t="s">
        <v>27</v>
      </c>
      <c r="E797" s="2">
        <v>45855</v>
      </c>
      <c r="F797" s="2">
        <v>45855</v>
      </c>
      <c r="G797" s="3">
        <v>42</v>
      </c>
      <c r="H797" s="4" t="s">
        <v>28</v>
      </c>
      <c r="I797">
        <v>75</v>
      </c>
      <c r="J797">
        <v>0</v>
      </c>
      <c r="K797">
        <v>0</v>
      </c>
      <c r="L797" s="3">
        <v>1</v>
      </c>
      <c r="M797" s="3">
        <v>0</v>
      </c>
      <c r="N797">
        <v>1</v>
      </c>
      <c r="O797">
        <v>0</v>
      </c>
      <c r="P797">
        <v>0</v>
      </c>
      <c r="Q797">
        <v>0</v>
      </c>
      <c r="R797" s="3">
        <v>0</v>
      </c>
      <c r="S797" s="3">
        <v>0</v>
      </c>
      <c r="T797">
        <v>0</v>
      </c>
      <c r="U797">
        <v>0</v>
      </c>
      <c r="V797" s="3">
        <v>0</v>
      </c>
      <c r="W797" s="3">
        <v>0</v>
      </c>
      <c r="X797">
        <v>0</v>
      </c>
      <c r="Y797" t="s">
        <v>753</v>
      </c>
    </row>
    <row r="798" spans="1:25" hidden="1" x14ac:dyDescent="0.25">
      <c r="A798" s="1" t="s">
        <v>58</v>
      </c>
      <c r="B798" s="1" t="s">
        <v>123</v>
      </c>
      <c r="C798" s="1" t="s">
        <v>27</v>
      </c>
      <c r="D798" t="s">
        <v>27</v>
      </c>
      <c r="E798" s="2">
        <v>45856</v>
      </c>
      <c r="F798" s="2">
        <v>45856</v>
      </c>
      <c r="G798" s="3">
        <v>39</v>
      </c>
      <c r="H798" s="4" t="s">
        <v>180</v>
      </c>
      <c r="I798">
        <v>0</v>
      </c>
      <c r="J798">
        <v>0</v>
      </c>
      <c r="K798">
        <v>0</v>
      </c>
      <c r="L798" s="3">
        <v>0</v>
      </c>
      <c r="M798" s="3">
        <v>0</v>
      </c>
      <c r="N798">
        <v>0</v>
      </c>
      <c r="O798">
        <v>0</v>
      </c>
      <c r="P798">
        <v>0</v>
      </c>
      <c r="Q798">
        <v>0</v>
      </c>
      <c r="R798" s="3">
        <v>0</v>
      </c>
      <c r="S798" s="3">
        <v>0</v>
      </c>
      <c r="T798">
        <v>0</v>
      </c>
      <c r="U798">
        <v>0</v>
      </c>
      <c r="V798" s="3">
        <v>0</v>
      </c>
      <c r="W798" s="3">
        <v>0</v>
      </c>
      <c r="X798">
        <v>0</v>
      </c>
      <c r="Y798" t="s">
        <v>550</v>
      </c>
    </row>
    <row r="799" spans="1:25" hidden="1" x14ac:dyDescent="0.25">
      <c r="A799" s="1" t="s">
        <v>25</v>
      </c>
      <c r="B799" s="1" t="s">
        <v>96</v>
      </c>
      <c r="C799" t="s">
        <v>27</v>
      </c>
      <c r="D799" t="s">
        <v>27</v>
      </c>
      <c r="E799" s="2">
        <v>45856</v>
      </c>
      <c r="F799" s="2">
        <v>45856</v>
      </c>
      <c r="G799" s="3">
        <v>41</v>
      </c>
      <c r="H799" s="4" t="s">
        <v>28</v>
      </c>
      <c r="I799">
        <v>60</v>
      </c>
      <c r="J799">
        <v>0</v>
      </c>
      <c r="K799">
        <v>0</v>
      </c>
      <c r="L799" s="3">
        <v>0</v>
      </c>
      <c r="M799" s="3">
        <v>0</v>
      </c>
      <c r="N799">
        <v>1</v>
      </c>
      <c r="O799">
        <v>0</v>
      </c>
      <c r="P799">
        <v>0</v>
      </c>
      <c r="Q799">
        <v>0</v>
      </c>
      <c r="R799" s="3">
        <v>0</v>
      </c>
      <c r="S799" s="3">
        <v>0</v>
      </c>
      <c r="T799">
        <v>0</v>
      </c>
      <c r="U799">
        <v>0</v>
      </c>
      <c r="V799" s="3">
        <v>0</v>
      </c>
      <c r="W799" s="3">
        <v>0</v>
      </c>
      <c r="X799">
        <v>0</v>
      </c>
      <c r="Y799" t="s">
        <v>764</v>
      </c>
    </row>
    <row r="800" spans="1:25" hidden="1" x14ac:dyDescent="0.25">
      <c r="A800" s="1" t="s">
        <v>56</v>
      </c>
      <c r="B800" s="1" t="s">
        <v>98</v>
      </c>
      <c r="C800" s="1" t="s">
        <v>37</v>
      </c>
      <c r="D800" t="s">
        <v>27</v>
      </c>
      <c r="E800" s="2">
        <v>45856</v>
      </c>
      <c r="F800" s="2">
        <v>45856</v>
      </c>
      <c r="G800" s="3">
        <v>51</v>
      </c>
      <c r="H800" s="4" t="s">
        <v>28</v>
      </c>
      <c r="I800">
        <v>85</v>
      </c>
      <c r="J800">
        <v>0</v>
      </c>
      <c r="K800">
        <v>0</v>
      </c>
      <c r="L800" s="3">
        <v>1</v>
      </c>
      <c r="M800" s="3">
        <v>0</v>
      </c>
      <c r="N800">
        <v>0</v>
      </c>
      <c r="O800">
        <v>0</v>
      </c>
      <c r="P800">
        <v>0</v>
      </c>
      <c r="Q800">
        <v>0</v>
      </c>
      <c r="R800" s="3">
        <v>0</v>
      </c>
      <c r="S800" s="3">
        <v>0</v>
      </c>
      <c r="T800">
        <v>0</v>
      </c>
      <c r="U800">
        <v>0</v>
      </c>
      <c r="V800" s="3">
        <v>0</v>
      </c>
      <c r="W800" s="3">
        <v>0</v>
      </c>
      <c r="X800">
        <v>0</v>
      </c>
      <c r="Y800" t="s">
        <v>765</v>
      </c>
    </row>
    <row r="801" spans="1:25" hidden="1" x14ac:dyDescent="0.25">
      <c r="A801" s="1" t="s">
        <v>29</v>
      </c>
      <c r="B801" s="1" t="s">
        <v>100</v>
      </c>
      <c r="C801" s="1" t="s">
        <v>245</v>
      </c>
      <c r="D801" t="s">
        <v>27</v>
      </c>
      <c r="E801" s="2">
        <v>45856</v>
      </c>
      <c r="F801" s="2">
        <v>45856</v>
      </c>
      <c r="G801" s="3">
        <v>87</v>
      </c>
      <c r="H801" s="4" t="s">
        <v>28</v>
      </c>
      <c r="I801">
        <v>72</v>
      </c>
      <c r="J801">
        <v>78</v>
      </c>
      <c r="K801">
        <v>0</v>
      </c>
      <c r="L801" s="3">
        <v>1</v>
      </c>
      <c r="M801" s="3">
        <v>0</v>
      </c>
      <c r="N801">
        <v>0</v>
      </c>
      <c r="O801">
        <v>0</v>
      </c>
      <c r="P801">
        <v>0</v>
      </c>
      <c r="Q801">
        <v>0</v>
      </c>
      <c r="R801" s="3">
        <v>0</v>
      </c>
      <c r="S801" s="3">
        <v>0</v>
      </c>
      <c r="T801">
        <v>0</v>
      </c>
      <c r="U801">
        <v>0</v>
      </c>
      <c r="V801" s="3">
        <v>0</v>
      </c>
      <c r="W801" s="3">
        <v>0</v>
      </c>
      <c r="X801">
        <v>4</v>
      </c>
      <c r="Y801" t="s">
        <v>766</v>
      </c>
    </row>
    <row r="802" spans="1:25" hidden="1" x14ac:dyDescent="0.25">
      <c r="A802" s="1" t="s">
        <v>344</v>
      </c>
      <c r="B802" s="1" t="s">
        <v>102</v>
      </c>
      <c r="C802" s="1" t="s">
        <v>35</v>
      </c>
      <c r="D802" t="s">
        <v>27</v>
      </c>
      <c r="E802" s="2">
        <v>45856</v>
      </c>
      <c r="F802" s="2">
        <v>45856</v>
      </c>
      <c r="G802" s="3">
        <v>36</v>
      </c>
      <c r="H802" s="4" t="s">
        <v>28</v>
      </c>
      <c r="I802">
        <v>58</v>
      </c>
      <c r="J802">
        <v>78</v>
      </c>
      <c r="K802">
        <v>0</v>
      </c>
      <c r="L802" s="3">
        <v>0</v>
      </c>
      <c r="M802" s="3">
        <v>0</v>
      </c>
      <c r="N802">
        <v>0</v>
      </c>
      <c r="O802">
        <v>0</v>
      </c>
      <c r="P802">
        <v>0</v>
      </c>
      <c r="Q802">
        <v>5</v>
      </c>
      <c r="R802" s="3">
        <v>0</v>
      </c>
      <c r="S802" s="3">
        <v>0</v>
      </c>
      <c r="T802">
        <v>0</v>
      </c>
      <c r="U802">
        <v>0</v>
      </c>
      <c r="V802" s="3">
        <v>0</v>
      </c>
      <c r="W802" s="3">
        <v>0</v>
      </c>
      <c r="X802">
        <v>4</v>
      </c>
      <c r="Y802" t="s">
        <v>726</v>
      </c>
    </row>
    <row r="803" spans="1:25" hidden="1" x14ac:dyDescent="0.25">
      <c r="A803" s="1" t="s">
        <v>31</v>
      </c>
      <c r="B803" s="1" t="s">
        <v>104</v>
      </c>
      <c r="C803" s="1" t="s">
        <v>32</v>
      </c>
      <c r="D803" t="s">
        <v>27</v>
      </c>
      <c r="E803" s="2">
        <v>45856</v>
      </c>
      <c r="F803" s="2">
        <v>45856</v>
      </c>
      <c r="G803" s="3">
        <v>53</v>
      </c>
      <c r="H803" s="4" t="s">
        <v>28</v>
      </c>
      <c r="I803">
        <v>84</v>
      </c>
      <c r="J803">
        <v>0</v>
      </c>
      <c r="K803">
        <v>0</v>
      </c>
      <c r="L803" s="3">
        <v>0</v>
      </c>
      <c r="M803" s="3">
        <v>0</v>
      </c>
      <c r="N803">
        <v>0</v>
      </c>
      <c r="O803">
        <v>0</v>
      </c>
      <c r="P803">
        <v>0</v>
      </c>
      <c r="Q803">
        <v>50</v>
      </c>
      <c r="R803" s="3">
        <v>0</v>
      </c>
      <c r="S803" s="3">
        <v>0</v>
      </c>
      <c r="T803">
        <v>0</v>
      </c>
      <c r="U803">
        <v>0</v>
      </c>
      <c r="V803" s="3">
        <v>0</v>
      </c>
      <c r="W803" s="3">
        <v>0</v>
      </c>
      <c r="X803">
        <v>0</v>
      </c>
      <c r="Y803" t="s">
        <v>743</v>
      </c>
    </row>
    <row r="804" spans="1:25" hidden="1" x14ac:dyDescent="0.25">
      <c r="A804" s="1" t="s">
        <v>33</v>
      </c>
      <c r="B804" s="1" t="s">
        <v>106</v>
      </c>
      <c r="C804" s="1" t="s">
        <v>57</v>
      </c>
      <c r="D804" t="s">
        <v>27</v>
      </c>
      <c r="E804" s="2">
        <v>45856</v>
      </c>
      <c r="F804" s="2">
        <v>45856</v>
      </c>
      <c r="G804" s="3">
        <v>33</v>
      </c>
      <c r="H804" s="4" t="s">
        <v>28</v>
      </c>
      <c r="I804">
        <v>31</v>
      </c>
      <c r="J804">
        <v>0</v>
      </c>
      <c r="K804">
        <v>0</v>
      </c>
      <c r="L804" s="3">
        <v>0</v>
      </c>
      <c r="M804" s="3">
        <v>0</v>
      </c>
      <c r="N804">
        <v>0</v>
      </c>
      <c r="O804">
        <v>0</v>
      </c>
      <c r="P804">
        <v>0</v>
      </c>
      <c r="Q804">
        <v>18</v>
      </c>
      <c r="R804" s="3">
        <v>0</v>
      </c>
      <c r="S804" s="3">
        <v>0</v>
      </c>
      <c r="T804">
        <v>0</v>
      </c>
      <c r="U804">
        <v>0</v>
      </c>
      <c r="V804" s="3">
        <v>0</v>
      </c>
      <c r="W804" s="3">
        <v>0</v>
      </c>
      <c r="X804">
        <v>0</v>
      </c>
      <c r="Y804" t="s">
        <v>767</v>
      </c>
    </row>
    <row r="805" spans="1:25" hidden="1" x14ac:dyDescent="0.25">
      <c r="A805" s="1" t="s">
        <v>34</v>
      </c>
      <c r="B805" s="1" t="s">
        <v>247</v>
      </c>
      <c r="C805" s="1" t="s">
        <v>489</v>
      </c>
      <c r="D805" t="s">
        <v>27</v>
      </c>
      <c r="E805" s="2">
        <v>45856</v>
      </c>
      <c r="F805" s="2">
        <v>45856</v>
      </c>
      <c r="G805" s="3">
        <v>42</v>
      </c>
      <c r="H805" s="4" t="s">
        <v>28</v>
      </c>
      <c r="I805">
        <v>65</v>
      </c>
      <c r="J805">
        <v>78</v>
      </c>
      <c r="K805">
        <v>0</v>
      </c>
      <c r="L805" s="3">
        <v>1</v>
      </c>
      <c r="M805" s="3">
        <v>0</v>
      </c>
      <c r="N805">
        <v>0</v>
      </c>
      <c r="O805">
        <v>0</v>
      </c>
      <c r="P805">
        <v>0</v>
      </c>
      <c r="Q805">
        <v>0</v>
      </c>
      <c r="R805" s="3">
        <v>0</v>
      </c>
      <c r="S805" s="3">
        <v>0</v>
      </c>
      <c r="T805">
        <v>0</v>
      </c>
      <c r="U805">
        <v>0</v>
      </c>
      <c r="V805" s="3">
        <v>0</v>
      </c>
      <c r="W805" s="3">
        <v>0</v>
      </c>
      <c r="X805">
        <v>3</v>
      </c>
      <c r="Y805" t="s">
        <v>768</v>
      </c>
    </row>
    <row r="806" spans="1:25" hidden="1" x14ac:dyDescent="0.25">
      <c r="A806" s="1" t="s">
        <v>38</v>
      </c>
      <c r="B806" s="1" t="s">
        <v>108</v>
      </c>
      <c r="C806" s="1" t="s">
        <v>39</v>
      </c>
      <c r="D806" t="s">
        <v>27</v>
      </c>
      <c r="E806" s="2">
        <v>45856</v>
      </c>
      <c r="F806" s="2">
        <v>45856</v>
      </c>
      <c r="G806" s="3">
        <v>48</v>
      </c>
      <c r="H806" s="4" t="s">
        <v>28</v>
      </c>
      <c r="I806">
        <v>34</v>
      </c>
      <c r="J806">
        <v>0</v>
      </c>
      <c r="K806">
        <v>0</v>
      </c>
      <c r="L806" s="3">
        <v>0</v>
      </c>
      <c r="M806" s="3">
        <v>0</v>
      </c>
      <c r="N806">
        <v>0</v>
      </c>
      <c r="O806">
        <v>0</v>
      </c>
      <c r="P806">
        <v>0</v>
      </c>
      <c r="Q806">
        <v>0</v>
      </c>
      <c r="R806" s="3">
        <v>0</v>
      </c>
      <c r="S806" s="3">
        <v>0</v>
      </c>
      <c r="T806">
        <v>0</v>
      </c>
      <c r="U806">
        <v>0</v>
      </c>
      <c r="V806" s="3">
        <v>0</v>
      </c>
      <c r="W806" s="3">
        <v>0</v>
      </c>
      <c r="X806">
        <v>0</v>
      </c>
      <c r="Y806" t="s">
        <v>769</v>
      </c>
    </row>
    <row r="807" spans="1:25" hidden="1" x14ac:dyDescent="0.25">
      <c r="A807" s="1" t="s">
        <v>41</v>
      </c>
      <c r="B807" s="1" t="s">
        <v>112</v>
      </c>
      <c r="C807" s="1" t="s">
        <v>42</v>
      </c>
      <c r="D807" t="s">
        <v>27</v>
      </c>
      <c r="E807" s="2">
        <v>45856</v>
      </c>
      <c r="F807" s="2">
        <v>45856</v>
      </c>
      <c r="G807" s="3">
        <v>38</v>
      </c>
      <c r="H807" s="4" t="s">
        <v>28</v>
      </c>
      <c r="I807">
        <v>33</v>
      </c>
      <c r="J807">
        <v>0</v>
      </c>
      <c r="K807">
        <v>0</v>
      </c>
      <c r="L807" s="3">
        <v>1</v>
      </c>
      <c r="M807" s="3">
        <v>0</v>
      </c>
      <c r="N807">
        <v>0</v>
      </c>
      <c r="O807">
        <v>0</v>
      </c>
      <c r="P807">
        <v>0</v>
      </c>
      <c r="Q807">
        <v>1</v>
      </c>
      <c r="R807" s="3">
        <v>0</v>
      </c>
      <c r="S807" s="3">
        <v>0</v>
      </c>
      <c r="T807">
        <v>0</v>
      </c>
      <c r="U807">
        <v>0</v>
      </c>
      <c r="V807" s="3">
        <v>0</v>
      </c>
      <c r="W807" s="3">
        <v>0</v>
      </c>
      <c r="X807">
        <v>0</v>
      </c>
      <c r="Y807" t="s">
        <v>770</v>
      </c>
    </row>
    <row r="808" spans="1:25" hidden="1" x14ac:dyDescent="0.25">
      <c r="A808" s="1" t="s">
        <v>43</v>
      </c>
      <c r="B808" s="1" t="s">
        <v>114</v>
      </c>
      <c r="C808" t="s">
        <v>27</v>
      </c>
      <c r="D808" t="s">
        <v>27</v>
      </c>
      <c r="E808" s="2">
        <v>45856</v>
      </c>
      <c r="F808" s="2">
        <v>45856</v>
      </c>
      <c r="G808" s="3">
        <v>34</v>
      </c>
      <c r="H808" s="4" t="s">
        <v>28</v>
      </c>
      <c r="I808">
        <v>61</v>
      </c>
      <c r="J808">
        <v>0</v>
      </c>
      <c r="K808">
        <v>0</v>
      </c>
      <c r="L808" s="3">
        <v>0</v>
      </c>
      <c r="M808" s="3">
        <v>0</v>
      </c>
      <c r="N808">
        <v>0</v>
      </c>
      <c r="O808">
        <v>0</v>
      </c>
      <c r="P808">
        <v>0</v>
      </c>
      <c r="Q808">
        <v>0</v>
      </c>
      <c r="R808" s="3">
        <v>0</v>
      </c>
      <c r="S808" s="3">
        <v>0</v>
      </c>
      <c r="T808">
        <v>0</v>
      </c>
      <c r="U808">
        <v>0</v>
      </c>
      <c r="V808" s="3">
        <v>0</v>
      </c>
      <c r="W808" s="3">
        <v>0</v>
      </c>
      <c r="X808">
        <v>0</v>
      </c>
      <c r="Y808" t="s">
        <v>771</v>
      </c>
    </row>
    <row r="809" spans="1:25" hidden="1" x14ac:dyDescent="0.25">
      <c r="A809" s="1" t="s">
        <v>45</v>
      </c>
      <c r="B809" s="1" t="s">
        <v>116</v>
      </c>
      <c r="C809" s="1" t="s">
        <v>46</v>
      </c>
      <c r="D809" t="s">
        <v>27</v>
      </c>
      <c r="E809" s="2">
        <v>45856</v>
      </c>
      <c r="F809" s="2">
        <v>45856</v>
      </c>
      <c r="G809" s="3">
        <v>77</v>
      </c>
      <c r="H809" s="4" t="s">
        <v>28</v>
      </c>
      <c r="I809">
        <v>67</v>
      </c>
      <c r="J809">
        <v>0</v>
      </c>
      <c r="K809">
        <v>0</v>
      </c>
      <c r="L809" s="3">
        <v>1</v>
      </c>
      <c r="M809" s="3">
        <v>0</v>
      </c>
      <c r="N809">
        <v>0</v>
      </c>
      <c r="O809">
        <v>0</v>
      </c>
      <c r="P809">
        <v>0</v>
      </c>
      <c r="Q809">
        <v>0</v>
      </c>
      <c r="R809" s="3">
        <v>0</v>
      </c>
      <c r="S809" s="3">
        <v>0</v>
      </c>
      <c r="T809">
        <v>0</v>
      </c>
      <c r="U809">
        <v>0</v>
      </c>
      <c r="V809" s="3">
        <v>0</v>
      </c>
      <c r="W809" s="3">
        <v>0</v>
      </c>
      <c r="X809">
        <v>0</v>
      </c>
      <c r="Y809" t="s">
        <v>756</v>
      </c>
    </row>
    <row r="810" spans="1:25" hidden="1" x14ac:dyDescent="0.25">
      <c r="A810" s="1" t="s">
        <v>47</v>
      </c>
      <c r="B810" s="1" t="s">
        <v>137</v>
      </c>
      <c r="C810" t="s">
        <v>27</v>
      </c>
      <c r="D810" t="s">
        <v>27</v>
      </c>
      <c r="E810" s="2">
        <v>45856</v>
      </c>
      <c r="F810" s="2">
        <v>45856</v>
      </c>
      <c r="G810" s="3">
        <v>32</v>
      </c>
      <c r="H810" s="4" t="s">
        <v>28</v>
      </c>
      <c r="I810">
        <v>54</v>
      </c>
      <c r="J810">
        <v>0</v>
      </c>
      <c r="K810">
        <v>0</v>
      </c>
      <c r="L810" s="3">
        <v>0</v>
      </c>
      <c r="M810" s="3">
        <v>0</v>
      </c>
      <c r="N810">
        <v>0</v>
      </c>
      <c r="O810">
        <v>0</v>
      </c>
      <c r="P810">
        <v>0</v>
      </c>
      <c r="Q810">
        <v>0</v>
      </c>
      <c r="R810" s="3">
        <v>0</v>
      </c>
      <c r="S810" s="3">
        <v>0</v>
      </c>
      <c r="T810">
        <v>0</v>
      </c>
      <c r="U810">
        <v>0</v>
      </c>
      <c r="V810" s="3">
        <v>0</v>
      </c>
      <c r="W810" s="3">
        <v>0</v>
      </c>
      <c r="X810">
        <v>0</v>
      </c>
      <c r="Y810" t="s">
        <v>772</v>
      </c>
    </row>
    <row r="811" spans="1:25" hidden="1" x14ac:dyDescent="0.25">
      <c r="A811" s="1" t="s">
        <v>48</v>
      </c>
      <c r="B811" s="1" t="s">
        <v>137</v>
      </c>
      <c r="C811" t="s">
        <v>27</v>
      </c>
      <c r="D811" t="s">
        <v>27</v>
      </c>
      <c r="E811" s="2">
        <v>45856</v>
      </c>
      <c r="F811" s="2">
        <v>45856</v>
      </c>
      <c r="G811" s="3">
        <v>32</v>
      </c>
      <c r="H811" s="4" t="s">
        <v>28</v>
      </c>
      <c r="I811">
        <v>54</v>
      </c>
      <c r="J811">
        <v>0</v>
      </c>
      <c r="K811">
        <v>0</v>
      </c>
      <c r="L811" s="3">
        <v>0</v>
      </c>
      <c r="M811" s="3">
        <v>0</v>
      </c>
      <c r="N811">
        <v>0</v>
      </c>
      <c r="O811">
        <v>0</v>
      </c>
      <c r="P811">
        <v>0</v>
      </c>
      <c r="Q811">
        <v>0</v>
      </c>
      <c r="R811" s="3">
        <v>0</v>
      </c>
      <c r="S811" s="3">
        <v>0</v>
      </c>
      <c r="T811">
        <v>0</v>
      </c>
      <c r="U811">
        <v>0</v>
      </c>
      <c r="V811" s="3">
        <v>0</v>
      </c>
      <c r="W811" s="3">
        <v>0</v>
      </c>
      <c r="X811">
        <v>0</v>
      </c>
      <c r="Y811" t="s">
        <v>772</v>
      </c>
    </row>
    <row r="812" spans="1:25" hidden="1" x14ac:dyDescent="0.25">
      <c r="A812" s="1" t="s">
        <v>49</v>
      </c>
      <c r="B812" s="1" t="s">
        <v>118</v>
      </c>
      <c r="C812" s="1" t="s">
        <v>50</v>
      </c>
      <c r="D812" t="s">
        <v>27</v>
      </c>
      <c r="E812" s="2">
        <v>45856</v>
      </c>
      <c r="F812" s="2">
        <v>45856</v>
      </c>
      <c r="G812" s="3">
        <v>25</v>
      </c>
      <c r="H812" s="4" t="s">
        <v>28</v>
      </c>
      <c r="I812">
        <v>45</v>
      </c>
      <c r="J812">
        <v>0</v>
      </c>
      <c r="K812">
        <v>0</v>
      </c>
      <c r="L812" s="3">
        <v>1</v>
      </c>
      <c r="M812" s="3">
        <v>1</v>
      </c>
      <c r="N812">
        <v>0</v>
      </c>
      <c r="O812">
        <v>0</v>
      </c>
      <c r="P812">
        <v>0</v>
      </c>
      <c r="Q812">
        <v>0</v>
      </c>
      <c r="R812" s="3">
        <v>0</v>
      </c>
      <c r="S812" s="3">
        <v>0</v>
      </c>
      <c r="T812">
        <v>0</v>
      </c>
      <c r="U812">
        <v>0</v>
      </c>
      <c r="V812" s="3">
        <v>0</v>
      </c>
      <c r="W812" s="3">
        <v>0</v>
      </c>
      <c r="X812">
        <v>0</v>
      </c>
      <c r="Y812" t="s">
        <v>773</v>
      </c>
    </row>
    <row r="813" spans="1:25" hidden="1" x14ac:dyDescent="0.25">
      <c r="A813" s="1" t="s">
        <v>51</v>
      </c>
      <c r="B813" s="1" t="s">
        <v>120</v>
      </c>
      <c r="C813" s="1" t="s">
        <v>55</v>
      </c>
      <c r="D813" t="s">
        <v>27</v>
      </c>
      <c r="E813" s="2">
        <v>45856</v>
      </c>
      <c r="F813" s="2">
        <v>45856</v>
      </c>
      <c r="G813" s="3">
        <v>97</v>
      </c>
      <c r="H813" s="4" t="s">
        <v>28</v>
      </c>
      <c r="I813">
        <v>61</v>
      </c>
      <c r="J813">
        <v>0</v>
      </c>
      <c r="K813">
        <v>0</v>
      </c>
      <c r="L813" s="3">
        <v>1</v>
      </c>
      <c r="M813" s="3">
        <v>0</v>
      </c>
      <c r="N813">
        <v>1</v>
      </c>
      <c r="O813">
        <v>0</v>
      </c>
      <c r="P813">
        <v>0</v>
      </c>
      <c r="Q813">
        <v>0</v>
      </c>
      <c r="R813" s="3">
        <v>0</v>
      </c>
      <c r="S813" s="3">
        <v>0</v>
      </c>
      <c r="T813">
        <v>0</v>
      </c>
      <c r="U813">
        <v>0</v>
      </c>
      <c r="V813" s="3">
        <v>0</v>
      </c>
      <c r="W813" s="3">
        <v>0</v>
      </c>
      <c r="X813">
        <v>0</v>
      </c>
      <c r="Y813" t="s">
        <v>774</v>
      </c>
    </row>
    <row r="814" spans="1:25" hidden="1" x14ac:dyDescent="0.25">
      <c r="A814" s="1" t="s">
        <v>54</v>
      </c>
      <c r="B814" s="1" t="s">
        <v>122</v>
      </c>
      <c r="C814" s="1" t="s">
        <v>52</v>
      </c>
      <c r="D814" t="s">
        <v>27</v>
      </c>
      <c r="E814" s="2">
        <v>45856</v>
      </c>
      <c r="F814" s="2">
        <v>45856</v>
      </c>
      <c r="G814" s="3">
        <v>48</v>
      </c>
      <c r="H814" s="4" t="s">
        <v>28</v>
      </c>
      <c r="I814">
        <v>40</v>
      </c>
      <c r="J814">
        <v>0</v>
      </c>
      <c r="K814">
        <v>0</v>
      </c>
      <c r="L814" s="3">
        <v>0</v>
      </c>
      <c r="M814" s="3">
        <v>0</v>
      </c>
      <c r="N814">
        <v>0</v>
      </c>
      <c r="O814">
        <v>0</v>
      </c>
      <c r="P814">
        <v>0</v>
      </c>
      <c r="Q814">
        <v>0</v>
      </c>
      <c r="R814" s="3">
        <v>0</v>
      </c>
      <c r="S814" s="3">
        <v>0</v>
      </c>
      <c r="T814">
        <v>0</v>
      </c>
      <c r="U814">
        <v>0</v>
      </c>
      <c r="V814" s="3">
        <v>0</v>
      </c>
      <c r="W814" s="3">
        <v>0</v>
      </c>
      <c r="X814">
        <v>0</v>
      </c>
      <c r="Y814" t="s">
        <v>775</v>
      </c>
    </row>
    <row r="815" spans="1:25" hidden="1" x14ac:dyDescent="0.25">
      <c r="A815" s="1" t="s">
        <v>53</v>
      </c>
      <c r="B815" s="1" t="s">
        <v>142</v>
      </c>
      <c r="C815" s="1" t="s">
        <v>39</v>
      </c>
      <c r="D815" t="s">
        <v>27</v>
      </c>
      <c r="E815" s="2">
        <v>45856</v>
      </c>
      <c r="F815" s="2">
        <v>45856</v>
      </c>
      <c r="G815" s="3">
        <v>47</v>
      </c>
      <c r="H815" s="4" t="s">
        <v>28</v>
      </c>
      <c r="I815">
        <v>31</v>
      </c>
      <c r="J815">
        <v>0</v>
      </c>
      <c r="K815">
        <v>0</v>
      </c>
      <c r="L815" s="3">
        <v>1</v>
      </c>
      <c r="M815" s="3">
        <v>0</v>
      </c>
      <c r="N815">
        <v>0</v>
      </c>
      <c r="O815">
        <v>0</v>
      </c>
      <c r="P815">
        <v>0</v>
      </c>
      <c r="Q815">
        <v>31</v>
      </c>
      <c r="R815" s="3">
        <v>0</v>
      </c>
      <c r="S815" s="3">
        <v>0</v>
      </c>
      <c r="T815">
        <v>0</v>
      </c>
      <c r="U815">
        <v>0</v>
      </c>
      <c r="V815" s="3">
        <v>0</v>
      </c>
      <c r="W815" s="3">
        <v>0</v>
      </c>
      <c r="X815">
        <v>0</v>
      </c>
      <c r="Y815" t="s">
        <v>776</v>
      </c>
    </row>
    <row r="816" spans="1:25" hidden="1" x14ac:dyDescent="0.25">
      <c r="A816" t="s">
        <v>27</v>
      </c>
      <c r="B816" s="1" t="s">
        <v>144</v>
      </c>
      <c r="C816" s="1" t="s">
        <v>344</v>
      </c>
      <c r="D816" t="s">
        <v>27</v>
      </c>
      <c r="E816" s="2">
        <v>45856</v>
      </c>
      <c r="F816" s="2">
        <v>45856</v>
      </c>
      <c r="G816" s="3">
        <v>47</v>
      </c>
      <c r="H816" s="4" t="s">
        <v>28</v>
      </c>
      <c r="I816">
        <v>0</v>
      </c>
      <c r="J816">
        <v>78</v>
      </c>
      <c r="K816">
        <v>0</v>
      </c>
      <c r="L816" s="3">
        <v>1</v>
      </c>
      <c r="M816" s="3">
        <v>0</v>
      </c>
      <c r="N816">
        <v>0</v>
      </c>
      <c r="O816">
        <v>0</v>
      </c>
      <c r="P816">
        <v>0</v>
      </c>
      <c r="Q816">
        <v>0</v>
      </c>
      <c r="R816" s="3">
        <v>0</v>
      </c>
      <c r="S816" s="3">
        <v>0</v>
      </c>
      <c r="T816">
        <v>0</v>
      </c>
      <c r="U816">
        <v>0</v>
      </c>
      <c r="V816" s="3">
        <v>0</v>
      </c>
      <c r="W816" s="3">
        <v>0</v>
      </c>
      <c r="X816">
        <v>3</v>
      </c>
      <c r="Y816" t="s">
        <v>777</v>
      </c>
    </row>
    <row r="817" spans="1:25" hidden="1" x14ac:dyDescent="0.25">
      <c r="A817" s="1" t="s">
        <v>40</v>
      </c>
      <c r="B817" s="1" t="s">
        <v>114</v>
      </c>
      <c r="C817" t="s">
        <v>27</v>
      </c>
      <c r="D817" t="s">
        <v>27</v>
      </c>
      <c r="E817" s="2">
        <v>45856</v>
      </c>
      <c r="F817" s="2">
        <v>45856</v>
      </c>
      <c r="G817" s="3">
        <v>34</v>
      </c>
      <c r="H817" s="4" t="s">
        <v>28</v>
      </c>
      <c r="I817">
        <v>61</v>
      </c>
      <c r="J817">
        <v>0</v>
      </c>
      <c r="K817">
        <v>0</v>
      </c>
      <c r="L817" s="3">
        <v>0</v>
      </c>
      <c r="M817" s="3">
        <v>0</v>
      </c>
      <c r="N817">
        <v>0</v>
      </c>
      <c r="O817">
        <v>0</v>
      </c>
      <c r="P817">
        <v>0</v>
      </c>
      <c r="Q817">
        <v>0</v>
      </c>
      <c r="R817" s="3">
        <v>0</v>
      </c>
      <c r="S817" s="3">
        <v>0</v>
      </c>
      <c r="T817">
        <v>0</v>
      </c>
      <c r="U817">
        <v>0</v>
      </c>
      <c r="V817" s="3">
        <v>0</v>
      </c>
      <c r="W817" s="3">
        <v>0</v>
      </c>
      <c r="X817">
        <v>0</v>
      </c>
      <c r="Y817" t="s">
        <v>771</v>
      </c>
    </row>
    <row r="818" spans="1:25" hidden="1" x14ac:dyDescent="0.25">
      <c r="A818" s="1" t="s">
        <v>36</v>
      </c>
      <c r="B818" s="1" t="s">
        <v>96</v>
      </c>
      <c r="C818" t="s">
        <v>27</v>
      </c>
      <c r="D818" t="s">
        <v>27</v>
      </c>
      <c r="E818" s="2">
        <v>45856</v>
      </c>
      <c r="F818" s="2">
        <v>45856</v>
      </c>
      <c r="G818" s="3">
        <v>41</v>
      </c>
      <c r="H818" s="4" t="s">
        <v>28</v>
      </c>
      <c r="I818">
        <v>60</v>
      </c>
      <c r="J818">
        <v>0</v>
      </c>
      <c r="K818">
        <v>0</v>
      </c>
      <c r="L818" s="3">
        <v>0</v>
      </c>
      <c r="M818" s="3">
        <v>0</v>
      </c>
      <c r="N818">
        <v>1</v>
      </c>
      <c r="O818">
        <v>0</v>
      </c>
      <c r="P818">
        <v>0</v>
      </c>
      <c r="Q818">
        <v>0</v>
      </c>
      <c r="R818" s="3">
        <v>0</v>
      </c>
      <c r="S818" s="3">
        <v>0</v>
      </c>
      <c r="T818">
        <v>0</v>
      </c>
      <c r="U818">
        <v>0</v>
      </c>
      <c r="V818" s="3">
        <v>0</v>
      </c>
      <c r="W818" s="3">
        <v>0</v>
      </c>
      <c r="X818">
        <v>0</v>
      </c>
      <c r="Y818" t="s">
        <v>764</v>
      </c>
    </row>
    <row r="819" spans="1:25" hidden="1" x14ac:dyDescent="0.25">
      <c r="A819" s="1" t="s">
        <v>58</v>
      </c>
      <c r="B819" s="1" t="s">
        <v>123</v>
      </c>
      <c r="C819" s="1" t="s">
        <v>27</v>
      </c>
      <c r="D819" t="s">
        <v>27</v>
      </c>
      <c r="E819" s="12">
        <v>45857</v>
      </c>
      <c r="F819" s="12">
        <v>45857</v>
      </c>
      <c r="G819" s="3">
        <v>39</v>
      </c>
      <c r="H819" s="4" t="s">
        <v>180</v>
      </c>
      <c r="I819">
        <v>0</v>
      </c>
      <c r="J819">
        <v>0</v>
      </c>
      <c r="K819">
        <v>0</v>
      </c>
      <c r="L819" s="3">
        <v>0</v>
      </c>
      <c r="M819" s="3">
        <v>0</v>
      </c>
      <c r="N819">
        <v>0</v>
      </c>
      <c r="O819">
        <v>0</v>
      </c>
      <c r="P819">
        <v>0</v>
      </c>
      <c r="Q819">
        <v>0</v>
      </c>
      <c r="R819" s="3">
        <v>0</v>
      </c>
      <c r="S819" s="3">
        <v>0</v>
      </c>
      <c r="T819">
        <v>0</v>
      </c>
      <c r="U819">
        <v>0</v>
      </c>
      <c r="V819" s="3">
        <v>0</v>
      </c>
      <c r="W819" s="3">
        <v>0</v>
      </c>
      <c r="X819">
        <v>0</v>
      </c>
      <c r="Y819" t="s">
        <v>550</v>
      </c>
    </row>
    <row r="820" spans="1:25" s="16" customFormat="1" hidden="1" x14ac:dyDescent="0.25">
      <c r="A820" s="16" t="s">
        <v>41</v>
      </c>
      <c r="B820" s="16" t="s">
        <v>112</v>
      </c>
      <c r="C820" s="16" t="s">
        <v>42</v>
      </c>
      <c r="D820" s="16" t="s">
        <v>27</v>
      </c>
      <c r="E820" s="12">
        <v>45857</v>
      </c>
      <c r="F820" s="12">
        <v>45857</v>
      </c>
      <c r="G820" s="18">
        <v>56</v>
      </c>
      <c r="H820" s="16" t="s">
        <v>28</v>
      </c>
      <c r="I820" s="16">
        <v>0</v>
      </c>
      <c r="J820" s="16">
        <v>0</v>
      </c>
      <c r="K820" s="16">
        <v>0</v>
      </c>
      <c r="L820" s="18">
        <v>0</v>
      </c>
      <c r="M820" s="18">
        <v>0</v>
      </c>
      <c r="N820" s="16">
        <v>0</v>
      </c>
      <c r="O820" s="16">
        <v>0</v>
      </c>
      <c r="P820" s="16">
        <v>0</v>
      </c>
      <c r="Q820" s="16">
        <v>9</v>
      </c>
      <c r="R820" s="18">
        <v>1</v>
      </c>
      <c r="S820" s="18">
        <v>0</v>
      </c>
      <c r="T820" s="16">
        <v>9</v>
      </c>
      <c r="U820" s="16">
        <v>19</v>
      </c>
      <c r="V820" s="18">
        <v>1</v>
      </c>
      <c r="W820" s="18">
        <v>0</v>
      </c>
      <c r="X820" s="16">
        <v>0</v>
      </c>
      <c r="Y820" s="16" t="s">
        <v>778</v>
      </c>
    </row>
    <row r="821" spans="1:25" s="16" customFormat="1" hidden="1" x14ac:dyDescent="0.25">
      <c r="A821" s="16" t="s">
        <v>54</v>
      </c>
      <c r="B821" s="16" t="s">
        <v>122</v>
      </c>
      <c r="C821" s="16" t="s">
        <v>55</v>
      </c>
      <c r="D821" s="16" t="s">
        <v>27</v>
      </c>
      <c r="E821" s="12">
        <v>45857</v>
      </c>
      <c r="F821" s="12">
        <v>45857</v>
      </c>
      <c r="G821" s="18">
        <v>94</v>
      </c>
      <c r="H821" s="16" t="s">
        <v>28</v>
      </c>
      <c r="I821" s="16">
        <v>0</v>
      </c>
      <c r="J821" s="16">
        <v>0</v>
      </c>
      <c r="K821" s="16">
        <v>0</v>
      </c>
      <c r="L821" s="18">
        <v>0</v>
      </c>
      <c r="M821" s="18">
        <v>0</v>
      </c>
      <c r="N821" s="16">
        <v>0</v>
      </c>
      <c r="O821" s="16">
        <v>0</v>
      </c>
      <c r="P821" s="16">
        <v>0</v>
      </c>
      <c r="Q821" s="16">
        <v>0</v>
      </c>
      <c r="R821" s="18">
        <v>1</v>
      </c>
      <c r="S821" s="18">
        <v>0</v>
      </c>
      <c r="T821" s="16">
        <v>27</v>
      </c>
      <c r="U821" s="16">
        <v>28</v>
      </c>
      <c r="V821" s="18">
        <v>1</v>
      </c>
      <c r="W821" s="18">
        <v>0</v>
      </c>
      <c r="X821" s="16">
        <v>0</v>
      </c>
      <c r="Y821" s="16" t="s">
        <v>779</v>
      </c>
    </row>
    <row r="822" spans="1:25" hidden="1" x14ac:dyDescent="0.25">
      <c r="A822" s="1" t="s">
        <v>58</v>
      </c>
      <c r="B822" s="1" t="s">
        <v>123</v>
      </c>
      <c r="C822" s="1" t="s">
        <v>27</v>
      </c>
      <c r="D822" t="s">
        <v>27</v>
      </c>
      <c r="E822" s="12">
        <v>45858</v>
      </c>
      <c r="F822" s="12">
        <v>45858</v>
      </c>
      <c r="G822" s="3">
        <v>39</v>
      </c>
      <c r="H822" s="4" t="s">
        <v>180</v>
      </c>
      <c r="I822">
        <v>0</v>
      </c>
      <c r="J822">
        <v>0</v>
      </c>
      <c r="K822">
        <v>0</v>
      </c>
      <c r="L822" s="3">
        <v>0</v>
      </c>
      <c r="M822" s="3">
        <v>0</v>
      </c>
      <c r="N822">
        <v>0</v>
      </c>
      <c r="O822">
        <v>0</v>
      </c>
      <c r="P822">
        <v>0</v>
      </c>
      <c r="Q822">
        <v>0</v>
      </c>
      <c r="R822" s="3">
        <v>0</v>
      </c>
      <c r="S822" s="3">
        <v>0</v>
      </c>
      <c r="T822">
        <v>0</v>
      </c>
      <c r="U822">
        <v>0</v>
      </c>
      <c r="V822" s="3">
        <v>0</v>
      </c>
      <c r="W822" s="3">
        <v>0</v>
      </c>
      <c r="X822">
        <v>0</v>
      </c>
      <c r="Y822" t="s">
        <v>550</v>
      </c>
    </row>
    <row r="823" spans="1:25" s="16" customFormat="1" hidden="1" x14ac:dyDescent="0.25">
      <c r="A823" s="16" t="s">
        <v>33</v>
      </c>
      <c r="B823" s="16" t="s">
        <v>106</v>
      </c>
      <c r="C823" s="16" t="s">
        <v>55</v>
      </c>
      <c r="D823" s="16" t="s">
        <v>27</v>
      </c>
      <c r="E823" s="12">
        <v>45858</v>
      </c>
      <c r="F823" s="12">
        <v>45858</v>
      </c>
      <c r="G823" s="18">
        <v>43</v>
      </c>
      <c r="H823" s="16" t="s">
        <v>28</v>
      </c>
      <c r="I823" s="16">
        <v>0</v>
      </c>
      <c r="J823" s="16">
        <v>0</v>
      </c>
      <c r="K823" s="16">
        <v>0</v>
      </c>
      <c r="L823" s="18">
        <v>0</v>
      </c>
      <c r="M823" s="18">
        <v>0</v>
      </c>
      <c r="N823" s="16">
        <v>0</v>
      </c>
      <c r="O823" s="16">
        <v>0</v>
      </c>
      <c r="P823" s="16">
        <v>0</v>
      </c>
      <c r="Q823" s="16">
        <v>0</v>
      </c>
      <c r="R823" s="18">
        <v>0</v>
      </c>
      <c r="S823" s="18">
        <v>1</v>
      </c>
      <c r="T823" s="16">
        <v>3</v>
      </c>
      <c r="U823" s="16">
        <v>17</v>
      </c>
      <c r="V823" s="18">
        <v>0</v>
      </c>
      <c r="W823" s="18">
        <v>1</v>
      </c>
      <c r="X823" s="16">
        <v>0</v>
      </c>
      <c r="Y823" s="16" t="s">
        <v>780</v>
      </c>
    </row>
    <row r="824" spans="1:25" s="16" customFormat="1" hidden="1" x14ac:dyDescent="0.25">
      <c r="A824" s="16" t="s">
        <v>48</v>
      </c>
      <c r="B824" s="16" t="s">
        <v>149</v>
      </c>
      <c r="C824" s="16" t="s">
        <v>489</v>
      </c>
      <c r="D824" s="16" t="s">
        <v>27</v>
      </c>
      <c r="E824" s="12">
        <v>45858</v>
      </c>
      <c r="F824" s="12">
        <v>45858</v>
      </c>
      <c r="G824" s="18">
        <v>36</v>
      </c>
      <c r="H824" s="16" t="s">
        <v>28</v>
      </c>
      <c r="I824" s="16">
        <v>0</v>
      </c>
      <c r="J824" s="16">
        <v>0</v>
      </c>
      <c r="K824" s="16">
        <v>0</v>
      </c>
      <c r="L824" s="18">
        <v>0</v>
      </c>
      <c r="M824" s="18">
        <v>0</v>
      </c>
      <c r="N824" s="16">
        <v>0</v>
      </c>
      <c r="O824" s="16">
        <v>0</v>
      </c>
      <c r="P824" s="16">
        <v>0</v>
      </c>
      <c r="Q824" s="16">
        <v>0</v>
      </c>
      <c r="R824" s="18">
        <v>0</v>
      </c>
      <c r="S824" s="18">
        <v>1</v>
      </c>
      <c r="T824" s="16">
        <v>0</v>
      </c>
      <c r="U824" s="16">
        <v>30</v>
      </c>
      <c r="V824" s="18">
        <v>0</v>
      </c>
      <c r="W824" s="18">
        <v>1</v>
      </c>
      <c r="X824" s="16">
        <v>0</v>
      </c>
      <c r="Y824" s="16" t="s">
        <v>781</v>
      </c>
    </row>
    <row r="825" spans="1:25" hidden="1" x14ac:dyDescent="0.25">
      <c r="A825" s="1" t="s">
        <v>25</v>
      </c>
      <c r="B825" s="1" t="s">
        <v>96</v>
      </c>
      <c r="C825" s="1" t="s">
        <v>489</v>
      </c>
      <c r="D825" t="s">
        <v>27</v>
      </c>
      <c r="E825" s="2">
        <v>45859</v>
      </c>
      <c r="F825" s="2">
        <v>45859</v>
      </c>
      <c r="G825" s="3">
        <v>25</v>
      </c>
      <c r="H825" t="s">
        <v>28</v>
      </c>
      <c r="I825">
        <v>48</v>
      </c>
      <c r="J825">
        <v>0</v>
      </c>
      <c r="K825">
        <v>0</v>
      </c>
      <c r="L825" s="3">
        <v>0</v>
      </c>
      <c r="M825" s="3">
        <v>1</v>
      </c>
      <c r="N825">
        <v>1</v>
      </c>
      <c r="O825">
        <v>0</v>
      </c>
      <c r="P825">
        <v>0</v>
      </c>
      <c r="Q825">
        <v>0</v>
      </c>
      <c r="R825" s="3">
        <v>0</v>
      </c>
      <c r="S825" s="3">
        <v>0</v>
      </c>
      <c r="T825">
        <v>0</v>
      </c>
      <c r="U825">
        <v>0</v>
      </c>
      <c r="V825" s="3">
        <v>0</v>
      </c>
      <c r="W825" s="3">
        <v>0</v>
      </c>
      <c r="X825">
        <v>0</v>
      </c>
    </row>
    <row r="826" spans="1:25" hidden="1" x14ac:dyDescent="0.25">
      <c r="A826" s="1" t="s">
        <v>58</v>
      </c>
      <c r="B826" s="1" t="s">
        <v>123</v>
      </c>
      <c r="C826" s="1" t="s">
        <v>27</v>
      </c>
      <c r="D826" t="s">
        <v>27</v>
      </c>
      <c r="E826" s="2">
        <v>45859</v>
      </c>
      <c r="F826" s="2">
        <v>45859</v>
      </c>
      <c r="G826" s="3">
        <v>39</v>
      </c>
      <c r="H826" s="4" t="s">
        <v>180</v>
      </c>
      <c r="I826">
        <v>0</v>
      </c>
      <c r="J826">
        <v>0</v>
      </c>
      <c r="K826">
        <v>0</v>
      </c>
      <c r="L826" s="3">
        <v>0</v>
      </c>
      <c r="M826" s="3">
        <v>0</v>
      </c>
      <c r="N826">
        <v>0</v>
      </c>
      <c r="O826">
        <v>0</v>
      </c>
      <c r="P826">
        <v>0</v>
      </c>
      <c r="Q826">
        <v>0</v>
      </c>
      <c r="R826" s="3">
        <v>0</v>
      </c>
      <c r="S826" s="3">
        <v>0</v>
      </c>
      <c r="T826">
        <v>0</v>
      </c>
      <c r="U826">
        <v>0</v>
      </c>
      <c r="V826" s="3">
        <v>0</v>
      </c>
      <c r="W826" s="3">
        <v>0</v>
      </c>
      <c r="X826">
        <v>0</v>
      </c>
      <c r="Y826" t="s">
        <v>550</v>
      </c>
    </row>
    <row r="827" spans="1:25" hidden="1" x14ac:dyDescent="0.25">
      <c r="A827" s="1" t="s">
        <v>56</v>
      </c>
      <c r="B827" s="1" t="s">
        <v>98</v>
      </c>
      <c r="C827" s="1" t="s">
        <v>37</v>
      </c>
      <c r="D827" t="s">
        <v>27</v>
      </c>
      <c r="E827" s="2">
        <v>45859</v>
      </c>
      <c r="F827" s="2">
        <v>45859</v>
      </c>
      <c r="G827" s="3">
        <v>41</v>
      </c>
      <c r="H827" t="s">
        <v>28</v>
      </c>
      <c r="I827">
        <v>72</v>
      </c>
      <c r="J827">
        <v>0</v>
      </c>
      <c r="K827">
        <v>0</v>
      </c>
      <c r="L827" s="3">
        <v>1</v>
      </c>
      <c r="M827" s="3">
        <v>0</v>
      </c>
      <c r="N827">
        <v>0</v>
      </c>
      <c r="O827">
        <v>0</v>
      </c>
      <c r="P827">
        <v>0</v>
      </c>
      <c r="Q827">
        <v>0</v>
      </c>
      <c r="R827" s="3">
        <v>0</v>
      </c>
      <c r="S827" s="3">
        <v>0</v>
      </c>
      <c r="T827">
        <v>0</v>
      </c>
      <c r="U827">
        <v>0</v>
      </c>
      <c r="V827" s="3">
        <v>0</v>
      </c>
      <c r="W827" s="3">
        <v>0</v>
      </c>
      <c r="X827">
        <v>0</v>
      </c>
    </row>
    <row r="828" spans="1:25" hidden="1" x14ac:dyDescent="0.25">
      <c r="A828" s="1" t="s">
        <v>29</v>
      </c>
      <c r="B828" s="1" t="s">
        <v>100</v>
      </c>
      <c r="C828" s="1" t="s">
        <v>245</v>
      </c>
      <c r="D828" t="s">
        <v>27</v>
      </c>
      <c r="E828" s="2">
        <v>45859</v>
      </c>
      <c r="F828" s="2">
        <v>45859</v>
      </c>
      <c r="G828" s="3">
        <v>59</v>
      </c>
      <c r="H828" t="s">
        <v>28</v>
      </c>
      <c r="I828">
        <v>42</v>
      </c>
      <c r="J828">
        <v>0</v>
      </c>
      <c r="K828">
        <v>0</v>
      </c>
      <c r="L828" s="3">
        <v>1</v>
      </c>
      <c r="M828" s="3">
        <v>0</v>
      </c>
      <c r="N828">
        <v>0</v>
      </c>
      <c r="O828">
        <v>0</v>
      </c>
      <c r="P828">
        <v>0</v>
      </c>
      <c r="Q828">
        <v>7</v>
      </c>
      <c r="R828" s="3">
        <v>0</v>
      </c>
      <c r="S828" s="3">
        <v>0</v>
      </c>
      <c r="T828">
        <v>0</v>
      </c>
      <c r="U828">
        <v>0</v>
      </c>
      <c r="V828" s="3">
        <v>0</v>
      </c>
      <c r="W828" s="3">
        <v>0</v>
      </c>
      <c r="X828">
        <v>0</v>
      </c>
    </row>
    <row r="829" spans="1:25" hidden="1" x14ac:dyDescent="0.25">
      <c r="A829" s="1" t="s">
        <v>344</v>
      </c>
      <c r="B829" s="1" t="s">
        <v>102</v>
      </c>
      <c r="C829" s="1" t="s">
        <v>35</v>
      </c>
      <c r="D829" t="s">
        <v>27</v>
      </c>
      <c r="E829" s="2">
        <v>45859</v>
      </c>
      <c r="F829" s="2">
        <v>45859</v>
      </c>
      <c r="G829" s="3">
        <v>36</v>
      </c>
      <c r="H829" s="4" t="s">
        <v>28</v>
      </c>
      <c r="I829">
        <v>41</v>
      </c>
      <c r="J829">
        <v>0</v>
      </c>
      <c r="K829">
        <v>0</v>
      </c>
      <c r="L829" s="3">
        <v>0</v>
      </c>
      <c r="M829" s="3">
        <v>0</v>
      </c>
      <c r="N829">
        <v>0</v>
      </c>
      <c r="O829">
        <v>0</v>
      </c>
      <c r="P829">
        <v>0</v>
      </c>
      <c r="Q829">
        <v>5</v>
      </c>
      <c r="R829" s="3">
        <v>0</v>
      </c>
      <c r="S829" s="3">
        <v>0</v>
      </c>
      <c r="T829">
        <v>0</v>
      </c>
      <c r="U829">
        <v>0</v>
      </c>
      <c r="V829" s="3">
        <v>0</v>
      </c>
      <c r="W829" s="3">
        <v>0</v>
      </c>
      <c r="X829">
        <v>0</v>
      </c>
    </row>
    <row r="830" spans="1:25" hidden="1" x14ac:dyDescent="0.25">
      <c r="A830" s="1" t="s">
        <v>33</v>
      </c>
      <c r="B830" s="1" t="s">
        <v>106</v>
      </c>
      <c r="C830" s="1" t="s">
        <v>57</v>
      </c>
      <c r="D830" t="s">
        <v>27</v>
      </c>
      <c r="E830" s="2">
        <v>45859</v>
      </c>
      <c r="F830" s="2">
        <v>45859</v>
      </c>
      <c r="G830" s="3">
        <v>26</v>
      </c>
      <c r="H830" t="s">
        <v>28</v>
      </c>
      <c r="I830">
        <v>58</v>
      </c>
      <c r="J830">
        <v>0</v>
      </c>
      <c r="K830">
        <v>0</v>
      </c>
      <c r="L830" s="3">
        <v>0</v>
      </c>
      <c r="M830" s="3">
        <v>0</v>
      </c>
      <c r="N830">
        <v>0</v>
      </c>
      <c r="O830">
        <v>0</v>
      </c>
      <c r="P830">
        <v>0</v>
      </c>
      <c r="Q830">
        <v>18</v>
      </c>
      <c r="R830" s="3">
        <v>0</v>
      </c>
      <c r="S830" s="3">
        <v>0</v>
      </c>
      <c r="T830">
        <v>0</v>
      </c>
      <c r="U830">
        <v>0</v>
      </c>
      <c r="V830" s="3">
        <v>0</v>
      </c>
      <c r="W830" s="3">
        <v>0</v>
      </c>
      <c r="X830">
        <v>0</v>
      </c>
    </row>
    <row r="831" spans="1:25" hidden="1" x14ac:dyDescent="0.25">
      <c r="A831" s="1" t="s">
        <v>31</v>
      </c>
      <c r="B831" s="1" t="s">
        <v>104</v>
      </c>
      <c r="C831" s="1" t="s">
        <v>32</v>
      </c>
      <c r="D831" t="s">
        <v>27</v>
      </c>
      <c r="E831" s="2">
        <v>45859</v>
      </c>
      <c r="F831" s="2">
        <v>45859</v>
      </c>
      <c r="G831" s="3">
        <v>53</v>
      </c>
      <c r="H831" s="4" t="s">
        <v>28</v>
      </c>
      <c r="I831">
        <v>96</v>
      </c>
      <c r="J831">
        <v>0</v>
      </c>
      <c r="K831">
        <v>0</v>
      </c>
      <c r="L831" s="3">
        <v>0</v>
      </c>
      <c r="M831" s="3">
        <v>0</v>
      </c>
      <c r="N831">
        <v>0</v>
      </c>
      <c r="O831">
        <v>0</v>
      </c>
      <c r="P831">
        <v>0</v>
      </c>
      <c r="Q831">
        <v>50</v>
      </c>
      <c r="R831" s="3">
        <v>0</v>
      </c>
      <c r="S831" s="3">
        <v>0</v>
      </c>
      <c r="T831">
        <v>0</v>
      </c>
      <c r="U831">
        <v>0</v>
      </c>
      <c r="V831" s="3">
        <v>0</v>
      </c>
      <c r="W831" s="3">
        <v>0</v>
      </c>
      <c r="X831">
        <v>0</v>
      </c>
      <c r="Y831" t="s">
        <v>743</v>
      </c>
    </row>
    <row r="832" spans="1:25" hidden="1" x14ac:dyDescent="0.25">
      <c r="A832" s="1" t="s">
        <v>34</v>
      </c>
      <c r="B832" s="1" t="s">
        <v>247</v>
      </c>
      <c r="C832" s="1" t="s">
        <v>489</v>
      </c>
      <c r="D832" t="s">
        <v>27</v>
      </c>
      <c r="E832" s="2">
        <v>45859</v>
      </c>
      <c r="F832" s="2">
        <v>45859</v>
      </c>
      <c r="G832" s="3">
        <v>40</v>
      </c>
      <c r="H832" t="s">
        <v>28</v>
      </c>
      <c r="I832">
        <v>55</v>
      </c>
      <c r="J832">
        <v>0</v>
      </c>
      <c r="K832">
        <v>0</v>
      </c>
      <c r="L832" s="3">
        <v>1</v>
      </c>
      <c r="M832" s="3">
        <v>0</v>
      </c>
      <c r="N832">
        <v>0</v>
      </c>
      <c r="O832">
        <v>0</v>
      </c>
      <c r="P832">
        <v>0</v>
      </c>
      <c r="Q832">
        <v>0</v>
      </c>
      <c r="R832" s="3">
        <v>0</v>
      </c>
      <c r="S832" s="3">
        <v>0</v>
      </c>
      <c r="T832">
        <v>0</v>
      </c>
      <c r="U832">
        <v>0</v>
      </c>
      <c r="V832" s="3">
        <v>0</v>
      </c>
      <c r="W832" s="3">
        <v>0</v>
      </c>
      <c r="X832">
        <v>0</v>
      </c>
    </row>
    <row r="833" spans="1:25" hidden="1" x14ac:dyDescent="0.25">
      <c r="A833" s="1" t="s">
        <v>38</v>
      </c>
      <c r="B833" s="1" t="s">
        <v>108</v>
      </c>
      <c r="C833" s="1" t="s">
        <v>39</v>
      </c>
      <c r="D833" t="s">
        <v>27</v>
      </c>
      <c r="E833" s="2">
        <v>45859</v>
      </c>
      <c r="F833" s="2">
        <v>45859</v>
      </c>
      <c r="G833" s="3">
        <v>73</v>
      </c>
      <c r="H833" t="s">
        <v>28</v>
      </c>
      <c r="I833">
        <v>34</v>
      </c>
      <c r="J833">
        <v>0</v>
      </c>
      <c r="K833">
        <v>0</v>
      </c>
      <c r="L833" s="3">
        <v>0</v>
      </c>
      <c r="M833" s="3">
        <v>0</v>
      </c>
      <c r="N833">
        <v>0</v>
      </c>
      <c r="O833">
        <v>0</v>
      </c>
      <c r="P833">
        <v>0</v>
      </c>
      <c r="Q833">
        <v>34</v>
      </c>
      <c r="R833" s="3">
        <v>0</v>
      </c>
      <c r="S833" s="3">
        <v>0</v>
      </c>
      <c r="T833">
        <v>0</v>
      </c>
      <c r="U833">
        <v>0</v>
      </c>
      <c r="V833" s="3">
        <v>0</v>
      </c>
      <c r="W833" s="3">
        <v>0</v>
      </c>
      <c r="X833">
        <v>0</v>
      </c>
    </row>
    <row r="834" spans="1:25" hidden="1" x14ac:dyDescent="0.25">
      <c r="A834" s="1" t="s">
        <v>40</v>
      </c>
      <c r="B834" s="1" t="s">
        <v>110</v>
      </c>
      <c r="C834" s="1" t="s">
        <v>40</v>
      </c>
      <c r="D834" t="s">
        <v>27</v>
      </c>
      <c r="E834" s="2">
        <v>45859</v>
      </c>
      <c r="F834" s="2">
        <v>45859</v>
      </c>
      <c r="G834" s="3">
        <v>63</v>
      </c>
      <c r="H834" t="s">
        <v>28</v>
      </c>
      <c r="I834">
        <v>36</v>
      </c>
      <c r="J834">
        <v>0</v>
      </c>
      <c r="K834">
        <v>0</v>
      </c>
      <c r="L834" s="3">
        <v>1</v>
      </c>
      <c r="M834" s="3">
        <v>0</v>
      </c>
      <c r="N834">
        <v>1</v>
      </c>
      <c r="O834">
        <v>0</v>
      </c>
      <c r="P834">
        <v>0</v>
      </c>
      <c r="Q834">
        <v>0</v>
      </c>
      <c r="R834" s="3">
        <v>0</v>
      </c>
      <c r="S834" s="3">
        <v>0</v>
      </c>
      <c r="T834">
        <v>0</v>
      </c>
      <c r="U834">
        <v>0</v>
      </c>
      <c r="V834" s="3">
        <v>0</v>
      </c>
      <c r="W834" s="3">
        <v>0</v>
      </c>
      <c r="X834">
        <v>0</v>
      </c>
    </row>
    <row r="835" spans="1:25" hidden="1" x14ac:dyDescent="0.25">
      <c r="A835" s="1" t="s">
        <v>41</v>
      </c>
      <c r="B835" s="1" t="s">
        <v>112</v>
      </c>
      <c r="C835" s="1" t="s">
        <v>42</v>
      </c>
      <c r="D835" t="s">
        <v>27</v>
      </c>
      <c r="E835" s="2">
        <v>45859</v>
      </c>
      <c r="F835" s="2">
        <v>45859</v>
      </c>
      <c r="G835" s="3">
        <v>37</v>
      </c>
      <c r="H835" t="s">
        <v>28</v>
      </c>
      <c r="I835">
        <v>54</v>
      </c>
      <c r="J835">
        <v>0</v>
      </c>
      <c r="K835">
        <v>0</v>
      </c>
      <c r="L835" s="3">
        <v>1</v>
      </c>
      <c r="M835" s="3">
        <v>0</v>
      </c>
      <c r="N835">
        <v>0</v>
      </c>
      <c r="O835">
        <v>0</v>
      </c>
      <c r="P835">
        <v>0</v>
      </c>
      <c r="Q835">
        <v>0</v>
      </c>
      <c r="R835" s="3">
        <v>0</v>
      </c>
      <c r="S835" s="3">
        <v>0</v>
      </c>
      <c r="T835">
        <v>0</v>
      </c>
      <c r="U835">
        <v>0</v>
      </c>
      <c r="V835" s="3">
        <v>0</v>
      </c>
      <c r="W835" s="3">
        <v>0</v>
      </c>
      <c r="X835">
        <v>0</v>
      </c>
    </row>
    <row r="836" spans="1:25" hidden="1" x14ac:dyDescent="0.25">
      <c r="A836" s="1" t="s">
        <v>43</v>
      </c>
      <c r="B836" s="1" t="s">
        <v>114</v>
      </c>
      <c r="C836" s="1" t="s">
        <v>27</v>
      </c>
      <c r="D836" t="s">
        <v>27</v>
      </c>
      <c r="E836" s="2">
        <v>45859</v>
      </c>
      <c r="F836" s="2">
        <v>45859</v>
      </c>
      <c r="G836" s="3">
        <v>42</v>
      </c>
      <c r="H836" t="s">
        <v>28</v>
      </c>
      <c r="I836">
        <v>59</v>
      </c>
      <c r="J836">
        <v>0</v>
      </c>
      <c r="K836">
        <v>0</v>
      </c>
      <c r="L836" s="3">
        <v>0</v>
      </c>
      <c r="M836" s="3">
        <v>0</v>
      </c>
      <c r="N836">
        <v>0</v>
      </c>
      <c r="O836">
        <v>0</v>
      </c>
      <c r="P836">
        <v>0</v>
      </c>
      <c r="Q836">
        <v>0</v>
      </c>
      <c r="R836" s="3">
        <v>0</v>
      </c>
      <c r="S836" s="3">
        <v>0</v>
      </c>
      <c r="T836">
        <v>0</v>
      </c>
      <c r="U836">
        <v>0</v>
      </c>
      <c r="V836" s="3">
        <v>0</v>
      </c>
      <c r="W836" s="3">
        <v>0</v>
      </c>
      <c r="X836">
        <v>0</v>
      </c>
    </row>
    <row r="837" spans="1:25" hidden="1" x14ac:dyDescent="0.25">
      <c r="A837" s="1" t="s">
        <v>45</v>
      </c>
      <c r="B837" s="1" t="s">
        <v>116</v>
      </c>
      <c r="C837" s="1" t="s">
        <v>46</v>
      </c>
      <c r="D837" t="s">
        <v>27</v>
      </c>
      <c r="E837" s="2">
        <v>45859</v>
      </c>
      <c r="F837" s="2">
        <v>45859</v>
      </c>
      <c r="G837" s="3">
        <v>77</v>
      </c>
      <c r="H837" s="4" t="s">
        <v>28</v>
      </c>
      <c r="I837">
        <v>65</v>
      </c>
      <c r="J837">
        <v>0</v>
      </c>
      <c r="K837">
        <v>0</v>
      </c>
      <c r="L837" s="3">
        <v>1</v>
      </c>
      <c r="M837" s="3">
        <v>0</v>
      </c>
      <c r="N837">
        <v>0</v>
      </c>
      <c r="O837">
        <v>0</v>
      </c>
      <c r="P837">
        <v>0</v>
      </c>
      <c r="Q837">
        <v>0</v>
      </c>
      <c r="R837" s="3">
        <v>0</v>
      </c>
      <c r="S837" s="3">
        <v>0</v>
      </c>
      <c r="T837">
        <v>0</v>
      </c>
      <c r="U837">
        <v>0</v>
      </c>
      <c r="V837" s="3">
        <v>0</v>
      </c>
      <c r="W837" s="3">
        <v>0</v>
      </c>
      <c r="X837">
        <v>0</v>
      </c>
    </row>
    <row r="838" spans="1:25" hidden="1" x14ac:dyDescent="0.25">
      <c r="A838" s="1" t="s">
        <v>49</v>
      </c>
      <c r="B838" s="1" t="s">
        <v>118</v>
      </c>
      <c r="C838" s="1" t="s">
        <v>50</v>
      </c>
      <c r="D838" t="s">
        <v>27</v>
      </c>
      <c r="E838" s="2">
        <v>45859</v>
      </c>
      <c r="F838" s="2">
        <v>45859</v>
      </c>
      <c r="G838" s="3">
        <v>34</v>
      </c>
      <c r="H838" t="s">
        <v>28</v>
      </c>
      <c r="I838">
        <v>42</v>
      </c>
      <c r="J838">
        <v>0</v>
      </c>
      <c r="K838">
        <v>0</v>
      </c>
      <c r="L838" s="3">
        <v>1</v>
      </c>
      <c r="M838" s="3">
        <v>1</v>
      </c>
      <c r="N838">
        <v>0</v>
      </c>
      <c r="O838">
        <v>0</v>
      </c>
      <c r="P838">
        <v>0</v>
      </c>
      <c r="Q838">
        <v>39</v>
      </c>
      <c r="R838" s="3">
        <v>0</v>
      </c>
      <c r="S838" s="3">
        <v>0</v>
      </c>
      <c r="T838">
        <v>0</v>
      </c>
      <c r="U838">
        <v>0</v>
      </c>
      <c r="V838" s="3">
        <v>0</v>
      </c>
      <c r="W838" s="3">
        <v>0</v>
      </c>
      <c r="X838">
        <v>0</v>
      </c>
    </row>
    <row r="839" spans="1:25" hidden="1" x14ac:dyDescent="0.25">
      <c r="A839" s="1" t="s">
        <v>51</v>
      </c>
      <c r="B839" s="1" t="s">
        <v>120</v>
      </c>
      <c r="C839" s="1" t="s">
        <v>55</v>
      </c>
      <c r="D839" t="s">
        <v>27</v>
      </c>
      <c r="E839" s="2">
        <v>45859</v>
      </c>
      <c r="F839" s="2">
        <v>45859</v>
      </c>
      <c r="G839" s="3">
        <v>49</v>
      </c>
      <c r="H839" t="s">
        <v>28</v>
      </c>
      <c r="I839">
        <v>94</v>
      </c>
      <c r="J839">
        <v>0</v>
      </c>
      <c r="K839">
        <v>0</v>
      </c>
      <c r="L839" s="3">
        <v>0</v>
      </c>
      <c r="M839" s="3">
        <v>0</v>
      </c>
      <c r="N839">
        <v>1</v>
      </c>
      <c r="O839">
        <v>0</v>
      </c>
      <c r="P839">
        <v>0</v>
      </c>
      <c r="Q839">
        <v>0</v>
      </c>
      <c r="R839" s="3">
        <v>0</v>
      </c>
      <c r="S839" s="3">
        <v>0</v>
      </c>
      <c r="T839">
        <v>0</v>
      </c>
      <c r="U839">
        <v>0</v>
      </c>
      <c r="V839" s="3">
        <v>0</v>
      </c>
      <c r="W839" s="3">
        <v>0</v>
      </c>
      <c r="X839">
        <v>0</v>
      </c>
    </row>
    <row r="840" spans="1:25" hidden="1" x14ac:dyDescent="0.25">
      <c r="A840" s="1" t="s">
        <v>48</v>
      </c>
      <c r="B840" s="1" t="s">
        <v>149</v>
      </c>
      <c r="C840" t="s">
        <v>27</v>
      </c>
      <c r="D840" t="s">
        <v>27</v>
      </c>
      <c r="E840" s="2">
        <v>45859</v>
      </c>
      <c r="F840" s="2">
        <v>45859</v>
      </c>
      <c r="G840" s="3">
        <v>40</v>
      </c>
      <c r="H840" t="s">
        <v>28</v>
      </c>
      <c r="I840">
        <v>48</v>
      </c>
      <c r="J840">
        <v>0</v>
      </c>
      <c r="K840">
        <v>0</v>
      </c>
      <c r="L840" s="3">
        <v>0</v>
      </c>
      <c r="M840" s="3">
        <v>0</v>
      </c>
      <c r="N840">
        <v>0</v>
      </c>
      <c r="O840">
        <v>0</v>
      </c>
      <c r="P840">
        <v>0</v>
      </c>
      <c r="Q840">
        <v>0</v>
      </c>
      <c r="R840" s="3">
        <v>0</v>
      </c>
      <c r="S840" s="3">
        <v>0</v>
      </c>
      <c r="T840">
        <v>0</v>
      </c>
      <c r="U840">
        <v>0</v>
      </c>
      <c r="V840" s="3">
        <v>0</v>
      </c>
      <c r="W840" s="3">
        <v>0</v>
      </c>
      <c r="X840">
        <v>0</v>
      </c>
    </row>
    <row r="841" spans="1:25" hidden="1" x14ac:dyDescent="0.25">
      <c r="A841" s="1" t="s">
        <v>47</v>
      </c>
      <c r="B841" s="1" t="s">
        <v>149</v>
      </c>
      <c r="C841" t="s">
        <v>27</v>
      </c>
      <c r="D841" t="s">
        <v>27</v>
      </c>
      <c r="E841" s="2">
        <v>45859</v>
      </c>
      <c r="F841" s="2">
        <v>45859</v>
      </c>
      <c r="G841" s="3">
        <v>40</v>
      </c>
      <c r="H841" t="s">
        <v>28</v>
      </c>
      <c r="I841">
        <v>48</v>
      </c>
      <c r="J841">
        <v>0</v>
      </c>
      <c r="K841">
        <v>0</v>
      </c>
      <c r="L841" s="3">
        <v>0</v>
      </c>
      <c r="M841" s="3">
        <v>0</v>
      </c>
      <c r="N841">
        <v>0</v>
      </c>
      <c r="O841">
        <v>0</v>
      </c>
      <c r="P841">
        <v>0</v>
      </c>
      <c r="Q841">
        <v>0</v>
      </c>
      <c r="R841" s="3">
        <v>0</v>
      </c>
      <c r="S841" s="3">
        <v>0</v>
      </c>
      <c r="T841">
        <v>0</v>
      </c>
      <c r="U841">
        <v>0</v>
      </c>
      <c r="V841" s="3">
        <v>0</v>
      </c>
      <c r="W841" s="3">
        <v>0</v>
      </c>
      <c r="X841">
        <v>0</v>
      </c>
    </row>
    <row r="842" spans="1:25" hidden="1" x14ac:dyDescent="0.25">
      <c r="A842" s="1" t="s">
        <v>54</v>
      </c>
      <c r="B842" s="1" t="s">
        <v>122</v>
      </c>
      <c r="C842" s="1" t="s">
        <v>241</v>
      </c>
      <c r="D842" t="s">
        <v>27</v>
      </c>
      <c r="E842" s="2">
        <v>45859</v>
      </c>
      <c r="F842" s="2">
        <v>45859</v>
      </c>
      <c r="G842" s="3">
        <v>32</v>
      </c>
      <c r="H842" s="4" t="s">
        <v>28</v>
      </c>
      <c r="I842">
        <v>36</v>
      </c>
      <c r="J842">
        <v>0</v>
      </c>
      <c r="K842">
        <v>0</v>
      </c>
      <c r="L842" s="3">
        <v>0</v>
      </c>
      <c r="M842" s="3">
        <v>0</v>
      </c>
      <c r="N842">
        <v>0</v>
      </c>
      <c r="O842">
        <v>0</v>
      </c>
      <c r="P842">
        <v>0</v>
      </c>
      <c r="Q842">
        <v>0</v>
      </c>
      <c r="R842" s="3">
        <v>0</v>
      </c>
      <c r="S842" s="3">
        <v>0</v>
      </c>
      <c r="T842">
        <v>0</v>
      </c>
      <c r="U842">
        <v>0</v>
      </c>
      <c r="V842" s="3">
        <v>0</v>
      </c>
      <c r="W842" s="3">
        <v>0</v>
      </c>
      <c r="X842">
        <v>0</v>
      </c>
    </row>
    <row r="843" spans="1:25" hidden="1" x14ac:dyDescent="0.25">
      <c r="A843" s="1" t="s">
        <v>27</v>
      </c>
      <c r="B843" s="1" t="s">
        <v>123</v>
      </c>
      <c r="C843" s="1" t="s">
        <v>52</v>
      </c>
      <c r="D843" t="s">
        <v>27</v>
      </c>
      <c r="E843" s="2">
        <v>45859</v>
      </c>
      <c r="F843" s="2">
        <v>45859</v>
      </c>
      <c r="G843" s="3">
        <v>33</v>
      </c>
      <c r="H843" s="4" t="s">
        <v>505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5" hidden="1" x14ac:dyDescent="0.25">
      <c r="A844" s="1" t="s">
        <v>27</v>
      </c>
      <c r="B844" s="1" t="s">
        <v>98</v>
      </c>
      <c r="C844" s="1" t="s">
        <v>44</v>
      </c>
      <c r="D844" t="s">
        <v>27</v>
      </c>
      <c r="E844" s="2">
        <v>45859</v>
      </c>
      <c r="F844" s="2">
        <v>45859</v>
      </c>
      <c r="G844" s="3">
        <v>34</v>
      </c>
      <c r="H844" s="4" t="s">
        <v>180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5" hidden="1" x14ac:dyDescent="0.25">
      <c r="A845" s="1" t="s">
        <v>36</v>
      </c>
      <c r="B845" s="1" t="s">
        <v>114</v>
      </c>
      <c r="C845" s="1" t="s">
        <v>27</v>
      </c>
      <c r="D845" t="s">
        <v>27</v>
      </c>
      <c r="E845" s="2">
        <v>45859</v>
      </c>
      <c r="F845" s="2">
        <v>45859</v>
      </c>
      <c r="G845" s="3">
        <v>42</v>
      </c>
      <c r="H845" t="s">
        <v>28</v>
      </c>
      <c r="I845">
        <v>63</v>
      </c>
      <c r="J845">
        <v>0</v>
      </c>
      <c r="K845">
        <v>0</v>
      </c>
      <c r="L845" s="3">
        <v>0</v>
      </c>
      <c r="M845" s="3">
        <v>0</v>
      </c>
      <c r="N845">
        <v>0</v>
      </c>
      <c r="O845">
        <v>0</v>
      </c>
      <c r="P845">
        <v>0</v>
      </c>
      <c r="Q845">
        <v>0</v>
      </c>
      <c r="R845" s="3">
        <v>0</v>
      </c>
      <c r="S845" s="3">
        <v>0</v>
      </c>
      <c r="T845">
        <v>0</v>
      </c>
      <c r="U845">
        <v>0</v>
      </c>
      <c r="V845" s="3">
        <v>0</v>
      </c>
      <c r="W845" s="3">
        <v>0</v>
      </c>
      <c r="X845">
        <v>0</v>
      </c>
    </row>
    <row r="846" spans="1:25" hidden="1" x14ac:dyDescent="0.25">
      <c r="A846" s="1" t="s">
        <v>25</v>
      </c>
      <c r="B846" s="1" t="s">
        <v>96</v>
      </c>
      <c r="C846" s="1" t="s">
        <v>27</v>
      </c>
      <c r="D846" s="1" t="s">
        <v>27</v>
      </c>
      <c r="E846" s="2">
        <v>45860</v>
      </c>
      <c r="F846" s="2">
        <v>45860</v>
      </c>
      <c r="G846" s="3">
        <v>43</v>
      </c>
      <c r="H846" s="4" t="s">
        <v>28</v>
      </c>
      <c r="I846">
        <v>52</v>
      </c>
      <c r="J846">
        <v>0</v>
      </c>
      <c r="K846">
        <v>0</v>
      </c>
      <c r="L846" s="3">
        <v>1</v>
      </c>
      <c r="M846" s="3">
        <v>0</v>
      </c>
      <c r="N846">
        <v>1</v>
      </c>
      <c r="O846">
        <v>0</v>
      </c>
      <c r="P846">
        <v>0</v>
      </c>
      <c r="Q846">
        <v>0</v>
      </c>
      <c r="R846" s="3">
        <v>0</v>
      </c>
      <c r="S846" s="3">
        <v>0</v>
      </c>
      <c r="T846">
        <v>0</v>
      </c>
      <c r="U846">
        <v>0</v>
      </c>
      <c r="V846" s="3">
        <v>0</v>
      </c>
      <c r="W846" s="3">
        <v>0</v>
      </c>
      <c r="X846">
        <v>0</v>
      </c>
      <c r="Y846" t="s">
        <v>783</v>
      </c>
    </row>
    <row r="847" spans="1:25" hidden="1" x14ac:dyDescent="0.25">
      <c r="A847" s="1" t="s">
        <v>56</v>
      </c>
      <c r="B847" s="1" t="s">
        <v>98</v>
      </c>
      <c r="C847" s="1" t="s">
        <v>37</v>
      </c>
      <c r="D847" s="1" t="s">
        <v>27</v>
      </c>
      <c r="E847" s="2">
        <v>45860</v>
      </c>
      <c r="F847" s="2">
        <v>45860</v>
      </c>
      <c r="G847" s="3">
        <v>29</v>
      </c>
      <c r="H847" s="4" t="s">
        <v>28</v>
      </c>
      <c r="I847">
        <v>77</v>
      </c>
      <c r="J847">
        <v>0</v>
      </c>
      <c r="K847">
        <v>0</v>
      </c>
      <c r="L847" s="3">
        <v>1</v>
      </c>
      <c r="M847" s="3">
        <v>0</v>
      </c>
      <c r="N847">
        <v>0</v>
      </c>
      <c r="O847">
        <v>0</v>
      </c>
      <c r="P847">
        <v>0</v>
      </c>
      <c r="Q847">
        <v>0</v>
      </c>
      <c r="R847" s="3">
        <v>0</v>
      </c>
      <c r="S847" s="3">
        <v>0</v>
      </c>
      <c r="T847">
        <v>0</v>
      </c>
      <c r="U847">
        <v>0</v>
      </c>
      <c r="V847" s="3">
        <v>0</v>
      </c>
      <c r="W847" s="3">
        <v>0</v>
      </c>
      <c r="X847">
        <v>0</v>
      </c>
      <c r="Y847" t="s">
        <v>784</v>
      </c>
    </row>
    <row r="848" spans="1:25" hidden="1" x14ac:dyDescent="0.25">
      <c r="A848" s="1" t="s">
        <v>29</v>
      </c>
      <c r="B848" s="1" t="s">
        <v>100</v>
      </c>
      <c r="C848" s="1" t="s">
        <v>245</v>
      </c>
      <c r="D848" s="1" t="s">
        <v>27</v>
      </c>
      <c r="E848" s="2">
        <v>45860</v>
      </c>
      <c r="F848" s="2">
        <v>45860</v>
      </c>
      <c r="G848" s="3">
        <v>65</v>
      </c>
      <c r="H848" s="4" t="s">
        <v>28</v>
      </c>
      <c r="I848">
        <v>53</v>
      </c>
      <c r="J848">
        <v>0</v>
      </c>
      <c r="K848">
        <v>0</v>
      </c>
      <c r="L848" s="3">
        <v>0</v>
      </c>
      <c r="M848" s="3">
        <v>0</v>
      </c>
      <c r="N848">
        <v>0</v>
      </c>
      <c r="O848">
        <v>0</v>
      </c>
      <c r="P848">
        <v>0</v>
      </c>
      <c r="Q848">
        <v>0</v>
      </c>
      <c r="R848" s="3">
        <v>0</v>
      </c>
      <c r="S848" s="3">
        <v>0</v>
      </c>
      <c r="T848">
        <v>0</v>
      </c>
      <c r="U848">
        <v>0</v>
      </c>
      <c r="V848" s="3">
        <v>0</v>
      </c>
      <c r="W848" s="3">
        <v>0</v>
      </c>
      <c r="X848">
        <v>0</v>
      </c>
      <c r="Y848" t="s">
        <v>785</v>
      </c>
    </row>
    <row r="849" spans="1:25" hidden="1" x14ac:dyDescent="0.25">
      <c r="A849" s="1" t="s">
        <v>344</v>
      </c>
      <c r="B849" s="1" t="s">
        <v>102</v>
      </c>
      <c r="C849" s="1" t="s">
        <v>35</v>
      </c>
      <c r="D849" s="1" t="s">
        <v>27</v>
      </c>
      <c r="E849" s="2">
        <v>45860</v>
      </c>
      <c r="F849" s="2">
        <v>45860</v>
      </c>
      <c r="G849" s="3">
        <v>22</v>
      </c>
      <c r="H849" s="4" t="s">
        <v>28</v>
      </c>
      <c r="I849">
        <v>43</v>
      </c>
      <c r="J849">
        <v>0</v>
      </c>
      <c r="K849">
        <v>0</v>
      </c>
      <c r="L849" s="3">
        <v>0</v>
      </c>
      <c r="M849" s="3">
        <v>0</v>
      </c>
      <c r="N849">
        <v>0</v>
      </c>
      <c r="O849">
        <v>0</v>
      </c>
      <c r="P849">
        <v>0</v>
      </c>
      <c r="Q849">
        <v>0</v>
      </c>
      <c r="R849" s="3">
        <v>0</v>
      </c>
      <c r="S849" s="3">
        <v>0</v>
      </c>
      <c r="T849">
        <v>0</v>
      </c>
      <c r="U849">
        <v>0</v>
      </c>
      <c r="V849" s="3">
        <v>0</v>
      </c>
      <c r="W849" s="3">
        <v>0</v>
      </c>
      <c r="X849">
        <v>0</v>
      </c>
      <c r="Y849" t="s">
        <v>786</v>
      </c>
    </row>
    <row r="850" spans="1:25" hidden="1" x14ac:dyDescent="0.25">
      <c r="A850" s="1" t="s">
        <v>31</v>
      </c>
      <c r="B850" s="1" t="s">
        <v>104</v>
      </c>
      <c r="C850" s="1" t="s">
        <v>32</v>
      </c>
      <c r="D850" s="1" t="s">
        <v>27</v>
      </c>
      <c r="E850" s="2">
        <v>45860</v>
      </c>
      <c r="F850" s="2">
        <v>45860</v>
      </c>
      <c r="G850" s="3">
        <v>53</v>
      </c>
      <c r="H850" s="4" t="s">
        <v>28</v>
      </c>
      <c r="I850">
        <v>67</v>
      </c>
      <c r="J850">
        <v>0</v>
      </c>
      <c r="K850">
        <v>0</v>
      </c>
      <c r="L850" s="3">
        <v>0</v>
      </c>
      <c r="M850" s="3">
        <v>0</v>
      </c>
      <c r="N850">
        <v>0</v>
      </c>
      <c r="O850">
        <v>0</v>
      </c>
      <c r="P850">
        <v>0</v>
      </c>
      <c r="Q850">
        <v>50</v>
      </c>
      <c r="R850" s="3">
        <v>0</v>
      </c>
      <c r="S850" s="3">
        <v>0</v>
      </c>
      <c r="T850">
        <v>0</v>
      </c>
      <c r="U850">
        <v>0</v>
      </c>
      <c r="V850" s="3">
        <v>0</v>
      </c>
      <c r="W850" s="3">
        <v>0</v>
      </c>
      <c r="X850">
        <v>0</v>
      </c>
      <c r="Y850" t="s">
        <v>787</v>
      </c>
    </row>
    <row r="851" spans="1:25" hidden="1" x14ac:dyDescent="0.25">
      <c r="A851" s="1" t="s">
        <v>34</v>
      </c>
      <c r="B851" s="1" t="s">
        <v>247</v>
      </c>
      <c r="C851" s="1" t="s">
        <v>489</v>
      </c>
      <c r="D851" s="1" t="s">
        <v>27</v>
      </c>
      <c r="E851" s="2">
        <v>45860</v>
      </c>
      <c r="F851" s="2">
        <v>45860</v>
      </c>
      <c r="G851" s="3">
        <v>27</v>
      </c>
      <c r="H851" s="4" t="s">
        <v>28</v>
      </c>
      <c r="I851">
        <v>26</v>
      </c>
      <c r="J851">
        <v>0</v>
      </c>
      <c r="K851">
        <v>0</v>
      </c>
      <c r="L851" s="3">
        <v>0</v>
      </c>
      <c r="M851" s="3">
        <v>0</v>
      </c>
      <c r="N851">
        <v>0</v>
      </c>
      <c r="O851">
        <v>0</v>
      </c>
      <c r="P851">
        <v>0</v>
      </c>
      <c r="Q851">
        <v>0</v>
      </c>
      <c r="R851" s="3">
        <v>0</v>
      </c>
      <c r="S851" s="3">
        <v>0</v>
      </c>
      <c r="T851">
        <v>0</v>
      </c>
      <c r="U851">
        <v>0</v>
      </c>
      <c r="V851" s="3">
        <v>0</v>
      </c>
      <c r="W851" s="3">
        <v>0</v>
      </c>
      <c r="X851">
        <v>0</v>
      </c>
      <c r="Y851" t="s">
        <v>788</v>
      </c>
    </row>
    <row r="852" spans="1:25" hidden="1" x14ac:dyDescent="0.25">
      <c r="A852" s="1" t="s">
        <v>38</v>
      </c>
      <c r="B852" s="1" t="s">
        <v>108</v>
      </c>
      <c r="C852" s="1" t="s">
        <v>39</v>
      </c>
      <c r="D852" s="1" t="s">
        <v>27</v>
      </c>
      <c r="E852" s="2">
        <v>45860</v>
      </c>
      <c r="F852" s="2">
        <v>45860</v>
      </c>
      <c r="G852" s="3">
        <v>58</v>
      </c>
      <c r="H852" s="4" t="s">
        <v>28</v>
      </c>
      <c r="I852">
        <v>41</v>
      </c>
      <c r="J852">
        <v>0</v>
      </c>
      <c r="K852">
        <v>0</v>
      </c>
      <c r="L852" s="3">
        <v>0</v>
      </c>
      <c r="M852" s="3">
        <v>0</v>
      </c>
      <c r="N852">
        <v>0</v>
      </c>
      <c r="O852">
        <v>0</v>
      </c>
      <c r="P852">
        <v>0</v>
      </c>
      <c r="Q852">
        <v>41</v>
      </c>
      <c r="R852" s="3">
        <v>0</v>
      </c>
      <c r="S852" s="3">
        <v>0</v>
      </c>
      <c r="T852">
        <v>0</v>
      </c>
      <c r="U852">
        <v>0</v>
      </c>
      <c r="V852" s="3">
        <v>0</v>
      </c>
      <c r="W852" s="3">
        <v>0</v>
      </c>
      <c r="X852">
        <v>0</v>
      </c>
      <c r="Y852" t="s">
        <v>789</v>
      </c>
    </row>
    <row r="853" spans="1:25" hidden="1" x14ac:dyDescent="0.25">
      <c r="A853" s="1" t="s">
        <v>40</v>
      </c>
      <c r="B853" s="1" t="s">
        <v>110</v>
      </c>
      <c r="C853" s="1" t="s">
        <v>40</v>
      </c>
      <c r="D853" s="1" t="s">
        <v>27</v>
      </c>
      <c r="E853" s="2">
        <v>45860</v>
      </c>
      <c r="F853" s="2">
        <v>45860</v>
      </c>
      <c r="G853" s="3">
        <v>35</v>
      </c>
      <c r="H853" s="4" t="s">
        <v>28</v>
      </c>
      <c r="I853">
        <v>19</v>
      </c>
      <c r="J853">
        <v>0</v>
      </c>
      <c r="K853">
        <v>0</v>
      </c>
      <c r="L853" s="3">
        <v>0</v>
      </c>
      <c r="M853" s="3">
        <v>0</v>
      </c>
      <c r="N853">
        <v>0</v>
      </c>
      <c r="O853">
        <v>0</v>
      </c>
      <c r="P853">
        <v>0</v>
      </c>
      <c r="Q853">
        <v>0</v>
      </c>
      <c r="R853" s="3">
        <v>0</v>
      </c>
      <c r="S853" s="3">
        <v>0</v>
      </c>
      <c r="T853">
        <v>0</v>
      </c>
      <c r="U853">
        <v>0</v>
      </c>
      <c r="V853" s="3">
        <v>0</v>
      </c>
      <c r="W853" s="3">
        <v>0</v>
      </c>
      <c r="X853">
        <v>0</v>
      </c>
      <c r="Y853" t="s">
        <v>790</v>
      </c>
    </row>
    <row r="854" spans="1:25" hidden="1" x14ac:dyDescent="0.25">
      <c r="A854" s="1" t="s">
        <v>41</v>
      </c>
      <c r="B854" s="1" t="s">
        <v>112</v>
      </c>
      <c r="C854" s="1" t="s">
        <v>42</v>
      </c>
      <c r="D854" s="1" t="s">
        <v>27</v>
      </c>
      <c r="E854" s="2">
        <v>45860</v>
      </c>
      <c r="F854" s="2">
        <v>45860</v>
      </c>
      <c r="G854" s="3">
        <v>32</v>
      </c>
      <c r="H854" s="4" t="s">
        <v>28</v>
      </c>
      <c r="I854">
        <v>34</v>
      </c>
      <c r="J854">
        <v>0</v>
      </c>
      <c r="K854">
        <v>0</v>
      </c>
      <c r="L854" s="3">
        <v>1</v>
      </c>
      <c r="M854" s="3">
        <v>0</v>
      </c>
      <c r="N854">
        <v>0</v>
      </c>
      <c r="O854">
        <v>0</v>
      </c>
      <c r="P854">
        <v>0</v>
      </c>
      <c r="Q854">
        <v>0</v>
      </c>
      <c r="R854" s="3">
        <v>0</v>
      </c>
      <c r="S854" s="3">
        <v>0</v>
      </c>
      <c r="T854">
        <v>0</v>
      </c>
      <c r="U854">
        <v>0</v>
      </c>
      <c r="V854" s="3">
        <v>0</v>
      </c>
      <c r="W854" s="3">
        <v>0</v>
      </c>
      <c r="X854">
        <v>0</v>
      </c>
      <c r="Y854" t="s">
        <v>791</v>
      </c>
    </row>
    <row r="855" spans="1:25" hidden="1" x14ac:dyDescent="0.25">
      <c r="A855" s="1" t="s">
        <v>43</v>
      </c>
      <c r="B855" s="1" t="s">
        <v>114</v>
      </c>
      <c r="C855" s="1" t="s">
        <v>44</v>
      </c>
      <c r="D855" s="1" t="s">
        <v>27</v>
      </c>
      <c r="E855" s="2">
        <v>45860</v>
      </c>
      <c r="F855" s="2">
        <v>45860</v>
      </c>
      <c r="G855" s="3">
        <v>27</v>
      </c>
      <c r="H855" s="4" t="s">
        <v>28</v>
      </c>
      <c r="I855">
        <v>85</v>
      </c>
      <c r="J855">
        <v>0</v>
      </c>
      <c r="K855">
        <v>0</v>
      </c>
      <c r="L855" s="3">
        <v>1</v>
      </c>
      <c r="M855" s="3">
        <v>0</v>
      </c>
      <c r="N855">
        <v>0</v>
      </c>
      <c r="O855">
        <v>0</v>
      </c>
      <c r="P855">
        <v>0</v>
      </c>
      <c r="Q855">
        <v>0</v>
      </c>
      <c r="R855" s="3">
        <v>0</v>
      </c>
      <c r="S855" s="3">
        <v>0</v>
      </c>
      <c r="T855">
        <v>0</v>
      </c>
      <c r="U855">
        <v>0</v>
      </c>
      <c r="V855" s="3">
        <v>0</v>
      </c>
      <c r="W855" s="3">
        <v>0</v>
      </c>
      <c r="X855">
        <v>0</v>
      </c>
      <c r="Y855" t="s">
        <v>792</v>
      </c>
    </row>
    <row r="856" spans="1:25" hidden="1" x14ac:dyDescent="0.25">
      <c r="A856" s="1" t="s">
        <v>45</v>
      </c>
      <c r="B856" s="1" t="s">
        <v>116</v>
      </c>
      <c r="C856" s="1" t="s">
        <v>46</v>
      </c>
      <c r="D856" s="1" t="s">
        <v>27</v>
      </c>
      <c r="E856" s="2">
        <v>45860</v>
      </c>
      <c r="F856" s="2">
        <v>45860</v>
      </c>
      <c r="G856" s="3">
        <v>61</v>
      </c>
      <c r="H856" s="4" t="s">
        <v>28</v>
      </c>
      <c r="I856">
        <v>41</v>
      </c>
      <c r="J856">
        <v>0</v>
      </c>
      <c r="K856">
        <v>0</v>
      </c>
      <c r="L856" s="3">
        <v>0</v>
      </c>
      <c r="M856" s="3">
        <v>0</v>
      </c>
      <c r="N856">
        <v>0</v>
      </c>
      <c r="O856">
        <v>0</v>
      </c>
      <c r="P856">
        <v>0</v>
      </c>
      <c r="Q856">
        <v>0</v>
      </c>
      <c r="R856" s="3">
        <v>0</v>
      </c>
      <c r="S856" s="3">
        <v>0</v>
      </c>
      <c r="T856">
        <v>0</v>
      </c>
      <c r="U856">
        <v>0</v>
      </c>
      <c r="V856" s="3">
        <v>0</v>
      </c>
      <c r="W856" s="3">
        <v>0</v>
      </c>
      <c r="X856">
        <v>0</v>
      </c>
      <c r="Y856" t="s">
        <v>793</v>
      </c>
    </row>
    <row r="857" spans="1:25" hidden="1" x14ac:dyDescent="0.25">
      <c r="A857" s="1" t="s">
        <v>49</v>
      </c>
      <c r="B857" s="1" t="s">
        <v>118</v>
      </c>
      <c r="C857" s="1" t="s">
        <v>50</v>
      </c>
      <c r="D857" s="1" t="s">
        <v>27</v>
      </c>
      <c r="E857" s="2">
        <v>45860</v>
      </c>
      <c r="F857" s="2">
        <v>45860</v>
      </c>
      <c r="G857" s="3">
        <v>69</v>
      </c>
      <c r="H857" s="4" t="s">
        <v>28</v>
      </c>
      <c r="I857">
        <v>31</v>
      </c>
      <c r="J857">
        <v>0</v>
      </c>
      <c r="K857">
        <v>0</v>
      </c>
      <c r="L857" s="3">
        <v>1</v>
      </c>
      <c r="M857" s="3">
        <v>1</v>
      </c>
      <c r="N857">
        <v>0</v>
      </c>
      <c r="O857">
        <v>1</v>
      </c>
      <c r="P857">
        <v>0</v>
      </c>
      <c r="Q857">
        <v>34</v>
      </c>
      <c r="R857" s="3">
        <v>0</v>
      </c>
      <c r="S857" s="3">
        <v>0</v>
      </c>
      <c r="T857">
        <v>0</v>
      </c>
      <c r="U857">
        <v>0</v>
      </c>
      <c r="V857" s="3">
        <v>0</v>
      </c>
      <c r="W857" s="3">
        <v>0</v>
      </c>
      <c r="X857">
        <v>0</v>
      </c>
      <c r="Y857" t="s">
        <v>794</v>
      </c>
    </row>
    <row r="858" spans="1:25" hidden="1" x14ac:dyDescent="0.25">
      <c r="A858" s="1" t="s">
        <v>54</v>
      </c>
      <c r="B858" s="1" t="s">
        <v>122</v>
      </c>
      <c r="C858" s="1" t="s">
        <v>52</v>
      </c>
      <c r="D858" s="1" t="s">
        <v>27</v>
      </c>
      <c r="E858" s="2">
        <v>45860</v>
      </c>
      <c r="F858" s="2">
        <v>45860</v>
      </c>
      <c r="G858" s="3">
        <v>51</v>
      </c>
      <c r="H858" s="4" t="s">
        <v>28</v>
      </c>
      <c r="I858">
        <v>44</v>
      </c>
      <c r="J858">
        <v>0</v>
      </c>
      <c r="K858">
        <v>0</v>
      </c>
      <c r="L858" s="3">
        <v>0</v>
      </c>
      <c r="M858" s="3">
        <v>0</v>
      </c>
      <c r="N858">
        <v>0</v>
      </c>
      <c r="O858">
        <v>0</v>
      </c>
      <c r="P858">
        <v>0</v>
      </c>
      <c r="Q858">
        <v>2</v>
      </c>
      <c r="R858" s="3">
        <v>0</v>
      </c>
      <c r="S858" s="3">
        <v>0</v>
      </c>
      <c r="T858">
        <v>0</v>
      </c>
      <c r="U858">
        <v>0</v>
      </c>
      <c r="V858" s="3">
        <v>0</v>
      </c>
      <c r="W858" s="3">
        <v>0</v>
      </c>
      <c r="X858">
        <v>0</v>
      </c>
      <c r="Y858" t="s">
        <v>795</v>
      </c>
    </row>
    <row r="859" spans="1:25" hidden="1" x14ac:dyDescent="0.25">
      <c r="A859" s="1" t="s">
        <v>48</v>
      </c>
      <c r="B859" s="1" t="s">
        <v>149</v>
      </c>
      <c r="C859" s="1" t="s">
        <v>27</v>
      </c>
      <c r="D859" s="1" t="s">
        <v>27</v>
      </c>
      <c r="E859" s="2">
        <v>45860</v>
      </c>
      <c r="F859" s="2">
        <v>45860</v>
      </c>
      <c r="G859" s="3">
        <v>38</v>
      </c>
      <c r="H859" s="4" t="s">
        <v>28</v>
      </c>
      <c r="I859">
        <v>41</v>
      </c>
      <c r="J859">
        <v>0</v>
      </c>
      <c r="K859">
        <v>0</v>
      </c>
      <c r="L859" s="3">
        <v>0</v>
      </c>
      <c r="M859" s="3">
        <v>0</v>
      </c>
      <c r="N859">
        <v>0</v>
      </c>
      <c r="O859">
        <v>0</v>
      </c>
      <c r="P859">
        <v>0</v>
      </c>
      <c r="Q859">
        <v>4</v>
      </c>
      <c r="R859" s="3">
        <v>0</v>
      </c>
      <c r="S859" s="3">
        <v>0</v>
      </c>
      <c r="T859">
        <v>0</v>
      </c>
      <c r="U859">
        <v>0</v>
      </c>
      <c r="V859" s="3">
        <v>0</v>
      </c>
      <c r="W859" s="3">
        <v>0</v>
      </c>
      <c r="X859">
        <v>0</v>
      </c>
      <c r="Y859" t="s">
        <v>796</v>
      </c>
    </row>
    <row r="860" spans="1:25" hidden="1" x14ac:dyDescent="0.25">
      <c r="A860" s="1" t="s">
        <v>53</v>
      </c>
      <c r="B860" s="1" t="s">
        <v>142</v>
      </c>
      <c r="C860" s="1" t="s">
        <v>39</v>
      </c>
      <c r="D860" s="1" t="s">
        <v>27</v>
      </c>
      <c r="E860" s="2">
        <v>45860</v>
      </c>
      <c r="F860" s="2">
        <v>45860</v>
      </c>
      <c r="G860" s="3">
        <v>29</v>
      </c>
      <c r="H860" s="4" t="s">
        <v>28</v>
      </c>
      <c r="I860">
        <v>24</v>
      </c>
      <c r="J860">
        <v>0</v>
      </c>
      <c r="K860">
        <v>0</v>
      </c>
      <c r="L860" s="3">
        <v>1</v>
      </c>
      <c r="M860" s="3">
        <v>0</v>
      </c>
      <c r="N860">
        <v>0</v>
      </c>
      <c r="O860">
        <v>0</v>
      </c>
      <c r="P860">
        <v>0</v>
      </c>
      <c r="Q860">
        <v>24</v>
      </c>
      <c r="R860" s="3">
        <v>0</v>
      </c>
      <c r="S860" s="3">
        <v>0</v>
      </c>
      <c r="T860">
        <v>0</v>
      </c>
      <c r="U860">
        <v>0</v>
      </c>
      <c r="V860" s="3">
        <v>0</v>
      </c>
      <c r="W860" s="3">
        <v>0</v>
      </c>
      <c r="X860">
        <v>0</v>
      </c>
      <c r="Y860" t="s">
        <v>797</v>
      </c>
    </row>
    <row r="861" spans="1:25" hidden="1" x14ac:dyDescent="0.25">
      <c r="A861" s="1" t="s">
        <v>36</v>
      </c>
      <c r="B861" s="1" t="s">
        <v>96</v>
      </c>
      <c r="C861" s="1" t="s">
        <v>27</v>
      </c>
      <c r="D861" s="1" t="s">
        <v>27</v>
      </c>
      <c r="E861" s="2">
        <v>45860</v>
      </c>
      <c r="F861" s="2">
        <v>45860</v>
      </c>
      <c r="G861" s="3">
        <v>43</v>
      </c>
      <c r="H861" s="4" t="s">
        <v>28</v>
      </c>
      <c r="I861">
        <v>52</v>
      </c>
      <c r="J861">
        <v>0</v>
      </c>
      <c r="K861">
        <v>0</v>
      </c>
      <c r="L861" s="3">
        <v>1</v>
      </c>
      <c r="M861" s="3">
        <v>0</v>
      </c>
      <c r="N861">
        <v>1</v>
      </c>
      <c r="O861">
        <v>0</v>
      </c>
      <c r="P861">
        <v>0</v>
      </c>
      <c r="Q861">
        <v>0</v>
      </c>
      <c r="R861" s="3">
        <v>0</v>
      </c>
      <c r="S861" s="3">
        <v>0</v>
      </c>
      <c r="T861">
        <v>0</v>
      </c>
      <c r="U861">
        <v>0</v>
      </c>
      <c r="V861" s="3">
        <v>0</v>
      </c>
      <c r="W861" s="3">
        <v>0</v>
      </c>
      <c r="X861">
        <v>0</v>
      </c>
      <c r="Y861" t="s">
        <v>783</v>
      </c>
    </row>
    <row r="862" spans="1:25" hidden="1" x14ac:dyDescent="0.25">
      <c r="A862" s="1" t="s">
        <v>51</v>
      </c>
      <c r="B862" s="1" t="s">
        <v>149</v>
      </c>
      <c r="C862" s="1" t="s">
        <v>27</v>
      </c>
      <c r="D862" s="1" t="s">
        <v>27</v>
      </c>
      <c r="E862" s="2">
        <v>45860</v>
      </c>
      <c r="F862" s="2">
        <v>45860</v>
      </c>
      <c r="G862" s="3">
        <v>38</v>
      </c>
      <c r="H862" s="4" t="s">
        <v>28</v>
      </c>
      <c r="I862">
        <v>41</v>
      </c>
      <c r="J862">
        <v>0</v>
      </c>
      <c r="K862">
        <v>0</v>
      </c>
      <c r="L862" s="3">
        <v>0</v>
      </c>
      <c r="M862" s="3">
        <v>0</v>
      </c>
      <c r="N862">
        <v>0</v>
      </c>
      <c r="O862">
        <v>0</v>
      </c>
      <c r="P862">
        <v>0</v>
      </c>
      <c r="Q862">
        <v>0</v>
      </c>
      <c r="R862" s="3">
        <v>0</v>
      </c>
      <c r="S862" s="3">
        <v>0</v>
      </c>
      <c r="T862">
        <v>0</v>
      </c>
      <c r="U862">
        <v>0</v>
      </c>
      <c r="V862" s="3">
        <v>0</v>
      </c>
      <c r="W862" s="3">
        <v>0</v>
      </c>
      <c r="X862">
        <v>0</v>
      </c>
      <c r="Y862" t="s">
        <v>796</v>
      </c>
    </row>
    <row r="863" spans="1:25" hidden="1" x14ac:dyDescent="0.25">
      <c r="A863" s="1" t="s">
        <v>47</v>
      </c>
      <c r="B863" s="1" t="s">
        <v>739</v>
      </c>
      <c r="C863" s="1" t="s">
        <v>27</v>
      </c>
      <c r="D863" s="1" t="s">
        <v>27</v>
      </c>
      <c r="E863" s="2">
        <v>45860</v>
      </c>
      <c r="F863" s="2">
        <v>45860</v>
      </c>
      <c r="G863" s="3">
        <v>38</v>
      </c>
      <c r="H863" s="4" t="s">
        <v>180</v>
      </c>
      <c r="I863" s="4">
        <v>0</v>
      </c>
      <c r="J863">
        <v>0</v>
      </c>
      <c r="K863">
        <v>0</v>
      </c>
      <c r="L863" s="3">
        <v>0</v>
      </c>
      <c r="M863" s="3">
        <v>0</v>
      </c>
      <c r="N863">
        <v>0</v>
      </c>
      <c r="O863">
        <v>0</v>
      </c>
      <c r="P863">
        <v>0</v>
      </c>
      <c r="Q863">
        <v>0</v>
      </c>
      <c r="R863" s="3">
        <v>0</v>
      </c>
      <c r="S863" s="3">
        <v>0</v>
      </c>
      <c r="T863">
        <v>0</v>
      </c>
      <c r="U863">
        <v>0</v>
      </c>
      <c r="V863" s="3">
        <v>0</v>
      </c>
      <c r="W863" s="3">
        <v>0</v>
      </c>
      <c r="X863">
        <v>0</v>
      </c>
      <c r="Y863" t="s">
        <v>796</v>
      </c>
    </row>
    <row r="864" spans="1:25" hidden="1" x14ac:dyDescent="0.25">
      <c r="A864" s="1" t="s">
        <v>27</v>
      </c>
      <c r="B864" s="1" t="s">
        <v>755</v>
      </c>
      <c r="C864" s="1" t="s">
        <v>55</v>
      </c>
      <c r="D864" s="1"/>
      <c r="E864" s="2">
        <v>45860</v>
      </c>
      <c r="F864" s="2">
        <v>45860</v>
      </c>
      <c r="G864" s="3">
        <v>39</v>
      </c>
      <c r="H864" s="4" t="s">
        <v>250</v>
      </c>
      <c r="I864">
        <v>0</v>
      </c>
      <c r="J864">
        <v>0</v>
      </c>
      <c r="K864">
        <v>0</v>
      </c>
      <c r="L864" s="3">
        <v>0</v>
      </c>
      <c r="M864" s="3">
        <v>0</v>
      </c>
      <c r="N864">
        <v>0</v>
      </c>
      <c r="O864">
        <v>0</v>
      </c>
      <c r="P864">
        <v>0</v>
      </c>
      <c r="Q864">
        <v>0</v>
      </c>
      <c r="R864" s="3">
        <v>0</v>
      </c>
      <c r="S864" s="3">
        <v>0</v>
      </c>
      <c r="T864">
        <v>0</v>
      </c>
      <c r="U864">
        <v>0</v>
      </c>
      <c r="V864" s="3">
        <v>0</v>
      </c>
      <c r="W864" s="3">
        <v>0</v>
      </c>
      <c r="X864">
        <v>0</v>
      </c>
      <c r="Y864" t="s">
        <v>796</v>
      </c>
    </row>
    <row r="865" spans="1:25" hidden="1" x14ac:dyDescent="0.25">
      <c r="A865" s="1" t="s">
        <v>58</v>
      </c>
      <c r="B865" s="1" t="s">
        <v>758</v>
      </c>
      <c r="C865" s="1" t="s">
        <v>27</v>
      </c>
      <c r="D865" s="1" t="s">
        <v>27</v>
      </c>
      <c r="E865" s="2">
        <v>45860</v>
      </c>
      <c r="F865" s="2">
        <v>45860</v>
      </c>
      <c r="G865" s="3">
        <v>40</v>
      </c>
      <c r="H865" s="4" t="s">
        <v>248</v>
      </c>
      <c r="I865">
        <v>0</v>
      </c>
      <c r="J865">
        <v>0</v>
      </c>
      <c r="K865">
        <v>0</v>
      </c>
      <c r="L865" s="3">
        <v>0</v>
      </c>
      <c r="M865" s="3">
        <v>0</v>
      </c>
      <c r="N865">
        <v>0</v>
      </c>
      <c r="O865">
        <v>0</v>
      </c>
      <c r="P865">
        <v>0</v>
      </c>
      <c r="Q865">
        <v>0</v>
      </c>
      <c r="R865" s="3">
        <v>0</v>
      </c>
      <c r="S865" s="3">
        <v>0</v>
      </c>
      <c r="T865">
        <v>0</v>
      </c>
      <c r="U865">
        <v>0</v>
      </c>
      <c r="V865" s="3">
        <v>0</v>
      </c>
      <c r="W865" s="3">
        <v>0</v>
      </c>
      <c r="X865">
        <v>0</v>
      </c>
      <c r="Y865" t="s">
        <v>796</v>
      </c>
    </row>
    <row r="866" spans="1:25" hidden="1" x14ac:dyDescent="0.25">
      <c r="A866" s="1" t="s">
        <v>33</v>
      </c>
      <c r="B866" s="1" t="s">
        <v>798</v>
      </c>
      <c r="C866" s="1" t="s">
        <v>27</v>
      </c>
      <c r="D866" s="1" t="s">
        <v>27</v>
      </c>
      <c r="E866" s="2">
        <v>45860</v>
      </c>
      <c r="F866" s="2">
        <v>45860</v>
      </c>
      <c r="G866" s="3">
        <v>38</v>
      </c>
      <c r="H866" s="4" t="s">
        <v>28</v>
      </c>
      <c r="I866">
        <v>30</v>
      </c>
      <c r="J866">
        <v>0</v>
      </c>
      <c r="K866">
        <v>0</v>
      </c>
      <c r="L866" s="3">
        <v>0</v>
      </c>
      <c r="M866" s="3">
        <v>0</v>
      </c>
      <c r="N866">
        <v>0</v>
      </c>
      <c r="O866">
        <v>0</v>
      </c>
      <c r="P866">
        <v>0</v>
      </c>
      <c r="Q866">
        <v>0</v>
      </c>
      <c r="R866" s="3">
        <v>0</v>
      </c>
      <c r="S866" s="3">
        <v>0</v>
      </c>
      <c r="T866">
        <v>0</v>
      </c>
      <c r="U866">
        <v>0</v>
      </c>
      <c r="V866" s="3">
        <v>0</v>
      </c>
      <c r="W866" s="3">
        <v>0</v>
      </c>
      <c r="X866">
        <v>0</v>
      </c>
      <c r="Y866" t="s">
        <v>796</v>
      </c>
    </row>
    <row r="867" spans="1:25" hidden="1" x14ac:dyDescent="0.25">
      <c r="A867" s="1" t="s">
        <v>95</v>
      </c>
      <c r="B867" s="1" t="s">
        <v>799</v>
      </c>
      <c r="C867" s="1" t="s">
        <v>27</v>
      </c>
      <c r="D867" s="1" t="s">
        <v>27</v>
      </c>
      <c r="E867" s="2">
        <v>45860</v>
      </c>
      <c r="F867" s="2">
        <v>45860</v>
      </c>
      <c r="G867" s="3">
        <v>39</v>
      </c>
      <c r="H867" s="4" t="s">
        <v>248</v>
      </c>
      <c r="I867">
        <v>0</v>
      </c>
      <c r="J867">
        <v>0</v>
      </c>
      <c r="K867">
        <v>0</v>
      </c>
      <c r="L867" s="3">
        <v>0</v>
      </c>
      <c r="M867" s="3">
        <v>0</v>
      </c>
      <c r="N867">
        <v>0</v>
      </c>
      <c r="O867">
        <v>0</v>
      </c>
      <c r="P867">
        <v>0</v>
      </c>
      <c r="Q867">
        <v>0</v>
      </c>
      <c r="R867" s="3">
        <v>0</v>
      </c>
      <c r="S867" s="3">
        <v>0</v>
      </c>
      <c r="T867">
        <v>0</v>
      </c>
      <c r="U867">
        <v>0</v>
      </c>
      <c r="V867" s="3">
        <v>0</v>
      </c>
      <c r="W867" s="3">
        <v>0</v>
      </c>
      <c r="X867" s="3">
        <v>0</v>
      </c>
      <c r="Y867" t="s">
        <v>796</v>
      </c>
    </row>
    <row r="868" spans="1:25" hidden="1" x14ac:dyDescent="0.25">
      <c r="A868" s="1" t="s">
        <v>56</v>
      </c>
      <c r="B868" s="1" t="s">
        <v>98</v>
      </c>
      <c r="C868" s="1" t="s">
        <v>37</v>
      </c>
      <c r="D868" t="s">
        <v>27</v>
      </c>
      <c r="E868" s="2">
        <v>45861</v>
      </c>
      <c r="F868" s="2">
        <v>45861</v>
      </c>
      <c r="G868" s="3">
        <v>31</v>
      </c>
      <c r="H868" s="4" t="s">
        <v>28</v>
      </c>
      <c r="I868">
        <v>59</v>
      </c>
      <c r="J868">
        <v>0</v>
      </c>
      <c r="K868">
        <v>0</v>
      </c>
      <c r="L868" s="3">
        <v>1</v>
      </c>
      <c r="M868" s="3">
        <v>0</v>
      </c>
      <c r="N868">
        <v>0</v>
      </c>
      <c r="O868">
        <v>0</v>
      </c>
      <c r="P868">
        <v>0</v>
      </c>
      <c r="Q868">
        <v>15</v>
      </c>
      <c r="R868" s="3">
        <v>0</v>
      </c>
      <c r="S868" s="3">
        <v>0</v>
      </c>
      <c r="T868">
        <v>0</v>
      </c>
      <c r="U868">
        <v>0</v>
      </c>
      <c r="V868" s="3">
        <v>0</v>
      </c>
      <c r="W868" s="3">
        <v>0</v>
      </c>
      <c r="X868">
        <v>0</v>
      </c>
      <c r="Y868" t="s">
        <v>800</v>
      </c>
    </row>
    <row r="869" spans="1:25" hidden="1" x14ac:dyDescent="0.25">
      <c r="A869" s="1" t="s">
        <v>29</v>
      </c>
      <c r="B869" s="1" t="s">
        <v>100</v>
      </c>
      <c r="C869" s="1" t="s">
        <v>245</v>
      </c>
      <c r="D869" t="s">
        <v>27</v>
      </c>
      <c r="E869" s="2">
        <v>45861</v>
      </c>
      <c r="F869" s="2">
        <v>45861</v>
      </c>
      <c r="G869" s="3">
        <v>103</v>
      </c>
      <c r="H869" s="4" t="s">
        <v>28</v>
      </c>
      <c r="I869">
        <v>46</v>
      </c>
      <c r="J869">
        <v>0</v>
      </c>
      <c r="K869">
        <v>0</v>
      </c>
      <c r="L869" s="3">
        <v>1</v>
      </c>
      <c r="M869" s="3">
        <v>0</v>
      </c>
      <c r="N869">
        <v>0</v>
      </c>
      <c r="O869">
        <v>0</v>
      </c>
      <c r="P869">
        <v>0</v>
      </c>
      <c r="Q869">
        <v>8</v>
      </c>
      <c r="R869" s="3">
        <v>0</v>
      </c>
      <c r="S869" s="3">
        <v>0</v>
      </c>
      <c r="T869">
        <v>0</v>
      </c>
      <c r="U869">
        <v>0</v>
      </c>
      <c r="V869" s="3">
        <v>0</v>
      </c>
      <c r="W869" s="3">
        <v>0</v>
      </c>
      <c r="X869">
        <v>0</v>
      </c>
      <c r="Y869" t="s">
        <v>801</v>
      </c>
    </row>
    <row r="870" spans="1:25" hidden="1" x14ac:dyDescent="0.25">
      <c r="A870" s="1" t="s">
        <v>344</v>
      </c>
      <c r="B870" s="1" t="s">
        <v>102</v>
      </c>
      <c r="C870" s="1" t="s">
        <v>35</v>
      </c>
      <c r="D870" t="s">
        <v>27</v>
      </c>
      <c r="E870" s="2">
        <v>45861</v>
      </c>
      <c r="F870" s="2">
        <v>45861</v>
      </c>
      <c r="G870" s="3">
        <v>38</v>
      </c>
      <c r="H870" s="4" t="s">
        <v>28</v>
      </c>
      <c r="I870">
        <v>28</v>
      </c>
      <c r="J870">
        <v>0</v>
      </c>
      <c r="K870">
        <v>0</v>
      </c>
      <c r="L870" s="3">
        <v>0</v>
      </c>
      <c r="M870" s="3">
        <v>0</v>
      </c>
      <c r="N870">
        <v>0</v>
      </c>
      <c r="O870">
        <v>0</v>
      </c>
      <c r="P870">
        <v>0</v>
      </c>
      <c r="Q870">
        <v>0</v>
      </c>
      <c r="R870" s="3">
        <v>0</v>
      </c>
      <c r="S870" s="3">
        <v>0</v>
      </c>
      <c r="T870">
        <v>0</v>
      </c>
      <c r="U870">
        <v>0</v>
      </c>
      <c r="V870" s="3">
        <v>0</v>
      </c>
      <c r="W870" s="3">
        <v>0</v>
      </c>
      <c r="X870">
        <v>0</v>
      </c>
      <c r="Y870" t="s">
        <v>802</v>
      </c>
    </row>
    <row r="871" spans="1:25" hidden="1" x14ac:dyDescent="0.25">
      <c r="A871" s="1" t="s">
        <v>31</v>
      </c>
      <c r="B871" s="1" t="s">
        <v>104</v>
      </c>
      <c r="C871" s="1" t="s">
        <v>32</v>
      </c>
      <c r="D871" t="s">
        <v>27</v>
      </c>
      <c r="E871" s="2">
        <v>45861</v>
      </c>
      <c r="F871" s="2">
        <v>45861</v>
      </c>
      <c r="G871" s="3">
        <v>60</v>
      </c>
      <c r="H871" s="4" t="s">
        <v>28</v>
      </c>
      <c r="I871">
        <v>77</v>
      </c>
      <c r="J871">
        <v>0</v>
      </c>
      <c r="K871">
        <v>0</v>
      </c>
      <c r="L871" s="3">
        <v>0</v>
      </c>
      <c r="M871" s="3">
        <v>0</v>
      </c>
      <c r="N871">
        <v>0</v>
      </c>
      <c r="O871">
        <v>0</v>
      </c>
      <c r="P871">
        <v>0</v>
      </c>
      <c r="Q871">
        <v>50</v>
      </c>
      <c r="R871" s="3">
        <v>0</v>
      </c>
      <c r="S871" s="3">
        <v>0</v>
      </c>
      <c r="T871">
        <v>0</v>
      </c>
      <c r="U871">
        <v>0</v>
      </c>
      <c r="V871" s="3">
        <v>0</v>
      </c>
      <c r="W871" s="3">
        <v>0</v>
      </c>
      <c r="X871">
        <v>0</v>
      </c>
      <c r="Y871" t="s">
        <v>803</v>
      </c>
    </row>
    <row r="872" spans="1:25" hidden="1" x14ac:dyDescent="0.25">
      <c r="A872" s="1" t="s">
        <v>33</v>
      </c>
      <c r="B872" s="1" t="s">
        <v>106</v>
      </c>
      <c r="C872" s="1" t="s">
        <v>57</v>
      </c>
      <c r="D872" t="s">
        <v>27</v>
      </c>
      <c r="E872" s="2">
        <v>45861</v>
      </c>
      <c r="F872" s="2">
        <v>45861</v>
      </c>
      <c r="G872" s="3">
        <v>34</v>
      </c>
      <c r="H872" s="4" t="s">
        <v>28</v>
      </c>
      <c r="I872">
        <v>41</v>
      </c>
      <c r="J872">
        <v>0</v>
      </c>
      <c r="K872">
        <v>0</v>
      </c>
      <c r="L872" s="3">
        <v>0</v>
      </c>
      <c r="M872" s="3">
        <v>0</v>
      </c>
      <c r="N872">
        <v>0</v>
      </c>
      <c r="O872">
        <v>0</v>
      </c>
      <c r="P872">
        <v>0</v>
      </c>
      <c r="Q872">
        <v>18</v>
      </c>
      <c r="R872" s="3">
        <v>0</v>
      </c>
      <c r="S872" s="3">
        <v>0</v>
      </c>
      <c r="T872">
        <v>0</v>
      </c>
      <c r="U872">
        <v>0</v>
      </c>
      <c r="V872" s="3">
        <v>0</v>
      </c>
      <c r="W872" s="3">
        <v>0</v>
      </c>
      <c r="X872">
        <v>0</v>
      </c>
      <c r="Y872" t="s">
        <v>804</v>
      </c>
    </row>
    <row r="873" spans="1:25" hidden="1" x14ac:dyDescent="0.25">
      <c r="A873" s="1" t="s">
        <v>34</v>
      </c>
      <c r="B873" s="1" t="s">
        <v>247</v>
      </c>
      <c r="C873" s="1" t="s">
        <v>489</v>
      </c>
      <c r="D873" t="s">
        <v>27</v>
      </c>
      <c r="E873" s="2">
        <v>45861</v>
      </c>
      <c r="F873" s="2">
        <v>45861</v>
      </c>
      <c r="G873" s="3">
        <v>31</v>
      </c>
      <c r="H873" s="4" t="s">
        <v>28</v>
      </c>
      <c r="I873">
        <v>62</v>
      </c>
      <c r="J873">
        <v>0</v>
      </c>
      <c r="K873">
        <v>0</v>
      </c>
      <c r="L873" s="3">
        <v>1</v>
      </c>
      <c r="M873" s="3">
        <v>0</v>
      </c>
      <c r="N873">
        <v>0</v>
      </c>
      <c r="O873">
        <v>0</v>
      </c>
      <c r="P873">
        <v>0</v>
      </c>
      <c r="Q873">
        <v>0</v>
      </c>
      <c r="R873" s="3">
        <v>0</v>
      </c>
      <c r="S873" s="3">
        <v>0</v>
      </c>
      <c r="T873">
        <v>0</v>
      </c>
      <c r="U873">
        <v>0</v>
      </c>
      <c r="V873" s="3">
        <v>0</v>
      </c>
      <c r="W873" s="3">
        <v>0</v>
      </c>
      <c r="X873">
        <v>0</v>
      </c>
      <c r="Y873" t="s">
        <v>805</v>
      </c>
    </row>
    <row r="874" spans="1:25" hidden="1" x14ac:dyDescent="0.25">
      <c r="A874" s="1" t="s">
        <v>40</v>
      </c>
      <c r="B874" s="1" t="s">
        <v>110</v>
      </c>
      <c r="C874" t="s">
        <v>27</v>
      </c>
      <c r="D874" t="s">
        <v>27</v>
      </c>
      <c r="E874" s="2">
        <v>45861</v>
      </c>
      <c r="F874" s="2">
        <v>45861</v>
      </c>
      <c r="G874" s="5">
        <v>3114</v>
      </c>
      <c r="H874" s="4" t="s">
        <v>28</v>
      </c>
      <c r="I874">
        <v>84</v>
      </c>
      <c r="J874">
        <v>0</v>
      </c>
      <c r="K874">
        <v>0</v>
      </c>
      <c r="L874" s="3">
        <v>1</v>
      </c>
      <c r="M874" s="3">
        <v>0</v>
      </c>
      <c r="N874">
        <v>1</v>
      </c>
      <c r="O874">
        <v>0</v>
      </c>
      <c r="P874">
        <v>0</v>
      </c>
      <c r="Q874">
        <v>0</v>
      </c>
      <c r="R874" s="3">
        <v>0</v>
      </c>
      <c r="S874" s="3">
        <v>0</v>
      </c>
      <c r="T874">
        <v>0</v>
      </c>
      <c r="U874">
        <v>0</v>
      </c>
      <c r="V874" s="3">
        <v>0</v>
      </c>
      <c r="W874" s="3">
        <v>0</v>
      </c>
      <c r="X874">
        <v>0</v>
      </c>
      <c r="Y874" t="s">
        <v>806</v>
      </c>
    </row>
    <row r="875" spans="1:25" hidden="1" x14ac:dyDescent="0.25">
      <c r="A875" s="1" t="s">
        <v>36</v>
      </c>
      <c r="B875" s="1" t="s">
        <v>110</v>
      </c>
      <c r="C875" t="s">
        <v>27</v>
      </c>
      <c r="D875" t="s">
        <v>27</v>
      </c>
      <c r="E875" s="2">
        <v>45861</v>
      </c>
      <c r="F875" s="2">
        <v>45861</v>
      </c>
      <c r="G875" s="5">
        <v>3114</v>
      </c>
      <c r="H875" s="4" t="s">
        <v>28</v>
      </c>
      <c r="I875">
        <v>84</v>
      </c>
      <c r="J875">
        <v>0</v>
      </c>
      <c r="K875">
        <v>0</v>
      </c>
      <c r="L875" s="3">
        <v>1</v>
      </c>
      <c r="M875" s="3">
        <v>0</v>
      </c>
      <c r="N875">
        <v>1</v>
      </c>
      <c r="O875">
        <v>0</v>
      </c>
      <c r="P875">
        <v>0</v>
      </c>
      <c r="Q875">
        <v>0</v>
      </c>
      <c r="R875" s="3">
        <v>0</v>
      </c>
      <c r="S875" s="3">
        <v>0</v>
      </c>
      <c r="T875">
        <v>0</v>
      </c>
      <c r="U875">
        <v>0</v>
      </c>
      <c r="V875" s="3">
        <v>0</v>
      </c>
      <c r="W875" s="3">
        <v>0</v>
      </c>
      <c r="X875">
        <v>0</v>
      </c>
      <c r="Y875" t="s">
        <v>806</v>
      </c>
    </row>
    <row r="876" spans="1:25" hidden="1" x14ac:dyDescent="0.25">
      <c r="A876" s="1" t="s">
        <v>41</v>
      </c>
      <c r="B876" s="1" t="s">
        <v>112</v>
      </c>
      <c r="C876" s="1" t="s">
        <v>42</v>
      </c>
      <c r="D876" t="s">
        <v>27</v>
      </c>
      <c r="E876" s="2">
        <v>45861</v>
      </c>
      <c r="F876" s="2">
        <v>45861</v>
      </c>
      <c r="G876" s="3">
        <v>34</v>
      </c>
      <c r="H876" s="4" t="s">
        <v>28</v>
      </c>
      <c r="I876">
        <v>48</v>
      </c>
      <c r="J876">
        <v>0</v>
      </c>
      <c r="K876">
        <v>0</v>
      </c>
      <c r="L876" s="3">
        <v>1</v>
      </c>
      <c r="M876" s="3">
        <v>0</v>
      </c>
      <c r="N876">
        <v>0</v>
      </c>
      <c r="O876">
        <v>0</v>
      </c>
      <c r="P876">
        <v>0</v>
      </c>
      <c r="Q876">
        <v>0</v>
      </c>
      <c r="R876" s="3">
        <v>0</v>
      </c>
      <c r="S876" s="3">
        <v>0</v>
      </c>
      <c r="T876">
        <v>0</v>
      </c>
      <c r="U876">
        <v>0</v>
      </c>
      <c r="V876" s="3">
        <v>0</v>
      </c>
      <c r="W876" s="3">
        <v>0</v>
      </c>
      <c r="X876">
        <v>0</v>
      </c>
      <c r="Y876" t="s">
        <v>807</v>
      </c>
    </row>
    <row r="877" spans="1:25" hidden="1" x14ac:dyDescent="0.25">
      <c r="A877" s="1" t="s">
        <v>43</v>
      </c>
      <c r="B877" s="1" t="s">
        <v>114</v>
      </c>
      <c r="C877" s="1" t="s">
        <v>44</v>
      </c>
      <c r="D877" t="s">
        <v>27</v>
      </c>
      <c r="E877" s="2">
        <v>45861</v>
      </c>
      <c r="F877" s="2">
        <v>45861</v>
      </c>
      <c r="G877" s="3">
        <v>36</v>
      </c>
      <c r="H877" s="4" t="s">
        <v>28</v>
      </c>
      <c r="I877">
        <v>41</v>
      </c>
      <c r="J877">
        <v>0</v>
      </c>
      <c r="K877">
        <v>0</v>
      </c>
      <c r="L877" s="3">
        <v>0</v>
      </c>
      <c r="M877" s="3">
        <v>0</v>
      </c>
      <c r="N877">
        <v>0</v>
      </c>
      <c r="O877">
        <v>0</v>
      </c>
      <c r="P877">
        <v>0</v>
      </c>
      <c r="Q877">
        <v>0</v>
      </c>
      <c r="R877" s="3">
        <v>0</v>
      </c>
      <c r="S877" s="3">
        <v>0</v>
      </c>
      <c r="T877">
        <v>0</v>
      </c>
      <c r="U877">
        <v>0</v>
      </c>
      <c r="V877" s="3">
        <v>0</v>
      </c>
      <c r="W877" s="3">
        <v>0</v>
      </c>
      <c r="X877">
        <v>0</v>
      </c>
      <c r="Y877" t="s">
        <v>808</v>
      </c>
    </row>
    <row r="878" spans="1:25" hidden="1" x14ac:dyDescent="0.25">
      <c r="A878" s="1" t="s">
        <v>45</v>
      </c>
      <c r="B878" s="1" t="s">
        <v>116</v>
      </c>
      <c r="C878" s="1" t="s">
        <v>46</v>
      </c>
      <c r="D878" t="s">
        <v>27</v>
      </c>
      <c r="E878" s="2">
        <v>45861</v>
      </c>
      <c r="F878" s="2">
        <v>45861</v>
      </c>
      <c r="G878" s="3">
        <v>39</v>
      </c>
      <c r="H878" s="4" t="s">
        <v>28</v>
      </c>
      <c r="I878">
        <v>76</v>
      </c>
      <c r="J878">
        <v>0</v>
      </c>
      <c r="K878">
        <v>0</v>
      </c>
      <c r="L878" s="3">
        <v>1</v>
      </c>
      <c r="M878" s="3">
        <v>0</v>
      </c>
      <c r="N878">
        <v>0</v>
      </c>
      <c r="O878">
        <v>0</v>
      </c>
      <c r="P878">
        <v>0</v>
      </c>
      <c r="Q878">
        <v>0</v>
      </c>
      <c r="R878" s="3">
        <v>0</v>
      </c>
      <c r="S878" s="3">
        <v>0</v>
      </c>
      <c r="T878">
        <v>0</v>
      </c>
      <c r="U878">
        <v>0</v>
      </c>
      <c r="V878" s="3">
        <v>0</v>
      </c>
      <c r="W878" s="3">
        <v>0</v>
      </c>
      <c r="X878">
        <v>0</v>
      </c>
      <c r="Y878" t="s">
        <v>809</v>
      </c>
    </row>
    <row r="879" spans="1:25" hidden="1" x14ac:dyDescent="0.25">
      <c r="A879" s="1" t="s">
        <v>49</v>
      </c>
      <c r="B879" s="1" t="s">
        <v>118</v>
      </c>
      <c r="C879" s="1" t="s">
        <v>50</v>
      </c>
      <c r="D879" t="s">
        <v>27</v>
      </c>
      <c r="E879" s="2">
        <v>45861</v>
      </c>
      <c r="F879" s="2">
        <v>45861</v>
      </c>
      <c r="G879" s="3">
        <v>53</v>
      </c>
      <c r="H879" s="4" t="s">
        <v>28</v>
      </c>
      <c r="I879">
        <v>52</v>
      </c>
      <c r="J879">
        <v>0</v>
      </c>
      <c r="K879">
        <v>0</v>
      </c>
      <c r="L879" s="3">
        <v>1</v>
      </c>
      <c r="M879" s="3">
        <v>1</v>
      </c>
      <c r="N879">
        <v>0</v>
      </c>
      <c r="O879">
        <v>0</v>
      </c>
      <c r="P879">
        <v>0</v>
      </c>
      <c r="Q879">
        <v>49</v>
      </c>
      <c r="R879" s="3">
        <v>0</v>
      </c>
      <c r="S879" s="3">
        <v>0</v>
      </c>
      <c r="T879">
        <v>0</v>
      </c>
      <c r="U879">
        <v>0</v>
      </c>
      <c r="V879" s="3">
        <v>0</v>
      </c>
      <c r="W879" s="3">
        <v>0</v>
      </c>
      <c r="X879">
        <v>0</v>
      </c>
      <c r="Y879" t="s">
        <v>810</v>
      </c>
    </row>
    <row r="880" spans="1:25" hidden="1" x14ac:dyDescent="0.25">
      <c r="A880" s="1" t="s">
        <v>51</v>
      </c>
      <c r="B880" s="1" t="s">
        <v>120</v>
      </c>
      <c r="C880" s="1" t="s">
        <v>55</v>
      </c>
      <c r="D880" t="s">
        <v>27</v>
      </c>
      <c r="E880" s="2">
        <v>45861</v>
      </c>
      <c r="F880" s="2">
        <v>45861</v>
      </c>
      <c r="G880" s="3">
        <v>46</v>
      </c>
      <c r="H880" s="4" t="s">
        <v>28</v>
      </c>
      <c r="I880">
        <v>52</v>
      </c>
      <c r="J880">
        <v>0</v>
      </c>
      <c r="K880">
        <v>0</v>
      </c>
      <c r="L880" s="3">
        <v>1</v>
      </c>
      <c r="M880" s="3">
        <v>0</v>
      </c>
      <c r="N880">
        <v>1</v>
      </c>
      <c r="O880">
        <v>0</v>
      </c>
      <c r="P880">
        <v>0</v>
      </c>
      <c r="Q880">
        <v>0</v>
      </c>
      <c r="R880" s="3">
        <v>0</v>
      </c>
      <c r="S880" s="3">
        <v>0</v>
      </c>
      <c r="T880">
        <v>0</v>
      </c>
      <c r="U880">
        <v>0</v>
      </c>
      <c r="V880" s="3">
        <v>0</v>
      </c>
      <c r="W880" s="3">
        <v>0</v>
      </c>
      <c r="X880">
        <v>0</v>
      </c>
      <c r="Y880" t="s">
        <v>811</v>
      </c>
    </row>
    <row r="881" spans="1:25" hidden="1" x14ac:dyDescent="0.25">
      <c r="A881" s="1" t="s">
        <v>54</v>
      </c>
      <c r="B881" s="1" t="s">
        <v>122</v>
      </c>
      <c r="C881" s="1" t="s">
        <v>52</v>
      </c>
      <c r="D881" t="s">
        <v>27</v>
      </c>
      <c r="E881" s="2">
        <v>45861</v>
      </c>
      <c r="F881" s="2">
        <v>45861</v>
      </c>
      <c r="G881" s="3">
        <v>41</v>
      </c>
      <c r="H881" s="4" t="s">
        <v>28</v>
      </c>
      <c r="I881">
        <v>26</v>
      </c>
      <c r="J881">
        <v>0</v>
      </c>
      <c r="K881">
        <v>0</v>
      </c>
      <c r="L881" s="3">
        <v>0</v>
      </c>
      <c r="M881" s="3">
        <v>0</v>
      </c>
      <c r="N881">
        <v>0</v>
      </c>
      <c r="O881">
        <v>0</v>
      </c>
      <c r="P881">
        <v>0</v>
      </c>
      <c r="Q881">
        <v>6</v>
      </c>
      <c r="R881" s="3">
        <v>0</v>
      </c>
      <c r="S881" s="3">
        <v>0</v>
      </c>
      <c r="T881">
        <v>0</v>
      </c>
      <c r="U881">
        <v>0</v>
      </c>
      <c r="V881" s="3">
        <v>0</v>
      </c>
      <c r="W881" s="3">
        <v>0</v>
      </c>
      <c r="X881">
        <v>0</v>
      </c>
      <c r="Y881" t="s">
        <v>812</v>
      </c>
    </row>
    <row r="882" spans="1:25" hidden="1" x14ac:dyDescent="0.25">
      <c r="A882" s="1" t="s">
        <v>48</v>
      </c>
      <c r="B882" s="1" t="s">
        <v>149</v>
      </c>
      <c r="C882" s="1" t="s">
        <v>27</v>
      </c>
      <c r="D882" t="s">
        <v>27</v>
      </c>
      <c r="E882" s="2">
        <v>45861</v>
      </c>
      <c r="F882" s="2">
        <v>45861</v>
      </c>
      <c r="G882" s="3">
        <v>65</v>
      </c>
      <c r="H882" s="4" t="s">
        <v>28</v>
      </c>
      <c r="I882">
        <v>59</v>
      </c>
      <c r="J882">
        <v>0</v>
      </c>
      <c r="K882">
        <v>0</v>
      </c>
      <c r="L882" s="3">
        <v>0</v>
      </c>
      <c r="M882" s="3">
        <v>0</v>
      </c>
      <c r="N882">
        <v>0</v>
      </c>
      <c r="O882">
        <v>0</v>
      </c>
      <c r="P882">
        <v>10</v>
      </c>
      <c r="Q882">
        <v>4</v>
      </c>
      <c r="R882" s="3">
        <v>0</v>
      </c>
      <c r="S882" s="3">
        <v>0</v>
      </c>
      <c r="T882">
        <v>0</v>
      </c>
      <c r="U882">
        <v>0</v>
      </c>
      <c r="V882" s="3">
        <v>0</v>
      </c>
      <c r="W882" s="3">
        <v>0</v>
      </c>
      <c r="X882">
        <v>0</v>
      </c>
      <c r="Y882" t="s">
        <v>813</v>
      </c>
    </row>
    <row r="883" spans="1:25" hidden="1" x14ac:dyDescent="0.25">
      <c r="A883" s="1" t="s">
        <v>53</v>
      </c>
      <c r="B883" s="1" t="s">
        <v>142</v>
      </c>
      <c r="C883" s="1" t="s">
        <v>39</v>
      </c>
      <c r="D883" t="s">
        <v>27</v>
      </c>
      <c r="E883" s="2">
        <v>45861</v>
      </c>
      <c r="F883" s="2">
        <v>45861</v>
      </c>
      <c r="G883" s="3">
        <v>32</v>
      </c>
      <c r="H883" s="4" t="s">
        <v>28</v>
      </c>
      <c r="I883">
        <v>30</v>
      </c>
      <c r="J883">
        <v>0</v>
      </c>
      <c r="K883">
        <v>0</v>
      </c>
      <c r="L883" s="3">
        <v>1</v>
      </c>
      <c r="M883" s="3">
        <v>0</v>
      </c>
      <c r="N883">
        <v>0</v>
      </c>
      <c r="O883">
        <v>0</v>
      </c>
      <c r="P883">
        <v>0</v>
      </c>
      <c r="Q883">
        <v>30</v>
      </c>
      <c r="R883" s="3">
        <v>0</v>
      </c>
      <c r="S883" s="3">
        <v>0</v>
      </c>
      <c r="T883">
        <v>0</v>
      </c>
      <c r="U883">
        <v>0</v>
      </c>
      <c r="V883" s="3">
        <v>0</v>
      </c>
      <c r="W883" s="3">
        <v>0</v>
      </c>
      <c r="X883">
        <v>0</v>
      </c>
      <c r="Y883" t="s">
        <v>814</v>
      </c>
    </row>
    <row r="884" spans="1:25" hidden="1" x14ac:dyDescent="0.25">
      <c r="A884" s="1" t="s">
        <v>47</v>
      </c>
      <c r="B884" s="1" t="s">
        <v>149</v>
      </c>
      <c r="C884" s="1" t="s">
        <v>27</v>
      </c>
      <c r="D884" t="s">
        <v>27</v>
      </c>
      <c r="E884" s="2">
        <v>45861</v>
      </c>
      <c r="F884" s="2">
        <v>45861</v>
      </c>
      <c r="G884" s="3">
        <v>65</v>
      </c>
      <c r="H884" s="4" t="s">
        <v>28</v>
      </c>
      <c r="I884">
        <v>59</v>
      </c>
      <c r="J884">
        <v>0</v>
      </c>
      <c r="K884">
        <v>0</v>
      </c>
      <c r="L884" s="3">
        <v>0</v>
      </c>
      <c r="M884" s="3">
        <v>0</v>
      </c>
      <c r="N884">
        <v>0</v>
      </c>
      <c r="O884">
        <v>0</v>
      </c>
      <c r="P884">
        <v>10</v>
      </c>
      <c r="Q884">
        <v>4</v>
      </c>
      <c r="R884" s="3">
        <v>0</v>
      </c>
      <c r="S884" s="3">
        <v>0</v>
      </c>
      <c r="T884">
        <v>0</v>
      </c>
      <c r="U884">
        <v>0</v>
      </c>
      <c r="V884" s="3">
        <v>0</v>
      </c>
      <c r="W884" s="3">
        <v>0</v>
      </c>
      <c r="X884">
        <v>0</v>
      </c>
      <c r="Y884" t="s">
        <v>813</v>
      </c>
    </row>
    <row r="885" spans="1:25" hidden="1" x14ac:dyDescent="0.25">
      <c r="A885" s="1" t="s">
        <v>25</v>
      </c>
      <c r="B885" s="1" t="s">
        <v>739</v>
      </c>
      <c r="C885" s="1" t="s">
        <v>27</v>
      </c>
      <c r="D885" t="s">
        <v>27</v>
      </c>
      <c r="E885" s="2">
        <v>45861</v>
      </c>
      <c r="F885" s="2">
        <v>45861</v>
      </c>
      <c r="G885" s="3">
        <v>66</v>
      </c>
      <c r="H885" s="4" t="s">
        <v>959</v>
      </c>
      <c r="I885">
        <v>0</v>
      </c>
      <c r="J885">
        <v>0</v>
      </c>
      <c r="K885">
        <v>0</v>
      </c>
      <c r="L885" s="3">
        <v>0</v>
      </c>
      <c r="M885" s="3">
        <v>0</v>
      </c>
      <c r="N885">
        <v>0</v>
      </c>
      <c r="O885">
        <v>0</v>
      </c>
      <c r="P885">
        <v>0</v>
      </c>
      <c r="Q885">
        <v>0</v>
      </c>
      <c r="R885" s="3">
        <v>0</v>
      </c>
      <c r="S885" s="3">
        <v>0</v>
      </c>
      <c r="T885">
        <v>0</v>
      </c>
      <c r="U885">
        <v>0</v>
      </c>
      <c r="V885" s="3">
        <v>0</v>
      </c>
      <c r="W885" s="3">
        <v>0</v>
      </c>
      <c r="X885" s="3">
        <v>0</v>
      </c>
      <c r="Y885" t="s">
        <v>813</v>
      </c>
    </row>
    <row r="886" spans="1:25" hidden="1" x14ac:dyDescent="0.25">
      <c r="A886" s="1" t="s">
        <v>58</v>
      </c>
      <c r="B886" s="1" t="s">
        <v>755</v>
      </c>
      <c r="C886" s="1" t="s">
        <v>27</v>
      </c>
      <c r="D886" t="s">
        <v>27</v>
      </c>
      <c r="E886" s="2">
        <v>45861</v>
      </c>
      <c r="F886" s="2">
        <v>45861</v>
      </c>
      <c r="G886" s="3">
        <v>181</v>
      </c>
      <c r="H886" s="4" t="s">
        <v>248</v>
      </c>
      <c r="I886">
        <v>0</v>
      </c>
      <c r="J886">
        <v>0</v>
      </c>
      <c r="K886">
        <v>0</v>
      </c>
      <c r="L886" s="3">
        <v>0</v>
      </c>
      <c r="M886" s="3">
        <v>0</v>
      </c>
      <c r="N886">
        <v>0</v>
      </c>
      <c r="O886">
        <v>0</v>
      </c>
      <c r="P886">
        <v>0</v>
      </c>
      <c r="Q886">
        <v>0</v>
      </c>
      <c r="R886" s="3">
        <v>0</v>
      </c>
      <c r="S886" s="3">
        <v>0</v>
      </c>
      <c r="T886">
        <v>0</v>
      </c>
      <c r="U886">
        <v>0</v>
      </c>
      <c r="V886" s="3">
        <v>0</v>
      </c>
      <c r="W886" s="3">
        <v>0</v>
      </c>
      <c r="X886" s="3">
        <v>0</v>
      </c>
      <c r="Y886" t="s">
        <v>815</v>
      </c>
    </row>
    <row r="887" spans="1:25" hidden="1" x14ac:dyDescent="0.25">
      <c r="A887" s="1" t="s">
        <v>95</v>
      </c>
      <c r="B887" s="1" t="s">
        <v>799</v>
      </c>
      <c r="C887" s="1" t="s">
        <v>27</v>
      </c>
      <c r="D887" s="1" t="s">
        <v>27</v>
      </c>
      <c r="E887" s="2">
        <v>45861</v>
      </c>
      <c r="F887" s="2">
        <v>45861</v>
      </c>
      <c r="G887" s="3">
        <v>39</v>
      </c>
      <c r="H887" s="4" t="s">
        <v>248</v>
      </c>
      <c r="I887">
        <v>0</v>
      </c>
      <c r="J887">
        <v>0</v>
      </c>
      <c r="K887">
        <v>0</v>
      </c>
      <c r="L887" s="3">
        <v>0</v>
      </c>
      <c r="M887" s="3">
        <v>0</v>
      </c>
      <c r="N887">
        <v>0</v>
      </c>
      <c r="O887">
        <v>0</v>
      </c>
      <c r="P887">
        <v>0</v>
      </c>
      <c r="Q887">
        <v>0</v>
      </c>
      <c r="R887" s="3">
        <v>0</v>
      </c>
      <c r="S887" s="3">
        <v>0</v>
      </c>
      <c r="T887">
        <v>0</v>
      </c>
      <c r="U887">
        <v>0</v>
      </c>
      <c r="V887" s="3">
        <v>0</v>
      </c>
      <c r="W887" s="3">
        <v>0</v>
      </c>
      <c r="X887" s="3">
        <v>0</v>
      </c>
      <c r="Y887" t="s">
        <v>796</v>
      </c>
    </row>
    <row r="888" spans="1:25" hidden="1" x14ac:dyDescent="0.25">
      <c r="A888" s="1" t="s">
        <v>25</v>
      </c>
      <c r="B888" s="1" t="s">
        <v>96</v>
      </c>
      <c r="C888" s="1" t="s">
        <v>489</v>
      </c>
      <c r="D888" t="s">
        <v>27</v>
      </c>
      <c r="E888" s="2">
        <v>45862</v>
      </c>
      <c r="F888" s="2">
        <v>45862</v>
      </c>
      <c r="G888" s="3">
        <v>29</v>
      </c>
      <c r="H888" s="4" t="s">
        <v>28</v>
      </c>
      <c r="I888">
        <v>72</v>
      </c>
      <c r="J888">
        <v>0</v>
      </c>
      <c r="K888">
        <v>0</v>
      </c>
      <c r="L888" s="3">
        <v>1</v>
      </c>
      <c r="M888" s="3">
        <v>0</v>
      </c>
      <c r="N888">
        <v>1</v>
      </c>
      <c r="O888">
        <v>0</v>
      </c>
      <c r="P888">
        <v>0</v>
      </c>
      <c r="Q888">
        <v>0</v>
      </c>
      <c r="R888" s="3">
        <v>0</v>
      </c>
      <c r="S888" s="3">
        <v>0</v>
      </c>
      <c r="T888">
        <v>0</v>
      </c>
      <c r="U888">
        <v>0</v>
      </c>
      <c r="V888" s="3">
        <v>0</v>
      </c>
      <c r="W888" s="3">
        <v>0</v>
      </c>
      <c r="X888">
        <v>0</v>
      </c>
      <c r="Y888" t="s">
        <v>816</v>
      </c>
    </row>
    <row r="889" spans="1:25" hidden="1" x14ac:dyDescent="0.25">
      <c r="A889" s="1" t="s">
        <v>56</v>
      </c>
      <c r="B889" s="1" t="s">
        <v>98</v>
      </c>
      <c r="C889" s="1" t="s">
        <v>37</v>
      </c>
      <c r="D889" t="s">
        <v>27</v>
      </c>
      <c r="E889" s="2">
        <v>45862</v>
      </c>
      <c r="F889" s="2">
        <v>45862</v>
      </c>
      <c r="G889" s="3">
        <v>71</v>
      </c>
      <c r="H889" s="4" t="s">
        <v>28</v>
      </c>
      <c r="I889">
        <v>73</v>
      </c>
      <c r="J889">
        <v>0</v>
      </c>
      <c r="K889">
        <v>0</v>
      </c>
      <c r="L889" s="3">
        <v>1</v>
      </c>
      <c r="M889" s="3">
        <v>0</v>
      </c>
      <c r="N889">
        <v>0</v>
      </c>
      <c r="O889">
        <v>0</v>
      </c>
      <c r="P889">
        <v>0</v>
      </c>
      <c r="Q889">
        <v>0</v>
      </c>
      <c r="R889" s="3">
        <v>0</v>
      </c>
      <c r="S889" s="3">
        <v>0</v>
      </c>
      <c r="T889">
        <v>0</v>
      </c>
      <c r="U889">
        <v>0</v>
      </c>
      <c r="V889" s="3">
        <v>0</v>
      </c>
      <c r="W889" s="3">
        <v>0</v>
      </c>
      <c r="X889">
        <v>0</v>
      </c>
      <c r="Y889" t="s">
        <v>817</v>
      </c>
    </row>
    <row r="890" spans="1:25" hidden="1" x14ac:dyDescent="0.25">
      <c r="A890" s="1" t="s">
        <v>29</v>
      </c>
      <c r="B890" s="1" t="s">
        <v>100</v>
      </c>
      <c r="C890" s="1" t="s">
        <v>245</v>
      </c>
      <c r="D890" t="s">
        <v>27</v>
      </c>
      <c r="E890" s="2">
        <v>45862</v>
      </c>
      <c r="F890" s="2">
        <v>45862</v>
      </c>
      <c r="G890" s="3">
        <v>55</v>
      </c>
      <c r="H890" s="4" t="s">
        <v>28</v>
      </c>
      <c r="I890">
        <v>29</v>
      </c>
      <c r="J890">
        <v>32</v>
      </c>
      <c r="K890">
        <v>0</v>
      </c>
      <c r="L890" s="3">
        <v>0</v>
      </c>
      <c r="M890" s="3">
        <v>0</v>
      </c>
      <c r="N890">
        <v>0</v>
      </c>
      <c r="O890">
        <v>0</v>
      </c>
      <c r="P890">
        <v>0</v>
      </c>
      <c r="Q890">
        <v>0</v>
      </c>
      <c r="R890" s="3">
        <v>0</v>
      </c>
      <c r="S890" s="3">
        <v>0</v>
      </c>
      <c r="T890">
        <v>0</v>
      </c>
      <c r="U890">
        <v>0</v>
      </c>
      <c r="V890" s="3">
        <v>0</v>
      </c>
      <c r="W890" s="3">
        <v>0</v>
      </c>
      <c r="X890">
        <v>0</v>
      </c>
      <c r="Y890" t="s">
        <v>818</v>
      </c>
    </row>
    <row r="891" spans="1:25" hidden="1" x14ac:dyDescent="0.25">
      <c r="A891" s="1" t="s">
        <v>31</v>
      </c>
      <c r="B891" s="1" t="s">
        <v>104</v>
      </c>
      <c r="C891" s="1" t="s">
        <v>32</v>
      </c>
      <c r="D891" t="s">
        <v>27</v>
      </c>
      <c r="E891" s="2">
        <v>45862</v>
      </c>
      <c r="F891" s="2">
        <v>45862</v>
      </c>
      <c r="G891" s="3">
        <v>70</v>
      </c>
      <c r="H891" s="4" t="s">
        <v>28</v>
      </c>
      <c r="I891">
        <v>85</v>
      </c>
      <c r="J891">
        <v>0</v>
      </c>
      <c r="K891">
        <v>0</v>
      </c>
      <c r="L891" s="3">
        <v>0</v>
      </c>
      <c r="M891" s="3">
        <v>0</v>
      </c>
      <c r="N891">
        <v>0</v>
      </c>
      <c r="O891">
        <v>0</v>
      </c>
      <c r="P891">
        <v>0</v>
      </c>
      <c r="Q891">
        <v>50</v>
      </c>
      <c r="R891" s="3">
        <v>0</v>
      </c>
      <c r="S891" s="3">
        <v>0</v>
      </c>
      <c r="T891">
        <v>0</v>
      </c>
      <c r="U891">
        <v>0</v>
      </c>
      <c r="V891" s="3">
        <v>0</v>
      </c>
      <c r="W891" s="3">
        <v>0</v>
      </c>
      <c r="X891">
        <v>0</v>
      </c>
      <c r="Y891" t="s">
        <v>819</v>
      </c>
    </row>
    <row r="892" spans="1:25" hidden="1" x14ac:dyDescent="0.25">
      <c r="A892" s="1" t="s">
        <v>33</v>
      </c>
      <c r="B892" s="1" t="s">
        <v>106</v>
      </c>
      <c r="C892" s="1" t="s">
        <v>57</v>
      </c>
      <c r="D892" t="s">
        <v>27</v>
      </c>
      <c r="E892" s="2">
        <v>45862</v>
      </c>
      <c r="F892" s="2">
        <v>45862</v>
      </c>
      <c r="G892" s="3">
        <v>29</v>
      </c>
      <c r="H892" s="4" t="s">
        <v>28</v>
      </c>
      <c r="I892">
        <v>34</v>
      </c>
      <c r="J892">
        <v>0</v>
      </c>
      <c r="K892">
        <v>0</v>
      </c>
      <c r="L892" s="3">
        <v>0</v>
      </c>
      <c r="M892" s="3">
        <v>0</v>
      </c>
      <c r="N892">
        <v>0</v>
      </c>
      <c r="O892">
        <v>0</v>
      </c>
      <c r="P892">
        <v>0</v>
      </c>
      <c r="Q892">
        <v>0</v>
      </c>
      <c r="R892" s="3">
        <v>0</v>
      </c>
      <c r="S892" s="3">
        <v>0</v>
      </c>
      <c r="T892">
        <v>0</v>
      </c>
      <c r="U892">
        <v>0</v>
      </c>
      <c r="V892" s="3">
        <v>0</v>
      </c>
      <c r="W892" s="3">
        <v>0</v>
      </c>
      <c r="X892">
        <v>0</v>
      </c>
      <c r="Y892" t="s">
        <v>820</v>
      </c>
    </row>
    <row r="893" spans="1:25" hidden="1" x14ac:dyDescent="0.25">
      <c r="A893" s="1" t="s">
        <v>34</v>
      </c>
      <c r="B893" s="1" t="s">
        <v>247</v>
      </c>
      <c r="C893" s="1" t="s">
        <v>35</v>
      </c>
      <c r="D893" t="s">
        <v>27</v>
      </c>
      <c r="E893" s="2">
        <v>45862</v>
      </c>
      <c r="F893" s="2">
        <v>45862</v>
      </c>
      <c r="G893" s="3">
        <v>52</v>
      </c>
      <c r="H893" s="4" t="s">
        <v>28</v>
      </c>
      <c r="I893">
        <v>34</v>
      </c>
      <c r="J893">
        <v>0</v>
      </c>
      <c r="K893">
        <v>0</v>
      </c>
      <c r="L893" s="3">
        <v>0</v>
      </c>
      <c r="M893" s="3">
        <v>0</v>
      </c>
      <c r="N893">
        <v>0</v>
      </c>
      <c r="O893">
        <v>0</v>
      </c>
      <c r="P893">
        <v>2</v>
      </c>
      <c r="Q893">
        <v>0</v>
      </c>
      <c r="R893" s="3">
        <v>0</v>
      </c>
      <c r="S893" s="3">
        <v>0</v>
      </c>
      <c r="T893">
        <v>0</v>
      </c>
      <c r="U893">
        <v>0</v>
      </c>
      <c r="V893" s="3">
        <v>0</v>
      </c>
      <c r="W893" s="3">
        <v>0</v>
      </c>
      <c r="X893">
        <v>0</v>
      </c>
      <c r="Y893" t="s">
        <v>821</v>
      </c>
    </row>
    <row r="894" spans="1:25" hidden="1" x14ac:dyDescent="0.25">
      <c r="A894" s="1" t="s">
        <v>38</v>
      </c>
      <c r="B894" s="1" t="s">
        <v>108</v>
      </c>
      <c r="C894" s="1" t="s">
        <v>27</v>
      </c>
      <c r="D894" t="s">
        <v>27</v>
      </c>
      <c r="E894" s="2">
        <v>45862</v>
      </c>
      <c r="F894" s="2">
        <v>45862</v>
      </c>
      <c r="G894" s="3">
        <v>46</v>
      </c>
      <c r="H894" s="4" t="s">
        <v>28</v>
      </c>
      <c r="I894">
        <v>32</v>
      </c>
      <c r="J894">
        <v>0</v>
      </c>
      <c r="K894">
        <v>0</v>
      </c>
      <c r="L894" s="3">
        <v>0</v>
      </c>
      <c r="M894" s="3">
        <v>0</v>
      </c>
      <c r="N894">
        <v>0</v>
      </c>
      <c r="O894">
        <v>0</v>
      </c>
      <c r="P894">
        <v>0</v>
      </c>
      <c r="Q894">
        <v>32</v>
      </c>
      <c r="R894" s="3">
        <v>0</v>
      </c>
      <c r="S894" s="3">
        <v>0</v>
      </c>
      <c r="T894">
        <v>0</v>
      </c>
      <c r="U894">
        <v>0</v>
      </c>
      <c r="V894" s="3">
        <v>0</v>
      </c>
      <c r="W894" s="3">
        <v>0</v>
      </c>
      <c r="X894">
        <v>0</v>
      </c>
      <c r="Y894" t="s">
        <v>822</v>
      </c>
    </row>
    <row r="895" spans="1:25" hidden="1" x14ac:dyDescent="0.25">
      <c r="A895" s="1" t="s">
        <v>40</v>
      </c>
      <c r="B895" s="1" t="s">
        <v>110</v>
      </c>
      <c r="C895" t="s">
        <v>27</v>
      </c>
      <c r="D895" t="s">
        <v>27</v>
      </c>
      <c r="E895" s="2">
        <v>45862</v>
      </c>
      <c r="F895" s="2">
        <v>45862</v>
      </c>
      <c r="G895" s="3">
        <v>73</v>
      </c>
      <c r="H895" s="4" t="s">
        <v>28</v>
      </c>
      <c r="I895">
        <v>22</v>
      </c>
      <c r="J895">
        <v>0</v>
      </c>
      <c r="K895">
        <v>0</v>
      </c>
      <c r="L895" s="3">
        <v>0</v>
      </c>
      <c r="M895" s="3">
        <v>0</v>
      </c>
      <c r="N895">
        <v>1</v>
      </c>
      <c r="O895">
        <v>0</v>
      </c>
      <c r="P895">
        <v>0</v>
      </c>
      <c r="Q895">
        <v>0</v>
      </c>
      <c r="R895" s="3">
        <v>0</v>
      </c>
      <c r="S895" s="3">
        <v>0</v>
      </c>
      <c r="T895">
        <v>0</v>
      </c>
      <c r="U895">
        <v>0</v>
      </c>
      <c r="V895" s="3">
        <v>0</v>
      </c>
      <c r="W895" s="3">
        <v>0</v>
      </c>
      <c r="X895">
        <v>0</v>
      </c>
      <c r="Y895" t="s">
        <v>823</v>
      </c>
    </row>
    <row r="896" spans="1:25" hidden="1" x14ac:dyDescent="0.25">
      <c r="A896" s="1" t="s">
        <v>36</v>
      </c>
      <c r="B896" s="1" t="s">
        <v>110</v>
      </c>
      <c r="C896" t="s">
        <v>27</v>
      </c>
      <c r="D896" t="s">
        <v>27</v>
      </c>
      <c r="E896" s="2">
        <v>45862</v>
      </c>
      <c r="F896" s="2">
        <v>45862</v>
      </c>
      <c r="G896" s="3">
        <v>73</v>
      </c>
      <c r="H896" s="4" t="s">
        <v>28</v>
      </c>
      <c r="I896">
        <v>22</v>
      </c>
      <c r="J896">
        <v>0</v>
      </c>
      <c r="K896">
        <v>0</v>
      </c>
      <c r="L896" s="3">
        <v>0</v>
      </c>
      <c r="M896" s="3">
        <v>0</v>
      </c>
      <c r="N896">
        <v>1</v>
      </c>
      <c r="O896">
        <v>0</v>
      </c>
      <c r="P896">
        <v>0</v>
      </c>
      <c r="Q896">
        <v>0</v>
      </c>
      <c r="R896" s="3">
        <v>0</v>
      </c>
      <c r="S896" s="3">
        <v>0</v>
      </c>
      <c r="T896">
        <v>0</v>
      </c>
      <c r="U896">
        <v>0</v>
      </c>
      <c r="V896" s="3">
        <v>0</v>
      </c>
      <c r="W896" s="3">
        <v>0</v>
      </c>
      <c r="X896">
        <v>0</v>
      </c>
      <c r="Y896" t="s">
        <v>823</v>
      </c>
    </row>
    <row r="897" spans="1:25" hidden="1" x14ac:dyDescent="0.25">
      <c r="A897" s="1" t="s">
        <v>41</v>
      </c>
      <c r="B897" s="1" t="s">
        <v>112</v>
      </c>
      <c r="C897" s="1" t="s">
        <v>42</v>
      </c>
      <c r="D897" t="s">
        <v>27</v>
      </c>
      <c r="E897" s="2">
        <v>45862</v>
      </c>
      <c r="F897" s="2">
        <v>45862</v>
      </c>
      <c r="G897" s="3">
        <v>34</v>
      </c>
      <c r="H897" s="4" t="s">
        <v>28</v>
      </c>
      <c r="I897">
        <v>46</v>
      </c>
      <c r="J897">
        <v>0</v>
      </c>
      <c r="K897">
        <v>0</v>
      </c>
      <c r="L897" s="3">
        <v>1</v>
      </c>
      <c r="M897" s="3">
        <v>0</v>
      </c>
      <c r="N897">
        <v>0</v>
      </c>
      <c r="O897">
        <v>0</v>
      </c>
      <c r="P897">
        <v>0</v>
      </c>
      <c r="Q897">
        <v>0</v>
      </c>
      <c r="R897" s="3">
        <v>0</v>
      </c>
      <c r="S897" s="3">
        <v>0</v>
      </c>
      <c r="T897">
        <v>0</v>
      </c>
      <c r="U897">
        <v>0</v>
      </c>
      <c r="V897" s="3">
        <v>0</v>
      </c>
      <c r="W897" s="3">
        <v>0</v>
      </c>
      <c r="X897">
        <v>0</v>
      </c>
      <c r="Y897" t="s">
        <v>807</v>
      </c>
    </row>
    <row r="898" spans="1:25" hidden="1" x14ac:dyDescent="0.25">
      <c r="A898" s="1" t="s">
        <v>43</v>
      </c>
      <c r="B898" s="1" t="s">
        <v>114</v>
      </c>
      <c r="C898" s="1" t="s">
        <v>44</v>
      </c>
      <c r="D898" t="s">
        <v>27</v>
      </c>
      <c r="E898" s="2">
        <v>45862</v>
      </c>
      <c r="F898" s="2">
        <v>45862</v>
      </c>
      <c r="G898" s="3">
        <v>22</v>
      </c>
      <c r="H898" s="4" t="s">
        <v>28</v>
      </c>
      <c r="I898">
        <v>63</v>
      </c>
      <c r="J898">
        <v>0</v>
      </c>
      <c r="K898">
        <v>0</v>
      </c>
      <c r="L898" s="3">
        <v>1</v>
      </c>
      <c r="M898" s="3">
        <v>0</v>
      </c>
      <c r="N898">
        <v>0</v>
      </c>
      <c r="O898">
        <v>0</v>
      </c>
      <c r="P898">
        <v>0</v>
      </c>
      <c r="Q898">
        <v>0</v>
      </c>
      <c r="R898" s="3">
        <v>0</v>
      </c>
      <c r="S898" s="3">
        <v>0</v>
      </c>
      <c r="T898">
        <v>0</v>
      </c>
      <c r="U898">
        <v>0</v>
      </c>
      <c r="V898" s="3">
        <v>0</v>
      </c>
      <c r="W898" s="3">
        <v>0</v>
      </c>
      <c r="X898">
        <v>0</v>
      </c>
      <c r="Y898" t="s">
        <v>824</v>
      </c>
    </row>
    <row r="899" spans="1:25" hidden="1" x14ac:dyDescent="0.25">
      <c r="A899" s="1" t="s">
        <v>45</v>
      </c>
      <c r="B899" s="1" t="s">
        <v>116</v>
      </c>
      <c r="C899" s="1" t="s">
        <v>46</v>
      </c>
      <c r="D899" t="s">
        <v>27</v>
      </c>
      <c r="E899" s="2">
        <v>45862</v>
      </c>
      <c r="F899" s="2">
        <v>45862</v>
      </c>
      <c r="G899" s="3">
        <v>46</v>
      </c>
      <c r="H899" s="4" t="s">
        <v>28</v>
      </c>
      <c r="I899">
        <v>38</v>
      </c>
      <c r="J899">
        <v>0</v>
      </c>
      <c r="K899">
        <v>0</v>
      </c>
      <c r="L899" s="3">
        <v>0</v>
      </c>
      <c r="M899" s="3">
        <v>0</v>
      </c>
      <c r="N899">
        <v>0</v>
      </c>
      <c r="O899">
        <v>0</v>
      </c>
      <c r="P899">
        <v>0</v>
      </c>
      <c r="Q899">
        <v>0</v>
      </c>
      <c r="R899" s="3">
        <v>0</v>
      </c>
      <c r="S899" s="3">
        <v>0</v>
      </c>
      <c r="T899">
        <v>0</v>
      </c>
      <c r="U899">
        <v>0</v>
      </c>
      <c r="V899" s="3">
        <v>0</v>
      </c>
      <c r="W899" s="3">
        <v>0</v>
      </c>
      <c r="X899">
        <v>0</v>
      </c>
      <c r="Y899" t="s">
        <v>825</v>
      </c>
    </row>
    <row r="900" spans="1:25" hidden="1" x14ac:dyDescent="0.25">
      <c r="A900" s="1" t="s">
        <v>49</v>
      </c>
      <c r="B900" s="1" t="s">
        <v>118</v>
      </c>
      <c r="C900" s="1" t="s">
        <v>50</v>
      </c>
      <c r="D900" t="s">
        <v>27</v>
      </c>
      <c r="E900" s="2">
        <v>45862</v>
      </c>
      <c r="F900" s="2">
        <v>45862</v>
      </c>
      <c r="G900" s="3">
        <v>26</v>
      </c>
      <c r="H900" s="4" t="s">
        <v>28</v>
      </c>
      <c r="I900">
        <v>29</v>
      </c>
      <c r="J900">
        <v>0</v>
      </c>
      <c r="K900">
        <v>0</v>
      </c>
      <c r="L900" s="3">
        <v>1</v>
      </c>
      <c r="M900" s="3">
        <v>1</v>
      </c>
      <c r="N900">
        <v>0</v>
      </c>
      <c r="O900">
        <v>0</v>
      </c>
      <c r="P900">
        <v>0</v>
      </c>
      <c r="Q900">
        <v>33</v>
      </c>
      <c r="R900" s="3">
        <v>0</v>
      </c>
      <c r="S900" s="3">
        <v>0</v>
      </c>
      <c r="T900">
        <v>0</v>
      </c>
      <c r="U900">
        <v>0</v>
      </c>
      <c r="V900" s="3">
        <v>0</v>
      </c>
      <c r="W900" s="3">
        <v>0</v>
      </c>
      <c r="X900">
        <v>0</v>
      </c>
      <c r="Y900" t="s">
        <v>826</v>
      </c>
    </row>
    <row r="901" spans="1:25" hidden="1" x14ac:dyDescent="0.25">
      <c r="A901" s="1" t="s">
        <v>51</v>
      </c>
      <c r="B901" s="1" t="s">
        <v>120</v>
      </c>
      <c r="C901" s="1" t="s">
        <v>55</v>
      </c>
      <c r="D901" t="s">
        <v>27</v>
      </c>
      <c r="E901" s="2">
        <v>45862</v>
      </c>
      <c r="F901" s="2">
        <v>45862</v>
      </c>
      <c r="G901" s="3">
        <v>51</v>
      </c>
      <c r="H901" s="4" t="s">
        <v>28</v>
      </c>
      <c r="I901">
        <v>49</v>
      </c>
      <c r="J901">
        <v>0</v>
      </c>
      <c r="K901">
        <v>0</v>
      </c>
      <c r="L901" s="3">
        <v>0</v>
      </c>
      <c r="M901" s="3">
        <v>0</v>
      </c>
      <c r="N901">
        <v>1</v>
      </c>
      <c r="O901">
        <v>0</v>
      </c>
      <c r="P901">
        <v>0</v>
      </c>
      <c r="Q901">
        <v>0</v>
      </c>
      <c r="R901" s="3">
        <v>0</v>
      </c>
      <c r="S901" s="3">
        <v>0</v>
      </c>
      <c r="T901">
        <v>0</v>
      </c>
      <c r="U901">
        <v>0</v>
      </c>
      <c r="V901" s="3">
        <v>0</v>
      </c>
      <c r="W901" s="3">
        <v>0</v>
      </c>
      <c r="X901">
        <v>0</v>
      </c>
      <c r="Y901" t="s">
        <v>827</v>
      </c>
    </row>
    <row r="902" spans="1:25" hidden="1" x14ac:dyDescent="0.25">
      <c r="A902" s="1" t="s">
        <v>54</v>
      </c>
      <c r="B902" s="1" t="s">
        <v>122</v>
      </c>
      <c r="C902" s="1" t="s">
        <v>52</v>
      </c>
      <c r="D902" t="s">
        <v>27</v>
      </c>
      <c r="E902" s="2">
        <v>45862</v>
      </c>
      <c r="F902" s="2">
        <v>45862</v>
      </c>
      <c r="G902" s="3">
        <v>34</v>
      </c>
      <c r="H902" s="4" t="s">
        <v>28</v>
      </c>
      <c r="I902">
        <v>25</v>
      </c>
      <c r="J902">
        <v>0</v>
      </c>
      <c r="K902">
        <v>0</v>
      </c>
      <c r="L902" s="3">
        <v>0</v>
      </c>
      <c r="M902" s="3">
        <v>0</v>
      </c>
      <c r="N902">
        <v>0</v>
      </c>
      <c r="O902">
        <v>0</v>
      </c>
      <c r="P902">
        <v>0</v>
      </c>
      <c r="Q902">
        <v>2</v>
      </c>
      <c r="R902" s="3">
        <v>0</v>
      </c>
      <c r="S902" s="3">
        <v>0</v>
      </c>
      <c r="T902">
        <v>0</v>
      </c>
      <c r="U902">
        <v>0</v>
      </c>
      <c r="V902" s="3">
        <v>0</v>
      </c>
      <c r="W902" s="3">
        <v>0</v>
      </c>
      <c r="X902">
        <v>0</v>
      </c>
      <c r="Y902" t="s">
        <v>828</v>
      </c>
    </row>
    <row r="903" spans="1:25" hidden="1" x14ac:dyDescent="0.25">
      <c r="A903" s="1" t="s">
        <v>48</v>
      </c>
      <c r="B903" s="1" t="s">
        <v>149</v>
      </c>
      <c r="C903" s="1" t="s">
        <v>27</v>
      </c>
      <c r="D903" t="s">
        <v>27</v>
      </c>
      <c r="E903" s="2">
        <v>45862</v>
      </c>
      <c r="F903" s="2">
        <v>45862</v>
      </c>
      <c r="G903" s="3">
        <v>179</v>
      </c>
      <c r="H903" s="4" t="s">
        <v>28</v>
      </c>
      <c r="I903">
        <v>35</v>
      </c>
      <c r="J903">
        <v>0</v>
      </c>
      <c r="K903">
        <v>0</v>
      </c>
      <c r="L903" s="3">
        <v>0</v>
      </c>
      <c r="M903" s="3">
        <v>0</v>
      </c>
      <c r="N903">
        <v>0</v>
      </c>
      <c r="O903">
        <v>0</v>
      </c>
      <c r="P903">
        <v>0</v>
      </c>
      <c r="Q903">
        <v>0</v>
      </c>
      <c r="R903" s="3">
        <v>0</v>
      </c>
      <c r="S903" s="3">
        <v>0</v>
      </c>
      <c r="T903">
        <v>0</v>
      </c>
      <c r="U903">
        <v>0</v>
      </c>
      <c r="V903" s="3">
        <v>0</v>
      </c>
      <c r="W903" s="3">
        <v>0</v>
      </c>
      <c r="X903">
        <v>0</v>
      </c>
      <c r="Y903" t="s">
        <v>815</v>
      </c>
    </row>
    <row r="904" spans="1:25" hidden="1" x14ac:dyDescent="0.25">
      <c r="A904" s="1" t="s">
        <v>53</v>
      </c>
      <c r="B904" s="1" t="s">
        <v>142</v>
      </c>
      <c r="C904" s="1" t="s">
        <v>39</v>
      </c>
      <c r="D904" t="s">
        <v>27</v>
      </c>
      <c r="E904" s="2">
        <v>45862</v>
      </c>
      <c r="F904" s="2">
        <v>45862</v>
      </c>
      <c r="G904" s="3">
        <v>52</v>
      </c>
      <c r="H904" s="4" t="s">
        <v>28</v>
      </c>
      <c r="I904">
        <v>23</v>
      </c>
      <c r="J904">
        <v>0</v>
      </c>
      <c r="K904">
        <v>0</v>
      </c>
      <c r="L904" s="3">
        <v>1</v>
      </c>
      <c r="M904" s="3">
        <v>0</v>
      </c>
      <c r="N904">
        <v>0</v>
      </c>
      <c r="O904">
        <v>0</v>
      </c>
      <c r="P904">
        <v>0</v>
      </c>
      <c r="Q904">
        <v>23</v>
      </c>
      <c r="R904" s="3">
        <v>0</v>
      </c>
      <c r="S904" s="3">
        <v>0</v>
      </c>
      <c r="T904">
        <v>0</v>
      </c>
      <c r="U904">
        <v>0</v>
      </c>
      <c r="V904" s="3">
        <v>0</v>
      </c>
      <c r="W904" s="3">
        <v>0</v>
      </c>
      <c r="X904">
        <v>0</v>
      </c>
      <c r="Y904" t="s">
        <v>829</v>
      </c>
    </row>
    <row r="905" spans="1:25" hidden="1" x14ac:dyDescent="0.25">
      <c r="A905" s="1" t="s">
        <v>47</v>
      </c>
      <c r="B905" s="1" t="s">
        <v>149</v>
      </c>
      <c r="C905" s="1" t="s">
        <v>27</v>
      </c>
      <c r="D905" t="s">
        <v>27</v>
      </c>
      <c r="E905" s="2">
        <v>45862</v>
      </c>
      <c r="F905" s="2">
        <v>45862</v>
      </c>
      <c r="G905" s="3">
        <v>179</v>
      </c>
      <c r="H905" s="4" t="s">
        <v>28</v>
      </c>
      <c r="I905">
        <v>35</v>
      </c>
      <c r="J905">
        <v>0</v>
      </c>
      <c r="K905">
        <v>0</v>
      </c>
      <c r="L905" s="3">
        <v>0</v>
      </c>
      <c r="M905" s="3">
        <v>0</v>
      </c>
      <c r="N905">
        <v>0</v>
      </c>
      <c r="O905">
        <v>0</v>
      </c>
      <c r="P905">
        <v>0</v>
      </c>
      <c r="Q905">
        <v>0</v>
      </c>
      <c r="R905" s="3">
        <v>0</v>
      </c>
      <c r="S905" s="3">
        <v>0</v>
      </c>
      <c r="T905">
        <v>0</v>
      </c>
      <c r="U905">
        <v>0</v>
      </c>
      <c r="V905" s="3">
        <v>0</v>
      </c>
      <c r="W905" s="3">
        <v>0</v>
      </c>
      <c r="X905">
        <v>0</v>
      </c>
      <c r="Y905" t="s">
        <v>815</v>
      </c>
    </row>
    <row r="906" spans="1:25" hidden="1" x14ac:dyDescent="0.25">
      <c r="A906" s="1" t="s">
        <v>344</v>
      </c>
      <c r="B906" s="1" t="s">
        <v>739</v>
      </c>
      <c r="C906" s="1" t="s">
        <v>27</v>
      </c>
      <c r="D906" t="s">
        <v>27</v>
      </c>
      <c r="E906" s="2">
        <v>45862</v>
      </c>
      <c r="F906" s="2">
        <v>45862</v>
      </c>
      <c r="G906" s="3">
        <v>180</v>
      </c>
      <c r="H906" s="4" t="s">
        <v>250</v>
      </c>
      <c r="I906">
        <v>0</v>
      </c>
      <c r="J906">
        <v>0</v>
      </c>
      <c r="K906">
        <v>0</v>
      </c>
      <c r="L906" s="3">
        <v>0</v>
      </c>
      <c r="M906" s="3">
        <v>0</v>
      </c>
      <c r="N906">
        <v>0</v>
      </c>
      <c r="O906">
        <v>0</v>
      </c>
      <c r="P906">
        <v>0</v>
      </c>
      <c r="Q906">
        <v>0</v>
      </c>
      <c r="R906" s="3">
        <v>0</v>
      </c>
      <c r="S906" s="3">
        <v>0</v>
      </c>
      <c r="T906">
        <v>0</v>
      </c>
      <c r="U906">
        <v>0</v>
      </c>
      <c r="V906" s="3">
        <v>0</v>
      </c>
      <c r="W906" s="3">
        <v>0</v>
      </c>
      <c r="X906" s="3">
        <v>0</v>
      </c>
      <c r="Y906" t="s">
        <v>815</v>
      </c>
    </row>
    <row r="907" spans="1:25" hidden="1" x14ac:dyDescent="0.25">
      <c r="A907" s="1" t="s">
        <v>58</v>
      </c>
      <c r="B907" s="1" t="s">
        <v>755</v>
      </c>
      <c r="C907" s="1" t="s">
        <v>27</v>
      </c>
      <c r="D907" t="s">
        <v>27</v>
      </c>
      <c r="E907" s="2">
        <v>45862</v>
      </c>
      <c r="F907" s="2">
        <v>45862</v>
      </c>
      <c r="G907" s="3">
        <v>181</v>
      </c>
      <c r="H907" s="4" t="s">
        <v>248</v>
      </c>
      <c r="I907">
        <v>0</v>
      </c>
      <c r="J907">
        <v>0</v>
      </c>
      <c r="K907">
        <v>0</v>
      </c>
      <c r="L907" s="3">
        <v>0</v>
      </c>
      <c r="M907" s="3">
        <v>0</v>
      </c>
      <c r="N907">
        <v>0</v>
      </c>
      <c r="O907">
        <v>0</v>
      </c>
      <c r="P907">
        <v>0</v>
      </c>
      <c r="Q907">
        <v>0</v>
      </c>
      <c r="R907" s="3">
        <v>0</v>
      </c>
      <c r="S907" s="3">
        <v>0</v>
      </c>
      <c r="T907">
        <v>0</v>
      </c>
      <c r="U907">
        <v>0</v>
      </c>
      <c r="V907" s="3">
        <v>0</v>
      </c>
      <c r="W907" s="3">
        <v>0</v>
      </c>
      <c r="X907" s="3">
        <v>0</v>
      </c>
      <c r="Y907" t="s">
        <v>815</v>
      </c>
    </row>
    <row r="908" spans="1:25" hidden="1" x14ac:dyDescent="0.25">
      <c r="A908" s="1" t="s">
        <v>95</v>
      </c>
      <c r="B908" s="1" t="s">
        <v>799</v>
      </c>
      <c r="C908" s="1" t="s">
        <v>27</v>
      </c>
      <c r="D908" s="1" t="s">
        <v>27</v>
      </c>
      <c r="E908" s="2">
        <v>45860</v>
      </c>
      <c r="F908" s="2">
        <v>45860</v>
      </c>
      <c r="G908" s="3">
        <v>39</v>
      </c>
      <c r="H908" s="4" t="s">
        <v>248</v>
      </c>
      <c r="I908">
        <v>0</v>
      </c>
      <c r="J908">
        <v>0</v>
      </c>
      <c r="K908">
        <v>0</v>
      </c>
      <c r="L908" s="3">
        <v>0</v>
      </c>
      <c r="M908" s="3">
        <v>0</v>
      </c>
      <c r="N908">
        <v>0</v>
      </c>
      <c r="O908">
        <v>0</v>
      </c>
      <c r="P908">
        <v>0</v>
      </c>
      <c r="Q908">
        <v>0</v>
      </c>
      <c r="R908" s="3">
        <v>0</v>
      </c>
      <c r="S908" s="3">
        <v>0</v>
      </c>
      <c r="T908">
        <v>0</v>
      </c>
      <c r="U908">
        <v>0</v>
      </c>
      <c r="V908" s="3">
        <v>0</v>
      </c>
      <c r="W908" s="3">
        <v>0</v>
      </c>
      <c r="X908" s="3">
        <v>0</v>
      </c>
      <c r="Y908" t="s">
        <v>796</v>
      </c>
    </row>
    <row r="909" spans="1:25" hidden="1" x14ac:dyDescent="0.25">
      <c r="A909" s="1" t="s">
        <v>56</v>
      </c>
      <c r="B909" s="1" t="s">
        <v>98</v>
      </c>
      <c r="C909" s="1" t="s">
        <v>37</v>
      </c>
      <c r="D909" s="1" t="s">
        <v>27</v>
      </c>
      <c r="E909" s="2">
        <v>45863</v>
      </c>
      <c r="F909" s="2">
        <v>45863</v>
      </c>
      <c r="G909" s="3">
        <v>38</v>
      </c>
      <c r="H909" s="4" t="s">
        <v>28</v>
      </c>
      <c r="I909">
        <v>85</v>
      </c>
      <c r="J909">
        <v>0</v>
      </c>
      <c r="K909">
        <v>0</v>
      </c>
      <c r="L909" s="3">
        <v>1</v>
      </c>
      <c r="M909" s="3">
        <v>0</v>
      </c>
      <c r="N909">
        <v>0</v>
      </c>
      <c r="O909">
        <v>0</v>
      </c>
      <c r="P909">
        <v>0</v>
      </c>
      <c r="Q909">
        <v>25</v>
      </c>
      <c r="R909" s="3">
        <v>0</v>
      </c>
      <c r="S909" s="3">
        <v>0</v>
      </c>
      <c r="T909">
        <v>0</v>
      </c>
      <c r="U909">
        <v>0</v>
      </c>
      <c r="V909" s="3">
        <v>0</v>
      </c>
      <c r="W909" s="3">
        <v>0</v>
      </c>
      <c r="X909">
        <v>0</v>
      </c>
      <c r="Y909" t="s">
        <v>830</v>
      </c>
    </row>
    <row r="910" spans="1:25" hidden="1" x14ac:dyDescent="0.25">
      <c r="A910" s="1" t="s">
        <v>29</v>
      </c>
      <c r="B910" s="1" t="s">
        <v>100</v>
      </c>
      <c r="C910" s="1" t="s">
        <v>245</v>
      </c>
      <c r="D910" s="1" t="s">
        <v>27</v>
      </c>
      <c r="E910" s="2">
        <v>45863</v>
      </c>
      <c r="F910" s="2">
        <v>45863</v>
      </c>
      <c r="G910" s="3">
        <v>56</v>
      </c>
      <c r="H910" s="4" t="s">
        <v>28</v>
      </c>
      <c r="I910">
        <v>65</v>
      </c>
      <c r="J910">
        <v>0</v>
      </c>
      <c r="K910">
        <v>0</v>
      </c>
      <c r="L910" s="3">
        <v>1</v>
      </c>
      <c r="M910" s="3">
        <v>0</v>
      </c>
      <c r="N910">
        <v>0</v>
      </c>
      <c r="O910">
        <v>0</v>
      </c>
      <c r="P910">
        <v>0</v>
      </c>
      <c r="Q910">
        <v>10</v>
      </c>
      <c r="R910" s="3">
        <v>0</v>
      </c>
      <c r="S910" s="3">
        <v>0</v>
      </c>
      <c r="T910">
        <v>0</v>
      </c>
      <c r="U910">
        <v>0</v>
      </c>
      <c r="V910" s="3">
        <v>0</v>
      </c>
      <c r="W910" s="3">
        <v>0</v>
      </c>
      <c r="X910">
        <v>0</v>
      </c>
      <c r="Y910" t="s">
        <v>831</v>
      </c>
    </row>
    <row r="911" spans="1:25" hidden="1" x14ac:dyDescent="0.25">
      <c r="A911" s="1" t="s">
        <v>344</v>
      </c>
      <c r="B911" s="1" t="s">
        <v>102</v>
      </c>
      <c r="C911" s="1" t="s">
        <v>35</v>
      </c>
      <c r="D911" s="1" t="s">
        <v>27</v>
      </c>
      <c r="E911" s="2">
        <v>45863</v>
      </c>
      <c r="F911" s="2">
        <v>45863</v>
      </c>
      <c r="G911" s="3">
        <v>27</v>
      </c>
      <c r="H911" s="4" t="s">
        <v>28</v>
      </c>
      <c r="I911">
        <v>67</v>
      </c>
      <c r="J911">
        <v>0</v>
      </c>
      <c r="K911">
        <v>0</v>
      </c>
      <c r="L911" s="3">
        <v>0</v>
      </c>
      <c r="M911" s="3">
        <v>0</v>
      </c>
      <c r="N911">
        <v>0</v>
      </c>
      <c r="O911">
        <v>0</v>
      </c>
      <c r="P911">
        <v>0</v>
      </c>
      <c r="Q911">
        <v>2</v>
      </c>
      <c r="R911" s="3">
        <v>0</v>
      </c>
      <c r="S911" s="3">
        <v>0</v>
      </c>
      <c r="T911">
        <v>0</v>
      </c>
      <c r="U911">
        <v>0</v>
      </c>
      <c r="V911" s="3">
        <v>0</v>
      </c>
      <c r="W911" s="3">
        <v>0</v>
      </c>
      <c r="X911">
        <v>0</v>
      </c>
      <c r="Y911" t="s">
        <v>832</v>
      </c>
    </row>
    <row r="912" spans="1:25" hidden="1" x14ac:dyDescent="0.25">
      <c r="A912" s="1" t="s">
        <v>31</v>
      </c>
      <c r="B912" s="1" t="s">
        <v>104</v>
      </c>
      <c r="C912" s="1" t="s">
        <v>32</v>
      </c>
      <c r="D912" s="1" t="s">
        <v>27</v>
      </c>
      <c r="E912" s="2">
        <v>45863</v>
      </c>
      <c r="F912" s="2">
        <v>45863</v>
      </c>
      <c r="G912" s="3">
        <v>50</v>
      </c>
      <c r="H912" s="4" t="s">
        <v>28</v>
      </c>
      <c r="I912">
        <v>79</v>
      </c>
      <c r="J912">
        <v>0</v>
      </c>
      <c r="K912">
        <v>0</v>
      </c>
      <c r="L912" s="3">
        <v>0</v>
      </c>
      <c r="M912" s="3">
        <v>0</v>
      </c>
      <c r="N912">
        <v>0</v>
      </c>
      <c r="O912">
        <v>0</v>
      </c>
      <c r="P912">
        <v>0</v>
      </c>
      <c r="Q912">
        <v>50</v>
      </c>
      <c r="R912" s="3">
        <v>0</v>
      </c>
      <c r="S912" s="3">
        <v>0</v>
      </c>
      <c r="T912">
        <v>0</v>
      </c>
      <c r="U912">
        <v>0</v>
      </c>
      <c r="V912" s="3">
        <v>0</v>
      </c>
      <c r="W912" s="3">
        <v>0</v>
      </c>
      <c r="X912">
        <v>0</v>
      </c>
      <c r="Y912" t="s">
        <v>833</v>
      </c>
    </row>
    <row r="913" spans="1:25" hidden="1" x14ac:dyDescent="0.25">
      <c r="A913" s="1" t="s">
        <v>33</v>
      </c>
      <c r="B913" s="1" t="s">
        <v>106</v>
      </c>
      <c r="C913" s="1" t="s">
        <v>57</v>
      </c>
      <c r="D913" s="1" t="s">
        <v>27</v>
      </c>
      <c r="E913" s="2">
        <v>45863</v>
      </c>
      <c r="F913" s="2">
        <v>45863</v>
      </c>
      <c r="G913" s="3">
        <v>25</v>
      </c>
      <c r="H913" s="4" t="s">
        <v>28</v>
      </c>
      <c r="I913">
        <v>45</v>
      </c>
      <c r="J913">
        <v>0</v>
      </c>
      <c r="K913">
        <v>0</v>
      </c>
      <c r="L913" s="3">
        <v>0</v>
      </c>
      <c r="M913" s="3">
        <v>0</v>
      </c>
      <c r="N913">
        <v>0</v>
      </c>
      <c r="O913">
        <v>0</v>
      </c>
      <c r="P913">
        <v>0</v>
      </c>
      <c r="Q913">
        <v>18</v>
      </c>
      <c r="R913" s="3">
        <v>0</v>
      </c>
      <c r="S913" s="3">
        <v>0</v>
      </c>
      <c r="T913">
        <v>0</v>
      </c>
      <c r="U913">
        <v>0</v>
      </c>
      <c r="V913" s="3">
        <v>0</v>
      </c>
      <c r="W913" s="3">
        <v>0</v>
      </c>
      <c r="X913">
        <v>0</v>
      </c>
      <c r="Y913" t="s">
        <v>834</v>
      </c>
    </row>
    <row r="914" spans="1:25" hidden="1" x14ac:dyDescent="0.25">
      <c r="A914" s="1" t="s">
        <v>34</v>
      </c>
      <c r="B914" s="1" t="s">
        <v>247</v>
      </c>
      <c r="C914" s="1" t="s">
        <v>489</v>
      </c>
      <c r="D914" s="1" t="s">
        <v>27</v>
      </c>
      <c r="E914" s="2">
        <v>45863</v>
      </c>
      <c r="F914" s="2">
        <v>45863</v>
      </c>
      <c r="G914" s="3">
        <v>53</v>
      </c>
      <c r="H914" s="4" t="s">
        <v>28</v>
      </c>
      <c r="I914">
        <v>66</v>
      </c>
      <c r="J914">
        <v>0</v>
      </c>
      <c r="K914">
        <v>0</v>
      </c>
      <c r="L914" s="3">
        <v>1</v>
      </c>
      <c r="M914" s="3">
        <v>0</v>
      </c>
      <c r="N914">
        <v>0</v>
      </c>
      <c r="O914">
        <v>0</v>
      </c>
      <c r="P914">
        <v>0</v>
      </c>
      <c r="Q914">
        <v>62</v>
      </c>
      <c r="R914" s="3">
        <v>0</v>
      </c>
      <c r="S914" s="3">
        <v>0</v>
      </c>
      <c r="T914">
        <v>0</v>
      </c>
      <c r="U914">
        <v>0</v>
      </c>
      <c r="V914" s="3">
        <v>0</v>
      </c>
      <c r="W914" s="3">
        <v>0</v>
      </c>
      <c r="X914">
        <v>0</v>
      </c>
      <c r="Y914" t="s">
        <v>835</v>
      </c>
    </row>
    <row r="915" spans="1:25" hidden="1" x14ac:dyDescent="0.25">
      <c r="A915" s="1" t="s">
        <v>38</v>
      </c>
      <c r="B915" s="1" t="s">
        <v>108</v>
      </c>
      <c r="C915" s="1" t="s">
        <v>27</v>
      </c>
      <c r="D915" s="1" t="s">
        <v>27</v>
      </c>
      <c r="E915" s="2">
        <v>45863</v>
      </c>
      <c r="F915" s="2">
        <v>45863</v>
      </c>
      <c r="G915" s="3">
        <v>40</v>
      </c>
      <c r="H915" s="4" t="s">
        <v>28</v>
      </c>
      <c r="I915">
        <v>35</v>
      </c>
      <c r="J915">
        <v>0</v>
      </c>
      <c r="K915">
        <v>0</v>
      </c>
      <c r="L915" s="3">
        <v>0</v>
      </c>
      <c r="M915" s="3">
        <v>0</v>
      </c>
      <c r="N915">
        <v>0</v>
      </c>
      <c r="O915">
        <v>0</v>
      </c>
      <c r="P915">
        <v>0</v>
      </c>
      <c r="Q915">
        <v>35</v>
      </c>
      <c r="R915" s="3">
        <v>0</v>
      </c>
      <c r="S915" s="3">
        <v>0</v>
      </c>
      <c r="T915">
        <v>0</v>
      </c>
      <c r="U915">
        <v>0</v>
      </c>
      <c r="V915" s="3">
        <v>0</v>
      </c>
      <c r="W915" s="3">
        <v>0</v>
      </c>
      <c r="X915">
        <v>0</v>
      </c>
      <c r="Y915" t="s">
        <v>836</v>
      </c>
    </row>
    <row r="916" spans="1:25" hidden="1" x14ac:dyDescent="0.25">
      <c r="A916" s="1" t="s">
        <v>40</v>
      </c>
      <c r="B916" s="1" t="s">
        <v>110</v>
      </c>
      <c r="C916" s="1" t="s">
        <v>27</v>
      </c>
      <c r="D916" s="1" t="s">
        <v>27</v>
      </c>
      <c r="E916" s="2">
        <v>45863</v>
      </c>
      <c r="F916" s="2">
        <v>45863</v>
      </c>
      <c r="G916" s="3">
        <v>59</v>
      </c>
      <c r="H916" s="4" t="s">
        <v>28</v>
      </c>
      <c r="I916">
        <v>71</v>
      </c>
      <c r="J916">
        <v>0</v>
      </c>
      <c r="K916">
        <v>0</v>
      </c>
      <c r="L916" s="3">
        <v>1</v>
      </c>
      <c r="M916" s="3">
        <v>0</v>
      </c>
      <c r="N916">
        <v>1</v>
      </c>
      <c r="O916">
        <v>0</v>
      </c>
      <c r="P916">
        <v>0</v>
      </c>
      <c r="Q916">
        <v>30</v>
      </c>
      <c r="R916" s="3">
        <v>0</v>
      </c>
      <c r="S916" s="3">
        <v>0</v>
      </c>
      <c r="T916">
        <v>0</v>
      </c>
      <c r="U916">
        <v>0</v>
      </c>
      <c r="V916" s="3">
        <v>0</v>
      </c>
      <c r="W916" s="3">
        <v>0</v>
      </c>
      <c r="X916">
        <v>0</v>
      </c>
      <c r="Y916" t="s">
        <v>837</v>
      </c>
    </row>
    <row r="917" spans="1:25" hidden="1" x14ac:dyDescent="0.25">
      <c r="A917" s="1" t="s">
        <v>36</v>
      </c>
      <c r="B917" s="1" t="s">
        <v>110</v>
      </c>
      <c r="C917" s="1" t="s">
        <v>27</v>
      </c>
      <c r="D917" s="1" t="s">
        <v>27</v>
      </c>
      <c r="E917" s="2">
        <v>45863</v>
      </c>
      <c r="F917" s="2">
        <v>45863</v>
      </c>
      <c r="G917" s="3">
        <v>59</v>
      </c>
      <c r="H917" s="4" t="s">
        <v>28</v>
      </c>
      <c r="I917">
        <v>71</v>
      </c>
      <c r="J917">
        <v>0</v>
      </c>
      <c r="K917">
        <v>0</v>
      </c>
      <c r="L917" s="3">
        <v>1</v>
      </c>
      <c r="M917" s="3">
        <v>0</v>
      </c>
      <c r="N917">
        <v>1</v>
      </c>
      <c r="O917">
        <v>0</v>
      </c>
      <c r="P917">
        <v>0</v>
      </c>
      <c r="Q917">
        <v>30</v>
      </c>
      <c r="R917" s="3">
        <v>0</v>
      </c>
      <c r="S917" s="3">
        <v>0</v>
      </c>
      <c r="T917">
        <v>0</v>
      </c>
      <c r="U917">
        <v>0</v>
      </c>
      <c r="V917" s="3">
        <v>0</v>
      </c>
      <c r="W917" s="3">
        <v>0</v>
      </c>
      <c r="X917">
        <v>0</v>
      </c>
      <c r="Y917" t="s">
        <v>837</v>
      </c>
    </row>
    <row r="918" spans="1:25" hidden="1" x14ac:dyDescent="0.25">
      <c r="A918" s="1" t="s">
        <v>41</v>
      </c>
      <c r="B918" s="1" t="s">
        <v>112</v>
      </c>
      <c r="C918" s="1" t="s">
        <v>42</v>
      </c>
      <c r="D918" t="s">
        <v>27</v>
      </c>
      <c r="E918" s="2">
        <v>45863</v>
      </c>
      <c r="F918" s="2">
        <v>45863</v>
      </c>
      <c r="G918" s="3">
        <v>34</v>
      </c>
      <c r="H918" s="4" t="s">
        <v>28</v>
      </c>
      <c r="I918">
        <v>43</v>
      </c>
      <c r="J918">
        <v>0</v>
      </c>
      <c r="K918">
        <v>0</v>
      </c>
      <c r="L918" s="3">
        <v>1</v>
      </c>
      <c r="M918" s="3">
        <v>0</v>
      </c>
      <c r="N918">
        <v>0</v>
      </c>
      <c r="O918">
        <v>0</v>
      </c>
      <c r="P918">
        <v>0</v>
      </c>
      <c r="Q918">
        <v>0</v>
      </c>
      <c r="R918" s="3">
        <v>0</v>
      </c>
      <c r="S918" s="3">
        <v>0</v>
      </c>
      <c r="T918">
        <v>0</v>
      </c>
      <c r="U918">
        <v>0</v>
      </c>
      <c r="V918" s="3">
        <v>0</v>
      </c>
      <c r="W918" s="3">
        <v>0</v>
      </c>
      <c r="X918">
        <v>0</v>
      </c>
      <c r="Y918" t="s">
        <v>807</v>
      </c>
    </row>
    <row r="919" spans="1:25" hidden="1" x14ac:dyDescent="0.25">
      <c r="A919" s="1" t="s">
        <v>43</v>
      </c>
      <c r="B919" s="1" t="s">
        <v>114</v>
      </c>
      <c r="C919" s="1" t="s">
        <v>44</v>
      </c>
      <c r="D919" s="1" t="s">
        <v>27</v>
      </c>
      <c r="E919" s="2">
        <v>45863</v>
      </c>
      <c r="F919" s="2">
        <v>45863</v>
      </c>
      <c r="G919" s="3">
        <v>28</v>
      </c>
      <c r="H919" s="4" t="s">
        <v>28</v>
      </c>
      <c r="I919">
        <v>77</v>
      </c>
      <c r="J919">
        <v>0</v>
      </c>
      <c r="K919">
        <v>0</v>
      </c>
      <c r="L919" s="3">
        <v>0</v>
      </c>
      <c r="M919" s="3">
        <v>0</v>
      </c>
      <c r="N919">
        <v>0</v>
      </c>
      <c r="O919">
        <v>0</v>
      </c>
      <c r="P919">
        <v>0</v>
      </c>
      <c r="Q919">
        <v>0</v>
      </c>
      <c r="R919" s="3">
        <v>0</v>
      </c>
      <c r="S919" s="3">
        <v>0</v>
      </c>
      <c r="T919">
        <v>0</v>
      </c>
      <c r="U919">
        <v>0</v>
      </c>
      <c r="V919" s="3">
        <v>0</v>
      </c>
      <c r="W919" s="3">
        <v>0</v>
      </c>
      <c r="X919">
        <v>0</v>
      </c>
      <c r="Y919" t="s">
        <v>838</v>
      </c>
    </row>
    <row r="920" spans="1:25" hidden="1" x14ac:dyDescent="0.25">
      <c r="A920" s="1" t="s">
        <v>45</v>
      </c>
      <c r="B920" s="1" t="s">
        <v>116</v>
      </c>
      <c r="C920" s="1" t="s">
        <v>46</v>
      </c>
      <c r="D920" s="1" t="s">
        <v>27</v>
      </c>
      <c r="E920" s="2">
        <v>45863</v>
      </c>
      <c r="F920" s="2">
        <v>45863</v>
      </c>
      <c r="G920" s="3">
        <v>56</v>
      </c>
      <c r="H920" s="4" t="s">
        <v>28</v>
      </c>
      <c r="I920">
        <v>70</v>
      </c>
      <c r="J920">
        <v>0</v>
      </c>
      <c r="K920">
        <v>0</v>
      </c>
      <c r="L920" s="3">
        <v>1</v>
      </c>
      <c r="M920" s="3">
        <v>0</v>
      </c>
      <c r="N920">
        <v>0</v>
      </c>
      <c r="O920">
        <v>0</v>
      </c>
      <c r="P920">
        <v>0</v>
      </c>
      <c r="Q920">
        <v>0</v>
      </c>
      <c r="R920" s="3">
        <v>0</v>
      </c>
      <c r="S920" s="3">
        <v>0</v>
      </c>
      <c r="T920">
        <v>0</v>
      </c>
      <c r="U920">
        <v>0</v>
      </c>
      <c r="V920" s="3">
        <v>0</v>
      </c>
      <c r="W920" s="3">
        <v>0</v>
      </c>
      <c r="X920">
        <v>0</v>
      </c>
      <c r="Y920" t="s">
        <v>839</v>
      </c>
    </row>
    <row r="921" spans="1:25" hidden="1" x14ac:dyDescent="0.25">
      <c r="A921" s="1" t="s">
        <v>49</v>
      </c>
      <c r="B921" s="1" t="s">
        <v>118</v>
      </c>
      <c r="C921" s="1" t="s">
        <v>50</v>
      </c>
      <c r="D921" s="1" t="s">
        <v>27</v>
      </c>
      <c r="E921" s="2">
        <v>45863</v>
      </c>
      <c r="F921" s="2">
        <v>45863</v>
      </c>
      <c r="G921" s="3">
        <v>27</v>
      </c>
      <c r="H921" s="4" t="s">
        <v>28</v>
      </c>
      <c r="I921">
        <v>49</v>
      </c>
      <c r="J921">
        <v>0</v>
      </c>
      <c r="K921">
        <v>0</v>
      </c>
      <c r="L921" s="3">
        <v>1</v>
      </c>
      <c r="M921" s="3">
        <v>1</v>
      </c>
      <c r="N921">
        <v>0</v>
      </c>
      <c r="O921">
        <v>0</v>
      </c>
      <c r="P921">
        <v>0</v>
      </c>
      <c r="Q921">
        <v>51</v>
      </c>
      <c r="R921" s="3">
        <v>0</v>
      </c>
      <c r="S921" s="3">
        <v>0</v>
      </c>
      <c r="T921">
        <v>0</v>
      </c>
      <c r="U921">
        <v>0</v>
      </c>
      <c r="V921" s="3">
        <v>0</v>
      </c>
      <c r="W921" s="3">
        <v>0</v>
      </c>
      <c r="X921">
        <v>0</v>
      </c>
      <c r="Y921" t="s">
        <v>840</v>
      </c>
    </row>
    <row r="922" spans="1:25" hidden="1" x14ac:dyDescent="0.25">
      <c r="A922" s="1" t="s">
        <v>51</v>
      </c>
      <c r="B922" s="1" t="s">
        <v>120</v>
      </c>
      <c r="C922" s="1" t="s">
        <v>55</v>
      </c>
      <c r="D922" s="1" t="s">
        <v>27</v>
      </c>
      <c r="E922" s="2">
        <v>45863</v>
      </c>
      <c r="F922" s="2">
        <v>45863</v>
      </c>
      <c r="G922" s="3">
        <v>59</v>
      </c>
      <c r="H922" s="4" t="s">
        <v>28</v>
      </c>
      <c r="I922">
        <v>63</v>
      </c>
      <c r="J922">
        <v>0</v>
      </c>
      <c r="K922">
        <v>0</v>
      </c>
      <c r="L922" s="3">
        <v>1</v>
      </c>
      <c r="M922" s="3">
        <v>0</v>
      </c>
      <c r="N922">
        <v>1</v>
      </c>
      <c r="O922">
        <v>0</v>
      </c>
      <c r="P922">
        <v>0</v>
      </c>
      <c r="Q922">
        <v>0</v>
      </c>
      <c r="R922" s="3">
        <v>0</v>
      </c>
      <c r="S922" s="3">
        <v>0</v>
      </c>
      <c r="T922">
        <v>0</v>
      </c>
      <c r="U922">
        <v>0</v>
      </c>
      <c r="V922" s="3">
        <v>0</v>
      </c>
      <c r="W922" s="3">
        <v>0</v>
      </c>
      <c r="X922">
        <v>0</v>
      </c>
      <c r="Y922" t="s">
        <v>841</v>
      </c>
    </row>
    <row r="923" spans="1:25" hidden="1" x14ac:dyDescent="0.25">
      <c r="A923" s="1" t="s">
        <v>54</v>
      </c>
      <c r="B923" s="1" t="s">
        <v>122</v>
      </c>
      <c r="C923" s="1" t="s">
        <v>52</v>
      </c>
      <c r="D923" s="1" t="s">
        <v>27</v>
      </c>
      <c r="E923" s="2">
        <v>45863</v>
      </c>
      <c r="F923" s="2">
        <v>45863</v>
      </c>
      <c r="G923" s="3">
        <v>58</v>
      </c>
      <c r="H923" s="4" t="s">
        <v>28</v>
      </c>
      <c r="I923">
        <v>49</v>
      </c>
      <c r="J923">
        <v>0</v>
      </c>
      <c r="K923">
        <v>0</v>
      </c>
      <c r="L923" s="3">
        <v>0</v>
      </c>
      <c r="M923" s="3">
        <v>1</v>
      </c>
      <c r="N923">
        <v>0</v>
      </c>
      <c r="O923">
        <v>0</v>
      </c>
      <c r="P923">
        <v>0</v>
      </c>
      <c r="Q923">
        <v>2</v>
      </c>
      <c r="R923" s="3">
        <v>0</v>
      </c>
      <c r="S923" s="3">
        <v>0</v>
      </c>
      <c r="T923">
        <v>0</v>
      </c>
      <c r="U923">
        <v>0</v>
      </c>
      <c r="V923" s="3">
        <v>0</v>
      </c>
      <c r="W923" s="3">
        <v>0</v>
      </c>
      <c r="X923">
        <v>0</v>
      </c>
      <c r="Y923" t="s">
        <v>842</v>
      </c>
    </row>
    <row r="924" spans="1:25" hidden="1" x14ac:dyDescent="0.25">
      <c r="A924" s="1" t="s">
        <v>48</v>
      </c>
      <c r="B924" s="1" t="s">
        <v>149</v>
      </c>
      <c r="C924" s="1" t="s">
        <v>27</v>
      </c>
      <c r="D924" s="1" t="s">
        <v>27</v>
      </c>
      <c r="E924" s="2">
        <v>45863</v>
      </c>
      <c r="F924" s="2">
        <v>45863</v>
      </c>
      <c r="G924" s="3">
        <v>167</v>
      </c>
      <c r="H924" s="4" t="s">
        <v>28</v>
      </c>
      <c r="I924">
        <v>59</v>
      </c>
      <c r="J924">
        <v>0</v>
      </c>
      <c r="K924">
        <v>0</v>
      </c>
      <c r="L924" s="3">
        <v>0</v>
      </c>
      <c r="M924" s="3">
        <v>0</v>
      </c>
      <c r="N924">
        <v>0</v>
      </c>
      <c r="O924">
        <v>0</v>
      </c>
      <c r="P924">
        <v>0</v>
      </c>
      <c r="Q924">
        <v>4</v>
      </c>
      <c r="R924" s="3">
        <v>0</v>
      </c>
      <c r="S924" s="3">
        <v>0</v>
      </c>
      <c r="T924">
        <v>0</v>
      </c>
      <c r="U924">
        <v>0</v>
      </c>
      <c r="V924" s="3">
        <v>0</v>
      </c>
      <c r="W924" s="3">
        <v>0</v>
      </c>
      <c r="X924">
        <v>0</v>
      </c>
      <c r="Y924" t="s">
        <v>843</v>
      </c>
    </row>
    <row r="925" spans="1:25" hidden="1" x14ac:dyDescent="0.25">
      <c r="A925" s="1" t="s">
        <v>53</v>
      </c>
      <c r="B925" s="1" t="s">
        <v>142</v>
      </c>
      <c r="C925" s="1" t="s">
        <v>39</v>
      </c>
      <c r="D925" s="1" t="s">
        <v>27</v>
      </c>
      <c r="E925" s="2">
        <v>45863</v>
      </c>
      <c r="F925" s="2">
        <v>45863</v>
      </c>
      <c r="G925" s="3">
        <v>45</v>
      </c>
      <c r="H925" s="4" t="s">
        <v>28</v>
      </c>
      <c r="I925">
        <v>31</v>
      </c>
      <c r="J925">
        <v>0</v>
      </c>
      <c r="K925">
        <v>0</v>
      </c>
      <c r="L925" s="3">
        <v>1</v>
      </c>
      <c r="M925" s="3">
        <v>0</v>
      </c>
      <c r="N925">
        <v>0</v>
      </c>
      <c r="O925">
        <v>0</v>
      </c>
      <c r="P925">
        <v>0</v>
      </c>
      <c r="Q925">
        <v>31</v>
      </c>
      <c r="R925" s="3">
        <v>0</v>
      </c>
      <c r="S925" s="3">
        <v>0</v>
      </c>
      <c r="T925">
        <v>0</v>
      </c>
      <c r="U925">
        <v>0</v>
      </c>
      <c r="V925" s="3">
        <v>0</v>
      </c>
      <c r="W925" s="3">
        <v>0</v>
      </c>
      <c r="X925">
        <v>0</v>
      </c>
      <c r="Y925" t="s">
        <v>844</v>
      </c>
    </row>
    <row r="926" spans="1:25" hidden="1" x14ac:dyDescent="0.25">
      <c r="A926" s="1" t="s">
        <v>47</v>
      </c>
      <c r="B926" s="1" t="s">
        <v>149</v>
      </c>
      <c r="C926" s="1" t="s">
        <v>27</v>
      </c>
      <c r="D926" s="1" t="s">
        <v>27</v>
      </c>
      <c r="E926" s="2">
        <v>45863</v>
      </c>
      <c r="F926" s="2">
        <v>45863</v>
      </c>
      <c r="G926" s="3">
        <v>167</v>
      </c>
      <c r="H926" s="4" t="s">
        <v>28</v>
      </c>
      <c r="I926">
        <v>59</v>
      </c>
      <c r="J926">
        <v>0</v>
      </c>
      <c r="K926">
        <v>0</v>
      </c>
      <c r="L926" s="3">
        <v>0</v>
      </c>
      <c r="M926" s="3">
        <v>0</v>
      </c>
      <c r="N926">
        <v>0</v>
      </c>
      <c r="O926">
        <v>0</v>
      </c>
      <c r="P926">
        <v>0</v>
      </c>
      <c r="Q926">
        <v>4</v>
      </c>
      <c r="R926" s="3">
        <v>0</v>
      </c>
      <c r="S926" s="3">
        <v>0</v>
      </c>
      <c r="T926">
        <v>0</v>
      </c>
      <c r="U926">
        <v>0</v>
      </c>
      <c r="V926" s="3">
        <v>0</v>
      </c>
      <c r="W926" s="3">
        <v>0</v>
      </c>
      <c r="X926">
        <v>0</v>
      </c>
      <c r="Y926" t="s">
        <v>843</v>
      </c>
    </row>
    <row r="927" spans="1:25" hidden="1" x14ac:dyDescent="0.25">
      <c r="A927" s="1" t="s">
        <v>58</v>
      </c>
      <c r="B927" s="1" t="s">
        <v>755</v>
      </c>
      <c r="C927" s="1" t="s">
        <v>27</v>
      </c>
      <c r="D927" s="1" t="s">
        <v>27</v>
      </c>
      <c r="E927" s="2">
        <v>45862</v>
      </c>
      <c r="F927" s="2">
        <v>45862</v>
      </c>
      <c r="G927" s="3">
        <v>181</v>
      </c>
      <c r="H927" s="4" t="s">
        <v>248</v>
      </c>
      <c r="I927">
        <v>0</v>
      </c>
      <c r="J927">
        <v>0</v>
      </c>
      <c r="K927">
        <v>0</v>
      </c>
      <c r="L927" s="3">
        <v>0</v>
      </c>
      <c r="M927" s="3">
        <v>0</v>
      </c>
      <c r="N927">
        <v>0</v>
      </c>
      <c r="O927">
        <v>0</v>
      </c>
      <c r="P927">
        <v>0</v>
      </c>
      <c r="Q927">
        <v>0</v>
      </c>
      <c r="R927" s="3">
        <v>0</v>
      </c>
      <c r="S927" s="3">
        <v>0</v>
      </c>
      <c r="T927">
        <v>0</v>
      </c>
      <c r="U927">
        <v>0</v>
      </c>
      <c r="V927" s="3">
        <v>0</v>
      </c>
      <c r="W927" s="3">
        <v>0</v>
      </c>
      <c r="X927" s="3">
        <v>0</v>
      </c>
      <c r="Y927" t="s">
        <v>815</v>
      </c>
    </row>
    <row r="928" spans="1:25" hidden="1" x14ac:dyDescent="0.25">
      <c r="A928" s="1" t="s">
        <v>95</v>
      </c>
      <c r="B928" s="1" t="s">
        <v>799</v>
      </c>
      <c r="C928" s="1" t="s">
        <v>27</v>
      </c>
      <c r="D928" s="1" t="s">
        <v>27</v>
      </c>
      <c r="E928" s="2">
        <v>45860</v>
      </c>
      <c r="F928" s="2">
        <v>45860</v>
      </c>
      <c r="G928" s="3">
        <v>39</v>
      </c>
      <c r="H928" s="4" t="s">
        <v>248</v>
      </c>
      <c r="I928">
        <v>0</v>
      </c>
      <c r="J928">
        <v>0</v>
      </c>
      <c r="K928">
        <v>0</v>
      </c>
      <c r="L928" s="3">
        <v>0</v>
      </c>
      <c r="M928" s="3">
        <v>0</v>
      </c>
      <c r="N928">
        <v>0</v>
      </c>
      <c r="O928">
        <v>0</v>
      </c>
      <c r="P928">
        <v>0</v>
      </c>
      <c r="Q928">
        <v>0</v>
      </c>
      <c r="R928" s="3">
        <v>0</v>
      </c>
      <c r="S928" s="3">
        <v>0</v>
      </c>
      <c r="T928">
        <v>0</v>
      </c>
      <c r="U928">
        <v>0</v>
      </c>
      <c r="V928" s="3">
        <v>0</v>
      </c>
      <c r="W928" s="3">
        <v>0</v>
      </c>
      <c r="X928" s="3">
        <v>0</v>
      </c>
      <c r="Y928" t="s">
        <v>796</v>
      </c>
    </row>
    <row r="929" spans="1:25" hidden="1" x14ac:dyDescent="0.25">
      <c r="A929" t="s">
        <v>41</v>
      </c>
      <c r="B929" t="s">
        <v>112</v>
      </c>
      <c r="C929" t="s">
        <v>42</v>
      </c>
      <c r="D929" t="s">
        <v>27</v>
      </c>
      <c r="E929" s="2">
        <v>45864</v>
      </c>
      <c r="F929" s="2">
        <v>45864</v>
      </c>
      <c r="G929" s="3">
        <v>72</v>
      </c>
      <c r="H929" t="s">
        <v>28</v>
      </c>
      <c r="I929">
        <v>0</v>
      </c>
      <c r="J929">
        <v>0</v>
      </c>
      <c r="K929">
        <v>0</v>
      </c>
      <c r="L929" s="3">
        <v>0</v>
      </c>
      <c r="M929" s="3">
        <v>0</v>
      </c>
      <c r="N929">
        <v>0</v>
      </c>
      <c r="O929">
        <v>0</v>
      </c>
      <c r="P929">
        <v>0</v>
      </c>
      <c r="Q929">
        <v>5</v>
      </c>
      <c r="R929" s="3">
        <v>1</v>
      </c>
      <c r="S929" s="3">
        <v>0</v>
      </c>
      <c r="T929">
        <v>12</v>
      </c>
      <c r="U929">
        <v>19</v>
      </c>
      <c r="V929" s="3">
        <v>1</v>
      </c>
      <c r="W929" s="3">
        <v>0</v>
      </c>
      <c r="X929">
        <v>0</v>
      </c>
      <c r="Y929" t="s">
        <v>845</v>
      </c>
    </row>
    <row r="930" spans="1:25" hidden="1" x14ac:dyDescent="0.25">
      <c r="A930" t="s">
        <v>51</v>
      </c>
      <c r="B930" t="s">
        <v>120</v>
      </c>
      <c r="C930" t="s">
        <v>55</v>
      </c>
      <c r="D930" t="s">
        <v>27</v>
      </c>
      <c r="E930" s="2">
        <v>45864</v>
      </c>
      <c r="F930" s="2">
        <v>45864</v>
      </c>
      <c r="G930" s="3">
        <v>78</v>
      </c>
      <c r="H930" t="s">
        <v>28</v>
      </c>
      <c r="I930">
        <v>0</v>
      </c>
      <c r="J930">
        <v>0</v>
      </c>
      <c r="K930">
        <v>0</v>
      </c>
      <c r="L930" s="3">
        <v>0</v>
      </c>
      <c r="M930" s="3">
        <v>0</v>
      </c>
      <c r="N930">
        <v>0</v>
      </c>
      <c r="O930">
        <v>0</v>
      </c>
      <c r="P930">
        <v>0</v>
      </c>
      <c r="Q930">
        <v>0</v>
      </c>
      <c r="R930" s="3">
        <v>1</v>
      </c>
      <c r="S930" s="3">
        <v>0</v>
      </c>
      <c r="T930">
        <v>5</v>
      </c>
      <c r="U930">
        <v>27</v>
      </c>
      <c r="V930" s="3">
        <v>1</v>
      </c>
      <c r="W930" s="3">
        <v>0</v>
      </c>
      <c r="X930">
        <v>0</v>
      </c>
      <c r="Y930" t="s">
        <v>846</v>
      </c>
    </row>
    <row r="931" spans="1:25" hidden="1" x14ac:dyDescent="0.25">
      <c r="A931" t="s">
        <v>33</v>
      </c>
      <c r="B931" t="s">
        <v>106</v>
      </c>
      <c r="C931" t="s">
        <v>55</v>
      </c>
      <c r="D931" t="s">
        <v>27</v>
      </c>
      <c r="E931" s="2">
        <v>45865</v>
      </c>
      <c r="F931" s="2">
        <v>45865</v>
      </c>
      <c r="G931" s="3">
        <v>148</v>
      </c>
      <c r="H931" t="s">
        <v>28</v>
      </c>
      <c r="I931">
        <v>0</v>
      </c>
      <c r="J931">
        <v>0</v>
      </c>
      <c r="K931">
        <v>0</v>
      </c>
      <c r="L931" s="3">
        <v>0</v>
      </c>
      <c r="M931" s="3">
        <v>0</v>
      </c>
      <c r="N931">
        <v>0</v>
      </c>
      <c r="O931">
        <v>0</v>
      </c>
      <c r="P931">
        <v>0</v>
      </c>
      <c r="Q931">
        <v>12</v>
      </c>
      <c r="R931" s="3">
        <v>0</v>
      </c>
      <c r="S931" s="3">
        <v>1</v>
      </c>
      <c r="T931">
        <v>16</v>
      </c>
      <c r="U931">
        <v>30</v>
      </c>
      <c r="V931" s="3">
        <v>0</v>
      </c>
      <c r="W931" s="3">
        <v>1</v>
      </c>
      <c r="X931">
        <v>0</v>
      </c>
      <c r="Y931" t="s">
        <v>847</v>
      </c>
    </row>
    <row r="932" spans="1:25" hidden="1" x14ac:dyDescent="0.25">
      <c r="A932" s="1" t="s">
        <v>56</v>
      </c>
      <c r="B932" s="1" t="s">
        <v>98</v>
      </c>
      <c r="C932" s="1" t="s">
        <v>37</v>
      </c>
      <c r="D932" s="1" t="s">
        <v>27</v>
      </c>
      <c r="E932" s="2">
        <v>45866</v>
      </c>
      <c r="F932" s="2">
        <v>45866</v>
      </c>
      <c r="G932" s="3">
        <v>48</v>
      </c>
      <c r="H932" t="s">
        <v>28</v>
      </c>
      <c r="I932">
        <v>72</v>
      </c>
      <c r="J932">
        <v>0</v>
      </c>
      <c r="K932">
        <v>0</v>
      </c>
      <c r="L932" s="3">
        <v>1</v>
      </c>
      <c r="M932" s="3">
        <v>0</v>
      </c>
      <c r="N932">
        <v>0</v>
      </c>
      <c r="O932">
        <v>0</v>
      </c>
      <c r="P932">
        <v>0</v>
      </c>
      <c r="Q932">
        <v>20</v>
      </c>
      <c r="R932" s="3">
        <v>0</v>
      </c>
      <c r="S932" s="3">
        <v>0</v>
      </c>
      <c r="T932">
        <v>0</v>
      </c>
      <c r="U932">
        <v>0</v>
      </c>
      <c r="V932" s="3">
        <v>0</v>
      </c>
      <c r="W932" s="3">
        <v>0</v>
      </c>
      <c r="X932">
        <v>0</v>
      </c>
      <c r="Y932" t="s">
        <v>848</v>
      </c>
    </row>
    <row r="933" spans="1:25" hidden="1" x14ac:dyDescent="0.25">
      <c r="A933" s="1" t="s">
        <v>29</v>
      </c>
      <c r="B933" s="1" t="s">
        <v>100</v>
      </c>
      <c r="C933" s="1" t="s">
        <v>245</v>
      </c>
      <c r="D933" s="1" t="s">
        <v>27</v>
      </c>
      <c r="E933" s="2">
        <v>45866</v>
      </c>
      <c r="F933" s="2">
        <v>45866</v>
      </c>
      <c r="G933" s="3">
        <v>63</v>
      </c>
      <c r="H933" t="s">
        <v>28</v>
      </c>
      <c r="I933">
        <v>45</v>
      </c>
      <c r="J933">
        <v>55</v>
      </c>
      <c r="K933">
        <v>0</v>
      </c>
      <c r="L933" s="3">
        <v>1</v>
      </c>
      <c r="M933" s="3">
        <v>0</v>
      </c>
      <c r="N933">
        <v>0</v>
      </c>
      <c r="O933">
        <v>0</v>
      </c>
      <c r="P933">
        <v>0</v>
      </c>
      <c r="Q933">
        <v>7</v>
      </c>
      <c r="R933" s="3">
        <v>0</v>
      </c>
      <c r="S933" s="3">
        <v>0</v>
      </c>
      <c r="T933">
        <v>0</v>
      </c>
      <c r="U933">
        <v>0</v>
      </c>
      <c r="V933" s="3">
        <v>0</v>
      </c>
      <c r="W933" s="3">
        <v>0</v>
      </c>
      <c r="X933">
        <v>3</v>
      </c>
      <c r="Y933" t="s">
        <v>849</v>
      </c>
    </row>
    <row r="934" spans="1:25" hidden="1" x14ac:dyDescent="0.25">
      <c r="A934" s="1" t="s">
        <v>344</v>
      </c>
      <c r="B934" s="1" t="s">
        <v>102</v>
      </c>
      <c r="C934" s="1" t="s">
        <v>35</v>
      </c>
      <c r="D934" s="1" t="s">
        <v>27</v>
      </c>
      <c r="E934" s="2">
        <v>45866</v>
      </c>
      <c r="F934" s="2">
        <v>45866</v>
      </c>
      <c r="G934" s="3">
        <v>35</v>
      </c>
      <c r="H934" t="s">
        <v>28</v>
      </c>
      <c r="I934">
        <v>20</v>
      </c>
      <c r="J934">
        <v>55</v>
      </c>
      <c r="K934">
        <v>0</v>
      </c>
      <c r="L934" s="3">
        <v>0</v>
      </c>
      <c r="M934" s="3">
        <v>0</v>
      </c>
      <c r="N934">
        <v>0</v>
      </c>
      <c r="O934">
        <v>0</v>
      </c>
      <c r="P934">
        <v>0</v>
      </c>
      <c r="Q934">
        <v>0</v>
      </c>
      <c r="R934" s="3">
        <v>0</v>
      </c>
      <c r="S934" s="3">
        <v>0</v>
      </c>
      <c r="T934">
        <v>0</v>
      </c>
      <c r="U934">
        <v>0</v>
      </c>
      <c r="V934" s="3">
        <v>0</v>
      </c>
      <c r="W934" s="3">
        <v>0</v>
      </c>
      <c r="X934">
        <v>0</v>
      </c>
      <c r="Y934" t="s">
        <v>850</v>
      </c>
    </row>
    <row r="935" spans="1:25" hidden="1" x14ac:dyDescent="0.25">
      <c r="A935" s="1" t="s">
        <v>31</v>
      </c>
      <c r="B935" s="1" t="s">
        <v>104</v>
      </c>
      <c r="C935" s="1" t="s">
        <v>32</v>
      </c>
      <c r="D935" s="1" t="s">
        <v>27</v>
      </c>
      <c r="E935" s="2">
        <v>45866</v>
      </c>
      <c r="F935" s="2">
        <v>45866</v>
      </c>
      <c r="G935" s="3">
        <v>36</v>
      </c>
      <c r="H935" t="s">
        <v>28</v>
      </c>
      <c r="I935">
        <v>101</v>
      </c>
      <c r="J935">
        <v>0</v>
      </c>
      <c r="K935">
        <v>0</v>
      </c>
      <c r="L935" s="3">
        <v>0</v>
      </c>
      <c r="M935" s="3">
        <v>0</v>
      </c>
      <c r="N935">
        <v>0</v>
      </c>
      <c r="O935">
        <v>0</v>
      </c>
      <c r="P935">
        <v>0</v>
      </c>
      <c r="Q935">
        <v>50</v>
      </c>
      <c r="R935" s="3">
        <v>0</v>
      </c>
      <c r="S935" s="3">
        <v>0</v>
      </c>
      <c r="T935">
        <v>0</v>
      </c>
      <c r="U935">
        <v>0</v>
      </c>
      <c r="V935" s="3">
        <v>0</v>
      </c>
      <c r="W935" s="3">
        <v>0</v>
      </c>
      <c r="X935">
        <v>0</v>
      </c>
      <c r="Y935" t="s">
        <v>851</v>
      </c>
    </row>
    <row r="936" spans="1:25" hidden="1" x14ac:dyDescent="0.25">
      <c r="A936" s="1" t="s">
        <v>33</v>
      </c>
      <c r="B936" s="1" t="s">
        <v>106</v>
      </c>
      <c r="C936" s="1" t="s">
        <v>57</v>
      </c>
      <c r="D936" s="1" t="s">
        <v>27</v>
      </c>
      <c r="E936" s="2">
        <v>45866</v>
      </c>
      <c r="F936" s="2">
        <v>45866</v>
      </c>
      <c r="G936" s="3">
        <v>31</v>
      </c>
      <c r="H936" t="s">
        <v>28</v>
      </c>
      <c r="I936">
        <v>57</v>
      </c>
      <c r="J936">
        <v>0</v>
      </c>
      <c r="K936">
        <v>0</v>
      </c>
      <c r="L936" s="3">
        <v>0</v>
      </c>
      <c r="M936" s="3">
        <v>0</v>
      </c>
      <c r="N936">
        <v>0</v>
      </c>
      <c r="O936">
        <v>0</v>
      </c>
      <c r="P936">
        <v>0</v>
      </c>
      <c r="Q936">
        <v>18</v>
      </c>
      <c r="R936" s="3">
        <v>0</v>
      </c>
      <c r="S936" s="3">
        <v>0</v>
      </c>
      <c r="T936">
        <v>0</v>
      </c>
      <c r="U936">
        <v>0</v>
      </c>
      <c r="V936" s="3">
        <v>0</v>
      </c>
      <c r="W936" s="3">
        <v>0</v>
      </c>
      <c r="X936">
        <v>0</v>
      </c>
      <c r="Y936" t="s">
        <v>852</v>
      </c>
    </row>
    <row r="937" spans="1:25" hidden="1" x14ac:dyDescent="0.25">
      <c r="A937" s="1" t="s">
        <v>34</v>
      </c>
      <c r="B937" s="1" t="s">
        <v>247</v>
      </c>
      <c r="C937" s="1" t="s">
        <v>489</v>
      </c>
      <c r="D937" s="1" t="s">
        <v>27</v>
      </c>
      <c r="E937" s="2">
        <v>45866</v>
      </c>
      <c r="F937" s="2">
        <v>45866</v>
      </c>
      <c r="G937" s="3">
        <v>25</v>
      </c>
      <c r="H937" t="s">
        <v>28</v>
      </c>
      <c r="I937">
        <v>58</v>
      </c>
      <c r="J937">
        <v>20</v>
      </c>
      <c r="K937">
        <v>0</v>
      </c>
      <c r="L937" s="3">
        <v>1</v>
      </c>
      <c r="M937" s="3">
        <v>0</v>
      </c>
      <c r="N937">
        <v>0</v>
      </c>
      <c r="O937">
        <v>0</v>
      </c>
      <c r="P937">
        <v>0</v>
      </c>
      <c r="Q937">
        <v>0</v>
      </c>
      <c r="R937" s="3">
        <v>0</v>
      </c>
      <c r="S937" s="3">
        <v>0</v>
      </c>
      <c r="T937">
        <v>0</v>
      </c>
      <c r="U937">
        <v>0</v>
      </c>
      <c r="V937" s="3">
        <v>0</v>
      </c>
      <c r="W937" s="3">
        <v>0</v>
      </c>
      <c r="X937">
        <v>0</v>
      </c>
      <c r="Y937" t="s">
        <v>853</v>
      </c>
    </row>
    <row r="938" spans="1:25" hidden="1" x14ac:dyDescent="0.25">
      <c r="A938" s="1" t="s">
        <v>38</v>
      </c>
      <c r="B938" s="1" t="s">
        <v>108</v>
      </c>
      <c r="C938" s="1" t="s">
        <v>27</v>
      </c>
      <c r="D938" s="1" t="s">
        <v>27</v>
      </c>
      <c r="E938" s="2">
        <v>45866</v>
      </c>
      <c r="F938" s="2">
        <v>45866</v>
      </c>
      <c r="G938" s="3">
        <v>38</v>
      </c>
      <c r="H938" t="s">
        <v>28</v>
      </c>
      <c r="I938">
        <v>35</v>
      </c>
      <c r="J938">
        <v>0</v>
      </c>
      <c r="K938">
        <v>0</v>
      </c>
      <c r="L938" s="3">
        <v>0</v>
      </c>
      <c r="M938" s="3">
        <v>0</v>
      </c>
      <c r="N938">
        <v>0</v>
      </c>
      <c r="O938">
        <v>0</v>
      </c>
      <c r="P938">
        <v>0</v>
      </c>
      <c r="Q938">
        <v>35</v>
      </c>
      <c r="R938" s="3">
        <v>0</v>
      </c>
      <c r="S938" s="3">
        <v>0</v>
      </c>
      <c r="T938">
        <v>0</v>
      </c>
      <c r="U938">
        <v>0</v>
      </c>
      <c r="V938" s="3">
        <v>0</v>
      </c>
      <c r="W938" s="3">
        <v>0</v>
      </c>
      <c r="X938">
        <v>0</v>
      </c>
      <c r="Y938" t="s">
        <v>854</v>
      </c>
    </row>
    <row r="939" spans="1:25" hidden="1" x14ac:dyDescent="0.25">
      <c r="A939" s="1" t="s">
        <v>40</v>
      </c>
      <c r="B939" s="1" t="s">
        <v>110</v>
      </c>
      <c r="C939" s="1" t="s">
        <v>27</v>
      </c>
      <c r="D939" s="1" t="s">
        <v>27</v>
      </c>
      <c r="E939" s="2">
        <v>45866</v>
      </c>
      <c r="F939" s="2">
        <v>45866</v>
      </c>
      <c r="G939" s="3">
        <v>213</v>
      </c>
      <c r="H939" t="s">
        <v>28</v>
      </c>
      <c r="I939">
        <v>77</v>
      </c>
      <c r="J939">
        <v>0</v>
      </c>
      <c r="K939">
        <v>0</v>
      </c>
      <c r="L939" s="3">
        <v>1</v>
      </c>
      <c r="M939" s="3">
        <v>0</v>
      </c>
      <c r="N939">
        <v>1</v>
      </c>
      <c r="O939">
        <v>0</v>
      </c>
      <c r="P939">
        <v>0</v>
      </c>
      <c r="Q939">
        <v>0</v>
      </c>
      <c r="R939" s="3">
        <v>0</v>
      </c>
      <c r="S939" s="3">
        <v>0</v>
      </c>
      <c r="T939">
        <v>0</v>
      </c>
      <c r="U939">
        <v>0</v>
      </c>
      <c r="V939" s="3">
        <v>0</v>
      </c>
      <c r="W939" s="3">
        <v>0</v>
      </c>
      <c r="X939">
        <v>0</v>
      </c>
      <c r="Y939" t="s">
        <v>855</v>
      </c>
    </row>
    <row r="940" spans="1:25" hidden="1" x14ac:dyDescent="0.25">
      <c r="A940" s="1" t="s">
        <v>36</v>
      </c>
      <c r="B940" s="1" t="s">
        <v>110</v>
      </c>
      <c r="C940" s="1" t="s">
        <v>27</v>
      </c>
      <c r="D940" s="1" t="s">
        <v>27</v>
      </c>
      <c r="E940" s="2">
        <v>45866</v>
      </c>
      <c r="F940" s="2">
        <v>45866</v>
      </c>
      <c r="G940" s="3">
        <v>213</v>
      </c>
      <c r="H940" t="s">
        <v>28</v>
      </c>
      <c r="I940">
        <v>77</v>
      </c>
      <c r="J940">
        <v>0</v>
      </c>
      <c r="K940">
        <v>0</v>
      </c>
      <c r="L940" s="3">
        <v>1</v>
      </c>
      <c r="M940" s="3">
        <v>0</v>
      </c>
      <c r="N940">
        <v>1</v>
      </c>
      <c r="O940">
        <v>0</v>
      </c>
      <c r="P940">
        <v>0</v>
      </c>
      <c r="Q940">
        <v>0</v>
      </c>
      <c r="R940" s="3">
        <v>0</v>
      </c>
      <c r="S940" s="3">
        <v>0</v>
      </c>
      <c r="T940">
        <v>0</v>
      </c>
      <c r="U940">
        <v>0</v>
      </c>
      <c r="V940" s="3">
        <v>0</v>
      </c>
      <c r="W940" s="3">
        <v>0</v>
      </c>
      <c r="X940">
        <v>0</v>
      </c>
      <c r="Y940" t="s">
        <v>855</v>
      </c>
    </row>
    <row r="941" spans="1:25" hidden="1" x14ac:dyDescent="0.25">
      <c r="A941" s="1" t="s">
        <v>41</v>
      </c>
      <c r="B941" s="1" t="s">
        <v>112</v>
      </c>
      <c r="C941" s="1" t="s">
        <v>42</v>
      </c>
      <c r="D941" t="s">
        <v>27</v>
      </c>
      <c r="E941" s="2">
        <v>45866</v>
      </c>
      <c r="F941" s="2">
        <v>45866</v>
      </c>
      <c r="G941" s="3">
        <v>34</v>
      </c>
      <c r="H941" s="4" t="s">
        <v>28</v>
      </c>
      <c r="I941">
        <v>50</v>
      </c>
      <c r="J941">
        <v>0</v>
      </c>
      <c r="K941">
        <v>0</v>
      </c>
      <c r="L941" s="3">
        <v>1</v>
      </c>
      <c r="M941" s="3">
        <v>0</v>
      </c>
      <c r="N941">
        <v>0</v>
      </c>
      <c r="O941">
        <v>0</v>
      </c>
      <c r="P941">
        <v>0</v>
      </c>
      <c r="Q941">
        <v>0</v>
      </c>
      <c r="R941" s="3">
        <v>0</v>
      </c>
      <c r="S941" s="3">
        <v>0</v>
      </c>
      <c r="T941">
        <v>0</v>
      </c>
      <c r="U941">
        <v>0</v>
      </c>
      <c r="V941" s="3">
        <v>0</v>
      </c>
      <c r="W941" s="3">
        <v>0</v>
      </c>
      <c r="X941">
        <v>0</v>
      </c>
      <c r="Y941" t="s">
        <v>807</v>
      </c>
    </row>
    <row r="942" spans="1:25" hidden="1" x14ac:dyDescent="0.25">
      <c r="A942" s="1" t="s">
        <v>43</v>
      </c>
      <c r="B942" s="1" t="s">
        <v>114</v>
      </c>
      <c r="C942" s="1" t="s">
        <v>44</v>
      </c>
      <c r="D942" s="1" t="s">
        <v>27</v>
      </c>
      <c r="E942" s="2">
        <v>45866</v>
      </c>
      <c r="F942" s="2">
        <v>45866</v>
      </c>
      <c r="G942" s="3">
        <v>28</v>
      </c>
      <c r="H942" t="s">
        <v>28</v>
      </c>
      <c r="I942">
        <v>79</v>
      </c>
      <c r="J942">
        <v>0</v>
      </c>
      <c r="K942">
        <v>0</v>
      </c>
      <c r="L942" s="3">
        <v>0</v>
      </c>
      <c r="M942" s="3">
        <v>0</v>
      </c>
      <c r="N942">
        <v>0</v>
      </c>
      <c r="O942">
        <v>0</v>
      </c>
      <c r="P942">
        <v>0</v>
      </c>
      <c r="Q942">
        <v>0</v>
      </c>
      <c r="R942" s="3">
        <v>0</v>
      </c>
      <c r="S942" s="3">
        <v>0</v>
      </c>
      <c r="T942">
        <v>0</v>
      </c>
      <c r="U942">
        <v>0</v>
      </c>
      <c r="V942" s="3">
        <v>0</v>
      </c>
      <c r="W942" s="3">
        <v>0</v>
      </c>
      <c r="X942">
        <v>0</v>
      </c>
      <c r="Y942" t="s">
        <v>856</v>
      </c>
    </row>
    <row r="943" spans="1:25" hidden="1" x14ac:dyDescent="0.25">
      <c r="A943" s="1" t="s">
        <v>45</v>
      </c>
      <c r="B943" s="1" t="s">
        <v>116</v>
      </c>
      <c r="C943" s="1" t="s">
        <v>46</v>
      </c>
      <c r="D943" s="1" t="s">
        <v>27</v>
      </c>
      <c r="E943" s="2">
        <v>45866</v>
      </c>
      <c r="F943" s="2">
        <v>45866</v>
      </c>
      <c r="G943" s="3">
        <v>45</v>
      </c>
      <c r="H943" t="s">
        <v>28</v>
      </c>
      <c r="I943">
        <v>74</v>
      </c>
      <c r="J943">
        <v>0</v>
      </c>
      <c r="K943">
        <v>0</v>
      </c>
      <c r="L943" s="3">
        <v>1</v>
      </c>
      <c r="M943" s="3">
        <v>0</v>
      </c>
      <c r="N943">
        <v>0</v>
      </c>
      <c r="O943">
        <v>0</v>
      </c>
      <c r="P943">
        <v>0</v>
      </c>
      <c r="Q943">
        <v>0</v>
      </c>
      <c r="R943" s="3">
        <v>0</v>
      </c>
      <c r="S943" s="3">
        <v>0</v>
      </c>
      <c r="T943">
        <v>0</v>
      </c>
      <c r="U943">
        <v>0</v>
      </c>
      <c r="V943" s="3">
        <v>0</v>
      </c>
      <c r="W943" s="3">
        <v>0</v>
      </c>
      <c r="X943">
        <v>0</v>
      </c>
      <c r="Y943" t="s">
        <v>857</v>
      </c>
    </row>
    <row r="944" spans="1:25" hidden="1" x14ac:dyDescent="0.25">
      <c r="A944" s="1" t="s">
        <v>49</v>
      </c>
      <c r="B944" s="1" t="s">
        <v>118</v>
      </c>
      <c r="C944" s="1" t="s">
        <v>50</v>
      </c>
      <c r="D944" s="1" t="s">
        <v>27</v>
      </c>
      <c r="E944" s="2">
        <v>45866</v>
      </c>
      <c r="F944" s="2">
        <v>45866</v>
      </c>
      <c r="G944" s="3">
        <v>25</v>
      </c>
      <c r="H944" t="s">
        <v>28</v>
      </c>
      <c r="I944">
        <v>41</v>
      </c>
      <c r="J944">
        <v>0</v>
      </c>
      <c r="K944">
        <v>0</v>
      </c>
      <c r="L944" s="3">
        <v>1</v>
      </c>
      <c r="M944" s="3">
        <v>1</v>
      </c>
      <c r="N944">
        <v>0</v>
      </c>
      <c r="O944">
        <v>0</v>
      </c>
      <c r="P944">
        <v>0</v>
      </c>
      <c r="Q944">
        <v>0</v>
      </c>
      <c r="R944" s="3">
        <v>0</v>
      </c>
      <c r="S944" s="3">
        <v>0</v>
      </c>
      <c r="T944">
        <v>0</v>
      </c>
      <c r="U944">
        <v>0</v>
      </c>
      <c r="V944" s="3">
        <v>0</v>
      </c>
      <c r="W944" s="3">
        <v>0</v>
      </c>
      <c r="X944">
        <v>0</v>
      </c>
      <c r="Y944" t="s">
        <v>858</v>
      </c>
    </row>
    <row r="945" spans="1:25" hidden="1" x14ac:dyDescent="0.25">
      <c r="A945" s="1" t="s">
        <v>51</v>
      </c>
      <c r="B945" s="1" t="s">
        <v>120</v>
      </c>
      <c r="C945" s="1" t="s">
        <v>55</v>
      </c>
      <c r="D945" s="1" t="s">
        <v>27</v>
      </c>
      <c r="E945" s="2">
        <v>45866</v>
      </c>
      <c r="F945" s="2">
        <v>45866</v>
      </c>
      <c r="G945" s="3">
        <v>127</v>
      </c>
      <c r="H945" t="s">
        <v>28</v>
      </c>
      <c r="I945">
        <v>37</v>
      </c>
      <c r="J945">
        <v>0</v>
      </c>
      <c r="K945">
        <v>0</v>
      </c>
      <c r="L945" s="3">
        <v>0</v>
      </c>
      <c r="M945" s="3">
        <v>0</v>
      </c>
      <c r="N945">
        <v>1</v>
      </c>
      <c r="O945">
        <v>0</v>
      </c>
      <c r="P945">
        <v>0</v>
      </c>
      <c r="Q945">
        <v>0</v>
      </c>
      <c r="R945" s="3">
        <v>0</v>
      </c>
      <c r="S945" s="3">
        <v>0</v>
      </c>
      <c r="T945">
        <v>0</v>
      </c>
      <c r="U945">
        <v>0</v>
      </c>
      <c r="V945" s="3">
        <v>0</v>
      </c>
      <c r="W945" s="3">
        <v>0</v>
      </c>
      <c r="X945">
        <v>0</v>
      </c>
      <c r="Y945" t="s">
        <v>859</v>
      </c>
    </row>
    <row r="946" spans="1:25" hidden="1" x14ac:dyDescent="0.25">
      <c r="A946" s="1" t="s">
        <v>54</v>
      </c>
      <c r="B946" s="1" t="s">
        <v>122</v>
      </c>
      <c r="C946" s="1" t="s">
        <v>52</v>
      </c>
      <c r="D946" s="1" t="s">
        <v>27</v>
      </c>
      <c r="E946" s="2">
        <v>45866</v>
      </c>
      <c r="F946" s="2">
        <v>45866</v>
      </c>
      <c r="G946" s="3">
        <v>50</v>
      </c>
      <c r="H946" t="s">
        <v>28</v>
      </c>
      <c r="I946">
        <v>41</v>
      </c>
      <c r="J946">
        <v>4</v>
      </c>
      <c r="K946">
        <v>0</v>
      </c>
      <c r="L946" s="3">
        <v>0</v>
      </c>
      <c r="M946" s="3">
        <v>0</v>
      </c>
      <c r="N946">
        <v>0</v>
      </c>
      <c r="O946">
        <v>0</v>
      </c>
      <c r="P946">
        <v>0</v>
      </c>
      <c r="Q946">
        <v>2</v>
      </c>
      <c r="R946" s="3">
        <v>0</v>
      </c>
      <c r="S946" s="3">
        <v>0</v>
      </c>
      <c r="T946">
        <v>0</v>
      </c>
      <c r="U946">
        <v>0</v>
      </c>
      <c r="V946" s="3">
        <v>0</v>
      </c>
      <c r="W946" s="3">
        <v>0</v>
      </c>
      <c r="X946">
        <v>0</v>
      </c>
      <c r="Y946" t="s">
        <v>860</v>
      </c>
    </row>
    <row r="947" spans="1:25" hidden="1" x14ac:dyDescent="0.25">
      <c r="A947" s="1" t="s">
        <v>48</v>
      </c>
      <c r="B947" s="1" t="s">
        <v>149</v>
      </c>
      <c r="C947" s="1" t="s">
        <v>27</v>
      </c>
      <c r="D947" s="1" t="s">
        <v>27</v>
      </c>
      <c r="E947" s="2">
        <v>45866</v>
      </c>
      <c r="F947" s="2">
        <v>45866</v>
      </c>
      <c r="G947" s="3">
        <v>68</v>
      </c>
      <c r="H947" t="s">
        <v>28</v>
      </c>
      <c r="I947">
        <v>42</v>
      </c>
      <c r="J947">
        <v>20</v>
      </c>
      <c r="K947">
        <v>0</v>
      </c>
      <c r="L947" s="3">
        <v>0</v>
      </c>
      <c r="M947" s="3">
        <v>0</v>
      </c>
      <c r="N947">
        <v>0</v>
      </c>
      <c r="O947">
        <v>0</v>
      </c>
      <c r="P947">
        <v>0</v>
      </c>
      <c r="Q947">
        <v>4</v>
      </c>
      <c r="R947" s="3">
        <v>0</v>
      </c>
      <c r="S947" s="3">
        <v>0</v>
      </c>
      <c r="T947">
        <v>0</v>
      </c>
      <c r="U947">
        <v>0</v>
      </c>
      <c r="V947" s="3">
        <v>0</v>
      </c>
      <c r="W947" s="3">
        <v>0</v>
      </c>
      <c r="X947">
        <v>0</v>
      </c>
      <c r="Y947" t="s">
        <v>861</v>
      </c>
    </row>
    <row r="948" spans="1:25" hidden="1" x14ac:dyDescent="0.25">
      <c r="A948" s="1" t="s">
        <v>53</v>
      </c>
      <c r="B948" s="1" t="s">
        <v>142</v>
      </c>
      <c r="C948" s="1" t="s">
        <v>39</v>
      </c>
      <c r="D948" s="1" t="s">
        <v>27</v>
      </c>
      <c r="E948" s="2">
        <v>45866</v>
      </c>
      <c r="F948" s="2">
        <v>45866</v>
      </c>
      <c r="G948" s="3">
        <v>64</v>
      </c>
      <c r="H948" t="s">
        <v>28</v>
      </c>
      <c r="I948">
        <v>31</v>
      </c>
      <c r="J948">
        <v>0</v>
      </c>
      <c r="K948">
        <v>0</v>
      </c>
      <c r="L948" s="3">
        <v>1</v>
      </c>
      <c r="M948" s="3">
        <v>0</v>
      </c>
      <c r="N948">
        <v>0</v>
      </c>
      <c r="O948">
        <v>0</v>
      </c>
      <c r="P948">
        <v>0</v>
      </c>
      <c r="Q948">
        <v>2</v>
      </c>
      <c r="R948" s="3">
        <v>0</v>
      </c>
      <c r="S948" s="3">
        <v>0</v>
      </c>
      <c r="T948">
        <v>0</v>
      </c>
      <c r="U948">
        <v>0</v>
      </c>
      <c r="V948" s="3">
        <v>0</v>
      </c>
      <c r="W948" s="3">
        <v>0</v>
      </c>
      <c r="X948">
        <v>0</v>
      </c>
      <c r="Y948" t="s">
        <v>862</v>
      </c>
    </row>
    <row r="949" spans="1:25" hidden="1" x14ac:dyDescent="0.25">
      <c r="A949" s="1" t="s">
        <v>47</v>
      </c>
      <c r="B949" s="1" t="s">
        <v>149</v>
      </c>
      <c r="C949" s="1" t="s">
        <v>27</v>
      </c>
      <c r="D949" s="1" t="s">
        <v>27</v>
      </c>
      <c r="E949" s="2">
        <v>45866</v>
      </c>
      <c r="F949" s="2">
        <v>45866</v>
      </c>
      <c r="G949" s="3">
        <v>68</v>
      </c>
      <c r="H949" t="s">
        <v>28</v>
      </c>
      <c r="I949">
        <v>42</v>
      </c>
      <c r="J949">
        <v>20</v>
      </c>
      <c r="K949">
        <v>0</v>
      </c>
      <c r="L949" s="3">
        <v>0</v>
      </c>
      <c r="M949" s="3">
        <v>0</v>
      </c>
      <c r="N949">
        <v>0</v>
      </c>
      <c r="O949">
        <v>0</v>
      </c>
      <c r="P949">
        <v>0</v>
      </c>
      <c r="Q949">
        <v>4</v>
      </c>
      <c r="R949" s="3">
        <v>0</v>
      </c>
      <c r="S949" s="3">
        <v>0</v>
      </c>
      <c r="T949">
        <v>0</v>
      </c>
      <c r="U949">
        <v>0</v>
      </c>
      <c r="V949" s="3">
        <v>0</v>
      </c>
      <c r="W949" s="3">
        <v>0</v>
      </c>
      <c r="X949">
        <v>0</v>
      </c>
      <c r="Y949" t="s">
        <v>861</v>
      </c>
    </row>
    <row r="950" spans="1:25" hidden="1" x14ac:dyDescent="0.25">
      <c r="A950" s="1" t="s">
        <v>25</v>
      </c>
      <c r="B950" s="1" t="s">
        <v>739</v>
      </c>
      <c r="C950" s="1" t="s">
        <v>27</v>
      </c>
      <c r="D950" s="1" t="s">
        <v>27</v>
      </c>
      <c r="E950" s="2">
        <v>45866</v>
      </c>
      <c r="F950" s="2">
        <v>45866</v>
      </c>
      <c r="G950" s="3">
        <v>69</v>
      </c>
      <c r="H950" t="s">
        <v>28</v>
      </c>
      <c r="I950">
        <v>25</v>
      </c>
      <c r="J950">
        <v>0</v>
      </c>
      <c r="K950">
        <v>0</v>
      </c>
      <c r="L950" s="3">
        <v>0</v>
      </c>
      <c r="M950" s="3">
        <v>0</v>
      </c>
      <c r="N950">
        <v>0</v>
      </c>
      <c r="O950">
        <v>0</v>
      </c>
      <c r="P950">
        <v>0</v>
      </c>
      <c r="Q950">
        <v>0</v>
      </c>
      <c r="R950" s="3">
        <v>0</v>
      </c>
      <c r="S950" s="3">
        <v>0</v>
      </c>
      <c r="T950">
        <v>0</v>
      </c>
      <c r="U950">
        <v>0</v>
      </c>
      <c r="V950" s="3">
        <v>0</v>
      </c>
      <c r="W950" s="3">
        <v>0</v>
      </c>
      <c r="X950" s="3">
        <v>0</v>
      </c>
      <c r="Y950" t="s">
        <v>861</v>
      </c>
    </row>
    <row r="951" spans="1:25" hidden="1" x14ac:dyDescent="0.25">
      <c r="A951" s="1" t="s">
        <v>58</v>
      </c>
      <c r="B951" s="1" t="s">
        <v>755</v>
      </c>
      <c r="C951" s="1" t="s">
        <v>27</v>
      </c>
      <c r="D951" s="1" t="s">
        <v>27</v>
      </c>
      <c r="E951" s="2">
        <v>45862</v>
      </c>
      <c r="F951" s="2">
        <v>45862</v>
      </c>
      <c r="G951" s="3">
        <v>181</v>
      </c>
      <c r="H951" s="4" t="s">
        <v>248</v>
      </c>
      <c r="I951">
        <v>0</v>
      </c>
      <c r="J951">
        <v>0</v>
      </c>
      <c r="K951">
        <v>0</v>
      </c>
      <c r="L951" s="3">
        <v>0</v>
      </c>
      <c r="M951" s="3">
        <v>0</v>
      </c>
      <c r="N951">
        <v>0</v>
      </c>
      <c r="O951">
        <v>0</v>
      </c>
      <c r="P951">
        <v>0</v>
      </c>
      <c r="Q951">
        <v>0</v>
      </c>
      <c r="R951" s="3">
        <v>0</v>
      </c>
      <c r="S951" s="3">
        <v>0</v>
      </c>
      <c r="T951">
        <v>0</v>
      </c>
      <c r="U951">
        <v>0</v>
      </c>
      <c r="V951" s="3">
        <v>0</v>
      </c>
      <c r="W951" s="3">
        <v>0</v>
      </c>
      <c r="X951" s="3">
        <v>0</v>
      </c>
      <c r="Y951" t="s">
        <v>815</v>
      </c>
    </row>
    <row r="952" spans="1:25" hidden="1" x14ac:dyDescent="0.25">
      <c r="A952" s="1" t="s">
        <v>95</v>
      </c>
      <c r="B952" s="1" t="s">
        <v>799</v>
      </c>
      <c r="C952" s="1" t="s">
        <v>27</v>
      </c>
      <c r="D952" s="1" t="s">
        <v>27</v>
      </c>
      <c r="E952" s="2">
        <v>45860</v>
      </c>
      <c r="F952" s="2">
        <v>45860</v>
      </c>
      <c r="G952" s="3">
        <v>39</v>
      </c>
      <c r="H952" s="4" t="s">
        <v>248</v>
      </c>
      <c r="I952">
        <v>0</v>
      </c>
      <c r="J952">
        <v>0</v>
      </c>
      <c r="K952">
        <v>0</v>
      </c>
      <c r="L952" s="3">
        <v>0</v>
      </c>
      <c r="M952" s="3">
        <v>0</v>
      </c>
      <c r="N952">
        <v>0</v>
      </c>
      <c r="O952">
        <v>0</v>
      </c>
      <c r="P952">
        <v>0</v>
      </c>
      <c r="Q952">
        <v>0</v>
      </c>
      <c r="R952" s="3">
        <v>0</v>
      </c>
      <c r="S952" s="3">
        <v>0</v>
      </c>
      <c r="T952">
        <v>0</v>
      </c>
      <c r="U952">
        <v>0</v>
      </c>
      <c r="V952" s="3">
        <v>0</v>
      </c>
      <c r="W952" s="3">
        <v>0</v>
      </c>
      <c r="X952" s="3">
        <v>0</v>
      </c>
      <c r="Y952" t="s">
        <v>796</v>
      </c>
    </row>
    <row r="953" spans="1:25" hidden="1" x14ac:dyDescent="0.25">
      <c r="A953" s="1" t="s">
        <v>25</v>
      </c>
      <c r="B953" s="1" t="s">
        <v>96</v>
      </c>
      <c r="C953" s="1" t="s">
        <v>55</v>
      </c>
      <c r="D953" s="1" t="s">
        <v>27</v>
      </c>
      <c r="E953" s="2">
        <v>45867</v>
      </c>
      <c r="F953" s="2">
        <v>45867</v>
      </c>
      <c r="G953" s="3">
        <v>47</v>
      </c>
      <c r="H953" s="4" t="s">
        <v>28</v>
      </c>
      <c r="I953">
        <v>82</v>
      </c>
      <c r="J953">
        <v>0</v>
      </c>
      <c r="K953">
        <v>0</v>
      </c>
      <c r="L953" s="3">
        <v>1</v>
      </c>
      <c r="M953" s="3">
        <v>0</v>
      </c>
      <c r="N953">
        <v>0</v>
      </c>
      <c r="O953">
        <v>0</v>
      </c>
      <c r="P953">
        <v>0</v>
      </c>
      <c r="Q953">
        <v>0</v>
      </c>
      <c r="R953" s="3">
        <v>0</v>
      </c>
      <c r="S953" s="3">
        <v>0</v>
      </c>
      <c r="T953">
        <v>0</v>
      </c>
      <c r="U953">
        <v>0</v>
      </c>
      <c r="V953" s="3">
        <v>0</v>
      </c>
      <c r="W953" s="3">
        <v>0</v>
      </c>
      <c r="X953">
        <v>0</v>
      </c>
      <c r="Y953" t="s">
        <v>863</v>
      </c>
    </row>
    <row r="954" spans="1:25" hidden="1" x14ac:dyDescent="0.25">
      <c r="A954" s="1" t="s">
        <v>56</v>
      </c>
      <c r="B954" s="1" t="s">
        <v>98</v>
      </c>
      <c r="C954" s="1" t="s">
        <v>37</v>
      </c>
      <c r="D954" s="1" t="s">
        <v>27</v>
      </c>
      <c r="E954" s="2">
        <v>45867</v>
      </c>
      <c r="F954" s="2">
        <v>45867</v>
      </c>
      <c r="G954" s="3">
        <v>98</v>
      </c>
      <c r="H954" s="4" t="s">
        <v>28</v>
      </c>
      <c r="I954">
        <v>87</v>
      </c>
      <c r="J954">
        <v>0</v>
      </c>
      <c r="K954">
        <v>0</v>
      </c>
      <c r="L954" s="3">
        <v>1</v>
      </c>
      <c r="M954" s="3">
        <v>0</v>
      </c>
      <c r="N954">
        <v>0</v>
      </c>
      <c r="O954">
        <v>0</v>
      </c>
      <c r="P954">
        <v>0</v>
      </c>
      <c r="Q954">
        <v>0</v>
      </c>
      <c r="R954" s="3">
        <v>0</v>
      </c>
      <c r="S954" s="3">
        <v>0</v>
      </c>
      <c r="T954">
        <v>0</v>
      </c>
      <c r="U954">
        <v>0</v>
      </c>
      <c r="V954" s="3">
        <v>0</v>
      </c>
      <c r="W954" s="3">
        <v>0</v>
      </c>
      <c r="X954">
        <v>0</v>
      </c>
      <c r="Y954" t="s">
        <v>864</v>
      </c>
    </row>
    <row r="955" spans="1:25" hidden="1" x14ac:dyDescent="0.25">
      <c r="A955" s="1" t="s">
        <v>29</v>
      </c>
      <c r="B955" s="1" t="s">
        <v>100</v>
      </c>
      <c r="C955" s="1" t="s">
        <v>245</v>
      </c>
      <c r="D955" s="1" t="s">
        <v>27</v>
      </c>
      <c r="E955" s="2">
        <v>45867</v>
      </c>
      <c r="F955" s="2">
        <v>45867</v>
      </c>
      <c r="G955" s="3">
        <v>71</v>
      </c>
      <c r="H955" s="4" t="s">
        <v>28</v>
      </c>
      <c r="I955">
        <v>57</v>
      </c>
      <c r="J955">
        <v>0</v>
      </c>
      <c r="K955">
        <v>0</v>
      </c>
      <c r="L955" s="3">
        <v>0</v>
      </c>
      <c r="M955" s="3">
        <v>0</v>
      </c>
      <c r="N955">
        <v>0</v>
      </c>
      <c r="O955">
        <v>0</v>
      </c>
      <c r="P955">
        <v>0</v>
      </c>
      <c r="Q955">
        <v>0</v>
      </c>
      <c r="R955" s="3">
        <v>0</v>
      </c>
      <c r="S955" s="3">
        <v>0</v>
      </c>
      <c r="T955">
        <v>0</v>
      </c>
      <c r="U955">
        <v>0</v>
      </c>
      <c r="V955" s="3">
        <v>0</v>
      </c>
      <c r="W955" s="3">
        <v>0</v>
      </c>
      <c r="X955">
        <v>0</v>
      </c>
      <c r="Y955" t="s">
        <v>865</v>
      </c>
    </row>
    <row r="956" spans="1:25" hidden="1" x14ac:dyDescent="0.25">
      <c r="A956" s="1" t="s">
        <v>344</v>
      </c>
      <c r="B956" s="1" t="s">
        <v>102</v>
      </c>
      <c r="C956" s="1" t="s">
        <v>35</v>
      </c>
      <c r="D956" s="1" t="s">
        <v>27</v>
      </c>
      <c r="E956" s="2">
        <v>45867</v>
      </c>
      <c r="F956" s="2">
        <v>45867</v>
      </c>
      <c r="G956" s="3">
        <v>35</v>
      </c>
      <c r="H956" s="4" t="s">
        <v>28</v>
      </c>
      <c r="I956">
        <v>37</v>
      </c>
      <c r="J956">
        <v>0</v>
      </c>
      <c r="K956">
        <v>0</v>
      </c>
      <c r="L956" s="3">
        <v>0</v>
      </c>
      <c r="M956" s="3">
        <v>0</v>
      </c>
      <c r="N956">
        <v>0</v>
      </c>
      <c r="O956">
        <v>0</v>
      </c>
      <c r="P956">
        <v>0</v>
      </c>
      <c r="Q956">
        <v>0</v>
      </c>
      <c r="R956" s="3">
        <v>0</v>
      </c>
      <c r="S956" s="3">
        <v>0</v>
      </c>
      <c r="T956">
        <v>0</v>
      </c>
      <c r="U956">
        <v>0</v>
      </c>
      <c r="V956" s="3">
        <v>0</v>
      </c>
      <c r="W956" s="3">
        <v>0</v>
      </c>
      <c r="X956">
        <v>0</v>
      </c>
      <c r="Y956" t="s">
        <v>850</v>
      </c>
    </row>
    <row r="957" spans="1:25" hidden="1" x14ac:dyDescent="0.25">
      <c r="A957" s="1" t="s">
        <v>31</v>
      </c>
      <c r="B957" s="1" t="s">
        <v>104</v>
      </c>
      <c r="C957" s="1" t="s">
        <v>32</v>
      </c>
      <c r="D957" s="1" t="s">
        <v>27</v>
      </c>
      <c r="E957" s="2">
        <v>45867</v>
      </c>
      <c r="F957" s="2">
        <v>45867</v>
      </c>
      <c r="G957" s="3">
        <v>74</v>
      </c>
      <c r="H957" s="4" t="s">
        <v>28</v>
      </c>
      <c r="I957">
        <v>67</v>
      </c>
      <c r="J957">
        <v>0</v>
      </c>
      <c r="K957">
        <v>0</v>
      </c>
      <c r="L957" s="3">
        <v>0</v>
      </c>
      <c r="M957" s="3">
        <v>0</v>
      </c>
      <c r="N957">
        <v>0</v>
      </c>
      <c r="O957">
        <v>0</v>
      </c>
      <c r="P957">
        <v>0</v>
      </c>
      <c r="Q957">
        <v>50</v>
      </c>
      <c r="R957" s="3">
        <v>0</v>
      </c>
      <c r="S957" s="3">
        <v>0</v>
      </c>
      <c r="T957">
        <v>0</v>
      </c>
      <c r="U957">
        <v>0</v>
      </c>
      <c r="V957" s="3">
        <v>0</v>
      </c>
      <c r="W957" s="3">
        <v>0</v>
      </c>
      <c r="X957">
        <v>0</v>
      </c>
      <c r="Y957" t="s">
        <v>866</v>
      </c>
    </row>
    <row r="958" spans="1:25" hidden="1" x14ac:dyDescent="0.25">
      <c r="A958" s="1" t="s">
        <v>34</v>
      </c>
      <c r="B958" s="1" t="s">
        <v>247</v>
      </c>
      <c r="C958" s="1" t="s">
        <v>489</v>
      </c>
      <c r="D958" s="1" t="s">
        <v>27</v>
      </c>
      <c r="E958" s="2">
        <v>45867</v>
      </c>
      <c r="F958" s="2">
        <v>45867</v>
      </c>
      <c r="G958" s="3">
        <v>26</v>
      </c>
      <c r="H958" s="4" t="s">
        <v>28</v>
      </c>
      <c r="I958">
        <v>23</v>
      </c>
      <c r="J958">
        <v>0</v>
      </c>
      <c r="K958">
        <v>0</v>
      </c>
      <c r="L958" s="3">
        <v>0</v>
      </c>
      <c r="M958" s="3">
        <v>0</v>
      </c>
      <c r="N958">
        <v>0</v>
      </c>
      <c r="O958">
        <v>0</v>
      </c>
      <c r="P958">
        <v>0</v>
      </c>
      <c r="Q958">
        <v>0</v>
      </c>
      <c r="R958" s="3">
        <v>0</v>
      </c>
      <c r="S958" s="3">
        <v>0</v>
      </c>
      <c r="T958">
        <v>0</v>
      </c>
      <c r="U958">
        <v>0</v>
      </c>
      <c r="V958" s="3">
        <v>0</v>
      </c>
      <c r="W958" s="3">
        <v>0</v>
      </c>
      <c r="X958">
        <v>0</v>
      </c>
      <c r="Y958" t="s">
        <v>867</v>
      </c>
    </row>
    <row r="959" spans="1:25" hidden="1" x14ac:dyDescent="0.25">
      <c r="A959" s="1" t="s">
        <v>38</v>
      </c>
      <c r="B959" s="1" t="s">
        <v>108</v>
      </c>
      <c r="C959" s="1" t="s">
        <v>27</v>
      </c>
      <c r="D959" s="1" t="s">
        <v>27</v>
      </c>
      <c r="E959" s="2">
        <v>45867</v>
      </c>
      <c r="F959" s="2">
        <v>45867</v>
      </c>
      <c r="G959" s="3">
        <v>43</v>
      </c>
      <c r="H959" s="4" t="s">
        <v>28</v>
      </c>
      <c r="I959">
        <v>41</v>
      </c>
      <c r="J959">
        <v>0</v>
      </c>
      <c r="K959">
        <v>0</v>
      </c>
      <c r="L959" s="3">
        <v>0</v>
      </c>
      <c r="M959" s="3">
        <v>0</v>
      </c>
      <c r="N959">
        <v>0</v>
      </c>
      <c r="O959">
        <v>0</v>
      </c>
      <c r="P959">
        <v>0</v>
      </c>
      <c r="Q959">
        <v>41</v>
      </c>
      <c r="R959" s="3">
        <v>0</v>
      </c>
      <c r="S959" s="3">
        <v>0</v>
      </c>
      <c r="T959">
        <v>0</v>
      </c>
      <c r="U959">
        <v>0</v>
      </c>
      <c r="V959" s="3">
        <v>0</v>
      </c>
      <c r="W959" s="3">
        <v>0</v>
      </c>
      <c r="X959">
        <v>0</v>
      </c>
      <c r="Y959" t="s">
        <v>868</v>
      </c>
    </row>
    <row r="960" spans="1:25" hidden="1" x14ac:dyDescent="0.25">
      <c r="A960" s="1" t="s">
        <v>40</v>
      </c>
      <c r="B960" s="1" t="s">
        <v>110</v>
      </c>
      <c r="C960" s="1" t="s">
        <v>27</v>
      </c>
      <c r="D960" s="1" t="s">
        <v>27</v>
      </c>
      <c r="E960" s="2">
        <v>45867</v>
      </c>
      <c r="F960" s="2">
        <v>45867</v>
      </c>
      <c r="G960" s="5">
        <v>2984</v>
      </c>
      <c r="H960" s="4" t="s">
        <v>28</v>
      </c>
      <c r="I960">
        <v>26</v>
      </c>
      <c r="J960">
        <v>0</v>
      </c>
      <c r="K960">
        <v>0</v>
      </c>
      <c r="L960" s="3">
        <v>0</v>
      </c>
      <c r="M960" s="3">
        <v>0</v>
      </c>
      <c r="N960">
        <v>1</v>
      </c>
      <c r="O960">
        <v>0</v>
      </c>
      <c r="P960">
        <v>0</v>
      </c>
      <c r="Q960">
        <v>0</v>
      </c>
      <c r="R960" s="3">
        <v>0</v>
      </c>
      <c r="S960" s="3">
        <v>0</v>
      </c>
      <c r="T960">
        <v>0</v>
      </c>
      <c r="U960">
        <v>0</v>
      </c>
      <c r="V960" s="3">
        <v>0</v>
      </c>
      <c r="W960" s="3">
        <v>0</v>
      </c>
      <c r="X960">
        <v>0</v>
      </c>
      <c r="Y960" t="s">
        <v>869</v>
      </c>
    </row>
    <row r="961" spans="1:25" hidden="1" x14ac:dyDescent="0.25">
      <c r="A961" s="1" t="s">
        <v>36</v>
      </c>
      <c r="B961" s="1" t="s">
        <v>110</v>
      </c>
      <c r="C961" s="1" t="s">
        <v>27</v>
      </c>
      <c r="D961" s="1" t="s">
        <v>27</v>
      </c>
      <c r="E961" s="2">
        <v>45867</v>
      </c>
      <c r="F961" s="2">
        <v>45867</v>
      </c>
      <c r="G961" s="5">
        <v>2984</v>
      </c>
      <c r="H961" s="4" t="s">
        <v>28</v>
      </c>
      <c r="I961">
        <v>26</v>
      </c>
      <c r="J961">
        <v>0</v>
      </c>
      <c r="K961">
        <v>0</v>
      </c>
      <c r="L961" s="3">
        <v>0</v>
      </c>
      <c r="M961" s="3">
        <v>0</v>
      </c>
      <c r="N961">
        <v>1</v>
      </c>
      <c r="O961">
        <v>0</v>
      </c>
      <c r="P961">
        <v>0</v>
      </c>
      <c r="Q961">
        <v>0</v>
      </c>
      <c r="R961" s="3">
        <v>0</v>
      </c>
      <c r="S961" s="3">
        <v>0</v>
      </c>
      <c r="T961">
        <v>0</v>
      </c>
      <c r="U961">
        <v>0</v>
      </c>
      <c r="V961" s="3">
        <v>0</v>
      </c>
      <c r="W961" s="3">
        <v>0</v>
      </c>
      <c r="X961">
        <v>0</v>
      </c>
      <c r="Y961" t="s">
        <v>869</v>
      </c>
    </row>
    <row r="962" spans="1:25" hidden="1" x14ac:dyDescent="0.25">
      <c r="A962" s="1" t="s">
        <v>41</v>
      </c>
      <c r="B962" s="1" t="s">
        <v>112</v>
      </c>
      <c r="C962" s="1" t="s">
        <v>42</v>
      </c>
      <c r="D962" t="s">
        <v>27</v>
      </c>
      <c r="E962" s="2">
        <v>45867</v>
      </c>
      <c r="F962" s="2">
        <v>45867</v>
      </c>
      <c r="G962" s="3">
        <v>34</v>
      </c>
      <c r="H962" s="4" t="s">
        <v>28</v>
      </c>
      <c r="I962">
        <v>36</v>
      </c>
      <c r="J962">
        <v>0</v>
      </c>
      <c r="K962">
        <v>0</v>
      </c>
      <c r="L962" s="3">
        <v>1</v>
      </c>
      <c r="M962" s="3">
        <v>0</v>
      </c>
      <c r="N962">
        <v>0</v>
      </c>
      <c r="O962">
        <v>0</v>
      </c>
      <c r="P962">
        <v>0</v>
      </c>
      <c r="Q962">
        <v>0</v>
      </c>
      <c r="R962" s="3">
        <v>0</v>
      </c>
      <c r="S962" s="3">
        <v>0</v>
      </c>
      <c r="T962">
        <v>0</v>
      </c>
      <c r="U962">
        <v>0</v>
      </c>
      <c r="V962" s="3">
        <v>0</v>
      </c>
      <c r="W962" s="3">
        <v>0</v>
      </c>
      <c r="X962">
        <v>0</v>
      </c>
      <c r="Y962" t="s">
        <v>807</v>
      </c>
    </row>
    <row r="963" spans="1:25" hidden="1" x14ac:dyDescent="0.25">
      <c r="A963" s="1" t="s">
        <v>43</v>
      </c>
      <c r="B963" s="1" t="s">
        <v>114</v>
      </c>
      <c r="C963" s="1" t="s">
        <v>44</v>
      </c>
      <c r="D963" s="1" t="s">
        <v>27</v>
      </c>
      <c r="E963" s="2">
        <v>45867</v>
      </c>
      <c r="F963" s="2">
        <v>45867</v>
      </c>
      <c r="G963" s="3">
        <v>32</v>
      </c>
      <c r="H963" s="4" t="s">
        <v>28</v>
      </c>
      <c r="I963">
        <v>80</v>
      </c>
      <c r="J963">
        <v>0</v>
      </c>
      <c r="K963">
        <v>0</v>
      </c>
      <c r="L963" s="3">
        <v>1</v>
      </c>
      <c r="M963" s="3">
        <v>0</v>
      </c>
      <c r="N963">
        <v>0</v>
      </c>
      <c r="O963">
        <v>0</v>
      </c>
      <c r="P963">
        <v>0</v>
      </c>
      <c r="Q963">
        <v>0</v>
      </c>
      <c r="R963" s="3">
        <v>0</v>
      </c>
      <c r="S963" s="3">
        <v>0</v>
      </c>
      <c r="T963">
        <v>0</v>
      </c>
      <c r="U963">
        <v>0</v>
      </c>
      <c r="V963" s="3">
        <v>0</v>
      </c>
      <c r="W963" s="3">
        <v>0</v>
      </c>
      <c r="X963">
        <v>0</v>
      </c>
      <c r="Y963" t="s">
        <v>870</v>
      </c>
    </row>
    <row r="964" spans="1:25" hidden="1" x14ac:dyDescent="0.25">
      <c r="A964" s="1" t="s">
        <v>45</v>
      </c>
      <c r="B964" s="1" t="s">
        <v>116</v>
      </c>
      <c r="C964" s="1" t="s">
        <v>46</v>
      </c>
      <c r="D964" s="1" t="s">
        <v>27</v>
      </c>
      <c r="E964" s="2">
        <v>45867</v>
      </c>
      <c r="F964" s="2">
        <v>45867</v>
      </c>
      <c r="G964" s="3">
        <v>50</v>
      </c>
      <c r="H964" s="4" t="s">
        <v>28</v>
      </c>
      <c r="I964">
        <v>40</v>
      </c>
      <c r="J964">
        <v>0</v>
      </c>
      <c r="K964">
        <v>0</v>
      </c>
      <c r="L964" s="3">
        <v>0</v>
      </c>
      <c r="M964" s="3">
        <v>0</v>
      </c>
      <c r="N964">
        <v>0</v>
      </c>
      <c r="O964">
        <v>0</v>
      </c>
      <c r="P964">
        <v>0</v>
      </c>
      <c r="Q964">
        <v>0</v>
      </c>
      <c r="R964" s="3">
        <v>0</v>
      </c>
      <c r="S964" s="3">
        <v>0</v>
      </c>
      <c r="T964">
        <v>0</v>
      </c>
      <c r="U964">
        <v>0</v>
      </c>
      <c r="V964" s="3">
        <v>0</v>
      </c>
      <c r="W964" s="3">
        <v>0</v>
      </c>
      <c r="X964">
        <v>0</v>
      </c>
      <c r="Y964" t="s">
        <v>871</v>
      </c>
    </row>
    <row r="965" spans="1:25" hidden="1" x14ac:dyDescent="0.25">
      <c r="A965" s="1" t="s">
        <v>49</v>
      </c>
      <c r="B965" s="1" t="s">
        <v>118</v>
      </c>
      <c r="C965" s="1" t="s">
        <v>50</v>
      </c>
      <c r="D965" s="1" t="s">
        <v>27</v>
      </c>
      <c r="E965" s="2">
        <v>45867</v>
      </c>
      <c r="F965" s="2">
        <v>45867</v>
      </c>
      <c r="G965" s="3">
        <v>32</v>
      </c>
      <c r="H965" s="4" t="s">
        <v>28</v>
      </c>
      <c r="I965">
        <v>26</v>
      </c>
      <c r="J965">
        <v>0</v>
      </c>
      <c r="K965">
        <v>0</v>
      </c>
      <c r="L965" s="3">
        <v>1</v>
      </c>
      <c r="M965" s="3">
        <v>1</v>
      </c>
      <c r="N965">
        <v>0</v>
      </c>
      <c r="O965">
        <v>1</v>
      </c>
      <c r="P965">
        <v>0</v>
      </c>
      <c r="Q965">
        <v>28</v>
      </c>
      <c r="R965" s="3">
        <v>0</v>
      </c>
      <c r="S965" s="3">
        <v>0</v>
      </c>
      <c r="T965">
        <v>0</v>
      </c>
      <c r="U965">
        <v>0</v>
      </c>
      <c r="V965" s="3">
        <v>0</v>
      </c>
      <c r="W965" s="3">
        <v>0</v>
      </c>
      <c r="X965">
        <v>0</v>
      </c>
      <c r="Y965" t="s">
        <v>872</v>
      </c>
    </row>
    <row r="966" spans="1:25" hidden="1" x14ac:dyDescent="0.25">
      <c r="A966" s="1" t="s">
        <v>54</v>
      </c>
      <c r="B966" s="1" t="s">
        <v>122</v>
      </c>
      <c r="C966" s="1" t="s">
        <v>52</v>
      </c>
      <c r="D966" s="1" t="s">
        <v>27</v>
      </c>
      <c r="E966" s="2">
        <v>45867</v>
      </c>
      <c r="F966" s="2">
        <v>45867</v>
      </c>
      <c r="G966" s="3">
        <v>41</v>
      </c>
      <c r="H966" s="4" t="s">
        <v>28</v>
      </c>
      <c r="I966">
        <v>46</v>
      </c>
      <c r="J966">
        <v>0</v>
      </c>
      <c r="K966">
        <v>0</v>
      </c>
      <c r="L966" s="3">
        <v>0</v>
      </c>
      <c r="M966" s="3">
        <v>0</v>
      </c>
      <c r="N966">
        <v>0</v>
      </c>
      <c r="O966">
        <v>0</v>
      </c>
      <c r="P966">
        <v>0</v>
      </c>
      <c r="Q966">
        <v>2</v>
      </c>
      <c r="R966" s="3">
        <v>0</v>
      </c>
      <c r="S966" s="3">
        <v>0</v>
      </c>
      <c r="T966">
        <v>0</v>
      </c>
      <c r="U966">
        <v>0</v>
      </c>
      <c r="V966" s="3">
        <v>0</v>
      </c>
      <c r="W966" s="3">
        <v>0</v>
      </c>
      <c r="X966">
        <v>0</v>
      </c>
      <c r="Y966" t="s">
        <v>873</v>
      </c>
    </row>
    <row r="967" spans="1:25" hidden="1" x14ac:dyDescent="0.25">
      <c r="A967" s="1" t="s">
        <v>48</v>
      </c>
      <c r="B967" s="1" t="s">
        <v>149</v>
      </c>
      <c r="C967" s="1" t="s">
        <v>27</v>
      </c>
      <c r="D967" s="1" t="s">
        <v>27</v>
      </c>
      <c r="E967" s="2">
        <v>45867</v>
      </c>
      <c r="F967" s="2">
        <v>45867</v>
      </c>
      <c r="G967" s="3">
        <v>94</v>
      </c>
      <c r="H967" s="4" t="s">
        <v>28</v>
      </c>
      <c r="I967">
        <v>55</v>
      </c>
      <c r="J967">
        <v>0</v>
      </c>
      <c r="K967">
        <v>0</v>
      </c>
      <c r="L967" s="3">
        <v>0</v>
      </c>
      <c r="M967" s="3">
        <v>1</v>
      </c>
      <c r="N967">
        <v>0</v>
      </c>
      <c r="O967">
        <v>0</v>
      </c>
      <c r="P967">
        <v>0</v>
      </c>
      <c r="Q967">
        <v>2</v>
      </c>
      <c r="R967" s="3">
        <v>0</v>
      </c>
      <c r="S967" s="3">
        <v>0</v>
      </c>
      <c r="T967">
        <v>0</v>
      </c>
      <c r="U967">
        <v>0</v>
      </c>
      <c r="V967" s="3">
        <v>0</v>
      </c>
      <c r="W967" s="3">
        <v>0</v>
      </c>
      <c r="X967">
        <v>0</v>
      </c>
      <c r="Y967" t="s">
        <v>874</v>
      </c>
    </row>
    <row r="968" spans="1:25" hidden="1" x14ac:dyDescent="0.25">
      <c r="A968" s="1" t="s">
        <v>53</v>
      </c>
      <c r="B968" s="1" t="s">
        <v>142</v>
      </c>
      <c r="C968" s="1" t="s">
        <v>39</v>
      </c>
      <c r="D968" s="1" t="s">
        <v>27</v>
      </c>
      <c r="E968" s="2">
        <v>45867</v>
      </c>
      <c r="F968" s="2">
        <v>45867</v>
      </c>
      <c r="G968" s="3">
        <v>38</v>
      </c>
      <c r="H968" s="4" t="s">
        <v>28</v>
      </c>
      <c r="I968">
        <v>25</v>
      </c>
      <c r="J968">
        <v>0</v>
      </c>
      <c r="K968">
        <v>0</v>
      </c>
      <c r="L968" s="3">
        <v>0</v>
      </c>
      <c r="M968" s="3">
        <v>0</v>
      </c>
      <c r="N968">
        <v>0</v>
      </c>
      <c r="O968">
        <v>0</v>
      </c>
      <c r="P968">
        <v>0</v>
      </c>
      <c r="Q968">
        <v>25</v>
      </c>
      <c r="R968" s="3">
        <v>0</v>
      </c>
      <c r="S968" s="3">
        <v>0</v>
      </c>
      <c r="T968">
        <v>0</v>
      </c>
      <c r="U968">
        <v>0</v>
      </c>
      <c r="V968" s="3">
        <v>0</v>
      </c>
      <c r="W968" s="3">
        <v>0</v>
      </c>
      <c r="X968">
        <v>0</v>
      </c>
      <c r="Y968" t="s">
        <v>875</v>
      </c>
    </row>
    <row r="969" spans="1:25" hidden="1" x14ac:dyDescent="0.25">
      <c r="A969" s="1" t="s">
        <v>47</v>
      </c>
      <c r="B969" s="1" t="s">
        <v>149</v>
      </c>
      <c r="C969" s="1" t="s">
        <v>27</v>
      </c>
      <c r="D969" s="1" t="s">
        <v>27</v>
      </c>
      <c r="E969" s="2">
        <v>45867</v>
      </c>
      <c r="F969" s="2">
        <v>45867</v>
      </c>
      <c r="G969" s="3">
        <v>94</v>
      </c>
      <c r="H969" s="4" t="s">
        <v>28</v>
      </c>
      <c r="I969">
        <v>55</v>
      </c>
      <c r="J969">
        <v>0</v>
      </c>
      <c r="K969">
        <v>0</v>
      </c>
      <c r="L969" s="3">
        <v>0</v>
      </c>
      <c r="M969" s="3">
        <v>1</v>
      </c>
      <c r="N969">
        <v>0</v>
      </c>
      <c r="O969">
        <v>0</v>
      </c>
      <c r="P969">
        <v>0</v>
      </c>
      <c r="Q969">
        <v>2</v>
      </c>
      <c r="R969" s="3">
        <v>0</v>
      </c>
      <c r="S969" s="3">
        <v>0</v>
      </c>
      <c r="T969">
        <v>0</v>
      </c>
      <c r="U969">
        <v>0</v>
      </c>
      <c r="V969" s="3">
        <v>0</v>
      </c>
      <c r="W969" s="3">
        <v>0</v>
      </c>
      <c r="X969">
        <v>0</v>
      </c>
      <c r="Y969" t="s">
        <v>874</v>
      </c>
    </row>
    <row r="970" spans="1:25" hidden="1" x14ac:dyDescent="0.25">
      <c r="A970" s="1" t="s">
        <v>33</v>
      </c>
      <c r="B970" s="1" t="s">
        <v>106</v>
      </c>
      <c r="C970" s="1" t="s">
        <v>27</v>
      </c>
      <c r="D970" s="1" t="s">
        <v>27</v>
      </c>
      <c r="E970" s="2">
        <v>45867</v>
      </c>
      <c r="F970" s="2">
        <v>45867</v>
      </c>
      <c r="G970" s="3">
        <v>31</v>
      </c>
      <c r="H970" s="4" t="s">
        <v>959</v>
      </c>
      <c r="I970">
        <v>0</v>
      </c>
      <c r="J970">
        <v>0</v>
      </c>
      <c r="K970">
        <v>0</v>
      </c>
      <c r="L970" s="3">
        <v>0</v>
      </c>
      <c r="M970" s="3">
        <v>0</v>
      </c>
      <c r="N970">
        <v>0</v>
      </c>
      <c r="O970">
        <v>0</v>
      </c>
      <c r="P970">
        <v>0</v>
      </c>
      <c r="Q970">
        <v>0</v>
      </c>
      <c r="R970" s="3">
        <v>0</v>
      </c>
      <c r="S970" s="3">
        <v>0</v>
      </c>
      <c r="T970">
        <v>0</v>
      </c>
      <c r="U970">
        <v>0</v>
      </c>
      <c r="V970" s="3">
        <v>0</v>
      </c>
      <c r="W970" s="3">
        <v>0</v>
      </c>
      <c r="X970">
        <v>0</v>
      </c>
      <c r="Y970" t="s">
        <v>852</v>
      </c>
    </row>
    <row r="971" spans="1:25" hidden="1" x14ac:dyDescent="0.25">
      <c r="A971" s="1" t="s">
        <v>51</v>
      </c>
      <c r="B971" s="1" t="s">
        <v>120</v>
      </c>
      <c r="C971" s="1" t="s">
        <v>27</v>
      </c>
      <c r="D971" s="1" t="s">
        <v>27</v>
      </c>
      <c r="E971" s="2">
        <v>45867</v>
      </c>
      <c r="F971" s="2">
        <v>45867</v>
      </c>
      <c r="G971" s="3">
        <v>127</v>
      </c>
      <c r="H971" s="4" t="s">
        <v>959</v>
      </c>
      <c r="I971">
        <v>0</v>
      </c>
      <c r="J971">
        <v>0</v>
      </c>
      <c r="K971">
        <v>0</v>
      </c>
      <c r="L971" s="3">
        <v>0</v>
      </c>
      <c r="M971" s="3">
        <v>0</v>
      </c>
      <c r="N971">
        <v>0</v>
      </c>
      <c r="O971">
        <v>0</v>
      </c>
      <c r="P971">
        <v>0</v>
      </c>
      <c r="Q971">
        <v>0</v>
      </c>
      <c r="R971" s="3">
        <v>0</v>
      </c>
      <c r="S971" s="3">
        <v>0</v>
      </c>
      <c r="T971">
        <v>0</v>
      </c>
      <c r="U971">
        <v>0</v>
      </c>
      <c r="V971" s="3">
        <v>0</v>
      </c>
      <c r="W971" s="3">
        <v>0</v>
      </c>
      <c r="X971">
        <v>0</v>
      </c>
      <c r="Y971" t="s">
        <v>859</v>
      </c>
    </row>
    <row r="972" spans="1:25" hidden="1" x14ac:dyDescent="0.25">
      <c r="A972" s="1" t="s">
        <v>27</v>
      </c>
      <c r="B972" s="1" t="s">
        <v>487</v>
      </c>
      <c r="C972" s="1" t="s">
        <v>57</v>
      </c>
      <c r="D972" s="1" t="s">
        <v>27</v>
      </c>
      <c r="E972" s="2">
        <v>45867</v>
      </c>
      <c r="F972" s="2">
        <v>45867</v>
      </c>
      <c r="G972" s="3">
        <v>128</v>
      </c>
      <c r="H972" s="4" t="s">
        <v>959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859</v>
      </c>
    </row>
    <row r="973" spans="1:25" hidden="1" x14ac:dyDescent="0.25">
      <c r="A973" s="1" t="s">
        <v>58</v>
      </c>
      <c r="B973" s="1" t="s">
        <v>102</v>
      </c>
      <c r="C973" s="1" t="s">
        <v>27</v>
      </c>
      <c r="D973" s="1" t="s">
        <v>27</v>
      </c>
      <c r="E973" s="2">
        <v>45867</v>
      </c>
      <c r="F973" s="2">
        <v>45867</v>
      </c>
      <c r="G973" s="3">
        <v>129</v>
      </c>
      <c r="H973" s="4" t="s">
        <v>959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859</v>
      </c>
    </row>
    <row r="974" spans="1:25" hidden="1" x14ac:dyDescent="0.25">
      <c r="A974" s="1" t="s">
        <v>27</v>
      </c>
      <c r="B974" s="1" t="s">
        <v>876</v>
      </c>
      <c r="C974" s="1" t="s">
        <v>95</v>
      </c>
      <c r="D974" s="1" t="s">
        <v>27</v>
      </c>
      <c r="E974" s="2">
        <v>45867</v>
      </c>
      <c r="F974" s="2">
        <v>45867</v>
      </c>
      <c r="G974" s="3">
        <v>130</v>
      </c>
      <c r="H974" s="4" t="s">
        <v>248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859</v>
      </c>
    </row>
    <row r="975" spans="1:25" hidden="1" x14ac:dyDescent="0.25">
      <c r="A975" s="1" t="s">
        <v>56</v>
      </c>
      <c r="B975" s="1" t="s">
        <v>98</v>
      </c>
      <c r="C975" s="1" t="s">
        <v>37</v>
      </c>
      <c r="D975" s="1" t="s">
        <v>27</v>
      </c>
      <c r="E975" s="2">
        <v>45868</v>
      </c>
      <c r="F975" s="2">
        <v>45868</v>
      </c>
      <c r="G975" s="3">
        <v>31</v>
      </c>
      <c r="H975" s="4" t="s">
        <v>28</v>
      </c>
      <c r="I975">
        <v>57</v>
      </c>
      <c r="J975">
        <v>0</v>
      </c>
      <c r="K975">
        <v>0</v>
      </c>
      <c r="L975" s="3">
        <v>1</v>
      </c>
      <c r="M975" s="3">
        <v>0</v>
      </c>
      <c r="N975">
        <v>0</v>
      </c>
      <c r="O975">
        <v>0</v>
      </c>
      <c r="P975">
        <v>0</v>
      </c>
      <c r="Q975">
        <v>0</v>
      </c>
      <c r="R975" s="3">
        <v>0</v>
      </c>
      <c r="S975" s="3">
        <v>0</v>
      </c>
      <c r="T975">
        <v>0</v>
      </c>
      <c r="U975">
        <v>0</v>
      </c>
      <c r="V975" s="3">
        <v>0</v>
      </c>
      <c r="W975" s="3">
        <v>0</v>
      </c>
      <c r="X975">
        <v>0</v>
      </c>
      <c r="Y975" t="s">
        <v>877</v>
      </c>
    </row>
    <row r="976" spans="1:25" hidden="1" x14ac:dyDescent="0.25">
      <c r="A976" s="1" t="s">
        <v>29</v>
      </c>
      <c r="B976" s="1" t="s">
        <v>100</v>
      </c>
      <c r="C976" s="1" t="s">
        <v>245</v>
      </c>
      <c r="D976" s="1" t="s">
        <v>27</v>
      </c>
      <c r="E976" s="2">
        <v>45868</v>
      </c>
      <c r="F976" s="2">
        <v>45868</v>
      </c>
      <c r="G976" s="3">
        <v>68</v>
      </c>
      <c r="H976" s="4" t="s">
        <v>28</v>
      </c>
      <c r="I976">
        <v>37</v>
      </c>
      <c r="J976">
        <v>0</v>
      </c>
      <c r="K976">
        <v>0</v>
      </c>
      <c r="L976" s="3">
        <v>1</v>
      </c>
      <c r="M976" s="3">
        <v>0</v>
      </c>
      <c r="N976">
        <v>0</v>
      </c>
      <c r="O976">
        <v>0</v>
      </c>
      <c r="P976">
        <v>0</v>
      </c>
      <c r="Q976">
        <v>0</v>
      </c>
      <c r="R976" s="3">
        <v>0</v>
      </c>
      <c r="S976" s="3">
        <v>0</v>
      </c>
      <c r="T976">
        <v>0</v>
      </c>
      <c r="U976">
        <v>0</v>
      </c>
      <c r="V976" s="3">
        <v>0</v>
      </c>
      <c r="W976" s="3">
        <v>0</v>
      </c>
      <c r="X976">
        <v>0</v>
      </c>
      <c r="Y976" t="s">
        <v>878</v>
      </c>
    </row>
    <row r="977" spans="1:25" hidden="1" x14ac:dyDescent="0.25">
      <c r="A977" s="1" t="s">
        <v>344</v>
      </c>
      <c r="B977" s="1" t="s">
        <v>102</v>
      </c>
      <c r="C977" s="1" t="s">
        <v>35</v>
      </c>
      <c r="D977" s="1" t="s">
        <v>27</v>
      </c>
      <c r="E977" s="2">
        <v>45868</v>
      </c>
      <c r="F977" s="2">
        <v>45868</v>
      </c>
      <c r="G977" s="3">
        <v>35</v>
      </c>
      <c r="H977" s="4" t="s">
        <v>28</v>
      </c>
      <c r="I977">
        <v>33</v>
      </c>
      <c r="J977">
        <v>0</v>
      </c>
      <c r="K977">
        <v>0</v>
      </c>
      <c r="L977" s="3">
        <v>0</v>
      </c>
      <c r="M977" s="3">
        <v>0</v>
      </c>
      <c r="N977">
        <v>0</v>
      </c>
      <c r="O977">
        <v>0</v>
      </c>
      <c r="P977">
        <v>0</v>
      </c>
      <c r="Q977">
        <v>0</v>
      </c>
      <c r="R977" s="3">
        <v>0</v>
      </c>
      <c r="S977" s="3">
        <v>0</v>
      </c>
      <c r="T977">
        <v>0</v>
      </c>
      <c r="U977">
        <v>0</v>
      </c>
      <c r="V977" s="3">
        <v>0</v>
      </c>
      <c r="W977" s="3">
        <v>0</v>
      </c>
      <c r="X977">
        <v>0</v>
      </c>
      <c r="Y977" t="s">
        <v>850</v>
      </c>
    </row>
    <row r="978" spans="1:25" hidden="1" x14ac:dyDescent="0.25">
      <c r="A978" s="1" t="s">
        <v>31</v>
      </c>
      <c r="B978" s="1" t="s">
        <v>104</v>
      </c>
      <c r="C978" s="1" t="s">
        <v>25</v>
      </c>
      <c r="D978" s="1" t="s">
        <v>27</v>
      </c>
      <c r="E978" s="2">
        <v>45868</v>
      </c>
      <c r="F978" s="2">
        <v>45868</v>
      </c>
      <c r="G978" s="3">
        <v>54</v>
      </c>
      <c r="H978" s="4" t="s">
        <v>28</v>
      </c>
      <c r="I978">
        <v>90</v>
      </c>
      <c r="J978">
        <v>0</v>
      </c>
      <c r="K978">
        <v>0</v>
      </c>
      <c r="L978" s="3">
        <v>0</v>
      </c>
      <c r="M978" s="3">
        <v>0</v>
      </c>
      <c r="N978">
        <v>0</v>
      </c>
      <c r="O978">
        <v>0</v>
      </c>
      <c r="P978">
        <v>0</v>
      </c>
      <c r="Q978">
        <v>50</v>
      </c>
      <c r="R978" s="3">
        <v>0</v>
      </c>
      <c r="S978" s="3">
        <v>0</v>
      </c>
      <c r="T978">
        <v>0</v>
      </c>
      <c r="U978">
        <v>0</v>
      </c>
      <c r="V978" s="3">
        <v>0</v>
      </c>
      <c r="W978" s="3">
        <v>0</v>
      </c>
      <c r="X978">
        <v>0</v>
      </c>
      <c r="Y978" t="s">
        <v>879</v>
      </c>
    </row>
    <row r="979" spans="1:25" hidden="1" x14ac:dyDescent="0.25">
      <c r="A979" s="1" t="s">
        <v>33</v>
      </c>
      <c r="B979" s="1" t="s">
        <v>106</v>
      </c>
      <c r="C979" s="1" t="s">
        <v>57</v>
      </c>
      <c r="D979" s="1" t="s">
        <v>27</v>
      </c>
      <c r="E979" s="2">
        <v>45868</v>
      </c>
      <c r="F979" s="2">
        <v>45868</v>
      </c>
      <c r="G979" s="3">
        <v>33</v>
      </c>
      <c r="H979" s="4" t="s">
        <v>28</v>
      </c>
      <c r="I979">
        <v>43</v>
      </c>
      <c r="J979">
        <v>0</v>
      </c>
      <c r="K979">
        <v>0</v>
      </c>
      <c r="L979" s="3">
        <v>0</v>
      </c>
      <c r="M979" s="3">
        <v>0</v>
      </c>
      <c r="N979">
        <v>0</v>
      </c>
      <c r="O979">
        <v>0</v>
      </c>
      <c r="P979">
        <v>0</v>
      </c>
      <c r="Q979">
        <v>18</v>
      </c>
      <c r="R979" s="3">
        <v>0</v>
      </c>
      <c r="S979" s="3">
        <v>0</v>
      </c>
      <c r="T979">
        <v>0</v>
      </c>
      <c r="U979">
        <v>0</v>
      </c>
      <c r="V979" s="3">
        <v>0</v>
      </c>
      <c r="W979" s="3">
        <v>0</v>
      </c>
      <c r="X979">
        <v>0</v>
      </c>
      <c r="Y979" t="s">
        <v>880</v>
      </c>
    </row>
    <row r="980" spans="1:25" hidden="1" x14ac:dyDescent="0.25">
      <c r="A980" s="1" t="s">
        <v>34</v>
      </c>
      <c r="B980" s="1" t="s">
        <v>247</v>
      </c>
      <c r="C980" s="1" t="s">
        <v>44</v>
      </c>
      <c r="D980" s="1" t="s">
        <v>27</v>
      </c>
      <c r="E980" s="2">
        <v>45868</v>
      </c>
      <c r="F980" s="2">
        <v>45868</v>
      </c>
      <c r="G980" s="3">
        <v>42</v>
      </c>
      <c r="H980" s="4" t="s">
        <v>28</v>
      </c>
      <c r="I980">
        <v>45</v>
      </c>
      <c r="J980">
        <v>0</v>
      </c>
      <c r="K980">
        <v>0</v>
      </c>
      <c r="L980" s="3">
        <v>0</v>
      </c>
      <c r="M980" s="3">
        <v>0</v>
      </c>
      <c r="N980">
        <v>0</v>
      </c>
      <c r="O980">
        <v>0</v>
      </c>
      <c r="P980">
        <v>0</v>
      </c>
      <c r="Q980">
        <v>0</v>
      </c>
      <c r="R980" s="3">
        <v>0</v>
      </c>
      <c r="S980" s="3">
        <v>0</v>
      </c>
      <c r="T980">
        <v>0</v>
      </c>
      <c r="U980">
        <v>0</v>
      </c>
      <c r="V980" s="3">
        <v>0</v>
      </c>
      <c r="W980" s="3">
        <v>0</v>
      </c>
      <c r="X980">
        <v>0</v>
      </c>
      <c r="Y980" t="s">
        <v>881</v>
      </c>
    </row>
    <row r="981" spans="1:25" hidden="1" x14ac:dyDescent="0.25">
      <c r="A981" s="1" t="s">
        <v>38</v>
      </c>
      <c r="B981" s="1" t="s">
        <v>108</v>
      </c>
      <c r="C981" s="1" t="s">
        <v>27</v>
      </c>
      <c r="D981" s="1" t="s">
        <v>27</v>
      </c>
      <c r="E981" s="2">
        <v>45868</v>
      </c>
      <c r="F981" s="2">
        <v>45868</v>
      </c>
      <c r="G981" s="3">
        <v>59</v>
      </c>
      <c r="H981" s="4" t="s">
        <v>28</v>
      </c>
      <c r="I981">
        <v>35</v>
      </c>
      <c r="J981">
        <v>0</v>
      </c>
      <c r="K981">
        <v>0</v>
      </c>
      <c r="L981" s="3">
        <v>0</v>
      </c>
      <c r="M981" s="3">
        <v>0</v>
      </c>
      <c r="N981">
        <v>0</v>
      </c>
      <c r="O981">
        <v>0</v>
      </c>
      <c r="P981">
        <v>0</v>
      </c>
      <c r="Q981">
        <v>35</v>
      </c>
      <c r="R981" s="3">
        <v>0</v>
      </c>
      <c r="S981" s="3">
        <v>0</v>
      </c>
      <c r="T981">
        <v>0</v>
      </c>
      <c r="U981">
        <v>0</v>
      </c>
      <c r="V981" s="3">
        <v>0</v>
      </c>
      <c r="W981" s="3">
        <v>0</v>
      </c>
      <c r="X981">
        <v>0</v>
      </c>
      <c r="Y981" t="s">
        <v>882</v>
      </c>
    </row>
    <row r="982" spans="1:25" hidden="1" x14ac:dyDescent="0.25">
      <c r="A982" s="1" t="s">
        <v>40</v>
      </c>
      <c r="B982" s="1" t="s">
        <v>110</v>
      </c>
      <c r="C982" s="1" t="s">
        <v>27</v>
      </c>
      <c r="D982" s="1" t="s">
        <v>27</v>
      </c>
      <c r="E982" s="2">
        <v>45868</v>
      </c>
      <c r="F982" s="2">
        <v>45868</v>
      </c>
      <c r="G982" s="3">
        <v>173</v>
      </c>
      <c r="H982" s="4" t="s">
        <v>28</v>
      </c>
      <c r="I982">
        <v>76</v>
      </c>
      <c r="J982">
        <v>0</v>
      </c>
      <c r="K982">
        <v>0</v>
      </c>
      <c r="L982" s="3">
        <v>1</v>
      </c>
      <c r="M982" s="3">
        <v>0</v>
      </c>
      <c r="N982">
        <v>1</v>
      </c>
      <c r="O982">
        <v>0</v>
      </c>
      <c r="P982">
        <v>0</v>
      </c>
      <c r="Q982">
        <v>0</v>
      </c>
      <c r="R982" s="3">
        <v>0</v>
      </c>
      <c r="S982" s="3">
        <v>0</v>
      </c>
      <c r="T982">
        <v>0</v>
      </c>
      <c r="U982">
        <v>0</v>
      </c>
      <c r="V982" s="3">
        <v>0</v>
      </c>
      <c r="W982" s="3">
        <v>0</v>
      </c>
      <c r="X982">
        <v>0</v>
      </c>
      <c r="Y982" t="s">
        <v>883</v>
      </c>
    </row>
    <row r="983" spans="1:25" hidden="1" x14ac:dyDescent="0.25">
      <c r="A983" s="1" t="s">
        <v>36</v>
      </c>
      <c r="B983" s="1" t="s">
        <v>110</v>
      </c>
      <c r="C983" s="1" t="s">
        <v>27</v>
      </c>
      <c r="D983" s="1" t="s">
        <v>27</v>
      </c>
      <c r="E983" s="2">
        <v>45868</v>
      </c>
      <c r="F983" s="2">
        <v>45868</v>
      </c>
      <c r="G983" s="3">
        <v>173</v>
      </c>
      <c r="H983" s="4" t="s">
        <v>28</v>
      </c>
      <c r="I983">
        <v>76</v>
      </c>
      <c r="J983">
        <v>0</v>
      </c>
      <c r="K983">
        <v>0</v>
      </c>
      <c r="L983" s="3">
        <v>1</v>
      </c>
      <c r="M983" s="3">
        <v>0</v>
      </c>
      <c r="N983">
        <v>1</v>
      </c>
      <c r="O983">
        <v>0</v>
      </c>
      <c r="P983">
        <v>0</v>
      </c>
      <c r="Q983">
        <v>0</v>
      </c>
      <c r="R983" s="3">
        <v>0</v>
      </c>
      <c r="S983" s="3">
        <v>0</v>
      </c>
      <c r="T983">
        <v>0</v>
      </c>
      <c r="U983">
        <v>0</v>
      </c>
      <c r="V983" s="3">
        <v>0</v>
      </c>
      <c r="W983" s="3">
        <v>0</v>
      </c>
      <c r="X983">
        <v>0</v>
      </c>
      <c r="Y983" t="s">
        <v>883</v>
      </c>
    </row>
    <row r="984" spans="1:25" hidden="1" x14ac:dyDescent="0.25">
      <c r="A984" s="1" t="s">
        <v>41</v>
      </c>
      <c r="B984" s="1" t="s">
        <v>112</v>
      </c>
      <c r="C984" s="1" t="s">
        <v>42</v>
      </c>
      <c r="D984" t="s">
        <v>27</v>
      </c>
      <c r="E984" s="2">
        <v>45868</v>
      </c>
      <c r="F984" s="2">
        <v>45868</v>
      </c>
      <c r="G984" s="3">
        <v>34</v>
      </c>
      <c r="H984" s="4" t="s">
        <v>28</v>
      </c>
      <c r="I984">
        <v>44</v>
      </c>
      <c r="J984">
        <v>0</v>
      </c>
      <c r="K984">
        <v>0</v>
      </c>
      <c r="L984" s="3">
        <v>1</v>
      </c>
      <c r="M984" s="3">
        <v>0</v>
      </c>
      <c r="N984">
        <v>0</v>
      </c>
      <c r="O984">
        <v>0</v>
      </c>
      <c r="P984">
        <v>0</v>
      </c>
      <c r="Q984">
        <v>0</v>
      </c>
      <c r="R984" s="3">
        <v>0</v>
      </c>
      <c r="S984" s="3">
        <v>0</v>
      </c>
      <c r="T984">
        <v>0</v>
      </c>
      <c r="U984">
        <v>0</v>
      </c>
      <c r="V984" s="3">
        <v>0</v>
      </c>
      <c r="W984" s="3">
        <v>0</v>
      </c>
      <c r="X984">
        <v>0</v>
      </c>
      <c r="Y984" t="s">
        <v>807</v>
      </c>
    </row>
    <row r="985" spans="1:25" hidden="1" x14ac:dyDescent="0.25">
      <c r="A985" s="1" t="s">
        <v>45</v>
      </c>
      <c r="B985" s="1" t="s">
        <v>116</v>
      </c>
      <c r="C985" s="1" t="s">
        <v>46</v>
      </c>
      <c r="D985" s="1" t="s">
        <v>27</v>
      </c>
      <c r="E985" s="2">
        <v>45868</v>
      </c>
      <c r="F985" s="2">
        <v>45868</v>
      </c>
      <c r="G985" s="3">
        <v>175</v>
      </c>
      <c r="H985" s="4" t="s">
        <v>28</v>
      </c>
      <c r="I985">
        <v>75</v>
      </c>
      <c r="J985">
        <v>0</v>
      </c>
      <c r="K985">
        <v>0</v>
      </c>
      <c r="L985" s="3">
        <v>1</v>
      </c>
      <c r="M985" s="3">
        <v>0</v>
      </c>
      <c r="N985">
        <v>0</v>
      </c>
      <c r="O985">
        <v>0</v>
      </c>
      <c r="P985">
        <v>0</v>
      </c>
      <c r="Q985">
        <v>0</v>
      </c>
      <c r="R985" s="3">
        <v>0</v>
      </c>
      <c r="S985" s="3">
        <v>0</v>
      </c>
      <c r="T985">
        <v>0</v>
      </c>
      <c r="U985">
        <v>0</v>
      </c>
      <c r="V985" s="3">
        <v>0</v>
      </c>
      <c r="W985" s="3">
        <v>0</v>
      </c>
      <c r="X985">
        <v>0</v>
      </c>
      <c r="Y985" t="s">
        <v>884</v>
      </c>
    </row>
    <row r="986" spans="1:25" hidden="1" x14ac:dyDescent="0.25">
      <c r="A986" s="1" t="s">
        <v>49</v>
      </c>
      <c r="B986" s="1" t="s">
        <v>118</v>
      </c>
      <c r="C986" s="1" t="s">
        <v>50</v>
      </c>
      <c r="D986" s="1" t="s">
        <v>27</v>
      </c>
      <c r="E986" s="2">
        <v>45868</v>
      </c>
      <c r="F986" s="2">
        <v>45868</v>
      </c>
      <c r="G986" s="3">
        <v>31</v>
      </c>
      <c r="H986" s="4" t="s">
        <v>28</v>
      </c>
      <c r="I986">
        <v>53</v>
      </c>
      <c r="J986">
        <v>0</v>
      </c>
      <c r="K986">
        <v>0</v>
      </c>
      <c r="L986" s="3">
        <v>1</v>
      </c>
      <c r="M986" s="3">
        <v>1</v>
      </c>
      <c r="N986">
        <v>0</v>
      </c>
      <c r="O986">
        <v>0</v>
      </c>
      <c r="P986">
        <v>0</v>
      </c>
      <c r="Q986">
        <v>53</v>
      </c>
      <c r="R986" s="3">
        <v>0</v>
      </c>
      <c r="S986" s="3">
        <v>0</v>
      </c>
      <c r="T986">
        <v>0</v>
      </c>
      <c r="U986">
        <v>0</v>
      </c>
      <c r="V986" s="3">
        <v>0</v>
      </c>
      <c r="W986" s="3">
        <v>0</v>
      </c>
      <c r="X986">
        <v>0</v>
      </c>
      <c r="Y986" t="s">
        <v>885</v>
      </c>
    </row>
    <row r="987" spans="1:25" hidden="1" x14ac:dyDescent="0.25">
      <c r="A987" s="1" t="s">
        <v>51</v>
      </c>
      <c r="B987" s="1" t="s">
        <v>120</v>
      </c>
      <c r="C987" s="1" t="s">
        <v>55</v>
      </c>
      <c r="D987" s="1" t="s">
        <v>27</v>
      </c>
      <c r="E987" s="2">
        <v>45868</v>
      </c>
      <c r="F987" s="2">
        <v>45868</v>
      </c>
      <c r="G987" s="3">
        <v>50</v>
      </c>
      <c r="H987" s="4" t="s">
        <v>28</v>
      </c>
      <c r="I987">
        <v>64</v>
      </c>
      <c r="J987">
        <v>0</v>
      </c>
      <c r="K987">
        <v>0</v>
      </c>
      <c r="L987" s="3">
        <v>1</v>
      </c>
      <c r="M987" s="3">
        <v>0</v>
      </c>
      <c r="N987">
        <v>1</v>
      </c>
      <c r="O987">
        <v>0</v>
      </c>
      <c r="P987">
        <v>0</v>
      </c>
      <c r="Q987">
        <v>0</v>
      </c>
      <c r="R987" s="3">
        <v>0</v>
      </c>
      <c r="S987" s="3">
        <v>0</v>
      </c>
      <c r="T987">
        <v>0</v>
      </c>
      <c r="U987">
        <v>0</v>
      </c>
      <c r="V987" s="3">
        <v>0</v>
      </c>
      <c r="W987" s="3">
        <v>0</v>
      </c>
      <c r="X987">
        <v>0</v>
      </c>
      <c r="Y987" t="s">
        <v>886</v>
      </c>
    </row>
    <row r="988" spans="1:25" hidden="1" x14ac:dyDescent="0.25">
      <c r="A988" s="1" t="s">
        <v>48</v>
      </c>
      <c r="B988" s="1" t="s">
        <v>149</v>
      </c>
      <c r="C988" s="1" t="s">
        <v>27</v>
      </c>
      <c r="D988" s="1" t="s">
        <v>27</v>
      </c>
      <c r="E988" s="2">
        <v>45868</v>
      </c>
      <c r="F988" s="2">
        <v>45868</v>
      </c>
      <c r="G988" s="3">
        <v>35</v>
      </c>
      <c r="H988" s="4" t="s">
        <v>28</v>
      </c>
      <c r="I988">
        <v>45</v>
      </c>
      <c r="J988">
        <v>0</v>
      </c>
      <c r="K988">
        <v>0</v>
      </c>
      <c r="L988" s="3">
        <v>0</v>
      </c>
      <c r="M988" s="3">
        <v>0</v>
      </c>
      <c r="N988">
        <v>0</v>
      </c>
      <c r="O988">
        <v>0</v>
      </c>
      <c r="P988">
        <v>0</v>
      </c>
      <c r="Q988">
        <v>0</v>
      </c>
      <c r="R988" s="3">
        <v>0</v>
      </c>
      <c r="S988" s="3">
        <v>0</v>
      </c>
      <c r="T988">
        <v>0</v>
      </c>
      <c r="U988">
        <v>0</v>
      </c>
      <c r="V988" s="3">
        <v>0</v>
      </c>
      <c r="W988" s="3">
        <v>0</v>
      </c>
      <c r="X988">
        <v>0</v>
      </c>
      <c r="Y988" t="s">
        <v>887</v>
      </c>
    </row>
    <row r="989" spans="1:25" hidden="1" x14ac:dyDescent="0.25">
      <c r="A989" s="1" t="s">
        <v>53</v>
      </c>
      <c r="B989" s="1" t="s">
        <v>142</v>
      </c>
      <c r="C989" s="1" t="s">
        <v>39</v>
      </c>
      <c r="D989" s="1" t="s">
        <v>27</v>
      </c>
      <c r="E989" s="2">
        <v>45868</v>
      </c>
      <c r="F989" s="2">
        <v>45868</v>
      </c>
      <c r="G989" s="3">
        <v>64</v>
      </c>
      <c r="H989" s="4" t="s">
        <v>28</v>
      </c>
      <c r="I989">
        <v>30</v>
      </c>
      <c r="J989">
        <v>0</v>
      </c>
      <c r="K989">
        <v>0</v>
      </c>
      <c r="L989" s="3">
        <v>1</v>
      </c>
      <c r="M989" s="3">
        <v>0</v>
      </c>
      <c r="N989">
        <v>0</v>
      </c>
      <c r="O989">
        <v>0</v>
      </c>
      <c r="P989">
        <v>0</v>
      </c>
      <c r="Q989">
        <v>30</v>
      </c>
      <c r="R989" s="3">
        <v>0</v>
      </c>
      <c r="S989" s="3">
        <v>0</v>
      </c>
      <c r="T989">
        <v>0</v>
      </c>
      <c r="U989">
        <v>0</v>
      </c>
      <c r="V989" s="3">
        <v>0</v>
      </c>
      <c r="W989" s="3">
        <v>0</v>
      </c>
      <c r="X989">
        <v>0</v>
      </c>
      <c r="Y989" t="s">
        <v>888</v>
      </c>
    </row>
    <row r="990" spans="1:25" hidden="1" x14ac:dyDescent="0.25">
      <c r="A990" s="1" t="s">
        <v>58</v>
      </c>
      <c r="B990" s="1" t="s">
        <v>144</v>
      </c>
      <c r="C990" s="1" t="s">
        <v>489</v>
      </c>
      <c r="D990" s="1" t="s">
        <v>27</v>
      </c>
      <c r="E990" s="2">
        <v>45868</v>
      </c>
      <c r="F990" s="2">
        <v>45868</v>
      </c>
      <c r="G990" s="3">
        <v>28</v>
      </c>
      <c r="H990" s="4" t="s">
        <v>28</v>
      </c>
      <c r="I990">
        <v>62</v>
      </c>
      <c r="J990">
        <v>0</v>
      </c>
      <c r="K990">
        <v>0</v>
      </c>
      <c r="L990" s="3">
        <v>1</v>
      </c>
      <c r="M990" s="3">
        <v>0</v>
      </c>
      <c r="N990">
        <v>0</v>
      </c>
      <c r="O990">
        <v>0</v>
      </c>
      <c r="P990">
        <v>0</v>
      </c>
      <c r="Q990">
        <v>0</v>
      </c>
      <c r="R990" s="3">
        <v>0</v>
      </c>
      <c r="S990" s="3">
        <v>0</v>
      </c>
      <c r="T990">
        <v>0</v>
      </c>
      <c r="U990">
        <v>0</v>
      </c>
      <c r="V990" s="3">
        <v>0</v>
      </c>
      <c r="W990" s="3">
        <v>0</v>
      </c>
      <c r="X990">
        <v>0</v>
      </c>
      <c r="Y990" t="s">
        <v>889</v>
      </c>
    </row>
    <row r="991" spans="1:25" hidden="1" x14ac:dyDescent="0.25">
      <c r="A991" s="1" t="s">
        <v>47</v>
      </c>
      <c r="B991" s="1" t="s">
        <v>149</v>
      </c>
      <c r="C991" s="1" t="s">
        <v>27</v>
      </c>
      <c r="D991" s="1" t="s">
        <v>27</v>
      </c>
      <c r="E991" s="2">
        <v>45868</v>
      </c>
      <c r="F991" s="2">
        <v>45868</v>
      </c>
      <c r="G991" s="3">
        <v>35</v>
      </c>
      <c r="H991" s="4" t="s">
        <v>28</v>
      </c>
      <c r="I991">
        <v>45</v>
      </c>
      <c r="J991">
        <v>0</v>
      </c>
      <c r="K991">
        <v>0</v>
      </c>
      <c r="L991" s="3">
        <v>0</v>
      </c>
      <c r="M991" s="3">
        <v>0</v>
      </c>
      <c r="N991">
        <v>0</v>
      </c>
      <c r="O991">
        <v>0</v>
      </c>
      <c r="P991">
        <v>0</v>
      </c>
      <c r="Q991">
        <v>0</v>
      </c>
      <c r="R991" s="3">
        <v>0</v>
      </c>
      <c r="S991" s="3">
        <v>0</v>
      </c>
      <c r="T991">
        <v>0</v>
      </c>
      <c r="U991">
        <v>0</v>
      </c>
      <c r="V991" s="3">
        <v>0</v>
      </c>
      <c r="W991" s="3">
        <v>0</v>
      </c>
      <c r="X991">
        <v>0</v>
      </c>
      <c r="Y991" t="s">
        <v>887</v>
      </c>
    </row>
    <row r="992" spans="1:25" hidden="1" x14ac:dyDescent="0.25">
      <c r="A992" s="1" t="s">
        <v>54</v>
      </c>
      <c r="B992" s="1" t="s">
        <v>122</v>
      </c>
      <c r="C992" s="1" t="s">
        <v>52</v>
      </c>
      <c r="D992" s="1" t="s">
        <v>27</v>
      </c>
      <c r="E992" s="2">
        <v>45868</v>
      </c>
      <c r="F992" s="2">
        <v>45868</v>
      </c>
      <c r="G992" s="3">
        <v>41</v>
      </c>
      <c r="H992" s="4" t="s">
        <v>28</v>
      </c>
      <c r="I992">
        <v>24</v>
      </c>
      <c r="J992">
        <v>0</v>
      </c>
      <c r="K992">
        <v>0</v>
      </c>
      <c r="L992" s="3">
        <v>0</v>
      </c>
      <c r="M992" s="3">
        <v>0</v>
      </c>
      <c r="N992">
        <v>0</v>
      </c>
      <c r="O992">
        <v>0</v>
      </c>
      <c r="P992">
        <v>0</v>
      </c>
      <c r="Q992">
        <v>2</v>
      </c>
      <c r="R992" s="3">
        <v>0</v>
      </c>
      <c r="S992" s="3">
        <v>0</v>
      </c>
      <c r="T992">
        <v>0</v>
      </c>
      <c r="U992">
        <v>0</v>
      </c>
      <c r="V992" s="3">
        <v>0</v>
      </c>
      <c r="W992" s="3">
        <v>0</v>
      </c>
      <c r="X992">
        <v>0</v>
      </c>
      <c r="Y992" t="s">
        <v>873</v>
      </c>
    </row>
    <row r="993" spans="1:25" hidden="1" x14ac:dyDescent="0.25">
      <c r="A993" s="1" t="s">
        <v>27</v>
      </c>
      <c r="B993" s="1" t="s">
        <v>876</v>
      </c>
      <c r="C993" s="1" t="s">
        <v>95</v>
      </c>
      <c r="D993" s="1" t="s">
        <v>27</v>
      </c>
      <c r="E993" s="2">
        <v>45867</v>
      </c>
      <c r="F993" s="2">
        <v>45867</v>
      </c>
      <c r="G993" s="3">
        <v>130</v>
      </c>
      <c r="H993" s="4" t="s">
        <v>959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859</v>
      </c>
    </row>
    <row r="994" spans="1:25" hidden="1" x14ac:dyDescent="0.25">
      <c r="A994" s="1" t="s">
        <v>25</v>
      </c>
      <c r="B994" s="1" t="s">
        <v>96</v>
      </c>
      <c r="C994" s="1" t="s">
        <v>489</v>
      </c>
      <c r="D994" t="s">
        <v>27</v>
      </c>
      <c r="E994" s="2">
        <v>45869</v>
      </c>
      <c r="F994" s="2">
        <v>45869</v>
      </c>
      <c r="G994" s="3">
        <v>31</v>
      </c>
      <c r="H994" s="4" t="s">
        <v>28</v>
      </c>
      <c r="I994">
        <v>73</v>
      </c>
      <c r="J994">
        <v>0</v>
      </c>
      <c r="K994">
        <v>0</v>
      </c>
      <c r="L994" s="3">
        <v>1</v>
      </c>
      <c r="M994" s="3">
        <v>0</v>
      </c>
      <c r="N994">
        <v>1</v>
      </c>
      <c r="O994">
        <v>0</v>
      </c>
      <c r="P994">
        <v>0</v>
      </c>
      <c r="Q994">
        <v>0</v>
      </c>
      <c r="R994" s="3">
        <v>0</v>
      </c>
      <c r="S994" s="3">
        <v>0</v>
      </c>
      <c r="T994">
        <v>0</v>
      </c>
      <c r="U994">
        <v>0</v>
      </c>
      <c r="V994" s="3">
        <v>0</v>
      </c>
      <c r="W994" s="3">
        <v>0</v>
      </c>
      <c r="X994">
        <v>0</v>
      </c>
      <c r="Y994" t="s">
        <v>890</v>
      </c>
    </row>
    <row r="995" spans="1:25" hidden="1" x14ac:dyDescent="0.25">
      <c r="A995" s="1" t="s">
        <v>56</v>
      </c>
      <c r="B995" s="1" t="s">
        <v>98</v>
      </c>
      <c r="C995" s="1" t="s">
        <v>37</v>
      </c>
      <c r="D995" t="s">
        <v>27</v>
      </c>
      <c r="E995" s="2">
        <v>45869</v>
      </c>
      <c r="F995" s="2">
        <v>45869</v>
      </c>
      <c r="G995" s="3">
        <v>28</v>
      </c>
      <c r="H995" s="4" t="s">
        <v>28</v>
      </c>
      <c r="I995">
        <v>76</v>
      </c>
      <c r="J995">
        <v>0</v>
      </c>
      <c r="K995">
        <v>0</v>
      </c>
      <c r="L995" s="3">
        <v>1</v>
      </c>
      <c r="M995" s="3">
        <v>0</v>
      </c>
      <c r="N995">
        <v>0</v>
      </c>
      <c r="O995">
        <v>0</v>
      </c>
      <c r="P995">
        <v>0</v>
      </c>
      <c r="Q995">
        <v>0</v>
      </c>
      <c r="R995" s="3">
        <v>0</v>
      </c>
      <c r="S995" s="3">
        <v>0</v>
      </c>
      <c r="T995">
        <v>0</v>
      </c>
      <c r="U995">
        <v>0</v>
      </c>
      <c r="V995" s="3">
        <v>0</v>
      </c>
      <c r="W995" s="3">
        <v>0</v>
      </c>
      <c r="X995">
        <v>0</v>
      </c>
      <c r="Y995" t="s">
        <v>891</v>
      </c>
    </row>
    <row r="996" spans="1:25" hidden="1" x14ac:dyDescent="0.25">
      <c r="A996" s="1" t="s">
        <v>29</v>
      </c>
      <c r="B996" s="1" t="s">
        <v>100</v>
      </c>
      <c r="C996" s="1" t="s">
        <v>95</v>
      </c>
      <c r="D996" t="s">
        <v>27</v>
      </c>
      <c r="E996" s="2">
        <v>45869</v>
      </c>
      <c r="F996" s="2">
        <v>45869</v>
      </c>
      <c r="G996" s="3">
        <v>44</v>
      </c>
      <c r="H996" s="4" t="s">
        <v>28</v>
      </c>
      <c r="I996">
        <v>27</v>
      </c>
      <c r="J996">
        <v>0</v>
      </c>
      <c r="K996">
        <v>0</v>
      </c>
      <c r="L996" s="3">
        <v>0</v>
      </c>
      <c r="M996" s="3">
        <v>0</v>
      </c>
      <c r="N996">
        <v>0</v>
      </c>
      <c r="O996">
        <v>0</v>
      </c>
      <c r="P996">
        <v>0</v>
      </c>
      <c r="Q996">
        <v>0</v>
      </c>
      <c r="R996" s="3">
        <v>0</v>
      </c>
      <c r="S996" s="3">
        <v>0</v>
      </c>
      <c r="T996">
        <v>0</v>
      </c>
      <c r="U996">
        <v>0</v>
      </c>
      <c r="V996" s="3">
        <v>0</v>
      </c>
      <c r="W996" s="3">
        <v>0</v>
      </c>
      <c r="X996">
        <v>0</v>
      </c>
      <c r="Y996" t="s">
        <v>892</v>
      </c>
    </row>
    <row r="997" spans="1:25" hidden="1" x14ac:dyDescent="0.25">
      <c r="A997" s="1" t="s">
        <v>344</v>
      </c>
      <c r="B997" s="1" t="s">
        <v>102</v>
      </c>
      <c r="C997" s="1" t="s">
        <v>35</v>
      </c>
      <c r="D997" s="1" t="s">
        <v>27</v>
      </c>
      <c r="E997" s="2">
        <v>45869</v>
      </c>
      <c r="F997" s="2">
        <v>45869</v>
      </c>
      <c r="G997" s="3">
        <v>35</v>
      </c>
      <c r="H997" s="4" t="s">
        <v>28</v>
      </c>
      <c r="I997">
        <v>29</v>
      </c>
      <c r="J997">
        <v>0</v>
      </c>
      <c r="K997">
        <v>0</v>
      </c>
      <c r="L997" s="3">
        <v>0</v>
      </c>
      <c r="M997" s="3">
        <v>0</v>
      </c>
      <c r="N997">
        <v>0</v>
      </c>
      <c r="O997">
        <v>0</v>
      </c>
      <c r="P997">
        <v>0</v>
      </c>
      <c r="Q997">
        <v>0</v>
      </c>
      <c r="R997" s="3">
        <v>0</v>
      </c>
      <c r="S997" s="3">
        <v>0</v>
      </c>
      <c r="T997">
        <v>0</v>
      </c>
      <c r="U997">
        <v>0</v>
      </c>
      <c r="V997" s="3">
        <v>0</v>
      </c>
      <c r="W997" s="3">
        <v>0</v>
      </c>
      <c r="X997">
        <v>0</v>
      </c>
      <c r="Y997" t="s">
        <v>850</v>
      </c>
    </row>
    <row r="998" spans="1:25" hidden="1" x14ac:dyDescent="0.25">
      <c r="A998" s="1" t="s">
        <v>31</v>
      </c>
      <c r="B998" s="1" t="s">
        <v>104</v>
      </c>
      <c r="C998" s="1" t="s">
        <v>32</v>
      </c>
      <c r="D998" t="s">
        <v>27</v>
      </c>
      <c r="E998" s="2">
        <v>45869</v>
      </c>
      <c r="F998" s="2">
        <v>45869</v>
      </c>
      <c r="G998" s="3">
        <v>44</v>
      </c>
      <c r="H998" s="4" t="s">
        <v>28</v>
      </c>
      <c r="I998">
        <v>80</v>
      </c>
      <c r="J998">
        <v>0</v>
      </c>
      <c r="K998">
        <v>0</v>
      </c>
      <c r="L998" s="3">
        <v>0</v>
      </c>
      <c r="M998" s="3">
        <v>0</v>
      </c>
      <c r="N998">
        <v>0</v>
      </c>
      <c r="O998">
        <v>0</v>
      </c>
      <c r="P998">
        <v>0</v>
      </c>
      <c r="Q998">
        <v>50</v>
      </c>
      <c r="R998" s="3">
        <v>0</v>
      </c>
      <c r="S998" s="3">
        <v>0</v>
      </c>
      <c r="T998">
        <v>0</v>
      </c>
      <c r="U998">
        <v>0</v>
      </c>
      <c r="V998" s="3">
        <v>0</v>
      </c>
      <c r="W998" s="3">
        <v>0</v>
      </c>
      <c r="X998">
        <v>0</v>
      </c>
      <c r="Y998" t="s">
        <v>893</v>
      </c>
    </row>
    <row r="999" spans="1:25" hidden="1" x14ac:dyDescent="0.25">
      <c r="A999" s="1" t="s">
        <v>33</v>
      </c>
      <c r="B999" s="1" t="s">
        <v>106</v>
      </c>
      <c r="C999" s="1" t="s">
        <v>57</v>
      </c>
      <c r="D999" t="s">
        <v>27</v>
      </c>
      <c r="E999" s="2">
        <v>45869</v>
      </c>
      <c r="F999" s="2">
        <v>45869</v>
      </c>
      <c r="G999" s="3">
        <v>25</v>
      </c>
      <c r="H999" s="4" t="s">
        <v>28</v>
      </c>
      <c r="I999">
        <v>35</v>
      </c>
      <c r="J999">
        <v>0</v>
      </c>
      <c r="K999">
        <v>0</v>
      </c>
      <c r="L999" s="3">
        <v>0</v>
      </c>
      <c r="M999" s="3">
        <v>0</v>
      </c>
      <c r="N999">
        <v>0</v>
      </c>
      <c r="O999">
        <v>0</v>
      </c>
      <c r="P999">
        <v>0</v>
      </c>
      <c r="Q999">
        <v>0</v>
      </c>
      <c r="R999" s="3">
        <v>0</v>
      </c>
      <c r="S999" s="3">
        <v>0</v>
      </c>
      <c r="T999">
        <v>0</v>
      </c>
      <c r="U999">
        <v>0</v>
      </c>
      <c r="V999" s="3">
        <v>0</v>
      </c>
      <c r="W999" s="3">
        <v>0</v>
      </c>
      <c r="X999">
        <v>0</v>
      </c>
      <c r="Y999" t="s">
        <v>894</v>
      </c>
    </row>
    <row r="1000" spans="1:25" hidden="1" x14ac:dyDescent="0.25">
      <c r="A1000" s="1" t="s">
        <v>38</v>
      </c>
      <c r="B1000" s="1" t="s">
        <v>108</v>
      </c>
      <c r="C1000" s="1" t="s">
        <v>27</v>
      </c>
      <c r="D1000" t="s">
        <v>27</v>
      </c>
      <c r="E1000" s="2">
        <v>45869</v>
      </c>
      <c r="F1000" s="2">
        <v>45869</v>
      </c>
      <c r="G1000" s="3">
        <v>48</v>
      </c>
      <c r="H1000" s="4" t="s">
        <v>28</v>
      </c>
      <c r="I1000">
        <v>33</v>
      </c>
      <c r="J1000">
        <v>0</v>
      </c>
      <c r="K1000">
        <v>0</v>
      </c>
      <c r="L1000" s="3">
        <v>0</v>
      </c>
      <c r="M1000" s="3">
        <v>0</v>
      </c>
      <c r="N1000">
        <v>0</v>
      </c>
      <c r="O1000">
        <v>0</v>
      </c>
      <c r="P1000">
        <v>0</v>
      </c>
      <c r="Q1000">
        <v>33</v>
      </c>
      <c r="R1000" s="3">
        <v>0</v>
      </c>
      <c r="S1000" s="3">
        <v>0</v>
      </c>
      <c r="T1000">
        <v>0</v>
      </c>
      <c r="U1000">
        <v>0</v>
      </c>
      <c r="V1000" s="3">
        <v>0</v>
      </c>
      <c r="W1000" s="3">
        <v>0</v>
      </c>
      <c r="X1000">
        <v>0</v>
      </c>
      <c r="Y1000" t="s">
        <v>895</v>
      </c>
    </row>
    <row r="1001" spans="1:25" hidden="1" x14ac:dyDescent="0.25">
      <c r="A1001" s="1" t="s">
        <v>40</v>
      </c>
      <c r="B1001" s="1" t="s">
        <v>110</v>
      </c>
      <c r="C1001" t="s">
        <v>27</v>
      </c>
      <c r="D1001" t="s">
        <v>27</v>
      </c>
      <c r="E1001" s="2">
        <v>45869</v>
      </c>
      <c r="F1001" s="2">
        <v>45869</v>
      </c>
      <c r="G1001" s="3">
        <v>95</v>
      </c>
      <c r="H1001" s="4" t="s">
        <v>28</v>
      </c>
      <c r="I1001">
        <v>24</v>
      </c>
      <c r="J1001">
        <v>0</v>
      </c>
      <c r="K1001">
        <v>0</v>
      </c>
      <c r="L1001" s="3">
        <v>1</v>
      </c>
      <c r="M1001" s="3">
        <v>0</v>
      </c>
      <c r="N1001">
        <v>1</v>
      </c>
      <c r="O1001">
        <v>0</v>
      </c>
      <c r="P1001">
        <v>0</v>
      </c>
      <c r="Q1001">
        <v>0</v>
      </c>
      <c r="R1001" s="3">
        <v>0</v>
      </c>
      <c r="S1001" s="3">
        <v>0</v>
      </c>
      <c r="T1001">
        <v>0</v>
      </c>
      <c r="U1001">
        <v>0</v>
      </c>
      <c r="V1001" s="3">
        <v>0</v>
      </c>
      <c r="W1001" s="3">
        <v>0</v>
      </c>
      <c r="X1001">
        <v>0</v>
      </c>
      <c r="Y1001" t="s">
        <v>896</v>
      </c>
    </row>
    <row r="1002" spans="1:25" hidden="1" x14ac:dyDescent="0.25">
      <c r="A1002" s="1" t="s">
        <v>36</v>
      </c>
      <c r="B1002" s="1" t="s">
        <v>110</v>
      </c>
      <c r="C1002" t="s">
        <v>27</v>
      </c>
      <c r="D1002" t="s">
        <v>27</v>
      </c>
      <c r="E1002" s="2">
        <v>45869</v>
      </c>
      <c r="F1002" s="2">
        <v>45869</v>
      </c>
      <c r="G1002" s="3">
        <v>95</v>
      </c>
      <c r="H1002" s="4" t="s">
        <v>28</v>
      </c>
      <c r="I1002">
        <v>24</v>
      </c>
      <c r="J1002">
        <v>0</v>
      </c>
      <c r="K1002">
        <v>0</v>
      </c>
      <c r="L1002" s="3">
        <v>1</v>
      </c>
      <c r="M1002" s="3">
        <v>0</v>
      </c>
      <c r="N1002">
        <v>1</v>
      </c>
      <c r="O1002">
        <v>0</v>
      </c>
      <c r="P1002">
        <v>0</v>
      </c>
      <c r="Q1002">
        <v>0</v>
      </c>
      <c r="R1002" s="3">
        <v>0</v>
      </c>
      <c r="S1002" s="3">
        <v>0</v>
      </c>
      <c r="T1002">
        <v>0</v>
      </c>
      <c r="U1002">
        <v>0</v>
      </c>
      <c r="V1002" s="3">
        <v>0</v>
      </c>
      <c r="W1002" s="3">
        <v>0</v>
      </c>
      <c r="X1002">
        <v>0</v>
      </c>
      <c r="Y1002" t="s">
        <v>896</v>
      </c>
    </row>
    <row r="1003" spans="1:25" hidden="1" x14ac:dyDescent="0.25">
      <c r="A1003" s="1" t="s">
        <v>41</v>
      </c>
      <c r="B1003" s="1" t="s">
        <v>112</v>
      </c>
      <c r="C1003" s="1" t="s">
        <v>42</v>
      </c>
      <c r="D1003" t="s">
        <v>27</v>
      </c>
      <c r="E1003" s="2">
        <v>45869</v>
      </c>
      <c r="F1003" s="2">
        <v>45869</v>
      </c>
      <c r="G1003" s="3">
        <v>34</v>
      </c>
      <c r="H1003" s="4" t="s">
        <v>28</v>
      </c>
      <c r="I1003">
        <v>43</v>
      </c>
      <c r="J1003">
        <v>0</v>
      </c>
      <c r="K1003">
        <v>0</v>
      </c>
      <c r="L1003" s="3">
        <v>1</v>
      </c>
      <c r="M1003" s="3">
        <v>0</v>
      </c>
      <c r="N1003">
        <v>0</v>
      </c>
      <c r="O1003">
        <v>0</v>
      </c>
      <c r="P1003">
        <v>0</v>
      </c>
      <c r="Q1003">
        <v>0</v>
      </c>
      <c r="R1003" s="3">
        <v>0</v>
      </c>
      <c r="S1003" s="3">
        <v>0</v>
      </c>
      <c r="T1003">
        <v>0</v>
      </c>
      <c r="U1003">
        <v>0</v>
      </c>
      <c r="V1003" s="3">
        <v>0</v>
      </c>
      <c r="W1003" s="3">
        <v>0</v>
      </c>
      <c r="X1003">
        <v>0</v>
      </c>
      <c r="Y1003" t="s">
        <v>807</v>
      </c>
    </row>
    <row r="1004" spans="1:25" hidden="1" x14ac:dyDescent="0.25">
      <c r="A1004" s="1" t="s">
        <v>43</v>
      </c>
      <c r="B1004" s="1" t="s">
        <v>114</v>
      </c>
      <c r="C1004" s="1" t="s">
        <v>44</v>
      </c>
      <c r="D1004" t="s">
        <v>27</v>
      </c>
      <c r="E1004" s="2">
        <v>45869</v>
      </c>
      <c r="F1004" s="2">
        <v>45869</v>
      </c>
      <c r="G1004" s="3">
        <v>30</v>
      </c>
      <c r="H1004" s="4" t="s">
        <v>28</v>
      </c>
      <c r="I1004">
        <v>67</v>
      </c>
      <c r="J1004">
        <v>0</v>
      </c>
      <c r="K1004">
        <v>0</v>
      </c>
      <c r="L1004" s="3">
        <v>1</v>
      </c>
      <c r="M1004" s="3">
        <v>0</v>
      </c>
      <c r="N1004">
        <v>0</v>
      </c>
      <c r="O1004">
        <v>0</v>
      </c>
      <c r="P1004">
        <v>0</v>
      </c>
      <c r="Q1004">
        <v>0</v>
      </c>
      <c r="R1004" s="3">
        <v>0</v>
      </c>
      <c r="S1004" s="3">
        <v>0</v>
      </c>
      <c r="T1004">
        <v>0</v>
      </c>
      <c r="U1004">
        <v>0</v>
      </c>
      <c r="V1004" s="3">
        <v>0</v>
      </c>
      <c r="W1004" s="3">
        <v>0</v>
      </c>
      <c r="X1004">
        <v>0</v>
      </c>
      <c r="Y1004" t="s">
        <v>897</v>
      </c>
    </row>
    <row r="1005" spans="1:25" hidden="1" x14ac:dyDescent="0.25">
      <c r="A1005" s="1" t="s">
        <v>45</v>
      </c>
      <c r="B1005" s="1" t="s">
        <v>116</v>
      </c>
      <c r="C1005" s="1" t="s">
        <v>46</v>
      </c>
      <c r="D1005" t="s">
        <v>27</v>
      </c>
      <c r="E1005" s="2">
        <v>45869</v>
      </c>
      <c r="F1005" s="2">
        <v>45869</v>
      </c>
      <c r="G1005" s="3">
        <v>41</v>
      </c>
      <c r="H1005" s="4" t="s">
        <v>28</v>
      </c>
      <c r="I1005">
        <v>32</v>
      </c>
      <c r="J1005">
        <v>0</v>
      </c>
      <c r="K1005">
        <v>0</v>
      </c>
      <c r="L1005" s="3">
        <v>0</v>
      </c>
      <c r="M1005" s="3">
        <v>0</v>
      </c>
      <c r="N1005">
        <v>0</v>
      </c>
      <c r="O1005">
        <v>0</v>
      </c>
      <c r="P1005">
        <v>0</v>
      </c>
      <c r="Q1005">
        <v>0</v>
      </c>
      <c r="R1005" s="3">
        <v>0</v>
      </c>
      <c r="S1005" s="3">
        <v>0</v>
      </c>
      <c r="T1005">
        <v>0</v>
      </c>
      <c r="U1005">
        <v>0</v>
      </c>
      <c r="V1005" s="3">
        <v>0</v>
      </c>
      <c r="W1005" s="3">
        <v>0</v>
      </c>
      <c r="X1005">
        <v>0</v>
      </c>
      <c r="Y1005" t="s">
        <v>898</v>
      </c>
    </row>
    <row r="1006" spans="1:25" hidden="1" x14ac:dyDescent="0.25">
      <c r="A1006" s="1" t="s">
        <v>49</v>
      </c>
      <c r="B1006" s="1" t="s">
        <v>118</v>
      </c>
      <c r="C1006" s="1" t="s">
        <v>50</v>
      </c>
      <c r="D1006" t="s">
        <v>27</v>
      </c>
      <c r="E1006" s="2">
        <v>45869</v>
      </c>
      <c r="F1006" s="2">
        <v>45869</v>
      </c>
      <c r="G1006" s="3">
        <v>26</v>
      </c>
      <c r="H1006" s="4" t="s">
        <v>28</v>
      </c>
      <c r="I1006">
        <v>23</v>
      </c>
      <c r="J1006">
        <v>0</v>
      </c>
      <c r="K1006">
        <v>0</v>
      </c>
      <c r="L1006" s="3">
        <v>1</v>
      </c>
      <c r="M1006" s="3">
        <v>1</v>
      </c>
      <c r="N1006">
        <v>0</v>
      </c>
      <c r="O1006">
        <v>1</v>
      </c>
      <c r="P1006">
        <v>0</v>
      </c>
      <c r="Q1006">
        <v>0</v>
      </c>
      <c r="R1006" s="3">
        <v>0</v>
      </c>
      <c r="S1006" s="3">
        <v>0</v>
      </c>
      <c r="T1006">
        <v>0</v>
      </c>
      <c r="U1006">
        <v>0</v>
      </c>
      <c r="V1006" s="3">
        <v>0</v>
      </c>
      <c r="W1006" s="3">
        <v>0</v>
      </c>
      <c r="X1006">
        <v>0</v>
      </c>
      <c r="Y1006" t="s">
        <v>899</v>
      </c>
    </row>
    <row r="1007" spans="1:25" hidden="1" x14ac:dyDescent="0.25">
      <c r="A1007" s="1" t="s">
        <v>51</v>
      </c>
      <c r="B1007" s="1" t="s">
        <v>120</v>
      </c>
      <c r="C1007" s="1" t="s">
        <v>55</v>
      </c>
      <c r="D1007" t="s">
        <v>27</v>
      </c>
      <c r="E1007" s="2">
        <v>45869</v>
      </c>
      <c r="F1007" s="2">
        <v>45869</v>
      </c>
      <c r="G1007" s="3">
        <v>43</v>
      </c>
      <c r="H1007" s="4" t="s">
        <v>28</v>
      </c>
      <c r="I1007">
        <v>39</v>
      </c>
      <c r="J1007">
        <v>0</v>
      </c>
      <c r="K1007">
        <v>0</v>
      </c>
      <c r="L1007" s="3">
        <v>0</v>
      </c>
      <c r="M1007" s="3">
        <v>0</v>
      </c>
      <c r="N1007">
        <v>1</v>
      </c>
      <c r="O1007">
        <v>0</v>
      </c>
      <c r="P1007">
        <v>0</v>
      </c>
      <c r="Q1007">
        <v>0</v>
      </c>
      <c r="R1007" s="3">
        <v>0</v>
      </c>
      <c r="S1007" s="3">
        <v>0</v>
      </c>
      <c r="T1007">
        <v>0</v>
      </c>
      <c r="U1007">
        <v>0</v>
      </c>
      <c r="V1007" s="3">
        <v>0</v>
      </c>
      <c r="W1007" s="3">
        <v>0</v>
      </c>
      <c r="X1007">
        <v>0</v>
      </c>
      <c r="Y1007" t="s">
        <v>900</v>
      </c>
    </row>
    <row r="1008" spans="1:25" hidden="1" x14ac:dyDescent="0.25">
      <c r="A1008" s="1" t="s">
        <v>48</v>
      </c>
      <c r="B1008" s="1" t="s">
        <v>149</v>
      </c>
      <c r="C1008" s="1" t="s">
        <v>27</v>
      </c>
      <c r="D1008" t="s">
        <v>27</v>
      </c>
      <c r="E1008" s="2">
        <v>45869</v>
      </c>
      <c r="F1008" s="2">
        <v>45869</v>
      </c>
      <c r="G1008" s="3">
        <v>51</v>
      </c>
      <c r="H1008" s="4" t="s">
        <v>28</v>
      </c>
      <c r="I1008">
        <v>63</v>
      </c>
      <c r="J1008">
        <v>0</v>
      </c>
      <c r="K1008">
        <v>0</v>
      </c>
      <c r="L1008" s="3">
        <v>0</v>
      </c>
      <c r="M1008" s="3">
        <v>0</v>
      </c>
      <c r="N1008">
        <v>1</v>
      </c>
      <c r="O1008">
        <v>0</v>
      </c>
      <c r="P1008">
        <v>5</v>
      </c>
      <c r="Q1008">
        <v>0</v>
      </c>
      <c r="R1008" s="3">
        <v>0</v>
      </c>
      <c r="S1008" s="3">
        <v>0</v>
      </c>
      <c r="T1008">
        <v>0</v>
      </c>
      <c r="U1008">
        <v>0</v>
      </c>
      <c r="V1008" s="3">
        <v>0</v>
      </c>
      <c r="W1008" s="3">
        <v>0</v>
      </c>
      <c r="X1008">
        <v>0</v>
      </c>
      <c r="Y1008" t="s">
        <v>901</v>
      </c>
    </row>
    <row r="1009" spans="1:25" hidden="1" x14ac:dyDescent="0.25">
      <c r="A1009" s="1" t="s">
        <v>53</v>
      </c>
      <c r="B1009" s="1" t="s">
        <v>142</v>
      </c>
      <c r="C1009" s="1" t="s">
        <v>39</v>
      </c>
      <c r="D1009" t="s">
        <v>27</v>
      </c>
      <c r="E1009" s="2">
        <v>45869</v>
      </c>
      <c r="F1009" s="2">
        <v>45869</v>
      </c>
      <c r="G1009" s="3">
        <v>53</v>
      </c>
      <c r="H1009" s="4" t="s">
        <v>28</v>
      </c>
      <c r="I1009">
        <v>24</v>
      </c>
      <c r="J1009">
        <v>0</v>
      </c>
      <c r="K1009">
        <v>0</v>
      </c>
      <c r="L1009" s="3">
        <v>1</v>
      </c>
      <c r="M1009" s="3">
        <v>0</v>
      </c>
      <c r="N1009">
        <v>0</v>
      </c>
      <c r="O1009">
        <v>0</v>
      </c>
      <c r="P1009">
        <v>0</v>
      </c>
      <c r="Q1009">
        <v>24</v>
      </c>
      <c r="R1009" s="3">
        <v>0</v>
      </c>
      <c r="S1009" s="3">
        <v>0</v>
      </c>
      <c r="T1009">
        <v>0</v>
      </c>
      <c r="U1009">
        <v>0</v>
      </c>
      <c r="V1009" s="3">
        <v>0</v>
      </c>
      <c r="W1009" s="3">
        <v>0</v>
      </c>
      <c r="X1009">
        <v>0</v>
      </c>
      <c r="Y1009" t="s">
        <v>902</v>
      </c>
    </row>
    <row r="1010" spans="1:25" hidden="1" x14ac:dyDescent="0.25">
      <c r="A1010" s="1" t="s">
        <v>34</v>
      </c>
      <c r="B1010" s="1" t="s">
        <v>149</v>
      </c>
      <c r="C1010" s="1" t="s">
        <v>27</v>
      </c>
      <c r="D1010" t="s">
        <v>27</v>
      </c>
      <c r="E1010" s="2">
        <v>45869</v>
      </c>
      <c r="F1010" s="2">
        <v>45869</v>
      </c>
      <c r="G1010" s="3">
        <v>51</v>
      </c>
      <c r="H1010" s="4" t="s">
        <v>28</v>
      </c>
      <c r="I1010">
        <v>63</v>
      </c>
      <c r="J1010">
        <v>0</v>
      </c>
      <c r="K1010">
        <v>0</v>
      </c>
      <c r="L1010" s="3">
        <v>0</v>
      </c>
      <c r="M1010" s="3">
        <v>0</v>
      </c>
      <c r="N1010">
        <v>1</v>
      </c>
      <c r="O1010">
        <v>0</v>
      </c>
      <c r="P1010">
        <v>5</v>
      </c>
      <c r="Q1010">
        <v>0</v>
      </c>
      <c r="R1010" s="3">
        <v>0</v>
      </c>
      <c r="S1010" s="3">
        <v>0</v>
      </c>
      <c r="T1010">
        <v>0</v>
      </c>
      <c r="U1010">
        <v>0</v>
      </c>
      <c r="V1010" s="3">
        <v>0</v>
      </c>
      <c r="W1010" s="3">
        <v>0</v>
      </c>
      <c r="X1010">
        <v>0</v>
      </c>
      <c r="Y1010" t="s">
        <v>901</v>
      </c>
    </row>
    <row r="1011" spans="1:25" hidden="1" x14ac:dyDescent="0.25">
      <c r="A1011" s="1" t="s">
        <v>54</v>
      </c>
      <c r="B1011" s="1" t="s">
        <v>122</v>
      </c>
      <c r="C1011" s="1" t="s">
        <v>52</v>
      </c>
      <c r="D1011" s="1" t="s">
        <v>27</v>
      </c>
      <c r="E1011" s="2">
        <v>45869</v>
      </c>
      <c r="F1011" s="2">
        <v>45869</v>
      </c>
      <c r="G1011" s="3">
        <v>41</v>
      </c>
      <c r="H1011" s="4" t="s">
        <v>28</v>
      </c>
      <c r="I1011">
        <v>31</v>
      </c>
      <c r="J1011">
        <v>0</v>
      </c>
      <c r="K1011">
        <v>0</v>
      </c>
      <c r="L1011" s="3">
        <v>0</v>
      </c>
      <c r="M1011" s="3">
        <v>0</v>
      </c>
      <c r="N1011">
        <v>0</v>
      </c>
      <c r="O1011">
        <v>0</v>
      </c>
      <c r="P1011">
        <v>0</v>
      </c>
      <c r="Q1011">
        <v>2</v>
      </c>
      <c r="R1011" s="3">
        <v>0</v>
      </c>
      <c r="S1011" s="3">
        <v>0</v>
      </c>
      <c r="T1011">
        <v>0</v>
      </c>
      <c r="U1011">
        <v>0</v>
      </c>
      <c r="V1011" s="3">
        <v>0</v>
      </c>
      <c r="W1011" s="3">
        <v>0</v>
      </c>
      <c r="X1011">
        <v>0</v>
      </c>
      <c r="Y1011" t="s">
        <v>873</v>
      </c>
    </row>
    <row r="1012" spans="1:25" hidden="1" x14ac:dyDescent="0.25">
      <c r="A1012" s="1" t="s">
        <v>58</v>
      </c>
      <c r="B1012" s="1" t="s">
        <v>123</v>
      </c>
      <c r="C1012" s="1" t="s">
        <v>27</v>
      </c>
      <c r="D1012" s="1" t="s">
        <v>27</v>
      </c>
      <c r="E1012" s="2">
        <v>45869</v>
      </c>
      <c r="F1012" s="2">
        <v>45869</v>
      </c>
      <c r="G1012" s="3">
        <v>42</v>
      </c>
      <c r="H1012" s="4" t="s">
        <v>903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873</v>
      </c>
    </row>
    <row r="1013" spans="1:25" hidden="1" x14ac:dyDescent="0.25">
      <c r="A1013" s="1" t="s">
        <v>47</v>
      </c>
      <c r="B1013" s="1" t="s">
        <v>98</v>
      </c>
      <c r="C1013" s="1" t="s">
        <v>27</v>
      </c>
      <c r="D1013" s="1" t="s">
        <v>27</v>
      </c>
      <c r="E1013" s="2">
        <v>45869</v>
      </c>
      <c r="F1013" s="2">
        <v>45869</v>
      </c>
      <c r="G1013" s="3">
        <v>43</v>
      </c>
      <c r="H1013" s="4" t="s">
        <v>763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873</v>
      </c>
    </row>
    <row r="1014" spans="1:25" hidden="1" x14ac:dyDescent="0.25">
      <c r="A1014" s="1" t="s">
        <v>56</v>
      </c>
      <c r="B1014" s="1" t="s">
        <v>98</v>
      </c>
      <c r="C1014" s="1" t="s">
        <v>37</v>
      </c>
      <c r="D1014" t="s">
        <v>27</v>
      </c>
      <c r="E1014" s="2">
        <v>45870</v>
      </c>
      <c r="F1014" s="2">
        <v>45870</v>
      </c>
      <c r="G1014" s="3">
        <v>27</v>
      </c>
      <c r="H1014" s="4" t="s">
        <v>28</v>
      </c>
      <c r="I1014">
        <v>88</v>
      </c>
      <c r="J1014">
        <v>0</v>
      </c>
      <c r="K1014">
        <v>0</v>
      </c>
      <c r="L1014" s="3">
        <v>1</v>
      </c>
      <c r="M1014" s="3">
        <v>0</v>
      </c>
      <c r="N1014">
        <v>0</v>
      </c>
      <c r="O1014">
        <v>0</v>
      </c>
      <c r="P1014">
        <v>0</v>
      </c>
      <c r="Q1014">
        <v>0</v>
      </c>
      <c r="R1014" s="3">
        <v>0</v>
      </c>
      <c r="S1014" s="3">
        <v>0</v>
      </c>
      <c r="T1014">
        <v>0</v>
      </c>
      <c r="U1014">
        <v>0</v>
      </c>
      <c r="V1014" s="3">
        <v>0</v>
      </c>
      <c r="W1014" s="3">
        <v>0</v>
      </c>
      <c r="X1014">
        <v>0</v>
      </c>
      <c r="Y1014" t="s">
        <v>904</v>
      </c>
    </row>
    <row r="1015" spans="1:25" hidden="1" x14ac:dyDescent="0.25">
      <c r="A1015" s="1" t="s">
        <v>29</v>
      </c>
      <c r="B1015" s="1" t="s">
        <v>100</v>
      </c>
      <c r="C1015" s="1" t="s">
        <v>95</v>
      </c>
      <c r="D1015" t="s">
        <v>27</v>
      </c>
      <c r="E1015" s="2">
        <v>45870</v>
      </c>
      <c r="F1015" s="2">
        <v>45870</v>
      </c>
      <c r="G1015" s="3">
        <v>156</v>
      </c>
      <c r="H1015" s="4" t="s">
        <v>28</v>
      </c>
      <c r="I1015">
        <v>66</v>
      </c>
      <c r="J1015">
        <v>0</v>
      </c>
      <c r="K1015">
        <v>0</v>
      </c>
      <c r="L1015" s="3">
        <v>1</v>
      </c>
      <c r="M1015" s="3">
        <v>0</v>
      </c>
      <c r="N1015">
        <v>0</v>
      </c>
      <c r="O1015">
        <v>0</v>
      </c>
      <c r="P1015">
        <v>10</v>
      </c>
      <c r="Q1015">
        <v>0</v>
      </c>
      <c r="R1015" s="3">
        <v>0</v>
      </c>
      <c r="S1015" s="3">
        <v>0</v>
      </c>
      <c r="T1015">
        <v>0</v>
      </c>
      <c r="U1015">
        <v>0</v>
      </c>
      <c r="V1015" s="3">
        <v>0</v>
      </c>
      <c r="W1015" s="3">
        <v>0</v>
      </c>
      <c r="X1015">
        <v>0</v>
      </c>
      <c r="Y1015" t="s">
        <v>905</v>
      </c>
    </row>
    <row r="1016" spans="1:25" hidden="1" x14ac:dyDescent="0.25">
      <c r="A1016" s="1" t="s">
        <v>344</v>
      </c>
      <c r="B1016" s="1" t="s">
        <v>102</v>
      </c>
      <c r="C1016" s="1" t="s">
        <v>35</v>
      </c>
      <c r="D1016" s="1" t="s">
        <v>27</v>
      </c>
      <c r="E1016" s="2">
        <v>45870</v>
      </c>
      <c r="F1016" s="2">
        <v>45870</v>
      </c>
      <c r="G1016" s="3">
        <v>35</v>
      </c>
      <c r="H1016" s="4" t="s">
        <v>28</v>
      </c>
      <c r="I1016">
        <v>63</v>
      </c>
      <c r="J1016">
        <v>0</v>
      </c>
      <c r="K1016">
        <v>0</v>
      </c>
      <c r="L1016" s="3">
        <v>0</v>
      </c>
      <c r="M1016" s="3">
        <v>0</v>
      </c>
      <c r="N1016">
        <v>0</v>
      </c>
      <c r="O1016">
        <v>0</v>
      </c>
      <c r="P1016">
        <v>0</v>
      </c>
      <c r="Q1016">
        <v>0</v>
      </c>
      <c r="R1016" s="3">
        <v>0</v>
      </c>
      <c r="S1016" s="3">
        <v>0</v>
      </c>
      <c r="T1016">
        <v>0</v>
      </c>
      <c r="U1016">
        <v>0</v>
      </c>
      <c r="V1016" s="3">
        <v>0</v>
      </c>
      <c r="W1016" s="3">
        <v>0</v>
      </c>
      <c r="X1016">
        <v>0</v>
      </c>
      <c r="Y1016" t="s">
        <v>850</v>
      </c>
    </row>
    <row r="1017" spans="1:25" hidden="1" x14ac:dyDescent="0.25">
      <c r="A1017" s="1" t="s">
        <v>31</v>
      </c>
      <c r="B1017" s="1" t="s">
        <v>104</v>
      </c>
      <c r="C1017" s="1" t="s">
        <v>32</v>
      </c>
      <c r="D1017" t="s">
        <v>27</v>
      </c>
      <c r="E1017" s="2">
        <v>45870</v>
      </c>
      <c r="F1017" s="2">
        <v>45870</v>
      </c>
      <c r="G1017" s="3">
        <v>36</v>
      </c>
      <c r="H1017" s="4" t="s">
        <v>28</v>
      </c>
      <c r="I1017">
        <v>83</v>
      </c>
      <c r="J1017">
        <v>0</v>
      </c>
      <c r="K1017">
        <v>0</v>
      </c>
      <c r="L1017" s="3">
        <v>0</v>
      </c>
      <c r="M1017" s="3">
        <v>0</v>
      </c>
      <c r="N1017">
        <v>0</v>
      </c>
      <c r="O1017">
        <v>0</v>
      </c>
      <c r="P1017">
        <v>0</v>
      </c>
      <c r="Q1017">
        <v>50</v>
      </c>
      <c r="R1017" s="3">
        <v>0</v>
      </c>
      <c r="S1017" s="3">
        <v>0</v>
      </c>
      <c r="T1017">
        <v>0</v>
      </c>
      <c r="U1017">
        <v>0</v>
      </c>
      <c r="V1017" s="3">
        <v>0</v>
      </c>
      <c r="W1017" s="3">
        <v>0</v>
      </c>
      <c r="X1017">
        <v>0</v>
      </c>
      <c r="Y1017" t="s">
        <v>906</v>
      </c>
    </row>
    <row r="1018" spans="1:25" hidden="1" x14ac:dyDescent="0.25">
      <c r="A1018" s="1" t="s">
        <v>33</v>
      </c>
      <c r="B1018" s="1" t="s">
        <v>106</v>
      </c>
      <c r="C1018" s="1" t="s">
        <v>57</v>
      </c>
      <c r="D1018" t="s">
        <v>27</v>
      </c>
      <c r="E1018" s="2">
        <v>45870</v>
      </c>
      <c r="F1018" s="2">
        <v>45870</v>
      </c>
      <c r="G1018" s="3">
        <v>37</v>
      </c>
      <c r="H1018" s="4" t="s">
        <v>28</v>
      </c>
      <c r="I1018">
        <v>48</v>
      </c>
      <c r="J1018">
        <v>0</v>
      </c>
      <c r="K1018">
        <v>0</v>
      </c>
      <c r="L1018" s="3">
        <v>0</v>
      </c>
      <c r="M1018" s="3">
        <v>0</v>
      </c>
      <c r="N1018">
        <v>0</v>
      </c>
      <c r="O1018">
        <v>0</v>
      </c>
      <c r="P1018">
        <v>0</v>
      </c>
      <c r="Q1018">
        <v>18</v>
      </c>
      <c r="R1018" s="3">
        <v>0</v>
      </c>
      <c r="S1018" s="3">
        <v>0</v>
      </c>
      <c r="T1018">
        <v>0</v>
      </c>
      <c r="U1018">
        <v>0</v>
      </c>
      <c r="V1018" s="3">
        <v>0</v>
      </c>
      <c r="W1018" s="3">
        <v>0</v>
      </c>
      <c r="X1018">
        <v>0</v>
      </c>
      <c r="Y1018" t="s">
        <v>907</v>
      </c>
    </row>
    <row r="1019" spans="1:25" hidden="1" x14ac:dyDescent="0.25">
      <c r="A1019" s="1" t="s">
        <v>38</v>
      </c>
      <c r="B1019" s="1" t="s">
        <v>108</v>
      </c>
      <c r="C1019" s="1" t="s">
        <v>27</v>
      </c>
      <c r="D1019" t="s">
        <v>27</v>
      </c>
      <c r="E1019" s="2">
        <v>45870</v>
      </c>
      <c r="F1019" s="2">
        <v>45870</v>
      </c>
      <c r="G1019" s="3">
        <v>47</v>
      </c>
      <c r="H1019" s="4" t="s">
        <v>28</v>
      </c>
      <c r="I1019">
        <v>24</v>
      </c>
      <c r="J1019">
        <v>0</v>
      </c>
      <c r="K1019">
        <v>0</v>
      </c>
      <c r="L1019" s="3">
        <v>0</v>
      </c>
      <c r="M1019" s="3">
        <v>0</v>
      </c>
      <c r="N1019">
        <v>0</v>
      </c>
      <c r="O1019">
        <v>0</v>
      </c>
      <c r="P1019">
        <v>0</v>
      </c>
      <c r="Q1019">
        <v>24</v>
      </c>
      <c r="R1019" s="3">
        <v>0</v>
      </c>
      <c r="S1019" s="3">
        <v>0</v>
      </c>
      <c r="T1019">
        <v>0</v>
      </c>
      <c r="U1019">
        <v>0</v>
      </c>
      <c r="V1019" s="3">
        <v>0</v>
      </c>
      <c r="W1019" s="3">
        <v>0</v>
      </c>
      <c r="X1019">
        <v>0</v>
      </c>
      <c r="Y1019" t="s">
        <v>908</v>
      </c>
    </row>
    <row r="1020" spans="1:25" hidden="1" x14ac:dyDescent="0.25">
      <c r="A1020" s="1" t="s">
        <v>40</v>
      </c>
      <c r="B1020" s="1" t="s">
        <v>110</v>
      </c>
      <c r="C1020" t="s">
        <v>27</v>
      </c>
      <c r="D1020" t="s">
        <v>27</v>
      </c>
      <c r="E1020" s="2">
        <v>45870</v>
      </c>
      <c r="F1020" s="2">
        <v>45870</v>
      </c>
      <c r="G1020" s="3">
        <v>198</v>
      </c>
      <c r="H1020" s="4" t="s">
        <v>28</v>
      </c>
      <c r="I1020">
        <v>81</v>
      </c>
      <c r="J1020">
        <v>0</v>
      </c>
      <c r="K1020">
        <v>0</v>
      </c>
      <c r="L1020" s="3">
        <v>1</v>
      </c>
      <c r="M1020" s="3">
        <v>0</v>
      </c>
      <c r="N1020">
        <v>1</v>
      </c>
      <c r="O1020">
        <v>0</v>
      </c>
      <c r="P1020">
        <v>0</v>
      </c>
      <c r="Q1020">
        <v>0</v>
      </c>
      <c r="R1020" s="3">
        <v>0</v>
      </c>
      <c r="S1020" s="3">
        <v>0</v>
      </c>
      <c r="T1020">
        <v>0</v>
      </c>
      <c r="U1020">
        <v>0</v>
      </c>
      <c r="V1020" s="3">
        <v>0</v>
      </c>
      <c r="W1020" s="3">
        <v>0</v>
      </c>
      <c r="X1020">
        <v>0</v>
      </c>
      <c r="Y1020" t="s">
        <v>909</v>
      </c>
    </row>
    <row r="1021" spans="1:25" hidden="1" x14ac:dyDescent="0.25">
      <c r="A1021" s="1" t="s">
        <v>36</v>
      </c>
      <c r="B1021" s="1" t="s">
        <v>110</v>
      </c>
      <c r="C1021" t="s">
        <v>27</v>
      </c>
      <c r="D1021" t="s">
        <v>27</v>
      </c>
      <c r="E1021" s="2">
        <v>45870</v>
      </c>
      <c r="F1021" s="2">
        <v>45870</v>
      </c>
      <c r="G1021" s="3">
        <v>198</v>
      </c>
      <c r="H1021" s="4" t="s">
        <v>28</v>
      </c>
      <c r="I1021">
        <v>81</v>
      </c>
      <c r="J1021">
        <v>0</v>
      </c>
      <c r="K1021">
        <v>0</v>
      </c>
      <c r="L1021" s="3">
        <v>1</v>
      </c>
      <c r="M1021" s="3">
        <v>0</v>
      </c>
      <c r="N1021">
        <v>1</v>
      </c>
      <c r="O1021">
        <v>0</v>
      </c>
      <c r="P1021">
        <v>0</v>
      </c>
      <c r="Q1021">
        <v>0</v>
      </c>
      <c r="R1021" s="3">
        <v>0</v>
      </c>
      <c r="S1021" s="3">
        <v>0</v>
      </c>
      <c r="T1021">
        <v>0</v>
      </c>
      <c r="U1021">
        <v>0</v>
      </c>
      <c r="V1021" s="3">
        <v>0</v>
      </c>
      <c r="W1021" s="3">
        <v>0</v>
      </c>
      <c r="X1021">
        <v>0</v>
      </c>
      <c r="Y1021" t="s">
        <v>909</v>
      </c>
    </row>
    <row r="1022" spans="1:25" hidden="1" x14ac:dyDescent="0.25">
      <c r="A1022" s="1" t="s">
        <v>41</v>
      </c>
      <c r="B1022" s="1" t="s">
        <v>112</v>
      </c>
      <c r="C1022" s="1" t="s">
        <v>42</v>
      </c>
      <c r="D1022" t="s">
        <v>27</v>
      </c>
      <c r="E1022" s="2">
        <v>45870</v>
      </c>
      <c r="F1022" s="2">
        <v>45870</v>
      </c>
      <c r="G1022" s="3">
        <v>34</v>
      </c>
      <c r="H1022" s="4" t="s">
        <v>28</v>
      </c>
      <c r="I1022">
        <v>44</v>
      </c>
      <c r="J1022">
        <v>0</v>
      </c>
      <c r="K1022">
        <v>0</v>
      </c>
      <c r="L1022" s="3">
        <v>1</v>
      </c>
      <c r="M1022" s="3">
        <v>0</v>
      </c>
      <c r="N1022">
        <v>0</v>
      </c>
      <c r="O1022">
        <v>0</v>
      </c>
      <c r="P1022">
        <v>0</v>
      </c>
      <c r="Q1022">
        <v>0</v>
      </c>
      <c r="R1022" s="3">
        <v>0</v>
      </c>
      <c r="S1022" s="3">
        <v>0</v>
      </c>
      <c r="T1022">
        <v>0</v>
      </c>
      <c r="U1022">
        <v>0</v>
      </c>
      <c r="V1022" s="3">
        <v>0</v>
      </c>
      <c r="W1022" s="3">
        <v>0</v>
      </c>
      <c r="X1022">
        <v>0</v>
      </c>
      <c r="Y1022" t="s">
        <v>807</v>
      </c>
    </row>
    <row r="1023" spans="1:25" hidden="1" x14ac:dyDescent="0.25">
      <c r="A1023" s="1" t="s">
        <v>43</v>
      </c>
      <c r="B1023" s="1" t="s">
        <v>114</v>
      </c>
      <c r="C1023" s="1" t="s">
        <v>44</v>
      </c>
      <c r="D1023" t="s">
        <v>27</v>
      </c>
      <c r="E1023" s="2">
        <v>45870</v>
      </c>
      <c r="F1023" s="2">
        <v>45870</v>
      </c>
      <c r="G1023" s="3">
        <v>20</v>
      </c>
      <c r="H1023" s="4" t="s">
        <v>28</v>
      </c>
      <c r="I1023">
        <v>63</v>
      </c>
      <c r="J1023">
        <v>0</v>
      </c>
      <c r="K1023">
        <v>0</v>
      </c>
      <c r="L1023" s="3">
        <v>0</v>
      </c>
      <c r="M1023" s="3">
        <v>0</v>
      </c>
      <c r="N1023">
        <v>0</v>
      </c>
      <c r="O1023">
        <v>0</v>
      </c>
      <c r="P1023">
        <v>0</v>
      </c>
      <c r="Q1023">
        <v>0</v>
      </c>
      <c r="R1023" s="3">
        <v>0</v>
      </c>
      <c r="S1023" s="3">
        <v>0</v>
      </c>
      <c r="T1023">
        <v>0</v>
      </c>
      <c r="U1023">
        <v>0</v>
      </c>
      <c r="V1023" s="3">
        <v>0</v>
      </c>
      <c r="W1023" s="3">
        <v>0</v>
      </c>
      <c r="X1023">
        <v>0</v>
      </c>
      <c r="Y1023" t="s">
        <v>910</v>
      </c>
    </row>
    <row r="1024" spans="1:25" hidden="1" x14ac:dyDescent="0.25">
      <c r="A1024" s="1" t="s">
        <v>45</v>
      </c>
      <c r="B1024" s="1" t="s">
        <v>116</v>
      </c>
      <c r="C1024" s="1" t="s">
        <v>46</v>
      </c>
      <c r="D1024" t="s">
        <v>27</v>
      </c>
      <c r="E1024" s="2">
        <v>45870</v>
      </c>
      <c r="F1024" s="2">
        <v>45870</v>
      </c>
      <c r="G1024" s="3">
        <v>57</v>
      </c>
      <c r="H1024" s="4" t="s">
        <v>28</v>
      </c>
      <c r="I1024">
        <v>62</v>
      </c>
      <c r="J1024">
        <v>0</v>
      </c>
      <c r="K1024">
        <v>0</v>
      </c>
      <c r="L1024" s="3">
        <v>1</v>
      </c>
      <c r="M1024" s="3">
        <v>0</v>
      </c>
      <c r="N1024">
        <v>0</v>
      </c>
      <c r="O1024">
        <v>0</v>
      </c>
      <c r="P1024">
        <v>0</v>
      </c>
      <c r="Q1024">
        <v>0</v>
      </c>
      <c r="R1024" s="3">
        <v>0</v>
      </c>
      <c r="S1024" s="3">
        <v>0</v>
      </c>
      <c r="T1024">
        <v>0</v>
      </c>
      <c r="U1024">
        <v>0</v>
      </c>
      <c r="V1024" s="3">
        <v>0</v>
      </c>
      <c r="W1024" s="3">
        <v>0</v>
      </c>
      <c r="X1024">
        <v>0</v>
      </c>
      <c r="Y1024" t="s">
        <v>911</v>
      </c>
    </row>
    <row r="1025" spans="1:25" hidden="1" x14ac:dyDescent="0.25">
      <c r="A1025" s="1" t="s">
        <v>49</v>
      </c>
      <c r="B1025" s="1" t="s">
        <v>118</v>
      </c>
      <c r="C1025" s="1" t="s">
        <v>50</v>
      </c>
      <c r="D1025" t="s">
        <v>27</v>
      </c>
      <c r="E1025" s="2">
        <v>45870</v>
      </c>
      <c r="F1025" s="2">
        <v>45870</v>
      </c>
      <c r="G1025" s="3">
        <v>31</v>
      </c>
      <c r="H1025" s="4" t="s">
        <v>28</v>
      </c>
      <c r="I1025">
        <v>69</v>
      </c>
      <c r="J1025">
        <v>0</v>
      </c>
      <c r="K1025">
        <v>0</v>
      </c>
      <c r="L1025" s="3">
        <v>1</v>
      </c>
      <c r="M1025" s="3">
        <v>1</v>
      </c>
      <c r="N1025">
        <v>0</v>
      </c>
      <c r="O1025">
        <v>0</v>
      </c>
      <c r="P1025">
        <v>0</v>
      </c>
      <c r="Q1025">
        <v>0</v>
      </c>
      <c r="R1025" s="3">
        <v>0</v>
      </c>
      <c r="S1025" s="3">
        <v>0</v>
      </c>
      <c r="T1025">
        <v>0</v>
      </c>
      <c r="U1025">
        <v>0</v>
      </c>
      <c r="V1025" s="3">
        <v>0</v>
      </c>
      <c r="W1025" s="3">
        <v>0</v>
      </c>
      <c r="X1025">
        <v>0</v>
      </c>
      <c r="Y1025" t="s">
        <v>912</v>
      </c>
    </row>
    <row r="1026" spans="1:25" hidden="1" x14ac:dyDescent="0.25">
      <c r="A1026" s="1" t="s">
        <v>51</v>
      </c>
      <c r="B1026" s="1" t="s">
        <v>120</v>
      </c>
      <c r="C1026" s="1" t="s">
        <v>55</v>
      </c>
      <c r="D1026" t="s">
        <v>27</v>
      </c>
      <c r="E1026" s="2">
        <v>45870</v>
      </c>
      <c r="F1026" s="2">
        <v>45870</v>
      </c>
      <c r="G1026" s="3">
        <v>43</v>
      </c>
      <c r="H1026" s="4" t="s">
        <v>28</v>
      </c>
      <c r="I1026">
        <v>63</v>
      </c>
      <c r="J1026">
        <v>0</v>
      </c>
      <c r="K1026">
        <v>0</v>
      </c>
      <c r="L1026" s="3">
        <v>1</v>
      </c>
      <c r="M1026" s="3">
        <v>0</v>
      </c>
      <c r="N1026">
        <v>1</v>
      </c>
      <c r="O1026">
        <v>0</v>
      </c>
      <c r="P1026">
        <v>0</v>
      </c>
      <c r="Q1026">
        <v>0</v>
      </c>
      <c r="R1026" s="3">
        <v>0</v>
      </c>
      <c r="S1026" s="3">
        <v>0</v>
      </c>
      <c r="T1026">
        <v>0</v>
      </c>
      <c r="U1026">
        <v>0</v>
      </c>
      <c r="V1026" s="3">
        <v>0</v>
      </c>
      <c r="W1026" s="3">
        <v>0</v>
      </c>
      <c r="X1026">
        <v>0</v>
      </c>
      <c r="Y1026" t="s">
        <v>913</v>
      </c>
    </row>
    <row r="1027" spans="1:25" hidden="1" x14ac:dyDescent="0.25">
      <c r="A1027" s="1" t="s">
        <v>54</v>
      </c>
      <c r="B1027" s="1" t="s">
        <v>122</v>
      </c>
      <c r="C1027" s="1" t="s">
        <v>52</v>
      </c>
      <c r="D1027" t="s">
        <v>27</v>
      </c>
      <c r="E1027" s="2">
        <v>45870</v>
      </c>
      <c r="F1027" s="2">
        <v>45870</v>
      </c>
      <c r="G1027" s="3">
        <v>37</v>
      </c>
      <c r="H1027" s="4" t="s">
        <v>28</v>
      </c>
      <c r="I1027">
        <v>52</v>
      </c>
      <c r="J1027">
        <v>0</v>
      </c>
      <c r="K1027">
        <v>0</v>
      </c>
      <c r="L1027" s="3">
        <v>0</v>
      </c>
      <c r="M1027" s="3">
        <v>1</v>
      </c>
      <c r="N1027">
        <v>0</v>
      </c>
      <c r="O1027">
        <v>0</v>
      </c>
      <c r="P1027">
        <v>0</v>
      </c>
      <c r="Q1027">
        <v>2</v>
      </c>
      <c r="R1027" s="3">
        <v>0</v>
      </c>
      <c r="S1027" s="3">
        <v>0</v>
      </c>
      <c r="T1027">
        <v>0</v>
      </c>
      <c r="U1027">
        <v>0</v>
      </c>
      <c r="V1027" s="3">
        <v>0</v>
      </c>
      <c r="W1027" s="3">
        <v>0</v>
      </c>
      <c r="X1027">
        <v>0</v>
      </c>
      <c r="Y1027" t="s">
        <v>914</v>
      </c>
    </row>
    <row r="1028" spans="1:25" hidden="1" x14ac:dyDescent="0.25">
      <c r="A1028" s="1" t="s">
        <v>48</v>
      </c>
      <c r="B1028" s="1" t="s">
        <v>149</v>
      </c>
      <c r="C1028" s="1" t="s">
        <v>27</v>
      </c>
      <c r="D1028" t="s">
        <v>27</v>
      </c>
      <c r="E1028" s="2">
        <v>45870</v>
      </c>
      <c r="F1028" s="2">
        <v>45870</v>
      </c>
      <c r="G1028" s="3">
        <v>47</v>
      </c>
      <c r="H1028" s="4" t="s">
        <v>28</v>
      </c>
      <c r="I1028">
        <v>52</v>
      </c>
      <c r="J1028">
        <v>0</v>
      </c>
      <c r="K1028">
        <v>0</v>
      </c>
      <c r="L1028" s="3">
        <v>0</v>
      </c>
      <c r="M1028" s="3">
        <v>0</v>
      </c>
      <c r="N1028">
        <v>0</v>
      </c>
      <c r="O1028">
        <v>0</v>
      </c>
      <c r="P1028">
        <v>0</v>
      </c>
      <c r="Q1028">
        <v>0</v>
      </c>
      <c r="R1028" s="3">
        <v>0</v>
      </c>
      <c r="S1028" s="3">
        <v>0</v>
      </c>
      <c r="T1028">
        <v>0</v>
      </c>
      <c r="U1028">
        <v>0</v>
      </c>
      <c r="V1028" s="3">
        <v>0</v>
      </c>
      <c r="W1028" s="3">
        <v>0</v>
      </c>
      <c r="X1028">
        <v>0</v>
      </c>
      <c r="Y1028" t="s">
        <v>915</v>
      </c>
    </row>
    <row r="1029" spans="1:25" hidden="1" x14ac:dyDescent="0.25">
      <c r="A1029" s="1" t="s">
        <v>53</v>
      </c>
      <c r="B1029" s="1" t="s">
        <v>142</v>
      </c>
      <c r="C1029" s="1" t="s">
        <v>39</v>
      </c>
      <c r="D1029" t="s">
        <v>27</v>
      </c>
      <c r="E1029" s="2">
        <v>45870</v>
      </c>
      <c r="F1029" s="2">
        <v>45870</v>
      </c>
      <c r="G1029" s="3">
        <v>61</v>
      </c>
      <c r="H1029" s="4" t="s">
        <v>28</v>
      </c>
      <c r="I1029">
        <v>29</v>
      </c>
      <c r="J1029">
        <v>0</v>
      </c>
      <c r="K1029">
        <v>0</v>
      </c>
      <c r="L1029" s="3">
        <v>1</v>
      </c>
      <c r="M1029" s="3">
        <v>0</v>
      </c>
      <c r="N1029">
        <v>0</v>
      </c>
      <c r="O1029">
        <v>0</v>
      </c>
      <c r="P1029">
        <v>0</v>
      </c>
      <c r="Q1029">
        <v>29</v>
      </c>
      <c r="R1029" s="3">
        <v>0</v>
      </c>
      <c r="S1029" s="3">
        <v>0</v>
      </c>
      <c r="T1029">
        <v>0</v>
      </c>
      <c r="U1029">
        <v>0</v>
      </c>
      <c r="V1029" s="3">
        <v>0</v>
      </c>
      <c r="W1029" s="3">
        <v>0</v>
      </c>
      <c r="X1029">
        <v>0</v>
      </c>
      <c r="Y1029" t="s">
        <v>916</v>
      </c>
    </row>
    <row r="1030" spans="1:25" hidden="1" x14ac:dyDescent="0.25">
      <c r="A1030" s="1" t="s">
        <v>58</v>
      </c>
      <c r="B1030" s="1" t="s">
        <v>144</v>
      </c>
      <c r="C1030" s="1" t="s">
        <v>489</v>
      </c>
      <c r="D1030" t="s">
        <v>27</v>
      </c>
      <c r="E1030" s="2">
        <v>45870</v>
      </c>
      <c r="F1030" s="2">
        <v>45870</v>
      </c>
      <c r="G1030" s="3">
        <v>23</v>
      </c>
      <c r="H1030" s="4" t="s">
        <v>28</v>
      </c>
      <c r="I1030">
        <v>65</v>
      </c>
      <c r="J1030">
        <v>0</v>
      </c>
      <c r="K1030">
        <v>0</v>
      </c>
      <c r="L1030" s="3">
        <v>1</v>
      </c>
      <c r="M1030" s="3">
        <v>0</v>
      </c>
      <c r="N1030">
        <v>0</v>
      </c>
      <c r="O1030">
        <v>0</v>
      </c>
      <c r="P1030">
        <v>0</v>
      </c>
      <c r="Q1030">
        <v>0</v>
      </c>
      <c r="R1030" s="3">
        <v>0</v>
      </c>
      <c r="S1030" s="3">
        <v>0</v>
      </c>
      <c r="T1030">
        <v>0</v>
      </c>
      <c r="U1030">
        <v>0</v>
      </c>
      <c r="V1030" s="3">
        <v>0</v>
      </c>
      <c r="W1030" s="3">
        <v>0</v>
      </c>
      <c r="X1030">
        <v>0</v>
      </c>
      <c r="Y1030" t="s">
        <v>917</v>
      </c>
    </row>
    <row r="1031" spans="1:25" hidden="1" x14ac:dyDescent="0.25">
      <c r="A1031" s="1" t="s">
        <v>47</v>
      </c>
      <c r="B1031" s="1" t="s">
        <v>149</v>
      </c>
      <c r="C1031" s="1" t="s">
        <v>27</v>
      </c>
      <c r="D1031" t="s">
        <v>27</v>
      </c>
      <c r="E1031" s="2">
        <v>45870</v>
      </c>
      <c r="F1031" s="2">
        <v>45870</v>
      </c>
      <c r="G1031" s="3">
        <v>47</v>
      </c>
      <c r="H1031" s="4" t="s">
        <v>28</v>
      </c>
      <c r="I1031">
        <v>52</v>
      </c>
      <c r="J1031">
        <v>0</v>
      </c>
      <c r="K1031">
        <v>0</v>
      </c>
      <c r="L1031" s="3">
        <v>0</v>
      </c>
      <c r="M1031" s="3">
        <v>0</v>
      </c>
      <c r="N1031">
        <v>0</v>
      </c>
      <c r="O1031">
        <v>0</v>
      </c>
      <c r="P1031">
        <v>0</v>
      </c>
      <c r="Q1031">
        <v>0</v>
      </c>
      <c r="R1031" s="3">
        <v>0</v>
      </c>
      <c r="S1031" s="3">
        <v>0</v>
      </c>
      <c r="T1031">
        <v>0</v>
      </c>
      <c r="U1031">
        <v>0</v>
      </c>
      <c r="V1031" s="3">
        <v>0</v>
      </c>
      <c r="W1031" s="3">
        <v>0</v>
      </c>
      <c r="X1031">
        <v>0</v>
      </c>
      <c r="Y1031" t="s">
        <v>915</v>
      </c>
    </row>
    <row r="1032" spans="1:25" hidden="1" x14ac:dyDescent="0.25">
      <c r="A1032" s="1" t="s">
        <v>25</v>
      </c>
      <c r="B1032" s="1" t="s">
        <v>149</v>
      </c>
      <c r="C1032" s="1" t="s">
        <v>27</v>
      </c>
      <c r="D1032" t="s">
        <v>27</v>
      </c>
      <c r="E1032" s="2">
        <v>45870</v>
      </c>
      <c r="F1032" s="2">
        <v>45870</v>
      </c>
      <c r="G1032" s="3">
        <v>47</v>
      </c>
      <c r="H1032" s="4" t="s">
        <v>959</v>
      </c>
      <c r="I1032">
        <v>0</v>
      </c>
      <c r="J1032">
        <v>0</v>
      </c>
      <c r="K1032">
        <v>0</v>
      </c>
      <c r="L1032" s="3">
        <v>0</v>
      </c>
      <c r="M1032" s="3">
        <v>0</v>
      </c>
      <c r="N1032">
        <v>0</v>
      </c>
      <c r="O1032">
        <v>0</v>
      </c>
      <c r="P1032">
        <v>0</v>
      </c>
      <c r="Q1032">
        <v>0</v>
      </c>
      <c r="R1032" s="3">
        <v>0</v>
      </c>
      <c r="S1032" s="3">
        <v>0</v>
      </c>
      <c r="T1032">
        <v>0</v>
      </c>
      <c r="U1032">
        <v>0</v>
      </c>
      <c r="V1032" s="3">
        <v>0</v>
      </c>
      <c r="W1032" s="3">
        <v>0</v>
      </c>
      <c r="X1032">
        <v>0</v>
      </c>
      <c r="Y1032" t="s">
        <v>915</v>
      </c>
    </row>
    <row r="1033" spans="1:25" hidden="1" x14ac:dyDescent="0.25">
      <c r="A1033" s="1" t="s">
        <v>34</v>
      </c>
      <c r="B1033" s="1" t="s">
        <v>149</v>
      </c>
      <c r="C1033" s="1" t="s">
        <v>27</v>
      </c>
      <c r="D1033" t="s">
        <v>27</v>
      </c>
      <c r="E1033" s="2">
        <v>45870</v>
      </c>
      <c r="F1033" s="2">
        <v>45870</v>
      </c>
      <c r="G1033" s="3">
        <v>47</v>
      </c>
      <c r="H1033" s="4" t="s">
        <v>250</v>
      </c>
      <c r="I1033">
        <v>0</v>
      </c>
      <c r="J1033">
        <v>0</v>
      </c>
      <c r="K1033">
        <v>0</v>
      </c>
      <c r="L1033" s="3">
        <v>0</v>
      </c>
      <c r="M1033" s="3">
        <v>0</v>
      </c>
      <c r="N1033">
        <v>0</v>
      </c>
      <c r="O1033">
        <v>0</v>
      </c>
      <c r="P1033">
        <v>0</v>
      </c>
      <c r="Q1033">
        <v>0</v>
      </c>
      <c r="R1033" s="3">
        <v>0</v>
      </c>
      <c r="S1033" s="3">
        <v>0</v>
      </c>
      <c r="T1033">
        <v>0</v>
      </c>
      <c r="U1033">
        <v>0</v>
      </c>
      <c r="V1033" s="3">
        <v>0</v>
      </c>
      <c r="W1033" s="3">
        <v>0</v>
      </c>
      <c r="X1033">
        <v>0</v>
      </c>
      <c r="Y1033" t="s">
        <v>915</v>
      </c>
    </row>
    <row r="1034" spans="1:25" hidden="1" x14ac:dyDescent="0.25">
      <c r="A1034" t="s">
        <v>41</v>
      </c>
      <c r="B1034" t="s">
        <v>112</v>
      </c>
      <c r="C1034" t="s">
        <v>42</v>
      </c>
      <c r="D1034" t="s">
        <v>27</v>
      </c>
      <c r="E1034" s="2">
        <v>45871</v>
      </c>
      <c r="F1034" s="2">
        <v>45871</v>
      </c>
      <c r="G1034" s="3">
        <v>120</v>
      </c>
      <c r="H1034" t="s">
        <v>28</v>
      </c>
      <c r="I1034">
        <v>9</v>
      </c>
      <c r="J1034">
        <v>19</v>
      </c>
      <c r="K1034">
        <v>0</v>
      </c>
      <c r="L1034" s="3">
        <v>0</v>
      </c>
      <c r="M1034" s="3">
        <v>0</v>
      </c>
      <c r="N1034">
        <v>0</v>
      </c>
      <c r="O1034">
        <v>0</v>
      </c>
      <c r="P1034">
        <v>0</v>
      </c>
      <c r="Q1034">
        <v>5</v>
      </c>
      <c r="R1034" s="3">
        <v>1</v>
      </c>
      <c r="S1034" s="3">
        <v>0</v>
      </c>
      <c r="T1034">
        <v>0</v>
      </c>
      <c r="U1034">
        <v>0</v>
      </c>
      <c r="V1034" s="3">
        <v>1</v>
      </c>
      <c r="W1034" s="3">
        <v>0</v>
      </c>
      <c r="X1034">
        <v>0</v>
      </c>
      <c r="Y1034" t="s">
        <v>918</v>
      </c>
    </row>
    <row r="1035" spans="1:25" hidden="1" x14ac:dyDescent="0.25">
      <c r="A1035" t="s">
        <v>33</v>
      </c>
      <c r="B1035" t="s">
        <v>106</v>
      </c>
      <c r="C1035" t="s">
        <v>55</v>
      </c>
      <c r="D1035" t="s">
        <v>27</v>
      </c>
      <c r="E1035" s="2">
        <v>45872</v>
      </c>
      <c r="F1035" s="2">
        <v>45872</v>
      </c>
      <c r="G1035" s="3">
        <v>47</v>
      </c>
      <c r="H1035" t="s">
        <v>28</v>
      </c>
      <c r="I1035">
        <v>0</v>
      </c>
      <c r="J1035">
        <v>0</v>
      </c>
      <c r="K1035">
        <v>0</v>
      </c>
      <c r="L1035" s="3">
        <v>0</v>
      </c>
      <c r="M1035" s="3">
        <v>0</v>
      </c>
      <c r="N1035">
        <v>0</v>
      </c>
      <c r="O1035">
        <v>0</v>
      </c>
      <c r="P1035">
        <v>0</v>
      </c>
      <c r="Q1035">
        <v>0</v>
      </c>
      <c r="R1035" s="3">
        <v>0</v>
      </c>
      <c r="S1035" s="3">
        <v>1</v>
      </c>
      <c r="T1035">
        <v>4</v>
      </c>
      <c r="U1035">
        <v>41</v>
      </c>
      <c r="V1035" s="3">
        <v>0</v>
      </c>
      <c r="W1035" s="3">
        <v>1</v>
      </c>
      <c r="X1035">
        <v>0</v>
      </c>
      <c r="Y1035" t="s">
        <v>919</v>
      </c>
    </row>
    <row r="1036" spans="1:25" hidden="1" x14ac:dyDescent="0.25">
      <c r="A1036" t="s">
        <v>344</v>
      </c>
      <c r="B1036" t="s">
        <v>106</v>
      </c>
      <c r="C1036" t="s">
        <v>44</v>
      </c>
      <c r="D1036" t="s">
        <v>27</v>
      </c>
      <c r="E1036" s="2">
        <v>45872</v>
      </c>
      <c r="F1036" s="2">
        <v>45872</v>
      </c>
      <c r="G1036" s="3">
        <v>70</v>
      </c>
      <c r="H1036" t="s">
        <v>28</v>
      </c>
      <c r="I1036">
        <v>0</v>
      </c>
      <c r="J1036">
        <v>0</v>
      </c>
      <c r="K1036">
        <v>0</v>
      </c>
      <c r="L1036" s="3">
        <v>0</v>
      </c>
      <c r="M1036" s="3">
        <v>0</v>
      </c>
      <c r="N1036">
        <v>0</v>
      </c>
      <c r="O1036">
        <v>0</v>
      </c>
      <c r="P1036">
        <v>0</v>
      </c>
      <c r="Q1036">
        <v>0</v>
      </c>
      <c r="R1036" s="3">
        <v>0</v>
      </c>
      <c r="S1036" s="3">
        <v>1</v>
      </c>
      <c r="T1036">
        <v>6</v>
      </c>
      <c r="U1036">
        <v>50</v>
      </c>
      <c r="V1036" s="3">
        <v>0</v>
      </c>
      <c r="W1036" s="3">
        <v>1</v>
      </c>
      <c r="X1036">
        <v>0</v>
      </c>
      <c r="Y1036" t="s">
        <v>920</v>
      </c>
    </row>
    <row r="1037" spans="1:25" hidden="1" x14ac:dyDescent="0.25">
      <c r="A1037" s="1" t="s">
        <v>56</v>
      </c>
      <c r="B1037" s="1" t="s">
        <v>98</v>
      </c>
      <c r="C1037" s="1" t="s">
        <v>37</v>
      </c>
      <c r="D1037" s="1" t="s">
        <v>27</v>
      </c>
      <c r="E1037" s="2">
        <v>45873</v>
      </c>
      <c r="F1037" s="2">
        <v>45873</v>
      </c>
      <c r="G1037" s="3">
        <v>32</v>
      </c>
      <c r="H1037" s="4" t="s">
        <v>28</v>
      </c>
      <c r="I1037">
        <v>62</v>
      </c>
      <c r="J1037">
        <v>0</v>
      </c>
      <c r="K1037">
        <v>0</v>
      </c>
      <c r="L1037" s="3">
        <v>1</v>
      </c>
      <c r="M1037" s="3">
        <v>0</v>
      </c>
      <c r="N1037">
        <v>0</v>
      </c>
      <c r="O1037">
        <v>0</v>
      </c>
      <c r="P1037">
        <v>0</v>
      </c>
      <c r="Q1037">
        <v>20</v>
      </c>
      <c r="R1037" s="3">
        <v>0</v>
      </c>
      <c r="S1037" s="3">
        <v>0</v>
      </c>
      <c r="T1037">
        <v>0</v>
      </c>
      <c r="U1037">
        <v>0</v>
      </c>
      <c r="V1037" s="3">
        <v>0</v>
      </c>
      <c r="W1037" s="3">
        <v>0</v>
      </c>
      <c r="X1037">
        <v>0</v>
      </c>
      <c r="Y1037" t="s">
        <v>921</v>
      </c>
    </row>
    <row r="1038" spans="1:25" hidden="1" x14ac:dyDescent="0.25">
      <c r="A1038" s="1" t="s">
        <v>29</v>
      </c>
      <c r="B1038" s="1" t="s">
        <v>100</v>
      </c>
      <c r="C1038" s="1" t="s">
        <v>95</v>
      </c>
      <c r="D1038" s="1" t="s">
        <v>27</v>
      </c>
      <c r="E1038" s="2">
        <v>45873</v>
      </c>
      <c r="F1038" s="2">
        <v>45873</v>
      </c>
      <c r="G1038" s="3">
        <v>31</v>
      </c>
      <c r="H1038" s="4" t="s">
        <v>28</v>
      </c>
      <c r="I1038">
        <v>43</v>
      </c>
      <c r="J1038">
        <v>0</v>
      </c>
      <c r="K1038">
        <v>0</v>
      </c>
      <c r="L1038" s="3"/>
      <c r="M1038" s="3">
        <v>0</v>
      </c>
      <c r="N1038">
        <v>0</v>
      </c>
      <c r="O1038">
        <v>0</v>
      </c>
      <c r="P1038">
        <v>10</v>
      </c>
      <c r="Q1038">
        <v>20</v>
      </c>
      <c r="R1038" s="3">
        <v>0</v>
      </c>
      <c r="S1038" s="3">
        <v>0</v>
      </c>
      <c r="T1038">
        <v>0</v>
      </c>
      <c r="U1038">
        <v>0</v>
      </c>
      <c r="V1038" s="3">
        <v>0</v>
      </c>
      <c r="W1038" s="3">
        <v>0</v>
      </c>
      <c r="X1038">
        <v>0</v>
      </c>
      <c r="Y1038" t="s">
        <v>922</v>
      </c>
    </row>
    <row r="1039" spans="1:25" hidden="1" x14ac:dyDescent="0.25">
      <c r="A1039" s="1" t="s">
        <v>344</v>
      </c>
      <c r="B1039" s="1" t="s">
        <v>102</v>
      </c>
      <c r="C1039" s="1" t="s">
        <v>35</v>
      </c>
      <c r="D1039" s="1" t="s">
        <v>27</v>
      </c>
      <c r="E1039" s="2">
        <v>45873</v>
      </c>
      <c r="F1039" s="2">
        <v>45873</v>
      </c>
      <c r="G1039" s="3">
        <v>35</v>
      </c>
      <c r="H1039" s="4" t="s">
        <v>28</v>
      </c>
      <c r="I1039">
        <v>31</v>
      </c>
      <c r="J1039">
        <v>0</v>
      </c>
      <c r="K1039">
        <v>0</v>
      </c>
      <c r="L1039" s="3">
        <v>0</v>
      </c>
      <c r="M1039" s="3">
        <v>0</v>
      </c>
      <c r="N1039">
        <v>0</v>
      </c>
      <c r="O1039">
        <v>0</v>
      </c>
      <c r="P1039">
        <v>0</v>
      </c>
      <c r="Q1039">
        <v>0</v>
      </c>
      <c r="R1039" s="3">
        <v>0</v>
      </c>
      <c r="S1039" s="3">
        <v>0</v>
      </c>
      <c r="T1039">
        <v>0</v>
      </c>
      <c r="U1039">
        <v>0</v>
      </c>
      <c r="V1039" s="3">
        <v>0</v>
      </c>
      <c r="W1039" s="3">
        <v>0</v>
      </c>
      <c r="X1039">
        <v>0</v>
      </c>
      <c r="Y1039" t="s">
        <v>850</v>
      </c>
    </row>
    <row r="1040" spans="1:25" hidden="1" x14ac:dyDescent="0.25">
      <c r="A1040" s="1" t="s">
        <v>31</v>
      </c>
      <c r="B1040" s="1" t="s">
        <v>104</v>
      </c>
      <c r="C1040" s="1" t="s">
        <v>32</v>
      </c>
      <c r="D1040" s="1" t="s">
        <v>27</v>
      </c>
      <c r="E1040" s="2">
        <v>45873</v>
      </c>
      <c r="F1040" s="2">
        <v>45873</v>
      </c>
      <c r="G1040" s="3">
        <v>41</v>
      </c>
      <c r="H1040" s="4" t="s">
        <v>28</v>
      </c>
      <c r="I1040">
        <v>104</v>
      </c>
      <c r="J1040">
        <v>0</v>
      </c>
      <c r="K1040">
        <v>0</v>
      </c>
      <c r="L1040" s="3">
        <v>1</v>
      </c>
      <c r="M1040" s="3">
        <v>0</v>
      </c>
      <c r="N1040">
        <v>0</v>
      </c>
      <c r="O1040">
        <v>0</v>
      </c>
      <c r="P1040">
        <v>0</v>
      </c>
      <c r="Q1040">
        <v>50</v>
      </c>
      <c r="R1040" s="3">
        <v>0</v>
      </c>
      <c r="S1040" s="3">
        <v>0</v>
      </c>
      <c r="T1040">
        <v>0</v>
      </c>
      <c r="U1040">
        <v>0</v>
      </c>
      <c r="V1040" s="3">
        <v>0</v>
      </c>
      <c r="W1040" s="3">
        <v>0</v>
      </c>
      <c r="X1040">
        <v>0</v>
      </c>
      <c r="Y1040" t="s">
        <v>923</v>
      </c>
    </row>
    <row r="1041" spans="1:25" hidden="1" x14ac:dyDescent="0.25">
      <c r="A1041" s="1" t="s">
        <v>33</v>
      </c>
      <c r="B1041" s="1" t="s">
        <v>106</v>
      </c>
      <c r="C1041" s="1" t="s">
        <v>57</v>
      </c>
      <c r="D1041" s="1" t="s">
        <v>27</v>
      </c>
      <c r="E1041" s="2">
        <v>45873</v>
      </c>
      <c r="F1041" s="2">
        <v>45873</v>
      </c>
      <c r="G1041" s="3">
        <v>31</v>
      </c>
      <c r="H1041" s="4" t="s">
        <v>28</v>
      </c>
      <c r="I1041">
        <v>59</v>
      </c>
      <c r="J1041">
        <v>0</v>
      </c>
      <c r="K1041">
        <v>0</v>
      </c>
      <c r="L1041" s="3">
        <v>0</v>
      </c>
      <c r="M1041" s="3">
        <v>0</v>
      </c>
      <c r="N1041">
        <v>0</v>
      </c>
      <c r="O1041">
        <v>0</v>
      </c>
      <c r="P1041">
        <v>0</v>
      </c>
      <c r="Q1041">
        <v>18</v>
      </c>
      <c r="R1041" s="3">
        <v>0</v>
      </c>
      <c r="S1041" s="3">
        <v>0</v>
      </c>
      <c r="T1041">
        <v>0</v>
      </c>
      <c r="U1041">
        <v>0</v>
      </c>
      <c r="V1041" s="3">
        <v>0</v>
      </c>
      <c r="W1041" s="3">
        <v>0</v>
      </c>
      <c r="X1041">
        <v>0</v>
      </c>
      <c r="Y1041" t="s">
        <v>924</v>
      </c>
    </row>
    <row r="1042" spans="1:25" hidden="1" x14ac:dyDescent="0.25">
      <c r="A1042" s="1" t="s">
        <v>38</v>
      </c>
      <c r="B1042" s="1" t="s">
        <v>108</v>
      </c>
      <c r="C1042" s="1" t="s">
        <v>27</v>
      </c>
      <c r="D1042" s="1" t="s">
        <v>27</v>
      </c>
      <c r="E1042" s="2">
        <v>45873</v>
      </c>
      <c r="F1042" s="2">
        <v>45873</v>
      </c>
      <c r="G1042" s="3">
        <v>42</v>
      </c>
      <c r="H1042" s="4" t="s">
        <v>28</v>
      </c>
      <c r="I1042">
        <v>29</v>
      </c>
      <c r="J1042">
        <v>0</v>
      </c>
      <c r="K1042">
        <v>0</v>
      </c>
      <c r="L1042" s="3">
        <v>0</v>
      </c>
      <c r="M1042" s="3">
        <v>0</v>
      </c>
      <c r="N1042">
        <v>0</v>
      </c>
      <c r="O1042">
        <v>0</v>
      </c>
      <c r="P1042">
        <v>0</v>
      </c>
      <c r="Q1042">
        <v>29</v>
      </c>
      <c r="R1042" s="3">
        <v>0</v>
      </c>
      <c r="S1042" s="3">
        <v>0</v>
      </c>
      <c r="T1042">
        <v>0</v>
      </c>
      <c r="U1042">
        <v>0</v>
      </c>
      <c r="V1042" s="3">
        <v>0</v>
      </c>
      <c r="W1042" s="3">
        <v>0</v>
      </c>
      <c r="X1042">
        <v>0</v>
      </c>
      <c r="Y1042" t="s">
        <v>925</v>
      </c>
    </row>
    <row r="1043" spans="1:25" hidden="1" x14ac:dyDescent="0.25">
      <c r="A1043" s="1" t="s">
        <v>40</v>
      </c>
      <c r="B1043" s="1" t="s">
        <v>110</v>
      </c>
      <c r="C1043" s="1" t="s">
        <v>27</v>
      </c>
      <c r="D1043" s="1" t="s">
        <v>27</v>
      </c>
      <c r="E1043" s="2">
        <v>45873</v>
      </c>
      <c r="F1043" s="2">
        <v>45873</v>
      </c>
      <c r="G1043" s="3">
        <v>91</v>
      </c>
      <c r="H1043" s="4" t="s">
        <v>28</v>
      </c>
      <c r="I1043">
        <v>72</v>
      </c>
      <c r="J1043">
        <v>0</v>
      </c>
      <c r="K1043">
        <v>0</v>
      </c>
      <c r="L1043" s="3">
        <v>1</v>
      </c>
      <c r="M1043" s="3">
        <v>0</v>
      </c>
      <c r="N1043">
        <v>1</v>
      </c>
      <c r="O1043">
        <v>0</v>
      </c>
      <c r="P1043">
        <v>0</v>
      </c>
      <c r="Q1043">
        <v>30</v>
      </c>
      <c r="R1043" s="3">
        <v>0</v>
      </c>
      <c r="S1043" s="3">
        <v>0</v>
      </c>
      <c r="T1043">
        <v>0</v>
      </c>
      <c r="U1043">
        <v>0</v>
      </c>
      <c r="V1043" s="3">
        <v>0</v>
      </c>
      <c r="W1043" s="3">
        <v>0</v>
      </c>
      <c r="X1043">
        <v>0</v>
      </c>
      <c r="Y1043" t="s">
        <v>926</v>
      </c>
    </row>
    <row r="1044" spans="1:25" hidden="1" x14ac:dyDescent="0.25">
      <c r="A1044" s="1" t="s">
        <v>36</v>
      </c>
      <c r="B1044" s="1" t="s">
        <v>110</v>
      </c>
      <c r="C1044" s="1" t="s">
        <v>27</v>
      </c>
      <c r="D1044" s="1" t="s">
        <v>27</v>
      </c>
      <c r="E1044" s="2">
        <v>45873</v>
      </c>
      <c r="F1044" s="2">
        <v>45873</v>
      </c>
      <c r="G1044" s="3">
        <v>91</v>
      </c>
      <c r="H1044" s="4" t="s">
        <v>28</v>
      </c>
      <c r="I1044">
        <v>72</v>
      </c>
      <c r="J1044">
        <v>0</v>
      </c>
      <c r="K1044">
        <v>0</v>
      </c>
      <c r="L1044" s="3">
        <v>1</v>
      </c>
      <c r="M1044" s="3">
        <v>0</v>
      </c>
      <c r="N1044">
        <v>1</v>
      </c>
      <c r="O1044">
        <v>0</v>
      </c>
      <c r="P1044">
        <v>0</v>
      </c>
      <c r="Q1044">
        <v>30</v>
      </c>
      <c r="R1044" s="3">
        <v>0</v>
      </c>
      <c r="S1044" s="3">
        <v>0</v>
      </c>
      <c r="T1044">
        <v>0</v>
      </c>
      <c r="U1044">
        <v>0</v>
      </c>
      <c r="V1044" s="3">
        <v>0</v>
      </c>
      <c r="W1044" s="3">
        <v>0</v>
      </c>
      <c r="X1044">
        <v>0</v>
      </c>
      <c r="Y1044" t="s">
        <v>926</v>
      </c>
    </row>
    <row r="1045" spans="1:25" hidden="1" x14ac:dyDescent="0.25">
      <c r="A1045" s="1" t="s">
        <v>41</v>
      </c>
      <c r="B1045" s="1" t="s">
        <v>112</v>
      </c>
      <c r="C1045" s="1" t="s">
        <v>42</v>
      </c>
      <c r="D1045" t="s">
        <v>27</v>
      </c>
      <c r="E1045" s="2">
        <v>45873</v>
      </c>
      <c r="F1045" s="2">
        <v>45873</v>
      </c>
      <c r="G1045" s="3">
        <v>34</v>
      </c>
      <c r="H1045" s="4" t="s">
        <v>28</v>
      </c>
      <c r="I1045">
        <v>52</v>
      </c>
      <c r="J1045">
        <v>0</v>
      </c>
      <c r="K1045">
        <v>0</v>
      </c>
      <c r="L1045" s="3">
        <v>1</v>
      </c>
      <c r="M1045" s="3">
        <v>0</v>
      </c>
      <c r="N1045">
        <v>0</v>
      </c>
      <c r="O1045">
        <v>0</v>
      </c>
      <c r="P1045">
        <v>0</v>
      </c>
      <c r="Q1045">
        <v>0</v>
      </c>
      <c r="R1045" s="3">
        <v>0</v>
      </c>
      <c r="S1045" s="3">
        <v>0</v>
      </c>
      <c r="T1045">
        <v>0</v>
      </c>
      <c r="U1045">
        <v>0</v>
      </c>
      <c r="V1045" s="3">
        <v>0</v>
      </c>
      <c r="W1045" s="3">
        <v>0</v>
      </c>
      <c r="X1045">
        <v>0</v>
      </c>
      <c r="Y1045" t="s">
        <v>807</v>
      </c>
    </row>
    <row r="1046" spans="1:25" hidden="1" x14ac:dyDescent="0.25">
      <c r="A1046" s="1" t="s">
        <v>43</v>
      </c>
      <c r="B1046" s="1" t="s">
        <v>114</v>
      </c>
      <c r="C1046" s="1" t="s">
        <v>44</v>
      </c>
      <c r="D1046" s="1" t="s">
        <v>27</v>
      </c>
      <c r="E1046" s="2">
        <v>45873</v>
      </c>
      <c r="F1046" s="2">
        <v>45873</v>
      </c>
      <c r="G1046" s="3">
        <v>44</v>
      </c>
      <c r="H1046" s="4" t="s">
        <v>28</v>
      </c>
      <c r="I1046">
        <v>78</v>
      </c>
      <c r="J1046">
        <v>0</v>
      </c>
      <c r="K1046">
        <v>0</v>
      </c>
      <c r="L1046" s="3">
        <v>1</v>
      </c>
      <c r="M1046" s="3">
        <v>0</v>
      </c>
      <c r="N1046">
        <v>0</v>
      </c>
      <c r="O1046">
        <v>0</v>
      </c>
      <c r="P1046">
        <v>0</v>
      </c>
      <c r="Q1046">
        <v>0</v>
      </c>
      <c r="R1046" s="3">
        <v>0</v>
      </c>
      <c r="S1046" s="3">
        <v>0</v>
      </c>
      <c r="T1046">
        <v>0</v>
      </c>
      <c r="U1046">
        <v>0</v>
      </c>
      <c r="V1046" s="3">
        <v>0</v>
      </c>
      <c r="W1046" s="3">
        <v>0</v>
      </c>
      <c r="X1046">
        <v>0</v>
      </c>
      <c r="Y1046" t="s">
        <v>927</v>
      </c>
    </row>
    <row r="1047" spans="1:25" hidden="1" x14ac:dyDescent="0.25">
      <c r="A1047" s="1" t="s">
        <v>45</v>
      </c>
      <c r="B1047" s="1" t="s">
        <v>116</v>
      </c>
      <c r="C1047" s="1" t="s">
        <v>46</v>
      </c>
      <c r="D1047" s="1" t="s">
        <v>27</v>
      </c>
      <c r="E1047" s="2">
        <v>45873</v>
      </c>
      <c r="F1047" s="2">
        <v>45873</v>
      </c>
      <c r="G1047" s="3">
        <v>60</v>
      </c>
      <c r="H1047" s="4" t="s">
        <v>28</v>
      </c>
      <c r="I1047">
        <v>73</v>
      </c>
      <c r="J1047">
        <v>0</v>
      </c>
      <c r="K1047">
        <v>0</v>
      </c>
      <c r="L1047" s="3">
        <v>1</v>
      </c>
      <c r="M1047" s="3">
        <v>0</v>
      </c>
      <c r="N1047">
        <v>0</v>
      </c>
      <c r="O1047">
        <v>0</v>
      </c>
      <c r="P1047">
        <v>0</v>
      </c>
      <c r="Q1047">
        <v>8</v>
      </c>
      <c r="R1047" s="3">
        <v>0</v>
      </c>
      <c r="S1047" s="3">
        <v>0</v>
      </c>
      <c r="T1047">
        <v>0</v>
      </c>
      <c r="U1047">
        <v>0</v>
      </c>
      <c r="V1047" s="3">
        <v>0</v>
      </c>
      <c r="W1047" s="3">
        <v>0</v>
      </c>
      <c r="X1047">
        <v>0</v>
      </c>
      <c r="Y1047" t="s">
        <v>928</v>
      </c>
    </row>
    <row r="1048" spans="1:25" hidden="1" x14ac:dyDescent="0.25">
      <c r="A1048" s="1" t="s">
        <v>47</v>
      </c>
      <c r="B1048" s="1" t="s">
        <v>137</v>
      </c>
      <c r="C1048" s="1" t="s">
        <v>27</v>
      </c>
      <c r="D1048" s="1" t="s">
        <v>27</v>
      </c>
      <c r="E1048" s="2">
        <v>45873</v>
      </c>
      <c r="F1048" s="2">
        <v>45873</v>
      </c>
      <c r="G1048" s="3">
        <v>47</v>
      </c>
      <c r="H1048" s="4" t="s">
        <v>28</v>
      </c>
      <c r="I1048">
        <v>48</v>
      </c>
      <c r="J1048">
        <v>0</v>
      </c>
      <c r="K1048">
        <v>0</v>
      </c>
      <c r="L1048" s="3">
        <v>1</v>
      </c>
      <c r="M1048" s="3">
        <v>0</v>
      </c>
      <c r="N1048">
        <v>1</v>
      </c>
      <c r="O1048">
        <v>0</v>
      </c>
      <c r="P1048">
        <v>0</v>
      </c>
      <c r="Q1048">
        <v>25</v>
      </c>
      <c r="R1048" s="3">
        <v>0</v>
      </c>
      <c r="S1048" s="3">
        <v>0</v>
      </c>
      <c r="T1048">
        <v>0</v>
      </c>
      <c r="U1048">
        <v>8</v>
      </c>
      <c r="V1048" s="3">
        <v>0</v>
      </c>
      <c r="W1048" s="3">
        <v>0</v>
      </c>
      <c r="X1048">
        <v>0</v>
      </c>
      <c r="Y1048" t="s">
        <v>929</v>
      </c>
    </row>
    <row r="1049" spans="1:25" hidden="1" x14ac:dyDescent="0.25">
      <c r="A1049" s="1" t="s">
        <v>49</v>
      </c>
      <c r="B1049" s="1" t="s">
        <v>118</v>
      </c>
      <c r="C1049" s="1" t="s">
        <v>50</v>
      </c>
      <c r="D1049" s="1" t="s">
        <v>27</v>
      </c>
      <c r="E1049" s="2">
        <v>45873</v>
      </c>
      <c r="F1049" s="2">
        <v>45873</v>
      </c>
      <c r="G1049" s="3">
        <v>30</v>
      </c>
      <c r="H1049" s="4" t="s">
        <v>28</v>
      </c>
      <c r="I1049">
        <v>42</v>
      </c>
      <c r="J1049">
        <v>0</v>
      </c>
      <c r="K1049">
        <v>0</v>
      </c>
      <c r="L1049" s="3">
        <v>1</v>
      </c>
      <c r="M1049" s="3">
        <v>1</v>
      </c>
      <c r="N1049">
        <v>0</v>
      </c>
      <c r="O1049">
        <v>0</v>
      </c>
      <c r="P1049">
        <v>0</v>
      </c>
      <c r="Q1049">
        <v>39</v>
      </c>
      <c r="R1049" s="3">
        <v>0</v>
      </c>
      <c r="S1049" s="3">
        <v>0</v>
      </c>
      <c r="T1049">
        <v>0</v>
      </c>
      <c r="U1049">
        <v>0</v>
      </c>
      <c r="V1049" s="3">
        <v>0</v>
      </c>
      <c r="W1049" s="3">
        <v>0</v>
      </c>
      <c r="X1049">
        <v>0</v>
      </c>
      <c r="Y1049" t="s">
        <v>930</v>
      </c>
    </row>
    <row r="1050" spans="1:25" hidden="1" x14ac:dyDescent="0.25">
      <c r="A1050" s="1" t="s">
        <v>51</v>
      </c>
      <c r="B1050" s="1" t="s">
        <v>120</v>
      </c>
      <c r="C1050" s="1" t="s">
        <v>55</v>
      </c>
      <c r="D1050" s="1" t="s">
        <v>27</v>
      </c>
      <c r="E1050" s="2">
        <v>45873</v>
      </c>
      <c r="F1050" s="2">
        <v>45873</v>
      </c>
      <c r="G1050" s="3">
        <v>60</v>
      </c>
      <c r="H1050" s="4" t="s">
        <v>28</v>
      </c>
      <c r="I1050">
        <v>37</v>
      </c>
      <c r="J1050">
        <v>0</v>
      </c>
      <c r="K1050">
        <v>0</v>
      </c>
      <c r="L1050" s="3">
        <v>0</v>
      </c>
      <c r="M1050" s="3">
        <v>0</v>
      </c>
      <c r="N1050">
        <v>1</v>
      </c>
      <c r="O1050">
        <v>0</v>
      </c>
      <c r="P1050">
        <v>0</v>
      </c>
      <c r="Q1050">
        <v>0</v>
      </c>
      <c r="R1050" s="3">
        <v>0</v>
      </c>
      <c r="S1050" s="3">
        <v>0</v>
      </c>
      <c r="T1050">
        <v>0</v>
      </c>
      <c r="U1050">
        <v>0</v>
      </c>
      <c r="V1050" s="3">
        <v>0</v>
      </c>
      <c r="W1050" s="3">
        <v>0</v>
      </c>
      <c r="X1050">
        <v>0</v>
      </c>
      <c r="Y1050" t="s">
        <v>931</v>
      </c>
    </row>
    <row r="1051" spans="1:25" hidden="1" x14ac:dyDescent="0.25">
      <c r="A1051" s="1" t="s">
        <v>54</v>
      </c>
      <c r="B1051" s="1" t="s">
        <v>122</v>
      </c>
      <c r="C1051" s="1" t="s">
        <v>52</v>
      </c>
      <c r="D1051" s="1" t="s">
        <v>27</v>
      </c>
      <c r="E1051" s="2">
        <v>45873</v>
      </c>
      <c r="F1051" s="2">
        <v>45873</v>
      </c>
      <c r="G1051" s="3">
        <v>33</v>
      </c>
      <c r="H1051" s="4" t="s">
        <v>28</v>
      </c>
      <c r="I1051">
        <v>45</v>
      </c>
      <c r="J1051">
        <v>0</v>
      </c>
      <c r="K1051">
        <v>0</v>
      </c>
      <c r="L1051" s="3">
        <v>0</v>
      </c>
      <c r="M1051" s="3">
        <v>0</v>
      </c>
      <c r="N1051">
        <v>0</v>
      </c>
      <c r="O1051">
        <v>0</v>
      </c>
      <c r="P1051">
        <v>0</v>
      </c>
      <c r="Q1051">
        <v>2</v>
      </c>
      <c r="R1051" s="3">
        <v>0</v>
      </c>
      <c r="S1051" s="3">
        <v>0</v>
      </c>
      <c r="T1051">
        <v>0</v>
      </c>
      <c r="U1051">
        <v>0</v>
      </c>
      <c r="V1051" s="3">
        <v>0</v>
      </c>
      <c r="W1051" s="3">
        <v>0</v>
      </c>
      <c r="X1051">
        <v>0</v>
      </c>
      <c r="Y1051" t="s">
        <v>932</v>
      </c>
    </row>
    <row r="1052" spans="1:25" hidden="1" x14ac:dyDescent="0.25">
      <c r="A1052" s="1" t="s">
        <v>53</v>
      </c>
      <c r="B1052" s="1" t="s">
        <v>142</v>
      </c>
      <c r="C1052" s="1" t="s">
        <v>39</v>
      </c>
      <c r="D1052" s="1" t="s">
        <v>27</v>
      </c>
      <c r="E1052" s="2">
        <v>45873</v>
      </c>
      <c r="F1052" s="2">
        <v>45873</v>
      </c>
      <c r="G1052" s="3">
        <v>56</v>
      </c>
      <c r="H1052" s="4" t="s">
        <v>28</v>
      </c>
      <c r="I1052">
        <v>29</v>
      </c>
      <c r="J1052">
        <v>0</v>
      </c>
      <c r="K1052">
        <v>0</v>
      </c>
      <c r="L1052" s="3">
        <v>1</v>
      </c>
      <c r="M1052" s="3">
        <v>0</v>
      </c>
      <c r="N1052">
        <v>0</v>
      </c>
      <c r="O1052">
        <v>0</v>
      </c>
      <c r="P1052">
        <v>0</v>
      </c>
      <c r="Q1052">
        <v>29</v>
      </c>
      <c r="R1052" s="3">
        <v>0</v>
      </c>
      <c r="S1052" s="3">
        <v>0</v>
      </c>
      <c r="T1052">
        <v>0</v>
      </c>
      <c r="U1052">
        <v>0</v>
      </c>
      <c r="V1052" s="3">
        <v>0</v>
      </c>
      <c r="W1052" s="3">
        <v>0</v>
      </c>
      <c r="X1052">
        <v>0</v>
      </c>
      <c r="Y1052" t="s">
        <v>933</v>
      </c>
    </row>
    <row r="1053" spans="1:25" hidden="1" x14ac:dyDescent="0.25">
      <c r="A1053" s="1" t="s">
        <v>58</v>
      </c>
      <c r="B1053" s="1" t="s">
        <v>144</v>
      </c>
      <c r="C1053" s="1" t="s">
        <v>489</v>
      </c>
      <c r="D1053" s="1" t="s">
        <v>27</v>
      </c>
      <c r="E1053" s="2">
        <v>45873</v>
      </c>
      <c r="F1053" s="2">
        <v>45873</v>
      </c>
      <c r="G1053" s="3">
        <v>30</v>
      </c>
      <c r="H1053" s="4" t="s">
        <v>28</v>
      </c>
      <c r="I1053">
        <v>59</v>
      </c>
      <c r="J1053">
        <v>0</v>
      </c>
      <c r="K1053">
        <v>0</v>
      </c>
      <c r="L1053" s="3">
        <v>1</v>
      </c>
      <c r="M1053" s="3">
        <v>0</v>
      </c>
      <c r="N1053">
        <v>0</v>
      </c>
      <c r="O1053">
        <v>0</v>
      </c>
      <c r="P1053">
        <v>2</v>
      </c>
      <c r="Q1053">
        <v>50</v>
      </c>
      <c r="R1053" s="3">
        <v>0</v>
      </c>
      <c r="S1053" s="3">
        <v>0</v>
      </c>
      <c r="T1053">
        <v>0</v>
      </c>
      <c r="U1053">
        <v>0</v>
      </c>
      <c r="V1053" s="3">
        <v>0</v>
      </c>
      <c r="W1053" s="3">
        <v>0</v>
      </c>
      <c r="X1053">
        <v>3</v>
      </c>
      <c r="Y1053" t="s">
        <v>934</v>
      </c>
    </row>
    <row r="1054" spans="1:25" hidden="1" x14ac:dyDescent="0.25">
      <c r="A1054" s="1" t="s">
        <v>34</v>
      </c>
      <c r="B1054" s="1" t="s">
        <v>137</v>
      </c>
      <c r="C1054" s="1" t="s">
        <v>27</v>
      </c>
      <c r="D1054" s="1" t="s">
        <v>27</v>
      </c>
      <c r="E1054" s="2">
        <v>45873</v>
      </c>
      <c r="F1054" s="2">
        <v>45873</v>
      </c>
      <c r="G1054" s="3">
        <v>47</v>
      </c>
      <c r="H1054" s="4" t="s">
        <v>28</v>
      </c>
      <c r="I1054">
        <v>48</v>
      </c>
      <c r="J1054">
        <v>0</v>
      </c>
      <c r="K1054">
        <v>0</v>
      </c>
      <c r="L1054" s="3">
        <v>1</v>
      </c>
      <c r="M1054" s="3">
        <v>0</v>
      </c>
      <c r="N1054">
        <v>1</v>
      </c>
      <c r="O1054">
        <v>0</v>
      </c>
      <c r="P1054">
        <v>0</v>
      </c>
      <c r="Q1054">
        <v>25</v>
      </c>
      <c r="R1054" s="3">
        <v>0</v>
      </c>
      <c r="S1054" s="3">
        <v>0</v>
      </c>
      <c r="T1054">
        <v>0</v>
      </c>
      <c r="U1054">
        <v>0</v>
      </c>
      <c r="V1054" s="3">
        <v>0</v>
      </c>
      <c r="W1054" s="3">
        <v>0</v>
      </c>
      <c r="X1054">
        <v>0</v>
      </c>
      <c r="Y1054" t="s">
        <v>929</v>
      </c>
    </row>
    <row r="1055" spans="1:25" hidden="1" x14ac:dyDescent="0.25">
      <c r="A1055" s="1" t="s">
        <v>25</v>
      </c>
      <c r="B1055" s="1" t="s">
        <v>96</v>
      </c>
      <c r="C1055" s="1" t="s">
        <v>27</v>
      </c>
      <c r="D1055" s="1" t="s">
        <v>27</v>
      </c>
      <c r="E1055" s="2">
        <v>45873</v>
      </c>
      <c r="F1055" s="2">
        <v>45874</v>
      </c>
      <c r="G1055" s="3">
        <v>30</v>
      </c>
      <c r="H1055" t="s">
        <v>28</v>
      </c>
      <c r="I1055">
        <v>15</v>
      </c>
      <c r="J1055">
        <v>0</v>
      </c>
      <c r="K1055">
        <v>0</v>
      </c>
      <c r="L1055" s="3">
        <v>0</v>
      </c>
      <c r="M1055" s="3">
        <v>0</v>
      </c>
      <c r="N1055">
        <v>0</v>
      </c>
      <c r="O1055">
        <v>0</v>
      </c>
      <c r="P1055">
        <v>0</v>
      </c>
      <c r="Q1055">
        <v>0</v>
      </c>
      <c r="R1055" s="3">
        <v>0</v>
      </c>
      <c r="S1055" s="3">
        <v>0</v>
      </c>
      <c r="T1055">
        <v>0</v>
      </c>
      <c r="U1055">
        <v>0</v>
      </c>
      <c r="V1055" s="3">
        <v>0</v>
      </c>
      <c r="W1055" s="3">
        <v>0</v>
      </c>
      <c r="X1055">
        <v>0</v>
      </c>
      <c r="Y1055" t="s">
        <v>935</v>
      </c>
    </row>
    <row r="1056" spans="1:25" hidden="1" x14ac:dyDescent="0.25">
      <c r="A1056" s="1" t="s">
        <v>43</v>
      </c>
      <c r="B1056" s="1" t="s">
        <v>114</v>
      </c>
      <c r="C1056" s="1" t="s">
        <v>44</v>
      </c>
      <c r="D1056" s="1" t="s">
        <v>27</v>
      </c>
      <c r="E1056" s="2">
        <v>45874</v>
      </c>
      <c r="F1056" s="2">
        <v>45874</v>
      </c>
      <c r="G1056" s="3">
        <v>44</v>
      </c>
      <c r="H1056" s="4" t="s">
        <v>28</v>
      </c>
      <c r="I1056">
        <v>82</v>
      </c>
      <c r="J1056">
        <v>0</v>
      </c>
      <c r="K1056">
        <v>0</v>
      </c>
      <c r="L1056" s="3">
        <v>1</v>
      </c>
      <c r="M1056" s="3">
        <v>0</v>
      </c>
      <c r="N1056">
        <v>0</v>
      </c>
      <c r="O1056">
        <v>0</v>
      </c>
      <c r="P1056">
        <v>0</v>
      </c>
      <c r="Q1056">
        <v>0</v>
      </c>
      <c r="R1056" s="3">
        <v>0</v>
      </c>
      <c r="S1056" s="3">
        <v>0</v>
      </c>
      <c r="T1056">
        <v>0</v>
      </c>
      <c r="U1056">
        <v>0</v>
      </c>
      <c r="V1056" s="3">
        <v>0</v>
      </c>
      <c r="W1056" s="3">
        <v>0</v>
      </c>
      <c r="X1056">
        <v>0</v>
      </c>
      <c r="Y1056" t="s">
        <v>927</v>
      </c>
    </row>
    <row r="1057" spans="1:25" hidden="1" x14ac:dyDescent="0.25">
      <c r="A1057" s="1" t="s">
        <v>25</v>
      </c>
      <c r="B1057" s="1" t="s">
        <v>96</v>
      </c>
      <c r="C1057" s="1" t="s">
        <v>33</v>
      </c>
      <c r="D1057" s="1" t="s">
        <v>27</v>
      </c>
      <c r="E1057" s="2">
        <v>45874</v>
      </c>
      <c r="F1057" s="2">
        <v>45874</v>
      </c>
      <c r="G1057" s="3">
        <v>30</v>
      </c>
      <c r="H1057" t="s">
        <v>28</v>
      </c>
      <c r="I1057">
        <v>81</v>
      </c>
      <c r="J1057">
        <v>0</v>
      </c>
      <c r="K1057">
        <v>0</v>
      </c>
      <c r="L1057" s="3">
        <v>1</v>
      </c>
      <c r="M1057" s="3">
        <v>0</v>
      </c>
      <c r="N1057">
        <v>1</v>
      </c>
      <c r="O1057">
        <v>0</v>
      </c>
      <c r="P1057">
        <v>0</v>
      </c>
      <c r="Q1057">
        <v>0</v>
      </c>
      <c r="R1057" s="3">
        <v>0</v>
      </c>
      <c r="S1057" s="3">
        <v>0</v>
      </c>
      <c r="T1057">
        <v>0</v>
      </c>
      <c r="U1057">
        <v>0</v>
      </c>
      <c r="V1057" s="3">
        <v>0</v>
      </c>
      <c r="W1057" s="3">
        <v>0</v>
      </c>
      <c r="X1057">
        <v>0</v>
      </c>
      <c r="Y1057" t="s">
        <v>935</v>
      </c>
    </row>
    <row r="1058" spans="1:25" hidden="1" x14ac:dyDescent="0.25">
      <c r="A1058" s="1" t="s">
        <v>56</v>
      </c>
      <c r="B1058" s="1" t="s">
        <v>98</v>
      </c>
      <c r="C1058" s="1" t="s">
        <v>37</v>
      </c>
      <c r="D1058" s="1" t="s">
        <v>27</v>
      </c>
      <c r="E1058" s="2">
        <v>45874</v>
      </c>
      <c r="F1058" s="2">
        <v>45874</v>
      </c>
      <c r="G1058" s="3">
        <v>61</v>
      </c>
      <c r="H1058" t="s">
        <v>28</v>
      </c>
      <c r="I1058">
        <v>82</v>
      </c>
      <c r="J1058">
        <v>0</v>
      </c>
      <c r="K1058">
        <v>0</v>
      </c>
      <c r="L1058" s="3">
        <v>1</v>
      </c>
      <c r="M1058" s="3">
        <v>0</v>
      </c>
      <c r="N1058">
        <v>0</v>
      </c>
      <c r="O1058">
        <v>0</v>
      </c>
      <c r="P1058">
        <v>0</v>
      </c>
      <c r="Q1058">
        <v>0</v>
      </c>
      <c r="R1058" s="3">
        <v>0</v>
      </c>
      <c r="S1058" s="3">
        <v>0</v>
      </c>
      <c r="T1058">
        <v>0</v>
      </c>
      <c r="U1058">
        <v>0</v>
      </c>
      <c r="V1058" s="3">
        <v>0</v>
      </c>
      <c r="W1058" s="3">
        <v>0</v>
      </c>
      <c r="X1058">
        <v>0</v>
      </c>
      <c r="Y1058" t="s">
        <v>936</v>
      </c>
    </row>
    <row r="1059" spans="1:25" hidden="1" x14ac:dyDescent="0.25">
      <c r="A1059" s="1" t="s">
        <v>29</v>
      </c>
      <c r="B1059" s="1" t="s">
        <v>100</v>
      </c>
      <c r="C1059" s="1" t="s">
        <v>95</v>
      </c>
      <c r="D1059" s="1" t="s">
        <v>27</v>
      </c>
      <c r="E1059" s="2">
        <v>45874</v>
      </c>
      <c r="F1059" s="2">
        <v>45874</v>
      </c>
      <c r="G1059" s="3">
        <v>40</v>
      </c>
      <c r="H1059" t="s">
        <v>28</v>
      </c>
      <c r="I1059">
        <v>48</v>
      </c>
      <c r="J1059">
        <v>62</v>
      </c>
      <c r="K1059">
        <v>0</v>
      </c>
      <c r="L1059" s="3">
        <v>1</v>
      </c>
      <c r="M1059" s="3">
        <v>0</v>
      </c>
      <c r="N1059">
        <v>0</v>
      </c>
      <c r="O1059">
        <v>0</v>
      </c>
      <c r="P1059">
        <v>0</v>
      </c>
      <c r="Q1059">
        <v>0</v>
      </c>
      <c r="R1059" s="3">
        <v>0</v>
      </c>
      <c r="S1059" s="3">
        <v>0</v>
      </c>
      <c r="T1059">
        <v>0</v>
      </c>
      <c r="U1059">
        <v>0</v>
      </c>
      <c r="V1059" s="3">
        <v>0</v>
      </c>
      <c r="W1059" s="3">
        <v>0</v>
      </c>
      <c r="X1059">
        <v>3</v>
      </c>
      <c r="Y1059" t="s">
        <v>937</v>
      </c>
    </row>
    <row r="1060" spans="1:25" hidden="1" x14ac:dyDescent="0.25">
      <c r="A1060" s="1" t="s">
        <v>344</v>
      </c>
      <c r="B1060" s="1" t="s">
        <v>102</v>
      </c>
      <c r="C1060" s="1" t="s">
        <v>35</v>
      </c>
      <c r="D1060" s="1" t="s">
        <v>27</v>
      </c>
      <c r="E1060" s="2">
        <v>45874</v>
      </c>
      <c r="F1060" s="2">
        <v>45874</v>
      </c>
      <c r="G1060" s="3">
        <v>35</v>
      </c>
      <c r="H1060" s="4" t="s">
        <v>28</v>
      </c>
      <c r="I1060">
        <v>26</v>
      </c>
      <c r="J1060">
        <v>62</v>
      </c>
      <c r="K1060">
        <v>0</v>
      </c>
      <c r="L1060" s="3">
        <v>1</v>
      </c>
      <c r="M1060" s="3">
        <v>0</v>
      </c>
      <c r="N1060">
        <v>0</v>
      </c>
      <c r="O1060">
        <v>0</v>
      </c>
      <c r="P1060">
        <v>0</v>
      </c>
      <c r="Q1060">
        <v>0</v>
      </c>
      <c r="R1060" s="3">
        <v>0</v>
      </c>
      <c r="S1060" s="3">
        <v>0</v>
      </c>
      <c r="T1060">
        <v>0</v>
      </c>
      <c r="U1060">
        <v>0</v>
      </c>
      <c r="V1060" s="3">
        <v>0</v>
      </c>
      <c r="W1060" s="3">
        <v>0</v>
      </c>
      <c r="X1060">
        <v>1</v>
      </c>
      <c r="Y1060" t="s">
        <v>850</v>
      </c>
    </row>
    <row r="1061" spans="1:25" hidden="1" x14ac:dyDescent="0.25">
      <c r="A1061" s="1" t="s">
        <v>31</v>
      </c>
      <c r="B1061" s="1" t="s">
        <v>104</v>
      </c>
      <c r="C1061" s="1" t="s">
        <v>32</v>
      </c>
      <c r="D1061" s="1" t="s">
        <v>27</v>
      </c>
      <c r="E1061" s="2">
        <v>45874</v>
      </c>
      <c r="F1061" s="2">
        <v>45874</v>
      </c>
      <c r="G1061" s="3">
        <v>34</v>
      </c>
      <c r="H1061" t="s">
        <v>28</v>
      </c>
      <c r="I1061">
        <v>63</v>
      </c>
      <c r="J1061">
        <v>0</v>
      </c>
      <c r="K1061">
        <v>0</v>
      </c>
      <c r="L1061" s="3">
        <v>0</v>
      </c>
      <c r="M1061" s="3">
        <v>0</v>
      </c>
      <c r="N1061">
        <v>0</v>
      </c>
      <c r="O1061">
        <v>0</v>
      </c>
      <c r="P1061">
        <v>0</v>
      </c>
      <c r="Q1061">
        <v>50</v>
      </c>
      <c r="R1061" s="3">
        <v>0</v>
      </c>
      <c r="S1061" s="3">
        <v>0</v>
      </c>
      <c r="T1061">
        <v>0</v>
      </c>
      <c r="U1061">
        <v>0</v>
      </c>
      <c r="V1061" s="3">
        <v>0</v>
      </c>
      <c r="W1061" s="3">
        <v>0</v>
      </c>
      <c r="X1061">
        <v>0</v>
      </c>
      <c r="Y1061" t="s">
        <v>938</v>
      </c>
    </row>
    <row r="1062" spans="1:25" hidden="1" x14ac:dyDescent="0.25">
      <c r="A1062" s="1" t="s">
        <v>34</v>
      </c>
      <c r="B1062" s="1" t="s">
        <v>247</v>
      </c>
      <c r="C1062" s="1" t="s">
        <v>27</v>
      </c>
      <c r="D1062" s="1" t="s">
        <v>27</v>
      </c>
      <c r="E1062" s="2">
        <v>45874</v>
      </c>
      <c r="F1062" s="2">
        <v>45874</v>
      </c>
      <c r="G1062" s="3">
        <v>50</v>
      </c>
      <c r="H1062" t="s">
        <v>28</v>
      </c>
      <c r="I1062">
        <v>55</v>
      </c>
      <c r="J1062">
        <v>0</v>
      </c>
      <c r="K1062">
        <v>0</v>
      </c>
      <c r="L1062" s="3">
        <v>0</v>
      </c>
      <c r="M1062" s="3">
        <v>0</v>
      </c>
      <c r="N1062">
        <v>0</v>
      </c>
      <c r="O1062">
        <v>0</v>
      </c>
      <c r="P1062">
        <v>0</v>
      </c>
      <c r="Q1062">
        <v>0</v>
      </c>
      <c r="R1062" s="3">
        <v>0</v>
      </c>
      <c r="S1062" s="3">
        <v>0</v>
      </c>
      <c r="T1062">
        <v>0</v>
      </c>
      <c r="U1062">
        <v>0</v>
      </c>
      <c r="V1062" s="3">
        <v>0</v>
      </c>
      <c r="W1062" s="3">
        <v>0</v>
      </c>
      <c r="X1062">
        <v>0</v>
      </c>
      <c r="Y1062" t="s">
        <v>939</v>
      </c>
    </row>
    <row r="1063" spans="1:25" hidden="1" x14ac:dyDescent="0.25">
      <c r="A1063" s="1" t="s">
        <v>48</v>
      </c>
      <c r="B1063" s="1" t="s">
        <v>247</v>
      </c>
      <c r="C1063" s="1" t="s">
        <v>27</v>
      </c>
      <c r="D1063" s="1" t="s">
        <v>27</v>
      </c>
      <c r="E1063" s="2">
        <v>45873</v>
      </c>
      <c r="F1063" s="2">
        <v>45873</v>
      </c>
      <c r="G1063" s="3">
        <v>50</v>
      </c>
      <c r="H1063" s="4" t="s">
        <v>959</v>
      </c>
      <c r="I1063">
        <v>0</v>
      </c>
      <c r="J1063">
        <v>0</v>
      </c>
      <c r="K1063">
        <v>0</v>
      </c>
      <c r="L1063" s="3">
        <v>0</v>
      </c>
      <c r="M1063" s="3">
        <v>0</v>
      </c>
      <c r="N1063">
        <v>0</v>
      </c>
      <c r="O1063">
        <v>0</v>
      </c>
      <c r="P1063">
        <v>0</v>
      </c>
      <c r="Q1063">
        <v>0</v>
      </c>
      <c r="R1063" s="3">
        <v>0</v>
      </c>
      <c r="S1063" s="3">
        <v>0</v>
      </c>
      <c r="T1063">
        <v>0</v>
      </c>
      <c r="U1063">
        <v>0</v>
      </c>
      <c r="V1063" s="3">
        <v>0</v>
      </c>
      <c r="W1063" s="3">
        <v>0</v>
      </c>
      <c r="X1063">
        <v>0</v>
      </c>
      <c r="Y1063" t="s">
        <v>939</v>
      </c>
    </row>
    <row r="1064" spans="1:25" hidden="1" x14ac:dyDescent="0.25">
      <c r="A1064" s="1" t="s">
        <v>38</v>
      </c>
      <c r="B1064" s="1" t="s">
        <v>108</v>
      </c>
      <c r="C1064" s="1" t="s">
        <v>27</v>
      </c>
      <c r="D1064" s="1" t="s">
        <v>27</v>
      </c>
      <c r="E1064" s="2">
        <v>45874</v>
      </c>
      <c r="F1064" s="2">
        <v>45874</v>
      </c>
      <c r="G1064" s="3">
        <v>77</v>
      </c>
      <c r="H1064" t="s">
        <v>28</v>
      </c>
      <c r="I1064">
        <v>40</v>
      </c>
      <c r="J1064">
        <v>0</v>
      </c>
      <c r="K1064">
        <v>0</v>
      </c>
      <c r="L1064" s="3">
        <v>0</v>
      </c>
      <c r="M1064" s="3">
        <v>0</v>
      </c>
      <c r="N1064">
        <v>0</v>
      </c>
      <c r="O1064">
        <v>0</v>
      </c>
      <c r="P1064">
        <v>0</v>
      </c>
      <c r="Q1064">
        <v>40</v>
      </c>
      <c r="R1064" s="3">
        <v>0</v>
      </c>
      <c r="S1064" s="3">
        <v>0</v>
      </c>
      <c r="T1064">
        <v>0</v>
      </c>
      <c r="U1064">
        <v>0</v>
      </c>
      <c r="V1064" s="3">
        <v>0</v>
      </c>
      <c r="W1064" s="3">
        <v>0</v>
      </c>
      <c r="X1064">
        <v>0</v>
      </c>
      <c r="Y1064" t="s">
        <v>940</v>
      </c>
    </row>
    <row r="1065" spans="1:25" hidden="1" x14ac:dyDescent="0.25">
      <c r="A1065" s="1" t="s">
        <v>40</v>
      </c>
      <c r="B1065" s="1" t="s">
        <v>110</v>
      </c>
      <c r="C1065" s="1" t="s">
        <v>27</v>
      </c>
      <c r="D1065" s="1" t="s">
        <v>27</v>
      </c>
      <c r="E1065" s="2">
        <v>45874</v>
      </c>
      <c r="F1065" s="2">
        <v>45874</v>
      </c>
      <c r="G1065" s="3">
        <v>276</v>
      </c>
      <c r="H1065" t="s">
        <v>28</v>
      </c>
      <c r="I1065">
        <v>27</v>
      </c>
      <c r="J1065">
        <v>62</v>
      </c>
      <c r="K1065">
        <v>0</v>
      </c>
      <c r="L1065" s="3">
        <v>1</v>
      </c>
      <c r="M1065" s="3">
        <v>0</v>
      </c>
      <c r="N1065">
        <v>1</v>
      </c>
      <c r="O1065">
        <v>0</v>
      </c>
      <c r="P1065">
        <v>0</v>
      </c>
      <c r="Q1065">
        <v>0</v>
      </c>
      <c r="R1065" s="3">
        <v>0</v>
      </c>
      <c r="S1065" s="3">
        <v>0</v>
      </c>
      <c r="T1065">
        <v>0</v>
      </c>
      <c r="U1065">
        <v>0</v>
      </c>
      <c r="V1065" s="3">
        <v>0</v>
      </c>
      <c r="W1065" s="3">
        <v>0</v>
      </c>
      <c r="X1065">
        <v>3</v>
      </c>
      <c r="Y1065" t="s">
        <v>941</v>
      </c>
    </row>
    <row r="1066" spans="1:25" hidden="1" x14ac:dyDescent="0.25">
      <c r="A1066" s="1" t="s">
        <v>36</v>
      </c>
      <c r="B1066" s="1" t="s">
        <v>110</v>
      </c>
      <c r="C1066" s="1" t="s">
        <v>27</v>
      </c>
      <c r="D1066" s="1" t="s">
        <v>27</v>
      </c>
      <c r="E1066" s="2">
        <v>45874</v>
      </c>
      <c r="F1066" s="2">
        <v>45874</v>
      </c>
      <c r="G1066" s="3">
        <v>276</v>
      </c>
      <c r="H1066" t="s">
        <v>28</v>
      </c>
      <c r="I1066">
        <v>27</v>
      </c>
      <c r="J1066">
        <v>62</v>
      </c>
      <c r="K1066">
        <v>0</v>
      </c>
      <c r="L1066" s="3">
        <v>1</v>
      </c>
      <c r="M1066" s="3">
        <v>0</v>
      </c>
      <c r="N1066">
        <v>1</v>
      </c>
      <c r="O1066">
        <v>0</v>
      </c>
      <c r="P1066">
        <v>0</v>
      </c>
      <c r="Q1066">
        <v>0</v>
      </c>
      <c r="R1066" s="3">
        <v>0</v>
      </c>
      <c r="S1066" s="3">
        <v>0</v>
      </c>
      <c r="T1066">
        <v>0</v>
      </c>
      <c r="U1066">
        <v>0</v>
      </c>
      <c r="V1066" s="3">
        <v>0</v>
      </c>
      <c r="W1066" s="3">
        <v>0</v>
      </c>
      <c r="X1066">
        <v>3</v>
      </c>
      <c r="Y1066" t="s">
        <v>941</v>
      </c>
    </row>
    <row r="1067" spans="1:25" hidden="1" x14ac:dyDescent="0.25">
      <c r="A1067" s="1" t="s">
        <v>41</v>
      </c>
      <c r="B1067" s="1" t="s">
        <v>112</v>
      </c>
      <c r="C1067" s="1" t="s">
        <v>42</v>
      </c>
      <c r="D1067" t="s">
        <v>27</v>
      </c>
      <c r="E1067" s="2">
        <v>45874</v>
      </c>
      <c r="F1067" s="2">
        <v>45874</v>
      </c>
      <c r="G1067" s="3">
        <v>34</v>
      </c>
      <c r="H1067" s="4" t="s">
        <v>28</v>
      </c>
      <c r="I1067">
        <v>34</v>
      </c>
      <c r="J1067">
        <v>0</v>
      </c>
      <c r="K1067">
        <v>0</v>
      </c>
      <c r="L1067" s="3">
        <v>1</v>
      </c>
      <c r="M1067" s="3">
        <v>0</v>
      </c>
      <c r="N1067">
        <v>0</v>
      </c>
      <c r="O1067">
        <v>0</v>
      </c>
      <c r="P1067">
        <v>0</v>
      </c>
      <c r="Q1067">
        <v>0</v>
      </c>
      <c r="R1067" s="3">
        <v>0</v>
      </c>
      <c r="S1067" s="3">
        <v>0</v>
      </c>
      <c r="T1067">
        <v>0</v>
      </c>
      <c r="U1067">
        <v>0</v>
      </c>
      <c r="V1067" s="3">
        <v>0</v>
      </c>
      <c r="W1067" s="3">
        <v>0</v>
      </c>
      <c r="X1067">
        <v>0</v>
      </c>
      <c r="Y1067" t="s">
        <v>807</v>
      </c>
    </row>
    <row r="1068" spans="1:25" hidden="1" x14ac:dyDescent="0.25">
      <c r="A1068" s="1" t="s">
        <v>45</v>
      </c>
      <c r="B1068" s="1" t="s">
        <v>116</v>
      </c>
      <c r="C1068" s="1" t="s">
        <v>46</v>
      </c>
      <c r="D1068" s="1" t="s">
        <v>27</v>
      </c>
      <c r="E1068" s="2">
        <v>45874</v>
      </c>
      <c r="F1068" s="2">
        <v>45874</v>
      </c>
      <c r="G1068" s="3">
        <v>47</v>
      </c>
      <c r="H1068" t="s">
        <v>28</v>
      </c>
      <c r="I1068">
        <v>38</v>
      </c>
      <c r="J1068">
        <v>0</v>
      </c>
      <c r="K1068">
        <v>0</v>
      </c>
      <c r="L1068" s="3">
        <v>0</v>
      </c>
      <c r="M1068" s="3">
        <v>0</v>
      </c>
      <c r="N1068">
        <v>0</v>
      </c>
      <c r="O1068">
        <v>0</v>
      </c>
      <c r="P1068">
        <v>0</v>
      </c>
      <c r="Q1068">
        <v>0</v>
      </c>
      <c r="R1068" s="3">
        <v>0</v>
      </c>
      <c r="S1068" s="3">
        <v>0</v>
      </c>
      <c r="T1068">
        <v>0</v>
      </c>
      <c r="U1068">
        <v>0</v>
      </c>
      <c r="V1068" s="3">
        <v>0</v>
      </c>
      <c r="W1068" s="3">
        <v>0</v>
      </c>
      <c r="X1068">
        <v>0</v>
      </c>
      <c r="Y1068" t="s">
        <v>942</v>
      </c>
    </row>
    <row r="1069" spans="1:25" hidden="1" x14ac:dyDescent="0.25">
      <c r="A1069" s="1" t="s">
        <v>49</v>
      </c>
      <c r="B1069" s="1" t="s">
        <v>118</v>
      </c>
      <c r="C1069" s="1" t="s">
        <v>50</v>
      </c>
      <c r="D1069" s="1" t="s">
        <v>27</v>
      </c>
      <c r="E1069" s="2">
        <v>45874</v>
      </c>
      <c r="F1069" s="2">
        <v>45874</v>
      </c>
      <c r="G1069" s="3">
        <v>27</v>
      </c>
      <c r="H1069" t="s">
        <v>28</v>
      </c>
      <c r="I1069">
        <v>29</v>
      </c>
      <c r="J1069">
        <v>0</v>
      </c>
      <c r="K1069">
        <v>0</v>
      </c>
      <c r="L1069" s="3">
        <v>1</v>
      </c>
      <c r="M1069" s="3">
        <v>1</v>
      </c>
      <c r="N1069">
        <v>0</v>
      </c>
      <c r="O1069">
        <v>1</v>
      </c>
      <c r="P1069">
        <v>0</v>
      </c>
      <c r="Q1069">
        <v>29</v>
      </c>
      <c r="R1069" s="3">
        <v>0</v>
      </c>
      <c r="S1069" s="3">
        <v>0</v>
      </c>
      <c r="T1069">
        <v>0</v>
      </c>
      <c r="U1069">
        <v>0</v>
      </c>
      <c r="V1069" s="3">
        <v>0</v>
      </c>
      <c r="W1069" s="3">
        <v>0</v>
      </c>
      <c r="X1069">
        <v>0</v>
      </c>
      <c r="Y1069" t="s">
        <v>943</v>
      </c>
    </row>
    <row r="1070" spans="1:25" hidden="1" x14ac:dyDescent="0.25">
      <c r="A1070" s="1" t="s">
        <v>51</v>
      </c>
      <c r="B1070" s="1" t="s">
        <v>120</v>
      </c>
      <c r="C1070" s="1" t="s">
        <v>489</v>
      </c>
      <c r="D1070" s="1" t="s">
        <v>27</v>
      </c>
      <c r="E1070" s="2">
        <v>45874</v>
      </c>
      <c r="F1070" s="2">
        <v>45874</v>
      </c>
      <c r="G1070" s="3">
        <v>44</v>
      </c>
      <c r="H1070" t="s">
        <v>28</v>
      </c>
      <c r="I1070">
        <v>25</v>
      </c>
      <c r="J1070">
        <v>62</v>
      </c>
      <c r="K1070">
        <v>0</v>
      </c>
      <c r="L1070" s="3">
        <v>1</v>
      </c>
      <c r="M1070" s="3">
        <v>0</v>
      </c>
      <c r="N1070">
        <v>0</v>
      </c>
      <c r="O1070">
        <v>0</v>
      </c>
      <c r="P1070">
        <v>0</v>
      </c>
      <c r="Q1070">
        <v>0</v>
      </c>
      <c r="R1070" s="3">
        <v>0</v>
      </c>
      <c r="S1070" s="3">
        <v>0</v>
      </c>
      <c r="T1070">
        <v>0</v>
      </c>
      <c r="U1070">
        <v>0</v>
      </c>
      <c r="V1070" s="3">
        <v>0</v>
      </c>
      <c r="W1070" s="3">
        <v>0</v>
      </c>
      <c r="X1070">
        <v>3</v>
      </c>
      <c r="Y1070" t="s">
        <v>944</v>
      </c>
    </row>
    <row r="1071" spans="1:25" hidden="1" x14ac:dyDescent="0.25">
      <c r="A1071" s="1" t="s">
        <v>54</v>
      </c>
      <c r="B1071" s="1" t="s">
        <v>122</v>
      </c>
      <c r="C1071" s="1" t="s">
        <v>52</v>
      </c>
      <c r="D1071" s="1" t="s">
        <v>27</v>
      </c>
      <c r="E1071" s="2">
        <v>45874</v>
      </c>
      <c r="F1071" s="2">
        <v>45874</v>
      </c>
      <c r="G1071" s="3">
        <v>43</v>
      </c>
      <c r="H1071" t="s">
        <v>28</v>
      </c>
      <c r="I1071">
        <v>46</v>
      </c>
      <c r="J1071">
        <v>0</v>
      </c>
      <c r="K1071">
        <v>0</v>
      </c>
      <c r="L1071" s="3">
        <v>0</v>
      </c>
      <c r="M1071" s="3">
        <v>0</v>
      </c>
      <c r="N1071">
        <v>0</v>
      </c>
      <c r="O1071">
        <v>0</v>
      </c>
      <c r="P1071">
        <v>0</v>
      </c>
      <c r="Q1071">
        <v>2</v>
      </c>
      <c r="R1071" s="3">
        <v>0</v>
      </c>
      <c r="S1071" s="3">
        <v>0</v>
      </c>
      <c r="T1071">
        <v>0</v>
      </c>
      <c r="U1071">
        <v>0</v>
      </c>
      <c r="V1071" s="3">
        <v>0</v>
      </c>
      <c r="W1071" s="3">
        <v>0</v>
      </c>
      <c r="X1071">
        <v>0</v>
      </c>
      <c r="Y1071" t="s">
        <v>945</v>
      </c>
    </row>
    <row r="1072" spans="1:25" hidden="1" x14ac:dyDescent="0.25">
      <c r="A1072" s="1" t="s">
        <v>53</v>
      </c>
      <c r="B1072" s="1" t="s">
        <v>142</v>
      </c>
      <c r="C1072" s="1" t="s">
        <v>39</v>
      </c>
      <c r="D1072" s="1" t="s">
        <v>27</v>
      </c>
      <c r="E1072" s="2">
        <v>45874</v>
      </c>
      <c r="F1072" s="2">
        <v>45874</v>
      </c>
      <c r="G1072" s="3">
        <v>59</v>
      </c>
      <c r="H1072" t="s">
        <v>28</v>
      </c>
      <c r="I1072">
        <v>10</v>
      </c>
      <c r="J1072">
        <v>0</v>
      </c>
      <c r="K1072">
        <v>0</v>
      </c>
      <c r="L1072" s="3">
        <v>1</v>
      </c>
      <c r="M1072" s="3">
        <v>0</v>
      </c>
      <c r="N1072">
        <v>0</v>
      </c>
      <c r="O1072">
        <v>0</v>
      </c>
      <c r="P1072">
        <v>0</v>
      </c>
      <c r="Q1072">
        <v>10</v>
      </c>
      <c r="R1072" s="3">
        <v>0</v>
      </c>
      <c r="S1072" s="3">
        <v>0</v>
      </c>
      <c r="T1072">
        <v>0</v>
      </c>
      <c r="U1072">
        <v>0</v>
      </c>
      <c r="V1072" s="3">
        <v>0</v>
      </c>
      <c r="W1072" s="3">
        <v>0</v>
      </c>
      <c r="X1072">
        <v>0</v>
      </c>
      <c r="Y1072" t="s">
        <v>946</v>
      </c>
    </row>
    <row r="1073" spans="1:25" hidden="1" x14ac:dyDescent="0.25">
      <c r="A1073" s="1" t="s">
        <v>58</v>
      </c>
      <c r="B1073" s="1" t="s">
        <v>137</v>
      </c>
      <c r="C1073" s="1" t="s">
        <v>27</v>
      </c>
      <c r="D1073" s="1" t="s">
        <v>27</v>
      </c>
      <c r="E1073" s="2">
        <v>45874</v>
      </c>
      <c r="F1073" s="2">
        <v>45874</v>
      </c>
      <c r="G1073" s="3">
        <v>47</v>
      </c>
      <c r="H1073" s="4" t="s">
        <v>28</v>
      </c>
      <c r="I1073">
        <v>10</v>
      </c>
      <c r="J1073">
        <v>0</v>
      </c>
      <c r="K1073">
        <v>0</v>
      </c>
      <c r="L1073" s="3">
        <v>0</v>
      </c>
      <c r="M1073" s="3">
        <v>0</v>
      </c>
      <c r="N1073">
        <v>0</v>
      </c>
      <c r="O1073">
        <v>0</v>
      </c>
      <c r="P1073">
        <v>0</v>
      </c>
      <c r="Q1073">
        <v>0</v>
      </c>
      <c r="R1073" s="3">
        <v>0</v>
      </c>
      <c r="S1073" s="3">
        <v>0</v>
      </c>
      <c r="T1073">
        <v>0</v>
      </c>
      <c r="U1073">
        <v>0</v>
      </c>
      <c r="V1073" s="3">
        <v>0</v>
      </c>
      <c r="W1073" s="3">
        <v>0</v>
      </c>
      <c r="X1073">
        <v>0</v>
      </c>
      <c r="Y1073" t="s">
        <v>929</v>
      </c>
    </row>
    <row r="1074" spans="1:25" hidden="1" x14ac:dyDescent="0.25">
      <c r="A1074" s="1" t="s">
        <v>27</v>
      </c>
      <c r="B1074" s="1" t="s">
        <v>137</v>
      </c>
      <c r="C1074" s="1" t="s">
        <v>55</v>
      </c>
      <c r="D1074" s="1" t="s">
        <v>27</v>
      </c>
      <c r="E1074" s="2">
        <v>45874</v>
      </c>
      <c r="F1074" s="2">
        <v>45874</v>
      </c>
      <c r="G1074" s="3">
        <v>47</v>
      </c>
      <c r="H1074" s="4" t="s">
        <v>959</v>
      </c>
      <c r="I1074">
        <v>0</v>
      </c>
      <c r="J1074">
        <v>0</v>
      </c>
      <c r="K1074">
        <v>0</v>
      </c>
      <c r="L1074" s="3">
        <v>0</v>
      </c>
      <c r="M1074" s="3">
        <v>0</v>
      </c>
      <c r="N1074">
        <v>0</v>
      </c>
      <c r="O1074">
        <v>0</v>
      </c>
      <c r="P1074">
        <v>0</v>
      </c>
      <c r="Q1074">
        <v>0</v>
      </c>
      <c r="R1074" s="3">
        <v>0</v>
      </c>
      <c r="S1074" s="3">
        <v>0</v>
      </c>
      <c r="T1074">
        <v>0</v>
      </c>
      <c r="U1074">
        <v>0</v>
      </c>
      <c r="V1074" s="3">
        <v>0</v>
      </c>
      <c r="W1074" s="3">
        <v>0</v>
      </c>
      <c r="X1074">
        <v>0</v>
      </c>
      <c r="Y1074" t="s">
        <v>929</v>
      </c>
    </row>
    <row r="1075" spans="1:25" hidden="1" x14ac:dyDescent="0.25">
      <c r="A1075" s="1" t="s">
        <v>27</v>
      </c>
      <c r="B1075" s="1" t="s">
        <v>137</v>
      </c>
      <c r="C1075" s="1" t="s">
        <v>57</v>
      </c>
      <c r="D1075" s="1" t="s">
        <v>27</v>
      </c>
      <c r="E1075" s="2">
        <v>45874</v>
      </c>
      <c r="F1075" s="2">
        <v>45874</v>
      </c>
      <c r="G1075" s="3">
        <v>47</v>
      </c>
      <c r="H1075" s="4" t="s">
        <v>959</v>
      </c>
      <c r="I1075">
        <v>0</v>
      </c>
      <c r="J1075">
        <v>0</v>
      </c>
      <c r="K1075">
        <v>0</v>
      </c>
      <c r="L1075" s="3">
        <v>0</v>
      </c>
      <c r="M1075" s="3">
        <v>0</v>
      </c>
      <c r="N1075">
        <v>0</v>
      </c>
      <c r="O1075">
        <v>0</v>
      </c>
      <c r="P1075">
        <v>0</v>
      </c>
      <c r="Q1075">
        <v>0</v>
      </c>
      <c r="R1075" s="3">
        <v>0</v>
      </c>
      <c r="S1075" s="3">
        <v>0</v>
      </c>
      <c r="T1075">
        <v>0</v>
      </c>
      <c r="U1075">
        <v>0</v>
      </c>
      <c r="V1075" s="3">
        <v>0</v>
      </c>
      <c r="W1075" s="3">
        <v>0</v>
      </c>
      <c r="X1075">
        <v>0</v>
      </c>
      <c r="Y1075" t="s">
        <v>929</v>
      </c>
    </row>
    <row r="1076" spans="1:25" hidden="1" x14ac:dyDescent="0.25">
      <c r="A1076" s="1" t="s">
        <v>48</v>
      </c>
      <c r="B1076" s="1" t="s">
        <v>247</v>
      </c>
      <c r="C1076" s="1" t="s">
        <v>27</v>
      </c>
      <c r="D1076" s="1" t="s">
        <v>27</v>
      </c>
      <c r="E1076" s="2">
        <v>45874</v>
      </c>
      <c r="F1076" s="2">
        <v>45874</v>
      </c>
      <c r="G1076" s="3">
        <v>50</v>
      </c>
      <c r="H1076" t="s">
        <v>28</v>
      </c>
      <c r="I1076">
        <v>55</v>
      </c>
      <c r="J1076">
        <v>0</v>
      </c>
      <c r="K1076">
        <v>0</v>
      </c>
      <c r="L1076" s="3">
        <v>0</v>
      </c>
      <c r="M1076" s="3">
        <v>0</v>
      </c>
      <c r="N1076">
        <v>0</v>
      </c>
      <c r="O1076">
        <v>0</v>
      </c>
      <c r="P1076">
        <v>0</v>
      </c>
      <c r="Q1076">
        <v>0</v>
      </c>
      <c r="R1076" s="3">
        <v>0</v>
      </c>
      <c r="S1076" s="3">
        <v>0</v>
      </c>
      <c r="T1076">
        <v>0</v>
      </c>
      <c r="U1076">
        <v>0</v>
      </c>
      <c r="V1076" s="3">
        <v>0</v>
      </c>
      <c r="W1076" s="3">
        <v>0</v>
      </c>
      <c r="X1076">
        <v>0</v>
      </c>
      <c r="Y1076" t="s">
        <v>939</v>
      </c>
    </row>
    <row r="1077" spans="1:25" hidden="1" x14ac:dyDescent="0.25">
      <c r="A1077" s="1" t="s">
        <v>56</v>
      </c>
      <c r="B1077" s="1" t="s">
        <v>98</v>
      </c>
      <c r="C1077" s="1" t="s">
        <v>37</v>
      </c>
      <c r="D1077" s="1" t="s">
        <v>27</v>
      </c>
      <c r="E1077" s="2">
        <v>45875</v>
      </c>
      <c r="F1077" s="2">
        <v>45875</v>
      </c>
      <c r="G1077" s="3">
        <v>31</v>
      </c>
      <c r="H1077" t="s">
        <v>28</v>
      </c>
      <c r="I1077">
        <v>58</v>
      </c>
      <c r="J1077">
        <v>0</v>
      </c>
      <c r="K1077">
        <v>0</v>
      </c>
      <c r="L1077" s="3">
        <v>1</v>
      </c>
      <c r="M1077" s="3">
        <v>0</v>
      </c>
      <c r="N1077">
        <v>0</v>
      </c>
      <c r="O1077">
        <v>0</v>
      </c>
      <c r="P1077">
        <v>0</v>
      </c>
      <c r="Q1077">
        <v>0</v>
      </c>
      <c r="R1077" s="3">
        <v>0</v>
      </c>
      <c r="S1077" s="3">
        <v>0</v>
      </c>
      <c r="T1077">
        <v>0</v>
      </c>
      <c r="U1077">
        <v>0</v>
      </c>
      <c r="V1077" s="3">
        <v>0</v>
      </c>
      <c r="W1077" s="3">
        <v>0</v>
      </c>
      <c r="X1077">
        <v>0</v>
      </c>
      <c r="Y1077" t="s">
        <v>947</v>
      </c>
    </row>
    <row r="1078" spans="1:25" hidden="1" x14ac:dyDescent="0.25">
      <c r="A1078" s="1" t="s">
        <v>29</v>
      </c>
      <c r="B1078" s="1" t="s">
        <v>100</v>
      </c>
      <c r="C1078" s="1" t="s">
        <v>95</v>
      </c>
      <c r="D1078" s="1" t="s">
        <v>27</v>
      </c>
      <c r="E1078" s="2">
        <v>45875</v>
      </c>
      <c r="F1078" s="2">
        <v>45875</v>
      </c>
      <c r="G1078" s="3">
        <v>46</v>
      </c>
      <c r="H1078" t="s">
        <v>28</v>
      </c>
      <c r="I1078">
        <v>45</v>
      </c>
      <c r="J1078">
        <v>0</v>
      </c>
      <c r="K1078">
        <v>0</v>
      </c>
      <c r="L1078" s="3">
        <v>1</v>
      </c>
      <c r="M1078" s="3">
        <v>0</v>
      </c>
      <c r="N1078">
        <v>0</v>
      </c>
      <c r="O1078">
        <v>0</v>
      </c>
      <c r="P1078">
        <v>10</v>
      </c>
      <c r="Q1078">
        <v>0</v>
      </c>
      <c r="R1078" s="3">
        <v>0</v>
      </c>
      <c r="S1078" s="3">
        <v>0</v>
      </c>
      <c r="T1078">
        <v>0</v>
      </c>
      <c r="U1078">
        <v>0</v>
      </c>
      <c r="V1078" s="3">
        <v>0</v>
      </c>
      <c r="W1078" s="3">
        <v>0</v>
      </c>
      <c r="X1078">
        <v>0</v>
      </c>
      <c r="Y1078" t="s">
        <v>948</v>
      </c>
    </row>
    <row r="1079" spans="1:25" hidden="1" x14ac:dyDescent="0.25">
      <c r="A1079" s="1" t="s">
        <v>344</v>
      </c>
      <c r="B1079" s="1" t="s">
        <v>102</v>
      </c>
      <c r="C1079" s="1" t="s">
        <v>35</v>
      </c>
      <c r="D1079" s="1" t="s">
        <v>27</v>
      </c>
      <c r="E1079" s="2">
        <v>45875</v>
      </c>
      <c r="F1079" s="2">
        <v>45875</v>
      </c>
      <c r="G1079" s="3">
        <v>35</v>
      </c>
      <c r="H1079" s="4" t="s">
        <v>28</v>
      </c>
      <c r="I1079">
        <v>26</v>
      </c>
      <c r="J1079">
        <v>0</v>
      </c>
      <c r="K1079">
        <v>0</v>
      </c>
      <c r="L1079" s="3">
        <v>0</v>
      </c>
      <c r="M1079" s="3">
        <v>0</v>
      </c>
      <c r="N1079">
        <v>0</v>
      </c>
      <c r="O1079">
        <v>0</v>
      </c>
      <c r="P1079">
        <v>0</v>
      </c>
      <c r="Q1079">
        <v>0</v>
      </c>
      <c r="R1079" s="3">
        <v>0</v>
      </c>
      <c r="S1079" s="3">
        <v>0</v>
      </c>
      <c r="T1079">
        <v>0</v>
      </c>
      <c r="U1079">
        <v>0</v>
      </c>
      <c r="V1079" s="3">
        <v>0</v>
      </c>
      <c r="W1079" s="3">
        <v>0</v>
      </c>
      <c r="X1079">
        <v>1</v>
      </c>
      <c r="Y1079" t="s">
        <v>850</v>
      </c>
    </row>
    <row r="1080" spans="1:25" hidden="1" x14ac:dyDescent="0.25">
      <c r="A1080" s="1" t="s">
        <v>31</v>
      </c>
      <c r="B1080" s="1" t="s">
        <v>104</v>
      </c>
      <c r="C1080" s="1" t="s">
        <v>32</v>
      </c>
      <c r="D1080" s="1" t="s">
        <v>27</v>
      </c>
      <c r="E1080" s="2">
        <v>45875</v>
      </c>
      <c r="F1080" s="2">
        <v>45875</v>
      </c>
      <c r="G1080" s="3">
        <v>34</v>
      </c>
      <c r="H1080" t="s">
        <v>28</v>
      </c>
      <c r="I1080">
        <v>63</v>
      </c>
      <c r="J1080">
        <v>0</v>
      </c>
      <c r="K1080">
        <v>0</v>
      </c>
      <c r="L1080" s="3">
        <v>0</v>
      </c>
      <c r="M1080" s="3">
        <v>0</v>
      </c>
      <c r="N1080">
        <v>0</v>
      </c>
      <c r="O1080">
        <v>0</v>
      </c>
      <c r="P1080">
        <v>0</v>
      </c>
      <c r="Q1080">
        <v>50</v>
      </c>
      <c r="R1080" s="3">
        <v>0</v>
      </c>
      <c r="S1080" s="3">
        <v>0</v>
      </c>
      <c r="T1080">
        <v>0</v>
      </c>
      <c r="U1080">
        <v>0</v>
      </c>
      <c r="V1080" s="3">
        <v>0</v>
      </c>
      <c r="W1080" s="3">
        <v>0</v>
      </c>
      <c r="X1080">
        <v>0</v>
      </c>
      <c r="Y1080" t="s">
        <v>938</v>
      </c>
    </row>
    <row r="1081" spans="1:25" hidden="1" x14ac:dyDescent="0.25">
      <c r="A1081" s="1" t="s">
        <v>33</v>
      </c>
      <c r="B1081" s="1" t="s">
        <v>106</v>
      </c>
      <c r="C1081" s="1" t="s">
        <v>57</v>
      </c>
      <c r="D1081" s="1" t="s">
        <v>27</v>
      </c>
      <c r="E1081" s="2">
        <v>45875</v>
      </c>
      <c r="F1081" s="2">
        <v>45875</v>
      </c>
      <c r="G1081" s="3">
        <v>33</v>
      </c>
      <c r="H1081" t="s">
        <v>28</v>
      </c>
      <c r="I1081">
        <v>43</v>
      </c>
      <c r="J1081">
        <v>0</v>
      </c>
      <c r="K1081">
        <v>0</v>
      </c>
      <c r="L1081" s="3">
        <v>0</v>
      </c>
      <c r="M1081" s="3">
        <v>0</v>
      </c>
      <c r="N1081">
        <v>0</v>
      </c>
      <c r="O1081">
        <v>0</v>
      </c>
      <c r="P1081">
        <v>0</v>
      </c>
      <c r="Q1081">
        <v>0</v>
      </c>
      <c r="R1081" s="3">
        <v>0</v>
      </c>
      <c r="S1081" s="3">
        <v>0</v>
      </c>
      <c r="T1081">
        <v>0</v>
      </c>
      <c r="U1081">
        <v>0</v>
      </c>
      <c r="V1081" s="3">
        <v>0</v>
      </c>
      <c r="W1081" s="3">
        <v>0</v>
      </c>
      <c r="X1081">
        <v>0</v>
      </c>
      <c r="Y1081" t="s">
        <v>949</v>
      </c>
    </row>
    <row r="1082" spans="1:25" hidden="1" x14ac:dyDescent="0.25">
      <c r="A1082" s="1" t="s">
        <v>38</v>
      </c>
      <c r="B1082" s="1" t="s">
        <v>108</v>
      </c>
      <c r="C1082" s="1" t="s">
        <v>27</v>
      </c>
      <c r="D1082" s="1" t="s">
        <v>27</v>
      </c>
      <c r="E1082" s="2">
        <v>45875</v>
      </c>
      <c r="F1082" s="2">
        <v>45875</v>
      </c>
      <c r="G1082" s="3">
        <v>54</v>
      </c>
      <c r="H1082" t="s">
        <v>28</v>
      </c>
      <c r="I1082">
        <v>30</v>
      </c>
      <c r="J1082">
        <v>0</v>
      </c>
      <c r="K1082">
        <v>0</v>
      </c>
      <c r="L1082" s="3">
        <v>0</v>
      </c>
      <c r="M1082" s="3">
        <v>0</v>
      </c>
      <c r="N1082">
        <v>0</v>
      </c>
      <c r="O1082">
        <v>0</v>
      </c>
      <c r="P1082">
        <v>0</v>
      </c>
      <c r="Q1082">
        <v>30</v>
      </c>
      <c r="R1082" s="3">
        <v>0</v>
      </c>
      <c r="S1082" s="3">
        <v>0</v>
      </c>
      <c r="T1082">
        <v>0</v>
      </c>
      <c r="U1082">
        <v>0</v>
      </c>
      <c r="V1082" s="3">
        <v>0</v>
      </c>
      <c r="W1082" s="3">
        <v>0</v>
      </c>
      <c r="X1082">
        <v>0</v>
      </c>
      <c r="Y1082" t="s">
        <v>950</v>
      </c>
    </row>
    <row r="1083" spans="1:25" hidden="1" x14ac:dyDescent="0.25">
      <c r="A1083" s="1" t="s">
        <v>40</v>
      </c>
      <c r="B1083" s="1" t="s">
        <v>110</v>
      </c>
      <c r="C1083" s="1" t="s">
        <v>27</v>
      </c>
      <c r="D1083" s="1" t="s">
        <v>27</v>
      </c>
      <c r="E1083" s="2">
        <v>45875</v>
      </c>
      <c r="F1083" s="2">
        <v>45875</v>
      </c>
      <c r="G1083" s="3">
        <v>177</v>
      </c>
      <c r="H1083" t="s">
        <v>28</v>
      </c>
      <c r="I1083">
        <v>80</v>
      </c>
      <c r="J1083">
        <v>0</v>
      </c>
      <c r="K1083">
        <v>0</v>
      </c>
      <c r="L1083" s="3">
        <v>1</v>
      </c>
      <c r="M1083" s="3">
        <v>0</v>
      </c>
      <c r="N1083">
        <v>1</v>
      </c>
      <c r="O1083">
        <v>0</v>
      </c>
      <c r="P1083">
        <v>0</v>
      </c>
      <c r="Q1083">
        <v>0</v>
      </c>
      <c r="R1083" s="3">
        <v>0</v>
      </c>
      <c r="S1083" s="3">
        <v>0</v>
      </c>
      <c r="T1083">
        <v>0</v>
      </c>
      <c r="U1083">
        <v>0</v>
      </c>
      <c r="V1083" s="3">
        <v>0</v>
      </c>
      <c r="W1083" s="3">
        <v>0</v>
      </c>
      <c r="X1083">
        <v>0</v>
      </c>
      <c r="Y1083" t="s">
        <v>951</v>
      </c>
    </row>
    <row r="1084" spans="1:25" hidden="1" x14ac:dyDescent="0.25">
      <c r="A1084" s="1" t="s">
        <v>36</v>
      </c>
      <c r="B1084" s="1" t="s">
        <v>110</v>
      </c>
      <c r="C1084" s="1" t="s">
        <v>27</v>
      </c>
      <c r="D1084" s="1" t="s">
        <v>27</v>
      </c>
      <c r="E1084" s="2">
        <v>45875</v>
      </c>
      <c r="F1084" s="2">
        <v>45875</v>
      </c>
      <c r="G1084" s="3">
        <v>177</v>
      </c>
      <c r="H1084" t="s">
        <v>28</v>
      </c>
      <c r="I1084">
        <v>80</v>
      </c>
      <c r="J1084">
        <v>0</v>
      </c>
      <c r="K1084">
        <v>0</v>
      </c>
      <c r="L1084" s="3">
        <v>1</v>
      </c>
      <c r="M1084" s="3">
        <v>0</v>
      </c>
      <c r="N1084">
        <v>1</v>
      </c>
      <c r="O1084">
        <v>0</v>
      </c>
      <c r="P1084">
        <v>0</v>
      </c>
      <c r="Q1084">
        <v>0</v>
      </c>
      <c r="R1084" s="3">
        <v>0</v>
      </c>
      <c r="S1084" s="3">
        <v>0</v>
      </c>
      <c r="T1084">
        <v>0</v>
      </c>
      <c r="U1084">
        <v>0</v>
      </c>
      <c r="V1084" s="3">
        <v>0</v>
      </c>
      <c r="W1084" s="3">
        <v>0</v>
      </c>
      <c r="X1084">
        <v>0</v>
      </c>
      <c r="Y1084" t="s">
        <v>951</v>
      </c>
    </row>
    <row r="1085" spans="1:25" hidden="1" x14ac:dyDescent="0.25">
      <c r="A1085" s="1" t="s">
        <v>41</v>
      </c>
      <c r="B1085" s="1" t="s">
        <v>112</v>
      </c>
      <c r="C1085" s="1" t="s">
        <v>42</v>
      </c>
      <c r="D1085" t="s">
        <v>27</v>
      </c>
      <c r="E1085" s="2">
        <v>45875</v>
      </c>
      <c r="F1085" s="2">
        <v>45875</v>
      </c>
      <c r="G1085" s="3">
        <v>34</v>
      </c>
      <c r="H1085" s="4" t="s">
        <v>28</v>
      </c>
      <c r="I1085">
        <v>41</v>
      </c>
      <c r="J1085">
        <v>0</v>
      </c>
      <c r="K1085">
        <v>0</v>
      </c>
      <c r="L1085" s="3">
        <v>1</v>
      </c>
      <c r="M1085" s="3">
        <v>0</v>
      </c>
      <c r="N1085">
        <v>0</v>
      </c>
      <c r="O1085">
        <v>0</v>
      </c>
      <c r="P1085">
        <v>0</v>
      </c>
      <c r="Q1085">
        <v>0</v>
      </c>
      <c r="R1085" s="3">
        <v>0</v>
      </c>
      <c r="S1085" s="3">
        <v>0</v>
      </c>
      <c r="T1085">
        <v>0</v>
      </c>
      <c r="U1085">
        <v>0</v>
      </c>
      <c r="V1085" s="3">
        <v>0</v>
      </c>
      <c r="W1085" s="3">
        <v>0</v>
      </c>
      <c r="X1085">
        <v>0</v>
      </c>
      <c r="Y1085" t="s">
        <v>807</v>
      </c>
    </row>
    <row r="1086" spans="1:25" hidden="1" x14ac:dyDescent="0.25">
      <c r="A1086" s="1" t="s">
        <v>43</v>
      </c>
      <c r="B1086" s="1" t="s">
        <v>114</v>
      </c>
      <c r="C1086" s="1" t="s">
        <v>44</v>
      </c>
      <c r="D1086" s="1" t="s">
        <v>27</v>
      </c>
      <c r="E1086" s="2">
        <v>45875</v>
      </c>
      <c r="F1086" s="2">
        <v>45875</v>
      </c>
      <c r="G1086" s="3">
        <v>25</v>
      </c>
      <c r="H1086" t="s">
        <v>28</v>
      </c>
      <c r="I1086">
        <v>43</v>
      </c>
      <c r="J1086">
        <v>0</v>
      </c>
      <c r="K1086">
        <v>0</v>
      </c>
      <c r="L1086" s="3">
        <v>0</v>
      </c>
      <c r="M1086" s="3">
        <v>0</v>
      </c>
      <c r="N1086">
        <v>0</v>
      </c>
      <c r="O1086">
        <v>0</v>
      </c>
      <c r="P1086">
        <v>0</v>
      </c>
      <c r="Q1086">
        <v>0</v>
      </c>
      <c r="R1086" s="3">
        <v>0</v>
      </c>
      <c r="S1086" s="3">
        <v>0</v>
      </c>
      <c r="T1086">
        <v>0</v>
      </c>
      <c r="U1086">
        <v>0</v>
      </c>
      <c r="V1086" s="3">
        <v>0</v>
      </c>
      <c r="W1086" s="3">
        <v>0</v>
      </c>
      <c r="X1086">
        <v>0</v>
      </c>
      <c r="Y1086" t="s">
        <v>952</v>
      </c>
    </row>
    <row r="1087" spans="1:25" hidden="1" x14ac:dyDescent="0.25">
      <c r="A1087" s="1" t="s">
        <v>45</v>
      </c>
      <c r="B1087" s="1" t="s">
        <v>116</v>
      </c>
      <c r="C1087" s="1" t="s">
        <v>46</v>
      </c>
      <c r="D1087" s="1" t="s">
        <v>27</v>
      </c>
      <c r="E1087" s="2">
        <v>45875</v>
      </c>
      <c r="F1087" s="2">
        <v>45875</v>
      </c>
      <c r="G1087" s="3">
        <v>47</v>
      </c>
      <c r="H1087" t="s">
        <v>28</v>
      </c>
      <c r="I1087">
        <v>76</v>
      </c>
      <c r="J1087">
        <v>0</v>
      </c>
      <c r="K1087">
        <v>0</v>
      </c>
      <c r="L1087" s="3">
        <v>1</v>
      </c>
      <c r="M1087" s="3">
        <v>0</v>
      </c>
      <c r="N1087">
        <v>0</v>
      </c>
      <c r="O1087">
        <v>0</v>
      </c>
      <c r="P1087">
        <v>0</v>
      </c>
      <c r="Q1087">
        <v>0</v>
      </c>
      <c r="R1087" s="3">
        <v>0</v>
      </c>
      <c r="S1087" s="3">
        <v>0</v>
      </c>
      <c r="T1087">
        <v>0</v>
      </c>
      <c r="U1087">
        <v>0</v>
      </c>
      <c r="V1087" s="3">
        <v>0</v>
      </c>
      <c r="W1087" s="3">
        <v>0</v>
      </c>
      <c r="X1087">
        <v>0</v>
      </c>
      <c r="Y1087" t="s">
        <v>953</v>
      </c>
    </row>
    <row r="1088" spans="1:25" hidden="1" x14ac:dyDescent="0.25">
      <c r="A1088" s="1" t="s">
        <v>47</v>
      </c>
      <c r="B1088" s="1" t="s">
        <v>137</v>
      </c>
      <c r="C1088" s="1" t="s">
        <v>27</v>
      </c>
      <c r="D1088" s="1" t="s">
        <v>27</v>
      </c>
      <c r="E1088" s="2">
        <v>45875</v>
      </c>
      <c r="F1088" s="2">
        <v>45875</v>
      </c>
      <c r="G1088" s="3">
        <v>38</v>
      </c>
      <c r="H1088" t="s">
        <v>28</v>
      </c>
      <c r="I1088">
        <v>73</v>
      </c>
      <c r="J1088">
        <v>0</v>
      </c>
      <c r="K1088">
        <v>0</v>
      </c>
      <c r="L1088" s="3">
        <v>0</v>
      </c>
      <c r="M1088" s="3">
        <v>0</v>
      </c>
      <c r="N1088">
        <v>0</v>
      </c>
      <c r="O1088">
        <v>0</v>
      </c>
      <c r="P1088">
        <v>0</v>
      </c>
      <c r="Q1088">
        <v>0</v>
      </c>
      <c r="R1088" s="3">
        <v>0</v>
      </c>
      <c r="S1088" s="3">
        <v>0</v>
      </c>
      <c r="T1088">
        <v>0</v>
      </c>
      <c r="U1088">
        <v>0</v>
      </c>
      <c r="V1088" s="3">
        <v>0</v>
      </c>
      <c r="W1088" s="3">
        <v>0</v>
      </c>
      <c r="X1088">
        <v>0</v>
      </c>
      <c r="Y1088" t="s">
        <v>954</v>
      </c>
    </row>
    <row r="1089" spans="1:25" hidden="1" x14ac:dyDescent="0.25">
      <c r="A1089" s="1" t="s">
        <v>34</v>
      </c>
      <c r="B1089" s="1" t="s">
        <v>137</v>
      </c>
      <c r="C1089" s="1" t="s">
        <v>27</v>
      </c>
      <c r="D1089" s="1" t="s">
        <v>27</v>
      </c>
      <c r="E1089" s="2">
        <v>45875</v>
      </c>
      <c r="F1089" s="2">
        <v>45875</v>
      </c>
      <c r="G1089" s="3">
        <v>38</v>
      </c>
      <c r="H1089" t="s">
        <v>28</v>
      </c>
      <c r="I1089">
        <v>73</v>
      </c>
      <c r="J1089">
        <v>0</v>
      </c>
      <c r="K1089">
        <v>0</v>
      </c>
      <c r="L1089" s="3">
        <v>0</v>
      </c>
      <c r="M1089" s="3">
        <v>0</v>
      </c>
      <c r="N1089">
        <v>0</v>
      </c>
      <c r="O1089">
        <v>0</v>
      </c>
      <c r="P1089">
        <v>0</v>
      </c>
      <c r="Q1089">
        <v>0</v>
      </c>
      <c r="R1089" s="3">
        <v>0</v>
      </c>
      <c r="S1089" s="3">
        <v>0</v>
      </c>
      <c r="T1089">
        <v>0</v>
      </c>
      <c r="U1089">
        <v>0</v>
      </c>
      <c r="V1089" s="3">
        <v>0</v>
      </c>
      <c r="W1089" s="3">
        <v>0</v>
      </c>
      <c r="X1089">
        <v>0</v>
      </c>
      <c r="Y1089" t="s">
        <v>954</v>
      </c>
    </row>
    <row r="1090" spans="1:25" hidden="1" x14ac:dyDescent="0.25">
      <c r="A1090" s="1" t="s">
        <v>49</v>
      </c>
      <c r="B1090" s="1" t="s">
        <v>118</v>
      </c>
      <c r="C1090" s="1" t="s">
        <v>50</v>
      </c>
      <c r="D1090" s="1" t="s">
        <v>27</v>
      </c>
      <c r="E1090" s="2">
        <v>45875</v>
      </c>
      <c r="F1090" s="2">
        <v>45875</v>
      </c>
      <c r="G1090" s="3">
        <v>27</v>
      </c>
      <c r="H1090" t="s">
        <v>28</v>
      </c>
      <c r="I1090">
        <v>29</v>
      </c>
      <c r="J1090">
        <v>0</v>
      </c>
      <c r="K1090">
        <v>0</v>
      </c>
      <c r="L1090" s="3">
        <v>1</v>
      </c>
      <c r="M1090" s="3">
        <v>1</v>
      </c>
      <c r="N1090">
        <v>0</v>
      </c>
      <c r="O1090">
        <v>1</v>
      </c>
      <c r="P1090">
        <v>0</v>
      </c>
      <c r="Q1090">
        <v>29</v>
      </c>
      <c r="R1090" s="3">
        <v>0</v>
      </c>
      <c r="S1090" s="3">
        <v>0</v>
      </c>
      <c r="T1090">
        <v>0</v>
      </c>
      <c r="U1090">
        <v>0</v>
      </c>
      <c r="V1090" s="3">
        <v>0</v>
      </c>
      <c r="W1090" s="3">
        <v>0</v>
      </c>
      <c r="X1090">
        <v>0</v>
      </c>
      <c r="Y1090" t="s">
        <v>943</v>
      </c>
    </row>
    <row r="1091" spans="1:25" hidden="1" x14ac:dyDescent="0.25">
      <c r="A1091" s="1" t="s">
        <v>51</v>
      </c>
      <c r="B1091" s="1" t="s">
        <v>120</v>
      </c>
      <c r="C1091" s="1" t="s">
        <v>55</v>
      </c>
      <c r="D1091" s="1" t="s">
        <v>27</v>
      </c>
      <c r="E1091" s="2">
        <v>45875</v>
      </c>
      <c r="F1091" s="2">
        <v>45875</v>
      </c>
      <c r="G1091" s="3">
        <v>53</v>
      </c>
      <c r="H1091" t="s">
        <v>28</v>
      </c>
      <c r="I1091">
        <v>52</v>
      </c>
      <c r="J1091">
        <v>0</v>
      </c>
      <c r="K1091">
        <v>0</v>
      </c>
      <c r="L1091" s="3">
        <v>1</v>
      </c>
      <c r="M1091" s="3">
        <v>0</v>
      </c>
      <c r="N1091">
        <v>1</v>
      </c>
      <c r="O1091">
        <v>0</v>
      </c>
      <c r="P1091">
        <v>0</v>
      </c>
      <c r="Q1091">
        <v>0</v>
      </c>
      <c r="R1091" s="3">
        <v>0</v>
      </c>
      <c r="S1091" s="3">
        <v>0</v>
      </c>
      <c r="T1091">
        <v>0</v>
      </c>
      <c r="U1091">
        <v>0</v>
      </c>
      <c r="V1091" s="3">
        <v>0</v>
      </c>
      <c r="W1091" s="3">
        <v>0</v>
      </c>
      <c r="X1091">
        <v>0</v>
      </c>
      <c r="Y1091" t="s">
        <v>955</v>
      </c>
    </row>
    <row r="1092" spans="1:25" hidden="1" x14ac:dyDescent="0.25">
      <c r="A1092" s="1" t="s">
        <v>54</v>
      </c>
      <c r="B1092" s="1" t="s">
        <v>122</v>
      </c>
      <c r="C1092" s="1" t="s">
        <v>52</v>
      </c>
      <c r="D1092" s="1" t="s">
        <v>27</v>
      </c>
      <c r="E1092" s="2">
        <v>45875</v>
      </c>
      <c r="F1092" s="2">
        <v>45875</v>
      </c>
      <c r="G1092" s="3">
        <v>45</v>
      </c>
      <c r="H1092" t="s">
        <v>28</v>
      </c>
      <c r="I1092">
        <v>28</v>
      </c>
      <c r="J1092">
        <v>0</v>
      </c>
      <c r="K1092">
        <v>0</v>
      </c>
      <c r="L1092" s="3">
        <v>0</v>
      </c>
      <c r="M1092" s="3">
        <v>0</v>
      </c>
      <c r="N1092">
        <v>0</v>
      </c>
      <c r="O1092">
        <v>0</v>
      </c>
      <c r="P1092">
        <v>0</v>
      </c>
      <c r="Q1092">
        <v>2</v>
      </c>
      <c r="R1092" s="3">
        <v>0</v>
      </c>
      <c r="S1092" s="3">
        <v>0</v>
      </c>
      <c r="T1092">
        <v>0</v>
      </c>
      <c r="U1092">
        <v>0</v>
      </c>
      <c r="V1092" s="3">
        <v>0</v>
      </c>
      <c r="W1092" s="3">
        <v>0</v>
      </c>
      <c r="X1092">
        <v>0</v>
      </c>
      <c r="Y1092" t="s">
        <v>956</v>
      </c>
    </row>
    <row r="1093" spans="1:25" hidden="1" x14ac:dyDescent="0.25">
      <c r="A1093" s="1" t="s">
        <v>53</v>
      </c>
      <c r="B1093" s="1" t="s">
        <v>142</v>
      </c>
      <c r="C1093" s="1" t="s">
        <v>39</v>
      </c>
      <c r="D1093" s="1" t="s">
        <v>27</v>
      </c>
      <c r="E1093" s="2">
        <v>45875</v>
      </c>
      <c r="F1093" s="2">
        <v>45875</v>
      </c>
      <c r="G1093" s="3">
        <v>48</v>
      </c>
      <c r="H1093" t="s">
        <v>28</v>
      </c>
      <c r="I1093">
        <v>31</v>
      </c>
      <c r="J1093">
        <v>0</v>
      </c>
      <c r="K1093">
        <v>0</v>
      </c>
      <c r="L1093" s="3">
        <v>1</v>
      </c>
      <c r="M1093" s="3">
        <v>0</v>
      </c>
      <c r="N1093">
        <v>0</v>
      </c>
      <c r="O1093">
        <v>0</v>
      </c>
      <c r="P1093">
        <v>0</v>
      </c>
      <c r="Q1093">
        <v>31</v>
      </c>
      <c r="R1093" s="3">
        <v>0</v>
      </c>
      <c r="S1093" s="3">
        <v>0</v>
      </c>
      <c r="T1093">
        <v>0</v>
      </c>
      <c r="U1093">
        <v>0</v>
      </c>
      <c r="V1093" s="3">
        <v>0</v>
      </c>
      <c r="W1093" s="3">
        <v>0</v>
      </c>
      <c r="X1093">
        <v>0</v>
      </c>
      <c r="Y1093" t="s">
        <v>957</v>
      </c>
    </row>
    <row r="1094" spans="1:25" hidden="1" x14ac:dyDescent="0.25">
      <c r="A1094" s="1" t="s">
        <v>58</v>
      </c>
      <c r="B1094" s="1" t="s">
        <v>144</v>
      </c>
      <c r="C1094" s="1" t="s">
        <v>489</v>
      </c>
      <c r="D1094" s="1" t="s">
        <v>27</v>
      </c>
      <c r="E1094" s="2">
        <v>45875</v>
      </c>
      <c r="F1094" s="2">
        <v>45875</v>
      </c>
      <c r="G1094" s="3">
        <v>24</v>
      </c>
      <c r="H1094" t="s">
        <v>28</v>
      </c>
      <c r="I1094">
        <v>68</v>
      </c>
      <c r="J1094">
        <v>0</v>
      </c>
      <c r="K1094">
        <v>0</v>
      </c>
      <c r="L1094" s="3">
        <v>1</v>
      </c>
      <c r="M1094" s="3">
        <v>0</v>
      </c>
      <c r="N1094">
        <v>0</v>
      </c>
      <c r="O1094">
        <v>0</v>
      </c>
      <c r="P1094">
        <v>0</v>
      </c>
      <c r="Q1094">
        <v>0</v>
      </c>
      <c r="R1094" s="3">
        <v>0</v>
      </c>
      <c r="S1094" s="3">
        <v>0</v>
      </c>
      <c r="T1094">
        <v>0</v>
      </c>
      <c r="U1094">
        <v>0</v>
      </c>
      <c r="V1094" s="3">
        <v>0</v>
      </c>
      <c r="W1094" s="3">
        <v>0</v>
      </c>
      <c r="X1094">
        <v>0</v>
      </c>
      <c r="Y1094" t="s">
        <v>958</v>
      </c>
    </row>
    <row r="1095" spans="1:25" hidden="1" x14ac:dyDescent="0.25">
      <c r="A1095" s="1" t="s">
        <v>48</v>
      </c>
      <c r="B1095" s="1" t="s">
        <v>144</v>
      </c>
      <c r="C1095" s="1" t="s">
        <v>27</v>
      </c>
      <c r="D1095" s="1" t="s">
        <v>27</v>
      </c>
      <c r="E1095" s="2">
        <v>45875</v>
      </c>
      <c r="F1095" s="2">
        <v>45875</v>
      </c>
      <c r="G1095" s="3">
        <v>24</v>
      </c>
      <c r="H1095" s="4" t="s">
        <v>959</v>
      </c>
      <c r="I1095">
        <v>0</v>
      </c>
      <c r="J1095">
        <v>0</v>
      </c>
      <c r="K1095">
        <v>0</v>
      </c>
      <c r="L1095" s="3">
        <v>0</v>
      </c>
      <c r="M1095" s="3">
        <v>0</v>
      </c>
      <c r="N1095">
        <v>0</v>
      </c>
      <c r="O1095">
        <v>0</v>
      </c>
      <c r="P1095">
        <v>0</v>
      </c>
      <c r="Q1095">
        <v>0</v>
      </c>
      <c r="R1095" s="3">
        <v>0</v>
      </c>
      <c r="S1095" s="3">
        <v>0</v>
      </c>
      <c r="T1095">
        <v>0</v>
      </c>
      <c r="U1095">
        <v>0</v>
      </c>
      <c r="V1095" s="3">
        <v>0</v>
      </c>
      <c r="W1095" s="3">
        <v>0</v>
      </c>
      <c r="X1095">
        <v>0</v>
      </c>
      <c r="Y1095" t="s">
        <v>958</v>
      </c>
    </row>
    <row r="1096" spans="1:25" hidden="1" x14ac:dyDescent="0.25">
      <c r="A1096" s="1" t="s">
        <v>25</v>
      </c>
      <c r="B1096" s="1" t="s">
        <v>144</v>
      </c>
      <c r="C1096" s="1" t="s">
        <v>27</v>
      </c>
      <c r="D1096" s="1" t="s">
        <v>27</v>
      </c>
      <c r="E1096" s="2">
        <v>45875</v>
      </c>
      <c r="F1096" s="2">
        <v>45875</v>
      </c>
      <c r="G1096" s="3">
        <v>24</v>
      </c>
      <c r="H1096" t="s">
        <v>28</v>
      </c>
      <c r="I1096">
        <v>0</v>
      </c>
      <c r="J1096">
        <v>0</v>
      </c>
      <c r="K1096">
        <v>0</v>
      </c>
      <c r="L1096" s="3">
        <v>0</v>
      </c>
      <c r="M1096" s="3">
        <v>0</v>
      </c>
      <c r="N1096">
        <v>0</v>
      </c>
      <c r="O1096">
        <v>0</v>
      </c>
      <c r="P1096">
        <v>0</v>
      </c>
      <c r="Q1096">
        <v>0</v>
      </c>
      <c r="R1096" s="3">
        <v>0</v>
      </c>
      <c r="S1096" s="3">
        <v>0</v>
      </c>
      <c r="T1096">
        <v>0</v>
      </c>
      <c r="U1096">
        <v>0</v>
      </c>
      <c r="V1096" s="3">
        <v>0</v>
      </c>
      <c r="W1096" s="3">
        <v>0</v>
      </c>
      <c r="X1096">
        <v>0</v>
      </c>
      <c r="Y1096" t="s">
        <v>958</v>
      </c>
    </row>
    <row r="1097" spans="1:25" hidden="1" x14ac:dyDescent="0.25">
      <c r="A1097" s="1" t="s">
        <v>25</v>
      </c>
      <c r="B1097" s="1" t="s">
        <v>96</v>
      </c>
      <c r="C1097" s="1" t="s">
        <v>489</v>
      </c>
      <c r="D1097" s="1" t="s">
        <v>27</v>
      </c>
      <c r="E1097" s="10">
        <v>45876</v>
      </c>
      <c r="F1097" s="2">
        <v>45876</v>
      </c>
      <c r="G1097" s="3">
        <v>23</v>
      </c>
      <c r="H1097" s="4" t="s">
        <v>28</v>
      </c>
      <c r="I1097">
        <v>78</v>
      </c>
      <c r="J1097">
        <v>0</v>
      </c>
      <c r="K1097">
        <v>0</v>
      </c>
      <c r="L1097" s="3">
        <v>1</v>
      </c>
      <c r="M1097" s="3">
        <v>0</v>
      </c>
      <c r="N1097">
        <v>1</v>
      </c>
      <c r="O1097">
        <v>0</v>
      </c>
      <c r="P1097">
        <v>0</v>
      </c>
      <c r="Q1097">
        <v>0</v>
      </c>
      <c r="R1097" s="3">
        <v>0</v>
      </c>
      <c r="S1097" s="3">
        <v>0</v>
      </c>
      <c r="T1097">
        <v>0</v>
      </c>
      <c r="U1097">
        <v>0</v>
      </c>
      <c r="V1097" s="3">
        <v>0</v>
      </c>
      <c r="W1097" s="3">
        <v>0</v>
      </c>
      <c r="X1097">
        <v>0</v>
      </c>
      <c r="Y1097" t="s">
        <v>960</v>
      </c>
    </row>
    <row r="1098" spans="1:25" hidden="1" x14ac:dyDescent="0.25">
      <c r="A1098" s="1" t="s">
        <v>56</v>
      </c>
      <c r="B1098" s="1" t="s">
        <v>98</v>
      </c>
      <c r="C1098" s="1" t="s">
        <v>37</v>
      </c>
      <c r="D1098" s="1" t="s">
        <v>27</v>
      </c>
      <c r="E1098" s="10">
        <v>45876</v>
      </c>
      <c r="F1098" s="2">
        <v>45876</v>
      </c>
      <c r="G1098" s="3">
        <v>29</v>
      </c>
      <c r="H1098" s="4" t="s">
        <v>28</v>
      </c>
      <c r="I1098">
        <v>71</v>
      </c>
      <c r="J1098">
        <v>0</v>
      </c>
      <c r="K1098">
        <v>0</v>
      </c>
      <c r="L1098" s="3">
        <v>1</v>
      </c>
      <c r="M1098" s="3">
        <v>0</v>
      </c>
      <c r="N1098">
        <v>0</v>
      </c>
      <c r="O1098">
        <v>0</v>
      </c>
      <c r="P1098">
        <v>0</v>
      </c>
      <c r="Q1098">
        <v>0</v>
      </c>
      <c r="R1098" s="3">
        <v>0</v>
      </c>
      <c r="S1098" s="3">
        <v>0</v>
      </c>
      <c r="T1098">
        <v>0</v>
      </c>
      <c r="U1098">
        <v>0</v>
      </c>
      <c r="V1098" s="3">
        <v>0</v>
      </c>
      <c r="W1098" s="3">
        <v>0</v>
      </c>
      <c r="X1098">
        <v>0</v>
      </c>
      <c r="Y1098" t="s">
        <v>961</v>
      </c>
    </row>
    <row r="1099" spans="1:25" hidden="1" x14ac:dyDescent="0.25">
      <c r="A1099" s="1" t="s">
        <v>29</v>
      </c>
      <c r="B1099" s="1" t="s">
        <v>100</v>
      </c>
      <c r="C1099" s="1" t="s">
        <v>95</v>
      </c>
      <c r="D1099" s="1" t="s">
        <v>27</v>
      </c>
      <c r="E1099" s="10">
        <v>45876</v>
      </c>
      <c r="F1099" s="2">
        <v>45876</v>
      </c>
      <c r="G1099" s="3">
        <v>32</v>
      </c>
      <c r="H1099" s="4" t="s">
        <v>28</v>
      </c>
      <c r="I1099">
        <v>24</v>
      </c>
      <c r="J1099">
        <v>0</v>
      </c>
      <c r="K1099">
        <v>0</v>
      </c>
      <c r="L1099" s="3">
        <v>0</v>
      </c>
      <c r="M1099" s="3">
        <v>0</v>
      </c>
      <c r="N1099">
        <v>0</v>
      </c>
      <c r="O1099">
        <v>0</v>
      </c>
      <c r="P1099">
        <v>10</v>
      </c>
      <c r="Q1099">
        <v>0</v>
      </c>
      <c r="R1099" s="3">
        <v>0</v>
      </c>
      <c r="S1099" s="3">
        <v>0</v>
      </c>
      <c r="T1099">
        <v>0</v>
      </c>
      <c r="U1099">
        <v>0</v>
      </c>
      <c r="V1099" s="3">
        <v>0</v>
      </c>
      <c r="W1099" s="3">
        <v>0</v>
      </c>
      <c r="X1099">
        <v>0</v>
      </c>
      <c r="Y1099" t="s">
        <v>962</v>
      </c>
    </row>
    <row r="1100" spans="1:25" hidden="1" x14ac:dyDescent="0.25">
      <c r="A1100" s="1" t="s">
        <v>344</v>
      </c>
      <c r="B1100" s="1" t="s">
        <v>102</v>
      </c>
      <c r="C1100" s="1" t="s">
        <v>35</v>
      </c>
      <c r="D1100" s="1" t="s">
        <v>27</v>
      </c>
      <c r="E1100" s="10">
        <v>45876</v>
      </c>
      <c r="F1100" s="2">
        <v>45876</v>
      </c>
      <c r="G1100" s="3">
        <v>35</v>
      </c>
      <c r="H1100" s="4" t="s">
        <v>28</v>
      </c>
      <c r="I1100">
        <v>32</v>
      </c>
      <c r="J1100">
        <v>0</v>
      </c>
      <c r="K1100">
        <v>0</v>
      </c>
      <c r="L1100" s="3">
        <v>0</v>
      </c>
      <c r="M1100" s="3">
        <v>0</v>
      </c>
      <c r="N1100">
        <v>0</v>
      </c>
      <c r="O1100">
        <v>0</v>
      </c>
      <c r="P1100">
        <v>0</v>
      </c>
      <c r="Q1100">
        <v>0</v>
      </c>
      <c r="R1100" s="3">
        <v>0</v>
      </c>
      <c r="S1100" s="3">
        <v>0</v>
      </c>
      <c r="T1100">
        <v>0</v>
      </c>
      <c r="U1100">
        <v>0</v>
      </c>
      <c r="V1100" s="3">
        <v>0</v>
      </c>
      <c r="W1100" s="3">
        <v>0</v>
      </c>
      <c r="X1100">
        <v>0</v>
      </c>
      <c r="Y1100" t="s">
        <v>850</v>
      </c>
    </row>
    <row r="1101" spans="1:25" hidden="1" x14ac:dyDescent="0.25">
      <c r="A1101" s="1" t="s">
        <v>31</v>
      </c>
      <c r="B1101" s="1" t="s">
        <v>104</v>
      </c>
      <c r="C1101" s="1" t="s">
        <v>32</v>
      </c>
      <c r="D1101" s="1" t="s">
        <v>27</v>
      </c>
      <c r="E1101" s="10">
        <v>45876</v>
      </c>
      <c r="F1101" s="2">
        <v>45876</v>
      </c>
      <c r="G1101" s="3">
        <v>44</v>
      </c>
      <c r="H1101" s="4" t="s">
        <v>28</v>
      </c>
      <c r="I1101">
        <v>77</v>
      </c>
      <c r="J1101">
        <v>0</v>
      </c>
      <c r="K1101">
        <v>0</v>
      </c>
      <c r="L1101" s="3">
        <v>0</v>
      </c>
      <c r="M1101" s="3">
        <v>0</v>
      </c>
      <c r="N1101">
        <v>0</v>
      </c>
      <c r="O1101">
        <v>0</v>
      </c>
      <c r="P1101">
        <v>0</v>
      </c>
      <c r="Q1101">
        <v>50</v>
      </c>
      <c r="R1101" s="3">
        <v>0</v>
      </c>
      <c r="S1101" s="3">
        <v>0</v>
      </c>
      <c r="T1101">
        <v>0</v>
      </c>
      <c r="U1101">
        <v>0</v>
      </c>
      <c r="V1101" s="3">
        <v>0</v>
      </c>
      <c r="W1101" s="3">
        <v>0</v>
      </c>
      <c r="X1101">
        <v>0</v>
      </c>
      <c r="Y1101" t="s">
        <v>963</v>
      </c>
    </row>
    <row r="1102" spans="1:25" hidden="1" x14ac:dyDescent="0.25">
      <c r="A1102" s="1" t="s">
        <v>38</v>
      </c>
      <c r="B1102" s="1" t="s">
        <v>108</v>
      </c>
      <c r="C1102" s="1" t="s">
        <v>27</v>
      </c>
      <c r="D1102" s="1" t="s">
        <v>27</v>
      </c>
      <c r="E1102" s="10">
        <v>45876</v>
      </c>
      <c r="F1102" s="2">
        <v>45876</v>
      </c>
      <c r="G1102" s="3">
        <v>47</v>
      </c>
      <c r="H1102" s="4" t="s">
        <v>28</v>
      </c>
      <c r="I1102">
        <v>33</v>
      </c>
      <c r="J1102">
        <v>0</v>
      </c>
      <c r="K1102">
        <v>0</v>
      </c>
      <c r="L1102" s="3">
        <v>0</v>
      </c>
      <c r="M1102" s="3">
        <v>0</v>
      </c>
      <c r="N1102">
        <v>0</v>
      </c>
      <c r="O1102">
        <v>0</v>
      </c>
      <c r="P1102">
        <v>0</v>
      </c>
      <c r="Q1102">
        <v>33</v>
      </c>
      <c r="R1102" s="3">
        <v>0</v>
      </c>
      <c r="S1102" s="3">
        <v>0</v>
      </c>
      <c r="T1102">
        <v>0</v>
      </c>
      <c r="U1102">
        <v>0</v>
      </c>
      <c r="V1102" s="3">
        <v>0</v>
      </c>
      <c r="W1102" s="3">
        <v>0</v>
      </c>
      <c r="X1102">
        <v>0</v>
      </c>
      <c r="Y1102" t="s">
        <v>964</v>
      </c>
    </row>
    <row r="1103" spans="1:25" hidden="1" x14ac:dyDescent="0.25">
      <c r="A1103" s="1" t="s">
        <v>33</v>
      </c>
      <c r="B1103" s="1" t="s">
        <v>106</v>
      </c>
      <c r="C1103" s="1" t="s">
        <v>57</v>
      </c>
      <c r="D1103" s="1" t="s">
        <v>27</v>
      </c>
      <c r="E1103" s="10">
        <v>45876</v>
      </c>
      <c r="F1103" s="2">
        <v>45876</v>
      </c>
      <c r="G1103" s="3">
        <v>33</v>
      </c>
      <c r="H1103" s="4" t="s">
        <v>28</v>
      </c>
      <c r="I1103">
        <v>35</v>
      </c>
      <c r="J1103">
        <v>0</v>
      </c>
      <c r="K1103">
        <v>0</v>
      </c>
      <c r="L1103" s="3">
        <v>0</v>
      </c>
      <c r="M1103" s="3">
        <v>0</v>
      </c>
      <c r="N1103">
        <v>0</v>
      </c>
      <c r="O1103">
        <v>0</v>
      </c>
      <c r="P1103">
        <v>0</v>
      </c>
      <c r="Q1103">
        <v>0</v>
      </c>
      <c r="R1103" s="3">
        <v>0</v>
      </c>
      <c r="S1103" s="3">
        <v>0</v>
      </c>
      <c r="T1103">
        <v>0</v>
      </c>
      <c r="U1103">
        <v>0</v>
      </c>
      <c r="V1103" s="3">
        <v>0</v>
      </c>
      <c r="W1103" s="3">
        <v>0</v>
      </c>
      <c r="X1103">
        <v>0</v>
      </c>
      <c r="Y1103" t="s">
        <v>949</v>
      </c>
    </row>
    <row r="1104" spans="1:25" hidden="1" x14ac:dyDescent="0.25">
      <c r="A1104" s="1" t="s">
        <v>40</v>
      </c>
      <c r="B1104" s="1" t="s">
        <v>110</v>
      </c>
      <c r="C1104" s="1" t="s">
        <v>27</v>
      </c>
      <c r="D1104" s="1" t="s">
        <v>27</v>
      </c>
      <c r="E1104" s="10">
        <v>45876</v>
      </c>
      <c r="F1104" s="2">
        <v>45876</v>
      </c>
      <c r="G1104" s="3">
        <v>228</v>
      </c>
      <c r="H1104" s="4" t="s">
        <v>28</v>
      </c>
      <c r="I1104">
        <v>25</v>
      </c>
      <c r="J1104">
        <v>0</v>
      </c>
      <c r="K1104">
        <v>0</v>
      </c>
      <c r="L1104" s="3">
        <v>0</v>
      </c>
      <c r="M1104" s="3">
        <v>0</v>
      </c>
      <c r="N1104">
        <v>1</v>
      </c>
      <c r="O1104">
        <v>0</v>
      </c>
      <c r="P1104">
        <v>0</v>
      </c>
      <c r="Q1104">
        <v>0</v>
      </c>
      <c r="R1104" s="3">
        <v>0</v>
      </c>
      <c r="S1104" s="3">
        <v>0</v>
      </c>
      <c r="T1104">
        <v>0</v>
      </c>
      <c r="U1104">
        <v>0</v>
      </c>
      <c r="V1104" s="3">
        <v>0</v>
      </c>
      <c r="W1104" s="3">
        <v>0</v>
      </c>
      <c r="X1104">
        <v>0</v>
      </c>
      <c r="Y1104" t="s">
        <v>965</v>
      </c>
    </row>
    <row r="1105" spans="1:25" hidden="1" x14ac:dyDescent="0.25">
      <c r="A1105" s="1" t="s">
        <v>36</v>
      </c>
      <c r="B1105" s="1" t="s">
        <v>110</v>
      </c>
      <c r="C1105" s="1" t="s">
        <v>27</v>
      </c>
      <c r="D1105" s="1" t="s">
        <v>27</v>
      </c>
      <c r="E1105" s="10">
        <v>45876</v>
      </c>
      <c r="F1105" s="2">
        <v>45876</v>
      </c>
      <c r="G1105" s="3">
        <v>228</v>
      </c>
      <c r="H1105" s="4" t="s">
        <v>28</v>
      </c>
      <c r="I1105">
        <v>25</v>
      </c>
      <c r="J1105">
        <v>0</v>
      </c>
      <c r="K1105">
        <v>0</v>
      </c>
      <c r="L1105" s="3">
        <v>0</v>
      </c>
      <c r="M1105" s="3">
        <v>0</v>
      </c>
      <c r="N1105">
        <v>1</v>
      </c>
      <c r="O1105">
        <v>0</v>
      </c>
      <c r="P1105">
        <v>0</v>
      </c>
      <c r="Q1105">
        <v>0</v>
      </c>
      <c r="R1105" s="3">
        <v>0</v>
      </c>
      <c r="S1105" s="3">
        <v>0</v>
      </c>
      <c r="T1105">
        <v>0</v>
      </c>
      <c r="U1105">
        <v>0</v>
      </c>
      <c r="V1105" s="3">
        <v>0</v>
      </c>
      <c r="W1105" s="3">
        <v>0</v>
      </c>
      <c r="X1105">
        <v>0</v>
      </c>
      <c r="Y1105" t="s">
        <v>965</v>
      </c>
    </row>
    <row r="1106" spans="1:25" hidden="1" x14ac:dyDescent="0.25">
      <c r="A1106" s="1" t="s">
        <v>41</v>
      </c>
      <c r="B1106" s="1" t="s">
        <v>112</v>
      </c>
      <c r="C1106" s="1" t="s">
        <v>42</v>
      </c>
      <c r="D1106" t="s">
        <v>27</v>
      </c>
      <c r="E1106" s="10">
        <v>45876</v>
      </c>
      <c r="F1106" s="2">
        <v>45876</v>
      </c>
      <c r="G1106" s="3">
        <v>34</v>
      </c>
      <c r="H1106" s="4" t="s">
        <v>28</v>
      </c>
      <c r="I1106">
        <v>44</v>
      </c>
      <c r="J1106">
        <v>0</v>
      </c>
      <c r="K1106">
        <v>0</v>
      </c>
      <c r="L1106" s="3">
        <v>1</v>
      </c>
      <c r="M1106" s="3">
        <v>0</v>
      </c>
      <c r="N1106">
        <v>0</v>
      </c>
      <c r="O1106">
        <v>0</v>
      </c>
      <c r="P1106">
        <v>0</v>
      </c>
      <c r="Q1106">
        <v>0</v>
      </c>
      <c r="R1106" s="3">
        <v>0</v>
      </c>
      <c r="S1106" s="3">
        <v>0</v>
      </c>
      <c r="T1106">
        <v>0</v>
      </c>
      <c r="U1106">
        <v>0</v>
      </c>
      <c r="V1106" s="3">
        <v>0</v>
      </c>
      <c r="W1106" s="3">
        <v>0</v>
      </c>
      <c r="X1106">
        <v>0</v>
      </c>
      <c r="Y1106" t="s">
        <v>807</v>
      </c>
    </row>
    <row r="1107" spans="1:25" hidden="1" x14ac:dyDescent="0.25">
      <c r="A1107" s="1" t="s">
        <v>43</v>
      </c>
      <c r="B1107" s="1" t="s">
        <v>114</v>
      </c>
      <c r="C1107" s="1" t="s">
        <v>27</v>
      </c>
      <c r="D1107" s="1" t="s">
        <v>27</v>
      </c>
      <c r="E1107" s="10">
        <v>45876</v>
      </c>
      <c r="F1107" s="2">
        <v>45876</v>
      </c>
      <c r="G1107" s="3">
        <v>33</v>
      </c>
      <c r="H1107" s="4" t="s">
        <v>28</v>
      </c>
      <c r="I1107">
        <v>58</v>
      </c>
      <c r="J1107">
        <v>0</v>
      </c>
      <c r="K1107">
        <v>0</v>
      </c>
      <c r="L1107" s="3">
        <v>1</v>
      </c>
      <c r="M1107" s="3">
        <v>0</v>
      </c>
      <c r="N1107">
        <v>0</v>
      </c>
      <c r="O1107">
        <v>0</v>
      </c>
      <c r="P1107">
        <v>0</v>
      </c>
      <c r="Q1107">
        <v>0</v>
      </c>
      <c r="R1107" s="3">
        <v>0</v>
      </c>
      <c r="S1107" s="3">
        <v>0</v>
      </c>
      <c r="T1107">
        <v>0</v>
      </c>
      <c r="U1107">
        <v>0</v>
      </c>
      <c r="V1107" s="3">
        <v>0</v>
      </c>
      <c r="W1107" s="3">
        <v>0</v>
      </c>
      <c r="X1107">
        <v>0</v>
      </c>
      <c r="Y1107" t="s">
        <v>966</v>
      </c>
    </row>
    <row r="1108" spans="1:25" hidden="1" x14ac:dyDescent="0.25">
      <c r="A1108" s="1" t="s">
        <v>48</v>
      </c>
      <c r="B1108" s="1" t="s">
        <v>114</v>
      </c>
      <c r="C1108" s="1" t="s">
        <v>27</v>
      </c>
      <c r="D1108" s="1" t="s">
        <v>27</v>
      </c>
      <c r="E1108" s="10">
        <v>45876</v>
      </c>
      <c r="F1108" s="2">
        <v>45876</v>
      </c>
      <c r="G1108" s="3">
        <v>33</v>
      </c>
      <c r="H1108" s="4" t="s">
        <v>28</v>
      </c>
      <c r="I1108">
        <v>58</v>
      </c>
      <c r="J1108">
        <v>0</v>
      </c>
      <c r="K1108">
        <v>0</v>
      </c>
      <c r="L1108" s="3">
        <v>1</v>
      </c>
      <c r="M1108" s="3">
        <v>0</v>
      </c>
      <c r="N1108">
        <v>0</v>
      </c>
      <c r="O1108">
        <v>0</v>
      </c>
      <c r="P1108">
        <v>0</v>
      </c>
      <c r="Q1108">
        <v>0</v>
      </c>
      <c r="R1108" s="3">
        <v>0</v>
      </c>
      <c r="S1108" s="3">
        <v>0</v>
      </c>
      <c r="T1108">
        <v>0</v>
      </c>
      <c r="U1108">
        <v>0</v>
      </c>
      <c r="V1108" s="3">
        <v>0</v>
      </c>
      <c r="W1108" s="3">
        <v>0</v>
      </c>
      <c r="X1108">
        <v>0</v>
      </c>
      <c r="Y1108" t="s">
        <v>966</v>
      </c>
    </row>
    <row r="1109" spans="1:25" hidden="1" x14ac:dyDescent="0.25">
      <c r="A1109" s="1" t="s">
        <v>45</v>
      </c>
      <c r="B1109" s="1" t="s">
        <v>116</v>
      </c>
      <c r="C1109" s="1" t="s">
        <v>46</v>
      </c>
      <c r="D1109" s="1" t="s">
        <v>27</v>
      </c>
      <c r="E1109" s="10">
        <v>45876</v>
      </c>
      <c r="F1109" s="2">
        <v>45876</v>
      </c>
      <c r="G1109" s="3">
        <v>42</v>
      </c>
      <c r="H1109" s="4" t="s">
        <v>28</v>
      </c>
      <c r="I1109">
        <v>34</v>
      </c>
      <c r="J1109">
        <v>0</v>
      </c>
      <c r="K1109">
        <v>0</v>
      </c>
      <c r="L1109" s="3">
        <v>0</v>
      </c>
      <c r="M1109" s="3">
        <v>0</v>
      </c>
      <c r="N1109">
        <v>0</v>
      </c>
      <c r="O1109">
        <v>0</v>
      </c>
      <c r="P1109">
        <v>0</v>
      </c>
      <c r="Q1109">
        <v>0</v>
      </c>
      <c r="R1109" s="3">
        <v>0</v>
      </c>
      <c r="S1109" s="3">
        <v>0</v>
      </c>
      <c r="T1109">
        <v>0</v>
      </c>
      <c r="U1109">
        <v>0</v>
      </c>
      <c r="V1109" s="3">
        <v>0</v>
      </c>
      <c r="W1109" s="3">
        <v>0</v>
      </c>
      <c r="X1109">
        <v>0</v>
      </c>
      <c r="Y1109" t="s">
        <v>967</v>
      </c>
    </row>
    <row r="1110" spans="1:25" hidden="1" x14ac:dyDescent="0.25">
      <c r="A1110" s="1" t="s">
        <v>47</v>
      </c>
      <c r="B1110" s="1" t="s">
        <v>137</v>
      </c>
      <c r="C1110" s="1" t="s">
        <v>27</v>
      </c>
      <c r="D1110" s="1" t="s">
        <v>27</v>
      </c>
      <c r="E1110" s="10">
        <v>45876</v>
      </c>
      <c r="F1110" s="2">
        <v>45876</v>
      </c>
      <c r="G1110" s="3">
        <v>33</v>
      </c>
      <c r="H1110" s="4" t="s">
        <v>28</v>
      </c>
      <c r="I1110">
        <v>53</v>
      </c>
      <c r="J1110">
        <v>0</v>
      </c>
      <c r="K1110">
        <v>0</v>
      </c>
      <c r="L1110" s="3">
        <v>0</v>
      </c>
      <c r="M1110" s="3">
        <v>0</v>
      </c>
      <c r="N1110">
        <v>0</v>
      </c>
      <c r="O1110">
        <v>0</v>
      </c>
      <c r="P1110">
        <v>0</v>
      </c>
      <c r="Q1110">
        <v>0</v>
      </c>
      <c r="R1110" s="3">
        <v>0</v>
      </c>
      <c r="S1110" s="3">
        <v>0</v>
      </c>
      <c r="T1110">
        <v>0</v>
      </c>
      <c r="U1110">
        <v>0</v>
      </c>
      <c r="V1110" s="3">
        <v>0</v>
      </c>
      <c r="W1110" s="3">
        <v>0</v>
      </c>
      <c r="X1110">
        <v>0</v>
      </c>
      <c r="Y1110" t="s">
        <v>968</v>
      </c>
    </row>
    <row r="1111" spans="1:25" hidden="1" x14ac:dyDescent="0.25">
      <c r="A1111" s="1" t="s">
        <v>34</v>
      </c>
      <c r="B1111" s="1" t="s">
        <v>137</v>
      </c>
      <c r="C1111" s="1" t="s">
        <v>27</v>
      </c>
      <c r="D1111" s="1" t="s">
        <v>27</v>
      </c>
      <c r="E1111" s="10">
        <v>45876</v>
      </c>
      <c r="F1111" s="2">
        <v>45876</v>
      </c>
      <c r="G1111" s="3">
        <v>33</v>
      </c>
      <c r="H1111" s="4" t="s">
        <v>28</v>
      </c>
      <c r="I1111">
        <v>53</v>
      </c>
      <c r="J1111">
        <v>0</v>
      </c>
      <c r="K1111">
        <v>0</v>
      </c>
      <c r="L1111" s="3">
        <v>0</v>
      </c>
      <c r="M1111" s="3">
        <v>0</v>
      </c>
      <c r="N1111">
        <v>0</v>
      </c>
      <c r="O1111">
        <v>0</v>
      </c>
      <c r="P1111">
        <v>0</v>
      </c>
      <c r="Q1111">
        <v>0</v>
      </c>
      <c r="R1111" s="3">
        <v>0</v>
      </c>
      <c r="S1111" s="3">
        <v>0</v>
      </c>
      <c r="T1111">
        <v>0</v>
      </c>
      <c r="U1111">
        <v>0</v>
      </c>
      <c r="V1111" s="3">
        <v>0</v>
      </c>
      <c r="W1111" s="3">
        <v>0</v>
      </c>
      <c r="X1111">
        <v>0</v>
      </c>
      <c r="Y1111" t="s">
        <v>968</v>
      </c>
    </row>
    <row r="1112" spans="1:25" hidden="1" x14ac:dyDescent="0.25">
      <c r="A1112" s="1" t="s">
        <v>49</v>
      </c>
      <c r="B1112" s="1" t="s">
        <v>118</v>
      </c>
      <c r="C1112" s="1" t="s">
        <v>50</v>
      </c>
      <c r="D1112" s="1" t="s">
        <v>27</v>
      </c>
      <c r="E1112" s="10">
        <v>45876</v>
      </c>
      <c r="F1112" s="2">
        <v>45876</v>
      </c>
      <c r="G1112" s="3">
        <v>35</v>
      </c>
      <c r="H1112" s="4" t="s">
        <v>28</v>
      </c>
      <c r="I1112">
        <v>31</v>
      </c>
      <c r="J1112">
        <v>0</v>
      </c>
      <c r="K1112">
        <v>0</v>
      </c>
      <c r="L1112" s="3">
        <v>1</v>
      </c>
      <c r="M1112" s="3">
        <v>1</v>
      </c>
      <c r="N1112">
        <v>0</v>
      </c>
      <c r="O1112">
        <v>1</v>
      </c>
      <c r="P1112">
        <v>0</v>
      </c>
      <c r="Q1112">
        <v>31</v>
      </c>
      <c r="R1112" s="3">
        <v>0</v>
      </c>
      <c r="S1112" s="3">
        <v>0</v>
      </c>
      <c r="T1112">
        <v>0</v>
      </c>
      <c r="U1112">
        <v>0</v>
      </c>
      <c r="V1112" s="3">
        <v>0</v>
      </c>
      <c r="W1112" s="3">
        <v>0</v>
      </c>
      <c r="X1112">
        <v>0</v>
      </c>
      <c r="Y1112" t="s">
        <v>969</v>
      </c>
    </row>
    <row r="1113" spans="1:25" hidden="1" x14ac:dyDescent="0.25">
      <c r="A1113" s="1" t="s">
        <v>51</v>
      </c>
      <c r="B1113" s="1" t="s">
        <v>120</v>
      </c>
      <c r="C1113" s="1" t="s">
        <v>55</v>
      </c>
      <c r="D1113" s="1" t="s">
        <v>27</v>
      </c>
      <c r="E1113" s="10">
        <v>45876</v>
      </c>
      <c r="F1113" s="2">
        <v>45876</v>
      </c>
      <c r="G1113" s="3">
        <v>47</v>
      </c>
      <c r="H1113" s="4" t="s">
        <v>28</v>
      </c>
      <c r="I1113">
        <v>39</v>
      </c>
      <c r="J1113">
        <v>0</v>
      </c>
      <c r="K1113">
        <v>0</v>
      </c>
      <c r="L1113" s="3">
        <v>0</v>
      </c>
      <c r="M1113" s="3">
        <v>0</v>
      </c>
      <c r="N1113">
        <v>1</v>
      </c>
      <c r="O1113">
        <v>0</v>
      </c>
      <c r="P1113">
        <v>0</v>
      </c>
      <c r="Q1113">
        <v>0</v>
      </c>
      <c r="R1113" s="3">
        <v>0</v>
      </c>
      <c r="S1113" s="3">
        <v>0</v>
      </c>
      <c r="T1113">
        <v>0</v>
      </c>
      <c r="U1113">
        <v>0</v>
      </c>
      <c r="V1113" s="3">
        <v>0</v>
      </c>
      <c r="W1113" s="3">
        <v>0</v>
      </c>
      <c r="X1113">
        <v>0</v>
      </c>
      <c r="Y1113" t="s">
        <v>970</v>
      </c>
    </row>
    <row r="1114" spans="1:25" hidden="1" x14ac:dyDescent="0.25">
      <c r="A1114" s="1" t="s">
        <v>54</v>
      </c>
      <c r="B1114" s="1" t="s">
        <v>122</v>
      </c>
      <c r="C1114" s="1" t="s">
        <v>52</v>
      </c>
      <c r="D1114" s="1" t="s">
        <v>27</v>
      </c>
      <c r="E1114" s="10">
        <v>45876</v>
      </c>
      <c r="F1114" s="2">
        <v>45876</v>
      </c>
      <c r="G1114" s="3">
        <v>45</v>
      </c>
      <c r="H1114" s="4" t="s">
        <v>28</v>
      </c>
      <c r="I1114">
        <v>26</v>
      </c>
      <c r="J1114">
        <v>0</v>
      </c>
      <c r="K1114">
        <v>0</v>
      </c>
      <c r="L1114" s="3">
        <v>0</v>
      </c>
      <c r="M1114" s="3">
        <v>0</v>
      </c>
      <c r="N1114">
        <v>0</v>
      </c>
      <c r="O1114">
        <v>0</v>
      </c>
      <c r="P1114">
        <v>0</v>
      </c>
      <c r="Q1114">
        <v>2</v>
      </c>
      <c r="R1114" s="3">
        <v>0</v>
      </c>
      <c r="S1114" s="3">
        <v>0</v>
      </c>
      <c r="T1114">
        <v>0</v>
      </c>
      <c r="U1114">
        <v>0</v>
      </c>
      <c r="V1114" s="3">
        <v>0</v>
      </c>
      <c r="W1114" s="3">
        <v>0</v>
      </c>
      <c r="X1114">
        <v>0</v>
      </c>
      <c r="Y1114" t="s">
        <v>956</v>
      </c>
    </row>
    <row r="1115" spans="1:25" hidden="1" x14ac:dyDescent="0.25">
      <c r="A1115" s="1" t="s">
        <v>53</v>
      </c>
      <c r="B1115" s="1" t="s">
        <v>142</v>
      </c>
      <c r="C1115" s="1" t="s">
        <v>39</v>
      </c>
      <c r="D1115" s="1" t="s">
        <v>27</v>
      </c>
      <c r="E1115" s="10">
        <v>45876</v>
      </c>
      <c r="F1115" s="2">
        <v>45876</v>
      </c>
      <c r="G1115" s="3">
        <v>69</v>
      </c>
      <c r="H1115" s="4" t="s">
        <v>28</v>
      </c>
      <c r="I1115">
        <v>26</v>
      </c>
      <c r="J1115">
        <v>0</v>
      </c>
      <c r="K1115">
        <v>0</v>
      </c>
      <c r="L1115" s="3">
        <v>1</v>
      </c>
      <c r="M1115" s="3">
        <v>0</v>
      </c>
      <c r="N1115">
        <v>0</v>
      </c>
      <c r="O1115">
        <v>0</v>
      </c>
      <c r="P1115">
        <v>0</v>
      </c>
      <c r="Q1115">
        <v>26</v>
      </c>
      <c r="R1115" s="3">
        <v>0</v>
      </c>
      <c r="S1115" s="3">
        <v>0</v>
      </c>
      <c r="T1115">
        <v>0</v>
      </c>
      <c r="U1115">
        <v>0</v>
      </c>
      <c r="V1115" s="3">
        <v>0</v>
      </c>
      <c r="W1115" s="3">
        <v>0</v>
      </c>
      <c r="X1115">
        <v>0</v>
      </c>
      <c r="Y1115" t="s">
        <v>971</v>
      </c>
    </row>
    <row r="1116" spans="1:25" hidden="1" x14ac:dyDescent="0.25">
      <c r="A1116" s="1" t="s">
        <v>972</v>
      </c>
      <c r="B1116" s="1" t="s">
        <v>589</v>
      </c>
      <c r="C1116" s="1" t="s">
        <v>27</v>
      </c>
      <c r="D1116" s="1" t="s">
        <v>27</v>
      </c>
      <c r="E1116" s="10">
        <v>45876</v>
      </c>
      <c r="F1116" s="2">
        <v>45876</v>
      </c>
      <c r="G1116" s="3">
        <v>70</v>
      </c>
      <c r="H1116" s="4" t="s">
        <v>28</v>
      </c>
      <c r="I1116">
        <v>44</v>
      </c>
      <c r="J1116">
        <v>0</v>
      </c>
      <c r="K1116">
        <v>0</v>
      </c>
      <c r="L1116" s="3">
        <v>1</v>
      </c>
      <c r="M1116" s="3">
        <v>0</v>
      </c>
      <c r="N1116">
        <v>0</v>
      </c>
      <c r="O1116">
        <v>0</v>
      </c>
      <c r="P1116">
        <v>0</v>
      </c>
      <c r="Q1116">
        <v>0</v>
      </c>
      <c r="R1116" s="3">
        <v>0</v>
      </c>
      <c r="S1116" s="3">
        <v>0</v>
      </c>
      <c r="T1116">
        <v>0</v>
      </c>
      <c r="U1116">
        <v>0</v>
      </c>
      <c r="V1116" s="3">
        <v>0</v>
      </c>
      <c r="W1116" s="3">
        <v>0</v>
      </c>
      <c r="X1116" s="3">
        <v>0</v>
      </c>
      <c r="Y1116" t="s">
        <v>971</v>
      </c>
    </row>
    <row r="1117" spans="1:25" hidden="1" x14ac:dyDescent="0.25">
      <c r="A1117" s="1" t="s">
        <v>27</v>
      </c>
      <c r="B1117" s="1" t="s">
        <v>112</v>
      </c>
      <c r="C1117" s="1" t="s">
        <v>44</v>
      </c>
      <c r="D1117" s="1" t="s">
        <v>27</v>
      </c>
      <c r="E1117" s="10">
        <v>45876</v>
      </c>
      <c r="F1117" s="2">
        <v>45876</v>
      </c>
      <c r="G1117" s="3">
        <v>71</v>
      </c>
      <c r="H1117" s="4" t="s">
        <v>1120</v>
      </c>
      <c r="I1117">
        <v>0</v>
      </c>
      <c r="J1117">
        <v>0</v>
      </c>
      <c r="K1117">
        <v>0</v>
      </c>
      <c r="L1117" s="3">
        <v>0</v>
      </c>
      <c r="M1117" s="3">
        <v>0</v>
      </c>
      <c r="N1117">
        <v>0</v>
      </c>
      <c r="O1117">
        <v>0</v>
      </c>
      <c r="P1117">
        <v>0</v>
      </c>
      <c r="Q1117">
        <v>0</v>
      </c>
      <c r="R1117" s="3">
        <v>0</v>
      </c>
      <c r="S1117" s="3">
        <v>0</v>
      </c>
      <c r="T1117">
        <v>0</v>
      </c>
      <c r="U1117">
        <v>0</v>
      </c>
      <c r="V1117" s="3">
        <v>0</v>
      </c>
      <c r="W1117" s="3">
        <v>0</v>
      </c>
      <c r="X1117" s="3">
        <v>0</v>
      </c>
      <c r="Y1117" t="s">
        <v>971</v>
      </c>
    </row>
    <row r="1118" spans="1:25" hidden="1" x14ac:dyDescent="0.25">
      <c r="A1118" s="1" t="s">
        <v>58</v>
      </c>
      <c r="B1118" s="1" t="s">
        <v>590</v>
      </c>
      <c r="C1118" s="1" t="s">
        <v>27</v>
      </c>
      <c r="D1118" s="1" t="s">
        <v>27</v>
      </c>
      <c r="E1118" s="10">
        <v>45876</v>
      </c>
      <c r="F1118" s="2">
        <v>45876</v>
      </c>
      <c r="G1118" s="3">
        <v>72</v>
      </c>
      <c r="H1118" s="4" t="s">
        <v>28</v>
      </c>
      <c r="I1118">
        <v>0</v>
      </c>
      <c r="J1118">
        <v>0</v>
      </c>
      <c r="K1118">
        <v>0</v>
      </c>
      <c r="L1118" s="3">
        <v>0</v>
      </c>
      <c r="M1118" s="3">
        <v>0</v>
      </c>
      <c r="N1118">
        <v>0</v>
      </c>
      <c r="O1118">
        <v>0</v>
      </c>
      <c r="P1118">
        <v>0</v>
      </c>
      <c r="Q1118">
        <v>0</v>
      </c>
      <c r="R1118" s="3">
        <v>0</v>
      </c>
      <c r="S1118" s="3">
        <v>0</v>
      </c>
      <c r="T1118">
        <v>0</v>
      </c>
      <c r="U1118">
        <v>0</v>
      </c>
      <c r="V1118" s="3">
        <v>0</v>
      </c>
      <c r="W1118" s="3">
        <v>0</v>
      </c>
      <c r="X1118" s="3">
        <v>0</v>
      </c>
      <c r="Y1118" t="s">
        <v>971</v>
      </c>
    </row>
    <row r="1119" spans="1:25" hidden="1" x14ac:dyDescent="0.25">
      <c r="A1119" s="1" t="s">
        <v>25</v>
      </c>
      <c r="B1119" s="1" t="s">
        <v>96</v>
      </c>
      <c r="C1119" s="1" t="s">
        <v>37</v>
      </c>
      <c r="D1119" t="s">
        <v>27</v>
      </c>
      <c r="E1119" s="2">
        <v>45877</v>
      </c>
      <c r="F1119" s="2">
        <v>45877</v>
      </c>
      <c r="G1119" s="3">
        <v>23</v>
      </c>
      <c r="H1119" s="4" t="s">
        <v>28</v>
      </c>
      <c r="I1119">
        <v>81</v>
      </c>
      <c r="J1119">
        <v>0</v>
      </c>
      <c r="K1119">
        <v>0</v>
      </c>
      <c r="L1119" s="3">
        <v>1</v>
      </c>
      <c r="M1119" s="3">
        <v>0</v>
      </c>
      <c r="N1119">
        <v>0</v>
      </c>
      <c r="O1119">
        <v>0</v>
      </c>
      <c r="P1119">
        <v>0</v>
      </c>
      <c r="Q1119">
        <v>0</v>
      </c>
      <c r="R1119" s="3">
        <v>0</v>
      </c>
      <c r="S1119" s="3">
        <v>0</v>
      </c>
      <c r="T1119">
        <v>0</v>
      </c>
      <c r="U1119">
        <v>0</v>
      </c>
      <c r="V1119" s="3">
        <v>0</v>
      </c>
      <c r="W1119" s="3">
        <v>0</v>
      </c>
      <c r="X1119">
        <v>0</v>
      </c>
      <c r="Y1119" t="s">
        <v>973</v>
      </c>
    </row>
    <row r="1120" spans="1:25" hidden="1" x14ac:dyDescent="0.25">
      <c r="A1120" s="1" t="s">
        <v>29</v>
      </c>
      <c r="B1120" s="1" t="s">
        <v>100</v>
      </c>
      <c r="C1120" s="1" t="s">
        <v>95</v>
      </c>
      <c r="D1120" t="s">
        <v>27</v>
      </c>
      <c r="E1120" s="2">
        <v>45877</v>
      </c>
      <c r="F1120" s="2">
        <v>45877</v>
      </c>
      <c r="G1120" s="3">
        <v>42</v>
      </c>
      <c r="H1120" s="4" t="s">
        <v>28</v>
      </c>
      <c r="I1120">
        <v>58</v>
      </c>
      <c r="J1120">
        <v>0</v>
      </c>
      <c r="K1120">
        <v>0</v>
      </c>
      <c r="L1120" s="3">
        <v>1</v>
      </c>
      <c r="M1120" s="3">
        <v>0</v>
      </c>
      <c r="N1120">
        <v>0</v>
      </c>
      <c r="O1120">
        <v>0</v>
      </c>
      <c r="P1120">
        <v>0</v>
      </c>
      <c r="Q1120">
        <v>0</v>
      </c>
      <c r="R1120" s="3">
        <v>0</v>
      </c>
      <c r="S1120" s="3">
        <v>0</v>
      </c>
      <c r="T1120">
        <v>0</v>
      </c>
      <c r="U1120">
        <v>0</v>
      </c>
      <c r="V1120" s="3">
        <v>0</v>
      </c>
      <c r="W1120" s="3">
        <v>0</v>
      </c>
      <c r="X1120">
        <v>0</v>
      </c>
      <c r="Y1120" t="s">
        <v>974</v>
      </c>
    </row>
    <row r="1121" spans="1:25" hidden="1" x14ac:dyDescent="0.25">
      <c r="A1121" s="1" t="s">
        <v>344</v>
      </c>
      <c r="B1121" s="1" t="s">
        <v>102</v>
      </c>
      <c r="C1121" s="1" t="s">
        <v>35</v>
      </c>
      <c r="D1121" s="1" t="s">
        <v>27</v>
      </c>
      <c r="E1121" s="2">
        <v>45877</v>
      </c>
      <c r="F1121" s="2">
        <v>45877</v>
      </c>
      <c r="G1121" s="3">
        <v>35</v>
      </c>
      <c r="H1121" s="4" t="s">
        <v>28</v>
      </c>
      <c r="I1121">
        <v>54</v>
      </c>
      <c r="J1121">
        <v>0</v>
      </c>
      <c r="K1121">
        <v>0</v>
      </c>
      <c r="L1121" s="3">
        <v>0</v>
      </c>
      <c r="M1121" s="3">
        <v>0</v>
      </c>
      <c r="N1121">
        <v>0</v>
      </c>
      <c r="O1121">
        <v>0</v>
      </c>
      <c r="P1121">
        <v>0</v>
      </c>
      <c r="Q1121">
        <v>0</v>
      </c>
      <c r="R1121" s="3">
        <v>0</v>
      </c>
      <c r="S1121" s="3">
        <v>0</v>
      </c>
      <c r="T1121">
        <v>0</v>
      </c>
      <c r="U1121">
        <v>0</v>
      </c>
      <c r="V1121" s="3">
        <v>0</v>
      </c>
      <c r="W1121" s="3">
        <v>0</v>
      </c>
      <c r="X1121">
        <v>0</v>
      </c>
      <c r="Y1121" t="s">
        <v>850</v>
      </c>
    </row>
    <row r="1122" spans="1:25" hidden="1" x14ac:dyDescent="0.25">
      <c r="A1122" s="1" t="s">
        <v>31</v>
      </c>
      <c r="B1122" s="1" t="s">
        <v>104</v>
      </c>
      <c r="C1122" s="1" t="s">
        <v>32</v>
      </c>
      <c r="D1122" t="s">
        <v>27</v>
      </c>
      <c r="E1122" s="2">
        <v>45877</v>
      </c>
      <c r="F1122" s="2">
        <v>45877</v>
      </c>
      <c r="G1122" s="3">
        <v>45</v>
      </c>
      <c r="H1122" s="4" t="s">
        <v>28</v>
      </c>
      <c r="I1122">
        <v>91</v>
      </c>
      <c r="J1122">
        <v>0</v>
      </c>
      <c r="K1122">
        <v>0</v>
      </c>
      <c r="L1122" s="3">
        <v>0</v>
      </c>
      <c r="M1122" s="3">
        <v>0</v>
      </c>
      <c r="N1122">
        <v>0</v>
      </c>
      <c r="O1122">
        <v>0</v>
      </c>
      <c r="P1122">
        <v>0</v>
      </c>
      <c r="Q1122">
        <v>50</v>
      </c>
      <c r="R1122" s="3">
        <v>0</v>
      </c>
      <c r="S1122" s="3">
        <v>0</v>
      </c>
      <c r="T1122">
        <v>0</v>
      </c>
      <c r="U1122">
        <v>0</v>
      </c>
      <c r="V1122" s="3">
        <v>0</v>
      </c>
      <c r="W1122" s="3">
        <v>0</v>
      </c>
      <c r="X1122">
        <v>0</v>
      </c>
      <c r="Y1122" t="s">
        <v>975</v>
      </c>
    </row>
    <row r="1123" spans="1:25" hidden="1" x14ac:dyDescent="0.25">
      <c r="A1123" s="1" t="s">
        <v>33</v>
      </c>
      <c r="B1123" s="1" t="s">
        <v>106</v>
      </c>
      <c r="C1123" s="1" t="s">
        <v>57</v>
      </c>
      <c r="D1123" t="s">
        <v>27</v>
      </c>
      <c r="E1123" s="2">
        <v>45877</v>
      </c>
      <c r="F1123" s="2">
        <v>45877</v>
      </c>
      <c r="G1123" s="3">
        <v>27</v>
      </c>
      <c r="H1123" s="4" t="s">
        <v>28</v>
      </c>
      <c r="I1123">
        <v>46</v>
      </c>
      <c r="J1123">
        <v>0</v>
      </c>
      <c r="K1123">
        <v>0</v>
      </c>
      <c r="L1123" s="3">
        <v>0</v>
      </c>
      <c r="M1123" s="3">
        <v>0</v>
      </c>
      <c r="N1123">
        <v>0</v>
      </c>
      <c r="O1123">
        <v>0</v>
      </c>
      <c r="P1123">
        <v>0</v>
      </c>
      <c r="Q1123">
        <v>18</v>
      </c>
      <c r="R1123" s="3">
        <v>0</v>
      </c>
      <c r="S1123" s="3">
        <v>0</v>
      </c>
      <c r="T1123">
        <v>0</v>
      </c>
      <c r="U1123">
        <v>0</v>
      </c>
      <c r="V1123" s="3">
        <v>0</v>
      </c>
      <c r="W1123" s="3">
        <v>0</v>
      </c>
      <c r="X1123">
        <v>0</v>
      </c>
      <c r="Y1123" t="s">
        <v>976</v>
      </c>
    </row>
    <row r="1124" spans="1:25" hidden="1" x14ac:dyDescent="0.25">
      <c r="A1124" s="1" t="s">
        <v>38</v>
      </c>
      <c r="B1124" s="1" t="s">
        <v>108</v>
      </c>
      <c r="C1124" s="1" t="s">
        <v>27</v>
      </c>
      <c r="D1124" t="s">
        <v>27</v>
      </c>
      <c r="E1124" s="2">
        <v>45877</v>
      </c>
      <c r="F1124" s="2">
        <v>45877</v>
      </c>
      <c r="G1124" s="3">
        <v>59</v>
      </c>
      <c r="H1124" s="4" t="s">
        <v>28</v>
      </c>
      <c r="I1124">
        <v>29</v>
      </c>
      <c r="J1124">
        <v>0</v>
      </c>
      <c r="K1124">
        <v>0</v>
      </c>
      <c r="L1124" s="3">
        <v>0</v>
      </c>
      <c r="M1124" s="3">
        <v>0</v>
      </c>
      <c r="N1124">
        <v>0</v>
      </c>
      <c r="O1124">
        <v>0</v>
      </c>
      <c r="P1124">
        <v>0</v>
      </c>
      <c r="Q1124">
        <v>29</v>
      </c>
      <c r="R1124" s="3">
        <v>0</v>
      </c>
      <c r="S1124" s="3">
        <v>0</v>
      </c>
      <c r="T1124">
        <v>0</v>
      </c>
      <c r="U1124">
        <v>0</v>
      </c>
      <c r="V1124" s="3">
        <v>0</v>
      </c>
      <c r="W1124" s="3">
        <v>0</v>
      </c>
      <c r="X1124">
        <v>0</v>
      </c>
      <c r="Y1124" t="s">
        <v>977</v>
      </c>
    </row>
    <row r="1125" spans="1:25" hidden="1" x14ac:dyDescent="0.25">
      <c r="A1125" s="1" t="s">
        <v>40</v>
      </c>
      <c r="B1125" s="1" t="s">
        <v>110</v>
      </c>
      <c r="C1125" t="s">
        <v>27</v>
      </c>
      <c r="D1125" t="s">
        <v>27</v>
      </c>
      <c r="E1125" s="2">
        <v>45877</v>
      </c>
      <c r="F1125" s="2">
        <v>45877</v>
      </c>
      <c r="G1125" s="3">
        <v>96</v>
      </c>
      <c r="H1125" s="4" t="s">
        <v>28</v>
      </c>
      <c r="I1125">
        <v>56</v>
      </c>
      <c r="J1125">
        <v>0</v>
      </c>
      <c r="K1125">
        <v>0</v>
      </c>
      <c r="L1125" s="3">
        <v>1</v>
      </c>
      <c r="M1125" s="3">
        <v>0</v>
      </c>
      <c r="N1125">
        <v>1</v>
      </c>
      <c r="O1125">
        <v>0</v>
      </c>
      <c r="P1125">
        <v>0</v>
      </c>
      <c r="Q1125">
        <v>0</v>
      </c>
      <c r="R1125" s="3">
        <v>0</v>
      </c>
      <c r="S1125" s="3">
        <v>0</v>
      </c>
      <c r="T1125">
        <v>0</v>
      </c>
      <c r="U1125">
        <v>0</v>
      </c>
      <c r="V1125" s="3">
        <v>0</v>
      </c>
      <c r="W1125" s="3">
        <v>0</v>
      </c>
      <c r="X1125">
        <v>0</v>
      </c>
      <c r="Y1125" t="s">
        <v>978</v>
      </c>
    </row>
    <row r="1126" spans="1:25" hidden="1" x14ac:dyDescent="0.25">
      <c r="A1126" s="1" t="s">
        <v>36</v>
      </c>
      <c r="B1126" s="1" t="s">
        <v>110</v>
      </c>
      <c r="C1126" t="s">
        <v>27</v>
      </c>
      <c r="D1126" t="s">
        <v>27</v>
      </c>
      <c r="E1126" s="2">
        <v>45877</v>
      </c>
      <c r="F1126" s="2">
        <v>45877</v>
      </c>
      <c r="G1126" s="3">
        <v>96</v>
      </c>
      <c r="H1126" s="4" t="s">
        <v>28</v>
      </c>
      <c r="I1126">
        <v>56</v>
      </c>
      <c r="J1126">
        <v>0</v>
      </c>
      <c r="K1126">
        <v>0</v>
      </c>
      <c r="L1126" s="3">
        <v>1</v>
      </c>
      <c r="M1126" s="3">
        <v>0</v>
      </c>
      <c r="N1126">
        <v>1</v>
      </c>
      <c r="O1126">
        <v>0</v>
      </c>
      <c r="P1126">
        <v>0</v>
      </c>
      <c r="Q1126">
        <v>0</v>
      </c>
      <c r="R1126" s="3">
        <v>0</v>
      </c>
      <c r="S1126" s="3">
        <v>0</v>
      </c>
      <c r="T1126">
        <v>0</v>
      </c>
      <c r="U1126">
        <v>0</v>
      </c>
      <c r="V1126" s="3">
        <v>0</v>
      </c>
      <c r="W1126" s="3">
        <v>0</v>
      </c>
      <c r="X1126">
        <v>0</v>
      </c>
      <c r="Y1126" t="s">
        <v>978</v>
      </c>
    </row>
    <row r="1127" spans="1:25" hidden="1" x14ac:dyDescent="0.25">
      <c r="A1127" s="1" t="s">
        <v>41</v>
      </c>
      <c r="B1127" s="1" t="s">
        <v>112</v>
      </c>
      <c r="C1127" s="1" t="s">
        <v>42</v>
      </c>
      <c r="D1127" t="s">
        <v>27</v>
      </c>
      <c r="E1127" s="2">
        <v>45877</v>
      </c>
      <c r="F1127" s="2">
        <v>45877</v>
      </c>
      <c r="G1127" s="3">
        <v>34</v>
      </c>
      <c r="H1127" s="4" t="s">
        <v>28</v>
      </c>
      <c r="I1127">
        <v>43</v>
      </c>
      <c r="J1127">
        <v>0</v>
      </c>
      <c r="K1127">
        <v>0</v>
      </c>
      <c r="L1127" s="3">
        <v>1</v>
      </c>
      <c r="M1127" s="3">
        <v>0</v>
      </c>
      <c r="N1127">
        <v>0</v>
      </c>
      <c r="O1127">
        <v>0</v>
      </c>
      <c r="P1127">
        <v>0</v>
      </c>
      <c r="Q1127">
        <v>0</v>
      </c>
      <c r="R1127" s="3">
        <v>0</v>
      </c>
      <c r="S1127" s="3">
        <v>0</v>
      </c>
      <c r="T1127">
        <v>0</v>
      </c>
      <c r="U1127">
        <v>0</v>
      </c>
      <c r="V1127" s="3">
        <v>0</v>
      </c>
      <c r="W1127" s="3">
        <v>0</v>
      </c>
      <c r="X1127">
        <v>0</v>
      </c>
      <c r="Y1127" t="s">
        <v>807</v>
      </c>
    </row>
    <row r="1128" spans="1:25" hidden="1" x14ac:dyDescent="0.25">
      <c r="A1128" s="1" t="s">
        <v>43</v>
      </c>
      <c r="B1128" s="1" t="s">
        <v>114</v>
      </c>
      <c r="C1128" s="1" t="s">
        <v>44</v>
      </c>
      <c r="D1128" t="s">
        <v>27</v>
      </c>
      <c r="E1128" s="2">
        <v>45877</v>
      </c>
      <c r="F1128" s="2">
        <v>45877</v>
      </c>
      <c r="G1128" s="3">
        <v>34</v>
      </c>
      <c r="H1128" s="4" t="s">
        <v>28</v>
      </c>
      <c r="I1128">
        <v>44</v>
      </c>
      <c r="J1128">
        <v>0</v>
      </c>
      <c r="K1128">
        <v>0</v>
      </c>
      <c r="L1128" s="3">
        <v>0</v>
      </c>
      <c r="M1128" s="3">
        <v>0</v>
      </c>
      <c r="N1128">
        <v>0</v>
      </c>
      <c r="O1128">
        <v>0</v>
      </c>
      <c r="P1128">
        <v>0</v>
      </c>
      <c r="Q1128">
        <v>0</v>
      </c>
      <c r="R1128" s="3">
        <v>0</v>
      </c>
      <c r="S1128" s="3">
        <v>0</v>
      </c>
      <c r="T1128">
        <v>0</v>
      </c>
      <c r="U1128">
        <v>0</v>
      </c>
      <c r="V1128" s="3">
        <v>0</v>
      </c>
      <c r="W1128" s="3">
        <v>0</v>
      </c>
      <c r="X1128">
        <v>0</v>
      </c>
      <c r="Y1128" t="s">
        <v>979</v>
      </c>
    </row>
    <row r="1129" spans="1:25" hidden="1" x14ac:dyDescent="0.25">
      <c r="A1129" s="1" t="s">
        <v>45</v>
      </c>
      <c r="B1129" s="1" t="s">
        <v>116</v>
      </c>
      <c r="C1129" s="1" t="s">
        <v>46</v>
      </c>
      <c r="D1129" t="s">
        <v>27</v>
      </c>
      <c r="E1129" s="2">
        <v>45877</v>
      </c>
      <c r="F1129" s="2">
        <v>45877</v>
      </c>
      <c r="G1129" s="3">
        <v>38</v>
      </c>
      <c r="H1129" s="4" t="s">
        <v>28</v>
      </c>
      <c r="I1129">
        <v>72</v>
      </c>
      <c r="J1129">
        <v>0</v>
      </c>
      <c r="K1129">
        <v>0</v>
      </c>
      <c r="L1129" s="3">
        <v>1</v>
      </c>
      <c r="M1129" s="3">
        <v>0</v>
      </c>
      <c r="N1129">
        <v>0</v>
      </c>
      <c r="O1129">
        <v>0</v>
      </c>
      <c r="P1129">
        <v>0</v>
      </c>
      <c r="Q1129">
        <v>0</v>
      </c>
      <c r="R1129" s="3">
        <v>0</v>
      </c>
      <c r="S1129" s="3">
        <v>0</v>
      </c>
      <c r="T1129">
        <v>0</v>
      </c>
      <c r="U1129">
        <v>0</v>
      </c>
      <c r="V1129" s="3">
        <v>0</v>
      </c>
      <c r="W1129" s="3">
        <v>0</v>
      </c>
      <c r="X1129">
        <v>0</v>
      </c>
      <c r="Y1129" t="s">
        <v>980</v>
      </c>
    </row>
    <row r="1130" spans="1:25" hidden="1" x14ac:dyDescent="0.25">
      <c r="A1130" s="1" t="s">
        <v>47</v>
      </c>
      <c r="B1130" s="1" t="s">
        <v>137</v>
      </c>
      <c r="C1130" s="1" t="s">
        <v>27</v>
      </c>
      <c r="D1130" t="s">
        <v>27</v>
      </c>
      <c r="E1130" s="2">
        <v>45877</v>
      </c>
      <c r="F1130" s="2">
        <v>45877</v>
      </c>
      <c r="G1130" s="3">
        <v>25</v>
      </c>
      <c r="H1130" s="4" t="s">
        <v>28</v>
      </c>
      <c r="I1130">
        <v>56</v>
      </c>
      <c r="J1130">
        <v>0</v>
      </c>
      <c r="K1130">
        <v>0</v>
      </c>
      <c r="L1130" s="3">
        <v>0</v>
      </c>
      <c r="M1130" s="3">
        <v>0</v>
      </c>
      <c r="N1130">
        <v>0</v>
      </c>
      <c r="O1130">
        <v>0</v>
      </c>
      <c r="P1130">
        <v>0</v>
      </c>
      <c r="Q1130">
        <v>0</v>
      </c>
      <c r="R1130" s="3">
        <v>0</v>
      </c>
      <c r="S1130" s="3">
        <v>0</v>
      </c>
      <c r="T1130">
        <v>0</v>
      </c>
      <c r="U1130">
        <v>0</v>
      </c>
      <c r="V1130" s="3">
        <v>0</v>
      </c>
      <c r="W1130" s="3">
        <v>0</v>
      </c>
      <c r="X1130">
        <v>0</v>
      </c>
      <c r="Y1130" t="s">
        <v>981</v>
      </c>
    </row>
    <row r="1131" spans="1:25" hidden="1" x14ac:dyDescent="0.25">
      <c r="A1131" s="1" t="s">
        <v>34</v>
      </c>
      <c r="B1131" s="1" t="s">
        <v>137</v>
      </c>
      <c r="C1131" s="1" t="s">
        <v>27</v>
      </c>
      <c r="D1131" t="s">
        <v>27</v>
      </c>
      <c r="E1131" s="2">
        <v>45877</v>
      </c>
      <c r="F1131" s="2">
        <v>45877</v>
      </c>
      <c r="G1131" s="3">
        <v>25</v>
      </c>
      <c r="H1131" s="4" t="s">
        <v>28</v>
      </c>
      <c r="I1131">
        <v>56</v>
      </c>
      <c r="J1131">
        <v>0</v>
      </c>
      <c r="K1131">
        <v>0</v>
      </c>
      <c r="L1131" s="3">
        <v>0</v>
      </c>
      <c r="M1131" s="3">
        <v>0</v>
      </c>
      <c r="N1131">
        <v>0</v>
      </c>
      <c r="O1131">
        <v>0</v>
      </c>
      <c r="P1131">
        <v>0</v>
      </c>
      <c r="Q1131">
        <v>0</v>
      </c>
      <c r="R1131" s="3">
        <v>0</v>
      </c>
      <c r="S1131" s="3">
        <v>0</v>
      </c>
      <c r="T1131">
        <v>0</v>
      </c>
      <c r="U1131">
        <v>0</v>
      </c>
      <c r="V1131" s="3">
        <v>0</v>
      </c>
      <c r="W1131" s="3">
        <v>0</v>
      </c>
      <c r="X1131">
        <v>0</v>
      </c>
      <c r="Y1131" t="s">
        <v>981</v>
      </c>
    </row>
    <row r="1132" spans="1:25" hidden="1" x14ac:dyDescent="0.25">
      <c r="A1132" s="1" t="s">
        <v>49</v>
      </c>
      <c r="B1132" s="1" t="s">
        <v>118</v>
      </c>
      <c r="C1132" s="1" t="s">
        <v>50</v>
      </c>
      <c r="D1132" s="1" t="s">
        <v>27</v>
      </c>
      <c r="E1132" s="2">
        <v>45877</v>
      </c>
      <c r="F1132" s="2">
        <v>45877</v>
      </c>
      <c r="G1132" s="3">
        <v>35</v>
      </c>
      <c r="H1132" s="4" t="s">
        <v>28</v>
      </c>
      <c r="I1132">
        <v>50</v>
      </c>
      <c r="J1132">
        <v>0</v>
      </c>
      <c r="K1132">
        <v>0</v>
      </c>
      <c r="L1132" s="3">
        <v>1</v>
      </c>
      <c r="M1132" s="3">
        <v>1</v>
      </c>
      <c r="N1132">
        <v>0</v>
      </c>
      <c r="O1132">
        <v>1</v>
      </c>
      <c r="P1132">
        <v>0</v>
      </c>
      <c r="Q1132">
        <v>0</v>
      </c>
      <c r="R1132" s="3">
        <v>0</v>
      </c>
      <c r="S1132" s="3">
        <v>0</v>
      </c>
      <c r="T1132">
        <v>0</v>
      </c>
      <c r="U1132">
        <v>0</v>
      </c>
      <c r="V1132" s="3">
        <v>0</v>
      </c>
      <c r="W1132" s="3">
        <v>0</v>
      </c>
      <c r="X1132">
        <v>0</v>
      </c>
      <c r="Y1132" t="s">
        <v>969</v>
      </c>
    </row>
    <row r="1133" spans="1:25" hidden="1" x14ac:dyDescent="0.25">
      <c r="A1133" s="1" t="s">
        <v>51</v>
      </c>
      <c r="B1133" s="1" t="s">
        <v>120</v>
      </c>
      <c r="C1133" s="1" t="s">
        <v>55</v>
      </c>
      <c r="D1133" t="s">
        <v>27</v>
      </c>
      <c r="E1133" s="2">
        <v>45877</v>
      </c>
      <c r="F1133" s="2">
        <v>45877</v>
      </c>
      <c r="G1133" s="3">
        <v>58</v>
      </c>
      <c r="H1133" s="4" t="s">
        <v>28</v>
      </c>
      <c r="I1133">
        <v>62</v>
      </c>
      <c r="J1133">
        <v>0</v>
      </c>
      <c r="K1133">
        <v>0</v>
      </c>
      <c r="L1133" s="3">
        <v>1</v>
      </c>
      <c r="M1133" s="3">
        <v>0</v>
      </c>
      <c r="N1133">
        <v>1</v>
      </c>
      <c r="O1133">
        <v>0</v>
      </c>
      <c r="P1133">
        <v>0</v>
      </c>
      <c r="Q1133">
        <v>0</v>
      </c>
      <c r="R1133" s="3">
        <v>0</v>
      </c>
      <c r="S1133" s="3">
        <v>0</v>
      </c>
      <c r="T1133">
        <v>0</v>
      </c>
      <c r="U1133">
        <v>0</v>
      </c>
      <c r="V1133" s="3">
        <v>0</v>
      </c>
      <c r="W1133" s="3">
        <v>0</v>
      </c>
      <c r="X1133">
        <v>0</v>
      </c>
      <c r="Y1133" t="s">
        <v>982</v>
      </c>
    </row>
    <row r="1134" spans="1:25" hidden="1" x14ac:dyDescent="0.25">
      <c r="A1134" s="1" t="s">
        <v>54</v>
      </c>
      <c r="B1134" s="1" t="s">
        <v>122</v>
      </c>
      <c r="C1134" s="1" t="s">
        <v>52</v>
      </c>
      <c r="D1134" t="s">
        <v>27</v>
      </c>
      <c r="E1134" s="2">
        <v>45877</v>
      </c>
      <c r="F1134" s="2">
        <v>45877</v>
      </c>
      <c r="G1134" s="3">
        <v>59</v>
      </c>
      <c r="H1134" s="4" t="s">
        <v>28</v>
      </c>
      <c r="I1134">
        <v>30</v>
      </c>
      <c r="J1134">
        <v>0</v>
      </c>
      <c r="K1134">
        <v>0</v>
      </c>
      <c r="L1134" s="3">
        <v>0</v>
      </c>
      <c r="M1134" s="3">
        <v>0</v>
      </c>
      <c r="N1134">
        <v>0</v>
      </c>
      <c r="O1134">
        <v>0</v>
      </c>
      <c r="P1134">
        <v>0</v>
      </c>
      <c r="Q1134">
        <v>2</v>
      </c>
      <c r="R1134" s="3">
        <v>0</v>
      </c>
      <c r="S1134" s="3">
        <v>0</v>
      </c>
      <c r="T1134">
        <v>0</v>
      </c>
      <c r="U1134">
        <v>0</v>
      </c>
      <c r="V1134" s="3">
        <v>0</v>
      </c>
      <c r="W1134" s="3">
        <v>0</v>
      </c>
      <c r="X1134">
        <v>0</v>
      </c>
      <c r="Y1134" t="s">
        <v>983</v>
      </c>
    </row>
    <row r="1135" spans="1:25" hidden="1" x14ac:dyDescent="0.25">
      <c r="A1135" s="1" t="s">
        <v>53</v>
      </c>
      <c r="B1135" s="1" t="s">
        <v>142</v>
      </c>
      <c r="C1135" s="1" t="s">
        <v>39</v>
      </c>
      <c r="D1135" t="s">
        <v>27</v>
      </c>
      <c r="E1135" s="2">
        <v>45877</v>
      </c>
      <c r="F1135" s="2">
        <v>45877</v>
      </c>
      <c r="G1135" s="3">
        <v>51</v>
      </c>
      <c r="H1135" s="4" t="s">
        <v>28</v>
      </c>
      <c r="I1135">
        <v>28</v>
      </c>
      <c r="J1135">
        <v>0</v>
      </c>
      <c r="K1135">
        <v>0</v>
      </c>
      <c r="L1135" s="3">
        <v>1</v>
      </c>
      <c r="M1135" s="3">
        <v>0</v>
      </c>
      <c r="N1135">
        <v>0</v>
      </c>
      <c r="O1135">
        <v>0</v>
      </c>
      <c r="P1135">
        <v>0</v>
      </c>
      <c r="Q1135">
        <v>28</v>
      </c>
      <c r="R1135" s="3">
        <v>0</v>
      </c>
      <c r="S1135" s="3">
        <v>0</v>
      </c>
      <c r="T1135">
        <v>0</v>
      </c>
      <c r="U1135">
        <v>0</v>
      </c>
      <c r="V1135" s="3">
        <v>0</v>
      </c>
      <c r="W1135" s="3">
        <v>0</v>
      </c>
      <c r="X1135">
        <v>0</v>
      </c>
      <c r="Y1135" t="s">
        <v>984</v>
      </c>
    </row>
    <row r="1136" spans="1:25" hidden="1" x14ac:dyDescent="0.25">
      <c r="A1136" s="1" t="s">
        <v>58</v>
      </c>
      <c r="B1136" s="1" t="s">
        <v>144</v>
      </c>
      <c r="C1136" s="1" t="s">
        <v>489</v>
      </c>
      <c r="D1136" t="s">
        <v>27</v>
      </c>
      <c r="E1136" s="2">
        <v>45877</v>
      </c>
      <c r="F1136" s="2">
        <v>45877</v>
      </c>
      <c r="G1136" s="3">
        <v>25</v>
      </c>
      <c r="H1136" s="4" t="s">
        <v>28</v>
      </c>
      <c r="I1136">
        <v>68</v>
      </c>
      <c r="J1136">
        <v>0</v>
      </c>
      <c r="K1136">
        <v>0</v>
      </c>
      <c r="L1136" s="3">
        <v>1</v>
      </c>
      <c r="M1136" s="3">
        <v>0</v>
      </c>
      <c r="N1136">
        <v>0</v>
      </c>
      <c r="O1136">
        <v>0</v>
      </c>
      <c r="P1136">
        <v>0</v>
      </c>
      <c r="Q1136">
        <v>0</v>
      </c>
      <c r="R1136" s="3">
        <v>0</v>
      </c>
      <c r="S1136" s="3">
        <v>0</v>
      </c>
      <c r="T1136">
        <v>0</v>
      </c>
      <c r="U1136">
        <v>0</v>
      </c>
      <c r="V1136" s="3">
        <v>0</v>
      </c>
      <c r="W1136" s="3">
        <v>0</v>
      </c>
      <c r="X1136">
        <v>0</v>
      </c>
      <c r="Y1136" t="s">
        <v>985</v>
      </c>
    </row>
    <row r="1137" spans="1:25" hidden="1" x14ac:dyDescent="0.25">
      <c r="A1137" s="1" t="s">
        <v>972</v>
      </c>
      <c r="B1137" s="1" t="s">
        <v>589</v>
      </c>
      <c r="C1137" s="1" t="s">
        <v>27</v>
      </c>
      <c r="D1137" s="1" t="s">
        <v>27</v>
      </c>
      <c r="E1137" s="2">
        <v>45877</v>
      </c>
      <c r="F1137" s="2">
        <v>45877</v>
      </c>
      <c r="G1137" s="3">
        <v>70</v>
      </c>
      <c r="H1137" s="4" t="s">
        <v>28</v>
      </c>
      <c r="I1137">
        <v>43</v>
      </c>
      <c r="J1137">
        <v>0</v>
      </c>
      <c r="K1137">
        <v>0</v>
      </c>
      <c r="L1137" s="3">
        <v>1</v>
      </c>
      <c r="M1137" s="3">
        <v>0</v>
      </c>
      <c r="N1137">
        <v>0</v>
      </c>
      <c r="O1137">
        <v>0</v>
      </c>
      <c r="P1137">
        <v>0</v>
      </c>
      <c r="Q1137">
        <v>0</v>
      </c>
      <c r="R1137" s="3">
        <v>0</v>
      </c>
      <c r="S1137" s="3">
        <v>0</v>
      </c>
      <c r="T1137">
        <v>0</v>
      </c>
      <c r="U1137">
        <v>0</v>
      </c>
      <c r="V1137" s="3">
        <v>0</v>
      </c>
      <c r="W1137" s="3">
        <v>0</v>
      </c>
      <c r="X1137" s="3">
        <v>0</v>
      </c>
      <c r="Y1137" t="s">
        <v>971</v>
      </c>
    </row>
    <row r="1138" spans="1:25" hidden="1" x14ac:dyDescent="0.25">
      <c r="A1138" s="1" t="s">
        <v>48</v>
      </c>
      <c r="B1138" s="1" t="s">
        <v>112</v>
      </c>
      <c r="C1138" s="1" t="s">
        <v>27</v>
      </c>
      <c r="D1138" s="1" t="s">
        <v>27</v>
      </c>
      <c r="E1138" s="2">
        <v>45877</v>
      </c>
      <c r="F1138" s="2">
        <v>45877</v>
      </c>
      <c r="G1138" s="3">
        <v>71</v>
      </c>
      <c r="H1138" s="4" t="s">
        <v>959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971</v>
      </c>
    </row>
    <row r="1139" spans="1:25" hidden="1" x14ac:dyDescent="0.25">
      <c r="A1139" s="1" t="s">
        <v>438</v>
      </c>
      <c r="B1139" s="1" t="s">
        <v>590</v>
      </c>
      <c r="C1139" s="1" t="s">
        <v>27</v>
      </c>
      <c r="D1139" s="1" t="s">
        <v>27</v>
      </c>
      <c r="E1139" s="2">
        <v>45877</v>
      </c>
      <c r="F1139" s="2">
        <v>45877</v>
      </c>
      <c r="G1139" s="3">
        <v>72</v>
      </c>
      <c r="H1139" s="4" t="s">
        <v>250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971</v>
      </c>
    </row>
    <row r="1140" spans="1:25" hidden="1" x14ac:dyDescent="0.25">
      <c r="A1140" t="s">
        <v>41</v>
      </c>
      <c r="B1140" t="s">
        <v>112</v>
      </c>
      <c r="C1140" t="s">
        <v>42</v>
      </c>
      <c r="D1140" t="s">
        <v>27</v>
      </c>
      <c r="E1140" s="2">
        <v>45878</v>
      </c>
      <c r="F1140" s="2">
        <v>45878</v>
      </c>
      <c r="G1140" s="3">
        <v>99</v>
      </c>
      <c r="H1140" t="s">
        <v>28</v>
      </c>
      <c r="I1140">
        <v>0</v>
      </c>
      <c r="J1140">
        <v>0</v>
      </c>
      <c r="K1140">
        <v>0</v>
      </c>
      <c r="L1140" s="3">
        <v>0</v>
      </c>
      <c r="M1140" s="3">
        <v>0</v>
      </c>
      <c r="N1140">
        <v>0</v>
      </c>
      <c r="O1140">
        <v>0</v>
      </c>
      <c r="P1140">
        <v>0</v>
      </c>
      <c r="Q1140">
        <v>5</v>
      </c>
      <c r="R1140" s="3">
        <v>1</v>
      </c>
      <c r="S1140" s="3">
        <v>0</v>
      </c>
      <c r="T1140">
        <v>11</v>
      </c>
      <c r="U1140">
        <v>23</v>
      </c>
      <c r="V1140" s="3">
        <v>1</v>
      </c>
      <c r="W1140" s="3">
        <v>0</v>
      </c>
      <c r="X1140">
        <v>0</v>
      </c>
      <c r="Y1140" t="s">
        <v>986</v>
      </c>
    </row>
    <row r="1141" spans="1:25" hidden="1" x14ac:dyDescent="0.25">
      <c r="A1141" t="s">
        <v>54</v>
      </c>
      <c r="B1141" t="s">
        <v>122</v>
      </c>
      <c r="C1141" t="s">
        <v>52</v>
      </c>
      <c r="D1141" t="s">
        <v>27</v>
      </c>
      <c r="E1141" s="2">
        <v>45878</v>
      </c>
      <c r="F1141" s="2">
        <v>45878</v>
      </c>
      <c r="G1141" s="3">
        <v>89</v>
      </c>
      <c r="H1141" t="s">
        <v>28</v>
      </c>
      <c r="I1141">
        <v>0</v>
      </c>
      <c r="J1141">
        <v>0</v>
      </c>
      <c r="K1141">
        <v>0</v>
      </c>
      <c r="L1141" s="3">
        <v>0</v>
      </c>
      <c r="M1141" s="3">
        <v>0</v>
      </c>
      <c r="N1141">
        <v>0</v>
      </c>
      <c r="O1141">
        <v>0</v>
      </c>
      <c r="P1141">
        <v>0</v>
      </c>
      <c r="Q1141">
        <v>0</v>
      </c>
      <c r="R1141" s="3">
        <v>1</v>
      </c>
      <c r="S1141" s="3">
        <v>0</v>
      </c>
      <c r="T1141">
        <v>27</v>
      </c>
      <c r="U1141">
        <v>28</v>
      </c>
      <c r="V1141" s="3">
        <v>1</v>
      </c>
      <c r="W1141" s="3">
        <v>0</v>
      </c>
      <c r="X1141">
        <v>0</v>
      </c>
      <c r="Y1141" t="s">
        <v>987</v>
      </c>
    </row>
    <row r="1142" spans="1:25" hidden="1" x14ac:dyDescent="0.25">
      <c r="A1142" t="s">
        <v>33</v>
      </c>
      <c r="B1142" t="s">
        <v>106</v>
      </c>
      <c r="C1142" t="s">
        <v>55</v>
      </c>
      <c r="D1142" t="s">
        <v>27</v>
      </c>
      <c r="E1142" s="2">
        <v>45879</v>
      </c>
      <c r="F1142" s="2">
        <v>45879</v>
      </c>
      <c r="G1142" s="3">
        <v>54</v>
      </c>
      <c r="H1142" t="s">
        <v>28</v>
      </c>
      <c r="I1142">
        <v>0</v>
      </c>
      <c r="J1142">
        <v>0</v>
      </c>
      <c r="K1142">
        <v>0</v>
      </c>
      <c r="L1142" s="3">
        <v>0</v>
      </c>
      <c r="M1142" s="3">
        <v>0</v>
      </c>
      <c r="N1142">
        <v>0</v>
      </c>
      <c r="O1142">
        <v>0</v>
      </c>
      <c r="P1142">
        <v>0</v>
      </c>
      <c r="Q1142">
        <v>0</v>
      </c>
      <c r="R1142" s="3">
        <v>0</v>
      </c>
      <c r="S1142" s="3">
        <v>1</v>
      </c>
      <c r="T1142">
        <v>4</v>
      </c>
      <c r="U1142">
        <v>60</v>
      </c>
      <c r="V1142" s="3">
        <v>0</v>
      </c>
      <c r="W1142" s="3">
        <v>1</v>
      </c>
      <c r="X1142">
        <v>4</v>
      </c>
      <c r="Y1142" t="s">
        <v>988</v>
      </c>
    </row>
    <row r="1143" spans="1:25" hidden="1" x14ac:dyDescent="0.25">
      <c r="A1143" t="s">
        <v>54</v>
      </c>
      <c r="B1143" t="s">
        <v>122</v>
      </c>
      <c r="C1143" t="s">
        <v>52</v>
      </c>
      <c r="D1143" t="s">
        <v>27</v>
      </c>
      <c r="E1143" s="2">
        <v>45879</v>
      </c>
      <c r="F1143" s="2">
        <v>45879</v>
      </c>
      <c r="G1143" s="3">
        <v>209</v>
      </c>
      <c r="H1143" t="s">
        <v>28</v>
      </c>
      <c r="I1143">
        <v>0</v>
      </c>
      <c r="J1143">
        <v>0</v>
      </c>
      <c r="K1143">
        <v>0</v>
      </c>
      <c r="L1143" s="3">
        <v>0</v>
      </c>
      <c r="M1143" s="3">
        <v>0</v>
      </c>
      <c r="N1143">
        <v>0</v>
      </c>
      <c r="O1143">
        <v>0</v>
      </c>
      <c r="P1143">
        <v>0</v>
      </c>
      <c r="Q1143">
        <v>0</v>
      </c>
      <c r="R1143" s="3">
        <v>0</v>
      </c>
      <c r="S1143" s="3">
        <v>1</v>
      </c>
      <c r="T1143">
        <v>6</v>
      </c>
      <c r="U1143">
        <v>90</v>
      </c>
      <c r="V1143" s="3">
        <v>0</v>
      </c>
      <c r="W1143" s="3">
        <v>1</v>
      </c>
      <c r="X1143">
        <v>4</v>
      </c>
      <c r="Y1143" t="s">
        <v>989</v>
      </c>
    </row>
    <row r="1144" spans="1:25" hidden="1" x14ac:dyDescent="0.25">
      <c r="A1144" s="1" t="s">
        <v>56</v>
      </c>
      <c r="B1144" s="1" t="s">
        <v>98</v>
      </c>
      <c r="C1144" s="1" t="s">
        <v>37</v>
      </c>
      <c r="D1144" s="1" t="s">
        <v>27</v>
      </c>
      <c r="E1144" s="10">
        <v>45880</v>
      </c>
      <c r="F1144" s="2">
        <v>45880</v>
      </c>
      <c r="G1144" s="3">
        <v>40</v>
      </c>
      <c r="H1144" s="4" t="s">
        <v>28</v>
      </c>
      <c r="I1144">
        <v>61</v>
      </c>
      <c r="J1144">
        <v>6</v>
      </c>
      <c r="K1144">
        <v>0</v>
      </c>
      <c r="L1144" s="3">
        <v>1</v>
      </c>
      <c r="M1144" s="3">
        <v>0</v>
      </c>
      <c r="N1144">
        <v>0</v>
      </c>
      <c r="O1144">
        <v>0</v>
      </c>
      <c r="P1144">
        <v>0</v>
      </c>
      <c r="Q1144">
        <v>0</v>
      </c>
      <c r="R1144" s="3">
        <v>0</v>
      </c>
      <c r="S1144" s="3">
        <v>0</v>
      </c>
      <c r="T1144">
        <v>0</v>
      </c>
      <c r="U1144">
        <v>0</v>
      </c>
      <c r="V1144" s="3">
        <v>0</v>
      </c>
      <c r="W1144" s="3">
        <v>0</v>
      </c>
      <c r="X1144">
        <v>0</v>
      </c>
      <c r="Y1144" t="s">
        <v>990</v>
      </c>
    </row>
    <row r="1145" spans="1:25" hidden="1" x14ac:dyDescent="0.25">
      <c r="A1145" s="1" t="s">
        <v>29</v>
      </c>
      <c r="B1145" s="1" t="s">
        <v>100</v>
      </c>
      <c r="C1145" s="1" t="s">
        <v>95</v>
      </c>
      <c r="D1145" s="1" t="s">
        <v>27</v>
      </c>
      <c r="E1145" s="10">
        <v>45880</v>
      </c>
      <c r="F1145" s="2">
        <v>45880</v>
      </c>
      <c r="G1145" s="3">
        <v>68</v>
      </c>
      <c r="H1145" s="4" t="s">
        <v>28</v>
      </c>
      <c r="I1145">
        <v>123</v>
      </c>
      <c r="J1145">
        <v>0</v>
      </c>
      <c r="K1145">
        <v>0</v>
      </c>
      <c r="L1145" s="3">
        <v>1</v>
      </c>
      <c r="M1145" s="3">
        <v>0</v>
      </c>
      <c r="N1145">
        <v>0</v>
      </c>
      <c r="O1145">
        <v>0</v>
      </c>
      <c r="P1145">
        <v>0</v>
      </c>
      <c r="Q1145">
        <v>0</v>
      </c>
      <c r="R1145" s="3">
        <v>0</v>
      </c>
      <c r="S1145" s="3">
        <v>0</v>
      </c>
      <c r="T1145">
        <v>0</v>
      </c>
      <c r="U1145">
        <v>0</v>
      </c>
      <c r="V1145" s="3">
        <v>0</v>
      </c>
      <c r="W1145" s="3">
        <v>0</v>
      </c>
      <c r="X1145">
        <v>0</v>
      </c>
      <c r="Y1145" t="s">
        <v>991</v>
      </c>
    </row>
    <row r="1146" spans="1:25" hidden="1" x14ac:dyDescent="0.25">
      <c r="A1146" s="1" t="s">
        <v>344</v>
      </c>
      <c r="B1146" s="1" t="s">
        <v>102</v>
      </c>
      <c r="C1146" s="1" t="s">
        <v>35</v>
      </c>
      <c r="D1146" s="1" t="s">
        <v>27</v>
      </c>
      <c r="E1146" s="10">
        <v>45880</v>
      </c>
      <c r="F1146" s="2">
        <v>45880</v>
      </c>
      <c r="G1146" s="3">
        <v>35</v>
      </c>
      <c r="H1146" s="4" t="s">
        <v>28</v>
      </c>
      <c r="I1146">
        <v>108</v>
      </c>
      <c r="J1146">
        <v>0</v>
      </c>
      <c r="K1146">
        <v>0</v>
      </c>
      <c r="L1146" s="3">
        <v>0</v>
      </c>
      <c r="M1146" s="3">
        <v>0</v>
      </c>
      <c r="N1146">
        <v>0</v>
      </c>
      <c r="O1146">
        <v>0</v>
      </c>
      <c r="P1146">
        <v>0</v>
      </c>
      <c r="Q1146">
        <v>0</v>
      </c>
      <c r="R1146" s="3">
        <v>0</v>
      </c>
      <c r="S1146" s="3">
        <v>0</v>
      </c>
      <c r="T1146">
        <v>0</v>
      </c>
      <c r="U1146">
        <v>0</v>
      </c>
      <c r="V1146" s="3">
        <v>0</v>
      </c>
      <c r="W1146" s="3">
        <v>0</v>
      </c>
      <c r="X1146">
        <v>0</v>
      </c>
      <c r="Y1146" t="s">
        <v>850</v>
      </c>
    </row>
    <row r="1147" spans="1:25" hidden="1" x14ac:dyDescent="0.25">
      <c r="A1147" s="1" t="s">
        <v>31</v>
      </c>
      <c r="B1147" s="1" t="s">
        <v>104</v>
      </c>
      <c r="C1147" s="1" t="s">
        <v>32</v>
      </c>
      <c r="D1147" s="1" t="s">
        <v>27</v>
      </c>
      <c r="E1147" s="10">
        <v>45880</v>
      </c>
      <c r="F1147" s="2">
        <v>45880</v>
      </c>
      <c r="G1147" s="3">
        <v>40</v>
      </c>
      <c r="H1147" s="4" t="s">
        <v>28</v>
      </c>
      <c r="I1147">
        <v>104</v>
      </c>
      <c r="J1147">
        <v>0</v>
      </c>
      <c r="K1147">
        <v>0</v>
      </c>
      <c r="L1147" s="3">
        <v>0</v>
      </c>
      <c r="M1147" s="3">
        <v>0</v>
      </c>
      <c r="N1147">
        <v>0</v>
      </c>
      <c r="O1147">
        <v>0</v>
      </c>
      <c r="P1147">
        <v>0</v>
      </c>
      <c r="Q1147">
        <v>50</v>
      </c>
      <c r="R1147" s="3">
        <v>0</v>
      </c>
      <c r="S1147" s="3">
        <v>0</v>
      </c>
      <c r="T1147">
        <v>0</v>
      </c>
      <c r="U1147">
        <v>0</v>
      </c>
      <c r="V1147" s="3">
        <v>0</v>
      </c>
      <c r="W1147" s="3">
        <v>0</v>
      </c>
      <c r="X1147">
        <v>0</v>
      </c>
      <c r="Y1147" t="s">
        <v>992</v>
      </c>
    </row>
    <row r="1148" spans="1:25" hidden="1" x14ac:dyDescent="0.25">
      <c r="A1148" s="1" t="s">
        <v>33</v>
      </c>
      <c r="B1148" s="1" t="s">
        <v>106</v>
      </c>
      <c r="C1148" s="1" t="s">
        <v>57</v>
      </c>
      <c r="D1148" s="1" t="s">
        <v>27</v>
      </c>
      <c r="E1148" s="10">
        <v>45880</v>
      </c>
      <c r="F1148" s="2">
        <v>45880</v>
      </c>
      <c r="G1148" s="3">
        <v>29</v>
      </c>
      <c r="H1148" s="4" t="s">
        <v>28</v>
      </c>
      <c r="I1148">
        <v>18</v>
      </c>
      <c r="J1148">
        <v>0</v>
      </c>
      <c r="K1148">
        <v>0</v>
      </c>
      <c r="L1148" s="3">
        <v>0</v>
      </c>
      <c r="M1148" s="3">
        <v>0</v>
      </c>
      <c r="N1148">
        <v>0</v>
      </c>
      <c r="O1148">
        <v>0</v>
      </c>
      <c r="P1148">
        <v>0</v>
      </c>
      <c r="Q1148">
        <v>18</v>
      </c>
      <c r="R1148" s="3">
        <v>0</v>
      </c>
      <c r="S1148" s="3">
        <v>0</v>
      </c>
      <c r="T1148">
        <v>0</v>
      </c>
      <c r="U1148">
        <v>0</v>
      </c>
      <c r="V1148" s="3">
        <v>0</v>
      </c>
      <c r="W1148" s="3">
        <v>0</v>
      </c>
      <c r="X1148">
        <v>0</v>
      </c>
      <c r="Y1148" t="s">
        <v>993</v>
      </c>
    </row>
    <row r="1149" spans="1:25" hidden="1" x14ac:dyDescent="0.25">
      <c r="A1149" s="1" t="s">
        <v>38</v>
      </c>
      <c r="B1149" s="1" t="s">
        <v>108</v>
      </c>
      <c r="C1149" s="1" t="s">
        <v>27</v>
      </c>
      <c r="D1149" s="1" t="s">
        <v>27</v>
      </c>
      <c r="E1149" s="10">
        <v>45880</v>
      </c>
      <c r="F1149" s="2">
        <v>45880</v>
      </c>
      <c r="G1149" s="3">
        <v>75</v>
      </c>
      <c r="H1149" s="4" t="s">
        <v>28</v>
      </c>
      <c r="I1149">
        <v>30</v>
      </c>
      <c r="J1149">
        <v>0</v>
      </c>
      <c r="K1149">
        <v>0</v>
      </c>
      <c r="L1149" s="3">
        <v>0</v>
      </c>
      <c r="M1149" s="3">
        <v>0</v>
      </c>
      <c r="N1149">
        <v>0</v>
      </c>
      <c r="O1149">
        <v>0</v>
      </c>
      <c r="P1149">
        <v>0</v>
      </c>
      <c r="Q1149">
        <v>0</v>
      </c>
      <c r="R1149" s="3">
        <v>0</v>
      </c>
      <c r="S1149" s="3">
        <v>0</v>
      </c>
      <c r="T1149">
        <v>0</v>
      </c>
      <c r="U1149">
        <v>0</v>
      </c>
      <c r="V1149" s="3">
        <v>0</v>
      </c>
      <c r="W1149" s="3">
        <v>0</v>
      </c>
      <c r="X1149">
        <v>0</v>
      </c>
      <c r="Y1149" t="s">
        <v>994</v>
      </c>
    </row>
    <row r="1150" spans="1:25" hidden="1" x14ac:dyDescent="0.25">
      <c r="A1150" s="1" t="s">
        <v>40</v>
      </c>
      <c r="B1150" s="1" t="s">
        <v>110</v>
      </c>
      <c r="C1150" s="1" t="s">
        <v>27</v>
      </c>
      <c r="D1150" s="1" t="s">
        <v>27</v>
      </c>
      <c r="E1150" s="10">
        <v>45880</v>
      </c>
      <c r="F1150" s="2">
        <v>45880</v>
      </c>
      <c r="G1150" s="3">
        <v>196</v>
      </c>
      <c r="H1150" s="4" t="s">
        <v>28</v>
      </c>
      <c r="I1150">
        <v>74</v>
      </c>
      <c r="J1150">
        <v>0</v>
      </c>
      <c r="K1150">
        <v>0</v>
      </c>
      <c r="L1150" s="3">
        <v>1</v>
      </c>
      <c r="M1150" s="3">
        <v>0</v>
      </c>
      <c r="N1150">
        <v>1</v>
      </c>
      <c r="O1150">
        <v>0</v>
      </c>
      <c r="P1150">
        <v>0</v>
      </c>
      <c r="Q1150">
        <v>0</v>
      </c>
      <c r="R1150" s="3">
        <v>0</v>
      </c>
      <c r="S1150" s="3">
        <v>0</v>
      </c>
      <c r="T1150">
        <v>0</v>
      </c>
      <c r="U1150">
        <v>0</v>
      </c>
      <c r="V1150" s="3">
        <v>0</v>
      </c>
      <c r="W1150" s="3">
        <v>0</v>
      </c>
      <c r="X1150">
        <v>0</v>
      </c>
      <c r="Y1150" t="s">
        <v>995</v>
      </c>
    </row>
    <row r="1151" spans="1:25" hidden="1" x14ac:dyDescent="0.25">
      <c r="A1151" s="1" t="s">
        <v>36</v>
      </c>
      <c r="B1151" s="1" t="s">
        <v>110</v>
      </c>
      <c r="C1151" s="1" t="s">
        <v>27</v>
      </c>
      <c r="D1151" s="1" t="s">
        <v>27</v>
      </c>
      <c r="E1151" s="10">
        <v>45880</v>
      </c>
      <c r="F1151" s="2">
        <v>45880</v>
      </c>
      <c r="G1151" s="3">
        <v>196</v>
      </c>
      <c r="H1151" s="4" t="s">
        <v>28</v>
      </c>
      <c r="I1151">
        <v>74</v>
      </c>
      <c r="J1151">
        <v>0</v>
      </c>
      <c r="K1151">
        <v>0</v>
      </c>
      <c r="L1151" s="3">
        <v>1</v>
      </c>
      <c r="M1151" s="3">
        <v>0</v>
      </c>
      <c r="N1151">
        <v>1</v>
      </c>
      <c r="O1151">
        <v>0</v>
      </c>
      <c r="P1151">
        <v>0</v>
      </c>
      <c r="Q1151">
        <v>0</v>
      </c>
      <c r="R1151" s="3">
        <v>0</v>
      </c>
      <c r="S1151" s="3">
        <v>0</v>
      </c>
      <c r="T1151">
        <v>0</v>
      </c>
      <c r="U1151">
        <v>0</v>
      </c>
      <c r="V1151" s="3">
        <v>0</v>
      </c>
      <c r="W1151" s="3">
        <v>0</v>
      </c>
      <c r="X1151">
        <v>0</v>
      </c>
      <c r="Y1151" t="s">
        <v>995</v>
      </c>
    </row>
    <row r="1152" spans="1:25" hidden="1" x14ac:dyDescent="0.25">
      <c r="A1152" s="1" t="s">
        <v>41</v>
      </c>
      <c r="B1152" s="1" t="s">
        <v>112</v>
      </c>
      <c r="C1152" s="1" t="s">
        <v>42</v>
      </c>
      <c r="D1152" s="1" t="s">
        <v>27</v>
      </c>
      <c r="E1152" s="10">
        <v>45880</v>
      </c>
      <c r="F1152" s="2">
        <v>45880</v>
      </c>
      <c r="G1152" s="3">
        <v>41</v>
      </c>
      <c r="H1152" s="4" t="s">
        <v>28</v>
      </c>
      <c r="I1152">
        <v>133</v>
      </c>
      <c r="J1152">
        <v>0</v>
      </c>
      <c r="K1152">
        <v>0</v>
      </c>
      <c r="L1152" s="3">
        <v>1</v>
      </c>
      <c r="M1152" s="3">
        <v>0</v>
      </c>
      <c r="N1152">
        <v>0</v>
      </c>
      <c r="O1152">
        <v>0</v>
      </c>
      <c r="P1152">
        <v>0</v>
      </c>
      <c r="Q1152">
        <v>0</v>
      </c>
      <c r="R1152" s="3">
        <v>0</v>
      </c>
      <c r="S1152" s="3">
        <v>0</v>
      </c>
      <c r="T1152">
        <v>0</v>
      </c>
      <c r="U1152">
        <v>0</v>
      </c>
      <c r="V1152" s="3">
        <v>0</v>
      </c>
      <c r="W1152" s="3">
        <v>0</v>
      </c>
      <c r="X1152">
        <v>0</v>
      </c>
      <c r="Y1152" t="s">
        <v>996</v>
      </c>
    </row>
    <row r="1153" spans="1:25" hidden="1" x14ac:dyDescent="0.25">
      <c r="A1153" s="1" t="s">
        <v>43</v>
      </c>
      <c r="B1153" s="1" t="s">
        <v>114</v>
      </c>
      <c r="C1153" s="1" t="s">
        <v>44</v>
      </c>
      <c r="D1153" s="1" t="s">
        <v>27</v>
      </c>
      <c r="E1153" s="10">
        <v>45880</v>
      </c>
      <c r="F1153" s="2">
        <v>45880</v>
      </c>
      <c r="G1153" s="3">
        <v>34</v>
      </c>
      <c r="H1153" s="4" t="s">
        <v>28</v>
      </c>
      <c r="I1153">
        <v>80</v>
      </c>
      <c r="J1153">
        <v>0</v>
      </c>
      <c r="K1153">
        <v>0</v>
      </c>
      <c r="L1153" s="3">
        <v>1</v>
      </c>
      <c r="M1153" s="3">
        <v>0</v>
      </c>
      <c r="N1153">
        <v>0</v>
      </c>
      <c r="O1153">
        <v>0</v>
      </c>
      <c r="P1153">
        <v>0</v>
      </c>
      <c r="Q1153">
        <v>0</v>
      </c>
      <c r="R1153" s="3">
        <v>0</v>
      </c>
      <c r="S1153" s="3">
        <v>0</v>
      </c>
      <c r="T1153">
        <v>0</v>
      </c>
      <c r="U1153">
        <v>0</v>
      </c>
      <c r="V1153" s="3">
        <v>0</v>
      </c>
      <c r="W1153" s="3">
        <v>0</v>
      </c>
      <c r="X1153">
        <v>0</v>
      </c>
      <c r="Y1153" t="s">
        <v>997</v>
      </c>
    </row>
    <row r="1154" spans="1:25" hidden="1" x14ac:dyDescent="0.25">
      <c r="A1154" s="1" t="s">
        <v>45</v>
      </c>
      <c r="B1154" s="1" t="s">
        <v>116</v>
      </c>
      <c r="C1154" s="1" t="s">
        <v>46</v>
      </c>
      <c r="D1154" s="1" t="s">
        <v>27</v>
      </c>
      <c r="E1154" s="10">
        <v>45880</v>
      </c>
      <c r="F1154" s="2">
        <v>45880</v>
      </c>
      <c r="G1154" s="3">
        <v>46</v>
      </c>
      <c r="H1154" s="4" t="s">
        <v>28</v>
      </c>
      <c r="I1154">
        <v>74</v>
      </c>
      <c r="J1154">
        <v>0</v>
      </c>
      <c r="K1154">
        <v>0</v>
      </c>
      <c r="L1154" s="3">
        <v>1</v>
      </c>
      <c r="M1154" s="3">
        <v>0</v>
      </c>
      <c r="N1154">
        <v>0</v>
      </c>
      <c r="O1154">
        <v>0</v>
      </c>
      <c r="P1154">
        <v>0</v>
      </c>
      <c r="Q1154">
        <v>0</v>
      </c>
      <c r="R1154" s="3">
        <v>0</v>
      </c>
      <c r="S1154" s="3">
        <v>0</v>
      </c>
      <c r="T1154">
        <v>0</v>
      </c>
      <c r="U1154">
        <v>0</v>
      </c>
      <c r="V1154" s="3">
        <v>0</v>
      </c>
      <c r="W1154" s="3">
        <v>0</v>
      </c>
      <c r="X1154">
        <v>0</v>
      </c>
      <c r="Y1154" t="s">
        <v>998</v>
      </c>
    </row>
    <row r="1155" spans="1:25" hidden="1" x14ac:dyDescent="0.25">
      <c r="A1155" s="1" t="s">
        <v>47</v>
      </c>
      <c r="B1155" s="1" t="s">
        <v>137</v>
      </c>
      <c r="C1155" s="1" t="s">
        <v>27</v>
      </c>
      <c r="D1155" s="1" t="s">
        <v>27</v>
      </c>
      <c r="E1155" s="10">
        <v>45880</v>
      </c>
      <c r="F1155" s="2">
        <v>45880</v>
      </c>
      <c r="G1155" s="3">
        <v>31</v>
      </c>
      <c r="H1155" s="4" t="s">
        <v>28</v>
      </c>
      <c r="I1155">
        <v>48</v>
      </c>
      <c r="J1155">
        <v>0</v>
      </c>
      <c r="K1155">
        <v>0</v>
      </c>
      <c r="L1155" s="3">
        <v>0</v>
      </c>
      <c r="M1155" s="3">
        <v>0</v>
      </c>
      <c r="N1155">
        <v>0</v>
      </c>
      <c r="O1155">
        <v>0</v>
      </c>
      <c r="P1155">
        <v>0</v>
      </c>
      <c r="Q1155">
        <v>0</v>
      </c>
      <c r="R1155" s="3">
        <v>0</v>
      </c>
      <c r="S1155" s="3">
        <v>0</v>
      </c>
      <c r="T1155">
        <v>0</v>
      </c>
      <c r="U1155">
        <v>0</v>
      </c>
      <c r="V1155" s="3">
        <v>0</v>
      </c>
      <c r="W1155" s="3">
        <v>0</v>
      </c>
      <c r="X1155">
        <v>0</v>
      </c>
      <c r="Y1155" t="s">
        <v>999</v>
      </c>
    </row>
    <row r="1156" spans="1:25" hidden="1" x14ac:dyDescent="0.25">
      <c r="A1156" s="1" t="s">
        <v>34</v>
      </c>
      <c r="B1156" s="1" t="s">
        <v>137</v>
      </c>
      <c r="C1156" s="1" t="s">
        <v>27</v>
      </c>
      <c r="D1156" s="1" t="s">
        <v>27</v>
      </c>
      <c r="E1156" s="10">
        <v>45880</v>
      </c>
      <c r="F1156" s="2">
        <v>45880</v>
      </c>
      <c r="G1156" s="3">
        <v>31</v>
      </c>
      <c r="H1156" s="4" t="s">
        <v>28</v>
      </c>
      <c r="I1156">
        <v>48</v>
      </c>
      <c r="J1156">
        <v>0</v>
      </c>
      <c r="K1156">
        <v>0</v>
      </c>
      <c r="L1156" s="3">
        <v>0</v>
      </c>
      <c r="M1156" s="3">
        <v>0</v>
      </c>
      <c r="N1156">
        <v>0</v>
      </c>
      <c r="O1156">
        <v>0</v>
      </c>
      <c r="P1156">
        <v>0</v>
      </c>
      <c r="Q1156">
        <v>0</v>
      </c>
      <c r="R1156" s="3">
        <v>0</v>
      </c>
      <c r="S1156" s="3">
        <v>0</v>
      </c>
      <c r="T1156">
        <v>0</v>
      </c>
      <c r="U1156">
        <v>0</v>
      </c>
      <c r="V1156" s="3">
        <v>0</v>
      </c>
      <c r="W1156" s="3">
        <v>0</v>
      </c>
      <c r="X1156">
        <v>0</v>
      </c>
      <c r="Y1156" t="s">
        <v>999</v>
      </c>
    </row>
    <row r="1157" spans="1:25" hidden="1" x14ac:dyDescent="0.25">
      <c r="A1157" s="1" t="s">
        <v>49</v>
      </c>
      <c r="B1157" s="1" t="s">
        <v>118</v>
      </c>
      <c r="C1157" s="1" t="s">
        <v>50</v>
      </c>
      <c r="D1157" s="1" t="s">
        <v>27</v>
      </c>
      <c r="E1157" s="10">
        <v>45880</v>
      </c>
      <c r="F1157" s="2">
        <v>45880</v>
      </c>
      <c r="G1157" s="3">
        <v>45</v>
      </c>
      <c r="H1157" s="4" t="s">
        <v>28</v>
      </c>
      <c r="I1157">
        <v>41</v>
      </c>
      <c r="J1157">
        <v>0</v>
      </c>
      <c r="K1157">
        <v>0</v>
      </c>
      <c r="L1157" s="3">
        <v>1</v>
      </c>
      <c r="M1157" s="3">
        <v>1</v>
      </c>
      <c r="N1157">
        <v>0</v>
      </c>
      <c r="O1157">
        <v>0</v>
      </c>
      <c r="P1157">
        <v>0</v>
      </c>
      <c r="Q1157">
        <v>0</v>
      </c>
      <c r="R1157" s="3">
        <v>0</v>
      </c>
      <c r="S1157" s="3">
        <v>0</v>
      </c>
      <c r="T1157">
        <v>0</v>
      </c>
      <c r="U1157">
        <v>0</v>
      </c>
      <c r="V1157" s="3">
        <v>0</v>
      </c>
      <c r="W1157" s="3">
        <v>0</v>
      </c>
      <c r="X1157">
        <v>0</v>
      </c>
      <c r="Y1157" t="s">
        <v>1000</v>
      </c>
    </row>
    <row r="1158" spans="1:25" hidden="1" x14ac:dyDescent="0.25">
      <c r="A1158" s="1" t="s">
        <v>51</v>
      </c>
      <c r="B1158" s="1" t="s">
        <v>120</v>
      </c>
      <c r="C1158" s="1" t="s">
        <v>55</v>
      </c>
      <c r="D1158" s="1" t="s">
        <v>27</v>
      </c>
      <c r="E1158" s="10">
        <v>45880</v>
      </c>
      <c r="F1158" s="2">
        <v>45880</v>
      </c>
      <c r="G1158" s="3">
        <v>51</v>
      </c>
      <c r="H1158" s="4" t="s">
        <v>28</v>
      </c>
      <c r="I1158">
        <v>37</v>
      </c>
      <c r="J1158">
        <v>0</v>
      </c>
      <c r="K1158">
        <v>0</v>
      </c>
      <c r="L1158" s="3">
        <v>0</v>
      </c>
      <c r="M1158" s="3">
        <v>0</v>
      </c>
      <c r="N1158">
        <v>1</v>
      </c>
      <c r="O1158">
        <v>0</v>
      </c>
      <c r="P1158">
        <v>0</v>
      </c>
      <c r="Q1158">
        <v>0</v>
      </c>
      <c r="R1158" s="3">
        <v>0</v>
      </c>
      <c r="S1158" s="3">
        <v>0</v>
      </c>
      <c r="T1158">
        <v>0</v>
      </c>
      <c r="U1158">
        <v>0</v>
      </c>
      <c r="V1158" s="3">
        <v>0</v>
      </c>
      <c r="W1158" s="3">
        <v>0</v>
      </c>
      <c r="X1158">
        <v>0</v>
      </c>
      <c r="Y1158" t="s">
        <v>1001</v>
      </c>
    </row>
    <row r="1159" spans="1:25" hidden="1" x14ac:dyDescent="0.25">
      <c r="A1159" s="1" t="s">
        <v>54</v>
      </c>
      <c r="B1159" s="1" t="s">
        <v>122</v>
      </c>
      <c r="C1159" s="1" t="s">
        <v>52</v>
      </c>
      <c r="D1159" s="1" t="s">
        <v>27</v>
      </c>
      <c r="E1159" s="10">
        <v>45880</v>
      </c>
      <c r="F1159" s="2">
        <v>45880</v>
      </c>
      <c r="G1159" s="3">
        <v>42</v>
      </c>
      <c r="H1159" s="4" t="s">
        <v>28</v>
      </c>
      <c r="I1159">
        <v>44</v>
      </c>
      <c r="J1159">
        <v>0</v>
      </c>
      <c r="K1159">
        <v>0</v>
      </c>
      <c r="L1159" s="3">
        <v>0</v>
      </c>
      <c r="M1159" s="3">
        <v>0</v>
      </c>
      <c r="N1159">
        <v>0</v>
      </c>
      <c r="O1159">
        <v>0</v>
      </c>
      <c r="P1159">
        <v>0</v>
      </c>
      <c r="Q1159">
        <v>2</v>
      </c>
      <c r="R1159" s="3">
        <v>0</v>
      </c>
      <c r="S1159" s="3">
        <v>0</v>
      </c>
      <c r="T1159">
        <v>0</v>
      </c>
      <c r="U1159">
        <v>0</v>
      </c>
      <c r="V1159" s="3">
        <v>0</v>
      </c>
      <c r="W1159" s="3">
        <v>0</v>
      </c>
      <c r="X1159">
        <v>0</v>
      </c>
      <c r="Y1159" t="s">
        <v>1002</v>
      </c>
    </row>
    <row r="1160" spans="1:25" hidden="1" x14ac:dyDescent="0.25">
      <c r="A1160" s="1" t="s">
        <v>53</v>
      </c>
      <c r="B1160" s="1" t="s">
        <v>142</v>
      </c>
      <c r="C1160" s="1" t="s">
        <v>39</v>
      </c>
      <c r="D1160" s="1" t="s">
        <v>27</v>
      </c>
      <c r="E1160" s="10">
        <v>45880</v>
      </c>
      <c r="F1160" s="2">
        <v>45880</v>
      </c>
      <c r="G1160" s="3">
        <v>59</v>
      </c>
      <c r="H1160" s="4" t="s">
        <v>28</v>
      </c>
      <c r="I1160">
        <v>28</v>
      </c>
      <c r="J1160">
        <v>0</v>
      </c>
      <c r="K1160">
        <v>0</v>
      </c>
      <c r="L1160" s="3">
        <v>1</v>
      </c>
      <c r="M1160" s="3">
        <v>0</v>
      </c>
      <c r="N1160">
        <v>0</v>
      </c>
      <c r="O1160">
        <v>0</v>
      </c>
      <c r="P1160">
        <v>0</v>
      </c>
      <c r="Q1160">
        <v>0</v>
      </c>
      <c r="R1160" s="3">
        <v>0</v>
      </c>
      <c r="S1160" s="3">
        <v>0</v>
      </c>
      <c r="T1160">
        <v>0</v>
      </c>
      <c r="U1160">
        <v>0</v>
      </c>
      <c r="V1160" s="3">
        <v>0</v>
      </c>
      <c r="W1160" s="3">
        <v>0</v>
      </c>
      <c r="X1160">
        <v>0</v>
      </c>
      <c r="Y1160" t="s">
        <v>1003</v>
      </c>
    </row>
    <row r="1161" spans="1:25" hidden="1" x14ac:dyDescent="0.25">
      <c r="A1161" s="1" t="s">
        <v>58</v>
      </c>
      <c r="B1161" s="1" t="s">
        <v>144</v>
      </c>
      <c r="C1161" s="1" t="s">
        <v>489</v>
      </c>
      <c r="D1161" s="1" t="s">
        <v>27</v>
      </c>
      <c r="E1161" s="10">
        <v>45880</v>
      </c>
      <c r="F1161" s="2">
        <v>45880</v>
      </c>
      <c r="G1161" s="3">
        <v>34</v>
      </c>
      <c r="H1161" s="4" t="s">
        <v>28</v>
      </c>
      <c r="I1161">
        <v>62</v>
      </c>
      <c r="J1161">
        <v>0</v>
      </c>
      <c r="K1161">
        <v>0</v>
      </c>
      <c r="L1161" s="3">
        <v>1</v>
      </c>
      <c r="M1161" s="3">
        <v>0</v>
      </c>
      <c r="N1161">
        <v>0</v>
      </c>
      <c r="O1161">
        <v>0</v>
      </c>
      <c r="P1161">
        <v>0</v>
      </c>
      <c r="Q1161">
        <v>0</v>
      </c>
      <c r="R1161" s="3">
        <v>0</v>
      </c>
      <c r="S1161" s="3">
        <v>0</v>
      </c>
      <c r="T1161">
        <v>0</v>
      </c>
      <c r="U1161">
        <v>0</v>
      </c>
      <c r="V1161" s="3">
        <v>0</v>
      </c>
      <c r="W1161" s="3">
        <v>0</v>
      </c>
      <c r="X1161">
        <v>0</v>
      </c>
      <c r="Y1161" t="s">
        <v>1003</v>
      </c>
    </row>
    <row r="1162" spans="1:25" hidden="1" x14ac:dyDescent="0.25">
      <c r="A1162" s="1" t="s">
        <v>48</v>
      </c>
      <c r="B1162" s="1" t="s">
        <v>106</v>
      </c>
      <c r="C1162" s="1" t="s">
        <v>27</v>
      </c>
      <c r="D1162" s="1" t="s">
        <v>27</v>
      </c>
      <c r="E1162" s="10">
        <v>45880</v>
      </c>
      <c r="F1162" s="2">
        <v>45880</v>
      </c>
      <c r="G1162" s="3">
        <v>34</v>
      </c>
      <c r="H1162" s="4" t="s">
        <v>28</v>
      </c>
      <c r="I1162">
        <v>50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1003</v>
      </c>
    </row>
    <row r="1163" spans="1:25" hidden="1" x14ac:dyDescent="0.25">
      <c r="A1163" s="1" t="s">
        <v>25</v>
      </c>
      <c r="B1163" s="1" t="s">
        <v>182</v>
      </c>
      <c r="C1163" s="1" t="s">
        <v>27</v>
      </c>
      <c r="D1163" s="1" t="s">
        <v>27</v>
      </c>
      <c r="E1163" s="10">
        <v>45880</v>
      </c>
      <c r="F1163" s="2">
        <v>45880</v>
      </c>
      <c r="G1163" s="3">
        <v>34</v>
      </c>
      <c r="H1163" s="4" t="s">
        <v>959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1003</v>
      </c>
    </row>
    <row r="1164" spans="1:25" hidden="1" x14ac:dyDescent="0.25">
      <c r="A1164" s="1" t="s">
        <v>25</v>
      </c>
      <c r="B1164" s="1" t="s">
        <v>96</v>
      </c>
      <c r="C1164" s="1" t="s">
        <v>27</v>
      </c>
      <c r="D1164" s="1" t="s">
        <v>27</v>
      </c>
      <c r="E1164" s="2">
        <v>45881</v>
      </c>
      <c r="F1164" s="2">
        <v>45881</v>
      </c>
      <c r="G1164" s="3">
        <v>45</v>
      </c>
      <c r="H1164" s="4" t="s">
        <v>28</v>
      </c>
      <c r="I1164">
        <v>53</v>
      </c>
      <c r="J1164">
        <v>0</v>
      </c>
      <c r="K1164">
        <v>0</v>
      </c>
      <c r="L1164" s="3">
        <v>1</v>
      </c>
      <c r="M1164" s="3">
        <v>0</v>
      </c>
      <c r="N1164">
        <v>1</v>
      </c>
      <c r="O1164">
        <v>0</v>
      </c>
      <c r="P1164">
        <v>0</v>
      </c>
      <c r="Q1164">
        <v>0</v>
      </c>
      <c r="R1164" s="3">
        <v>0</v>
      </c>
      <c r="S1164" s="3">
        <v>0</v>
      </c>
      <c r="T1164">
        <v>0</v>
      </c>
      <c r="U1164">
        <v>0</v>
      </c>
      <c r="V1164" s="3">
        <v>0</v>
      </c>
      <c r="W1164" s="3">
        <v>0</v>
      </c>
      <c r="X1164">
        <v>0</v>
      </c>
      <c r="Y1164" t="s">
        <v>1004</v>
      </c>
    </row>
    <row r="1165" spans="1:25" hidden="1" x14ac:dyDescent="0.25">
      <c r="A1165" s="1" t="s">
        <v>56</v>
      </c>
      <c r="B1165" s="1" t="s">
        <v>98</v>
      </c>
      <c r="C1165" s="1" t="s">
        <v>37</v>
      </c>
      <c r="D1165" s="1" t="s">
        <v>27</v>
      </c>
      <c r="E1165" s="2">
        <v>45881</v>
      </c>
      <c r="F1165" s="2">
        <v>45881</v>
      </c>
      <c r="G1165" s="3">
        <v>25</v>
      </c>
      <c r="H1165" s="4" t="s">
        <v>28</v>
      </c>
      <c r="I1165">
        <v>77</v>
      </c>
      <c r="J1165">
        <v>0</v>
      </c>
      <c r="K1165">
        <v>0</v>
      </c>
      <c r="L1165" s="3">
        <v>1</v>
      </c>
      <c r="M1165" s="3">
        <v>0</v>
      </c>
      <c r="N1165">
        <v>0</v>
      </c>
      <c r="O1165">
        <v>0</v>
      </c>
      <c r="P1165">
        <v>0</v>
      </c>
      <c r="Q1165">
        <v>0</v>
      </c>
      <c r="R1165" s="3">
        <v>0</v>
      </c>
      <c r="S1165" s="3">
        <v>0</v>
      </c>
      <c r="T1165">
        <v>0</v>
      </c>
      <c r="U1165">
        <v>0</v>
      </c>
      <c r="V1165" s="3">
        <v>0</v>
      </c>
      <c r="W1165" s="3">
        <v>0</v>
      </c>
      <c r="X1165">
        <v>0</v>
      </c>
      <c r="Y1165" t="s">
        <v>1005</v>
      </c>
    </row>
    <row r="1166" spans="1:25" hidden="1" x14ac:dyDescent="0.25">
      <c r="A1166" s="1" t="s">
        <v>29</v>
      </c>
      <c r="B1166" s="1" t="s">
        <v>100</v>
      </c>
      <c r="C1166" s="1" t="s">
        <v>95</v>
      </c>
      <c r="D1166" s="1" t="s">
        <v>27</v>
      </c>
      <c r="E1166" s="2">
        <v>45881</v>
      </c>
      <c r="F1166" s="2">
        <v>45881</v>
      </c>
      <c r="G1166" s="3">
        <v>53</v>
      </c>
      <c r="H1166" s="4" t="s">
        <v>28</v>
      </c>
      <c r="I1166">
        <v>57</v>
      </c>
      <c r="J1166">
        <v>0</v>
      </c>
      <c r="K1166">
        <v>0</v>
      </c>
      <c r="L1166" s="3">
        <v>0</v>
      </c>
      <c r="M1166" s="3">
        <v>0</v>
      </c>
      <c r="N1166">
        <v>0</v>
      </c>
      <c r="O1166">
        <v>0</v>
      </c>
      <c r="P1166">
        <v>0</v>
      </c>
      <c r="Q1166">
        <v>0</v>
      </c>
      <c r="R1166" s="3">
        <v>0</v>
      </c>
      <c r="S1166" s="3">
        <v>0</v>
      </c>
      <c r="T1166">
        <v>0</v>
      </c>
      <c r="U1166">
        <v>0</v>
      </c>
      <c r="V1166" s="3">
        <v>0</v>
      </c>
      <c r="W1166" s="3">
        <v>0</v>
      </c>
      <c r="X1166">
        <v>0</v>
      </c>
      <c r="Y1166" t="s">
        <v>1006</v>
      </c>
    </row>
    <row r="1167" spans="1:25" hidden="1" x14ac:dyDescent="0.25">
      <c r="A1167" s="1" t="s">
        <v>344</v>
      </c>
      <c r="B1167" s="1" t="s">
        <v>102</v>
      </c>
      <c r="C1167" s="1" t="s">
        <v>35</v>
      </c>
      <c r="D1167" s="1" t="s">
        <v>27</v>
      </c>
      <c r="E1167" s="2">
        <v>45881</v>
      </c>
      <c r="F1167" s="2">
        <v>45881</v>
      </c>
      <c r="G1167" s="3">
        <v>35</v>
      </c>
      <c r="H1167" s="4" t="s">
        <v>28</v>
      </c>
      <c r="I1167">
        <v>47</v>
      </c>
      <c r="J1167">
        <v>0</v>
      </c>
      <c r="K1167">
        <v>0</v>
      </c>
      <c r="L1167" s="3">
        <v>0</v>
      </c>
      <c r="M1167" s="3">
        <v>0</v>
      </c>
      <c r="N1167">
        <v>0</v>
      </c>
      <c r="O1167">
        <v>0</v>
      </c>
      <c r="P1167">
        <v>0</v>
      </c>
      <c r="Q1167">
        <v>0</v>
      </c>
      <c r="R1167" s="3">
        <v>0</v>
      </c>
      <c r="S1167" s="3">
        <v>0</v>
      </c>
      <c r="T1167">
        <v>0</v>
      </c>
      <c r="U1167">
        <v>0</v>
      </c>
      <c r="V1167" s="3">
        <v>0</v>
      </c>
      <c r="W1167" s="3">
        <v>0</v>
      </c>
      <c r="X1167">
        <v>0</v>
      </c>
      <c r="Y1167" t="s">
        <v>850</v>
      </c>
    </row>
    <row r="1168" spans="1:25" hidden="1" x14ac:dyDescent="0.25">
      <c r="A1168" s="1" t="s">
        <v>31</v>
      </c>
      <c r="B1168" s="1" t="s">
        <v>104</v>
      </c>
      <c r="C1168" s="1" t="s">
        <v>32</v>
      </c>
      <c r="D1168" s="1" t="s">
        <v>27</v>
      </c>
      <c r="E1168" s="2">
        <v>45881</v>
      </c>
      <c r="F1168" s="2">
        <v>45881</v>
      </c>
      <c r="G1168" s="3">
        <v>69</v>
      </c>
      <c r="H1168" s="4" t="s">
        <v>28</v>
      </c>
      <c r="I1168">
        <v>64</v>
      </c>
      <c r="J1168">
        <v>0</v>
      </c>
      <c r="K1168">
        <v>0</v>
      </c>
      <c r="L1168" s="3">
        <v>0</v>
      </c>
      <c r="M1168" s="3">
        <v>0</v>
      </c>
      <c r="N1168">
        <v>0</v>
      </c>
      <c r="O1168">
        <v>0</v>
      </c>
      <c r="P1168">
        <v>0</v>
      </c>
      <c r="Q1168">
        <v>50</v>
      </c>
      <c r="R1168" s="3">
        <v>0</v>
      </c>
      <c r="S1168" s="3">
        <v>0</v>
      </c>
      <c r="T1168">
        <v>0</v>
      </c>
      <c r="U1168">
        <v>0</v>
      </c>
      <c r="V1168" s="3">
        <v>0</v>
      </c>
      <c r="W1168" s="3">
        <v>0</v>
      </c>
      <c r="X1168">
        <v>0</v>
      </c>
      <c r="Y1168" t="s">
        <v>1007</v>
      </c>
    </row>
    <row r="1169" spans="1:25" hidden="1" x14ac:dyDescent="0.25">
      <c r="A1169" s="1" t="s">
        <v>34</v>
      </c>
      <c r="B1169" s="1" t="s">
        <v>247</v>
      </c>
      <c r="C1169" s="1" t="s">
        <v>27</v>
      </c>
      <c r="D1169" s="1" t="s">
        <v>27</v>
      </c>
      <c r="E1169" s="2">
        <v>45881</v>
      </c>
      <c r="F1169" s="2">
        <v>45881</v>
      </c>
      <c r="G1169" s="3">
        <v>27</v>
      </c>
      <c r="H1169" s="4" t="s">
        <v>28</v>
      </c>
      <c r="I1169">
        <v>53</v>
      </c>
      <c r="J1169">
        <v>0</v>
      </c>
      <c r="K1169">
        <v>0</v>
      </c>
      <c r="L1169" s="3">
        <v>0</v>
      </c>
      <c r="M1169" s="3">
        <v>0</v>
      </c>
      <c r="N1169">
        <v>0</v>
      </c>
      <c r="O1169">
        <v>0</v>
      </c>
      <c r="P1169">
        <v>0</v>
      </c>
      <c r="Q1169">
        <v>0</v>
      </c>
      <c r="R1169" s="3">
        <v>0</v>
      </c>
      <c r="S1169" s="3">
        <v>0</v>
      </c>
      <c r="T1169">
        <v>0</v>
      </c>
      <c r="U1169">
        <v>0</v>
      </c>
      <c r="V1169" s="3">
        <v>0</v>
      </c>
      <c r="W1169" s="3">
        <v>0</v>
      </c>
      <c r="X1169">
        <v>0</v>
      </c>
      <c r="Y1169" t="s">
        <v>1008</v>
      </c>
    </row>
    <row r="1170" spans="1:25" hidden="1" x14ac:dyDescent="0.25">
      <c r="A1170" s="1" t="s">
        <v>48</v>
      </c>
      <c r="B1170" s="1" t="s">
        <v>247</v>
      </c>
      <c r="C1170" s="1" t="s">
        <v>27</v>
      </c>
      <c r="D1170" s="1" t="s">
        <v>27</v>
      </c>
      <c r="E1170" s="2">
        <v>45881</v>
      </c>
      <c r="F1170" s="2">
        <v>45881</v>
      </c>
      <c r="G1170" s="3">
        <v>27</v>
      </c>
      <c r="H1170" s="4" t="s">
        <v>28</v>
      </c>
      <c r="I1170">
        <v>53</v>
      </c>
      <c r="J1170">
        <v>0</v>
      </c>
      <c r="K1170">
        <v>0</v>
      </c>
      <c r="L1170" s="3">
        <v>0</v>
      </c>
      <c r="M1170" s="3">
        <v>0</v>
      </c>
      <c r="N1170">
        <v>0</v>
      </c>
      <c r="O1170">
        <v>0</v>
      </c>
      <c r="P1170">
        <v>0</v>
      </c>
      <c r="Q1170">
        <v>0</v>
      </c>
      <c r="R1170" s="3">
        <v>0</v>
      </c>
      <c r="S1170" s="3">
        <v>0</v>
      </c>
      <c r="T1170">
        <v>0</v>
      </c>
      <c r="U1170">
        <v>0</v>
      </c>
      <c r="V1170" s="3">
        <v>0</v>
      </c>
      <c r="W1170" s="3">
        <v>0</v>
      </c>
      <c r="X1170">
        <v>0</v>
      </c>
      <c r="Y1170" t="s">
        <v>1008</v>
      </c>
    </row>
    <row r="1171" spans="1:25" hidden="1" x14ac:dyDescent="0.25">
      <c r="A1171" s="1" t="s">
        <v>40</v>
      </c>
      <c r="B1171" s="1" t="s">
        <v>110</v>
      </c>
      <c r="C1171" s="1" t="s">
        <v>27</v>
      </c>
      <c r="D1171" s="1" t="s">
        <v>27</v>
      </c>
      <c r="E1171" s="2">
        <v>45881</v>
      </c>
      <c r="F1171" s="2">
        <v>45881</v>
      </c>
      <c r="G1171" s="3">
        <v>45</v>
      </c>
      <c r="H1171" s="4" t="s">
        <v>28</v>
      </c>
      <c r="I1171">
        <v>25</v>
      </c>
      <c r="J1171">
        <v>0</v>
      </c>
      <c r="K1171">
        <v>0</v>
      </c>
      <c r="L1171" s="3">
        <v>0</v>
      </c>
      <c r="M1171" s="3">
        <v>0</v>
      </c>
      <c r="N1171">
        <v>0</v>
      </c>
      <c r="O1171">
        <v>0</v>
      </c>
      <c r="P1171">
        <v>0</v>
      </c>
      <c r="Q1171">
        <v>0</v>
      </c>
      <c r="R1171" s="3">
        <v>0</v>
      </c>
      <c r="S1171" s="3">
        <v>0</v>
      </c>
      <c r="T1171">
        <v>0</v>
      </c>
      <c r="U1171">
        <v>0</v>
      </c>
      <c r="V1171" s="3">
        <v>0</v>
      </c>
      <c r="W1171" s="3">
        <v>0</v>
      </c>
      <c r="X1171">
        <v>0</v>
      </c>
      <c r="Y1171" t="s">
        <v>1009</v>
      </c>
    </row>
    <row r="1172" spans="1:25" hidden="1" x14ac:dyDescent="0.25">
      <c r="A1172" s="1" t="s">
        <v>36</v>
      </c>
      <c r="B1172" s="1" t="s">
        <v>110</v>
      </c>
      <c r="C1172" s="1" t="s">
        <v>27</v>
      </c>
      <c r="D1172" s="1" t="s">
        <v>27</v>
      </c>
      <c r="E1172" s="2">
        <v>45881</v>
      </c>
      <c r="F1172" s="2">
        <v>45881</v>
      </c>
      <c r="G1172" s="3">
        <v>45</v>
      </c>
      <c r="H1172" s="4" t="s">
        <v>28</v>
      </c>
      <c r="I1172">
        <v>25</v>
      </c>
      <c r="J1172">
        <v>0</v>
      </c>
      <c r="K1172">
        <v>0</v>
      </c>
      <c r="L1172" s="3">
        <v>0</v>
      </c>
      <c r="M1172" s="3">
        <v>0</v>
      </c>
      <c r="N1172">
        <v>0</v>
      </c>
      <c r="O1172">
        <v>0</v>
      </c>
      <c r="P1172">
        <v>0</v>
      </c>
      <c r="Q1172">
        <v>0</v>
      </c>
      <c r="R1172" s="3">
        <v>0</v>
      </c>
      <c r="S1172" s="3">
        <v>0</v>
      </c>
      <c r="T1172">
        <v>0</v>
      </c>
      <c r="U1172">
        <v>0</v>
      </c>
      <c r="V1172" s="3">
        <v>0</v>
      </c>
      <c r="W1172" s="3">
        <v>0</v>
      </c>
      <c r="X1172">
        <v>0</v>
      </c>
      <c r="Y1172" t="s">
        <v>1009</v>
      </c>
    </row>
    <row r="1173" spans="1:25" hidden="1" x14ac:dyDescent="0.25">
      <c r="A1173" s="1" t="s">
        <v>41</v>
      </c>
      <c r="B1173" s="1" t="s">
        <v>112</v>
      </c>
      <c r="C1173" s="1" t="s">
        <v>42</v>
      </c>
      <c r="D1173" s="1" t="s">
        <v>27</v>
      </c>
      <c r="E1173" s="2">
        <v>45881</v>
      </c>
      <c r="F1173" s="2">
        <v>45881</v>
      </c>
      <c r="G1173" s="3">
        <v>41</v>
      </c>
      <c r="H1173" s="4" t="s">
        <v>28</v>
      </c>
      <c r="I1173">
        <v>44</v>
      </c>
      <c r="J1173">
        <v>0</v>
      </c>
      <c r="K1173">
        <v>0</v>
      </c>
      <c r="L1173" s="3">
        <v>1</v>
      </c>
      <c r="M1173" s="3">
        <v>0</v>
      </c>
      <c r="N1173">
        <v>0</v>
      </c>
      <c r="O1173">
        <v>0</v>
      </c>
      <c r="P1173">
        <v>0</v>
      </c>
      <c r="Q1173">
        <v>0</v>
      </c>
      <c r="R1173" s="3">
        <v>0</v>
      </c>
      <c r="S1173" s="3">
        <v>0</v>
      </c>
      <c r="T1173">
        <v>0</v>
      </c>
      <c r="U1173">
        <v>0</v>
      </c>
      <c r="V1173" s="3">
        <v>0</v>
      </c>
      <c r="W1173" s="3">
        <v>0</v>
      </c>
      <c r="X1173">
        <v>0</v>
      </c>
      <c r="Y1173" t="s">
        <v>996</v>
      </c>
    </row>
    <row r="1174" spans="1:25" hidden="1" x14ac:dyDescent="0.25">
      <c r="A1174" s="1" t="s">
        <v>43</v>
      </c>
      <c r="B1174" s="1" t="s">
        <v>114</v>
      </c>
      <c r="C1174" s="1" t="s">
        <v>44</v>
      </c>
      <c r="D1174" s="1" t="s">
        <v>27</v>
      </c>
      <c r="E1174" s="2">
        <v>45881</v>
      </c>
      <c r="F1174" s="2">
        <v>45881</v>
      </c>
      <c r="G1174" s="3">
        <v>34</v>
      </c>
      <c r="H1174" s="4" t="s">
        <v>28</v>
      </c>
      <c r="I1174">
        <v>83</v>
      </c>
      <c r="J1174">
        <v>0</v>
      </c>
      <c r="K1174">
        <v>0</v>
      </c>
      <c r="L1174" s="3">
        <v>1</v>
      </c>
      <c r="M1174" s="3">
        <v>0</v>
      </c>
      <c r="N1174">
        <v>0</v>
      </c>
      <c r="O1174">
        <v>0</v>
      </c>
      <c r="P1174">
        <v>0</v>
      </c>
      <c r="Q1174">
        <v>0</v>
      </c>
      <c r="R1174" s="3">
        <v>0</v>
      </c>
      <c r="S1174" s="3">
        <v>0</v>
      </c>
      <c r="T1174">
        <v>0</v>
      </c>
      <c r="U1174">
        <v>0</v>
      </c>
      <c r="V1174" s="3">
        <v>0</v>
      </c>
      <c r="W1174" s="3">
        <v>0</v>
      </c>
      <c r="X1174">
        <v>0</v>
      </c>
      <c r="Y1174" t="s">
        <v>997</v>
      </c>
    </row>
    <row r="1175" spans="1:25" hidden="1" x14ac:dyDescent="0.25">
      <c r="A1175" s="1" t="s">
        <v>45</v>
      </c>
      <c r="B1175" s="1" t="s">
        <v>116</v>
      </c>
      <c r="C1175" s="1" t="s">
        <v>46</v>
      </c>
      <c r="D1175" s="1" t="s">
        <v>27</v>
      </c>
      <c r="E1175" s="2">
        <v>45881</v>
      </c>
      <c r="F1175" s="2">
        <v>45881</v>
      </c>
      <c r="G1175" s="3">
        <v>44</v>
      </c>
      <c r="H1175" s="4" t="s">
        <v>28</v>
      </c>
      <c r="I1175">
        <v>37</v>
      </c>
      <c r="J1175">
        <v>0</v>
      </c>
      <c r="K1175">
        <v>0</v>
      </c>
      <c r="L1175" s="3">
        <v>0</v>
      </c>
      <c r="M1175" s="3">
        <v>0</v>
      </c>
      <c r="N1175">
        <v>0</v>
      </c>
      <c r="O1175">
        <v>0</v>
      </c>
      <c r="P1175">
        <v>0</v>
      </c>
      <c r="Q1175">
        <v>0</v>
      </c>
      <c r="R1175" s="3">
        <v>0</v>
      </c>
      <c r="S1175" s="3">
        <v>0</v>
      </c>
      <c r="T1175">
        <v>0</v>
      </c>
      <c r="U1175">
        <v>0</v>
      </c>
      <c r="V1175" s="3">
        <v>0</v>
      </c>
      <c r="W1175" s="3">
        <v>0</v>
      </c>
      <c r="X1175">
        <v>0</v>
      </c>
      <c r="Y1175" t="s">
        <v>1010</v>
      </c>
    </row>
    <row r="1176" spans="1:25" hidden="1" x14ac:dyDescent="0.25">
      <c r="A1176" s="1" t="s">
        <v>49</v>
      </c>
      <c r="B1176" s="1" t="s">
        <v>118</v>
      </c>
      <c r="C1176" s="1" t="s">
        <v>50</v>
      </c>
      <c r="D1176" s="1" t="s">
        <v>27</v>
      </c>
      <c r="E1176" s="2">
        <v>45881</v>
      </c>
      <c r="F1176" s="2">
        <v>45881</v>
      </c>
      <c r="G1176" s="3">
        <v>20</v>
      </c>
      <c r="H1176" s="4" t="s">
        <v>28</v>
      </c>
      <c r="I1176">
        <v>29</v>
      </c>
      <c r="J1176">
        <v>0</v>
      </c>
      <c r="K1176">
        <v>0</v>
      </c>
      <c r="L1176" s="3">
        <v>1</v>
      </c>
      <c r="M1176" s="3">
        <v>1</v>
      </c>
      <c r="N1176">
        <v>0</v>
      </c>
      <c r="O1176">
        <v>1</v>
      </c>
      <c r="P1176">
        <v>0</v>
      </c>
      <c r="Q1176">
        <v>0</v>
      </c>
      <c r="R1176" s="3">
        <v>0</v>
      </c>
      <c r="S1176" s="3">
        <v>0</v>
      </c>
      <c r="T1176">
        <v>0</v>
      </c>
      <c r="U1176">
        <v>0</v>
      </c>
      <c r="V1176" s="3">
        <v>0</v>
      </c>
      <c r="W1176" s="3">
        <v>0</v>
      </c>
      <c r="X1176">
        <v>0</v>
      </c>
      <c r="Y1176" t="s">
        <v>1011</v>
      </c>
    </row>
    <row r="1177" spans="1:25" hidden="1" x14ac:dyDescent="0.25">
      <c r="A1177" s="1" t="s">
        <v>54</v>
      </c>
      <c r="B1177" s="1" t="s">
        <v>122</v>
      </c>
      <c r="C1177" s="1" t="s">
        <v>52</v>
      </c>
      <c r="D1177" s="1" t="s">
        <v>27</v>
      </c>
      <c r="E1177" s="2">
        <v>45881</v>
      </c>
      <c r="F1177" s="2">
        <v>45881</v>
      </c>
      <c r="G1177" s="3">
        <v>49</v>
      </c>
      <c r="H1177" s="4" t="s">
        <v>28</v>
      </c>
      <c r="I1177">
        <v>50</v>
      </c>
      <c r="J1177">
        <v>0</v>
      </c>
      <c r="K1177">
        <v>0</v>
      </c>
      <c r="L1177" s="3">
        <v>0</v>
      </c>
      <c r="M1177" s="3">
        <v>0</v>
      </c>
      <c r="N1177">
        <v>0</v>
      </c>
      <c r="O1177">
        <v>0</v>
      </c>
      <c r="P1177">
        <v>0</v>
      </c>
      <c r="Q1177">
        <v>2</v>
      </c>
      <c r="R1177" s="3">
        <v>0</v>
      </c>
      <c r="S1177" s="3">
        <v>0</v>
      </c>
      <c r="T1177">
        <v>0</v>
      </c>
      <c r="U1177">
        <v>0</v>
      </c>
      <c r="V1177" s="3">
        <v>0</v>
      </c>
      <c r="W1177" s="3">
        <v>0</v>
      </c>
      <c r="X1177">
        <v>0</v>
      </c>
      <c r="Y1177" t="s">
        <v>1012</v>
      </c>
    </row>
    <row r="1178" spans="1:25" hidden="1" x14ac:dyDescent="0.25">
      <c r="A1178" s="1" t="s">
        <v>58</v>
      </c>
      <c r="B1178" s="1" t="s">
        <v>144</v>
      </c>
      <c r="C1178" s="1" t="s">
        <v>489</v>
      </c>
      <c r="D1178" s="1" t="s">
        <v>27</v>
      </c>
      <c r="E1178" s="2">
        <v>45881</v>
      </c>
      <c r="F1178" s="2">
        <v>45881</v>
      </c>
      <c r="G1178" s="3">
        <v>24</v>
      </c>
      <c r="H1178" s="4" t="s">
        <v>28</v>
      </c>
      <c r="I1178">
        <v>46</v>
      </c>
      <c r="J1178">
        <v>0</v>
      </c>
      <c r="K1178">
        <v>0</v>
      </c>
      <c r="L1178" s="3">
        <v>0</v>
      </c>
      <c r="M1178" s="3">
        <v>0</v>
      </c>
      <c r="N1178">
        <v>0</v>
      </c>
      <c r="O1178">
        <v>0</v>
      </c>
      <c r="P1178">
        <v>3</v>
      </c>
      <c r="Q1178">
        <v>0</v>
      </c>
      <c r="R1178" s="3">
        <v>0</v>
      </c>
      <c r="S1178" s="3">
        <v>0</v>
      </c>
      <c r="T1178">
        <v>0</v>
      </c>
      <c r="U1178">
        <v>0</v>
      </c>
      <c r="V1178" s="3">
        <v>0</v>
      </c>
      <c r="W1178" s="3">
        <v>0</v>
      </c>
      <c r="X1178">
        <v>0</v>
      </c>
      <c r="Y1178" t="s">
        <v>1013</v>
      </c>
    </row>
    <row r="1179" spans="1:25" hidden="1" x14ac:dyDescent="0.25">
      <c r="A1179" s="1" t="s">
        <v>51</v>
      </c>
      <c r="B1179" s="1" t="s">
        <v>106</v>
      </c>
      <c r="C1179" s="1" t="s">
        <v>27</v>
      </c>
      <c r="D1179" s="1" t="s">
        <v>27</v>
      </c>
      <c r="E1179" s="2">
        <v>45881</v>
      </c>
      <c r="F1179" s="2">
        <v>45881</v>
      </c>
      <c r="G1179" s="3">
        <v>25</v>
      </c>
      <c r="H1179" s="4" t="s">
        <v>28</v>
      </c>
      <c r="I1179">
        <v>25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1013</v>
      </c>
    </row>
    <row r="1180" spans="1:25" hidden="1" x14ac:dyDescent="0.25">
      <c r="A1180" s="1" t="s">
        <v>47</v>
      </c>
      <c r="B1180" s="1" t="s">
        <v>182</v>
      </c>
      <c r="C1180" s="1" t="s">
        <v>27</v>
      </c>
      <c r="D1180" s="1" t="s">
        <v>27</v>
      </c>
      <c r="E1180" s="2">
        <v>45881</v>
      </c>
      <c r="F1180" s="2">
        <v>45881</v>
      </c>
      <c r="G1180" s="3">
        <v>26</v>
      </c>
      <c r="H1180" s="4" t="s">
        <v>180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1013</v>
      </c>
    </row>
    <row r="1181" spans="1:25" hidden="1" x14ac:dyDescent="0.25">
      <c r="A1181" s="1" t="s">
        <v>27</v>
      </c>
      <c r="B1181" s="1" t="s">
        <v>184</v>
      </c>
      <c r="C1181" s="1" t="s">
        <v>55</v>
      </c>
      <c r="D1181" s="1" t="s">
        <v>27</v>
      </c>
      <c r="E1181" s="2">
        <v>45881</v>
      </c>
      <c r="F1181" s="2">
        <v>45881</v>
      </c>
      <c r="G1181" s="3">
        <v>27</v>
      </c>
      <c r="H1181" s="4" t="s">
        <v>959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1013</v>
      </c>
    </row>
    <row r="1182" spans="1:25" hidden="1" x14ac:dyDescent="0.25">
      <c r="A1182" s="1" t="s">
        <v>27</v>
      </c>
      <c r="B1182" s="1" t="s">
        <v>186</v>
      </c>
      <c r="C1182" s="1" t="s">
        <v>57</v>
      </c>
      <c r="D1182" s="1" t="s">
        <v>27</v>
      </c>
      <c r="E1182" s="2">
        <v>45881</v>
      </c>
      <c r="F1182" s="2">
        <v>45881</v>
      </c>
      <c r="G1182" s="3">
        <v>28</v>
      </c>
      <c r="H1182" s="4" t="s">
        <v>959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1013</v>
      </c>
    </row>
    <row r="1183" spans="1:25" hidden="1" x14ac:dyDescent="0.25">
      <c r="A1183" s="1" t="s">
        <v>33</v>
      </c>
      <c r="B1183" s="1" t="s">
        <v>96</v>
      </c>
      <c r="C1183" s="1" t="s">
        <v>27</v>
      </c>
      <c r="D1183" s="1" t="s">
        <v>27</v>
      </c>
      <c r="E1183" s="2">
        <v>45881</v>
      </c>
      <c r="F1183" s="2">
        <v>45881</v>
      </c>
      <c r="G1183" s="3">
        <v>45</v>
      </c>
      <c r="H1183" s="4" t="s">
        <v>28</v>
      </c>
      <c r="I1183">
        <v>53</v>
      </c>
      <c r="J1183">
        <v>0</v>
      </c>
      <c r="K1183">
        <v>0</v>
      </c>
      <c r="L1183" s="3">
        <v>0</v>
      </c>
      <c r="M1183" s="3">
        <v>0</v>
      </c>
      <c r="N1183">
        <v>1</v>
      </c>
      <c r="O1183">
        <v>0</v>
      </c>
      <c r="P1183">
        <v>0</v>
      </c>
      <c r="Q1183">
        <v>0</v>
      </c>
      <c r="R1183" s="3">
        <v>0</v>
      </c>
      <c r="S1183" s="3">
        <v>0</v>
      </c>
      <c r="T1183">
        <v>0</v>
      </c>
      <c r="U1183">
        <v>0</v>
      </c>
      <c r="V1183" s="3">
        <v>0</v>
      </c>
      <c r="W1183" s="3">
        <v>0</v>
      </c>
      <c r="X1183">
        <v>0</v>
      </c>
      <c r="Y1183" t="s">
        <v>1004</v>
      </c>
    </row>
    <row r="1184" spans="1:25" hidden="1" x14ac:dyDescent="0.25">
      <c r="A1184" s="1" t="s">
        <v>56</v>
      </c>
      <c r="B1184" s="1" t="s">
        <v>98</v>
      </c>
      <c r="C1184" s="1" t="s">
        <v>37</v>
      </c>
      <c r="D1184" s="1" t="s">
        <v>27</v>
      </c>
      <c r="E1184" s="2">
        <v>45882</v>
      </c>
      <c r="F1184" s="2">
        <v>45882</v>
      </c>
      <c r="G1184" s="3">
        <v>39</v>
      </c>
      <c r="H1184" s="4" t="s">
        <v>28</v>
      </c>
      <c r="I1184">
        <v>42</v>
      </c>
      <c r="J1184">
        <v>0</v>
      </c>
      <c r="K1184">
        <v>0</v>
      </c>
      <c r="L1184" s="3">
        <v>1</v>
      </c>
      <c r="M1184" s="3">
        <v>0</v>
      </c>
      <c r="N1184">
        <v>0</v>
      </c>
      <c r="O1184">
        <v>0</v>
      </c>
      <c r="P1184">
        <v>0</v>
      </c>
      <c r="Q1184">
        <v>0</v>
      </c>
      <c r="R1184" s="3">
        <v>0</v>
      </c>
      <c r="S1184" s="3">
        <v>0</v>
      </c>
      <c r="T1184">
        <v>0</v>
      </c>
      <c r="U1184">
        <v>0</v>
      </c>
      <c r="V1184" s="3">
        <v>0</v>
      </c>
      <c r="W1184" s="3">
        <v>0</v>
      </c>
      <c r="X1184">
        <v>0</v>
      </c>
      <c r="Y1184" t="s">
        <v>1014</v>
      </c>
    </row>
    <row r="1185" spans="1:25" hidden="1" x14ac:dyDescent="0.25">
      <c r="A1185" s="1" t="s">
        <v>29</v>
      </c>
      <c r="B1185" s="1" t="s">
        <v>100</v>
      </c>
      <c r="C1185" s="1" t="s">
        <v>95</v>
      </c>
      <c r="D1185" s="1" t="s">
        <v>27</v>
      </c>
      <c r="E1185" s="2">
        <v>45882</v>
      </c>
      <c r="F1185" s="2">
        <v>45882</v>
      </c>
      <c r="G1185" s="3">
        <v>33</v>
      </c>
      <c r="H1185" s="4" t="s">
        <v>28</v>
      </c>
      <c r="I1185">
        <v>45</v>
      </c>
      <c r="J1185">
        <v>0</v>
      </c>
      <c r="K1185">
        <v>0</v>
      </c>
      <c r="L1185" s="3">
        <v>1</v>
      </c>
      <c r="M1185" s="3">
        <v>0</v>
      </c>
      <c r="N1185">
        <v>0</v>
      </c>
      <c r="O1185">
        <v>0</v>
      </c>
      <c r="P1185">
        <v>0</v>
      </c>
      <c r="Q1185">
        <v>0</v>
      </c>
      <c r="R1185" s="3">
        <v>0</v>
      </c>
      <c r="S1185" s="3">
        <v>0</v>
      </c>
      <c r="T1185">
        <v>0</v>
      </c>
      <c r="U1185">
        <v>0</v>
      </c>
      <c r="V1185" s="3">
        <v>0</v>
      </c>
      <c r="W1185" s="3">
        <v>0</v>
      </c>
      <c r="X1185">
        <v>0</v>
      </c>
      <c r="Y1185" t="s">
        <v>1015</v>
      </c>
    </row>
    <row r="1186" spans="1:25" hidden="1" x14ac:dyDescent="0.25">
      <c r="A1186" s="1" t="s">
        <v>344</v>
      </c>
      <c r="B1186" s="1" t="s">
        <v>102</v>
      </c>
      <c r="C1186" s="1" t="s">
        <v>35</v>
      </c>
      <c r="D1186" s="1" t="s">
        <v>27</v>
      </c>
      <c r="E1186" s="2">
        <v>45882</v>
      </c>
      <c r="F1186" s="2">
        <v>45882</v>
      </c>
      <c r="G1186" s="3">
        <v>35</v>
      </c>
      <c r="H1186" s="4" t="s">
        <v>28</v>
      </c>
      <c r="I1186">
        <v>25</v>
      </c>
      <c r="J1186">
        <v>0</v>
      </c>
      <c r="K1186">
        <v>0</v>
      </c>
      <c r="L1186" s="3">
        <v>0</v>
      </c>
      <c r="M1186" s="3">
        <v>0</v>
      </c>
      <c r="N1186">
        <v>0</v>
      </c>
      <c r="O1186">
        <v>0</v>
      </c>
      <c r="P1186">
        <v>0</v>
      </c>
      <c r="Q1186">
        <v>0</v>
      </c>
      <c r="R1186" s="3">
        <v>0</v>
      </c>
      <c r="S1186" s="3">
        <v>0</v>
      </c>
      <c r="T1186">
        <v>0</v>
      </c>
      <c r="U1186">
        <v>0</v>
      </c>
      <c r="V1186" s="3">
        <v>0</v>
      </c>
      <c r="W1186" s="3">
        <v>0</v>
      </c>
      <c r="X1186">
        <v>0</v>
      </c>
      <c r="Y1186" t="s">
        <v>850</v>
      </c>
    </row>
    <row r="1187" spans="1:25" hidden="1" x14ac:dyDescent="0.25">
      <c r="A1187" s="1" t="s">
        <v>31</v>
      </c>
      <c r="B1187" s="1" t="s">
        <v>104</v>
      </c>
      <c r="C1187" s="1" t="s">
        <v>32</v>
      </c>
      <c r="D1187" s="1" t="s">
        <v>27</v>
      </c>
      <c r="E1187" s="2">
        <v>45882</v>
      </c>
      <c r="F1187" s="2">
        <v>45882</v>
      </c>
      <c r="G1187" s="3">
        <v>59</v>
      </c>
      <c r="H1187" s="4" t="s">
        <v>28</v>
      </c>
      <c r="I1187">
        <v>101</v>
      </c>
      <c r="J1187">
        <v>0</v>
      </c>
      <c r="K1187">
        <v>0</v>
      </c>
      <c r="L1187" s="3">
        <v>0</v>
      </c>
      <c r="M1187" s="3">
        <v>0</v>
      </c>
      <c r="N1187">
        <v>0</v>
      </c>
      <c r="O1187">
        <v>0</v>
      </c>
      <c r="P1187">
        <v>2</v>
      </c>
      <c r="Q1187">
        <v>59</v>
      </c>
      <c r="R1187" s="3">
        <v>0</v>
      </c>
      <c r="S1187" s="3">
        <v>0</v>
      </c>
      <c r="T1187">
        <v>0</v>
      </c>
      <c r="U1187">
        <v>0</v>
      </c>
      <c r="V1187" s="3">
        <v>0</v>
      </c>
      <c r="W1187" s="3">
        <v>0</v>
      </c>
      <c r="X1187">
        <v>0</v>
      </c>
      <c r="Y1187" t="s">
        <v>1016</v>
      </c>
    </row>
    <row r="1188" spans="1:25" hidden="1" x14ac:dyDescent="0.25">
      <c r="A1188" s="1" t="s">
        <v>33</v>
      </c>
      <c r="B1188" s="1" t="s">
        <v>106</v>
      </c>
      <c r="C1188" s="1" t="s">
        <v>57</v>
      </c>
      <c r="D1188" s="1" t="s">
        <v>27</v>
      </c>
      <c r="E1188" s="2">
        <v>45882</v>
      </c>
      <c r="F1188" s="2">
        <v>45882</v>
      </c>
      <c r="G1188" s="3">
        <v>25</v>
      </c>
      <c r="H1188" s="4" t="s">
        <v>28</v>
      </c>
      <c r="I1188">
        <v>45</v>
      </c>
      <c r="J1188">
        <v>0</v>
      </c>
      <c r="K1188">
        <v>0</v>
      </c>
      <c r="L1188" s="3">
        <v>0</v>
      </c>
      <c r="M1188" s="3">
        <v>0</v>
      </c>
      <c r="N1188">
        <v>0</v>
      </c>
      <c r="O1188">
        <v>0</v>
      </c>
      <c r="P1188">
        <v>0</v>
      </c>
      <c r="Q1188">
        <v>18</v>
      </c>
      <c r="R1188" s="3">
        <v>0</v>
      </c>
      <c r="S1188" s="3">
        <v>0</v>
      </c>
      <c r="T1188">
        <v>0</v>
      </c>
      <c r="U1188">
        <v>0</v>
      </c>
      <c r="V1188" s="3">
        <v>0</v>
      </c>
      <c r="W1188" s="3">
        <v>0</v>
      </c>
      <c r="X1188">
        <v>0</v>
      </c>
      <c r="Y1188" t="s">
        <v>1017</v>
      </c>
    </row>
    <row r="1189" spans="1:25" hidden="1" x14ac:dyDescent="0.25">
      <c r="A1189" s="1" t="s">
        <v>38</v>
      </c>
      <c r="B1189" s="1" t="s">
        <v>108</v>
      </c>
      <c r="C1189" s="1" t="s">
        <v>27</v>
      </c>
      <c r="D1189" s="1" t="s">
        <v>27</v>
      </c>
      <c r="E1189" s="2">
        <v>45882</v>
      </c>
      <c r="F1189" s="2">
        <v>45882</v>
      </c>
      <c r="G1189" s="3">
        <v>40</v>
      </c>
      <c r="H1189" s="4" t="s">
        <v>28</v>
      </c>
      <c r="I1189">
        <v>30</v>
      </c>
      <c r="J1189">
        <v>0</v>
      </c>
      <c r="K1189">
        <v>0</v>
      </c>
      <c r="L1189" s="3">
        <v>0</v>
      </c>
      <c r="M1189" s="3">
        <v>0</v>
      </c>
      <c r="N1189">
        <v>0</v>
      </c>
      <c r="O1189">
        <v>0</v>
      </c>
      <c r="P1189">
        <v>0</v>
      </c>
      <c r="Q1189">
        <v>0</v>
      </c>
      <c r="R1189" s="3">
        <v>0</v>
      </c>
      <c r="S1189" s="3">
        <v>0</v>
      </c>
      <c r="T1189">
        <v>0</v>
      </c>
      <c r="U1189">
        <v>0</v>
      </c>
      <c r="V1189" s="3">
        <v>0</v>
      </c>
      <c r="W1189" s="3">
        <v>0</v>
      </c>
      <c r="X1189">
        <v>0</v>
      </c>
      <c r="Y1189" t="s">
        <v>1018</v>
      </c>
    </row>
    <row r="1190" spans="1:25" hidden="1" x14ac:dyDescent="0.25">
      <c r="A1190" s="1" t="s">
        <v>40</v>
      </c>
      <c r="B1190" s="1" t="s">
        <v>110</v>
      </c>
      <c r="C1190" s="1" t="s">
        <v>27</v>
      </c>
      <c r="D1190" s="1" t="s">
        <v>27</v>
      </c>
      <c r="E1190" s="2">
        <v>45882</v>
      </c>
      <c r="F1190" s="2">
        <v>45882</v>
      </c>
      <c r="G1190" s="3">
        <v>92</v>
      </c>
      <c r="H1190" s="4" t="s">
        <v>28</v>
      </c>
      <c r="I1190">
        <v>74</v>
      </c>
      <c r="J1190">
        <v>0</v>
      </c>
      <c r="K1190">
        <v>0</v>
      </c>
      <c r="L1190" s="3">
        <v>1</v>
      </c>
      <c r="M1190" s="3">
        <v>0</v>
      </c>
      <c r="N1190">
        <v>1</v>
      </c>
      <c r="O1190">
        <v>0</v>
      </c>
      <c r="P1190">
        <v>0</v>
      </c>
      <c r="Q1190">
        <v>0</v>
      </c>
      <c r="R1190" s="3">
        <v>0</v>
      </c>
      <c r="S1190" s="3">
        <v>0</v>
      </c>
      <c r="T1190">
        <v>0</v>
      </c>
      <c r="U1190">
        <v>0</v>
      </c>
      <c r="V1190" s="3">
        <v>0</v>
      </c>
      <c r="W1190" s="3">
        <v>0</v>
      </c>
      <c r="X1190">
        <v>0</v>
      </c>
      <c r="Y1190" t="s">
        <v>1019</v>
      </c>
    </row>
    <row r="1191" spans="1:25" hidden="1" x14ac:dyDescent="0.25">
      <c r="A1191" s="1" t="s">
        <v>36</v>
      </c>
      <c r="B1191" s="1" t="s">
        <v>110</v>
      </c>
      <c r="C1191" s="1" t="s">
        <v>27</v>
      </c>
      <c r="D1191" s="1" t="s">
        <v>27</v>
      </c>
      <c r="E1191" s="2">
        <v>45882</v>
      </c>
      <c r="F1191" s="2">
        <v>45882</v>
      </c>
      <c r="G1191" s="3">
        <v>220</v>
      </c>
      <c r="H1191" s="4" t="s">
        <v>28</v>
      </c>
      <c r="I1191">
        <v>74</v>
      </c>
      <c r="J1191">
        <v>0</v>
      </c>
      <c r="K1191">
        <v>0</v>
      </c>
      <c r="L1191" s="3">
        <v>1</v>
      </c>
      <c r="M1191" s="3">
        <v>0</v>
      </c>
      <c r="N1191">
        <v>1</v>
      </c>
      <c r="O1191">
        <v>0</v>
      </c>
      <c r="P1191">
        <v>0</v>
      </c>
      <c r="Q1191">
        <v>0</v>
      </c>
      <c r="R1191" s="3">
        <v>0</v>
      </c>
      <c r="S1191" s="3">
        <v>0</v>
      </c>
      <c r="T1191">
        <v>0</v>
      </c>
      <c r="U1191">
        <v>0</v>
      </c>
      <c r="V1191" s="3">
        <v>0</v>
      </c>
      <c r="W1191" s="3">
        <v>0</v>
      </c>
      <c r="X1191">
        <v>0</v>
      </c>
      <c r="Y1191" t="s">
        <v>1020</v>
      </c>
    </row>
    <row r="1192" spans="1:25" hidden="1" x14ac:dyDescent="0.25">
      <c r="A1192" s="1" t="s">
        <v>41</v>
      </c>
      <c r="B1192" s="1" t="s">
        <v>112</v>
      </c>
      <c r="C1192" s="1" t="s">
        <v>42</v>
      </c>
      <c r="D1192" s="1" t="s">
        <v>27</v>
      </c>
      <c r="E1192" s="2">
        <v>45882</v>
      </c>
      <c r="F1192" s="2">
        <v>45882</v>
      </c>
      <c r="G1192" s="3">
        <v>32</v>
      </c>
      <c r="H1192" s="4" t="s">
        <v>28</v>
      </c>
      <c r="I1192">
        <v>40</v>
      </c>
      <c r="J1192">
        <v>0</v>
      </c>
      <c r="K1192">
        <v>0</v>
      </c>
      <c r="L1192" s="3">
        <v>1</v>
      </c>
      <c r="M1192" s="3">
        <v>0</v>
      </c>
      <c r="N1192">
        <v>0</v>
      </c>
      <c r="O1192">
        <v>0</v>
      </c>
      <c r="P1192">
        <v>0</v>
      </c>
      <c r="Q1192">
        <v>0</v>
      </c>
      <c r="R1192" s="3">
        <v>0</v>
      </c>
      <c r="S1192" s="3">
        <v>0</v>
      </c>
      <c r="T1192">
        <v>0</v>
      </c>
      <c r="U1192">
        <v>0</v>
      </c>
      <c r="V1192" s="3">
        <v>0</v>
      </c>
      <c r="W1192" s="3">
        <v>0</v>
      </c>
      <c r="X1192">
        <v>0</v>
      </c>
      <c r="Y1192" t="s">
        <v>1021</v>
      </c>
    </row>
    <row r="1193" spans="1:25" hidden="1" x14ac:dyDescent="0.25">
      <c r="A1193" s="1" t="s">
        <v>43</v>
      </c>
      <c r="B1193" s="1" t="s">
        <v>114</v>
      </c>
      <c r="C1193" s="1" t="s">
        <v>44</v>
      </c>
      <c r="D1193" s="1" t="s">
        <v>27</v>
      </c>
      <c r="E1193" s="2">
        <v>45882</v>
      </c>
      <c r="F1193" s="2">
        <v>45882</v>
      </c>
      <c r="G1193" s="3">
        <v>19</v>
      </c>
      <c r="H1193" s="4" t="s">
        <v>28</v>
      </c>
      <c r="I1193">
        <v>46</v>
      </c>
      <c r="J1193">
        <v>0</v>
      </c>
      <c r="K1193">
        <v>0</v>
      </c>
      <c r="L1193" s="3">
        <v>1</v>
      </c>
      <c r="M1193" s="3">
        <v>0</v>
      </c>
      <c r="N1193">
        <v>0</v>
      </c>
      <c r="O1193">
        <v>0</v>
      </c>
      <c r="P1193">
        <v>0</v>
      </c>
      <c r="Q1193">
        <v>0</v>
      </c>
      <c r="R1193" s="3">
        <v>0</v>
      </c>
      <c r="S1193" s="3">
        <v>0</v>
      </c>
      <c r="T1193">
        <v>0</v>
      </c>
      <c r="U1193">
        <v>0</v>
      </c>
      <c r="V1193" s="3">
        <v>0</v>
      </c>
      <c r="W1193" s="3">
        <v>0</v>
      </c>
      <c r="X1193">
        <v>0</v>
      </c>
      <c r="Y1193" t="s">
        <v>1022</v>
      </c>
    </row>
    <row r="1194" spans="1:25" hidden="1" x14ac:dyDescent="0.25">
      <c r="A1194" s="1" t="s">
        <v>45</v>
      </c>
      <c r="B1194" s="1" t="s">
        <v>116</v>
      </c>
      <c r="C1194" s="1" t="s">
        <v>46</v>
      </c>
      <c r="D1194" s="1" t="s">
        <v>27</v>
      </c>
      <c r="E1194" s="2">
        <v>45882</v>
      </c>
      <c r="F1194" s="2">
        <v>45882</v>
      </c>
      <c r="G1194" s="3">
        <v>45</v>
      </c>
      <c r="H1194" s="4" t="s">
        <v>28</v>
      </c>
      <c r="I1194">
        <v>78</v>
      </c>
      <c r="J1194">
        <v>0</v>
      </c>
      <c r="K1194">
        <v>0</v>
      </c>
      <c r="L1194" s="3">
        <v>1</v>
      </c>
      <c r="M1194" s="3">
        <v>0</v>
      </c>
      <c r="N1194">
        <v>0</v>
      </c>
      <c r="O1194">
        <v>0</v>
      </c>
      <c r="P1194">
        <v>0</v>
      </c>
      <c r="Q1194">
        <v>0</v>
      </c>
      <c r="R1194" s="3">
        <v>0</v>
      </c>
      <c r="S1194" s="3">
        <v>0</v>
      </c>
      <c r="T1194">
        <v>0</v>
      </c>
      <c r="U1194">
        <v>0</v>
      </c>
      <c r="V1194" s="3">
        <v>0</v>
      </c>
      <c r="W1194" s="3">
        <v>0</v>
      </c>
      <c r="X1194">
        <v>0</v>
      </c>
      <c r="Y1194" t="s">
        <v>1023</v>
      </c>
    </row>
    <row r="1195" spans="1:25" hidden="1" x14ac:dyDescent="0.25">
      <c r="A1195" s="1" t="s">
        <v>49</v>
      </c>
      <c r="B1195" s="1" t="s">
        <v>118</v>
      </c>
      <c r="C1195" s="1" t="s">
        <v>50</v>
      </c>
      <c r="D1195" s="1" t="s">
        <v>27</v>
      </c>
      <c r="E1195" s="2">
        <v>45882</v>
      </c>
      <c r="F1195" s="2">
        <v>45882</v>
      </c>
      <c r="G1195" s="3">
        <v>20</v>
      </c>
      <c r="H1195" s="4" t="s">
        <v>28</v>
      </c>
      <c r="I1195">
        <v>57</v>
      </c>
      <c r="J1195">
        <v>0</v>
      </c>
      <c r="K1195">
        <v>0</v>
      </c>
      <c r="L1195" s="3">
        <v>1</v>
      </c>
      <c r="M1195" s="3">
        <v>1</v>
      </c>
      <c r="N1195">
        <v>0</v>
      </c>
      <c r="O1195">
        <v>1</v>
      </c>
      <c r="P1195">
        <v>0</v>
      </c>
      <c r="Q1195">
        <v>0</v>
      </c>
      <c r="R1195" s="3">
        <v>0</v>
      </c>
      <c r="S1195" s="3">
        <v>0</v>
      </c>
      <c r="T1195">
        <v>0</v>
      </c>
      <c r="U1195">
        <v>0</v>
      </c>
      <c r="V1195" s="3">
        <v>0</v>
      </c>
      <c r="W1195" s="3">
        <v>0</v>
      </c>
      <c r="X1195">
        <v>0</v>
      </c>
      <c r="Y1195" t="s">
        <v>1011</v>
      </c>
    </row>
    <row r="1196" spans="1:25" hidden="1" x14ac:dyDescent="0.25">
      <c r="A1196" s="1" t="s">
        <v>47</v>
      </c>
      <c r="B1196" s="1" t="s">
        <v>137</v>
      </c>
      <c r="C1196" s="1" t="s">
        <v>27</v>
      </c>
      <c r="D1196" s="1" t="s">
        <v>27</v>
      </c>
      <c r="E1196" s="2">
        <v>45882</v>
      </c>
      <c r="F1196" s="2">
        <v>45882</v>
      </c>
      <c r="G1196" s="3">
        <v>30</v>
      </c>
      <c r="H1196" s="4" t="s">
        <v>28</v>
      </c>
      <c r="I1196">
        <v>60</v>
      </c>
      <c r="J1196">
        <v>0</v>
      </c>
      <c r="K1196">
        <v>0</v>
      </c>
      <c r="L1196" s="3">
        <v>0</v>
      </c>
      <c r="M1196" s="3">
        <v>0</v>
      </c>
      <c r="N1196">
        <v>0</v>
      </c>
      <c r="O1196">
        <v>0</v>
      </c>
      <c r="P1196">
        <v>0</v>
      </c>
      <c r="Q1196">
        <v>0</v>
      </c>
      <c r="R1196" s="3">
        <v>0</v>
      </c>
      <c r="S1196" s="3">
        <v>0</v>
      </c>
      <c r="T1196">
        <v>0</v>
      </c>
      <c r="U1196">
        <v>0</v>
      </c>
      <c r="V1196" s="3">
        <v>0</v>
      </c>
      <c r="W1196" s="3">
        <v>0</v>
      </c>
      <c r="X1196">
        <v>0</v>
      </c>
      <c r="Y1196" t="s">
        <v>1024</v>
      </c>
    </row>
    <row r="1197" spans="1:25" hidden="1" x14ac:dyDescent="0.25">
      <c r="A1197" s="1" t="s">
        <v>34</v>
      </c>
      <c r="B1197" s="1" t="s">
        <v>137</v>
      </c>
      <c r="C1197" s="1" t="s">
        <v>27</v>
      </c>
      <c r="D1197" s="1" t="s">
        <v>27</v>
      </c>
      <c r="E1197" s="2">
        <v>45882</v>
      </c>
      <c r="F1197" s="2">
        <v>45882</v>
      </c>
      <c r="G1197" s="3">
        <v>30</v>
      </c>
      <c r="H1197" s="4" t="s">
        <v>28</v>
      </c>
      <c r="I1197">
        <v>60</v>
      </c>
      <c r="J1197">
        <v>0</v>
      </c>
      <c r="K1197">
        <v>0</v>
      </c>
      <c r="L1197" s="3">
        <v>0</v>
      </c>
      <c r="M1197" s="3">
        <v>0</v>
      </c>
      <c r="N1197">
        <v>0</v>
      </c>
      <c r="O1197">
        <v>0</v>
      </c>
      <c r="P1197">
        <v>0</v>
      </c>
      <c r="Q1197">
        <v>0</v>
      </c>
      <c r="R1197" s="3">
        <v>0</v>
      </c>
      <c r="S1197" s="3">
        <v>0</v>
      </c>
      <c r="T1197">
        <v>0</v>
      </c>
      <c r="U1197">
        <v>0</v>
      </c>
      <c r="V1197" s="3">
        <v>0</v>
      </c>
      <c r="W1197" s="3">
        <v>0</v>
      </c>
      <c r="X1197">
        <v>0</v>
      </c>
      <c r="Y1197" t="s">
        <v>1024</v>
      </c>
    </row>
    <row r="1198" spans="1:25" hidden="1" x14ac:dyDescent="0.25">
      <c r="A1198" s="1" t="s">
        <v>51</v>
      </c>
      <c r="B1198" s="1" t="s">
        <v>120</v>
      </c>
      <c r="C1198" s="1" t="s">
        <v>55</v>
      </c>
      <c r="D1198" s="1" t="s">
        <v>27</v>
      </c>
      <c r="E1198" s="2">
        <v>45882</v>
      </c>
      <c r="F1198" s="2">
        <v>45882</v>
      </c>
      <c r="G1198" s="3">
        <v>136</v>
      </c>
      <c r="H1198" s="4" t="s">
        <v>28</v>
      </c>
      <c r="I1198">
        <v>55</v>
      </c>
      <c r="J1198">
        <v>0</v>
      </c>
      <c r="K1198">
        <v>0</v>
      </c>
      <c r="L1198" s="3">
        <v>1</v>
      </c>
      <c r="M1198" s="3">
        <v>0</v>
      </c>
      <c r="N1198">
        <v>1</v>
      </c>
      <c r="O1198">
        <v>0</v>
      </c>
      <c r="P1198">
        <v>0</v>
      </c>
      <c r="Q1198">
        <v>0</v>
      </c>
      <c r="R1198" s="3">
        <v>0</v>
      </c>
      <c r="S1198" s="3">
        <v>0</v>
      </c>
      <c r="T1198">
        <v>0</v>
      </c>
      <c r="U1198">
        <v>0</v>
      </c>
      <c r="V1198" s="3">
        <v>0</v>
      </c>
      <c r="W1198" s="3">
        <v>0</v>
      </c>
      <c r="X1198">
        <v>0</v>
      </c>
      <c r="Y1198" t="s">
        <v>1025</v>
      </c>
    </row>
    <row r="1199" spans="1:25" hidden="1" x14ac:dyDescent="0.25">
      <c r="A1199" s="1" t="s">
        <v>54</v>
      </c>
      <c r="B1199" s="1" t="s">
        <v>122</v>
      </c>
      <c r="C1199" s="1" t="s">
        <v>52</v>
      </c>
      <c r="D1199" s="1" t="s">
        <v>27</v>
      </c>
      <c r="E1199" s="2">
        <v>45882</v>
      </c>
      <c r="F1199" s="2">
        <v>45882</v>
      </c>
      <c r="G1199" s="3">
        <v>49</v>
      </c>
      <c r="H1199" s="4" t="s">
        <v>28</v>
      </c>
      <c r="I1199">
        <v>19</v>
      </c>
      <c r="J1199">
        <v>0</v>
      </c>
      <c r="K1199">
        <v>0</v>
      </c>
      <c r="L1199" s="3">
        <v>0</v>
      </c>
      <c r="M1199" s="3">
        <v>0</v>
      </c>
      <c r="N1199">
        <v>0</v>
      </c>
      <c r="O1199">
        <v>0</v>
      </c>
      <c r="P1199">
        <v>0</v>
      </c>
      <c r="Q1199">
        <v>2</v>
      </c>
      <c r="R1199" s="3">
        <v>0</v>
      </c>
      <c r="S1199" s="3">
        <v>0</v>
      </c>
      <c r="T1199">
        <v>0</v>
      </c>
      <c r="U1199">
        <v>0</v>
      </c>
      <c r="V1199" s="3">
        <v>0</v>
      </c>
      <c r="W1199" s="3">
        <v>0</v>
      </c>
      <c r="X1199">
        <v>0</v>
      </c>
      <c r="Y1199" t="s">
        <v>1012</v>
      </c>
    </row>
    <row r="1200" spans="1:25" hidden="1" x14ac:dyDescent="0.25">
      <c r="A1200" s="1" t="s">
        <v>53</v>
      </c>
      <c r="B1200" s="1" t="s">
        <v>142</v>
      </c>
      <c r="C1200" s="1" t="s">
        <v>39</v>
      </c>
      <c r="D1200" s="1" t="s">
        <v>27</v>
      </c>
      <c r="E1200" s="2">
        <v>45882</v>
      </c>
      <c r="F1200" s="2">
        <v>45882</v>
      </c>
      <c r="G1200" s="3">
        <v>54</v>
      </c>
      <c r="H1200" s="4" t="s">
        <v>28</v>
      </c>
      <c r="I1200">
        <v>31</v>
      </c>
      <c r="J1200">
        <v>0</v>
      </c>
      <c r="K1200">
        <v>0</v>
      </c>
      <c r="L1200" s="3">
        <v>1</v>
      </c>
      <c r="M1200" s="3">
        <v>0</v>
      </c>
      <c r="N1200">
        <v>0</v>
      </c>
      <c r="O1200">
        <v>0</v>
      </c>
      <c r="P1200">
        <v>0</v>
      </c>
      <c r="Q1200">
        <v>31</v>
      </c>
      <c r="R1200" s="3">
        <v>0</v>
      </c>
      <c r="S1200" s="3">
        <v>0</v>
      </c>
      <c r="T1200">
        <v>0</v>
      </c>
      <c r="U1200">
        <v>0</v>
      </c>
      <c r="V1200" s="3">
        <v>0</v>
      </c>
      <c r="W1200" s="3">
        <v>0</v>
      </c>
      <c r="X1200">
        <v>0</v>
      </c>
      <c r="Y1200" t="s">
        <v>1026</v>
      </c>
    </row>
    <row r="1201" spans="1:25" hidden="1" x14ac:dyDescent="0.25">
      <c r="A1201" s="1" t="s">
        <v>58</v>
      </c>
      <c r="B1201" s="1" t="s">
        <v>144</v>
      </c>
      <c r="C1201" s="1" t="s">
        <v>489</v>
      </c>
      <c r="D1201" s="1" t="s">
        <v>27</v>
      </c>
      <c r="E1201" s="2">
        <v>45882</v>
      </c>
      <c r="F1201" s="2">
        <v>45882</v>
      </c>
      <c r="G1201" s="3">
        <v>28</v>
      </c>
      <c r="H1201" s="4" t="s">
        <v>28</v>
      </c>
      <c r="I1201">
        <v>65</v>
      </c>
      <c r="J1201">
        <v>0</v>
      </c>
      <c r="K1201">
        <v>0</v>
      </c>
      <c r="L1201" s="3">
        <v>1</v>
      </c>
      <c r="M1201" s="3">
        <v>0</v>
      </c>
      <c r="N1201">
        <v>0</v>
      </c>
      <c r="O1201">
        <v>0</v>
      </c>
      <c r="P1201">
        <v>0</v>
      </c>
      <c r="Q1201">
        <v>0</v>
      </c>
      <c r="R1201" s="3">
        <v>0</v>
      </c>
      <c r="S1201" s="3">
        <v>0</v>
      </c>
      <c r="T1201">
        <v>0</v>
      </c>
      <c r="U1201">
        <v>0</v>
      </c>
      <c r="V1201" s="3">
        <v>0</v>
      </c>
      <c r="W1201" s="3">
        <v>0</v>
      </c>
      <c r="X1201">
        <v>0</v>
      </c>
      <c r="Y1201" t="s">
        <v>1027</v>
      </c>
    </row>
    <row r="1202" spans="1:25" hidden="1" x14ac:dyDescent="0.25">
      <c r="A1202" s="1" t="s">
        <v>25</v>
      </c>
      <c r="B1202" s="1" t="s">
        <v>106</v>
      </c>
      <c r="C1202" s="1" t="s">
        <v>27</v>
      </c>
      <c r="D1202" s="1" t="s">
        <v>27</v>
      </c>
      <c r="E1202" s="2">
        <v>45882</v>
      </c>
      <c r="F1202" s="2">
        <v>45882</v>
      </c>
      <c r="G1202" s="3">
        <v>29</v>
      </c>
      <c r="H1202" s="4" t="s">
        <v>28</v>
      </c>
      <c r="I1202">
        <v>10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1027</v>
      </c>
    </row>
    <row r="1203" spans="1:25" hidden="1" x14ac:dyDescent="0.25">
      <c r="A1203" s="1" t="s">
        <v>48</v>
      </c>
      <c r="B1203" s="1" t="s">
        <v>182</v>
      </c>
      <c r="C1203" s="1" t="s">
        <v>27</v>
      </c>
      <c r="D1203" s="1" t="s">
        <v>27</v>
      </c>
      <c r="E1203" s="2">
        <v>45882</v>
      </c>
      <c r="F1203" s="2">
        <v>45882</v>
      </c>
      <c r="G1203" s="3">
        <v>30</v>
      </c>
      <c r="H1203" s="4" t="s">
        <v>28</v>
      </c>
      <c r="I1203">
        <v>30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1027</v>
      </c>
    </row>
    <row r="1204" spans="1:25" hidden="1" x14ac:dyDescent="0.25">
      <c r="A1204" s="1" t="s">
        <v>25</v>
      </c>
      <c r="B1204" s="1" t="s">
        <v>96</v>
      </c>
      <c r="C1204" s="1" t="s">
        <v>489</v>
      </c>
      <c r="D1204" t="s">
        <v>27</v>
      </c>
      <c r="E1204" s="2">
        <v>45883</v>
      </c>
      <c r="F1204" s="2">
        <v>45883</v>
      </c>
      <c r="G1204" s="3">
        <v>29</v>
      </c>
      <c r="H1204" s="4" t="s">
        <v>28</v>
      </c>
      <c r="I1204">
        <v>52</v>
      </c>
      <c r="J1204">
        <v>0</v>
      </c>
      <c r="K1204">
        <v>0</v>
      </c>
      <c r="L1204" s="3">
        <v>1</v>
      </c>
      <c r="M1204" s="3">
        <v>0</v>
      </c>
      <c r="N1204">
        <v>1</v>
      </c>
      <c r="O1204">
        <v>0</v>
      </c>
      <c r="P1204">
        <v>0</v>
      </c>
      <c r="Q1204">
        <v>0</v>
      </c>
      <c r="R1204" s="3">
        <v>0</v>
      </c>
      <c r="S1204" s="3">
        <v>0</v>
      </c>
      <c r="T1204">
        <v>0</v>
      </c>
      <c r="U1204">
        <v>0</v>
      </c>
      <c r="V1204" s="3">
        <v>0</v>
      </c>
      <c r="W1204" s="3">
        <v>0</v>
      </c>
      <c r="X1204">
        <v>1</v>
      </c>
      <c r="Y1204" t="s">
        <v>1028</v>
      </c>
    </row>
    <row r="1205" spans="1:25" hidden="1" x14ac:dyDescent="0.25">
      <c r="A1205" s="1" t="s">
        <v>56</v>
      </c>
      <c r="B1205" s="1" t="s">
        <v>98</v>
      </c>
      <c r="C1205" s="1" t="s">
        <v>37</v>
      </c>
      <c r="D1205" t="s">
        <v>27</v>
      </c>
      <c r="E1205" s="2">
        <v>45883</v>
      </c>
      <c r="F1205" s="2">
        <v>45883</v>
      </c>
      <c r="G1205" s="3">
        <v>43</v>
      </c>
      <c r="H1205" s="4" t="s">
        <v>28</v>
      </c>
      <c r="I1205">
        <v>65</v>
      </c>
      <c r="J1205">
        <v>0</v>
      </c>
      <c r="K1205">
        <v>0</v>
      </c>
      <c r="L1205" s="3">
        <v>1</v>
      </c>
      <c r="M1205" s="3">
        <v>0</v>
      </c>
      <c r="N1205">
        <v>0</v>
      </c>
      <c r="O1205">
        <v>0</v>
      </c>
      <c r="P1205">
        <v>0</v>
      </c>
      <c r="Q1205">
        <v>0</v>
      </c>
      <c r="R1205" s="3">
        <v>0</v>
      </c>
      <c r="S1205" s="3">
        <v>0</v>
      </c>
      <c r="T1205">
        <v>0</v>
      </c>
      <c r="U1205">
        <v>0</v>
      </c>
      <c r="V1205" s="3">
        <v>0</v>
      </c>
      <c r="W1205" s="3">
        <v>0</v>
      </c>
      <c r="X1205">
        <v>0</v>
      </c>
      <c r="Y1205" t="s">
        <v>1029</v>
      </c>
    </row>
    <row r="1206" spans="1:25" hidden="1" x14ac:dyDescent="0.25">
      <c r="A1206" s="1" t="s">
        <v>29</v>
      </c>
      <c r="B1206" s="1" t="s">
        <v>100</v>
      </c>
      <c r="C1206" s="1" t="s">
        <v>95</v>
      </c>
      <c r="D1206" t="s">
        <v>27</v>
      </c>
      <c r="E1206" s="2">
        <v>45883</v>
      </c>
      <c r="F1206" s="2">
        <v>45883</v>
      </c>
      <c r="G1206" s="3">
        <v>29</v>
      </c>
      <c r="H1206" s="4" t="s">
        <v>28</v>
      </c>
      <c r="I1206">
        <v>106</v>
      </c>
      <c r="J1206">
        <v>0</v>
      </c>
      <c r="K1206">
        <v>0</v>
      </c>
      <c r="L1206" s="3">
        <v>1</v>
      </c>
      <c r="M1206" s="3">
        <v>0</v>
      </c>
      <c r="N1206">
        <v>0</v>
      </c>
      <c r="O1206">
        <v>0</v>
      </c>
      <c r="P1206">
        <v>0</v>
      </c>
      <c r="Q1206">
        <v>0</v>
      </c>
      <c r="R1206" s="3">
        <v>0</v>
      </c>
      <c r="S1206" s="3">
        <v>0</v>
      </c>
      <c r="T1206">
        <v>0</v>
      </c>
      <c r="U1206">
        <v>0</v>
      </c>
      <c r="V1206" s="3">
        <v>0</v>
      </c>
      <c r="W1206" s="3">
        <v>0</v>
      </c>
      <c r="X1206">
        <v>0</v>
      </c>
      <c r="Y1206" t="s">
        <v>1030</v>
      </c>
    </row>
    <row r="1207" spans="1:25" hidden="1" x14ac:dyDescent="0.25">
      <c r="A1207" s="1" t="s">
        <v>344</v>
      </c>
      <c r="B1207" s="1" t="s">
        <v>102</v>
      </c>
      <c r="C1207" s="1" t="s">
        <v>35</v>
      </c>
      <c r="D1207" s="1" t="s">
        <v>27</v>
      </c>
      <c r="E1207" s="2">
        <v>45883</v>
      </c>
      <c r="F1207" s="2">
        <v>45883</v>
      </c>
      <c r="G1207" s="3">
        <v>35</v>
      </c>
      <c r="H1207" s="4" t="s">
        <v>28</v>
      </c>
      <c r="I1207">
        <v>109</v>
      </c>
      <c r="J1207">
        <v>0</v>
      </c>
      <c r="K1207">
        <v>0</v>
      </c>
      <c r="L1207" s="3">
        <v>1</v>
      </c>
      <c r="M1207" s="3">
        <v>0</v>
      </c>
      <c r="N1207">
        <v>0</v>
      </c>
      <c r="O1207">
        <v>0</v>
      </c>
      <c r="P1207">
        <v>0</v>
      </c>
      <c r="Q1207">
        <v>0</v>
      </c>
      <c r="R1207" s="3">
        <v>0</v>
      </c>
      <c r="S1207" s="3">
        <v>0</v>
      </c>
      <c r="T1207">
        <v>0</v>
      </c>
      <c r="U1207">
        <v>0</v>
      </c>
      <c r="V1207" s="3">
        <v>0</v>
      </c>
      <c r="W1207" s="3">
        <v>0</v>
      </c>
      <c r="X1207">
        <v>0</v>
      </c>
      <c r="Y1207" t="s">
        <v>850</v>
      </c>
    </row>
    <row r="1208" spans="1:25" hidden="1" x14ac:dyDescent="0.25">
      <c r="A1208" s="1" t="s">
        <v>31</v>
      </c>
      <c r="B1208" s="1" t="s">
        <v>104</v>
      </c>
      <c r="C1208" s="1" t="s">
        <v>32</v>
      </c>
      <c r="D1208" s="1" t="s">
        <v>27</v>
      </c>
      <c r="E1208" s="2">
        <v>45883</v>
      </c>
      <c r="F1208" s="2">
        <v>45883</v>
      </c>
      <c r="G1208" s="3">
        <v>59</v>
      </c>
      <c r="H1208" s="4" t="s">
        <v>28</v>
      </c>
      <c r="I1208">
        <v>75</v>
      </c>
      <c r="J1208">
        <v>0</v>
      </c>
      <c r="K1208">
        <v>0</v>
      </c>
      <c r="L1208" s="3">
        <v>0</v>
      </c>
      <c r="M1208" s="3">
        <v>0</v>
      </c>
      <c r="N1208">
        <v>0</v>
      </c>
      <c r="O1208">
        <v>0</v>
      </c>
      <c r="P1208">
        <v>0</v>
      </c>
      <c r="Q1208">
        <v>59</v>
      </c>
      <c r="R1208" s="3">
        <v>0</v>
      </c>
      <c r="S1208" s="3">
        <v>0</v>
      </c>
      <c r="T1208">
        <v>0</v>
      </c>
      <c r="U1208">
        <v>0</v>
      </c>
      <c r="V1208" s="3">
        <v>0</v>
      </c>
      <c r="W1208" s="3">
        <v>0</v>
      </c>
      <c r="X1208">
        <v>0</v>
      </c>
      <c r="Y1208" t="s">
        <v>1016</v>
      </c>
    </row>
    <row r="1209" spans="1:25" hidden="1" x14ac:dyDescent="0.25">
      <c r="A1209" s="1" t="s">
        <v>33</v>
      </c>
      <c r="B1209" s="1" t="s">
        <v>106</v>
      </c>
      <c r="C1209" s="1" t="s">
        <v>57</v>
      </c>
      <c r="D1209" t="s">
        <v>27</v>
      </c>
      <c r="E1209" s="2">
        <v>45883</v>
      </c>
      <c r="F1209" s="2">
        <v>45883</v>
      </c>
      <c r="G1209" s="3">
        <v>35</v>
      </c>
      <c r="H1209" s="4" t="s">
        <v>28</v>
      </c>
      <c r="I1209">
        <v>35</v>
      </c>
      <c r="J1209">
        <v>0</v>
      </c>
      <c r="K1209">
        <v>0</v>
      </c>
      <c r="L1209" s="3">
        <v>0</v>
      </c>
      <c r="M1209" s="3">
        <v>0</v>
      </c>
      <c r="N1209">
        <v>0</v>
      </c>
      <c r="O1209">
        <v>0</v>
      </c>
      <c r="P1209">
        <v>0</v>
      </c>
      <c r="Q1209">
        <v>0</v>
      </c>
      <c r="R1209" s="3">
        <v>0</v>
      </c>
      <c r="S1209" s="3">
        <v>0</v>
      </c>
      <c r="T1209">
        <v>0</v>
      </c>
      <c r="U1209">
        <v>0</v>
      </c>
      <c r="V1209" s="3">
        <v>0</v>
      </c>
      <c r="W1209" s="3">
        <v>0</v>
      </c>
      <c r="X1209">
        <v>0</v>
      </c>
      <c r="Y1209" t="s">
        <v>1031</v>
      </c>
    </row>
    <row r="1210" spans="1:25" hidden="1" x14ac:dyDescent="0.25">
      <c r="A1210" s="1" t="s">
        <v>38</v>
      </c>
      <c r="B1210" s="1" t="s">
        <v>108</v>
      </c>
      <c r="C1210" s="1" t="s">
        <v>27</v>
      </c>
      <c r="D1210" t="s">
        <v>27</v>
      </c>
      <c r="E1210" s="2">
        <v>45883</v>
      </c>
      <c r="F1210" s="2">
        <v>45883</v>
      </c>
      <c r="G1210" s="3">
        <v>41</v>
      </c>
      <c r="H1210" s="4" t="s">
        <v>28</v>
      </c>
      <c r="I1210">
        <v>32</v>
      </c>
      <c r="J1210">
        <v>0</v>
      </c>
      <c r="K1210">
        <v>0</v>
      </c>
      <c r="L1210" s="3">
        <v>0</v>
      </c>
      <c r="M1210" s="3">
        <v>0</v>
      </c>
      <c r="N1210">
        <v>0</v>
      </c>
      <c r="O1210">
        <v>0</v>
      </c>
      <c r="P1210">
        <v>0</v>
      </c>
      <c r="Q1210">
        <v>0</v>
      </c>
      <c r="R1210" s="3">
        <v>0</v>
      </c>
      <c r="S1210" s="3">
        <v>0</v>
      </c>
      <c r="T1210">
        <v>0</v>
      </c>
      <c r="U1210">
        <v>0</v>
      </c>
      <c r="V1210" s="3">
        <v>0</v>
      </c>
      <c r="W1210" s="3">
        <v>0</v>
      </c>
      <c r="X1210">
        <v>0</v>
      </c>
      <c r="Y1210" t="s">
        <v>1032</v>
      </c>
    </row>
    <row r="1211" spans="1:25" hidden="1" x14ac:dyDescent="0.25">
      <c r="A1211" s="1" t="s">
        <v>40</v>
      </c>
      <c r="B1211" s="1" t="s">
        <v>110</v>
      </c>
      <c r="C1211" s="1" t="s">
        <v>27</v>
      </c>
      <c r="D1211" t="s">
        <v>27</v>
      </c>
      <c r="E1211" s="2">
        <v>45883</v>
      </c>
      <c r="F1211" s="2">
        <v>45883</v>
      </c>
      <c r="G1211" s="3">
        <v>85</v>
      </c>
      <c r="H1211" s="4" t="s">
        <v>28</v>
      </c>
      <c r="I1211">
        <v>25</v>
      </c>
      <c r="J1211">
        <v>0</v>
      </c>
      <c r="K1211">
        <v>0</v>
      </c>
      <c r="L1211" s="3">
        <v>0</v>
      </c>
      <c r="M1211" s="3">
        <v>0</v>
      </c>
      <c r="N1211">
        <v>0</v>
      </c>
      <c r="O1211">
        <v>0</v>
      </c>
      <c r="P1211">
        <v>0</v>
      </c>
      <c r="Q1211">
        <v>0</v>
      </c>
      <c r="R1211" s="3">
        <v>0</v>
      </c>
      <c r="S1211" s="3">
        <v>0</v>
      </c>
      <c r="T1211">
        <v>0</v>
      </c>
      <c r="U1211">
        <v>0</v>
      </c>
      <c r="V1211" s="3">
        <v>0</v>
      </c>
      <c r="W1211" s="3">
        <v>0</v>
      </c>
      <c r="X1211">
        <v>0</v>
      </c>
      <c r="Y1211" t="s">
        <v>1033</v>
      </c>
    </row>
    <row r="1212" spans="1:25" hidden="1" x14ac:dyDescent="0.25">
      <c r="A1212" s="1" t="s">
        <v>36</v>
      </c>
      <c r="B1212" s="1" t="s">
        <v>110</v>
      </c>
      <c r="C1212" s="1" t="s">
        <v>27</v>
      </c>
      <c r="D1212" t="s">
        <v>27</v>
      </c>
      <c r="E1212" s="2">
        <v>45883</v>
      </c>
      <c r="F1212" s="2">
        <v>45883</v>
      </c>
      <c r="G1212" s="3">
        <v>85</v>
      </c>
      <c r="H1212" s="4" t="s">
        <v>28</v>
      </c>
      <c r="I1212">
        <v>25</v>
      </c>
      <c r="J1212">
        <v>0</v>
      </c>
      <c r="K1212">
        <v>0</v>
      </c>
      <c r="L1212" s="3">
        <v>0</v>
      </c>
      <c r="M1212" s="3">
        <v>0</v>
      </c>
      <c r="N1212">
        <v>0</v>
      </c>
      <c r="O1212">
        <v>0</v>
      </c>
      <c r="P1212">
        <v>0</v>
      </c>
      <c r="Q1212">
        <v>0</v>
      </c>
      <c r="R1212" s="3">
        <v>0</v>
      </c>
      <c r="S1212" s="3">
        <v>0</v>
      </c>
      <c r="T1212">
        <v>0</v>
      </c>
      <c r="U1212">
        <v>0</v>
      </c>
      <c r="V1212" s="3">
        <v>0</v>
      </c>
      <c r="W1212" s="3">
        <v>0</v>
      </c>
      <c r="X1212">
        <v>0</v>
      </c>
      <c r="Y1212" t="s">
        <v>1033</v>
      </c>
    </row>
    <row r="1213" spans="1:25" hidden="1" x14ac:dyDescent="0.25">
      <c r="A1213" s="1" t="s">
        <v>41</v>
      </c>
      <c r="B1213" s="1" t="s">
        <v>112</v>
      </c>
      <c r="C1213" s="1" t="s">
        <v>42</v>
      </c>
      <c r="D1213" s="1" t="s">
        <v>27</v>
      </c>
      <c r="E1213" s="2">
        <v>45883</v>
      </c>
      <c r="F1213" s="2">
        <v>45883</v>
      </c>
      <c r="G1213" s="3">
        <v>32</v>
      </c>
      <c r="H1213" s="4" t="s">
        <v>28</v>
      </c>
      <c r="I1213">
        <v>131</v>
      </c>
      <c r="J1213">
        <v>0</v>
      </c>
      <c r="K1213">
        <v>0</v>
      </c>
      <c r="L1213" s="3">
        <v>1</v>
      </c>
      <c r="M1213" s="3">
        <v>0</v>
      </c>
      <c r="N1213">
        <v>0</v>
      </c>
      <c r="O1213">
        <v>0</v>
      </c>
      <c r="P1213">
        <v>0</v>
      </c>
      <c r="Q1213">
        <v>0</v>
      </c>
      <c r="R1213" s="3">
        <v>0</v>
      </c>
      <c r="S1213" s="3">
        <v>0</v>
      </c>
      <c r="T1213">
        <v>0</v>
      </c>
      <c r="U1213">
        <v>0</v>
      </c>
      <c r="V1213" s="3">
        <v>0</v>
      </c>
      <c r="W1213" s="3">
        <v>0</v>
      </c>
      <c r="X1213">
        <v>0</v>
      </c>
      <c r="Y1213" t="s">
        <v>1021</v>
      </c>
    </row>
    <row r="1214" spans="1:25" hidden="1" x14ac:dyDescent="0.25">
      <c r="A1214" s="1" t="s">
        <v>43</v>
      </c>
      <c r="B1214" s="1" t="s">
        <v>114</v>
      </c>
      <c r="C1214" s="1" t="s">
        <v>48</v>
      </c>
      <c r="D1214" t="s">
        <v>27</v>
      </c>
      <c r="E1214" s="2">
        <v>45883</v>
      </c>
      <c r="F1214" s="2">
        <v>45883</v>
      </c>
      <c r="G1214" s="3">
        <v>26</v>
      </c>
      <c r="H1214" s="4" t="s">
        <v>28</v>
      </c>
      <c r="I1214">
        <v>56</v>
      </c>
      <c r="J1214">
        <v>0</v>
      </c>
      <c r="K1214">
        <v>0</v>
      </c>
      <c r="L1214" s="3">
        <v>1</v>
      </c>
      <c r="M1214" s="3">
        <v>0</v>
      </c>
      <c r="N1214">
        <v>0</v>
      </c>
      <c r="O1214">
        <v>0</v>
      </c>
      <c r="P1214">
        <v>0</v>
      </c>
      <c r="Q1214">
        <v>0</v>
      </c>
      <c r="R1214" s="3">
        <v>0</v>
      </c>
      <c r="S1214" s="3">
        <v>0</v>
      </c>
      <c r="T1214">
        <v>0</v>
      </c>
      <c r="U1214">
        <v>0</v>
      </c>
      <c r="V1214" s="3">
        <v>0</v>
      </c>
      <c r="W1214" s="3">
        <v>0</v>
      </c>
      <c r="X1214">
        <v>0</v>
      </c>
      <c r="Y1214" t="s">
        <v>1034</v>
      </c>
    </row>
    <row r="1215" spans="1:25" hidden="1" x14ac:dyDescent="0.25">
      <c r="A1215" s="1" t="s">
        <v>45</v>
      </c>
      <c r="B1215" s="1" t="s">
        <v>116</v>
      </c>
      <c r="C1215" s="1" t="s">
        <v>46</v>
      </c>
      <c r="D1215" t="s">
        <v>27</v>
      </c>
      <c r="E1215" s="2">
        <v>45883</v>
      </c>
      <c r="F1215" s="2">
        <v>45883</v>
      </c>
      <c r="G1215" s="3">
        <v>61</v>
      </c>
      <c r="H1215" s="4" t="s">
        <v>28</v>
      </c>
      <c r="I1215">
        <v>31</v>
      </c>
      <c r="J1215">
        <v>0</v>
      </c>
      <c r="K1215">
        <v>0</v>
      </c>
      <c r="L1215" s="3">
        <v>0</v>
      </c>
      <c r="M1215" s="3">
        <v>0</v>
      </c>
      <c r="N1215">
        <v>0</v>
      </c>
      <c r="O1215">
        <v>0</v>
      </c>
      <c r="P1215">
        <v>0</v>
      </c>
      <c r="Q1215">
        <v>0</v>
      </c>
      <c r="R1215" s="3">
        <v>0</v>
      </c>
      <c r="S1215" s="3">
        <v>0</v>
      </c>
      <c r="T1215">
        <v>0</v>
      </c>
      <c r="U1215">
        <v>0</v>
      </c>
      <c r="V1215" s="3">
        <v>0</v>
      </c>
      <c r="W1215" s="3">
        <v>0</v>
      </c>
      <c r="X1215">
        <v>0</v>
      </c>
      <c r="Y1215" t="s">
        <v>1035</v>
      </c>
    </row>
    <row r="1216" spans="1:25" hidden="1" x14ac:dyDescent="0.25">
      <c r="A1216" s="1" t="s">
        <v>47</v>
      </c>
      <c r="B1216" s="1" t="s">
        <v>137</v>
      </c>
      <c r="C1216" s="1" t="s">
        <v>27</v>
      </c>
      <c r="D1216" t="s">
        <v>27</v>
      </c>
      <c r="E1216" s="2">
        <v>45883</v>
      </c>
      <c r="F1216" s="2">
        <v>45883</v>
      </c>
      <c r="G1216" s="3">
        <v>63</v>
      </c>
      <c r="H1216" s="4" t="s">
        <v>28</v>
      </c>
      <c r="I1216">
        <v>56</v>
      </c>
      <c r="J1216">
        <v>0</v>
      </c>
      <c r="K1216">
        <v>0</v>
      </c>
      <c r="L1216" s="3">
        <v>0</v>
      </c>
      <c r="M1216" s="3">
        <v>0</v>
      </c>
      <c r="N1216">
        <v>0</v>
      </c>
      <c r="O1216">
        <v>0</v>
      </c>
      <c r="P1216">
        <v>0</v>
      </c>
      <c r="Q1216">
        <v>0</v>
      </c>
      <c r="R1216" s="3">
        <v>0</v>
      </c>
      <c r="S1216" s="3">
        <v>0</v>
      </c>
      <c r="T1216">
        <v>0</v>
      </c>
      <c r="U1216">
        <v>0</v>
      </c>
      <c r="V1216" s="3">
        <v>0</v>
      </c>
      <c r="W1216" s="3">
        <v>0</v>
      </c>
      <c r="X1216">
        <v>0</v>
      </c>
      <c r="Y1216" t="s">
        <v>1036</v>
      </c>
    </row>
    <row r="1217" spans="1:25" hidden="1" x14ac:dyDescent="0.25">
      <c r="A1217" s="1" t="s">
        <v>34</v>
      </c>
      <c r="B1217" s="1" t="s">
        <v>137</v>
      </c>
      <c r="C1217" s="1" t="s">
        <v>27</v>
      </c>
      <c r="D1217" t="s">
        <v>27</v>
      </c>
      <c r="E1217" s="2">
        <v>45883</v>
      </c>
      <c r="F1217" s="2">
        <v>45883</v>
      </c>
      <c r="G1217" s="3">
        <v>63</v>
      </c>
      <c r="H1217" s="4" t="s">
        <v>28</v>
      </c>
      <c r="I1217">
        <v>56</v>
      </c>
      <c r="J1217">
        <v>0</v>
      </c>
      <c r="K1217">
        <v>0</v>
      </c>
      <c r="L1217" s="3">
        <v>0</v>
      </c>
      <c r="M1217" s="3">
        <v>0</v>
      </c>
      <c r="N1217">
        <v>0</v>
      </c>
      <c r="O1217">
        <v>0</v>
      </c>
      <c r="P1217">
        <v>0</v>
      </c>
      <c r="Q1217">
        <v>0</v>
      </c>
      <c r="R1217" s="3">
        <v>0</v>
      </c>
      <c r="S1217" s="3">
        <v>0</v>
      </c>
      <c r="T1217">
        <v>0</v>
      </c>
      <c r="U1217">
        <v>0</v>
      </c>
      <c r="V1217" s="3">
        <v>0</v>
      </c>
      <c r="W1217" s="3">
        <v>0</v>
      </c>
      <c r="X1217">
        <v>0</v>
      </c>
      <c r="Y1217" t="s">
        <v>1036</v>
      </c>
    </row>
    <row r="1218" spans="1:25" hidden="1" x14ac:dyDescent="0.25">
      <c r="A1218" s="1" t="s">
        <v>49</v>
      </c>
      <c r="B1218" s="1" t="s">
        <v>118</v>
      </c>
      <c r="C1218" s="1" t="s">
        <v>50</v>
      </c>
      <c r="D1218" t="s">
        <v>27</v>
      </c>
      <c r="E1218" s="2">
        <v>45883</v>
      </c>
      <c r="F1218" s="2">
        <v>45883</v>
      </c>
      <c r="G1218" s="3">
        <v>31</v>
      </c>
      <c r="H1218" s="4" t="s">
        <v>28</v>
      </c>
      <c r="I1218">
        <v>27</v>
      </c>
      <c r="J1218">
        <v>0</v>
      </c>
      <c r="K1218">
        <v>0</v>
      </c>
      <c r="L1218" s="3">
        <v>1</v>
      </c>
      <c r="M1218" s="3">
        <v>1</v>
      </c>
      <c r="N1218">
        <v>0</v>
      </c>
      <c r="O1218">
        <v>1</v>
      </c>
      <c r="P1218">
        <v>0</v>
      </c>
      <c r="Q1218">
        <v>31</v>
      </c>
      <c r="R1218" s="3">
        <v>0</v>
      </c>
      <c r="S1218" s="3">
        <v>0</v>
      </c>
      <c r="T1218">
        <v>0</v>
      </c>
      <c r="U1218">
        <v>0</v>
      </c>
      <c r="V1218" s="3">
        <v>0</v>
      </c>
      <c r="W1218" s="3">
        <v>0</v>
      </c>
      <c r="X1218">
        <v>0</v>
      </c>
      <c r="Y1218" t="s">
        <v>1037</v>
      </c>
    </row>
    <row r="1219" spans="1:25" hidden="1" x14ac:dyDescent="0.25">
      <c r="A1219" s="1" t="s">
        <v>54</v>
      </c>
      <c r="B1219" s="1" t="s">
        <v>122</v>
      </c>
      <c r="C1219" s="1" t="s">
        <v>52</v>
      </c>
      <c r="D1219" t="s">
        <v>27</v>
      </c>
      <c r="E1219" s="2">
        <v>45883</v>
      </c>
      <c r="F1219" s="2">
        <v>45883</v>
      </c>
      <c r="G1219" s="3">
        <v>39</v>
      </c>
      <c r="H1219" s="4" t="s">
        <v>28</v>
      </c>
      <c r="I1219">
        <v>37</v>
      </c>
      <c r="J1219">
        <v>0</v>
      </c>
      <c r="K1219">
        <v>0</v>
      </c>
      <c r="L1219" s="3">
        <v>0</v>
      </c>
      <c r="M1219" s="3">
        <v>0</v>
      </c>
      <c r="N1219">
        <v>0</v>
      </c>
      <c r="O1219">
        <v>0</v>
      </c>
      <c r="P1219">
        <v>0</v>
      </c>
      <c r="Q1219">
        <v>2</v>
      </c>
      <c r="R1219" s="3">
        <v>0</v>
      </c>
      <c r="S1219" s="3">
        <v>0</v>
      </c>
      <c r="T1219">
        <v>0</v>
      </c>
      <c r="U1219">
        <v>0</v>
      </c>
      <c r="V1219" s="3">
        <v>0</v>
      </c>
      <c r="W1219" s="3">
        <v>0</v>
      </c>
      <c r="X1219">
        <v>0</v>
      </c>
      <c r="Y1219" t="s">
        <v>1038</v>
      </c>
    </row>
    <row r="1220" spans="1:25" hidden="1" x14ac:dyDescent="0.25">
      <c r="A1220" s="1" t="s">
        <v>53</v>
      </c>
      <c r="B1220" s="1" t="s">
        <v>142</v>
      </c>
      <c r="C1220" s="1" t="s">
        <v>39</v>
      </c>
      <c r="D1220" t="s">
        <v>27</v>
      </c>
      <c r="E1220" s="2">
        <v>45883</v>
      </c>
      <c r="F1220" s="2">
        <v>45883</v>
      </c>
      <c r="G1220" s="3">
        <v>36</v>
      </c>
      <c r="H1220" s="4" t="s">
        <v>28</v>
      </c>
      <c r="I1220">
        <v>25</v>
      </c>
      <c r="J1220">
        <v>0</v>
      </c>
      <c r="K1220">
        <v>0</v>
      </c>
      <c r="L1220" s="3">
        <v>1</v>
      </c>
      <c r="M1220" s="3">
        <v>0</v>
      </c>
      <c r="N1220">
        <v>0</v>
      </c>
      <c r="O1220">
        <v>0</v>
      </c>
      <c r="P1220">
        <v>0</v>
      </c>
      <c r="Q1220">
        <v>25</v>
      </c>
      <c r="R1220" s="3">
        <v>0</v>
      </c>
      <c r="S1220" s="3">
        <v>0</v>
      </c>
      <c r="T1220">
        <v>0</v>
      </c>
      <c r="U1220">
        <v>0</v>
      </c>
      <c r="V1220" s="3">
        <v>0</v>
      </c>
      <c r="W1220" s="3">
        <v>0</v>
      </c>
      <c r="X1220">
        <v>0</v>
      </c>
      <c r="Y1220" t="s">
        <v>1039</v>
      </c>
    </row>
    <row r="1221" spans="1:25" hidden="1" x14ac:dyDescent="0.25">
      <c r="A1221" s="1" t="s">
        <v>58</v>
      </c>
      <c r="B1221" s="1" t="s">
        <v>144</v>
      </c>
      <c r="C1221" s="1" t="s">
        <v>55</v>
      </c>
      <c r="D1221" t="s">
        <v>27</v>
      </c>
      <c r="E1221" s="2">
        <v>45883</v>
      </c>
      <c r="F1221" s="2">
        <v>45883</v>
      </c>
      <c r="G1221" s="3">
        <v>45</v>
      </c>
      <c r="H1221" s="4" t="s">
        <v>28</v>
      </c>
      <c r="I1221">
        <v>33</v>
      </c>
      <c r="J1221">
        <v>0</v>
      </c>
      <c r="K1221">
        <v>0</v>
      </c>
      <c r="L1221" s="3">
        <v>0</v>
      </c>
      <c r="M1221" s="3">
        <v>0</v>
      </c>
      <c r="N1221">
        <v>1</v>
      </c>
      <c r="O1221">
        <v>0</v>
      </c>
      <c r="P1221">
        <v>0</v>
      </c>
      <c r="Q1221">
        <v>0</v>
      </c>
      <c r="R1221" s="3">
        <v>0</v>
      </c>
      <c r="S1221" s="3">
        <v>0</v>
      </c>
      <c r="T1221">
        <v>0</v>
      </c>
      <c r="U1221">
        <v>0</v>
      </c>
      <c r="V1221" s="3">
        <v>0</v>
      </c>
      <c r="W1221" s="3">
        <v>0</v>
      </c>
      <c r="X1221">
        <v>0</v>
      </c>
      <c r="Y1221" t="s">
        <v>1040</v>
      </c>
    </row>
    <row r="1222" spans="1:25" hidden="1" x14ac:dyDescent="0.25">
      <c r="A1222" t="s">
        <v>54</v>
      </c>
      <c r="B1222" t="s">
        <v>122</v>
      </c>
      <c r="C1222" t="s">
        <v>52</v>
      </c>
      <c r="D1222" t="s">
        <v>27</v>
      </c>
      <c r="E1222" s="2">
        <v>45884</v>
      </c>
      <c r="F1222" s="2">
        <v>45884</v>
      </c>
      <c r="G1222" s="3">
        <v>124</v>
      </c>
      <c r="H1222" t="s">
        <v>28</v>
      </c>
      <c r="I1222">
        <v>0</v>
      </c>
      <c r="J1222">
        <v>0</v>
      </c>
      <c r="K1222">
        <v>0</v>
      </c>
      <c r="L1222" s="3">
        <v>0</v>
      </c>
      <c r="M1222" s="3">
        <v>0</v>
      </c>
      <c r="N1222">
        <v>0</v>
      </c>
      <c r="O1222">
        <v>0</v>
      </c>
      <c r="P1222">
        <v>0</v>
      </c>
      <c r="Q1222">
        <v>0</v>
      </c>
      <c r="R1222" s="3">
        <v>0</v>
      </c>
      <c r="S1222" s="3">
        <v>1</v>
      </c>
      <c r="T1222">
        <v>30</v>
      </c>
      <c r="U1222">
        <v>27</v>
      </c>
      <c r="V1222" s="3">
        <v>0</v>
      </c>
      <c r="W1222" s="3">
        <v>1</v>
      </c>
      <c r="X1222">
        <v>0</v>
      </c>
      <c r="Y1222" t="s">
        <v>1041</v>
      </c>
    </row>
    <row r="1223" spans="1:25" hidden="1" x14ac:dyDescent="0.25">
      <c r="A1223" t="s">
        <v>48</v>
      </c>
      <c r="B1223" t="s">
        <v>149</v>
      </c>
      <c r="C1223" t="s">
        <v>489</v>
      </c>
      <c r="D1223" t="s">
        <v>27</v>
      </c>
      <c r="E1223" s="2">
        <v>45884</v>
      </c>
      <c r="F1223" s="2">
        <v>45884</v>
      </c>
      <c r="G1223" s="3">
        <v>58</v>
      </c>
      <c r="H1223" t="s">
        <v>28</v>
      </c>
      <c r="I1223">
        <v>0</v>
      </c>
      <c r="J1223">
        <v>0</v>
      </c>
      <c r="K1223">
        <v>0</v>
      </c>
      <c r="L1223" s="3">
        <v>1</v>
      </c>
      <c r="M1223" s="3">
        <v>0</v>
      </c>
      <c r="N1223">
        <v>1</v>
      </c>
      <c r="O1223">
        <v>0</v>
      </c>
      <c r="P1223">
        <v>0</v>
      </c>
      <c r="Q1223">
        <v>0</v>
      </c>
      <c r="R1223" s="3">
        <v>0</v>
      </c>
      <c r="S1223" s="3">
        <v>1</v>
      </c>
      <c r="T1223">
        <v>42</v>
      </c>
      <c r="U1223">
        <v>24</v>
      </c>
      <c r="V1223" s="3">
        <v>0</v>
      </c>
      <c r="W1223" s="3">
        <v>1</v>
      </c>
      <c r="X1223">
        <v>0</v>
      </c>
      <c r="Y1223" t="s">
        <v>1042</v>
      </c>
    </row>
    <row r="1224" spans="1:25" hidden="1" x14ac:dyDescent="0.25">
      <c r="A1224" t="s">
        <v>41</v>
      </c>
      <c r="B1224" t="s">
        <v>112</v>
      </c>
      <c r="C1224" t="s">
        <v>42</v>
      </c>
      <c r="D1224" t="s">
        <v>27</v>
      </c>
      <c r="E1224" s="2">
        <v>45885</v>
      </c>
      <c r="F1224" s="2">
        <v>45885</v>
      </c>
      <c r="G1224" s="3">
        <v>147</v>
      </c>
      <c r="H1224" t="s">
        <v>28</v>
      </c>
      <c r="I1224">
        <v>0</v>
      </c>
      <c r="J1224">
        <v>0</v>
      </c>
      <c r="K1224">
        <v>0</v>
      </c>
      <c r="L1224" s="3">
        <v>0</v>
      </c>
      <c r="M1224" s="3">
        <v>0</v>
      </c>
      <c r="N1224">
        <v>0</v>
      </c>
      <c r="O1224">
        <v>0</v>
      </c>
      <c r="P1224">
        <v>0</v>
      </c>
      <c r="Q1224">
        <v>15</v>
      </c>
      <c r="R1224" s="3">
        <v>1</v>
      </c>
      <c r="S1224" s="3">
        <v>0</v>
      </c>
      <c r="T1224">
        <v>24</v>
      </c>
      <c r="U1224">
        <v>31</v>
      </c>
      <c r="V1224" s="3">
        <v>1</v>
      </c>
      <c r="W1224" s="3">
        <v>0</v>
      </c>
      <c r="X1224">
        <v>0</v>
      </c>
      <c r="Y1224" t="s">
        <v>1043</v>
      </c>
    </row>
    <row r="1225" spans="1:25" hidden="1" x14ac:dyDescent="0.25">
      <c r="A1225" t="s">
        <v>51</v>
      </c>
      <c r="B1225" t="s">
        <v>120</v>
      </c>
      <c r="C1225" t="s">
        <v>489</v>
      </c>
      <c r="D1225" t="s">
        <v>27</v>
      </c>
      <c r="E1225" s="2">
        <v>45885</v>
      </c>
      <c r="F1225" s="2">
        <v>45885</v>
      </c>
      <c r="G1225" s="3">
        <v>38</v>
      </c>
      <c r="H1225" t="s">
        <v>28</v>
      </c>
      <c r="I1225">
        <v>0</v>
      </c>
      <c r="J1225">
        <v>0</v>
      </c>
      <c r="K1225">
        <v>0</v>
      </c>
      <c r="L1225" s="3">
        <v>0</v>
      </c>
      <c r="M1225" s="3">
        <v>0</v>
      </c>
      <c r="N1225">
        <v>0</v>
      </c>
      <c r="O1225">
        <v>0</v>
      </c>
      <c r="P1225">
        <v>0</v>
      </c>
      <c r="Q1225">
        <v>0</v>
      </c>
      <c r="R1225" s="3">
        <v>1</v>
      </c>
      <c r="S1225" s="3">
        <v>0</v>
      </c>
      <c r="T1225">
        <v>0</v>
      </c>
      <c r="U1225">
        <v>27</v>
      </c>
      <c r="V1225" s="3">
        <v>1</v>
      </c>
      <c r="W1225" s="3">
        <v>0</v>
      </c>
      <c r="X1225">
        <v>0</v>
      </c>
      <c r="Y1225" t="s">
        <v>1044</v>
      </c>
    </row>
    <row r="1226" spans="1:25" hidden="1" x14ac:dyDescent="0.25">
      <c r="A1226" t="s">
        <v>48</v>
      </c>
      <c r="B1226" t="s">
        <v>149</v>
      </c>
      <c r="C1226" t="s">
        <v>52</v>
      </c>
      <c r="D1226" t="s">
        <v>27</v>
      </c>
      <c r="E1226" s="2">
        <v>45886</v>
      </c>
      <c r="F1226" s="2">
        <v>45886</v>
      </c>
      <c r="G1226" s="3">
        <v>422</v>
      </c>
      <c r="H1226" t="s">
        <v>28</v>
      </c>
      <c r="I1226">
        <v>0</v>
      </c>
      <c r="J1226">
        <v>0</v>
      </c>
      <c r="K1226">
        <v>0</v>
      </c>
      <c r="L1226" s="3">
        <v>0</v>
      </c>
      <c r="M1226" s="3">
        <v>0</v>
      </c>
      <c r="N1226">
        <v>0</v>
      </c>
      <c r="O1226">
        <v>0</v>
      </c>
      <c r="P1226">
        <v>0</v>
      </c>
      <c r="Q1226">
        <v>0</v>
      </c>
      <c r="R1226" s="3">
        <v>0</v>
      </c>
      <c r="S1226" s="3">
        <v>1</v>
      </c>
      <c r="T1226">
        <v>9</v>
      </c>
      <c r="U1226">
        <v>14</v>
      </c>
      <c r="V1226" s="3">
        <v>0</v>
      </c>
      <c r="W1226" s="3">
        <v>1</v>
      </c>
      <c r="X1226">
        <v>0</v>
      </c>
      <c r="Y1226" t="s">
        <v>1045</v>
      </c>
    </row>
    <row r="1227" spans="1:25" hidden="1" x14ac:dyDescent="0.25">
      <c r="A1227" s="1" t="s">
        <v>56</v>
      </c>
      <c r="B1227" s="1" t="s">
        <v>98</v>
      </c>
      <c r="C1227" s="1" t="s">
        <v>37</v>
      </c>
      <c r="D1227" s="1" t="s">
        <v>27</v>
      </c>
      <c r="E1227" s="2">
        <v>45887</v>
      </c>
      <c r="F1227" s="2">
        <v>45887</v>
      </c>
      <c r="G1227" s="3">
        <v>42</v>
      </c>
      <c r="H1227" s="4" t="s">
        <v>28</v>
      </c>
      <c r="I1227">
        <v>56</v>
      </c>
      <c r="J1227">
        <v>0</v>
      </c>
      <c r="K1227">
        <v>0</v>
      </c>
      <c r="L1227" s="3">
        <v>1</v>
      </c>
      <c r="M1227" s="3">
        <v>0</v>
      </c>
      <c r="N1227">
        <v>0</v>
      </c>
      <c r="O1227">
        <v>0</v>
      </c>
      <c r="P1227">
        <v>0</v>
      </c>
      <c r="Q1227">
        <v>0</v>
      </c>
      <c r="R1227" s="3">
        <v>0</v>
      </c>
      <c r="S1227" s="3">
        <v>0</v>
      </c>
      <c r="T1227">
        <v>0</v>
      </c>
      <c r="U1227">
        <v>0</v>
      </c>
      <c r="V1227" s="3">
        <v>0</v>
      </c>
      <c r="W1227" s="3">
        <v>0</v>
      </c>
      <c r="X1227">
        <v>0</v>
      </c>
      <c r="Y1227" t="s">
        <v>1046</v>
      </c>
    </row>
    <row r="1228" spans="1:25" hidden="1" x14ac:dyDescent="0.25">
      <c r="A1228" s="1" t="s">
        <v>29</v>
      </c>
      <c r="B1228" s="1" t="s">
        <v>100</v>
      </c>
      <c r="C1228" s="1" t="s">
        <v>95</v>
      </c>
      <c r="D1228" s="1" t="s">
        <v>27</v>
      </c>
      <c r="E1228" s="2">
        <v>45887</v>
      </c>
      <c r="F1228" s="2">
        <v>45887</v>
      </c>
      <c r="G1228" s="3">
        <v>43</v>
      </c>
      <c r="H1228" s="4" t="s">
        <v>28</v>
      </c>
      <c r="I1228">
        <v>128</v>
      </c>
      <c r="J1228">
        <v>0</v>
      </c>
      <c r="K1228">
        <v>0</v>
      </c>
      <c r="L1228" s="3">
        <v>1</v>
      </c>
      <c r="M1228" s="3">
        <v>0</v>
      </c>
      <c r="N1228">
        <v>0</v>
      </c>
      <c r="O1228">
        <v>0</v>
      </c>
      <c r="P1228">
        <v>0</v>
      </c>
      <c r="Q1228">
        <v>0</v>
      </c>
      <c r="R1228" s="3">
        <v>0</v>
      </c>
      <c r="S1228" s="3">
        <v>0</v>
      </c>
      <c r="T1228">
        <v>0</v>
      </c>
      <c r="U1228">
        <v>0</v>
      </c>
      <c r="V1228" s="3">
        <v>0</v>
      </c>
      <c r="W1228" s="3">
        <v>0</v>
      </c>
      <c r="X1228">
        <v>3</v>
      </c>
      <c r="Y1228" t="s">
        <v>1047</v>
      </c>
    </row>
    <row r="1229" spans="1:25" hidden="1" x14ac:dyDescent="0.25">
      <c r="A1229" s="1" t="s">
        <v>344</v>
      </c>
      <c r="B1229" s="1" t="s">
        <v>102</v>
      </c>
      <c r="C1229" s="1" t="s">
        <v>35</v>
      </c>
      <c r="D1229" s="1" t="s">
        <v>27</v>
      </c>
      <c r="E1229" s="2">
        <v>45887</v>
      </c>
      <c r="F1229" s="2">
        <v>45887</v>
      </c>
      <c r="G1229" s="3">
        <v>44</v>
      </c>
      <c r="H1229" s="4" t="s">
        <v>28</v>
      </c>
      <c r="I1229">
        <v>114</v>
      </c>
      <c r="J1229">
        <v>0</v>
      </c>
      <c r="K1229">
        <v>0</v>
      </c>
      <c r="L1229" s="3">
        <v>1</v>
      </c>
      <c r="M1229" s="3">
        <v>0</v>
      </c>
      <c r="N1229">
        <v>0</v>
      </c>
      <c r="O1229">
        <v>0</v>
      </c>
      <c r="P1229">
        <v>0</v>
      </c>
      <c r="Q1229">
        <v>0</v>
      </c>
      <c r="R1229" s="3">
        <v>0</v>
      </c>
      <c r="S1229" s="3">
        <v>0</v>
      </c>
      <c r="T1229">
        <v>0</v>
      </c>
      <c r="U1229">
        <v>0</v>
      </c>
      <c r="V1229" s="3">
        <v>0</v>
      </c>
      <c r="W1229" s="3">
        <v>0</v>
      </c>
      <c r="X1229">
        <v>0</v>
      </c>
      <c r="Y1229" t="s">
        <v>850</v>
      </c>
    </row>
    <row r="1230" spans="1:25" hidden="1" x14ac:dyDescent="0.25">
      <c r="A1230" s="1" t="s">
        <v>31</v>
      </c>
      <c r="B1230" s="1" t="s">
        <v>104</v>
      </c>
      <c r="C1230" s="1" t="s">
        <v>32</v>
      </c>
      <c r="D1230" s="1" t="s">
        <v>27</v>
      </c>
      <c r="E1230" s="2">
        <v>45887</v>
      </c>
      <c r="F1230" s="2">
        <v>45887</v>
      </c>
      <c r="G1230" s="3">
        <v>45</v>
      </c>
      <c r="H1230" s="4" t="s">
        <v>28</v>
      </c>
      <c r="I1230">
        <v>103</v>
      </c>
      <c r="J1230">
        <v>0</v>
      </c>
      <c r="K1230">
        <v>0</v>
      </c>
      <c r="L1230" s="3">
        <v>0</v>
      </c>
      <c r="M1230" s="3">
        <v>0</v>
      </c>
      <c r="N1230">
        <v>0</v>
      </c>
      <c r="O1230">
        <v>0</v>
      </c>
      <c r="P1230">
        <v>1</v>
      </c>
      <c r="Q1230">
        <v>50</v>
      </c>
      <c r="R1230" s="3">
        <v>0</v>
      </c>
      <c r="S1230" s="3">
        <v>0</v>
      </c>
      <c r="T1230">
        <v>0</v>
      </c>
      <c r="U1230">
        <v>0</v>
      </c>
      <c r="V1230" s="3">
        <v>0</v>
      </c>
      <c r="W1230" s="3">
        <v>0</v>
      </c>
      <c r="X1230">
        <v>0</v>
      </c>
      <c r="Y1230" t="s">
        <v>1048</v>
      </c>
    </row>
    <row r="1231" spans="1:25" hidden="1" x14ac:dyDescent="0.25">
      <c r="A1231" s="1" t="s">
        <v>38</v>
      </c>
      <c r="B1231" s="1" t="s">
        <v>108</v>
      </c>
      <c r="C1231" s="1" t="s">
        <v>27</v>
      </c>
      <c r="D1231" s="1" t="s">
        <v>27</v>
      </c>
      <c r="E1231" s="2">
        <v>45887</v>
      </c>
      <c r="F1231" s="2">
        <v>45887</v>
      </c>
      <c r="G1231" s="3">
        <v>46</v>
      </c>
      <c r="H1231" s="4" t="s">
        <v>28</v>
      </c>
      <c r="I1231">
        <v>29</v>
      </c>
      <c r="J1231">
        <v>0</v>
      </c>
      <c r="K1231">
        <v>0</v>
      </c>
      <c r="L1231" s="3">
        <v>0</v>
      </c>
      <c r="M1231" s="3">
        <v>0</v>
      </c>
      <c r="N1231">
        <v>0</v>
      </c>
      <c r="O1231">
        <v>0</v>
      </c>
      <c r="P1231">
        <v>0</v>
      </c>
      <c r="Q1231">
        <v>29</v>
      </c>
      <c r="R1231" s="3">
        <v>0</v>
      </c>
      <c r="S1231" s="3">
        <v>0</v>
      </c>
      <c r="T1231">
        <v>0</v>
      </c>
      <c r="U1231">
        <v>0</v>
      </c>
      <c r="V1231" s="3">
        <v>0</v>
      </c>
      <c r="W1231" s="3">
        <v>0</v>
      </c>
      <c r="X1231">
        <v>0</v>
      </c>
      <c r="Y1231" t="s">
        <v>1049</v>
      </c>
    </row>
    <row r="1232" spans="1:25" hidden="1" x14ac:dyDescent="0.25">
      <c r="A1232" s="1" t="s">
        <v>40</v>
      </c>
      <c r="B1232" s="1" t="s">
        <v>110</v>
      </c>
      <c r="C1232" s="1" t="s">
        <v>27</v>
      </c>
      <c r="D1232" s="1" t="s">
        <v>27</v>
      </c>
      <c r="E1232" s="2">
        <v>45887</v>
      </c>
      <c r="F1232" s="2">
        <v>45887</v>
      </c>
      <c r="G1232" s="3">
        <v>47</v>
      </c>
      <c r="H1232" s="4" t="s">
        <v>28</v>
      </c>
      <c r="I1232">
        <v>64</v>
      </c>
      <c r="J1232">
        <v>0</v>
      </c>
      <c r="K1232">
        <v>0</v>
      </c>
      <c r="L1232" s="3">
        <v>1</v>
      </c>
      <c r="M1232" s="3">
        <v>0</v>
      </c>
      <c r="N1232">
        <v>1</v>
      </c>
      <c r="O1232">
        <v>0</v>
      </c>
      <c r="P1232">
        <v>0</v>
      </c>
      <c r="Q1232">
        <v>0</v>
      </c>
      <c r="R1232" s="3">
        <v>0</v>
      </c>
      <c r="S1232" s="3">
        <v>0</v>
      </c>
      <c r="T1232">
        <v>0</v>
      </c>
      <c r="U1232">
        <v>0</v>
      </c>
      <c r="V1232" s="3">
        <v>0</v>
      </c>
      <c r="W1232" s="3">
        <v>0</v>
      </c>
      <c r="X1232">
        <v>0</v>
      </c>
      <c r="Y1232" t="s">
        <v>1050</v>
      </c>
    </row>
    <row r="1233" spans="1:25" hidden="1" x14ac:dyDescent="0.25">
      <c r="A1233" s="1" t="s">
        <v>36</v>
      </c>
      <c r="B1233" s="1" t="s">
        <v>110</v>
      </c>
      <c r="C1233" s="1" t="s">
        <v>27</v>
      </c>
      <c r="D1233" s="1" t="s">
        <v>27</v>
      </c>
      <c r="E1233" s="2">
        <v>45887</v>
      </c>
      <c r="F1233" s="2">
        <v>45887</v>
      </c>
      <c r="G1233" s="3">
        <v>47</v>
      </c>
      <c r="H1233" s="4" t="s">
        <v>28</v>
      </c>
      <c r="I1233">
        <v>64</v>
      </c>
      <c r="J1233">
        <v>0</v>
      </c>
      <c r="K1233">
        <v>0</v>
      </c>
      <c r="L1233" s="3">
        <v>1</v>
      </c>
      <c r="M1233" s="3">
        <v>0</v>
      </c>
      <c r="N1233">
        <v>1</v>
      </c>
      <c r="O1233">
        <v>0</v>
      </c>
      <c r="P1233">
        <v>0</v>
      </c>
      <c r="Q1233">
        <v>0</v>
      </c>
      <c r="R1233" s="3">
        <v>0</v>
      </c>
      <c r="S1233" s="3">
        <v>0</v>
      </c>
      <c r="T1233">
        <v>0</v>
      </c>
      <c r="U1233">
        <v>0</v>
      </c>
      <c r="V1233" s="3">
        <v>0</v>
      </c>
      <c r="W1233" s="3">
        <v>0</v>
      </c>
      <c r="X1233">
        <v>0</v>
      </c>
      <c r="Y1233" t="s">
        <v>1050</v>
      </c>
    </row>
    <row r="1234" spans="1:25" hidden="1" x14ac:dyDescent="0.25">
      <c r="A1234" s="1" t="s">
        <v>41</v>
      </c>
      <c r="B1234" s="1" t="s">
        <v>112</v>
      </c>
      <c r="C1234" s="1" t="s">
        <v>42</v>
      </c>
      <c r="D1234" s="1" t="s">
        <v>27</v>
      </c>
      <c r="E1234" s="2">
        <v>45887</v>
      </c>
      <c r="F1234" s="2">
        <v>45887</v>
      </c>
      <c r="G1234" s="3">
        <v>32</v>
      </c>
      <c r="H1234" s="4" t="s">
        <v>28</v>
      </c>
      <c r="I1234">
        <v>134</v>
      </c>
      <c r="J1234">
        <v>0</v>
      </c>
      <c r="K1234">
        <v>0</v>
      </c>
      <c r="L1234" s="3">
        <v>1</v>
      </c>
      <c r="M1234" s="3">
        <v>0</v>
      </c>
      <c r="N1234">
        <v>0</v>
      </c>
      <c r="O1234">
        <v>0</v>
      </c>
      <c r="P1234">
        <v>0</v>
      </c>
      <c r="Q1234">
        <v>0</v>
      </c>
      <c r="R1234" s="3">
        <v>0</v>
      </c>
      <c r="S1234" s="3">
        <v>0</v>
      </c>
      <c r="T1234">
        <v>0</v>
      </c>
      <c r="U1234">
        <v>0</v>
      </c>
      <c r="V1234" s="3">
        <v>0</v>
      </c>
      <c r="W1234" s="3">
        <v>0</v>
      </c>
      <c r="X1234">
        <v>0</v>
      </c>
      <c r="Y1234" t="s">
        <v>1021</v>
      </c>
    </row>
    <row r="1235" spans="1:25" hidden="1" x14ac:dyDescent="0.25">
      <c r="A1235" s="1" t="s">
        <v>43</v>
      </c>
      <c r="B1235" s="1" t="s">
        <v>114</v>
      </c>
      <c r="C1235" s="1" t="s">
        <v>44</v>
      </c>
      <c r="D1235" s="1" t="s">
        <v>27</v>
      </c>
      <c r="E1235" s="2">
        <v>45887</v>
      </c>
      <c r="F1235" s="2">
        <v>45887</v>
      </c>
      <c r="G1235" s="3">
        <v>49</v>
      </c>
      <c r="H1235" s="4" t="s">
        <v>28</v>
      </c>
      <c r="I1235">
        <v>69</v>
      </c>
      <c r="J1235">
        <v>0</v>
      </c>
      <c r="K1235">
        <v>0</v>
      </c>
      <c r="L1235" s="3">
        <v>1</v>
      </c>
      <c r="M1235" s="3">
        <v>0</v>
      </c>
      <c r="N1235">
        <v>0</v>
      </c>
      <c r="O1235">
        <v>0</v>
      </c>
      <c r="P1235">
        <v>0</v>
      </c>
      <c r="Q1235">
        <v>0</v>
      </c>
      <c r="R1235" s="3">
        <v>0</v>
      </c>
      <c r="S1235" s="3">
        <v>0</v>
      </c>
      <c r="T1235">
        <v>0</v>
      </c>
      <c r="U1235">
        <v>0</v>
      </c>
      <c r="V1235" s="3">
        <v>0</v>
      </c>
      <c r="W1235" s="3">
        <v>0</v>
      </c>
      <c r="X1235">
        <v>0</v>
      </c>
      <c r="Y1235" t="s">
        <v>1051</v>
      </c>
    </row>
    <row r="1236" spans="1:25" hidden="1" x14ac:dyDescent="0.25">
      <c r="A1236" s="1" t="s">
        <v>45</v>
      </c>
      <c r="B1236" s="1" t="s">
        <v>116</v>
      </c>
      <c r="C1236" s="1" t="s">
        <v>46</v>
      </c>
      <c r="D1236" s="1" t="s">
        <v>27</v>
      </c>
      <c r="E1236" s="2">
        <v>45887</v>
      </c>
      <c r="F1236" s="2">
        <v>45887</v>
      </c>
      <c r="G1236" s="3">
        <v>50</v>
      </c>
      <c r="H1236" s="4" t="s">
        <v>28</v>
      </c>
      <c r="I1236">
        <v>79</v>
      </c>
      <c r="J1236">
        <v>0</v>
      </c>
      <c r="K1236">
        <v>0</v>
      </c>
      <c r="L1236" s="3">
        <v>1</v>
      </c>
      <c r="M1236" s="3">
        <v>0</v>
      </c>
      <c r="N1236">
        <v>0</v>
      </c>
      <c r="O1236">
        <v>0</v>
      </c>
      <c r="P1236">
        <v>0</v>
      </c>
      <c r="Q1236">
        <v>0</v>
      </c>
      <c r="R1236" s="3">
        <v>0</v>
      </c>
      <c r="S1236" s="3">
        <v>0</v>
      </c>
      <c r="T1236">
        <v>0</v>
      </c>
      <c r="U1236">
        <v>0</v>
      </c>
      <c r="V1236" s="3">
        <v>0</v>
      </c>
      <c r="W1236" s="3">
        <v>0</v>
      </c>
      <c r="X1236">
        <v>0</v>
      </c>
      <c r="Y1236" t="s">
        <v>1052</v>
      </c>
    </row>
    <row r="1237" spans="1:25" hidden="1" x14ac:dyDescent="0.25">
      <c r="A1237" s="1" t="s">
        <v>47</v>
      </c>
      <c r="B1237" s="1" t="s">
        <v>137</v>
      </c>
      <c r="C1237" s="1" t="s">
        <v>27</v>
      </c>
      <c r="D1237" s="1" t="s">
        <v>27</v>
      </c>
      <c r="E1237" s="2">
        <v>45887</v>
      </c>
      <c r="F1237" s="2">
        <v>45887</v>
      </c>
      <c r="G1237" s="3">
        <v>51</v>
      </c>
      <c r="H1237" s="4" t="s">
        <v>28</v>
      </c>
      <c r="I1237">
        <v>51</v>
      </c>
      <c r="J1237">
        <v>0</v>
      </c>
      <c r="K1237">
        <v>0</v>
      </c>
      <c r="L1237" s="3">
        <v>0</v>
      </c>
      <c r="M1237" s="3">
        <v>0</v>
      </c>
      <c r="N1237">
        <v>0</v>
      </c>
      <c r="O1237">
        <v>0</v>
      </c>
      <c r="P1237">
        <v>0</v>
      </c>
      <c r="Q1237">
        <v>0</v>
      </c>
      <c r="R1237" s="3">
        <v>0</v>
      </c>
      <c r="S1237" s="3">
        <v>0</v>
      </c>
      <c r="T1237">
        <v>0</v>
      </c>
      <c r="U1237">
        <v>0</v>
      </c>
      <c r="V1237" s="3">
        <v>0</v>
      </c>
      <c r="W1237" s="3">
        <v>0</v>
      </c>
      <c r="X1237">
        <v>0</v>
      </c>
      <c r="Y1237" t="s">
        <v>1053</v>
      </c>
    </row>
    <row r="1238" spans="1:25" hidden="1" x14ac:dyDescent="0.25">
      <c r="A1238" s="1" t="s">
        <v>34</v>
      </c>
      <c r="B1238" s="1" t="s">
        <v>137</v>
      </c>
      <c r="C1238" s="1" t="s">
        <v>27</v>
      </c>
      <c r="D1238" s="1" t="s">
        <v>27</v>
      </c>
      <c r="E1238" s="2">
        <v>45887</v>
      </c>
      <c r="F1238" s="2">
        <v>45887</v>
      </c>
      <c r="G1238" s="3">
        <v>52</v>
      </c>
      <c r="H1238" s="4" t="s">
        <v>28</v>
      </c>
      <c r="I1238">
        <v>51</v>
      </c>
      <c r="J1238">
        <v>0</v>
      </c>
      <c r="K1238">
        <v>0</v>
      </c>
      <c r="L1238" s="3">
        <v>0</v>
      </c>
      <c r="M1238" s="3">
        <v>0</v>
      </c>
      <c r="N1238">
        <v>0</v>
      </c>
      <c r="O1238">
        <v>0</v>
      </c>
      <c r="P1238">
        <v>0</v>
      </c>
      <c r="Q1238">
        <v>0</v>
      </c>
      <c r="R1238" s="3">
        <v>0</v>
      </c>
      <c r="S1238" s="3">
        <v>0</v>
      </c>
      <c r="T1238">
        <v>0</v>
      </c>
      <c r="U1238">
        <v>0</v>
      </c>
      <c r="V1238" s="3">
        <v>0</v>
      </c>
      <c r="W1238" s="3">
        <v>0</v>
      </c>
      <c r="X1238">
        <v>0</v>
      </c>
      <c r="Y1238" t="s">
        <v>1053</v>
      </c>
    </row>
    <row r="1239" spans="1:25" hidden="1" x14ac:dyDescent="0.25">
      <c r="A1239" s="1" t="s">
        <v>49</v>
      </c>
      <c r="B1239" s="1" t="s">
        <v>118</v>
      </c>
      <c r="C1239" s="1" t="s">
        <v>50</v>
      </c>
      <c r="D1239" s="1" t="s">
        <v>27</v>
      </c>
      <c r="E1239" s="2">
        <v>45887</v>
      </c>
      <c r="F1239" s="2">
        <v>45887</v>
      </c>
      <c r="G1239" s="3">
        <v>53</v>
      </c>
      <c r="H1239" s="4" t="s">
        <v>28</v>
      </c>
      <c r="I1239">
        <v>42</v>
      </c>
      <c r="J1239">
        <v>0</v>
      </c>
      <c r="K1239">
        <v>0</v>
      </c>
      <c r="L1239" s="3">
        <v>1</v>
      </c>
      <c r="M1239" s="3">
        <v>1</v>
      </c>
      <c r="N1239">
        <v>0</v>
      </c>
      <c r="O1239">
        <v>0</v>
      </c>
      <c r="P1239">
        <v>0</v>
      </c>
      <c r="Q1239">
        <v>39</v>
      </c>
      <c r="R1239" s="3">
        <v>0</v>
      </c>
      <c r="S1239" s="3">
        <v>0</v>
      </c>
      <c r="T1239">
        <v>0</v>
      </c>
      <c r="U1239">
        <v>0</v>
      </c>
      <c r="V1239" s="3">
        <v>0</v>
      </c>
      <c r="W1239" s="3">
        <v>0</v>
      </c>
      <c r="X1239">
        <v>0</v>
      </c>
      <c r="Y1239" t="s">
        <v>1054</v>
      </c>
    </row>
    <row r="1240" spans="1:25" hidden="1" x14ac:dyDescent="0.25">
      <c r="A1240" s="1" t="s">
        <v>51</v>
      </c>
      <c r="B1240" s="1" t="s">
        <v>120</v>
      </c>
      <c r="C1240" s="1" t="s">
        <v>55</v>
      </c>
      <c r="D1240" s="1" t="s">
        <v>27</v>
      </c>
      <c r="E1240" s="2">
        <v>45887</v>
      </c>
      <c r="F1240" s="2">
        <v>45887</v>
      </c>
      <c r="G1240" s="3">
        <v>54</v>
      </c>
      <c r="H1240" s="4" t="s">
        <v>28</v>
      </c>
      <c r="I1240">
        <v>37</v>
      </c>
      <c r="J1240">
        <v>0</v>
      </c>
      <c r="K1240">
        <v>0</v>
      </c>
      <c r="L1240" s="3">
        <v>0</v>
      </c>
      <c r="M1240" s="3">
        <v>0</v>
      </c>
      <c r="N1240">
        <v>1</v>
      </c>
      <c r="O1240">
        <v>0</v>
      </c>
      <c r="P1240">
        <v>0</v>
      </c>
      <c r="Q1240">
        <v>0</v>
      </c>
      <c r="R1240" s="3">
        <v>0</v>
      </c>
      <c r="S1240" s="3">
        <v>0</v>
      </c>
      <c r="T1240">
        <v>0</v>
      </c>
      <c r="U1240">
        <v>0</v>
      </c>
      <c r="V1240" s="3">
        <v>0</v>
      </c>
      <c r="W1240" s="3">
        <v>0</v>
      </c>
      <c r="X1240">
        <v>0</v>
      </c>
      <c r="Y1240" t="s">
        <v>1055</v>
      </c>
    </row>
    <row r="1241" spans="1:25" hidden="1" x14ac:dyDescent="0.25">
      <c r="A1241" s="1" t="s">
        <v>54</v>
      </c>
      <c r="B1241" s="1" t="s">
        <v>122</v>
      </c>
      <c r="C1241" s="1" t="s">
        <v>52</v>
      </c>
      <c r="D1241" s="1" t="s">
        <v>27</v>
      </c>
      <c r="E1241" s="2">
        <v>45887</v>
      </c>
      <c r="F1241" s="2">
        <v>45887</v>
      </c>
      <c r="G1241" s="3">
        <v>55</v>
      </c>
      <c r="H1241" s="4" t="s">
        <v>28</v>
      </c>
      <c r="I1241">
        <v>51</v>
      </c>
      <c r="J1241">
        <v>0</v>
      </c>
      <c r="K1241">
        <v>0</v>
      </c>
      <c r="L1241" s="3">
        <v>0</v>
      </c>
      <c r="M1241" s="3">
        <v>0</v>
      </c>
      <c r="N1241">
        <v>0</v>
      </c>
      <c r="O1241">
        <v>0</v>
      </c>
      <c r="P1241">
        <v>0</v>
      </c>
      <c r="Q1241">
        <v>2</v>
      </c>
      <c r="R1241" s="3">
        <v>0</v>
      </c>
      <c r="S1241" s="3">
        <v>0</v>
      </c>
      <c r="T1241">
        <v>0</v>
      </c>
      <c r="U1241">
        <v>0</v>
      </c>
      <c r="V1241" s="3">
        <v>0</v>
      </c>
      <c r="W1241" s="3">
        <v>0</v>
      </c>
      <c r="X1241">
        <v>1</v>
      </c>
      <c r="Y1241" t="s">
        <v>1056</v>
      </c>
    </row>
    <row r="1242" spans="1:25" hidden="1" x14ac:dyDescent="0.25">
      <c r="A1242" s="1" t="s">
        <v>53</v>
      </c>
      <c r="B1242" s="1" t="s">
        <v>142</v>
      </c>
      <c r="C1242" s="1" t="s">
        <v>39</v>
      </c>
      <c r="D1242" s="1" t="s">
        <v>27</v>
      </c>
      <c r="E1242" s="2">
        <v>45887</v>
      </c>
      <c r="F1242" s="2">
        <v>45887</v>
      </c>
      <c r="G1242" s="3">
        <v>56</v>
      </c>
      <c r="H1242" s="4" t="s">
        <v>28</v>
      </c>
      <c r="I1242">
        <v>29</v>
      </c>
      <c r="J1242">
        <v>0</v>
      </c>
      <c r="K1242">
        <v>0</v>
      </c>
      <c r="L1242" s="3">
        <v>1</v>
      </c>
      <c r="M1242" s="3">
        <v>0</v>
      </c>
      <c r="N1242">
        <v>0</v>
      </c>
      <c r="O1242">
        <v>0</v>
      </c>
      <c r="P1242">
        <v>0</v>
      </c>
      <c r="Q1242">
        <v>29</v>
      </c>
      <c r="R1242" s="3">
        <v>0</v>
      </c>
      <c r="S1242" s="3">
        <v>0</v>
      </c>
      <c r="T1242">
        <v>0</v>
      </c>
      <c r="U1242">
        <v>0</v>
      </c>
      <c r="V1242" s="3">
        <v>0</v>
      </c>
      <c r="W1242" s="3">
        <v>0</v>
      </c>
      <c r="X1242">
        <v>0</v>
      </c>
      <c r="Y1242" t="s">
        <v>1057</v>
      </c>
    </row>
    <row r="1243" spans="1:25" hidden="1" x14ac:dyDescent="0.25">
      <c r="A1243" s="1" t="s">
        <v>58</v>
      </c>
      <c r="B1243" s="1" t="s">
        <v>144</v>
      </c>
      <c r="C1243" s="1" t="s">
        <v>489</v>
      </c>
      <c r="D1243" s="1" t="s">
        <v>27</v>
      </c>
      <c r="E1243" s="2">
        <v>45887</v>
      </c>
      <c r="F1243" s="2">
        <v>45887</v>
      </c>
      <c r="G1243" s="3">
        <v>57</v>
      </c>
      <c r="H1243" s="4" t="s">
        <v>28</v>
      </c>
      <c r="I1243">
        <v>59</v>
      </c>
      <c r="J1243">
        <v>0</v>
      </c>
      <c r="K1243">
        <v>0</v>
      </c>
      <c r="L1243" s="3">
        <v>1</v>
      </c>
      <c r="M1243" s="3">
        <v>0</v>
      </c>
      <c r="N1243">
        <v>0</v>
      </c>
      <c r="O1243">
        <v>0</v>
      </c>
      <c r="P1243">
        <v>0</v>
      </c>
      <c r="Q1243">
        <v>0</v>
      </c>
      <c r="R1243" s="3">
        <v>0</v>
      </c>
      <c r="S1243" s="3">
        <v>0</v>
      </c>
      <c r="T1243">
        <v>0</v>
      </c>
      <c r="U1243">
        <v>0</v>
      </c>
      <c r="V1243" s="3">
        <v>0</v>
      </c>
      <c r="W1243" s="3">
        <v>0</v>
      </c>
      <c r="X1243">
        <v>0</v>
      </c>
      <c r="Y1243" t="s">
        <v>1058</v>
      </c>
    </row>
    <row r="1244" spans="1:25" hidden="1" x14ac:dyDescent="0.25">
      <c r="A1244" s="1" t="s">
        <v>48</v>
      </c>
      <c r="B1244" s="1" t="s">
        <v>106</v>
      </c>
      <c r="C1244" s="1" t="s">
        <v>57</v>
      </c>
      <c r="D1244" s="1" t="s">
        <v>27</v>
      </c>
      <c r="E1244" s="2">
        <v>45887</v>
      </c>
      <c r="F1244" s="2">
        <v>45887</v>
      </c>
      <c r="G1244" s="3">
        <v>58</v>
      </c>
      <c r="H1244" s="4" t="s">
        <v>28</v>
      </c>
      <c r="I1244">
        <v>35</v>
      </c>
      <c r="J1244">
        <v>0</v>
      </c>
      <c r="K1244">
        <v>0</v>
      </c>
      <c r="L1244" s="3">
        <v>0</v>
      </c>
      <c r="M1244" s="3">
        <v>0</v>
      </c>
      <c r="N1244">
        <v>0</v>
      </c>
      <c r="O1244">
        <v>0</v>
      </c>
      <c r="P1244">
        <v>0</v>
      </c>
      <c r="Q1244">
        <v>0</v>
      </c>
      <c r="R1244" s="3">
        <v>0</v>
      </c>
      <c r="S1244" s="3">
        <v>0</v>
      </c>
      <c r="T1244">
        <v>0</v>
      </c>
      <c r="U1244">
        <v>0</v>
      </c>
      <c r="V1244" s="3">
        <v>0</v>
      </c>
      <c r="W1244" s="3">
        <v>0</v>
      </c>
      <c r="X1244">
        <v>0</v>
      </c>
      <c r="Y1244" t="s">
        <v>1031</v>
      </c>
    </row>
    <row r="1245" spans="1:25" hidden="1" x14ac:dyDescent="0.25">
      <c r="A1245" s="1" t="s">
        <v>25</v>
      </c>
      <c r="B1245" s="1" t="s">
        <v>182</v>
      </c>
      <c r="C1245" s="1" t="s">
        <v>27</v>
      </c>
      <c r="D1245" s="1" t="s">
        <v>27</v>
      </c>
      <c r="E1245" s="2">
        <v>45887</v>
      </c>
      <c r="F1245" s="2">
        <v>45887</v>
      </c>
      <c r="G1245" s="3">
        <v>59</v>
      </c>
      <c r="H1245" s="4" t="s">
        <v>959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1031</v>
      </c>
    </row>
    <row r="1246" spans="1:25" hidden="1" x14ac:dyDescent="0.25">
      <c r="A1246" s="1" t="s">
        <v>27</v>
      </c>
      <c r="B1246" s="1" t="s">
        <v>184</v>
      </c>
      <c r="C1246" s="1" t="s">
        <v>26</v>
      </c>
      <c r="D1246" s="1" t="s">
        <v>27</v>
      </c>
      <c r="E1246" s="2">
        <v>45887</v>
      </c>
      <c r="F1246" s="2">
        <v>45887</v>
      </c>
      <c r="G1246" s="3">
        <v>60</v>
      </c>
      <c r="H1246" s="4" t="s">
        <v>959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1031</v>
      </c>
    </row>
    <row r="1247" spans="1:25" hidden="1" x14ac:dyDescent="0.25">
      <c r="A1247" s="1" t="s">
        <v>454</v>
      </c>
      <c r="B1247" s="1" t="s">
        <v>186</v>
      </c>
      <c r="C1247" s="1" t="s">
        <v>27</v>
      </c>
      <c r="D1247" s="1" t="s">
        <v>27</v>
      </c>
      <c r="E1247" s="2">
        <v>45887</v>
      </c>
      <c r="F1247" s="2">
        <v>45887</v>
      </c>
      <c r="G1247" s="3">
        <v>61</v>
      </c>
      <c r="H1247" s="4" t="s">
        <v>180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1031</v>
      </c>
    </row>
    <row r="1248" spans="1:25" hidden="1" x14ac:dyDescent="0.25">
      <c r="A1248" s="1" t="s">
        <v>25</v>
      </c>
      <c r="B1248" s="1" t="s">
        <v>96</v>
      </c>
      <c r="C1248" s="1" t="s">
        <v>26</v>
      </c>
      <c r="D1248" s="1" t="s">
        <v>27</v>
      </c>
      <c r="E1248" s="2">
        <v>45888</v>
      </c>
      <c r="F1248" s="2">
        <v>45888</v>
      </c>
      <c r="G1248" s="3">
        <v>33</v>
      </c>
      <c r="H1248" s="4" t="s">
        <v>28</v>
      </c>
      <c r="I1248">
        <v>59</v>
      </c>
      <c r="J1248">
        <v>0</v>
      </c>
      <c r="K1248">
        <v>0</v>
      </c>
      <c r="L1248" s="3">
        <v>1</v>
      </c>
      <c r="M1248" s="3">
        <v>0</v>
      </c>
      <c r="N1248">
        <v>1</v>
      </c>
      <c r="O1248">
        <v>0</v>
      </c>
      <c r="P1248">
        <v>0</v>
      </c>
      <c r="Q1248">
        <v>0</v>
      </c>
      <c r="R1248" s="3">
        <v>0</v>
      </c>
      <c r="S1248" s="3">
        <v>0</v>
      </c>
      <c r="T1248">
        <v>0</v>
      </c>
      <c r="U1248">
        <v>0</v>
      </c>
      <c r="V1248" s="3">
        <v>0</v>
      </c>
      <c r="W1248" s="3">
        <v>0</v>
      </c>
      <c r="X1248">
        <v>0</v>
      </c>
      <c r="Y1248" t="s">
        <v>1059</v>
      </c>
    </row>
    <row r="1249" spans="1:25" hidden="1" x14ac:dyDescent="0.25">
      <c r="A1249" s="1" t="s">
        <v>56</v>
      </c>
      <c r="B1249" s="1" t="s">
        <v>98</v>
      </c>
      <c r="C1249" s="1" t="s">
        <v>37</v>
      </c>
      <c r="D1249" s="1" t="s">
        <v>27</v>
      </c>
      <c r="E1249" s="2">
        <v>45888</v>
      </c>
      <c r="F1249" s="2">
        <v>45888</v>
      </c>
      <c r="G1249" s="3">
        <v>30</v>
      </c>
      <c r="H1249" s="4" t="s">
        <v>28</v>
      </c>
      <c r="I1249">
        <v>79</v>
      </c>
      <c r="J1249">
        <v>0</v>
      </c>
      <c r="K1249">
        <v>0</v>
      </c>
      <c r="L1249" s="3">
        <v>1</v>
      </c>
      <c r="M1249" s="3">
        <v>0</v>
      </c>
      <c r="N1249">
        <v>0</v>
      </c>
      <c r="O1249">
        <v>0</v>
      </c>
      <c r="P1249">
        <v>0</v>
      </c>
      <c r="Q1249">
        <v>0</v>
      </c>
      <c r="R1249" s="3">
        <v>0</v>
      </c>
      <c r="S1249" s="3">
        <v>0</v>
      </c>
      <c r="T1249">
        <v>0</v>
      </c>
      <c r="U1249">
        <v>0</v>
      </c>
      <c r="V1249" s="3">
        <v>0</v>
      </c>
      <c r="W1249" s="3">
        <v>0</v>
      </c>
      <c r="X1249">
        <v>0</v>
      </c>
      <c r="Y1249" t="s">
        <v>1060</v>
      </c>
    </row>
    <row r="1250" spans="1:25" hidden="1" x14ac:dyDescent="0.25">
      <c r="A1250" s="1" t="s">
        <v>29</v>
      </c>
      <c r="B1250" s="1" t="s">
        <v>100</v>
      </c>
      <c r="C1250" s="1" t="s">
        <v>95</v>
      </c>
      <c r="D1250" s="1" t="s">
        <v>27</v>
      </c>
      <c r="E1250" s="2">
        <v>45888</v>
      </c>
      <c r="F1250" s="2">
        <v>45888</v>
      </c>
      <c r="G1250" s="3">
        <v>120</v>
      </c>
      <c r="H1250" s="4" t="s">
        <v>28</v>
      </c>
      <c r="I1250">
        <v>53</v>
      </c>
      <c r="J1250">
        <v>0</v>
      </c>
      <c r="K1250">
        <v>0</v>
      </c>
      <c r="L1250" s="3">
        <v>0</v>
      </c>
      <c r="M1250" s="3">
        <v>0</v>
      </c>
      <c r="N1250">
        <v>0</v>
      </c>
      <c r="O1250">
        <v>0</v>
      </c>
      <c r="P1250">
        <v>0</v>
      </c>
      <c r="Q1250">
        <v>0</v>
      </c>
      <c r="R1250" s="3">
        <v>0</v>
      </c>
      <c r="S1250" s="3">
        <v>0</v>
      </c>
      <c r="T1250">
        <v>0</v>
      </c>
      <c r="U1250">
        <v>0</v>
      </c>
      <c r="V1250" s="3">
        <v>0</v>
      </c>
      <c r="W1250" s="3">
        <v>0</v>
      </c>
      <c r="X1250">
        <v>0</v>
      </c>
      <c r="Y1250" t="s">
        <v>1061</v>
      </c>
    </row>
    <row r="1251" spans="1:25" hidden="1" x14ac:dyDescent="0.25">
      <c r="A1251" s="1" t="s">
        <v>344</v>
      </c>
      <c r="B1251" s="1" t="s">
        <v>102</v>
      </c>
      <c r="C1251" s="1" t="s">
        <v>35</v>
      </c>
      <c r="D1251" s="1" t="s">
        <v>27</v>
      </c>
      <c r="E1251" s="2">
        <v>45888</v>
      </c>
      <c r="F1251" s="2">
        <v>45888</v>
      </c>
      <c r="G1251" s="3">
        <v>44</v>
      </c>
      <c r="H1251" s="4" t="s">
        <v>28</v>
      </c>
      <c r="I1251">
        <v>40</v>
      </c>
      <c r="J1251">
        <v>0</v>
      </c>
      <c r="K1251">
        <v>0</v>
      </c>
      <c r="L1251" s="3">
        <v>0</v>
      </c>
      <c r="M1251" s="3">
        <v>0</v>
      </c>
      <c r="N1251">
        <v>0</v>
      </c>
      <c r="O1251">
        <v>0</v>
      </c>
      <c r="P1251">
        <v>0</v>
      </c>
      <c r="Q1251">
        <v>0</v>
      </c>
      <c r="R1251" s="3">
        <v>0</v>
      </c>
      <c r="S1251" s="3">
        <v>0</v>
      </c>
      <c r="T1251">
        <v>0</v>
      </c>
      <c r="U1251">
        <v>0</v>
      </c>
      <c r="V1251" s="3">
        <v>0</v>
      </c>
      <c r="W1251" s="3">
        <v>0</v>
      </c>
      <c r="X1251">
        <v>0</v>
      </c>
      <c r="Y1251" t="s">
        <v>850</v>
      </c>
    </row>
    <row r="1252" spans="1:25" hidden="1" x14ac:dyDescent="0.25">
      <c r="A1252" s="1" t="s">
        <v>31</v>
      </c>
      <c r="B1252" s="1" t="s">
        <v>104</v>
      </c>
      <c r="C1252" s="1" t="s">
        <v>32</v>
      </c>
      <c r="D1252" s="1" t="s">
        <v>27</v>
      </c>
      <c r="E1252" s="2">
        <v>45888</v>
      </c>
      <c r="F1252" s="2">
        <v>45888</v>
      </c>
      <c r="G1252" s="3">
        <v>40</v>
      </c>
      <c r="H1252" s="4" t="s">
        <v>28</v>
      </c>
      <c r="I1252">
        <v>65</v>
      </c>
      <c r="J1252">
        <v>0</v>
      </c>
      <c r="K1252">
        <v>0</v>
      </c>
      <c r="L1252" s="3">
        <v>0</v>
      </c>
      <c r="M1252" s="3">
        <v>0</v>
      </c>
      <c r="N1252">
        <v>0</v>
      </c>
      <c r="O1252">
        <v>0</v>
      </c>
      <c r="P1252">
        <v>0</v>
      </c>
      <c r="Q1252">
        <v>50</v>
      </c>
      <c r="R1252" s="3">
        <v>0</v>
      </c>
      <c r="S1252" s="3">
        <v>0</v>
      </c>
      <c r="T1252">
        <v>0</v>
      </c>
      <c r="U1252">
        <v>0</v>
      </c>
      <c r="V1252" s="3">
        <v>0</v>
      </c>
      <c r="W1252" s="3">
        <v>0</v>
      </c>
      <c r="X1252">
        <v>0</v>
      </c>
      <c r="Y1252" t="s">
        <v>1062</v>
      </c>
    </row>
    <row r="1253" spans="1:25" hidden="1" x14ac:dyDescent="0.25">
      <c r="A1253" s="1" t="s">
        <v>38</v>
      </c>
      <c r="B1253" s="1" t="s">
        <v>108</v>
      </c>
      <c r="C1253" s="1" t="s">
        <v>27</v>
      </c>
      <c r="D1253" s="1" t="s">
        <v>27</v>
      </c>
      <c r="E1253" s="2">
        <v>45888</v>
      </c>
      <c r="F1253" s="2">
        <v>45888</v>
      </c>
      <c r="G1253" s="3">
        <v>42</v>
      </c>
      <c r="H1253" s="4" t="s">
        <v>28</v>
      </c>
      <c r="I1253">
        <v>40</v>
      </c>
      <c r="J1253">
        <v>0</v>
      </c>
      <c r="K1253">
        <v>0</v>
      </c>
      <c r="L1253" s="3">
        <v>0</v>
      </c>
      <c r="M1253" s="3">
        <v>0</v>
      </c>
      <c r="N1253">
        <v>0</v>
      </c>
      <c r="O1253">
        <v>0</v>
      </c>
      <c r="P1253">
        <v>0</v>
      </c>
      <c r="Q1253">
        <v>0</v>
      </c>
      <c r="R1253" s="3">
        <v>0</v>
      </c>
      <c r="S1253" s="3">
        <v>0</v>
      </c>
      <c r="T1253">
        <v>0</v>
      </c>
      <c r="U1253">
        <v>0</v>
      </c>
      <c r="V1253" s="3">
        <v>0</v>
      </c>
      <c r="W1253" s="3">
        <v>0</v>
      </c>
      <c r="X1253">
        <v>0</v>
      </c>
      <c r="Y1253" t="s">
        <v>1063</v>
      </c>
    </row>
    <row r="1254" spans="1:25" hidden="1" x14ac:dyDescent="0.25">
      <c r="A1254" s="1" t="s">
        <v>40</v>
      </c>
      <c r="B1254" s="1" t="s">
        <v>110</v>
      </c>
      <c r="C1254" s="1" t="s">
        <v>27</v>
      </c>
      <c r="D1254" s="1" t="s">
        <v>27</v>
      </c>
      <c r="E1254" s="2">
        <v>45888</v>
      </c>
      <c r="F1254" s="2">
        <v>45888</v>
      </c>
      <c r="G1254" s="3">
        <v>207</v>
      </c>
      <c r="H1254" s="4" t="s">
        <v>28</v>
      </c>
      <c r="I1254">
        <v>24</v>
      </c>
      <c r="J1254">
        <v>0</v>
      </c>
      <c r="K1254">
        <v>0</v>
      </c>
      <c r="L1254" s="3">
        <v>0</v>
      </c>
      <c r="M1254" s="3">
        <v>0</v>
      </c>
      <c r="N1254">
        <v>0</v>
      </c>
      <c r="O1254">
        <v>0</v>
      </c>
      <c r="P1254">
        <v>0</v>
      </c>
      <c r="Q1254">
        <v>0</v>
      </c>
      <c r="R1254" s="3">
        <v>0</v>
      </c>
      <c r="S1254" s="3">
        <v>0</v>
      </c>
      <c r="T1254">
        <v>0</v>
      </c>
      <c r="U1254">
        <v>0</v>
      </c>
      <c r="V1254" s="3">
        <v>0</v>
      </c>
      <c r="W1254" s="3">
        <v>0</v>
      </c>
      <c r="X1254">
        <v>0</v>
      </c>
      <c r="Y1254" t="s">
        <v>1064</v>
      </c>
    </row>
    <row r="1255" spans="1:25" hidden="1" x14ac:dyDescent="0.25">
      <c r="A1255" s="1" t="s">
        <v>36</v>
      </c>
      <c r="B1255" s="1" t="s">
        <v>110</v>
      </c>
      <c r="C1255" s="1" t="s">
        <v>27</v>
      </c>
      <c r="D1255" s="1" t="s">
        <v>27</v>
      </c>
      <c r="E1255" s="2">
        <v>45888</v>
      </c>
      <c r="F1255" s="2">
        <v>45888</v>
      </c>
      <c r="G1255" s="3">
        <v>207</v>
      </c>
      <c r="H1255" s="4" t="s">
        <v>28</v>
      </c>
      <c r="I1255">
        <v>24</v>
      </c>
      <c r="J1255">
        <v>0</v>
      </c>
      <c r="K1255">
        <v>0</v>
      </c>
      <c r="L1255" s="3">
        <v>0</v>
      </c>
      <c r="M1255" s="3">
        <v>0</v>
      </c>
      <c r="N1255">
        <v>0</v>
      </c>
      <c r="O1255">
        <v>0</v>
      </c>
      <c r="P1255">
        <v>0</v>
      </c>
      <c r="Q1255">
        <v>0</v>
      </c>
      <c r="R1255" s="3">
        <v>0</v>
      </c>
      <c r="S1255" s="3">
        <v>0</v>
      </c>
      <c r="T1255">
        <v>0</v>
      </c>
      <c r="U1255">
        <v>0</v>
      </c>
      <c r="V1255" s="3">
        <v>0</v>
      </c>
      <c r="W1255" s="3">
        <v>0</v>
      </c>
      <c r="X1255">
        <v>0</v>
      </c>
      <c r="Y1255" t="s">
        <v>1064</v>
      </c>
    </row>
    <row r="1256" spans="1:25" hidden="1" x14ac:dyDescent="0.25">
      <c r="A1256" s="1" t="s">
        <v>41</v>
      </c>
      <c r="B1256" s="1" t="s">
        <v>112</v>
      </c>
      <c r="C1256" s="1" t="s">
        <v>42</v>
      </c>
      <c r="D1256" s="1" t="s">
        <v>27</v>
      </c>
      <c r="E1256" s="2">
        <v>45888</v>
      </c>
      <c r="F1256" s="2">
        <v>45888</v>
      </c>
      <c r="G1256" s="5">
        <v>1596</v>
      </c>
      <c r="H1256" s="4" t="s">
        <v>28</v>
      </c>
      <c r="I1256">
        <v>40</v>
      </c>
      <c r="J1256">
        <v>0</v>
      </c>
      <c r="K1256">
        <v>0</v>
      </c>
      <c r="L1256" s="3">
        <v>1</v>
      </c>
      <c r="M1256" s="3">
        <v>0</v>
      </c>
      <c r="N1256">
        <v>0</v>
      </c>
      <c r="O1256">
        <v>0</v>
      </c>
      <c r="P1256">
        <v>0</v>
      </c>
      <c r="Q1256">
        <v>0</v>
      </c>
      <c r="R1256" s="3">
        <v>0</v>
      </c>
      <c r="S1256" s="3">
        <v>0</v>
      </c>
      <c r="T1256">
        <v>0</v>
      </c>
      <c r="U1256">
        <v>0</v>
      </c>
      <c r="V1256" s="3">
        <v>0</v>
      </c>
      <c r="W1256" s="3">
        <v>0</v>
      </c>
      <c r="X1256">
        <v>0</v>
      </c>
      <c r="Y1256" t="s">
        <v>1065</v>
      </c>
    </row>
    <row r="1257" spans="1:25" hidden="1" x14ac:dyDescent="0.25">
      <c r="A1257" s="1" t="s">
        <v>43</v>
      </c>
      <c r="B1257" s="1" t="s">
        <v>114</v>
      </c>
      <c r="C1257" s="1" t="s">
        <v>44</v>
      </c>
      <c r="D1257" s="1" t="s">
        <v>27</v>
      </c>
      <c r="E1257" s="2">
        <v>45888</v>
      </c>
      <c r="F1257" s="2">
        <v>45888</v>
      </c>
      <c r="G1257" s="3">
        <v>28</v>
      </c>
      <c r="H1257" s="4" t="s">
        <v>28</v>
      </c>
      <c r="I1257">
        <v>70</v>
      </c>
      <c r="J1257">
        <v>0</v>
      </c>
      <c r="K1257">
        <v>0</v>
      </c>
      <c r="L1257" s="3">
        <v>1</v>
      </c>
      <c r="M1257" s="3">
        <v>0</v>
      </c>
      <c r="N1257">
        <v>0</v>
      </c>
      <c r="O1257">
        <v>0</v>
      </c>
      <c r="P1257">
        <v>0</v>
      </c>
      <c r="Q1257">
        <v>0</v>
      </c>
      <c r="R1257" s="3">
        <v>0</v>
      </c>
      <c r="S1257" s="3">
        <v>0</v>
      </c>
      <c r="T1257">
        <v>0</v>
      </c>
      <c r="U1257">
        <v>0</v>
      </c>
      <c r="V1257" s="3">
        <v>0</v>
      </c>
      <c r="W1257" s="3">
        <v>0</v>
      </c>
      <c r="X1257">
        <v>0</v>
      </c>
      <c r="Y1257" t="s">
        <v>1066</v>
      </c>
    </row>
    <row r="1258" spans="1:25" hidden="1" x14ac:dyDescent="0.25">
      <c r="A1258" s="1" t="s">
        <v>45</v>
      </c>
      <c r="B1258" s="1" t="s">
        <v>116</v>
      </c>
      <c r="C1258" s="1" t="s">
        <v>46</v>
      </c>
      <c r="D1258" s="1" t="s">
        <v>27</v>
      </c>
      <c r="E1258" s="2">
        <v>45888</v>
      </c>
      <c r="F1258" s="2">
        <v>45888</v>
      </c>
      <c r="G1258" s="3">
        <v>54</v>
      </c>
      <c r="H1258" s="4" t="s">
        <v>28</v>
      </c>
      <c r="I1258">
        <v>36</v>
      </c>
      <c r="J1258">
        <v>0</v>
      </c>
      <c r="K1258">
        <v>0</v>
      </c>
      <c r="L1258" s="3">
        <v>0</v>
      </c>
      <c r="M1258" s="3">
        <v>0</v>
      </c>
      <c r="N1258">
        <v>0</v>
      </c>
      <c r="O1258">
        <v>0</v>
      </c>
      <c r="P1258">
        <v>0</v>
      </c>
      <c r="Q1258">
        <v>0</v>
      </c>
      <c r="R1258" s="3">
        <v>0</v>
      </c>
      <c r="S1258" s="3">
        <v>0</v>
      </c>
      <c r="T1258">
        <v>0</v>
      </c>
      <c r="U1258">
        <v>0</v>
      </c>
      <c r="V1258" s="3">
        <v>0</v>
      </c>
      <c r="W1258" s="3">
        <v>0</v>
      </c>
      <c r="X1258">
        <v>0</v>
      </c>
      <c r="Y1258" t="s">
        <v>1067</v>
      </c>
    </row>
    <row r="1259" spans="1:25" hidden="1" x14ac:dyDescent="0.25">
      <c r="A1259" s="1" t="s">
        <v>47</v>
      </c>
      <c r="B1259" s="1" t="s">
        <v>137</v>
      </c>
      <c r="C1259" s="1" t="s">
        <v>27</v>
      </c>
      <c r="D1259" s="1" t="s">
        <v>27</v>
      </c>
      <c r="E1259" s="2">
        <v>45888</v>
      </c>
      <c r="F1259" s="2">
        <v>45888</v>
      </c>
      <c r="G1259" s="3">
        <v>31</v>
      </c>
      <c r="H1259" s="4" t="s">
        <v>28</v>
      </c>
      <c r="I1259">
        <v>48</v>
      </c>
      <c r="J1259">
        <v>0</v>
      </c>
      <c r="K1259">
        <v>0</v>
      </c>
      <c r="L1259" s="3">
        <v>0</v>
      </c>
      <c r="M1259" s="3">
        <v>0</v>
      </c>
      <c r="N1259">
        <v>0</v>
      </c>
      <c r="O1259">
        <v>0</v>
      </c>
      <c r="P1259">
        <v>0</v>
      </c>
      <c r="Q1259">
        <v>0</v>
      </c>
      <c r="R1259" s="3">
        <v>0</v>
      </c>
      <c r="S1259" s="3">
        <v>0</v>
      </c>
      <c r="T1259">
        <v>0</v>
      </c>
      <c r="U1259">
        <v>0</v>
      </c>
      <c r="V1259" s="3">
        <v>0</v>
      </c>
      <c r="W1259" s="3">
        <v>0</v>
      </c>
      <c r="X1259">
        <v>0</v>
      </c>
      <c r="Y1259" t="s">
        <v>1068</v>
      </c>
    </row>
    <row r="1260" spans="1:25" hidden="1" x14ac:dyDescent="0.25">
      <c r="A1260" s="1" t="s">
        <v>34</v>
      </c>
      <c r="B1260" s="1" t="s">
        <v>137</v>
      </c>
      <c r="C1260" s="1" t="s">
        <v>27</v>
      </c>
      <c r="D1260" s="1" t="s">
        <v>27</v>
      </c>
      <c r="E1260" s="2">
        <v>45888</v>
      </c>
      <c r="F1260" s="2">
        <v>45888</v>
      </c>
      <c r="G1260" s="3">
        <v>31</v>
      </c>
      <c r="H1260" s="4" t="s">
        <v>28</v>
      </c>
      <c r="I1260">
        <v>48</v>
      </c>
      <c r="J1260">
        <v>0</v>
      </c>
      <c r="K1260">
        <v>0</v>
      </c>
      <c r="L1260" s="3">
        <v>0</v>
      </c>
      <c r="M1260" s="3">
        <v>0</v>
      </c>
      <c r="N1260">
        <v>0</v>
      </c>
      <c r="O1260">
        <v>0</v>
      </c>
      <c r="P1260">
        <v>0</v>
      </c>
      <c r="Q1260">
        <v>0</v>
      </c>
      <c r="R1260" s="3">
        <v>0</v>
      </c>
      <c r="S1260" s="3">
        <v>0</v>
      </c>
      <c r="T1260">
        <v>0</v>
      </c>
      <c r="U1260">
        <v>0</v>
      </c>
      <c r="V1260" s="3">
        <v>0</v>
      </c>
      <c r="W1260" s="3">
        <v>0</v>
      </c>
      <c r="X1260">
        <v>0</v>
      </c>
      <c r="Y1260" t="s">
        <v>1068</v>
      </c>
    </row>
    <row r="1261" spans="1:25" hidden="1" x14ac:dyDescent="0.25">
      <c r="A1261" s="1" t="s">
        <v>49</v>
      </c>
      <c r="B1261" s="1" t="s">
        <v>118</v>
      </c>
      <c r="C1261" s="1" t="s">
        <v>50</v>
      </c>
      <c r="D1261" s="1" t="s">
        <v>27</v>
      </c>
      <c r="E1261" s="2">
        <v>45888</v>
      </c>
      <c r="F1261" s="2">
        <v>45888</v>
      </c>
      <c r="G1261" s="3">
        <v>53</v>
      </c>
      <c r="H1261" s="4" t="s">
        <v>28</v>
      </c>
      <c r="I1261">
        <v>27</v>
      </c>
      <c r="J1261">
        <v>0</v>
      </c>
      <c r="K1261">
        <v>0</v>
      </c>
      <c r="L1261" s="3">
        <v>1</v>
      </c>
      <c r="M1261" s="3">
        <v>1</v>
      </c>
      <c r="N1261">
        <v>0</v>
      </c>
      <c r="O1261">
        <v>0</v>
      </c>
      <c r="P1261">
        <v>0</v>
      </c>
      <c r="Q1261">
        <v>0</v>
      </c>
      <c r="R1261" s="3">
        <v>0</v>
      </c>
      <c r="S1261" s="3">
        <v>0</v>
      </c>
      <c r="T1261">
        <v>0</v>
      </c>
      <c r="U1261">
        <v>0</v>
      </c>
      <c r="V1261" s="3">
        <v>0</v>
      </c>
      <c r="W1261" s="3">
        <v>0</v>
      </c>
      <c r="X1261">
        <v>0</v>
      </c>
      <c r="Y1261" t="s">
        <v>1054</v>
      </c>
    </row>
    <row r="1262" spans="1:25" hidden="1" x14ac:dyDescent="0.25">
      <c r="A1262" s="1" t="s">
        <v>54</v>
      </c>
      <c r="B1262" s="1" t="s">
        <v>122</v>
      </c>
      <c r="C1262" s="1" t="s">
        <v>52</v>
      </c>
      <c r="D1262" s="1" t="s">
        <v>27</v>
      </c>
      <c r="E1262" s="2">
        <v>45888</v>
      </c>
      <c r="F1262" s="2">
        <v>45888</v>
      </c>
      <c r="G1262" s="3">
        <v>58</v>
      </c>
      <c r="H1262" s="4" t="s">
        <v>28</v>
      </c>
      <c r="I1262">
        <v>52</v>
      </c>
      <c r="J1262">
        <v>0</v>
      </c>
      <c r="K1262">
        <v>0</v>
      </c>
      <c r="L1262" s="3">
        <v>0</v>
      </c>
      <c r="M1262" s="3">
        <v>0</v>
      </c>
      <c r="N1262">
        <v>0</v>
      </c>
      <c r="O1262">
        <v>0</v>
      </c>
      <c r="P1262">
        <v>0</v>
      </c>
      <c r="Q1262">
        <v>2</v>
      </c>
      <c r="R1262" s="3">
        <v>0</v>
      </c>
      <c r="S1262" s="3">
        <v>0</v>
      </c>
      <c r="T1262">
        <v>0</v>
      </c>
      <c r="U1262">
        <v>0</v>
      </c>
      <c r="V1262" s="3">
        <v>0</v>
      </c>
      <c r="W1262" s="3">
        <v>0</v>
      </c>
      <c r="X1262">
        <v>0</v>
      </c>
      <c r="Y1262" t="s">
        <v>1069</v>
      </c>
    </row>
    <row r="1263" spans="1:25" hidden="1" x14ac:dyDescent="0.25">
      <c r="A1263" s="1" t="s">
        <v>53</v>
      </c>
      <c r="B1263" s="1" t="s">
        <v>142</v>
      </c>
      <c r="C1263" s="1" t="s">
        <v>39</v>
      </c>
      <c r="D1263" s="1" t="s">
        <v>27</v>
      </c>
      <c r="E1263" s="2">
        <v>45888</v>
      </c>
      <c r="F1263" s="2">
        <v>45888</v>
      </c>
      <c r="G1263" s="3">
        <v>70</v>
      </c>
      <c r="H1263" s="4" t="s">
        <v>28</v>
      </c>
      <c r="I1263">
        <v>25</v>
      </c>
      <c r="J1263">
        <v>0</v>
      </c>
      <c r="K1263">
        <v>0</v>
      </c>
      <c r="L1263" s="3">
        <v>1</v>
      </c>
      <c r="M1263" s="3">
        <v>0</v>
      </c>
      <c r="N1263">
        <v>0</v>
      </c>
      <c r="O1263">
        <v>0</v>
      </c>
      <c r="P1263">
        <v>0</v>
      </c>
      <c r="Q1263">
        <v>0</v>
      </c>
      <c r="R1263" s="3">
        <v>0</v>
      </c>
      <c r="S1263" s="3">
        <v>0</v>
      </c>
      <c r="T1263">
        <v>0</v>
      </c>
      <c r="U1263">
        <v>0</v>
      </c>
      <c r="V1263" s="3">
        <v>0</v>
      </c>
      <c r="W1263" s="3">
        <v>0</v>
      </c>
      <c r="X1263">
        <v>0</v>
      </c>
      <c r="Y1263" t="s">
        <v>1070</v>
      </c>
    </row>
    <row r="1264" spans="1:25" hidden="1" x14ac:dyDescent="0.25">
      <c r="A1264" s="1" t="s">
        <v>58</v>
      </c>
      <c r="B1264" s="1" t="s">
        <v>144</v>
      </c>
      <c r="C1264" s="1" t="s">
        <v>489</v>
      </c>
      <c r="D1264" s="1" t="s">
        <v>27</v>
      </c>
      <c r="E1264" s="2">
        <v>45888</v>
      </c>
      <c r="F1264" s="2">
        <v>45888</v>
      </c>
      <c r="G1264" s="3">
        <v>23</v>
      </c>
      <c r="H1264" s="4" t="s">
        <v>28</v>
      </c>
      <c r="I1264">
        <v>22</v>
      </c>
      <c r="J1264">
        <v>0</v>
      </c>
      <c r="K1264">
        <v>0</v>
      </c>
      <c r="L1264" s="3">
        <v>0</v>
      </c>
      <c r="M1264" s="3">
        <v>0</v>
      </c>
      <c r="N1264">
        <v>0</v>
      </c>
      <c r="O1264">
        <v>0</v>
      </c>
      <c r="P1264">
        <v>0</v>
      </c>
      <c r="Q1264">
        <v>0</v>
      </c>
      <c r="R1264" s="3">
        <v>0</v>
      </c>
      <c r="S1264" s="3">
        <v>0</v>
      </c>
      <c r="T1264">
        <v>0</v>
      </c>
      <c r="U1264">
        <v>0</v>
      </c>
      <c r="V1264" s="3">
        <v>0</v>
      </c>
      <c r="W1264" s="3">
        <v>0</v>
      </c>
      <c r="X1264">
        <v>0</v>
      </c>
      <c r="Y1264" t="s">
        <v>1071</v>
      </c>
    </row>
    <row r="1265" spans="1:25" hidden="1" x14ac:dyDescent="0.25">
      <c r="A1265" s="1" t="s">
        <v>51</v>
      </c>
      <c r="B1265" s="1" t="s">
        <v>106</v>
      </c>
      <c r="C1265" s="1" t="s">
        <v>27</v>
      </c>
      <c r="D1265" s="1" t="s">
        <v>27</v>
      </c>
      <c r="E1265" s="2">
        <v>45888</v>
      </c>
      <c r="F1265" s="2">
        <v>45888</v>
      </c>
      <c r="G1265" s="3">
        <v>23</v>
      </c>
      <c r="H1265" s="4" t="s">
        <v>959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1071</v>
      </c>
    </row>
    <row r="1266" spans="1:25" hidden="1" x14ac:dyDescent="0.25">
      <c r="A1266" s="1" t="s">
        <v>27</v>
      </c>
      <c r="B1266" s="1" t="s">
        <v>182</v>
      </c>
      <c r="C1266" s="1" t="s">
        <v>55</v>
      </c>
      <c r="D1266" s="1" t="s">
        <v>27</v>
      </c>
      <c r="E1266" s="2">
        <v>45888</v>
      </c>
      <c r="F1266" s="2">
        <v>45888</v>
      </c>
      <c r="G1266" s="3">
        <v>23</v>
      </c>
      <c r="H1266" s="4" t="s">
        <v>959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1071</v>
      </c>
    </row>
    <row r="1267" spans="1:25" hidden="1" x14ac:dyDescent="0.25">
      <c r="A1267" s="1" t="s">
        <v>454</v>
      </c>
      <c r="B1267" s="1" t="s">
        <v>184</v>
      </c>
      <c r="C1267" s="1" t="s">
        <v>27</v>
      </c>
      <c r="D1267" s="1" t="s">
        <v>27</v>
      </c>
      <c r="E1267" s="2">
        <v>45888</v>
      </c>
      <c r="F1267" s="2">
        <v>45888</v>
      </c>
      <c r="G1267" s="3">
        <v>23</v>
      </c>
      <c r="H1267" s="4" t="s">
        <v>959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1071</v>
      </c>
    </row>
    <row r="1268" spans="1:25" hidden="1" x14ac:dyDescent="0.25">
      <c r="A1268" s="1" t="s">
        <v>27</v>
      </c>
      <c r="B1268" s="1" t="s">
        <v>186</v>
      </c>
      <c r="C1268" s="1" t="s">
        <v>57</v>
      </c>
      <c r="D1268" s="1" t="s">
        <v>27</v>
      </c>
      <c r="E1268" s="2">
        <v>45888</v>
      </c>
      <c r="F1268" s="2">
        <v>45888</v>
      </c>
      <c r="G1268" s="3">
        <v>23</v>
      </c>
      <c r="H1268" s="4" t="s">
        <v>959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1071</v>
      </c>
    </row>
    <row r="1269" spans="1:25" hidden="1" x14ac:dyDescent="0.25">
      <c r="A1269" s="1" t="s">
        <v>48</v>
      </c>
      <c r="B1269" s="1" t="s">
        <v>188</v>
      </c>
      <c r="C1269" s="1" t="s">
        <v>27</v>
      </c>
      <c r="D1269" s="1" t="s">
        <v>27</v>
      </c>
      <c r="E1269" s="2">
        <v>45888</v>
      </c>
      <c r="F1269" s="2">
        <v>45888</v>
      </c>
      <c r="G1269" s="3">
        <v>23</v>
      </c>
      <c r="H1269" s="4" t="s">
        <v>959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1071</v>
      </c>
    </row>
    <row r="1270" spans="1:25" hidden="1" x14ac:dyDescent="0.25">
      <c r="A1270" s="1" t="s">
        <v>56</v>
      </c>
      <c r="B1270" s="1" t="s">
        <v>98</v>
      </c>
      <c r="C1270" s="1" t="s">
        <v>37</v>
      </c>
      <c r="D1270" s="1" t="s">
        <v>27</v>
      </c>
      <c r="E1270" s="2">
        <v>45889</v>
      </c>
      <c r="F1270" s="2">
        <v>45889</v>
      </c>
      <c r="G1270" s="3">
        <v>28</v>
      </c>
      <c r="H1270" s="4" t="s">
        <v>28</v>
      </c>
      <c r="I1270">
        <v>49</v>
      </c>
      <c r="J1270">
        <v>0</v>
      </c>
      <c r="K1270">
        <v>0</v>
      </c>
      <c r="L1270" s="3">
        <v>1</v>
      </c>
      <c r="M1270" s="3">
        <v>0</v>
      </c>
      <c r="N1270">
        <v>0</v>
      </c>
      <c r="O1270">
        <v>0</v>
      </c>
      <c r="P1270">
        <v>0</v>
      </c>
      <c r="Q1270">
        <v>0</v>
      </c>
      <c r="R1270" s="3">
        <v>0</v>
      </c>
      <c r="S1270" s="3">
        <v>0</v>
      </c>
      <c r="T1270">
        <v>0</v>
      </c>
      <c r="U1270">
        <v>0</v>
      </c>
      <c r="V1270" s="3">
        <v>0</v>
      </c>
      <c r="W1270" s="3">
        <v>0</v>
      </c>
      <c r="X1270">
        <v>0</v>
      </c>
      <c r="Y1270" t="s">
        <v>1072</v>
      </c>
    </row>
    <row r="1271" spans="1:25" hidden="1" x14ac:dyDescent="0.25">
      <c r="A1271" s="1" t="s">
        <v>29</v>
      </c>
      <c r="B1271" s="1" t="s">
        <v>100</v>
      </c>
      <c r="C1271" s="1" t="s">
        <v>26</v>
      </c>
      <c r="D1271" s="1" t="s">
        <v>27</v>
      </c>
      <c r="E1271" s="2">
        <v>45889</v>
      </c>
      <c r="F1271" s="2">
        <v>45889</v>
      </c>
      <c r="G1271" s="3">
        <v>84</v>
      </c>
      <c r="H1271" s="4" t="s">
        <v>28</v>
      </c>
      <c r="I1271">
        <v>42</v>
      </c>
      <c r="J1271">
        <v>0</v>
      </c>
      <c r="K1271">
        <v>0</v>
      </c>
      <c r="L1271" s="3">
        <v>1</v>
      </c>
      <c r="M1271" s="3">
        <v>0</v>
      </c>
      <c r="N1271">
        <v>0</v>
      </c>
      <c r="O1271">
        <v>0</v>
      </c>
      <c r="P1271">
        <v>0</v>
      </c>
      <c r="Q1271">
        <v>0</v>
      </c>
      <c r="R1271" s="3">
        <v>0</v>
      </c>
      <c r="S1271" s="3">
        <v>0</v>
      </c>
      <c r="T1271">
        <v>0</v>
      </c>
      <c r="U1271">
        <v>0</v>
      </c>
      <c r="V1271" s="3">
        <v>0</v>
      </c>
      <c r="W1271" s="3">
        <v>0</v>
      </c>
      <c r="X1271">
        <v>0</v>
      </c>
      <c r="Y1271" t="s">
        <v>1073</v>
      </c>
    </row>
    <row r="1272" spans="1:25" hidden="1" x14ac:dyDescent="0.25">
      <c r="A1272" s="1" t="s">
        <v>344</v>
      </c>
      <c r="B1272" s="1" t="s">
        <v>102</v>
      </c>
      <c r="C1272" s="1" t="s">
        <v>35</v>
      </c>
      <c r="D1272" s="1" t="s">
        <v>27</v>
      </c>
      <c r="E1272" s="2">
        <v>45889</v>
      </c>
      <c r="F1272" s="2">
        <v>45889</v>
      </c>
      <c r="G1272" s="3">
        <v>44</v>
      </c>
      <c r="H1272" s="4" t="s">
        <v>28</v>
      </c>
      <c r="I1272">
        <v>32</v>
      </c>
      <c r="J1272">
        <v>0</v>
      </c>
      <c r="K1272">
        <v>0</v>
      </c>
      <c r="L1272" s="3">
        <v>0</v>
      </c>
      <c r="M1272" s="3">
        <v>0</v>
      </c>
      <c r="N1272">
        <v>0</v>
      </c>
      <c r="O1272">
        <v>0</v>
      </c>
      <c r="P1272">
        <v>0</v>
      </c>
      <c r="Q1272">
        <v>0</v>
      </c>
      <c r="R1272" s="3">
        <v>0</v>
      </c>
      <c r="S1272" s="3">
        <v>0</v>
      </c>
      <c r="T1272">
        <v>0</v>
      </c>
      <c r="U1272">
        <v>0</v>
      </c>
      <c r="V1272" s="3">
        <v>0</v>
      </c>
      <c r="W1272" s="3">
        <v>0</v>
      </c>
      <c r="X1272">
        <v>0</v>
      </c>
      <c r="Y1272" t="s">
        <v>850</v>
      </c>
    </row>
    <row r="1273" spans="1:25" hidden="1" x14ac:dyDescent="0.25">
      <c r="A1273" s="1" t="s">
        <v>31</v>
      </c>
      <c r="B1273" s="1" t="s">
        <v>104</v>
      </c>
      <c r="C1273" s="1" t="s">
        <v>32</v>
      </c>
      <c r="D1273" s="1" t="s">
        <v>27</v>
      </c>
      <c r="E1273" s="2">
        <v>45889</v>
      </c>
      <c r="F1273" s="2">
        <v>45889</v>
      </c>
      <c r="G1273" s="3">
        <v>43</v>
      </c>
      <c r="H1273" s="4" t="s">
        <v>28</v>
      </c>
      <c r="I1273">
        <v>93</v>
      </c>
      <c r="J1273">
        <v>0</v>
      </c>
      <c r="K1273">
        <v>0</v>
      </c>
      <c r="L1273" s="3">
        <v>0</v>
      </c>
      <c r="M1273" s="3">
        <v>0</v>
      </c>
      <c r="N1273">
        <v>0</v>
      </c>
      <c r="O1273">
        <v>0</v>
      </c>
      <c r="P1273">
        <v>0</v>
      </c>
      <c r="Q1273">
        <v>50</v>
      </c>
      <c r="R1273" s="3">
        <v>0</v>
      </c>
      <c r="S1273" s="3">
        <v>0</v>
      </c>
      <c r="T1273">
        <v>0</v>
      </c>
      <c r="U1273">
        <v>0</v>
      </c>
      <c r="V1273" s="3">
        <v>0</v>
      </c>
      <c r="W1273" s="3">
        <v>0</v>
      </c>
      <c r="X1273">
        <v>0</v>
      </c>
      <c r="Y1273" t="s">
        <v>1074</v>
      </c>
    </row>
    <row r="1274" spans="1:25" hidden="1" x14ac:dyDescent="0.25">
      <c r="A1274" s="1" t="s">
        <v>33</v>
      </c>
      <c r="B1274" s="1" t="s">
        <v>106</v>
      </c>
      <c r="C1274" s="1" t="s">
        <v>57</v>
      </c>
      <c r="D1274" s="1" t="s">
        <v>27</v>
      </c>
      <c r="E1274" s="2">
        <v>45889</v>
      </c>
      <c r="F1274" s="2">
        <v>45889</v>
      </c>
      <c r="G1274" s="3">
        <v>32</v>
      </c>
      <c r="H1274" s="4" t="s">
        <v>28</v>
      </c>
      <c r="I1274">
        <v>44</v>
      </c>
      <c r="J1274">
        <v>0</v>
      </c>
      <c r="K1274">
        <v>0</v>
      </c>
      <c r="L1274" s="3">
        <v>0</v>
      </c>
      <c r="M1274" s="3">
        <v>0</v>
      </c>
      <c r="N1274">
        <v>0</v>
      </c>
      <c r="O1274">
        <v>0</v>
      </c>
      <c r="P1274">
        <v>0</v>
      </c>
      <c r="Q1274">
        <v>0</v>
      </c>
      <c r="R1274" s="3">
        <v>0</v>
      </c>
      <c r="S1274" s="3">
        <v>0</v>
      </c>
      <c r="T1274">
        <v>0</v>
      </c>
      <c r="U1274">
        <v>0</v>
      </c>
      <c r="V1274" s="3">
        <v>0</v>
      </c>
      <c r="W1274" s="3">
        <v>0</v>
      </c>
      <c r="X1274">
        <v>0</v>
      </c>
      <c r="Y1274" t="s">
        <v>1075</v>
      </c>
    </row>
    <row r="1275" spans="1:25" hidden="1" x14ac:dyDescent="0.25">
      <c r="A1275" s="1" t="s">
        <v>38</v>
      </c>
      <c r="B1275" s="1" t="s">
        <v>108</v>
      </c>
      <c r="C1275" s="1" t="s">
        <v>27</v>
      </c>
      <c r="D1275" s="1" t="s">
        <v>27</v>
      </c>
      <c r="E1275" s="2">
        <v>45889</v>
      </c>
      <c r="F1275" s="2">
        <v>45889</v>
      </c>
      <c r="G1275" s="3">
        <v>36</v>
      </c>
      <c r="H1275" t="s">
        <v>28</v>
      </c>
      <c r="I1275">
        <v>29</v>
      </c>
      <c r="J1275">
        <v>0</v>
      </c>
      <c r="K1275">
        <v>0</v>
      </c>
      <c r="L1275" s="3">
        <v>0</v>
      </c>
      <c r="M1275" s="3">
        <v>0</v>
      </c>
      <c r="N1275">
        <v>0</v>
      </c>
      <c r="O1275">
        <v>0</v>
      </c>
      <c r="P1275">
        <v>0</v>
      </c>
      <c r="Q1275">
        <v>0</v>
      </c>
      <c r="R1275" s="3">
        <v>0</v>
      </c>
      <c r="S1275" s="3">
        <v>0</v>
      </c>
      <c r="T1275">
        <v>0</v>
      </c>
      <c r="U1275">
        <v>0</v>
      </c>
      <c r="V1275" s="3">
        <v>0</v>
      </c>
      <c r="W1275" s="3">
        <v>0</v>
      </c>
      <c r="X1275">
        <v>0</v>
      </c>
      <c r="Y1275" t="s">
        <v>1076</v>
      </c>
    </row>
    <row r="1276" spans="1:25" hidden="1" x14ac:dyDescent="0.25">
      <c r="A1276" s="1" t="s">
        <v>40</v>
      </c>
      <c r="B1276" s="1" t="s">
        <v>110</v>
      </c>
      <c r="C1276" s="1" t="s">
        <v>27</v>
      </c>
      <c r="D1276" s="1" t="s">
        <v>27</v>
      </c>
      <c r="E1276" s="2">
        <v>45889</v>
      </c>
      <c r="F1276" s="2">
        <v>45889</v>
      </c>
      <c r="G1276" s="3">
        <v>199</v>
      </c>
      <c r="H1276" s="4" t="s">
        <v>28</v>
      </c>
      <c r="I1276">
        <v>65</v>
      </c>
      <c r="J1276">
        <v>0</v>
      </c>
      <c r="K1276">
        <v>0</v>
      </c>
      <c r="L1276" s="3">
        <v>1</v>
      </c>
      <c r="M1276" s="3">
        <v>0</v>
      </c>
      <c r="N1276">
        <v>1</v>
      </c>
      <c r="O1276">
        <v>0</v>
      </c>
      <c r="P1276">
        <v>0</v>
      </c>
      <c r="Q1276">
        <v>0</v>
      </c>
      <c r="R1276" s="3">
        <v>0</v>
      </c>
      <c r="S1276" s="3">
        <v>0</v>
      </c>
      <c r="T1276">
        <v>0</v>
      </c>
      <c r="U1276">
        <v>0</v>
      </c>
      <c r="V1276" s="3">
        <v>0</v>
      </c>
      <c r="W1276" s="3">
        <v>0</v>
      </c>
      <c r="X1276">
        <v>0</v>
      </c>
      <c r="Y1276" t="s">
        <v>1077</v>
      </c>
    </row>
    <row r="1277" spans="1:25" hidden="1" x14ac:dyDescent="0.25">
      <c r="A1277" s="1" t="s">
        <v>36</v>
      </c>
      <c r="B1277" s="1" t="s">
        <v>110</v>
      </c>
      <c r="C1277" s="1" t="s">
        <v>27</v>
      </c>
      <c r="D1277" s="1" t="s">
        <v>27</v>
      </c>
      <c r="E1277" s="2">
        <v>45889</v>
      </c>
      <c r="F1277" s="2">
        <v>45889</v>
      </c>
      <c r="G1277" s="3">
        <v>199</v>
      </c>
      <c r="H1277" s="4" t="s">
        <v>28</v>
      </c>
      <c r="I1277">
        <v>65</v>
      </c>
      <c r="J1277">
        <v>0</v>
      </c>
      <c r="K1277">
        <v>0</v>
      </c>
      <c r="L1277" s="3">
        <v>1</v>
      </c>
      <c r="M1277" s="3">
        <v>0</v>
      </c>
      <c r="N1277">
        <v>1</v>
      </c>
      <c r="O1277">
        <v>0</v>
      </c>
      <c r="P1277">
        <v>0</v>
      </c>
      <c r="Q1277">
        <v>0</v>
      </c>
      <c r="R1277" s="3">
        <v>0</v>
      </c>
      <c r="S1277" s="3">
        <v>0</v>
      </c>
      <c r="T1277">
        <v>0</v>
      </c>
      <c r="U1277">
        <v>0</v>
      </c>
      <c r="V1277" s="3">
        <v>0</v>
      </c>
      <c r="W1277" s="3">
        <v>0</v>
      </c>
      <c r="X1277">
        <v>0</v>
      </c>
      <c r="Y1277" t="s">
        <v>1077</v>
      </c>
    </row>
    <row r="1278" spans="1:25" hidden="1" x14ac:dyDescent="0.25">
      <c r="A1278" s="1" t="s">
        <v>41</v>
      </c>
      <c r="B1278" s="1" t="s">
        <v>112</v>
      </c>
      <c r="C1278" s="1" t="s">
        <v>42</v>
      </c>
      <c r="D1278" s="1" t="s">
        <v>27</v>
      </c>
      <c r="E1278" s="2">
        <v>45889</v>
      </c>
      <c r="F1278" s="2">
        <v>45889</v>
      </c>
      <c r="G1278" s="5">
        <v>1596</v>
      </c>
      <c r="H1278" s="4" t="s">
        <v>28</v>
      </c>
      <c r="I1278">
        <v>38</v>
      </c>
      <c r="J1278">
        <v>0</v>
      </c>
      <c r="K1278">
        <v>0</v>
      </c>
      <c r="L1278" s="3">
        <v>1</v>
      </c>
      <c r="M1278" s="3">
        <v>0</v>
      </c>
      <c r="N1278">
        <v>0</v>
      </c>
      <c r="O1278">
        <v>0</v>
      </c>
      <c r="P1278">
        <v>0</v>
      </c>
      <c r="Q1278">
        <v>0</v>
      </c>
      <c r="R1278" s="3">
        <v>0</v>
      </c>
      <c r="S1278" s="3">
        <v>0</v>
      </c>
      <c r="T1278">
        <v>0</v>
      </c>
      <c r="U1278">
        <v>0</v>
      </c>
      <c r="V1278" s="3">
        <v>0</v>
      </c>
      <c r="W1278" s="3">
        <v>0</v>
      </c>
      <c r="X1278">
        <v>0</v>
      </c>
      <c r="Y1278" t="s">
        <v>1065</v>
      </c>
    </row>
    <row r="1279" spans="1:25" hidden="1" x14ac:dyDescent="0.25">
      <c r="A1279" s="1" t="s">
        <v>43</v>
      </c>
      <c r="B1279" s="1" t="s">
        <v>114</v>
      </c>
      <c r="C1279" s="1" t="s">
        <v>44</v>
      </c>
      <c r="D1279" s="1" t="s">
        <v>27</v>
      </c>
      <c r="E1279" s="2">
        <v>45889</v>
      </c>
      <c r="F1279" s="2">
        <v>45889</v>
      </c>
      <c r="G1279" s="3">
        <v>53</v>
      </c>
      <c r="H1279" s="4" t="s">
        <v>28</v>
      </c>
      <c r="I1279">
        <v>53</v>
      </c>
      <c r="J1279">
        <v>0</v>
      </c>
      <c r="K1279">
        <v>0</v>
      </c>
      <c r="L1279" s="3">
        <v>0</v>
      </c>
      <c r="M1279" s="3">
        <v>0</v>
      </c>
      <c r="N1279">
        <v>0</v>
      </c>
      <c r="O1279">
        <v>0</v>
      </c>
      <c r="P1279">
        <v>0</v>
      </c>
      <c r="Q1279">
        <v>0</v>
      </c>
      <c r="R1279" s="3">
        <v>0</v>
      </c>
      <c r="S1279" s="3">
        <v>0</v>
      </c>
      <c r="T1279">
        <v>0</v>
      </c>
      <c r="U1279">
        <v>0</v>
      </c>
      <c r="V1279" s="3">
        <v>0</v>
      </c>
      <c r="W1279" s="3">
        <v>0</v>
      </c>
      <c r="X1279">
        <v>0</v>
      </c>
      <c r="Y1279" t="s">
        <v>1078</v>
      </c>
    </row>
    <row r="1280" spans="1:25" hidden="1" x14ac:dyDescent="0.25">
      <c r="A1280" s="1" t="s">
        <v>45</v>
      </c>
      <c r="B1280" s="1" t="s">
        <v>116</v>
      </c>
      <c r="C1280" s="1" t="s">
        <v>46</v>
      </c>
      <c r="D1280" s="1" t="s">
        <v>27</v>
      </c>
      <c r="E1280" s="2">
        <v>45889</v>
      </c>
      <c r="F1280" s="2">
        <v>45889</v>
      </c>
      <c r="G1280" s="3">
        <v>43</v>
      </c>
      <c r="H1280" s="4" t="s">
        <v>28</v>
      </c>
      <c r="I1280">
        <v>82</v>
      </c>
      <c r="J1280">
        <v>0</v>
      </c>
      <c r="K1280">
        <v>0</v>
      </c>
      <c r="L1280" s="3">
        <v>1</v>
      </c>
      <c r="M1280" s="3">
        <v>0</v>
      </c>
      <c r="N1280">
        <v>0</v>
      </c>
      <c r="O1280">
        <v>0</v>
      </c>
      <c r="P1280">
        <v>0</v>
      </c>
      <c r="Q1280">
        <v>0</v>
      </c>
      <c r="R1280" s="3">
        <v>0</v>
      </c>
      <c r="S1280" s="3">
        <v>0</v>
      </c>
      <c r="T1280">
        <v>0</v>
      </c>
      <c r="U1280">
        <v>0</v>
      </c>
      <c r="V1280" s="3">
        <v>0</v>
      </c>
      <c r="W1280" s="3">
        <v>0</v>
      </c>
      <c r="X1280">
        <v>0</v>
      </c>
      <c r="Y1280" t="s">
        <v>1079</v>
      </c>
    </row>
    <row r="1281" spans="1:25" hidden="1" x14ac:dyDescent="0.25">
      <c r="A1281" s="1" t="s">
        <v>47</v>
      </c>
      <c r="B1281" s="1" t="s">
        <v>137</v>
      </c>
      <c r="C1281" s="1" t="s">
        <v>27</v>
      </c>
      <c r="D1281" s="1" t="s">
        <v>27</v>
      </c>
      <c r="E1281" s="2">
        <v>45889</v>
      </c>
      <c r="F1281" s="2">
        <v>45889</v>
      </c>
      <c r="G1281" s="3">
        <v>21</v>
      </c>
      <c r="H1281" s="4" t="s">
        <v>28</v>
      </c>
      <c r="I1281">
        <v>57</v>
      </c>
      <c r="J1281">
        <v>0</v>
      </c>
      <c r="K1281">
        <v>0</v>
      </c>
      <c r="L1281" s="3">
        <v>0</v>
      </c>
      <c r="M1281" s="3">
        <v>0</v>
      </c>
      <c r="N1281">
        <v>0</v>
      </c>
      <c r="O1281">
        <v>0</v>
      </c>
      <c r="P1281">
        <v>0</v>
      </c>
      <c r="Q1281">
        <v>0</v>
      </c>
      <c r="R1281" s="3">
        <v>0</v>
      </c>
      <c r="S1281" s="3">
        <v>0</v>
      </c>
      <c r="T1281">
        <v>0</v>
      </c>
      <c r="U1281">
        <v>0</v>
      </c>
      <c r="V1281" s="3">
        <v>0</v>
      </c>
      <c r="W1281" s="3">
        <v>0</v>
      </c>
      <c r="X1281">
        <v>0</v>
      </c>
      <c r="Y1281" t="s">
        <v>1080</v>
      </c>
    </row>
    <row r="1282" spans="1:25" hidden="1" x14ac:dyDescent="0.25">
      <c r="A1282" s="1" t="s">
        <v>34</v>
      </c>
      <c r="B1282" s="1" t="s">
        <v>137</v>
      </c>
      <c r="C1282" s="1" t="s">
        <v>27</v>
      </c>
      <c r="D1282" s="1" t="s">
        <v>27</v>
      </c>
      <c r="E1282" s="2">
        <v>45889</v>
      </c>
      <c r="F1282" s="2">
        <v>45889</v>
      </c>
      <c r="G1282" s="3">
        <v>21</v>
      </c>
      <c r="H1282" s="4" t="s">
        <v>28</v>
      </c>
      <c r="I1282">
        <v>57</v>
      </c>
      <c r="J1282">
        <v>0</v>
      </c>
      <c r="K1282">
        <v>0</v>
      </c>
      <c r="L1282" s="3">
        <v>0</v>
      </c>
      <c r="M1282" s="3">
        <v>0</v>
      </c>
      <c r="N1282">
        <v>0</v>
      </c>
      <c r="O1282">
        <v>0</v>
      </c>
      <c r="P1282">
        <v>0</v>
      </c>
      <c r="Q1282">
        <v>0</v>
      </c>
      <c r="R1282" s="3">
        <v>0</v>
      </c>
      <c r="S1282" s="3">
        <v>0</v>
      </c>
      <c r="T1282">
        <v>0</v>
      </c>
      <c r="U1282">
        <v>0</v>
      </c>
      <c r="V1282" s="3">
        <v>0</v>
      </c>
      <c r="W1282" s="3">
        <v>0</v>
      </c>
      <c r="X1282">
        <v>0</v>
      </c>
      <c r="Y1282" t="s">
        <v>1080</v>
      </c>
    </row>
    <row r="1283" spans="1:25" hidden="1" x14ac:dyDescent="0.25">
      <c r="A1283" s="1" t="s">
        <v>49</v>
      </c>
      <c r="B1283" s="1" t="s">
        <v>118</v>
      </c>
      <c r="C1283" s="1" t="s">
        <v>50</v>
      </c>
      <c r="D1283" s="1" t="s">
        <v>27</v>
      </c>
      <c r="E1283" s="2">
        <v>45889</v>
      </c>
      <c r="F1283" s="2">
        <v>45889</v>
      </c>
      <c r="G1283" s="3">
        <v>53</v>
      </c>
      <c r="H1283" s="4" t="s">
        <v>28</v>
      </c>
      <c r="I1283">
        <v>62</v>
      </c>
      <c r="J1283">
        <v>0</v>
      </c>
      <c r="K1283">
        <v>0</v>
      </c>
      <c r="L1283" s="3">
        <v>1</v>
      </c>
      <c r="M1283" s="3">
        <v>1</v>
      </c>
      <c r="N1283">
        <v>0</v>
      </c>
      <c r="O1283">
        <v>0</v>
      </c>
      <c r="P1283">
        <v>0</v>
      </c>
      <c r="Q1283">
        <v>0</v>
      </c>
      <c r="R1283" s="3">
        <v>0</v>
      </c>
      <c r="S1283" s="3">
        <v>0</v>
      </c>
      <c r="T1283">
        <v>0</v>
      </c>
      <c r="U1283">
        <v>0</v>
      </c>
      <c r="V1283" s="3">
        <v>0</v>
      </c>
      <c r="W1283" s="3">
        <v>0</v>
      </c>
      <c r="X1283">
        <v>0</v>
      </c>
      <c r="Y1283" t="s">
        <v>1054</v>
      </c>
    </row>
    <row r="1284" spans="1:25" hidden="1" x14ac:dyDescent="0.25">
      <c r="A1284" s="1" t="s">
        <v>51</v>
      </c>
      <c r="B1284" s="1" t="s">
        <v>120</v>
      </c>
      <c r="C1284" s="1" t="s">
        <v>55</v>
      </c>
      <c r="D1284" s="1" t="s">
        <v>27</v>
      </c>
      <c r="E1284" s="2">
        <v>45889</v>
      </c>
      <c r="F1284" s="2">
        <v>45889</v>
      </c>
      <c r="G1284" s="3">
        <v>54</v>
      </c>
      <c r="H1284" s="4" t="s">
        <v>28</v>
      </c>
      <c r="I1284">
        <v>58</v>
      </c>
      <c r="J1284">
        <v>0</v>
      </c>
      <c r="K1284">
        <v>0</v>
      </c>
      <c r="L1284" s="3">
        <v>0</v>
      </c>
      <c r="M1284" s="3">
        <v>0</v>
      </c>
      <c r="N1284">
        <v>1</v>
      </c>
      <c r="O1284">
        <v>0</v>
      </c>
      <c r="P1284">
        <v>0</v>
      </c>
      <c r="Q1284">
        <v>0</v>
      </c>
      <c r="R1284" s="3">
        <v>0</v>
      </c>
      <c r="S1284" s="3">
        <v>0</v>
      </c>
      <c r="T1284">
        <v>0</v>
      </c>
      <c r="U1284">
        <v>0</v>
      </c>
      <c r="V1284" s="3">
        <v>0</v>
      </c>
      <c r="W1284" s="3">
        <v>0</v>
      </c>
      <c r="X1284">
        <v>0</v>
      </c>
      <c r="Y1284" t="s">
        <v>1055</v>
      </c>
    </row>
    <row r="1285" spans="1:25" hidden="1" x14ac:dyDescent="0.25">
      <c r="A1285" s="1" t="s">
        <v>54</v>
      </c>
      <c r="B1285" s="1" t="s">
        <v>122</v>
      </c>
      <c r="C1285" s="1" t="s">
        <v>52</v>
      </c>
      <c r="D1285" s="1" t="s">
        <v>27</v>
      </c>
      <c r="E1285" s="2">
        <v>45889</v>
      </c>
      <c r="F1285" s="2">
        <v>45889</v>
      </c>
      <c r="G1285" s="3">
        <v>42</v>
      </c>
      <c r="H1285" s="4" t="s">
        <v>28</v>
      </c>
      <c r="I1285">
        <v>24</v>
      </c>
      <c r="J1285">
        <v>0</v>
      </c>
      <c r="K1285">
        <v>0</v>
      </c>
      <c r="L1285" s="3">
        <v>0</v>
      </c>
      <c r="M1285" s="3">
        <v>0</v>
      </c>
      <c r="N1285">
        <v>0</v>
      </c>
      <c r="O1285">
        <v>0</v>
      </c>
      <c r="P1285">
        <v>0</v>
      </c>
      <c r="Q1285">
        <v>2</v>
      </c>
      <c r="R1285" s="3">
        <v>0</v>
      </c>
      <c r="S1285" s="3">
        <v>0</v>
      </c>
      <c r="T1285">
        <v>0</v>
      </c>
      <c r="U1285">
        <v>0</v>
      </c>
      <c r="V1285" s="3">
        <v>0</v>
      </c>
      <c r="W1285" s="3">
        <v>0</v>
      </c>
      <c r="X1285">
        <v>0</v>
      </c>
      <c r="Y1285" t="s">
        <v>1081</v>
      </c>
    </row>
    <row r="1286" spans="1:25" hidden="1" x14ac:dyDescent="0.25">
      <c r="A1286" s="1" t="s">
        <v>53</v>
      </c>
      <c r="B1286" s="1" t="s">
        <v>142</v>
      </c>
      <c r="C1286" s="1" t="s">
        <v>39</v>
      </c>
      <c r="D1286" s="1" t="s">
        <v>27</v>
      </c>
      <c r="E1286" s="2">
        <v>45889</v>
      </c>
      <c r="F1286" s="2">
        <v>45889</v>
      </c>
      <c r="G1286" s="3">
        <v>32</v>
      </c>
      <c r="H1286" s="4" t="s">
        <v>28</v>
      </c>
      <c r="I1286">
        <v>32</v>
      </c>
      <c r="J1286">
        <v>0</v>
      </c>
      <c r="K1286">
        <v>0</v>
      </c>
      <c r="L1286" s="3">
        <v>1</v>
      </c>
      <c r="M1286" s="3">
        <v>0</v>
      </c>
      <c r="N1286">
        <v>0</v>
      </c>
      <c r="O1286">
        <v>0</v>
      </c>
      <c r="P1286">
        <v>0</v>
      </c>
      <c r="Q1286">
        <v>0</v>
      </c>
      <c r="R1286" s="3">
        <v>0</v>
      </c>
      <c r="S1286" s="3">
        <v>0</v>
      </c>
      <c r="T1286">
        <v>0</v>
      </c>
      <c r="U1286">
        <v>0</v>
      </c>
      <c r="V1286" s="3">
        <v>0</v>
      </c>
      <c r="W1286" s="3">
        <v>0</v>
      </c>
      <c r="X1286">
        <v>0</v>
      </c>
      <c r="Y1286" t="s">
        <v>1082</v>
      </c>
    </row>
    <row r="1287" spans="1:25" hidden="1" x14ac:dyDescent="0.25">
      <c r="A1287" s="1" t="s">
        <v>58</v>
      </c>
      <c r="B1287" s="1" t="s">
        <v>144</v>
      </c>
      <c r="C1287" s="1" t="s">
        <v>489</v>
      </c>
      <c r="D1287" s="1" t="s">
        <v>27</v>
      </c>
      <c r="E1287" s="2">
        <v>45889</v>
      </c>
      <c r="F1287" s="2">
        <v>45889</v>
      </c>
      <c r="G1287" s="3">
        <v>23</v>
      </c>
      <c r="H1287" s="4" t="s">
        <v>28</v>
      </c>
      <c r="I1287">
        <v>59</v>
      </c>
      <c r="J1287">
        <v>0</v>
      </c>
      <c r="K1287">
        <v>0</v>
      </c>
      <c r="L1287" s="3">
        <v>1</v>
      </c>
      <c r="M1287" s="3">
        <v>0</v>
      </c>
      <c r="N1287">
        <v>0</v>
      </c>
      <c r="O1287">
        <v>0</v>
      </c>
      <c r="P1287">
        <v>0</v>
      </c>
      <c r="Q1287">
        <v>0</v>
      </c>
      <c r="R1287" s="3">
        <v>0</v>
      </c>
      <c r="S1287" s="3">
        <v>0</v>
      </c>
      <c r="T1287">
        <v>0</v>
      </c>
      <c r="U1287">
        <v>0</v>
      </c>
      <c r="V1287" s="3">
        <v>0</v>
      </c>
      <c r="W1287" s="3">
        <v>0</v>
      </c>
      <c r="X1287">
        <v>0</v>
      </c>
      <c r="Y1287" t="s">
        <v>1083</v>
      </c>
    </row>
    <row r="1288" spans="1:25" hidden="1" x14ac:dyDescent="0.25">
      <c r="A1288" s="1" t="s">
        <v>48</v>
      </c>
      <c r="B1288" s="1" t="s">
        <v>188</v>
      </c>
      <c r="C1288" s="1" t="s">
        <v>27</v>
      </c>
      <c r="D1288" s="1" t="s">
        <v>27</v>
      </c>
      <c r="E1288" s="2">
        <v>45889</v>
      </c>
      <c r="F1288" s="2">
        <v>45889</v>
      </c>
      <c r="G1288" s="3">
        <v>23</v>
      </c>
      <c r="H1288" s="4" t="s">
        <v>959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1071</v>
      </c>
    </row>
    <row r="1289" spans="1:25" hidden="1" x14ac:dyDescent="0.25">
      <c r="A1289" s="1" t="s">
        <v>25</v>
      </c>
      <c r="B1289" s="1" t="s">
        <v>188</v>
      </c>
      <c r="C1289" s="1" t="s">
        <v>27</v>
      </c>
      <c r="D1289" s="1" t="s">
        <v>27</v>
      </c>
      <c r="E1289" s="2">
        <v>45889</v>
      </c>
      <c r="F1289" s="2">
        <v>45889</v>
      </c>
      <c r="G1289" s="3">
        <v>23</v>
      </c>
      <c r="H1289" s="4" t="s">
        <v>959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1071</v>
      </c>
    </row>
    <row r="1290" spans="1:25" hidden="1" x14ac:dyDescent="0.25">
      <c r="A1290" s="1" t="s">
        <v>25</v>
      </c>
      <c r="B1290" s="1" t="s">
        <v>96</v>
      </c>
      <c r="C1290" s="1" t="s">
        <v>26</v>
      </c>
      <c r="D1290" s="1" t="s">
        <v>27</v>
      </c>
      <c r="E1290" s="2">
        <v>45890</v>
      </c>
      <c r="F1290" s="2">
        <v>45890</v>
      </c>
      <c r="G1290" s="3">
        <v>78</v>
      </c>
      <c r="H1290" s="4" t="s">
        <v>28</v>
      </c>
      <c r="I1290">
        <v>53</v>
      </c>
      <c r="J1290">
        <v>0</v>
      </c>
      <c r="K1290">
        <v>0</v>
      </c>
      <c r="L1290" s="3">
        <v>1</v>
      </c>
      <c r="M1290" s="3">
        <v>0</v>
      </c>
      <c r="N1290">
        <v>1</v>
      </c>
      <c r="O1290">
        <v>0</v>
      </c>
      <c r="P1290">
        <v>0</v>
      </c>
      <c r="Q1290">
        <v>0</v>
      </c>
      <c r="R1290" s="3">
        <v>0</v>
      </c>
      <c r="S1290" s="3">
        <v>0</v>
      </c>
      <c r="T1290">
        <v>0</v>
      </c>
      <c r="U1290">
        <v>0</v>
      </c>
      <c r="V1290" s="3">
        <v>0</v>
      </c>
      <c r="W1290" s="3">
        <v>0</v>
      </c>
      <c r="X1290">
        <v>0</v>
      </c>
      <c r="Y1290" t="s">
        <v>1084</v>
      </c>
    </row>
    <row r="1291" spans="1:25" hidden="1" x14ac:dyDescent="0.25">
      <c r="A1291" s="1" t="s">
        <v>56</v>
      </c>
      <c r="B1291" s="1" t="s">
        <v>98</v>
      </c>
      <c r="C1291" s="1" t="s">
        <v>37</v>
      </c>
      <c r="D1291" s="1" t="s">
        <v>27</v>
      </c>
      <c r="E1291" s="2">
        <v>45890</v>
      </c>
      <c r="F1291" s="2">
        <v>45890</v>
      </c>
      <c r="G1291" s="3">
        <v>31</v>
      </c>
      <c r="H1291" s="4" t="s">
        <v>28</v>
      </c>
      <c r="I1291">
        <v>71</v>
      </c>
      <c r="J1291">
        <v>0</v>
      </c>
      <c r="K1291">
        <v>0</v>
      </c>
      <c r="L1291" s="3">
        <v>1</v>
      </c>
      <c r="M1291" s="3">
        <v>0</v>
      </c>
      <c r="N1291">
        <v>0</v>
      </c>
      <c r="O1291">
        <v>0</v>
      </c>
      <c r="P1291">
        <v>0</v>
      </c>
      <c r="Q1291">
        <v>0</v>
      </c>
      <c r="R1291" s="3">
        <v>0</v>
      </c>
      <c r="S1291" s="3">
        <v>0</v>
      </c>
      <c r="T1291">
        <v>0</v>
      </c>
      <c r="U1291">
        <v>0</v>
      </c>
      <c r="V1291" s="3">
        <v>0</v>
      </c>
      <c r="W1291" s="3">
        <v>0</v>
      </c>
      <c r="X1291">
        <v>0</v>
      </c>
      <c r="Y1291" t="s">
        <v>1085</v>
      </c>
    </row>
    <row r="1292" spans="1:25" hidden="1" x14ac:dyDescent="0.25">
      <c r="A1292" s="1" t="s">
        <v>29</v>
      </c>
      <c r="B1292" s="1" t="s">
        <v>100</v>
      </c>
      <c r="C1292" s="1" t="s">
        <v>489</v>
      </c>
      <c r="D1292" s="1" t="s">
        <v>27</v>
      </c>
      <c r="E1292" s="2">
        <v>45890</v>
      </c>
      <c r="F1292" s="2">
        <v>45890</v>
      </c>
      <c r="G1292" s="3">
        <v>25</v>
      </c>
      <c r="H1292" s="4" t="s">
        <v>28</v>
      </c>
      <c r="I1292">
        <v>34</v>
      </c>
      <c r="J1292">
        <v>0</v>
      </c>
      <c r="K1292">
        <v>0</v>
      </c>
      <c r="L1292" s="3">
        <v>0</v>
      </c>
      <c r="M1292" s="3">
        <v>0</v>
      </c>
      <c r="N1292">
        <v>0</v>
      </c>
      <c r="O1292">
        <v>0</v>
      </c>
      <c r="P1292">
        <v>0</v>
      </c>
      <c r="Q1292">
        <v>0</v>
      </c>
      <c r="R1292" s="3">
        <v>0</v>
      </c>
      <c r="S1292" s="3">
        <v>0</v>
      </c>
      <c r="T1292">
        <v>0</v>
      </c>
      <c r="U1292">
        <v>0</v>
      </c>
      <c r="V1292" s="3">
        <v>0</v>
      </c>
      <c r="W1292" s="3">
        <v>0</v>
      </c>
      <c r="X1292">
        <v>0</v>
      </c>
      <c r="Y1292" t="s">
        <v>1086</v>
      </c>
    </row>
    <row r="1293" spans="1:25" hidden="1" x14ac:dyDescent="0.25">
      <c r="A1293" s="1" t="s">
        <v>344</v>
      </c>
      <c r="B1293" s="1" t="s">
        <v>102</v>
      </c>
      <c r="C1293" s="1" t="s">
        <v>35</v>
      </c>
      <c r="D1293" s="1" t="s">
        <v>27</v>
      </c>
      <c r="E1293" s="2">
        <v>45890</v>
      </c>
      <c r="F1293" s="2">
        <v>45890</v>
      </c>
      <c r="G1293" s="3">
        <v>44</v>
      </c>
      <c r="H1293" s="4" t="s">
        <v>28</v>
      </c>
      <c r="I1293">
        <v>36</v>
      </c>
      <c r="J1293">
        <v>0</v>
      </c>
      <c r="K1293">
        <v>0</v>
      </c>
      <c r="L1293" s="3">
        <v>0</v>
      </c>
      <c r="M1293" s="3">
        <v>0</v>
      </c>
      <c r="N1293">
        <v>0</v>
      </c>
      <c r="O1293">
        <v>0</v>
      </c>
      <c r="P1293">
        <v>0</v>
      </c>
      <c r="Q1293">
        <v>0</v>
      </c>
      <c r="R1293" s="3">
        <v>0</v>
      </c>
      <c r="S1293" s="3">
        <v>0</v>
      </c>
      <c r="T1293">
        <v>0</v>
      </c>
      <c r="U1293">
        <v>0</v>
      </c>
      <c r="V1293" s="3">
        <v>0</v>
      </c>
      <c r="W1293" s="3">
        <v>0</v>
      </c>
      <c r="X1293">
        <v>0</v>
      </c>
      <c r="Y1293" t="s">
        <v>850</v>
      </c>
    </row>
    <row r="1294" spans="1:25" hidden="1" x14ac:dyDescent="0.25">
      <c r="A1294" s="1" t="s">
        <v>31</v>
      </c>
      <c r="B1294" s="1" t="s">
        <v>104</v>
      </c>
      <c r="C1294" s="1" t="s">
        <v>32</v>
      </c>
      <c r="D1294" s="1" t="s">
        <v>27</v>
      </c>
      <c r="E1294" s="2">
        <v>45890</v>
      </c>
      <c r="F1294" s="2">
        <v>45890</v>
      </c>
      <c r="G1294" s="3">
        <v>57</v>
      </c>
      <c r="H1294" s="4" t="s">
        <v>28</v>
      </c>
      <c r="I1294">
        <v>87</v>
      </c>
      <c r="J1294">
        <v>0</v>
      </c>
      <c r="K1294">
        <v>0</v>
      </c>
      <c r="L1294" s="3">
        <v>0</v>
      </c>
      <c r="M1294" s="3">
        <v>0</v>
      </c>
      <c r="N1294">
        <v>0</v>
      </c>
      <c r="O1294">
        <v>0</v>
      </c>
      <c r="P1294">
        <v>0</v>
      </c>
      <c r="Q1294">
        <v>55</v>
      </c>
      <c r="R1294" s="3">
        <v>0</v>
      </c>
      <c r="S1294" s="3">
        <v>0</v>
      </c>
      <c r="T1294">
        <v>0</v>
      </c>
      <c r="U1294">
        <v>0</v>
      </c>
      <c r="V1294" s="3">
        <v>0</v>
      </c>
      <c r="W1294" s="3">
        <v>0</v>
      </c>
      <c r="X1294">
        <v>0</v>
      </c>
      <c r="Y1294" t="s">
        <v>1087</v>
      </c>
    </row>
    <row r="1295" spans="1:25" hidden="1" x14ac:dyDescent="0.25">
      <c r="A1295" s="1" t="s">
        <v>33</v>
      </c>
      <c r="B1295" s="1" t="s">
        <v>106</v>
      </c>
      <c r="C1295" s="1" t="s">
        <v>57</v>
      </c>
      <c r="D1295" s="1" t="s">
        <v>27</v>
      </c>
      <c r="E1295" s="2">
        <v>45890</v>
      </c>
      <c r="F1295" s="2">
        <v>45890</v>
      </c>
      <c r="G1295" s="3">
        <v>28</v>
      </c>
      <c r="H1295" s="4" t="s">
        <v>28</v>
      </c>
      <c r="I1295">
        <v>35</v>
      </c>
      <c r="J1295">
        <v>0</v>
      </c>
      <c r="K1295">
        <v>0</v>
      </c>
      <c r="L1295" s="3">
        <v>0</v>
      </c>
      <c r="M1295" s="3">
        <v>0</v>
      </c>
      <c r="N1295">
        <v>0</v>
      </c>
      <c r="O1295">
        <v>0</v>
      </c>
      <c r="P1295">
        <v>0</v>
      </c>
      <c r="Q1295">
        <v>0</v>
      </c>
      <c r="R1295" s="3">
        <v>0</v>
      </c>
      <c r="S1295" s="3">
        <v>0</v>
      </c>
      <c r="T1295">
        <v>0</v>
      </c>
      <c r="U1295">
        <v>0</v>
      </c>
      <c r="V1295" s="3">
        <v>0</v>
      </c>
      <c r="W1295" s="3">
        <v>0</v>
      </c>
      <c r="X1295">
        <v>0</v>
      </c>
      <c r="Y1295" t="s">
        <v>1088</v>
      </c>
    </row>
    <row r="1296" spans="1:25" hidden="1" x14ac:dyDescent="0.25">
      <c r="A1296" s="1" t="s">
        <v>40</v>
      </c>
      <c r="B1296" s="1" t="s">
        <v>110</v>
      </c>
      <c r="C1296" s="1" t="s">
        <v>27</v>
      </c>
      <c r="D1296" s="1" t="s">
        <v>27</v>
      </c>
      <c r="E1296" s="2">
        <v>45890</v>
      </c>
      <c r="F1296" s="2">
        <v>45890</v>
      </c>
      <c r="G1296" s="3">
        <v>115</v>
      </c>
      <c r="H1296" s="4" t="s">
        <v>28</v>
      </c>
      <c r="I1296">
        <v>26</v>
      </c>
      <c r="J1296">
        <v>0</v>
      </c>
      <c r="K1296">
        <v>0</v>
      </c>
      <c r="L1296" s="3">
        <v>0</v>
      </c>
      <c r="M1296" s="3">
        <v>0</v>
      </c>
      <c r="N1296">
        <v>0</v>
      </c>
      <c r="O1296">
        <v>0</v>
      </c>
      <c r="P1296">
        <v>0</v>
      </c>
      <c r="Q1296">
        <v>0</v>
      </c>
      <c r="R1296" s="3">
        <v>0</v>
      </c>
      <c r="S1296" s="3">
        <v>0</v>
      </c>
      <c r="T1296">
        <v>0</v>
      </c>
      <c r="U1296">
        <v>0</v>
      </c>
      <c r="V1296" s="3">
        <v>0</v>
      </c>
      <c r="W1296" s="3">
        <v>0</v>
      </c>
      <c r="X1296">
        <v>0</v>
      </c>
      <c r="Y1296" t="s">
        <v>1089</v>
      </c>
    </row>
    <row r="1297" spans="1:25" hidden="1" x14ac:dyDescent="0.25">
      <c r="A1297" s="1" t="s">
        <v>36</v>
      </c>
      <c r="B1297" s="1" t="s">
        <v>110</v>
      </c>
      <c r="C1297" s="1" t="s">
        <v>27</v>
      </c>
      <c r="D1297" s="1" t="s">
        <v>27</v>
      </c>
      <c r="E1297" s="2">
        <v>45890</v>
      </c>
      <c r="F1297" s="2">
        <v>45890</v>
      </c>
      <c r="G1297" s="3">
        <v>115</v>
      </c>
      <c r="H1297" s="4" t="s">
        <v>28</v>
      </c>
      <c r="I1297">
        <v>26</v>
      </c>
      <c r="J1297">
        <v>0</v>
      </c>
      <c r="K1297">
        <v>0</v>
      </c>
      <c r="L1297" s="3">
        <v>0</v>
      </c>
      <c r="M1297" s="3">
        <v>0</v>
      </c>
      <c r="N1297">
        <v>0</v>
      </c>
      <c r="O1297">
        <v>0</v>
      </c>
      <c r="P1297">
        <v>0</v>
      </c>
      <c r="Q1297">
        <v>0</v>
      </c>
      <c r="R1297" s="3">
        <v>0</v>
      </c>
      <c r="S1297" s="3">
        <v>0</v>
      </c>
      <c r="T1297">
        <v>0</v>
      </c>
      <c r="U1297">
        <v>0</v>
      </c>
      <c r="V1297" s="3">
        <v>0</v>
      </c>
      <c r="W1297" s="3">
        <v>0</v>
      </c>
      <c r="X1297">
        <v>0</v>
      </c>
      <c r="Y1297" t="s">
        <v>1089</v>
      </c>
    </row>
    <row r="1298" spans="1:25" hidden="1" x14ac:dyDescent="0.25">
      <c r="A1298" s="1" t="s">
        <v>41</v>
      </c>
      <c r="B1298" s="1" t="s">
        <v>112</v>
      </c>
      <c r="C1298" s="1" t="s">
        <v>42</v>
      </c>
      <c r="D1298" s="1" t="s">
        <v>27</v>
      </c>
      <c r="E1298" s="2">
        <v>45890</v>
      </c>
      <c r="F1298" s="2">
        <v>45890</v>
      </c>
      <c r="G1298" s="3">
        <v>50</v>
      </c>
      <c r="H1298" s="4" t="s">
        <v>28</v>
      </c>
      <c r="I1298">
        <v>51</v>
      </c>
      <c r="J1298">
        <v>0</v>
      </c>
      <c r="K1298">
        <v>0</v>
      </c>
      <c r="L1298" s="3">
        <v>1</v>
      </c>
      <c r="M1298" s="3">
        <v>0</v>
      </c>
      <c r="N1298">
        <v>0</v>
      </c>
      <c r="O1298">
        <v>0</v>
      </c>
      <c r="P1298">
        <v>0</v>
      </c>
      <c r="Q1298">
        <v>0</v>
      </c>
      <c r="R1298" s="3">
        <v>0</v>
      </c>
      <c r="S1298" s="3">
        <v>0</v>
      </c>
      <c r="T1298">
        <v>0</v>
      </c>
      <c r="U1298">
        <v>0</v>
      </c>
      <c r="V1298" s="3">
        <v>0</v>
      </c>
      <c r="W1298" s="3">
        <v>0</v>
      </c>
      <c r="X1298">
        <v>0</v>
      </c>
      <c r="Y1298" t="s">
        <v>1090</v>
      </c>
    </row>
    <row r="1299" spans="1:25" hidden="1" x14ac:dyDescent="0.25">
      <c r="A1299" s="1" t="s">
        <v>43</v>
      </c>
      <c r="B1299" s="1" t="s">
        <v>114</v>
      </c>
      <c r="C1299" s="1" t="s">
        <v>44</v>
      </c>
      <c r="D1299" s="1" t="s">
        <v>27</v>
      </c>
      <c r="E1299" s="2">
        <v>45890</v>
      </c>
      <c r="F1299" s="2">
        <v>45890</v>
      </c>
      <c r="G1299" s="3">
        <v>26</v>
      </c>
      <c r="H1299" s="4" t="s">
        <v>28</v>
      </c>
      <c r="I1299">
        <v>52</v>
      </c>
      <c r="J1299">
        <v>0</v>
      </c>
      <c r="K1299">
        <v>0</v>
      </c>
      <c r="L1299" s="3">
        <v>1</v>
      </c>
      <c r="M1299" s="3">
        <v>0</v>
      </c>
      <c r="N1299">
        <v>0</v>
      </c>
      <c r="O1299">
        <v>0</v>
      </c>
      <c r="P1299">
        <v>0</v>
      </c>
      <c r="Q1299">
        <v>0</v>
      </c>
      <c r="R1299" s="3">
        <v>0</v>
      </c>
      <c r="S1299" s="3">
        <v>0</v>
      </c>
      <c r="T1299">
        <v>0</v>
      </c>
      <c r="U1299">
        <v>0</v>
      </c>
      <c r="V1299" s="3">
        <v>0</v>
      </c>
      <c r="W1299" s="3">
        <v>0</v>
      </c>
      <c r="X1299">
        <v>0</v>
      </c>
      <c r="Y1299" t="s">
        <v>1091</v>
      </c>
    </row>
    <row r="1300" spans="1:25" hidden="1" x14ac:dyDescent="0.25">
      <c r="A1300" s="1" t="s">
        <v>45</v>
      </c>
      <c r="B1300" s="1" t="s">
        <v>116</v>
      </c>
      <c r="C1300" s="1" t="s">
        <v>46</v>
      </c>
      <c r="D1300" s="1" t="s">
        <v>27</v>
      </c>
      <c r="E1300" s="2">
        <v>45890</v>
      </c>
      <c r="F1300" s="2">
        <v>45890</v>
      </c>
      <c r="G1300" s="3">
        <v>40</v>
      </c>
      <c r="H1300" s="4" t="s">
        <v>28</v>
      </c>
      <c r="I1300">
        <v>30</v>
      </c>
      <c r="J1300">
        <v>0</v>
      </c>
      <c r="K1300">
        <v>0</v>
      </c>
      <c r="L1300" s="3">
        <v>0</v>
      </c>
      <c r="M1300" s="3">
        <v>0</v>
      </c>
      <c r="N1300">
        <v>0</v>
      </c>
      <c r="O1300">
        <v>0</v>
      </c>
      <c r="P1300">
        <v>0</v>
      </c>
      <c r="Q1300">
        <v>0</v>
      </c>
      <c r="R1300" s="3">
        <v>0</v>
      </c>
      <c r="S1300" s="3">
        <v>0</v>
      </c>
      <c r="T1300">
        <v>0</v>
      </c>
      <c r="U1300">
        <v>0</v>
      </c>
      <c r="V1300" s="3">
        <v>0</v>
      </c>
      <c r="W1300" s="3">
        <v>0</v>
      </c>
      <c r="X1300">
        <v>0</v>
      </c>
      <c r="Y1300" t="s">
        <v>1092</v>
      </c>
    </row>
    <row r="1301" spans="1:25" hidden="1" x14ac:dyDescent="0.25">
      <c r="A1301" s="1" t="s">
        <v>47</v>
      </c>
      <c r="B1301" s="1" t="s">
        <v>137</v>
      </c>
      <c r="C1301" s="1" t="s">
        <v>27</v>
      </c>
      <c r="D1301" s="1" t="s">
        <v>27</v>
      </c>
      <c r="E1301" s="2">
        <v>45890</v>
      </c>
      <c r="F1301" s="2">
        <v>45890</v>
      </c>
      <c r="G1301" s="3">
        <v>30</v>
      </c>
      <c r="H1301" s="4" t="s">
        <v>28</v>
      </c>
      <c r="I1301">
        <v>46</v>
      </c>
      <c r="J1301">
        <v>0</v>
      </c>
      <c r="K1301">
        <v>0</v>
      </c>
      <c r="L1301" s="3">
        <v>0</v>
      </c>
      <c r="M1301" s="3">
        <v>0</v>
      </c>
      <c r="N1301">
        <v>0</v>
      </c>
      <c r="O1301">
        <v>0</v>
      </c>
      <c r="P1301">
        <v>0</v>
      </c>
      <c r="Q1301">
        <v>0</v>
      </c>
      <c r="R1301" s="3">
        <v>0</v>
      </c>
      <c r="S1301" s="3">
        <v>0</v>
      </c>
      <c r="T1301">
        <v>0</v>
      </c>
      <c r="U1301">
        <v>0</v>
      </c>
      <c r="V1301" s="3">
        <v>0</v>
      </c>
      <c r="W1301" s="3">
        <v>0</v>
      </c>
      <c r="X1301">
        <v>0</v>
      </c>
      <c r="Y1301" t="s">
        <v>1093</v>
      </c>
    </row>
    <row r="1302" spans="1:25" hidden="1" x14ac:dyDescent="0.25">
      <c r="A1302" s="1" t="s">
        <v>34</v>
      </c>
      <c r="B1302" s="1" t="s">
        <v>137</v>
      </c>
      <c r="C1302" s="1" t="s">
        <v>27</v>
      </c>
      <c r="D1302" s="1" t="s">
        <v>27</v>
      </c>
      <c r="E1302" s="2">
        <v>45890</v>
      </c>
      <c r="F1302" s="2">
        <v>45890</v>
      </c>
      <c r="G1302" s="3">
        <v>30</v>
      </c>
      <c r="H1302" s="4" t="s">
        <v>28</v>
      </c>
      <c r="I1302">
        <v>46</v>
      </c>
      <c r="J1302">
        <v>0</v>
      </c>
      <c r="K1302">
        <v>0</v>
      </c>
      <c r="L1302" s="3">
        <v>0</v>
      </c>
      <c r="M1302" s="3">
        <v>0</v>
      </c>
      <c r="N1302">
        <v>0</v>
      </c>
      <c r="O1302">
        <v>0</v>
      </c>
      <c r="P1302">
        <v>0</v>
      </c>
      <c r="Q1302">
        <v>0</v>
      </c>
      <c r="R1302" s="3">
        <v>0</v>
      </c>
      <c r="S1302" s="3">
        <v>0</v>
      </c>
      <c r="T1302">
        <v>0</v>
      </c>
      <c r="U1302">
        <v>0</v>
      </c>
      <c r="V1302" s="3">
        <v>0</v>
      </c>
      <c r="W1302" s="3">
        <v>0</v>
      </c>
      <c r="X1302">
        <v>0</v>
      </c>
      <c r="Y1302" t="s">
        <v>1093</v>
      </c>
    </row>
    <row r="1303" spans="1:25" hidden="1" x14ac:dyDescent="0.25">
      <c r="A1303" s="1" t="s">
        <v>49</v>
      </c>
      <c r="B1303" s="1" t="s">
        <v>118</v>
      </c>
      <c r="C1303" s="1" t="s">
        <v>50</v>
      </c>
      <c r="D1303" s="1" t="s">
        <v>27</v>
      </c>
      <c r="E1303" s="2">
        <v>45890</v>
      </c>
      <c r="F1303" s="2">
        <v>45890</v>
      </c>
      <c r="G1303" s="3">
        <v>53</v>
      </c>
      <c r="H1303" s="4" t="s">
        <v>28</v>
      </c>
      <c r="I1303">
        <v>26</v>
      </c>
      <c r="J1303">
        <v>0</v>
      </c>
      <c r="K1303">
        <v>0</v>
      </c>
      <c r="L1303" s="3">
        <v>1</v>
      </c>
      <c r="M1303" s="3">
        <v>1</v>
      </c>
      <c r="N1303">
        <v>0</v>
      </c>
      <c r="O1303">
        <v>0</v>
      </c>
      <c r="P1303">
        <v>0</v>
      </c>
      <c r="Q1303">
        <v>0</v>
      </c>
      <c r="R1303" s="3">
        <v>0</v>
      </c>
      <c r="S1303" s="3">
        <v>0</v>
      </c>
      <c r="T1303">
        <v>0</v>
      </c>
      <c r="U1303">
        <v>0</v>
      </c>
      <c r="V1303" s="3">
        <v>0</v>
      </c>
      <c r="W1303" s="3">
        <v>0</v>
      </c>
      <c r="X1303">
        <v>0</v>
      </c>
      <c r="Y1303" t="s">
        <v>1054</v>
      </c>
    </row>
    <row r="1304" spans="1:25" hidden="1" x14ac:dyDescent="0.25">
      <c r="A1304" s="1" t="s">
        <v>51</v>
      </c>
      <c r="B1304" s="1" t="s">
        <v>120</v>
      </c>
      <c r="C1304" s="1" t="s">
        <v>55</v>
      </c>
      <c r="D1304" s="1" t="s">
        <v>27</v>
      </c>
      <c r="E1304" s="2">
        <v>45890</v>
      </c>
      <c r="F1304" s="2">
        <v>45890</v>
      </c>
      <c r="G1304" s="3">
        <v>75</v>
      </c>
      <c r="H1304" s="4" t="s">
        <v>28</v>
      </c>
      <c r="I1304">
        <v>38</v>
      </c>
      <c r="J1304">
        <v>0</v>
      </c>
      <c r="K1304">
        <v>0</v>
      </c>
      <c r="L1304" s="3">
        <v>0</v>
      </c>
      <c r="M1304" s="3">
        <v>0</v>
      </c>
      <c r="N1304">
        <v>1</v>
      </c>
      <c r="O1304">
        <v>0</v>
      </c>
      <c r="P1304">
        <v>0</v>
      </c>
      <c r="Q1304">
        <v>0</v>
      </c>
      <c r="R1304" s="3">
        <v>0</v>
      </c>
      <c r="S1304" s="3">
        <v>0</v>
      </c>
      <c r="T1304">
        <v>0</v>
      </c>
      <c r="U1304">
        <v>0</v>
      </c>
      <c r="V1304" s="3">
        <v>0</v>
      </c>
      <c r="W1304" s="3">
        <v>0</v>
      </c>
      <c r="X1304">
        <v>0</v>
      </c>
      <c r="Y1304" t="s">
        <v>1094</v>
      </c>
    </row>
    <row r="1305" spans="1:25" hidden="1" x14ac:dyDescent="0.25">
      <c r="A1305" s="1" t="s">
        <v>54</v>
      </c>
      <c r="B1305" s="1" t="s">
        <v>122</v>
      </c>
      <c r="C1305" s="1" t="s">
        <v>52</v>
      </c>
      <c r="D1305" s="1" t="s">
        <v>27</v>
      </c>
      <c r="E1305" s="2">
        <v>45890</v>
      </c>
      <c r="F1305" s="2">
        <v>45890</v>
      </c>
      <c r="G1305" s="3">
        <v>36</v>
      </c>
      <c r="H1305" s="4" t="s">
        <v>28</v>
      </c>
      <c r="I1305">
        <v>29</v>
      </c>
      <c r="J1305">
        <v>0</v>
      </c>
      <c r="K1305">
        <v>0</v>
      </c>
      <c r="L1305" s="3">
        <v>0</v>
      </c>
      <c r="M1305" s="3">
        <v>0</v>
      </c>
      <c r="N1305">
        <v>0</v>
      </c>
      <c r="O1305">
        <v>0</v>
      </c>
      <c r="P1305">
        <v>0</v>
      </c>
      <c r="Q1305">
        <v>2</v>
      </c>
      <c r="R1305" s="3">
        <v>0</v>
      </c>
      <c r="S1305" s="3">
        <v>0</v>
      </c>
      <c r="T1305">
        <v>0</v>
      </c>
      <c r="U1305">
        <v>0</v>
      </c>
      <c r="V1305" s="3">
        <v>0</v>
      </c>
      <c r="W1305" s="3">
        <v>0</v>
      </c>
      <c r="X1305">
        <v>0</v>
      </c>
      <c r="Y1305" t="s">
        <v>1095</v>
      </c>
    </row>
    <row r="1306" spans="1:25" hidden="1" x14ac:dyDescent="0.25">
      <c r="A1306" s="1" t="s">
        <v>53</v>
      </c>
      <c r="B1306" s="1" t="s">
        <v>142</v>
      </c>
      <c r="C1306" s="1" t="s">
        <v>39</v>
      </c>
      <c r="D1306" s="1" t="s">
        <v>27</v>
      </c>
      <c r="E1306" s="2">
        <v>45890</v>
      </c>
      <c r="F1306" s="2">
        <v>45890</v>
      </c>
      <c r="G1306" s="3">
        <v>48</v>
      </c>
      <c r="H1306" s="4" t="s">
        <v>28</v>
      </c>
      <c r="I1306">
        <v>23</v>
      </c>
      <c r="J1306">
        <v>0</v>
      </c>
      <c r="K1306">
        <v>0</v>
      </c>
      <c r="L1306" s="3">
        <v>1</v>
      </c>
      <c r="M1306" s="3">
        <v>0</v>
      </c>
      <c r="N1306">
        <v>0</v>
      </c>
      <c r="O1306">
        <v>0</v>
      </c>
      <c r="P1306">
        <v>0</v>
      </c>
      <c r="Q1306">
        <v>23</v>
      </c>
      <c r="R1306" s="3">
        <v>0</v>
      </c>
      <c r="S1306" s="3">
        <v>0</v>
      </c>
      <c r="T1306">
        <v>0</v>
      </c>
      <c r="U1306">
        <v>0</v>
      </c>
      <c r="V1306" s="3">
        <v>0</v>
      </c>
      <c r="W1306" s="3">
        <v>0</v>
      </c>
      <c r="X1306">
        <v>0</v>
      </c>
      <c r="Y1306" t="s">
        <v>1096</v>
      </c>
    </row>
    <row r="1307" spans="1:25" hidden="1" x14ac:dyDescent="0.25">
      <c r="A1307" s="1" t="s">
        <v>58</v>
      </c>
      <c r="B1307" s="1" t="s">
        <v>188</v>
      </c>
      <c r="C1307" s="1" t="s">
        <v>27</v>
      </c>
      <c r="D1307" s="1" t="s">
        <v>27</v>
      </c>
      <c r="E1307" s="2">
        <v>45890</v>
      </c>
      <c r="F1307" s="2">
        <v>45890</v>
      </c>
      <c r="G1307" s="3">
        <v>23</v>
      </c>
      <c r="H1307" s="4" t="s">
        <v>1097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1071</v>
      </c>
    </row>
    <row r="1308" spans="1:25" hidden="1" x14ac:dyDescent="0.25">
      <c r="A1308" s="1" t="s">
        <v>48</v>
      </c>
      <c r="B1308" s="1" t="s">
        <v>188</v>
      </c>
      <c r="C1308" s="1" t="s">
        <v>27</v>
      </c>
      <c r="D1308" s="1" t="s">
        <v>27</v>
      </c>
      <c r="E1308" s="2">
        <v>45890</v>
      </c>
      <c r="F1308" s="2">
        <v>45890</v>
      </c>
      <c r="G1308" s="3">
        <v>23</v>
      </c>
      <c r="H1308" s="4" t="s">
        <v>1097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1071</v>
      </c>
    </row>
    <row r="1309" spans="1:25" hidden="1" x14ac:dyDescent="0.25">
      <c r="A1309" t="s">
        <v>56</v>
      </c>
      <c r="B1309" t="s">
        <v>98</v>
      </c>
      <c r="C1309" t="s">
        <v>37</v>
      </c>
      <c r="D1309" t="s">
        <v>27</v>
      </c>
      <c r="E1309" s="2">
        <v>45891</v>
      </c>
      <c r="F1309" s="2">
        <v>45891</v>
      </c>
      <c r="G1309" s="3">
        <v>30</v>
      </c>
      <c r="H1309" s="4" t="s">
        <v>28</v>
      </c>
      <c r="I1309">
        <v>78</v>
      </c>
      <c r="J1309">
        <v>0</v>
      </c>
      <c r="K1309">
        <v>0</v>
      </c>
      <c r="L1309" s="3">
        <v>1</v>
      </c>
      <c r="M1309" s="3">
        <v>0</v>
      </c>
      <c r="N1309">
        <v>0</v>
      </c>
      <c r="O1309">
        <v>0</v>
      </c>
      <c r="P1309">
        <v>0</v>
      </c>
      <c r="Q1309">
        <v>0</v>
      </c>
      <c r="R1309" s="3">
        <v>0</v>
      </c>
      <c r="S1309" s="3">
        <v>0</v>
      </c>
      <c r="T1309">
        <v>0</v>
      </c>
      <c r="U1309">
        <v>0</v>
      </c>
      <c r="V1309" s="3">
        <v>0</v>
      </c>
      <c r="W1309" s="3">
        <v>0</v>
      </c>
      <c r="X1309">
        <v>0</v>
      </c>
      <c r="Y1309" t="s">
        <v>1121</v>
      </c>
    </row>
    <row r="1310" spans="1:25" hidden="1" x14ac:dyDescent="0.25">
      <c r="A1310" t="s">
        <v>29</v>
      </c>
      <c r="B1310" t="s">
        <v>100</v>
      </c>
      <c r="C1310" t="s">
        <v>26</v>
      </c>
      <c r="D1310" t="s">
        <v>27</v>
      </c>
      <c r="E1310" s="2">
        <v>45891</v>
      </c>
      <c r="F1310" s="2">
        <v>45891</v>
      </c>
      <c r="G1310" s="3">
        <v>41</v>
      </c>
      <c r="H1310" s="4" t="s">
        <v>28</v>
      </c>
      <c r="I1310">
        <v>67</v>
      </c>
      <c r="J1310">
        <v>0</v>
      </c>
      <c r="K1310">
        <v>0</v>
      </c>
      <c r="L1310" s="3">
        <v>1</v>
      </c>
      <c r="M1310" s="3">
        <v>0</v>
      </c>
      <c r="N1310">
        <v>0</v>
      </c>
      <c r="O1310">
        <v>0</v>
      </c>
      <c r="P1310">
        <v>0</v>
      </c>
      <c r="Q1310">
        <v>0</v>
      </c>
      <c r="R1310" s="3">
        <v>0</v>
      </c>
      <c r="S1310" s="3">
        <v>0</v>
      </c>
      <c r="T1310">
        <v>0</v>
      </c>
      <c r="U1310">
        <v>0</v>
      </c>
      <c r="V1310" s="3">
        <v>0</v>
      </c>
      <c r="W1310" s="3">
        <v>0</v>
      </c>
      <c r="X1310">
        <v>0</v>
      </c>
      <c r="Y1310" t="s">
        <v>1122</v>
      </c>
    </row>
    <row r="1311" spans="1:25" hidden="1" x14ac:dyDescent="0.25">
      <c r="A1311" t="s">
        <v>344</v>
      </c>
      <c r="B1311" t="s">
        <v>102</v>
      </c>
      <c r="C1311" t="s">
        <v>35</v>
      </c>
      <c r="D1311" t="s">
        <v>27</v>
      </c>
      <c r="E1311" s="2">
        <v>45891</v>
      </c>
      <c r="F1311" s="2">
        <v>45891</v>
      </c>
      <c r="G1311" s="3">
        <v>25</v>
      </c>
      <c r="H1311" s="4" t="s">
        <v>28</v>
      </c>
      <c r="I1311">
        <v>61</v>
      </c>
      <c r="J1311">
        <v>0</v>
      </c>
      <c r="K1311">
        <v>0</v>
      </c>
      <c r="L1311" s="3">
        <v>0</v>
      </c>
      <c r="M1311" s="3">
        <v>0</v>
      </c>
      <c r="N1311">
        <v>0</v>
      </c>
      <c r="O1311">
        <v>0</v>
      </c>
      <c r="P1311">
        <v>0</v>
      </c>
      <c r="Q1311">
        <v>0</v>
      </c>
      <c r="R1311" s="3">
        <v>0</v>
      </c>
      <c r="S1311" s="3">
        <v>0</v>
      </c>
      <c r="T1311">
        <v>0</v>
      </c>
      <c r="U1311">
        <v>0</v>
      </c>
      <c r="V1311" s="3">
        <v>0</v>
      </c>
      <c r="W1311" s="3">
        <v>0</v>
      </c>
      <c r="X1311">
        <v>0</v>
      </c>
      <c r="Y1311" t="s">
        <v>1123</v>
      </c>
    </row>
    <row r="1312" spans="1:25" hidden="1" x14ac:dyDescent="0.25">
      <c r="A1312" t="s">
        <v>31</v>
      </c>
      <c r="B1312" t="s">
        <v>104</v>
      </c>
      <c r="C1312" t="s">
        <v>32</v>
      </c>
      <c r="D1312" t="s">
        <v>27</v>
      </c>
      <c r="E1312" s="2">
        <v>45891</v>
      </c>
      <c r="F1312" s="2">
        <v>45891</v>
      </c>
      <c r="G1312" s="3">
        <v>60</v>
      </c>
      <c r="H1312" s="4" t="s">
        <v>28</v>
      </c>
      <c r="I1312">
        <v>88</v>
      </c>
      <c r="J1312">
        <v>0</v>
      </c>
      <c r="K1312">
        <v>0</v>
      </c>
      <c r="L1312" s="3">
        <v>0</v>
      </c>
      <c r="M1312" s="3">
        <v>0</v>
      </c>
      <c r="N1312">
        <v>0</v>
      </c>
      <c r="O1312">
        <v>0</v>
      </c>
      <c r="P1312">
        <v>0</v>
      </c>
      <c r="Q1312">
        <v>54</v>
      </c>
      <c r="R1312" s="3">
        <v>0</v>
      </c>
      <c r="S1312" s="3">
        <v>0</v>
      </c>
      <c r="T1312">
        <v>0</v>
      </c>
      <c r="U1312">
        <v>0</v>
      </c>
      <c r="V1312" s="3">
        <v>0</v>
      </c>
      <c r="W1312" s="3">
        <v>0</v>
      </c>
      <c r="X1312">
        <v>0</v>
      </c>
      <c r="Y1312" t="s">
        <v>1124</v>
      </c>
    </row>
    <row r="1313" spans="1:25" hidden="1" x14ac:dyDescent="0.25">
      <c r="A1313" t="s">
        <v>33</v>
      </c>
      <c r="B1313" t="s">
        <v>106</v>
      </c>
      <c r="C1313" t="s">
        <v>57</v>
      </c>
      <c r="D1313" t="s">
        <v>27</v>
      </c>
      <c r="E1313" s="2">
        <v>45891</v>
      </c>
      <c r="F1313" s="2">
        <v>45891</v>
      </c>
      <c r="G1313" s="3">
        <v>24</v>
      </c>
      <c r="H1313" s="4" t="s">
        <v>28</v>
      </c>
      <c r="I1313">
        <v>45</v>
      </c>
      <c r="J1313">
        <v>0</v>
      </c>
      <c r="K1313">
        <v>0</v>
      </c>
      <c r="L1313" s="3">
        <v>0</v>
      </c>
      <c r="M1313" s="3">
        <v>0</v>
      </c>
      <c r="N1313">
        <v>0</v>
      </c>
      <c r="O1313">
        <v>0</v>
      </c>
      <c r="P1313">
        <v>0</v>
      </c>
      <c r="Q1313">
        <v>18</v>
      </c>
      <c r="R1313" s="3">
        <v>0</v>
      </c>
      <c r="S1313" s="3">
        <v>0</v>
      </c>
      <c r="T1313">
        <v>0</v>
      </c>
      <c r="U1313">
        <v>0</v>
      </c>
      <c r="V1313" s="3">
        <v>0</v>
      </c>
      <c r="W1313" s="3">
        <v>0</v>
      </c>
      <c r="X1313">
        <v>0</v>
      </c>
      <c r="Y1313" t="s">
        <v>1125</v>
      </c>
    </row>
    <row r="1314" spans="1:25" hidden="1" x14ac:dyDescent="0.25">
      <c r="A1314" t="s">
        <v>38</v>
      </c>
      <c r="B1314" t="s">
        <v>108</v>
      </c>
      <c r="C1314" t="s">
        <v>27</v>
      </c>
      <c r="D1314" t="s">
        <v>27</v>
      </c>
      <c r="E1314" s="2">
        <v>45891</v>
      </c>
      <c r="F1314" s="2">
        <v>45891</v>
      </c>
      <c r="G1314" s="3">
        <v>57</v>
      </c>
      <c r="H1314" s="4" t="s">
        <v>28</v>
      </c>
      <c r="I1314">
        <v>29</v>
      </c>
      <c r="J1314">
        <v>0</v>
      </c>
      <c r="K1314">
        <v>0</v>
      </c>
      <c r="L1314" s="3">
        <v>0</v>
      </c>
      <c r="M1314" s="3">
        <v>0</v>
      </c>
      <c r="N1314">
        <v>0</v>
      </c>
      <c r="O1314">
        <v>0</v>
      </c>
      <c r="P1314">
        <v>0</v>
      </c>
      <c r="Q1314">
        <v>29</v>
      </c>
      <c r="R1314" s="3">
        <v>0</v>
      </c>
      <c r="S1314" s="3">
        <v>0</v>
      </c>
      <c r="T1314">
        <v>0</v>
      </c>
      <c r="U1314">
        <v>0</v>
      </c>
      <c r="V1314" s="3">
        <v>0</v>
      </c>
      <c r="W1314" s="3">
        <v>0</v>
      </c>
      <c r="X1314">
        <v>0</v>
      </c>
      <c r="Y1314" t="s">
        <v>1126</v>
      </c>
    </row>
    <row r="1315" spans="1:25" hidden="1" x14ac:dyDescent="0.25">
      <c r="A1315" t="s">
        <v>41</v>
      </c>
      <c r="B1315" t="s">
        <v>112</v>
      </c>
      <c r="C1315" t="s">
        <v>42</v>
      </c>
      <c r="D1315" t="s">
        <v>27</v>
      </c>
      <c r="E1315" s="2">
        <v>45891</v>
      </c>
      <c r="F1315" s="2">
        <v>45891</v>
      </c>
      <c r="G1315" s="3">
        <v>104</v>
      </c>
      <c r="H1315" s="4" t="s">
        <v>28</v>
      </c>
      <c r="I1315">
        <v>48</v>
      </c>
      <c r="J1315">
        <v>0</v>
      </c>
      <c r="K1315">
        <v>0</v>
      </c>
      <c r="L1315" s="3">
        <v>1</v>
      </c>
      <c r="M1315" s="3">
        <v>0</v>
      </c>
      <c r="N1315">
        <v>0</v>
      </c>
      <c r="O1315">
        <v>0</v>
      </c>
      <c r="P1315">
        <v>0</v>
      </c>
      <c r="Q1315">
        <v>1</v>
      </c>
      <c r="R1315" s="3">
        <v>0</v>
      </c>
      <c r="S1315" s="3">
        <v>0</v>
      </c>
      <c r="T1315">
        <v>0</v>
      </c>
      <c r="U1315">
        <v>0</v>
      </c>
      <c r="V1315" s="3">
        <v>0</v>
      </c>
      <c r="W1315" s="3">
        <v>0</v>
      </c>
      <c r="X1315">
        <v>0</v>
      </c>
      <c r="Y1315" t="s">
        <v>1127</v>
      </c>
    </row>
    <row r="1316" spans="1:25" hidden="1" x14ac:dyDescent="0.25">
      <c r="A1316" t="s">
        <v>45</v>
      </c>
      <c r="B1316" t="s">
        <v>116</v>
      </c>
      <c r="C1316" t="s">
        <v>46</v>
      </c>
      <c r="D1316" t="s">
        <v>27</v>
      </c>
      <c r="E1316" s="2">
        <v>45891</v>
      </c>
      <c r="F1316" s="2">
        <v>45891</v>
      </c>
      <c r="G1316" s="3">
        <v>52</v>
      </c>
      <c r="H1316" s="4" t="s">
        <v>28</v>
      </c>
      <c r="I1316">
        <v>75</v>
      </c>
      <c r="J1316">
        <v>0</v>
      </c>
      <c r="K1316">
        <v>0</v>
      </c>
      <c r="L1316" s="3">
        <v>1</v>
      </c>
      <c r="M1316" s="3">
        <v>0</v>
      </c>
      <c r="N1316">
        <v>0</v>
      </c>
      <c r="O1316">
        <v>0</v>
      </c>
      <c r="P1316">
        <v>0</v>
      </c>
      <c r="Q1316">
        <v>0</v>
      </c>
      <c r="R1316" s="3">
        <v>0</v>
      </c>
      <c r="S1316" s="3">
        <v>0</v>
      </c>
      <c r="T1316">
        <v>0</v>
      </c>
      <c r="U1316">
        <v>0</v>
      </c>
      <c r="V1316" s="3">
        <v>0</v>
      </c>
      <c r="W1316" s="3">
        <v>0</v>
      </c>
      <c r="X1316">
        <v>0</v>
      </c>
      <c r="Y1316" t="s">
        <v>1128</v>
      </c>
    </row>
    <row r="1317" spans="1:25" hidden="1" x14ac:dyDescent="0.25">
      <c r="A1317" t="s">
        <v>47</v>
      </c>
      <c r="B1317" t="s">
        <v>137</v>
      </c>
      <c r="C1317" t="s">
        <v>27</v>
      </c>
      <c r="D1317" t="s">
        <v>27</v>
      </c>
      <c r="E1317" s="2">
        <v>45891</v>
      </c>
      <c r="F1317" s="2">
        <v>45891</v>
      </c>
      <c r="G1317" s="3">
        <v>32</v>
      </c>
      <c r="H1317" s="4" t="s">
        <v>28</v>
      </c>
      <c r="I1317">
        <v>61</v>
      </c>
      <c r="J1317">
        <v>0</v>
      </c>
      <c r="K1317">
        <v>0</v>
      </c>
      <c r="L1317" s="3">
        <v>0</v>
      </c>
      <c r="M1317" s="3">
        <v>0</v>
      </c>
      <c r="N1317">
        <v>0</v>
      </c>
      <c r="O1317">
        <v>0</v>
      </c>
      <c r="P1317">
        <v>0</v>
      </c>
      <c r="Q1317">
        <v>0</v>
      </c>
      <c r="R1317" s="3">
        <v>0</v>
      </c>
      <c r="S1317" s="3">
        <v>0</v>
      </c>
      <c r="T1317">
        <v>0</v>
      </c>
      <c r="U1317">
        <v>0</v>
      </c>
      <c r="V1317" s="3">
        <v>0</v>
      </c>
      <c r="W1317" s="3">
        <v>0</v>
      </c>
      <c r="X1317">
        <v>0</v>
      </c>
      <c r="Y1317" t="s">
        <v>1129</v>
      </c>
    </row>
    <row r="1318" spans="1:25" hidden="1" x14ac:dyDescent="0.25">
      <c r="A1318" t="s">
        <v>34</v>
      </c>
      <c r="B1318" t="s">
        <v>137</v>
      </c>
      <c r="C1318" t="s">
        <v>27</v>
      </c>
      <c r="D1318" t="s">
        <v>27</v>
      </c>
      <c r="E1318" s="2">
        <v>45891</v>
      </c>
      <c r="F1318" s="2">
        <v>45891</v>
      </c>
      <c r="G1318" s="3">
        <v>32</v>
      </c>
      <c r="H1318" s="4" t="s">
        <v>28</v>
      </c>
      <c r="I1318">
        <v>61</v>
      </c>
      <c r="J1318">
        <v>0</v>
      </c>
      <c r="K1318">
        <v>0</v>
      </c>
      <c r="L1318" s="3">
        <v>0</v>
      </c>
      <c r="M1318" s="3">
        <v>0</v>
      </c>
      <c r="N1318">
        <v>0</v>
      </c>
      <c r="O1318">
        <v>0</v>
      </c>
      <c r="P1318">
        <v>0</v>
      </c>
      <c r="Q1318">
        <v>0</v>
      </c>
      <c r="R1318" s="3">
        <v>0</v>
      </c>
      <c r="S1318" s="3">
        <v>0</v>
      </c>
      <c r="T1318">
        <v>0</v>
      </c>
      <c r="U1318">
        <v>0</v>
      </c>
      <c r="V1318" s="3">
        <v>0</v>
      </c>
      <c r="W1318" s="3">
        <v>0</v>
      </c>
      <c r="X1318">
        <v>0</v>
      </c>
      <c r="Y1318" t="s">
        <v>1129</v>
      </c>
    </row>
    <row r="1319" spans="1:25" hidden="1" x14ac:dyDescent="0.25">
      <c r="A1319" t="s">
        <v>40</v>
      </c>
      <c r="B1319" t="s">
        <v>110</v>
      </c>
      <c r="C1319" t="s">
        <v>27</v>
      </c>
      <c r="D1319" t="s">
        <v>27</v>
      </c>
      <c r="E1319" s="2">
        <v>45891</v>
      </c>
      <c r="F1319" s="2">
        <v>45891</v>
      </c>
      <c r="G1319" s="3">
        <v>285</v>
      </c>
      <c r="H1319" s="4" t="s">
        <v>28</v>
      </c>
      <c r="I1319">
        <v>58</v>
      </c>
      <c r="J1319">
        <v>0</v>
      </c>
      <c r="K1319">
        <v>0</v>
      </c>
      <c r="L1319" s="3">
        <v>1</v>
      </c>
      <c r="M1319" s="3">
        <v>0</v>
      </c>
      <c r="N1319">
        <v>1</v>
      </c>
      <c r="O1319">
        <v>0</v>
      </c>
      <c r="P1319">
        <v>0</v>
      </c>
      <c r="Q1319">
        <v>0</v>
      </c>
      <c r="R1319" s="3">
        <v>0</v>
      </c>
      <c r="S1319" s="3">
        <v>0</v>
      </c>
      <c r="T1319">
        <v>0</v>
      </c>
      <c r="U1319">
        <v>0</v>
      </c>
      <c r="V1319" s="3">
        <v>0</v>
      </c>
      <c r="W1319" s="3">
        <v>0</v>
      </c>
      <c r="X1319">
        <v>0</v>
      </c>
      <c r="Y1319" t="s">
        <v>1130</v>
      </c>
    </row>
    <row r="1320" spans="1:25" hidden="1" x14ac:dyDescent="0.25">
      <c r="A1320" t="s">
        <v>36</v>
      </c>
      <c r="B1320" t="s">
        <v>110</v>
      </c>
      <c r="C1320" t="s">
        <v>27</v>
      </c>
      <c r="D1320" t="s">
        <v>27</v>
      </c>
      <c r="E1320" s="2">
        <v>45891</v>
      </c>
      <c r="F1320" s="2">
        <v>45891</v>
      </c>
      <c r="G1320" s="3">
        <v>285</v>
      </c>
      <c r="H1320" s="4" t="s">
        <v>28</v>
      </c>
      <c r="I1320">
        <v>58</v>
      </c>
      <c r="J1320">
        <v>0</v>
      </c>
      <c r="K1320">
        <v>0</v>
      </c>
      <c r="L1320" s="3">
        <v>1</v>
      </c>
      <c r="M1320" s="3">
        <v>0</v>
      </c>
      <c r="N1320">
        <v>1</v>
      </c>
      <c r="O1320">
        <v>0</v>
      </c>
      <c r="P1320">
        <v>0</v>
      </c>
      <c r="Q1320">
        <v>0</v>
      </c>
      <c r="R1320" s="3">
        <v>0</v>
      </c>
      <c r="S1320" s="3">
        <v>0</v>
      </c>
      <c r="T1320">
        <v>0</v>
      </c>
      <c r="U1320">
        <v>0</v>
      </c>
      <c r="V1320" s="3">
        <v>0</v>
      </c>
      <c r="W1320" s="3">
        <v>0</v>
      </c>
      <c r="X1320">
        <v>0</v>
      </c>
      <c r="Y1320" t="s">
        <v>1130</v>
      </c>
    </row>
    <row r="1321" spans="1:25" hidden="1" x14ac:dyDescent="0.25">
      <c r="A1321" t="s">
        <v>43</v>
      </c>
      <c r="B1321" t="s">
        <v>114</v>
      </c>
      <c r="C1321" t="s">
        <v>44</v>
      </c>
      <c r="D1321" t="s">
        <v>27</v>
      </c>
      <c r="E1321" s="2">
        <v>45891</v>
      </c>
      <c r="F1321" s="2">
        <v>45891</v>
      </c>
      <c r="G1321" s="3">
        <v>24</v>
      </c>
      <c r="H1321" s="4" t="s">
        <v>28</v>
      </c>
      <c r="I1321">
        <v>54</v>
      </c>
      <c r="J1321">
        <v>0</v>
      </c>
      <c r="K1321">
        <v>0</v>
      </c>
      <c r="L1321" s="3">
        <v>1</v>
      </c>
      <c r="M1321" s="3">
        <v>0</v>
      </c>
      <c r="N1321">
        <v>0</v>
      </c>
      <c r="O1321">
        <v>0</v>
      </c>
      <c r="P1321">
        <v>0</v>
      </c>
      <c r="Q1321">
        <v>0</v>
      </c>
      <c r="R1321" s="3">
        <v>0</v>
      </c>
      <c r="S1321" s="3">
        <v>0</v>
      </c>
      <c r="T1321">
        <v>0</v>
      </c>
      <c r="U1321">
        <v>0</v>
      </c>
      <c r="V1321" s="3">
        <v>0</v>
      </c>
      <c r="W1321" s="3">
        <v>0</v>
      </c>
      <c r="X1321">
        <v>0</v>
      </c>
      <c r="Y1321" t="s">
        <v>1131</v>
      </c>
    </row>
    <row r="1322" spans="1:25" hidden="1" x14ac:dyDescent="0.25">
      <c r="A1322" t="s">
        <v>49</v>
      </c>
      <c r="B1322" t="s">
        <v>118</v>
      </c>
      <c r="C1322" t="s">
        <v>50</v>
      </c>
      <c r="D1322" t="s">
        <v>27</v>
      </c>
      <c r="E1322" s="2">
        <v>45891</v>
      </c>
      <c r="F1322" s="2">
        <v>45891</v>
      </c>
      <c r="G1322" s="3">
        <v>62</v>
      </c>
      <c r="H1322" s="4" t="s">
        <v>28</v>
      </c>
      <c r="I1322">
        <v>73</v>
      </c>
      <c r="J1322">
        <v>0</v>
      </c>
      <c r="K1322">
        <v>0</v>
      </c>
      <c r="L1322" s="3">
        <v>1</v>
      </c>
      <c r="M1322" s="3">
        <v>1</v>
      </c>
      <c r="N1322">
        <v>0</v>
      </c>
      <c r="O1322">
        <v>0</v>
      </c>
      <c r="P1322">
        <v>0</v>
      </c>
      <c r="Q1322">
        <v>47</v>
      </c>
      <c r="R1322" s="3">
        <v>0</v>
      </c>
      <c r="S1322" s="3">
        <v>0</v>
      </c>
      <c r="T1322">
        <v>0</v>
      </c>
      <c r="U1322">
        <v>0</v>
      </c>
      <c r="V1322" s="3">
        <v>0</v>
      </c>
      <c r="W1322" s="3">
        <v>0</v>
      </c>
      <c r="X1322">
        <v>0</v>
      </c>
      <c r="Y1322" t="s">
        <v>1132</v>
      </c>
    </row>
    <row r="1323" spans="1:25" hidden="1" x14ac:dyDescent="0.25">
      <c r="A1323" t="s">
        <v>51</v>
      </c>
      <c r="B1323" t="s">
        <v>120</v>
      </c>
      <c r="C1323" t="s">
        <v>55</v>
      </c>
      <c r="D1323" t="s">
        <v>27</v>
      </c>
      <c r="E1323" s="2">
        <v>45891</v>
      </c>
      <c r="F1323" s="2">
        <v>45891</v>
      </c>
      <c r="G1323" s="3">
        <v>55</v>
      </c>
      <c r="H1323" s="4" t="s">
        <v>28</v>
      </c>
      <c r="I1323">
        <v>56</v>
      </c>
      <c r="J1323">
        <v>0</v>
      </c>
      <c r="K1323">
        <v>0</v>
      </c>
      <c r="L1323" s="3">
        <v>1</v>
      </c>
      <c r="M1323" s="3">
        <v>0</v>
      </c>
      <c r="N1323">
        <v>1</v>
      </c>
      <c r="O1323">
        <v>0</v>
      </c>
      <c r="P1323">
        <v>0</v>
      </c>
      <c r="Q1323">
        <v>0</v>
      </c>
      <c r="R1323" s="3">
        <v>0</v>
      </c>
      <c r="S1323" s="3">
        <v>0</v>
      </c>
      <c r="T1323">
        <v>0</v>
      </c>
      <c r="U1323">
        <v>0</v>
      </c>
      <c r="V1323" s="3">
        <v>0</v>
      </c>
      <c r="W1323" s="3">
        <v>0</v>
      </c>
      <c r="X1323">
        <v>0</v>
      </c>
      <c r="Y1323" t="s">
        <v>1133</v>
      </c>
    </row>
    <row r="1324" spans="1:25" hidden="1" x14ac:dyDescent="0.25">
      <c r="A1324" t="s">
        <v>54</v>
      </c>
      <c r="B1324" t="s">
        <v>122</v>
      </c>
      <c r="C1324" t="s">
        <v>52</v>
      </c>
      <c r="D1324" t="s">
        <v>27</v>
      </c>
      <c r="E1324" s="2">
        <v>45891</v>
      </c>
      <c r="F1324" s="2">
        <v>45891</v>
      </c>
      <c r="G1324" s="3">
        <v>37</v>
      </c>
      <c r="H1324" s="4" t="s">
        <v>28</v>
      </c>
      <c r="I1324">
        <v>48</v>
      </c>
      <c r="J1324">
        <v>0</v>
      </c>
      <c r="K1324">
        <v>0</v>
      </c>
      <c r="L1324" s="3">
        <v>0</v>
      </c>
      <c r="M1324" s="3">
        <v>0</v>
      </c>
      <c r="N1324">
        <v>0</v>
      </c>
      <c r="O1324">
        <v>0</v>
      </c>
      <c r="P1324">
        <v>0</v>
      </c>
      <c r="Q1324">
        <v>2</v>
      </c>
      <c r="R1324" s="3">
        <v>0</v>
      </c>
      <c r="S1324" s="3">
        <v>0</v>
      </c>
      <c r="T1324">
        <v>0</v>
      </c>
      <c r="U1324">
        <v>0</v>
      </c>
      <c r="V1324" s="3">
        <v>0</v>
      </c>
      <c r="W1324" s="3">
        <v>0</v>
      </c>
      <c r="X1324">
        <v>0</v>
      </c>
      <c r="Y1324" t="s">
        <v>1134</v>
      </c>
    </row>
    <row r="1325" spans="1:25" hidden="1" x14ac:dyDescent="0.25">
      <c r="A1325" t="s">
        <v>53</v>
      </c>
      <c r="B1325" t="s">
        <v>142</v>
      </c>
      <c r="C1325" t="s">
        <v>39</v>
      </c>
      <c r="D1325" t="s">
        <v>27</v>
      </c>
      <c r="E1325" s="2">
        <v>45891</v>
      </c>
      <c r="F1325" s="2">
        <v>45891</v>
      </c>
      <c r="G1325" s="3">
        <v>47</v>
      </c>
      <c r="H1325" s="4" t="s">
        <v>28</v>
      </c>
      <c r="I1325">
        <v>31</v>
      </c>
      <c r="J1325">
        <v>0</v>
      </c>
      <c r="K1325">
        <v>0</v>
      </c>
      <c r="L1325" s="3">
        <v>1</v>
      </c>
      <c r="M1325" s="3">
        <v>0</v>
      </c>
      <c r="N1325">
        <v>0</v>
      </c>
      <c r="O1325">
        <v>0</v>
      </c>
      <c r="P1325">
        <v>0</v>
      </c>
      <c r="Q1325">
        <v>31</v>
      </c>
      <c r="R1325" s="3">
        <v>0</v>
      </c>
      <c r="S1325" s="3">
        <v>0</v>
      </c>
      <c r="T1325">
        <v>0</v>
      </c>
      <c r="U1325">
        <v>0</v>
      </c>
      <c r="V1325" s="3">
        <v>0</v>
      </c>
      <c r="W1325" s="3">
        <v>0</v>
      </c>
      <c r="X1325">
        <v>0</v>
      </c>
      <c r="Y1325" t="s">
        <v>1135</v>
      </c>
    </row>
    <row r="1326" spans="1:25" hidden="1" x14ac:dyDescent="0.25">
      <c r="A1326" t="s">
        <v>58</v>
      </c>
      <c r="B1326" t="s">
        <v>144</v>
      </c>
      <c r="C1326" t="s">
        <v>489</v>
      </c>
      <c r="D1326" t="s">
        <v>27</v>
      </c>
      <c r="E1326" s="2">
        <v>45891</v>
      </c>
      <c r="F1326" s="2">
        <v>45891</v>
      </c>
      <c r="G1326" s="3">
        <v>22</v>
      </c>
      <c r="H1326" s="4" t="s">
        <v>28</v>
      </c>
      <c r="I1326">
        <v>65</v>
      </c>
      <c r="J1326">
        <v>0</v>
      </c>
      <c r="K1326">
        <v>0</v>
      </c>
      <c r="L1326" s="3">
        <v>1</v>
      </c>
      <c r="M1326" s="3">
        <v>0</v>
      </c>
      <c r="N1326">
        <v>0</v>
      </c>
      <c r="O1326">
        <v>0</v>
      </c>
      <c r="P1326">
        <v>0</v>
      </c>
      <c r="Q1326">
        <v>0</v>
      </c>
      <c r="R1326" s="3">
        <v>0</v>
      </c>
      <c r="S1326" s="3">
        <v>0</v>
      </c>
      <c r="T1326">
        <v>0</v>
      </c>
      <c r="U1326">
        <v>0</v>
      </c>
      <c r="V1326" s="3">
        <v>0</v>
      </c>
      <c r="W1326" s="3">
        <v>0</v>
      </c>
      <c r="X1326">
        <v>0</v>
      </c>
      <c r="Y1326" t="s">
        <v>1136</v>
      </c>
    </row>
    <row r="1327" spans="1:25" hidden="1" x14ac:dyDescent="0.25">
      <c r="A1327" t="s">
        <v>25</v>
      </c>
      <c r="B1327" t="s">
        <v>106</v>
      </c>
      <c r="C1327" t="s">
        <v>27</v>
      </c>
      <c r="D1327" t="s">
        <v>27</v>
      </c>
      <c r="E1327" s="2">
        <v>45891</v>
      </c>
      <c r="F1327" s="2">
        <v>45891</v>
      </c>
      <c r="G1327" s="3">
        <v>23</v>
      </c>
      <c r="H1327" s="4" t="s">
        <v>28</v>
      </c>
      <c r="I1327" s="4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1136</v>
      </c>
    </row>
    <row r="1328" spans="1:25" hidden="1" x14ac:dyDescent="0.25">
      <c r="A1328" t="s">
        <v>48</v>
      </c>
      <c r="B1328" t="s">
        <v>182</v>
      </c>
      <c r="C1328" t="s">
        <v>27</v>
      </c>
      <c r="D1328" t="s">
        <v>27</v>
      </c>
      <c r="E1328" s="2">
        <v>45891</v>
      </c>
      <c r="F1328" s="2">
        <v>45891</v>
      </c>
      <c r="G1328" s="3">
        <v>24</v>
      </c>
      <c r="H1328" s="4" t="s">
        <v>28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1136</v>
      </c>
    </row>
    <row r="1329" spans="1:25" hidden="1" x14ac:dyDescent="0.25">
      <c r="A1329" t="s">
        <v>41</v>
      </c>
      <c r="B1329" t="s">
        <v>112</v>
      </c>
      <c r="C1329" t="s">
        <v>42</v>
      </c>
      <c r="D1329" t="s">
        <v>27</v>
      </c>
      <c r="E1329" s="2">
        <v>45892</v>
      </c>
      <c r="F1329" s="2">
        <v>45892</v>
      </c>
      <c r="G1329" s="5">
        <v>1237</v>
      </c>
      <c r="H1329" t="s">
        <v>28</v>
      </c>
      <c r="I1329">
        <v>0</v>
      </c>
      <c r="J1329">
        <v>0</v>
      </c>
      <c r="K1329">
        <v>0</v>
      </c>
      <c r="L1329" s="3">
        <v>0</v>
      </c>
      <c r="M1329" s="3">
        <v>0</v>
      </c>
      <c r="N1329">
        <v>0</v>
      </c>
      <c r="O1329">
        <v>0</v>
      </c>
      <c r="P1329">
        <v>0</v>
      </c>
      <c r="Q1329">
        <v>4</v>
      </c>
      <c r="R1329" s="3">
        <v>1</v>
      </c>
      <c r="S1329" s="3">
        <v>0</v>
      </c>
      <c r="T1329">
        <v>19</v>
      </c>
      <c r="U1329">
        <v>19</v>
      </c>
      <c r="V1329" s="3">
        <v>1</v>
      </c>
      <c r="W1329" s="3">
        <v>0</v>
      </c>
      <c r="X1329">
        <v>0</v>
      </c>
      <c r="Y1329" t="s">
        <v>1137</v>
      </c>
    </row>
    <row r="1330" spans="1:25" hidden="1" x14ac:dyDescent="0.25">
      <c r="A1330" t="s">
        <v>33</v>
      </c>
      <c r="B1330" t="s">
        <v>106</v>
      </c>
      <c r="C1330" t="s">
        <v>55</v>
      </c>
      <c r="D1330" t="s">
        <v>27</v>
      </c>
      <c r="E1330" s="2">
        <v>45893</v>
      </c>
      <c r="F1330" s="2">
        <v>45893</v>
      </c>
      <c r="G1330" s="3">
        <v>61</v>
      </c>
      <c r="H1330" t="s">
        <v>28</v>
      </c>
      <c r="I1330">
        <v>0</v>
      </c>
      <c r="J1330">
        <v>0</v>
      </c>
      <c r="K1330">
        <v>0</v>
      </c>
      <c r="L1330" s="3">
        <v>0</v>
      </c>
      <c r="M1330" s="3">
        <v>0</v>
      </c>
      <c r="N1330">
        <v>0</v>
      </c>
      <c r="O1330">
        <v>0</v>
      </c>
      <c r="P1330">
        <v>0</v>
      </c>
      <c r="Q1330">
        <v>4</v>
      </c>
      <c r="R1330" s="3">
        <v>0</v>
      </c>
      <c r="S1330" s="3">
        <v>1</v>
      </c>
      <c r="T1330">
        <v>8</v>
      </c>
      <c r="U1330">
        <v>13</v>
      </c>
      <c r="V1330" s="3">
        <v>0</v>
      </c>
      <c r="W1330" s="3">
        <v>1</v>
      </c>
      <c r="X1330">
        <v>1</v>
      </c>
      <c r="Y1330" t="s">
        <v>1138</v>
      </c>
    </row>
    <row r="1331" spans="1:25" hidden="1" x14ac:dyDescent="0.25">
      <c r="A1331" s="1" t="s">
        <v>56</v>
      </c>
      <c r="B1331" s="1" t="s">
        <v>98</v>
      </c>
      <c r="C1331" s="1" t="s">
        <v>37</v>
      </c>
      <c r="D1331" t="s">
        <v>27</v>
      </c>
      <c r="E1331" s="2">
        <v>45894</v>
      </c>
      <c r="F1331" s="2">
        <v>45894</v>
      </c>
      <c r="G1331" s="3">
        <v>47</v>
      </c>
      <c r="H1331" s="4" t="s">
        <v>28</v>
      </c>
      <c r="I1331">
        <v>59</v>
      </c>
      <c r="J1331">
        <v>0</v>
      </c>
      <c r="K1331">
        <v>0</v>
      </c>
      <c r="L1331" s="3">
        <v>1</v>
      </c>
      <c r="M1331" s="3">
        <v>0</v>
      </c>
      <c r="N1331">
        <v>0</v>
      </c>
      <c r="O1331">
        <v>0</v>
      </c>
      <c r="P1331">
        <v>0</v>
      </c>
      <c r="Q1331">
        <v>15</v>
      </c>
      <c r="R1331" s="3">
        <v>0</v>
      </c>
      <c r="S1331" s="3">
        <v>0</v>
      </c>
      <c r="T1331">
        <v>0</v>
      </c>
      <c r="U1331">
        <v>0</v>
      </c>
      <c r="V1331" s="3">
        <v>0</v>
      </c>
      <c r="W1331" s="3">
        <v>0</v>
      </c>
      <c r="X1331">
        <v>0</v>
      </c>
      <c r="Y1331" t="s">
        <v>1139</v>
      </c>
    </row>
    <row r="1332" spans="1:25" hidden="1" x14ac:dyDescent="0.25">
      <c r="A1332" s="1" t="s">
        <v>29</v>
      </c>
      <c r="B1332" s="1" t="s">
        <v>100</v>
      </c>
      <c r="C1332" s="1" t="s">
        <v>26</v>
      </c>
      <c r="D1332" t="s">
        <v>27</v>
      </c>
      <c r="E1332" s="2">
        <v>45894</v>
      </c>
      <c r="F1332" s="2">
        <v>45894</v>
      </c>
      <c r="G1332" s="3">
        <v>41</v>
      </c>
      <c r="H1332" s="4" t="s">
        <v>28</v>
      </c>
      <c r="I1332">
        <v>43</v>
      </c>
      <c r="J1332">
        <v>0</v>
      </c>
      <c r="K1332">
        <v>0</v>
      </c>
      <c r="L1332" s="3">
        <v>1</v>
      </c>
      <c r="M1332" s="3">
        <v>0</v>
      </c>
      <c r="N1332">
        <v>0</v>
      </c>
      <c r="O1332">
        <v>0</v>
      </c>
      <c r="P1332">
        <v>0</v>
      </c>
      <c r="Q1332">
        <v>0</v>
      </c>
      <c r="R1332" s="3">
        <v>0</v>
      </c>
      <c r="S1332" s="3">
        <v>0</v>
      </c>
      <c r="T1332">
        <v>0</v>
      </c>
      <c r="U1332">
        <v>0</v>
      </c>
      <c r="V1332" s="3">
        <v>0</v>
      </c>
      <c r="W1332" s="3">
        <v>0</v>
      </c>
      <c r="X1332">
        <v>0</v>
      </c>
      <c r="Y1332" t="s">
        <v>1140</v>
      </c>
    </row>
    <row r="1333" spans="1:25" hidden="1" x14ac:dyDescent="0.25">
      <c r="A1333" s="1" t="s">
        <v>344</v>
      </c>
      <c r="B1333" s="1" t="s">
        <v>102</v>
      </c>
      <c r="C1333" s="1" t="s">
        <v>35</v>
      </c>
      <c r="D1333" t="s">
        <v>27</v>
      </c>
      <c r="E1333" s="2">
        <v>45893</v>
      </c>
      <c r="F1333" s="2">
        <v>45893</v>
      </c>
      <c r="G1333" s="3">
        <v>31</v>
      </c>
      <c r="H1333" s="4" t="s">
        <v>28</v>
      </c>
      <c r="I1333">
        <v>0</v>
      </c>
      <c r="J1333">
        <v>0</v>
      </c>
      <c r="K1333">
        <v>0</v>
      </c>
      <c r="L1333" s="3">
        <v>0</v>
      </c>
      <c r="M1333" s="3">
        <v>0</v>
      </c>
      <c r="N1333">
        <v>0</v>
      </c>
      <c r="O1333">
        <v>0</v>
      </c>
      <c r="P1333">
        <v>0</v>
      </c>
      <c r="Q1333">
        <v>2</v>
      </c>
      <c r="R1333" s="3">
        <v>0</v>
      </c>
      <c r="S1333" s="3">
        <v>1</v>
      </c>
      <c r="T1333">
        <v>6</v>
      </c>
      <c r="U1333">
        <v>50</v>
      </c>
      <c r="V1333" s="3">
        <v>0</v>
      </c>
      <c r="W1333" s="3">
        <v>1</v>
      </c>
      <c r="X1333">
        <v>0</v>
      </c>
      <c r="Y1333" t="s">
        <v>1141</v>
      </c>
    </row>
    <row r="1334" spans="1:25" hidden="1" x14ac:dyDescent="0.25">
      <c r="A1334" s="1" t="s">
        <v>344</v>
      </c>
      <c r="B1334" s="1" t="s">
        <v>102</v>
      </c>
      <c r="C1334" s="1" t="s">
        <v>35</v>
      </c>
      <c r="D1334" t="s">
        <v>27</v>
      </c>
      <c r="E1334" s="2">
        <v>45894</v>
      </c>
      <c r="F1334" s="2">
        <v>45894</v>
      </c>
      <c r="G1334" s="3">
        <v>31</v>
      </c>
      <c r="H1334" s="4" t="s">
        <v>28</v>
      </c>
      <c r="I1334">
        <v>29</v>
      </c>
      <c r="J1334">
        <v>0</v>
      </c>
      <c r="K1334">
        <v>0</v>
      </c>
      <c r="L1334" s="3">
        <v>0</v>
      </c>
      <c r="M1334" s="3">
        <v>0</v>
      </c>
      <c r="N1334">
        <v>0</v>
      </c>
      <c r="O1334">
        <v>0</v>
      </c>
      <c r="P1334">
        <v>0</v>
      </c>
      <c r="Q1334">
        <v>2</v>
      </c>
      <c r="R1334" s="3">
        <v>0</v>
      </c>
      <c r="S1334" s="3">
        <v>0</v>
      </c>
      <c r="T1334">
        <v>0</v>
      </c>
      <c r="U1334">
        <v>0</v>
      </c>
      <c r="V1334" s="3">
        <v>0</v>
      </c>
      <c r="W1334" s="3">
        <v>0</v>
      </c>
      <c r="X1334">
        <v>0</v>
      </c>
      <c r="Y1334" t="s">
        <v>1141</v>
      </c>
    </row>
    <row r="1335" spans="1:25" hidden="1" x14ac:dyDescent="0.25">
      <c r="A1335" s="1" t="s">
        <v>31</v>
      </c>
      <c r="B1335" s="1" t="s">
        <v>104</v>
      </c>
      <c r="C1335" s="1" t="s">
        <v>32</v>
      </c>
      <c r="D1335" t="s">
        <v>27</v>
      </c>
      <c r="E1335" s="2">
        <v>45894</v>
      </c>
      <c r="F1335" s="2">
        <v>45894</v>
      </c>
      <c r="G1335" s="3">
        <v>42</v>
      </c>
      <c r="H1335" s="4" t="s">
        <v>28</v>
      </c>
      <c r="I1335">
        <v>106</v>
      </c>
      <c r="J1335">
        <v>0</v>
      </c>
      <c r="K1335">
        <v>0</v>
      </c>
      <c r="L1335" s="3">
        <v>0</v>
      </c>
      <c r="M1335" s="3">
        <v>0</v>
      </c>
      <c r="N1335">
        <v>0</v>
      </c>
      <c r="O1335">
        <v>0</v>
      </c>
      <c r="P1335">
        <v>0</v>
      </c>
      <c r="Q1335">
        <v>54</v>
      </c>
      <c r="R1335" s="3">
        <v>0</v>
      </c>
      <c r="S1335" s="3">
        <v>0</v>
      </c>
      <c r="T1335">
        <v>0</v>
      </c>
      <c r="U1335">
        <v>0</v>
      </c>
      <c r="V1335" s="3">
        <v>0</v>
      </c>
      <c r="W1335" s="3">
        <v>0</v>
      </c>
      <c r="X1335">
        <v>1</v>
      </c>
      <c r="Y1335" t="s">
        <v>1142</v>
      </c>
    </row>
    <row r="1336" spans="1:25" hidden="1" x14ac:dyDescent="0.25">
      <c r="A1336" s="1" t="s">
        <v>33</v>
      </c>
      <c r="B1336" s="1" t="s">
        <v>106</v>
      </c>
      <c r="C1336" s="1" t="s">
        <v>55</v>
      </c>
      <c r="D1336" t="s">
        <v>27</v>
      </c>
      <c r="E1336" s="2">
        <v>45894</v>
      </c>
      <c r="F1336" s="2">
        <v>45894</v>
      </c>
      <c r="G1336" s="3">
        <v>47</v>
      </c>
      <c r="H1336" s="4" t="s">
        <v>28</v>
      </c>
      <c r="I1336">
        <v>62</v>
      </c>
      <c r="J1336">
        <v>0</v>
      </c>
      <c r="K1336">
        <v>0</v>
      </c>
      <c r="L1336" s="3">
        <v>0</v>
      </c>
      <c r="M1336" s="3">
        <v>0</v>
      </c>
      <c r="N1336">
        <v>0</v>
      </c>
      <c r="O1336">
        <v>0</v>
      </c>
      <c r="P1336">
        <v>0</v>
      </c>
      <c r="Q1336">
        <v>17</v>
      </c>
      <c r="R1336" s="3">
        <v>0</v>
      </c>
      <c r="S1336" s="3">
        <v>0</v>
      </c>
      <c r="T1336">
        <v>0</v>
      </c>
      <c r="U1336">
        <v>0</v>
      </c>
      <c r="V1336" s="3">
        <v>0</v>
      </c>
      <c r="W1336" s="3">
        <v>0</v>
      </c>
      <c r="X1336">
        <v>0</v>
      </c>
      <c r="Y1336" t="s">
        <v>1143</v>
      </c>
    </row>
    <row r="1337" spans="1:25" hidden="1" x14ac:dyDescent="0.25">
      <c r="A1337" s="1" t="s">
        <v>48</v>
      </c>
      <c r="B1337" s="1" t="s">
        <v>1144</v>
      </c>
      <c r="C1337" s="1" t="s">
        <v>489</v>
      </c>
      <c r="D1337" t="s">
        <v>27</v>
      </c>
      <c r="E1337" s="2">
        <v>45894</v>
      </c>
      <c r="F1337" s="2">
        <v>45894</v>
      </c>
      <c r="G1337" s="3">
        <v>24</v>
      </c>
      <c r="H1337" s="4" t="s">
        <v>28</v>
      </c>
      <c r="I1337">
        <v>59</v>
      </c>
      <c r="J1337">
        <v>0</v>
      </c>
      <c r="K1337">
        <v>0</v>
      </c>
      <c r="L1337" s="3">
        <v>1</v>
      </c>
      <c r="M1337" s="3">
        <v>0</v>
      </c>
      <c r="N1337">
        <v>0</v>
      </c>
      <c r="O1337">
        <v>0</v>
      </c>
      <c r="P1337">
        <v>0</v>
      </c>
      <c r="Q1337">
        <v>0</v>
      </c>
      <c r="R1337" s="3">
        <v>0</v>
      </c>
      <c r="S1337" s="3">
        <v>0</v>
      </c>
      <c r="T1337">
        <v>0</v>
      </c>
      <c r="U1337">
        <v>0</v>
      </c>
      <c r="V1337" s="3">
        <v>0</v>
      </c>
      <c r="W1337" s="3">
        <v>0</v>
      </c>
      <c r="X1337">
        <v>0</v>
      </c>
      <c r="Y1337" t="s">
        <v>1145</v>
      </c>
    </row>
    <row r="1338" spans="1:25" hidden="1" x14ac:dyDescent="0.25">
      <c r="A1338" s="1" t="s">
        <v>38</v>
      </c>
      <c r="B1338" s="1" t="s">
        <v>108</v>
      </c>
      <c r="C1338" s="1" t="s">
        <v>27</v>
      </c>
      <c r="D1338" t="s">
        <v>27</v>
      </c>
      <c r="E1338" s="2">
        <v>45894</v>
      </c>
      <c r="F1338" s="2">
        <v>45894</v>
      </c>
      <c r="G1338" s="3">
        <v>50</v>
      </c>
      <c r="H1338" s="4" t="s">
        <v>28</v>
      </c>
      <c r="I1338">
        <v>29</v>
      </c>
      <c r="J1338">
        <v>0</v>
      </c>
      <c r="K1338">
        <v>0</v>
      </c>
      <c r="L1338" s="3">
        <v>0</v>
      </c>
      <c r="M1338" s="3">
        <v>0</v>
      </c>
      <c r="N1338">
        <v>0</v>
      </c>
      <c r="O1338">
        <v>0</v>
      </c>
      <c r="P1338">
        <v>0</v>
      </c>
      <c r="Q1338">
        <v>29</v>
      </c>
      <c r="R1338" s="3">
        <v>0</v>
      </c>
      <c r="S1338" s="3">
        <v>0</v>
      </c>
      <c r="T1338">
        <v>0</v>
      </c>
      <c r="U1338">
        <v>0</v>
      </c>
      <c r="V1338" s="3">
        <v>0</v>
      </c>
      <c r="W1338" s="3">
        <v>0</v>
      </c>
      <c r="X1338">
        <v>0</v>
      </c>
      <c r="Y1338" t="s">
        <v>1146</v>
      </c>
    </row>
    <row r="1339" spans="1:25" hidden="1" x14ac:dyDescent="0.25">
      <c r="A1339" s="1" t="s">
        <v>40</v>
      </c>
      <c r="B1339" s="1" t="s">
        <v>110</v>
      </c>
      <c r="C1339" s="1" t="s">
        <v>27</v>
      </c>
      <c r="D1339" t="s">
        <v>27</v>
      </c>
      <c r="E1339" s="2">
        <v>45894</v>
      </c>
      <c r="F1339" s="2">
        <v>45894</v>
      </c>
      <c r="G1339" s="3">
        <v>285</v>
      </c>
      <c r="H1339" s="4" t="s">
        <v>28</v>
      </c>
      <c r="I1339">
        <v>52</v>
      </c>
      <c r="J1339">
        <v>0</v>
      </c>
      <c r="K1339">
        <v>0</v>
      </c>
      <c r="L1339" s="3">
        <v>1</v>
      </c>
      <c r="M1339" s="3">
        <v>0</v>
      </c>
      <c r="N1339">
        <v>1</v>
      </c>
      <c r="O1339">
        <v>0</v>
      </c>
      <c r="P1339">
        <v>0</v>
      </c>
      <c r="Q1339">
        <v>0</v>
      </c>
      <c r="R1339" s="3">
        <v>0</v>
      </c>
      <c r="S1339" s="3">
        <v>0</v>
      </c>
      <c r="T1339">
        <v>0</v>
      </c>
      <c r="U1339">
        <v>0</v>
      </c>
      <c r="V1339" s="3">
        <v>0</v>
      </c>
      <c r="W1339" s="3">
        <v>0</v>
      </c>
      <c r="X1339">
        <v>0</v>
      </c>
      <c r="Y1339" t="s">
        <v>1130</v>
      </c>
    </row>
    <row r="1340" spans="1:25" hidden="1" x14ac:dyDescent="0.25">
      <c r="A1340" s="1" t="s">
        <v>36</v>
      </c>
      <c r="B1340" s="1" t="s">
        <v>110</v>
      </c>
      <c r="C1340" s="1" t="s">
        <v>27</v>
      </c>
      <c r="D1340" t="s">
        <v>27</v>
      </c>
      <c r="E1340" s="2">
        <v>45894</v>
      </c>
      <c r="F1340" s="2">
        <v>45894</v>
      </c>
      <c r="G1340" s="3">
        <v>285</v>
      </c>
      <c r="H1340" s="4" t="s">
        <v>28</v>
      </c>
      <c r="I1340">
        <v>52</v>
      </c>
      <c r="J1340">
        <v>0</v>
      </c>
      <c r="K1340">
        <v>0</v>
      </c>
      <c r="L1340" s="3">
        <v>1</v>
      </c>
      <c r="M1340" s="3">
        <v>0</v>
      </c>
      <c r="N1340">
        <v>1</v>
      </c>
      <c r="O1340">
        <v>0</v>
      </c>
      <c r="P1340">
        <v>0</v>
      </c>
      <c r="Q1340">
        <v>0</v>
      </c>
      <c r="R1340" s="3">
        <v>0</v>
      </c>
      <c r="S1340" s="3">
        <v>0</v>
      </c>
      <c r="T1340">
        <v>0</v>
      </c>
      <c r="U1340">
        <v>0</v>
      </c>
      <c r="V1340" s="3">
        <v>0</v>
      </c>
      <c r="W1340" s="3">
        <v>0</v>
      </c>
      <c r="X1340">
        <v>0</v>
      </c>
      <c r="Y1340" t="s">
        <v>1130</v>
      </c>
    </row>
    <row r="1341" spans="1:25" hidden="1" x14ac:dyDescent="0.25">
      <c r="A1341" s="1" t="s">
        <v>41</v>
      </c>
      <c r="B1341" s="1" t="s">
        <v>112</v>
      </c>
      <c r="C1341" s="1" t="s">
        <v>42</v>
      </c>
      <c r="D1341" t="s">
        <v>27</v>
      </c>
      <c r="E1341" s="2">
        <v>45894</v>
      </c>
      <c r="F1341" s="2">
        <v>45894</v>
      </c>
      <c r="G1341" s="3">
        <v>34</v>
      </c>
      <c r="H1341" s="4" t="s">
        <v>28</v>
      </c>
      <c r="I1341">
        <v>50</v>
      </c>
      <c r="J1341">
        <v>0</v>
      </c>
      <c r="K1341">
        <v>0</v>
      </c>
      <c r="L1341" s="3">
        <v>1</v>
      </c>
      <c r="M1341" s="3">
        <v>0</v>
      </c>
      <c r="N1341">
        <v>0</v>
      </c>
      <c r="O1341">
        <v>0</v>
      </c>
      <c r="P1341">
        <v>0</v>
      </c>
      <c r="Q1341">
        <v>4</v>
      </c>
      <c r="R1341" s="3">
        <v>0</v>
      </c>
      <c r="S1341" s="3">
        <v>0</v>
      </c>
      <c r="T1341">
        <v>0</v>
      </c>
      <c r="U1341">
        <v>0</v>
      </c>
      <c r="V1341" s="3">
        <v>0</v>
      </c>
      <c r="W1341" s="3">
        <v>0</v>
      </c>
      <c r="X1341">
        <v>0</v>
      </c>
      <c r="Y1341" t="s">
        <v>1147</v>
      </c>
    </row>
    <row r="1342" spans="1:25" hidden="1" x14ac:dyDescent="0.25">
      <c r="A1342" s="1" t="s">
        <v>43</v>
      </c>
      <c r="B1342" s="1" t="s">
        <v>114</v>
      </c>
      <c r="C1342" s="1" t="s">
        <v>44</v>
      </c>
      <c r="D1342" t="s">
        <v>27</v>
      </c>
      <c r="E1342" s="2">
        <v>45894</v>
      </c>
      <c r="F1342" s="2">
        <v>45894</v>
      </c>
      <c r="G1342" s="3">
        <v>24</v>
      </c>
      <c r="H1342" s="4" t="s">
        <v>28</v>
      </c>
      <c r="I1342">
        <v>64</v>
      </c>
      <c r="J1342">
        <v>0</v>
      </c>
      <c r="K1342">
        <v>0</v>
      </c>
      <c r="L1342" s="3">
        <v>1</v>
      </c>
      <c r="M1342" s="3">
        <v>0</v>
      </c>
      <c r="N1342">
        <v>0</v>
      </c>
      <c r="O1342">
        <v>0</v>
      </c>
      <c r="P1342">
        <v>0</v>
      </c>
      <c r="Q1342">
        <v>0</v>
      </c>
      <c r="R1342" s="3">
        <v>0</v>
      </c>
      <c r="S1342" s="3">
        <v>0</v>
      </c>
      <c r="T1342">
        <v>0</v>
      </c>
      <c r="U1342">
        <v>0</v>
      </c>
      <c r="V1342" s="3">
        <v>0</v>
      </c>
      <c r="W1342" s="3">
        <v>0</v>
      </c>
      <c r="X1342">
        <v>0</v>
      </c>
      <c r="Y1342" t="s">
        <v>1131</v>
      </c>
    </row>
    <row r="1343" spans="1:25" hidden="1" x14ac:dyDescent="0.25">
      <c r="A1343" s="1" t="s">
        <v>45</v>
      </c>
      <c r="B1343" s="1" t="s">
        <v>116</v>
      </c>
      <c r="C1343" s="1" t="s">
        <v>46</v>
      </c>
      <c r="D1343" t="s">
        <v>27</v>
      </c>
      <c r="E1343" s="2">
        <v>45894</v>
      </c>
      <c r="F1343" s="2">
        <v>45894</v>
      </c>
      <c r="G1343" s="3">
        <v>65</v>
      </c>
      <c r="H1343" s="4" t="s">
        <v>28</v>
      </c>
      <c r="I1343">
        <v>81</v>
      </c>
      <c r="J1343">
        <v>0</v>
      </c>
      <c r="K1343">
        <v>0</v>
      </c>
      <c r="L1343" s="3">
        <v>1</v>
      </c>
      <c r="M1343" s="3">
        <v>0</v>
      </c>
      <c r="N1343">
        <v>0</v>
      </c>
      <c r="O1343">
        <v>0</v>
      </c>
      <c r="P1343">
        <v>0</v>
      </c>
      <c r="Q1343">
        <v>0</v>
      </c>
      <c r="R1343" s="3">
        <v>0</v>
      </c>
      <c r="S1343" s="3">
        <v>0</v>
      </c>
      <c r="T1343">
        <v>0</v>
      </c>
      <c r="U1343">
        <v>0</v>
      </c>
      <c r="V1343" s="3">
        <v>0</v>
      </c>
      <c r="W1343" s="3">
        <v>0</v>
      </c>
      <c r="X1343">
        <v>0</v>
      </c>
      <c r="Y1343" t="s">
        <v>1148</v>
      </c>
    </row>
    <row r="1344" spans="1:25" hidden="1" x14ac:dyDescent="0.25">
      <c r="A1344" s="1" t="s">
        <v>47</v>
      </c>
      <c r="B1344" s="1" t="s">
        <v>137</v>
      </c>
      <c r="C1344" s="1" t="s">
        <v>27</v>
      </c>
      <c r="D1344" t="s">
        <v>27</v>
      </c>
      <c r="E1344" s="2">
        <v>45894</v>
      </c>
      <c r="F1344" s="2">
        <v>45894</v>
      </c>
      <c r="G1344" s="3">
        <v>39</v>
      </c>
      <c r="H1344" s="4" t="s">
        <v>28</v>
      </c>
      <c r="I1344">
        <v>53</v>
      </c>
      <c r="J1344">
        <v>0</v>
      </c>
      <c r="K1344">
        <v>0</v>
      </c>
      <c r="L1344" s="3">
        <v>0</v>
      </c>
      <c r="M1344" s="3">
        <v>0</v>
      </c>
      <c r="N1344">
        <v>0</v>
      </c>
      <c r="O1344">
        <v>0</v>
      </c>
      <c r="P1344">
        <v>0</v>
      </c>
      <c r="Q1344">
        <v>0</v>
      </c>
      <c r="R1344" s="3">
        <v>0</v>
      </c>
      <c r="S1344" s="3">
        <v>0</v>
      </c>
      <c r="T1344">
        <v>0</v>
      </c>
      <c r="U1344">
        <v>0</v>
      </c>
      <c r="V1344" s="3">
        <v>0</v>
      </c>
      <c r="W1344" s="3">
        <v>0</v>
      </c>
      <c r="X1344">
        <v>0</v>
      </c>
      <c r="Y1344" t="s">
        <v>1149</v>
      </c>
    </row>
    <row r="1345" spans="1:25" hidden="1" x14ac:dyDescent="0.25">
      <c r="A1345" s="1" t="s">
        <v>34</v>
      </c>
      <c r="B1345" s="1" t="s">
        <v>137</v>
      </c>
      <c r="C1345" s="1" t="s">
        <v>27</v>
      </c>
      <c r="D1345" t="s">
        <v>27</v>
      </c>
      <c r="E1345" s="2">
        <v>45894</v>
      </c>
      <c r="F1345" s="2">
        <v>45894</v>
      </c>
      <c r="G1345" s="3">
        <v>39</v>
      </c>
      <c r="H1345" s="4" t="s">
        <v>28</v>
      </c>
      <c r="I1345">
        <v>53</v>
      </c>
      <c r="J1345">
        <v>0</v>
      </c>
      <c r="K1345">
        <v>0</v>
      </c>
      <c r="L1345" s="3">
        <v>0</v>
      </c>
      <c r="M1345" s="3">
        <v>0</v>
      </c>
      <c r="N1345">
        <v>0</v>
      </c>
      <c r="O1345">
        <v>0</v>
      </c>
      <c r="P1345">
        <v>0</v>
      </c>
      <c r="Q1345">
        <v>0</v>
      </c>
      <c r="R1345" s="3">
        <v>0</v>
      </c>
      <c r="S1345" s="3">
        <v>0</v>
      </c>
      <c r="T1345">
        <v>0</v>
      </c>
      <c r="U1345">
        <v>0</v>
      </c>
      <c r="V1345" s="3">
        <v>0</v>
      </c>
      <c r="W1345" s="3">
        <v>0</v>
      </c>
      <c r="X1345">
        <v>0</v>
      </c>
      <c r="Y1345" t="s">
        <v>1149</v>
      </c>
    </row>
    <row r="1346" spans="1:25" hidden="1" x14ac:dyDescent="0.25">
      <c r="A1346" s="1" t="s">
        <v>51</v>
      </c>
      <c r="B1346" s="1" t="s">
        <v>120</v>
      </c>
      <c r="C1346" s="1" t="s">
        <v>55</v>
      </c>
      <c r="D1346" t="s">
        <v>27</v>
      </c>
      <c r="E1346" s="2">
        <v>45894</v>
      </c>
      <c r="F1346" s="2">
        <v>45894</v>
      </c>
      <c r="G1346" s="3">
        <v>50</v>
      </c>
      <c r="H1346" s="4" t="s">
        <v>28</v>
      </c>
      <c r="I1346">
        <v>37</v>
      </c>
      <c r="J1346">
        <v>0</v>
      </c>
      <c r="K1346">
        <v>0</v>
      </c>
      <c r="L1346" s="3">
        <v>0</v>
      </c>
      <c r="M1346" s="3">
        <v>0</v>
      </c>
      <c r="N1346">
        <v>1</v>
      </c>
      <c r="O1346">
        <v>0</v>
      </c>
      <c r="P1346">
        <v>0</v>
      </c>
      <c r="Q1346">
        <v>0</v>
      </c>
      <c r="R1346" s="3">
        <v>0</v>
      </c>
      <c r="S1346" s="3">
        <v>0</v>
      </c>
      <c r="T1346">
        <v>0</v>
      </c>
      <c r="U1346">
        <v>0</v>
      </c>
      <c r="V1346" s="3">
        <v>0</v>
      </c>
      <c r="W1346" s="3">
        <v>0</v>
      </c>
      <c r="X1346">
        <v>0</v>
      </c>
      <c r="Y1346" t="s">
        <v>1150</v>
      </c>
    </row>
    <row r="1347" spans="1:25" hidden="1" x14ac:dyDescent="0.25">
      <c r="A1347" s="1" t="s">
        <v>54</v>
      </c>
      <c r="B1347" s="1" t="s">
        <v>122</v>
      </c>
      <c r="C1347" s="1" t="s">
        <v>52</v>
      </c>
      <c r="D1347" t="s">
        <v>27</v>
      </c>
      <c r="E1347" s="2">
        <v>45894</v>
      </c>
      <c r="F1347" s="2">
        <v>45894</v>
      </c>
      <c r="G1347" s="3">
        <v>42</v>
      </c>
      <c r="H1347" s="4" t="s">
        <v>28</v>
      </c>
      <c r="I1347">
        <v>47</v>
      </c>
      <c r="J1347">
        <v>0</v>
      </c>
      <c r="K1347">
        <v>0</v>
      </c>
      <c r="L1347" s="3">
        <v>0</v>
      </c>
      <c r="M1347" s="3">
        <v>0</v>
      </c>
      <c r="N1347">
        <v>0</v>
      </c>
      <c r="O1347">
        <v>0</v>
      </c>
      <c r="P1347">
        <v>0</v>
      </c>
      <c r="Q1347">
        <v>2</v>
      </c>
      <c r="R1347" s="3">
        <v>0</v>
      </c>
      <c r="S1347" s="3">
        <v>0</v>
      </c>
      <c r="T1347">
        <v>0</v>
      </c>
      <c r="U1347">
        <v>0</v>
      </c>
      <c r="V1347" s="3">
        <v>0</v>
      </c>
      <c r="W1347" s="3">
        <v>0</v>
      </c>
      <c r="X1347">
        <v>1</v>
      </c>
      <c r="Y1347" t="s">
        <v>1151</v>
      </c>
    </row>
    <row r="1348" spans="1:25" hidden="1" x14ac:dyDescent="0.25">
      <c r="A1348" s="1" t="s">
        <v>53</v>
      </c>
      <c r="B1348" s="1" t="s">
        <v>142</v>
      </c>
      <c r="C1348" s="1" t="s">
        <v>39</v>
      </c>
      <c r="D1348" t="s">
        <v>27</v>
      </c>
      <c r="E1348" s="2">
        <v>45894</v>
      </c>
      <c r="F1348" s="2">
        <v>45894</v>
      </c>
      <c r="G1348" s="3">
        <v>47</v>
      </c>
      <c r="H1348" s="4" t="s">
        <v>28</v>
      </c>
      <c r="I1348">
        <v>30</v>
      </c>
      <c r="J1348">
        <v>0</v>
      </c>
      <c r="K1348">
        <v>0</v>
      </c>
      <c r="L1348" s="3">
        <v>1</v>
      </c>
      <c r="M1348" s="3">
        <v>0</v>
      </c>
      <c r="N1348">
        <v>0</v>
      </c>
      <c r="O1348">
        <v>0</v>
      </c>
      <c r="P1348">
        <v>0</v>
      </c>
      <c r="Q1348">
        <v>30</v>
      </c>
      <c r="R1348" s="3">
        <v>0</v>
      </c>
      <c r="S1348" s="3">
        <v>0</v>
      </c>
      <c r="T1348">
        <v>0</v>
      </c>
      <c r="U1348">
        <v>0</v>
      </c>
      <c r="V1348" s="3">
        <v>0</v>
      </c>
      <c r="W1348" s="3">
        <v>0</v>
      </c>
      <c r="X1348">
        <v>0</v>
      </c>
      <c r="Y1348" t="s">
        <v>1152</v>
      </c>
    </row>
    <row r="1349" spans="1:25" hidden="1" x14ac:dyDescent="0.25">
      <c r="A1349" s="1" t="s">
        <v>25</v>
      </c>
      <c r="B1349" s="1" t="s">
        <v>589</v>
      </c>
      <c r="C1349" s="1" t="s">
        <v>27</v>
      </c>
      <c r="D1349" t="s">
        <v>27</v>
      </c>
      <c r="E1349" s="2">
        <v>45894</v>
      </c>
      <c r="F1349" s="2">
        <v>45894</v>
      </c>
      <c r="G1349" s="3">
        <v>48</v>
      </c>
      <c r="H1349" s="4" t="s">
        <v>1153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1152</v>
      </c>
    </row>
    <row r="1350" spans="1:25" hidden="1" x14ac:dyDescent="0.25">
      <c r="A1350" s="1" t="s">
        <v>58</v>
      </c>
      <c r="B1350" s="1" t="s">
        <v>112</v>
      </c>
      <c r="C1350" s="1" t="s">
        <v>27</v>
      </c>
      <c r="D1350" t="s">
        <v>27</v>
      </c>
      <c r="E1350" s="2">
        <v>45894</v>
      </c>
      <c r="F1350" s="2">
        <v>45894</v>
      </c>
      <c r="G1350" s="3">
        <v>49</v>
      </c>
      <c r="H1350" s="4" t="s">
        <v>1154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1152</v>
      </c>
    </row>
    <row r="1351" spans="1:25" hidden="1" x14ac:dyDescent="0.25">
      <c r="A1351" s="1" t="s">
        <v>49</v>
      </c>
      <c r="B1351" s="1" t="s">
        <v>118</v>
      </c>
      <c r="C1351" s="1" t="s">
        <v>50</v>
      </c>
      <c r="D1351" s="1" t="s">
        <v>27</v>
      </c>
      <c r="E1351" s="10">
        <v>45894</v>
      </c>
      <c r="F1351" s="10">
        <v>45894</v>
      </c>
      <c r="G1351" s="3">
        <v>31</v>
      </c>
      <c r="H1351" s="4" t="s">
        <v>28</v>
      </c>
      <c r="I1351">
        <v>33</v>
      </c>
      <c r="J1351">
        <v>0</v>
      </c>
      <c r="K1351">
        <v>0</v>
      </c>
      <c r="L1351" s="3">
        <v>1</v>
      </c>
      <c r="M1351" s="3">
        <v>1</v>
      </c>
      <c r="N1351">
        <v>0</v>
      </c>
      <c r="O1351">
        <v>1</v>
      </c>
      <c r="P1351">
        <v>0</v>
      </c>
      <c r="Q1351">
        <v>33</v>
      </c>
      <c r="R1351" s="3">
        <v>0</v>
      </c>
      <c r="S1351" s="3">
        <v>0</v>
      </c>
      <c r="T1351">
        <v>0</v>
      </c>
      <c r="U1351">
        <v>0</v>
      </c>
      <c r="V1351" s="3">
        <v>0</v>
      </c>
      <c r="W1351" s="3">
        <v>0</v>
      </c>
      <c r="X1351">
        <v>0</v>
      </c>
      <c r="Y1351" t="s">
        <v>1165</v>
      </c>
    </row>
    <row r="1352" spans="1:25" hidden="1" x14ac:dyDescent="0.25">
      <c r="A1352" s="1" t="s">
        <v>25</v>
      </c>
      <c r="B1352" s="1" t="s">
        <v>96</v>
      </c>
      <c r="C1352" s="1" t="s">
        <v>26</v>
      </c>
      <c r="D1352" s="1" t="s">
        <v>27</v>
      </c>
      <c r="E1352" s="10">
        <v>45895</v>
      </c>
      <c r="F1352" s="2">
        <v>45895</v>
      </c>
      <c r="G1352" s="3">
        <v>39</v>
      </c>
      <c r="H1352" s="4" t="s">
        <v>28</v>
      </c>
      <c r="I1352">
        <v>55</v>
      </c>
      <c r="J1352">
        <v>0</v>
      </c>
      <c r="K1352">
        <v>0</v>
      </c>
      <c r="L1352" s="3">
        <v>1</v>
      </c>
      <c r="M1352" s="3">
        <v>0</v>
      </c>
      <c r="N1352">
        <v>1</v>
      </c>
      <c r="O1352">
        <v>0</v>
      </c>
      <c r="P1352">
        <v>0</v>
      </c>
      <c r="Q1352">
        <v>0</v>
      </c>
      <c r="R1352" s="3">
        <v>0</v>
      </c>
      <c r="S1352" s="3">
        <v>0</v>
      </c>
      <c r="T1352">
        <v>0</v>
      </c>
      <c r="U1352">
        <v>0</v>
      </c>
      <c r="V1352" s="3">
        <v>0</v>
      </c>
      <c r="W1352" s="3">
        <v>0</v>
      </c>
      <c r="X1352">
        <v>0</v>
      </c>
      <c r="Y1352" t="s">
        <v>1155</v>
      </c>
    </row>
    <row r="1353" spans="1:25" hidden="1" x14ac:dyDescent="0.25">
      <c r="A1353" s="1" t="s">
        <v>56</v>
      </c>
      <c r="B1353" s="1" t="s">
        <v>98</v>
      </c>
      <c r="C1353" s="1" t="s">
        <v>37</v>
      </c>
      <c r="D1353" s="1" t="s">
        <v>27</v>
      </c>
      <c r="E1353" s="10">
        <v>45895</v>
      </c>
      <c r="F1353" s="2">
        <v>45895</v>
      </c>
      <c r="G1353" s="3">
        <v>37</v>
      </c>
      <c r="H1353" s="4" t="s">
        <v>28</v>
      </c>
      <c r="I1353">
        <v>77</v>
      </c>
      <c r="J1353">
        <v>0</v>
      </c>
      <c r="K1353">
        <v>0</v>
      </c>
      <c r="L1353" s="3">
        <v>1</v>
      </c>
      <c r="M1353" s="3">
        <v>0</v>
      </c>
      <c r="N1353">
        <v>0</v>
      </c>
      <c r="O1353">
        <v>0</v>
      </c>
      <c r="P1353">
        <v>0</v>
      </c>
      <c r="Q1353">
        <v>10</v>
      </c>
      <c r="R1353" s="3">
        <v>0</v>
      </c>
      <c r="S1353" s="3">
        <v>0</v>
      </c>
      <c r="T1353">
        <v>0</v>
      </c>
      <c r="U1353">
        <v>0</v>
      </c>
      <c r="V1353" s="3">
        <v>0</v>
      </c>
      <c r="W1353" s="3">
        <v>0</v>
      </c>
      <c r="X1353">
        <v>0</v>
      </c>
      <c r="Y1353" t="s">
        <v>1156</v>
      </c>
    </row>
    <row r="1354" spans="1:25" hidden="1" x14ac:dyDescent="0.25">
      <c r="A1354" s="1" t="s">
        <v>29</v>
      </c>
      <c r="B1354" s="1" t="s">
        <v>100</v>
      </c>
      <c r="C1354" s="1" t="s">
        <v>27</v>
      </c>
      <c r="D1354" s="1" t="s">
        <v>27</v>
      </c>
      <c r="E1354" s="10">
        <v>45895</v>
      </c>
      <c r="F1354" s="2">
        <v>45895</v>
      </c>
      <c r="G1354" s="3">
        <v>40</v>
      </c>
      <c r="H1354" s="4" t="s">
        <v>28</v>
      </c>
      <c r="I1354">
        <v>58</v>
      </c>
      <c r="J1354">
        <v>0</v>
      </c>
      <c r="K1354">
        <v>0</v>
      </c>
      <c r="L1354" s="3">
        <v>0</v>
      </c>
      <c r="M1354" s="3">
        <v>0</v>
      </c>
      <c r="N1354">
        <v>0</v>
      </c>
      <c r="O1354">
        <v>0</v>
      </c>
      <c r="P1354">
        <v>0</v>
      </c>
      <c r="Q1354">
        <v>0</v>
      </c>
      <c r="R1354" s="3">
        <v>0</v>
      </c>
      <c r="S1354" s="3">
        <v>0</v>
      </c>
      <c r="T1354">
        <v>0</v>
      </c>
      <c r="U1354">
        <v>0</v>
      </c>
      <c r="V1354" s="3">
        <v>0</v>
      </c>
      <c r="W1354" s="3">
        <v>0</v>
      </c>
      <c r="X1354">
        <v>0</v>
      </c>
      <c r="Y1354" t="s">
        <v>1157</v>
      </c>
    </row>
    <row r="1355" spans="1:25" hidden="1" x14ac:dyDescent="0.25">
      <c r="A1355" s="1" t="s">
        <v>33</v>
      </c>
      <c r="B1355" s="1" t="s">
        <v>100</v>
      </c>
      <c r="C1355" s="1" t="s">
        <v>27</v>
      </c>
      <c r="D1355" s="1" t="s">
        <v>27</v>
      </c>
      <c r="E1355" s="10">
        <v>45895</v>
      </c>
      <c r="F1355" s="2">
        <v>45895</v>
      </c>
      <c r="G1355" s="3">
        <v>40</v>
      </c>
      <c r="H1355" s="4" t="s">
        <v>28</v>
      </c>
      <c r="I1355">
        <v>58</v>
      </c>
      <c r="J1355">
        <v>0</v>
      </c>
      <c r="K1355">
        <v>0</v>
      </c>
      <c r="L1355" s="3">
        <v>0</v>
      </c>
      <c r="M1355" s="3">
        <v>0</v>
      </c>
      <c r="N1355">
        <v>0</v>
      </c>
      <c r="O1355">
        <v>0</v>
      </c>
      <c r="P1355">
        <v>0</v>
      </c>
      <c r="Q1355">
        <v>0</v>
      </c>
      <c r="R1355" s="3">
        <v>0</v>
      </c>
      <c r="S1355" s="3">
        <v>0</v>
      </c>
      <c r="T1355">
        <v>0</v>
      </c>
      <c r="U1355">
        <v>0</v>
      </c>
      <c r="V1355" s="3">
        <v>0</v>
      </c>
      <c r="W1355" s="3">
        <v>0</v>
      </c>
      <c r="X1355">
        <v>0</v>
      </c>
      <c r="Y1355" t="s">
        <v>1157</v>
      </c>
    </row>
    <row r="1356" spans="1:25" hidden="1" x14ac:dyDescent="0.25">
      <c r="A1356" s="1" t="s">
        <v>344</v>
      </c>
      <c r="B1356" s="1" t="s">
        <v>102</v>
      </c>
      <c r="C1356" s="1" t="s">
        <v>35</v>
      </c>
      <c r="D1356" s="1" t="s">
        <v>27</v>
      </c>
      <c r="E1356" s="10">
        <v>45895</v>
      </c>
      <c r="F1356" s="2">
        <v>45895</v>
      </c>
      <c r="G1356" s="3">
        <v>25</v>
      </c>
      <c r="H1356" s="4" t="s">
        <v>28</v>
      </c>
      <c r="I1356">
        <v>46</v>
      </c>
      <c r="J1356">
        <v>0</v>
      </c>
      <c r="K1356">
        <v>0</v>
      </c>
      <c r="L1356" s="3">
        <v>0</v>
      </c>
      <c r="M1356" s="3">
        <v>0</v>
      </c>
      <c r="N1356">
        <v>0</v>
      </c>
      <c r="O1356">
        <v>0</v>
      </c>
      <c r="P1356">
        <v>0</v>
      </c>
      <c r="Q1356">
        <v>0</v>
      </c>
      <c r="R1356" s="3">
        <v>0</v>
      </c>
      <c r="S1356" s="3">
        <v>0</v>
      </c>
      <c r="T1356">
        <v>0</v>
      </c>
      <c r="U1356">
        <v>0</v>
      </c>
      <c r="V1356" s="3">
        <v>0</v>
      </c>
      <c r="W1356" s="3">
        <v>0</v>
      </c>
      <c r="X1356">
        <v>0</v>
      </c>
      <c r="Y1356" t="s">
        <v>1158</v>
      </c>
    </row>
    <row r="1357" spans="1:25" hidden="1" x14ac:dyDescent="0.25">
      <c r="A1357" s="1" t="s">
        <v>31</v>
      </c>
      <c r="B1357" s="1" t="s">
        <v>104</v>
      </c>
      <c r="C1357" s="1" t="s">
        <v>32</v>
      </c>
      <c r="D1357" s="1" t="s">
        <v>27</v>
      </c>
      <c r="E1357" s="10">
        <v>45895</v>
      </c>
      <c r="F1357" s="2">
        <v>45895</v>
      </c>
      <c r="G1357" s="3">
        <v>76</v>
      </c>
      <c r="H1357" s="4" t="s">
        <v>28</v>
      </c>
      <c r="I1357">
        <v>87</v>
      </c>
      <c r="J1357">
        <v>0</v>
      </c>
      <c r="K1357">
        <v>0</v>
      </c>
      <c r="L1357" s="3">
        <v>0</v>
      </c>
      <c r="M1357" s="3">
        <v>0</v>
      </c>
      <c r="N1357">
        <v>0</v>
      </c>
      <c r="O1357">
        <v>0</v>
      </c>
      <c r="P1357">
        <v>0</v>
      </c>
      <c r="Q1357">
        <v>54</v>
      </c>
      <c r="R1357" s="3">
        <v>0</v>
      </c>
      <c r="S1357" s="3">
        <v>0</v>
      </c>
      <c r="T1357">
        <v>0</v>
      </c>
      <c r="U1357">
        <v>0</v>
      </c>
      <c r="V1357" s="3">
        <v>0</v>
      </c>
      <c r="W1357" s="3">
        <v>0</v>
      </c>
      <c r="X1357">
        <v>1</v>
      </c>
      <c r="Y1357" t="s">
        <v>1159</v>
      </c>
    </row>
    <row r="1358" spans="1:25" hidden="1" x14ac:dyDescent="0.25">
      <c r="A1358" s="1" t="s">
        <v>38</v>
      </c>
      <c r="B1358" s="1" t="s">
        <v>108</v>
      </c>
      <c r="C1358" s="1" t="s">
        <v>27</v>
      </c>
      <c r="D1358" s="1" t="s">
        <v>27</v>
      </c>
      <c r="E1358" s="10">
        <v>45895</v>
      </c>
      <c r="F1358" s="2">
        <v>45895</v>
      </c>
      <c r="G1358" s="3">
        <v>37</v>
      </c>
      <c r="H1358" s="4" t="s">
        <v>28</v>
      </c>
      <c r="I1358">
        <v>33</v>
      </c>
      <c r="J1358">
        <v>0</v>
      </c>
      <c r="K1358">
        <v>0</v>
      </c>
      <c r="L1358" s="3">
        <v>1</v>
      </c>
      <c r="M1358" s="3">
        <v>0</v>
      </c>
      <c r="N1358">
        <v>0</v>
      </c>
      <c r="O1358">
        <v>0</v>
      </c>
      <c r="P1358">
        <v>0</v>
      </c>
      <c r="Q1358">
        <v>33</v>
      </c>
      <c r="R1358" s="3">
        <v>0</v>
      </c>
      <c r="S1358" s="3">
        <v>0</v>
      </c>
      <c r="T1358">
        <v>0</v>
      </c>
      <c r="U1358">
        <v>0</v>
      </c>
      <c r="V1358" s="3">
        <v>0</v>
      </c>
      <c r="W1358" s="3">
        <v>0</v>
      </c>
      <c r="X1358">
        <v>0</v>
      </c>
      <c r="Y1358" t="s">
        <v>1160</v>
      </c>
    </row>
    <row r="1359" spans="1:25" hidden="1" x14ac:dyDescent="0.25">
      <c r="A1359" s="1" t="s">
        <v>40</v>
      </c>
      <c r="B1359" s="1" t="s">
        <v>110</v>
      </c>
      <c r="C1359" s="1" t="s">
        <v>27</v>
      </c>
      <c r="D1359" s="1" t="s">
        <v>27</v>
      </c>
      <c r="E1359" s="10">
        <v>45895</v>
      </c>
      <c r="F1359" s="2">
        <v>45895</v>
      </c>
      <c r="G1359" s="3">
        <v>42</v>
      </c>
      <c r="H1359" s="4" t="s">
        <v>28</v>
      </c>
      <c r="I1359">
        <v>24</v>
      </c>
      <c r="J1359">
        <v>0</v>
      </c>
      <c r="K1359">
        <v>0</v>
      </c>
      <c r="L1359" s="3">
        <v>0</v>
      </c>
      <c r="M1359" s="3">
        <v>0</v>
      </c>
      <c r="N1359">
        <v>0</v>
      </c>
      <c r="O1359">
        <v>0</v>
      </c>
      <c r="P1359">
        <v>0</v>
      </c>
      <c r="Q1359">
        <v>0</v>
      </c>
      <c r="R1359" s="3">
        <v>0</v>
      </c>
      <c r="S1359" s="3">
        <v>0</v>
      </c>
      <c r="T1359">
        <v>0</v>
      </c>
      <c r="U1359">
        <v>0</v>
      </c>
      <c r="V1359" s="3">
        <v>0</v>
      </c>
      <c r="W1359" s="3">
        <v>0</v>
      </c>
      <c r="X1359">
        <v>0</v>
      </c>
      <c r="Y1359" t="s">
        <v>1161</v>
      </c>
    </row>
    <row r="1360" spans="1:25" hidden="1" x14ac:dyDescent="0.25">
      <c r="A1360" s="1" t="s">
        <v>36</v>
      </c>
      <c r="B1360" s="1" t="s">
        <v>110</v>
      </c>
      <c r="C1360" s="1" t="s">
        <v>27</v>
      </c>
      <c r="D1360" s="1" t="s">
        <v>27</v>
      </c>
      <c r="E1360" s="10">
        <v>45895</v>
      </c>
      <c r="F1360" s="2">
        <v>45895</v>
      </c>
      <c r="G1360" s="3">
        <v>42</v>
      </c>
      <c r="H1360" s="4" t="s">
        <v>28</v>
      </c>
      <c r="I1360">
        <v>24</v>
      </c>
      <c r="J1360">
        <v>0</v>
      </c>
      <c r="K1360">
        <v>0</v>
      </c>
      <c r="L1360" s="3">
        <v>0</v>
      </c>
      <c r="M1360" s="3">
        <v>0</v>
      </c>
      <c r="N1360">
        <v>0</v>
      </c>
      <c r="O1360">
        <v>0</v>
      </c>
      <c r="P1360">
        <v>0</v>
      </c>
      <c r="Q1360">
        <v>0</v>
      </c>
      <c r="R1360" s="3">
        <v>0</v>
      </c>
      <c r="S1360" s="3">
        <v>0</v>
      </c>
      <c r="T1360">
        <v>0</v>
      </c>
      <c r="U1360">
        <v>0</v>
      </c>
      <c r="V1360" s="3">
        <v>0</v>
      </c>
      <c r="W1360" s="3">
        <v>0</v>
      </c>
      <c r="X1360">
        <v>0</v>
      </c>
      <c r="Y1360" t="s">
        <v>1161</v>
      </c>
    </row>
    <row r="1361" spans="1:25" hidden="1" x14ac:dyDescent="0.25">
      <c r="A1361" s="1" t="s">
        <v>41</v>
      </c>
      <c r="B1361" s="1" t="s">
        <v>112</v>
      </c>
      <c r="C1361" s="1" t="s">
        <v>42</v>
      </c>
      <c r="D1361" s="1" t="s">
        <v>27</v>
      </c>
      <c r="E1361" s="10">
        <v>45895</v>
      </c>
      <c r="F1361" s="2">
        <v>45895</v>
      </c>
      <c r="G1361" s="3">
        <v>34</v>
      </c>
      <c r="H1361" s="4" t="s">
        <v>28</v>
      </c>
      <c r="I1361">
        <v>39</v>
      </c>
      <c r="J1361">
        <v>0</v>
      </c>
      <c r="K1361">
        <v>0</v>
      </c>
      <c r="L1361" s="3">
        <v>1</v>
      </c>
      <c r="M1361" s="3">
        <v>0</v>
      </c>
      <c r="N1361">
        <v>0</v>
      </c>
      <c r="O1361">
        <v>0</v>
      </c>
      <c r="P1361">
        <v>0</v>
      </c>
      <c r="Q1361">
        <v>4</v>
      </c>
      <c r="R1361" s="3">
        <v>0</v>
      </c>
      <c r="S1361" s="3">
        <v>0</v>
      </c>
      <c r="T1361">
        <v>0</v>
      </c>
      <c r="U1361">
        <v>0</v>
      </c>
      <c r="V1361" s="3">
        <v>0</v>
      </c>
      <c r="W1361" s="3">
        <v>0</v>
      </c>
      <c r="X1361">
        <v>0</v>
      </c>
      <c r="Y1361" t="s">
        <v>1147</v>
      </c>
    </row>
    <row r="1362" spans="1:25" hidden="1" x14ac:dyDescent="0.25">
      <c r="A1362" s="1" t="s">
        <v>43</v>
      </c>
      <c r="B1362" s="1" t="s">
        <v>114</v>
      </c>
      <c r="C1362" s="1" t="s">
        <v>44</v>
      </c>
      <c r="D1362" s="1" t="s">
        <v>27</v>
      </c>
      <c r="E1362" s="10">
        <v>45895</v>
      </c>
      <c r="F1362" s="2">
        <v>45895</v>
      </c>
      <c r="G1362" s="3">
        <v>27</v>
      </c>
      <c r="H1362" s="4" t="s">
        <v>28</v>
      </c>
      <c r="I1362">
        <v>72</v>
      </c>
      <c r="J1362">
        <v>0</v>
      </c>
      <c r="K1362">
        <v>0</v>
      </c>
      <c r="L1362" s="3">
        <v>1</v>
      </c>
      <c r="M1362" s="3">
        <v>0</v>
      </c>
      <c r="N1362">
        <v>0</v>
      </c>
      <c r="O1362">
        <v>0</v>
      </c>
      <c r="P1362">
        <v>0</v>
      </c>
      <c r="Q1362">
        <v>0</v>
      </c>
      <c r="R1362" s="3">
        <v>0</v>
      </c>
      <c r="S1362" s="3">
        <v>0</v>
      </c>
      <c r="T1362">
        <v>0</v>
      </c>
      <c r="U1362">
        <v>0</v>
      </c>
      <c r="V1362" s="3">
        <v>0</v>
      </c>
      <c r="W1362" s="3">
        <v>0</v>
      </c>
      <c r="X1362">
        <v>0</v>
      </c>
      <c r="Y1362" t="s">
        <v>1162</v>
      </c>
    </row>
    <row r="1363" spans="1:25" hidden="1" x14ac:dyDescent="0.25">
      <c r="A1363" s="1" t="s">
        <v>45</v>
      </c>
      <c r="B1363" s="1" t="s">
        <v>116</v>
      </c>
      <c r="C1363" s="1" t="s">
        <v>46</v>
      </c>
      <c r="D1363" s="1" t="s">
        <v>27</v>
      </c>
      <c r="E1363" s="10">
        <v>45895</v>
      </c>
      <c r="F1363" s="2">
        <v>45895</v>
      </c>
      <c r="G1363" s="3">
        <v>53</v>
      </c>
      <c r="H1363" s="4" t="s">
        <v>28</v>
      </c>
      <c r="I1363">
        <v>37</v>
      </c>
      <c r="J1363">
        <v>0</v>
      </c>
      <c r="K1363">
        <v>0</v>
      </c>
      <c r="L1363" s="3">
        <v>0</v>
      </c>
      <c r="M1363" s="3">
        <v>0</v>
      </c>
      <c r="N1363">
        <v>0</v>
      </c>
      <c r="O1363">
        <v>0</v>
      </c>
      <c r="P1363">
        <v>0</v>
      </c>
      <c r="Q1363">
        <v>0</v>
      </c>
      <c r="R1363" s="3">
        <v>0</v>
      </c>
      <c r="S1363" s="3">
        <v>0</v>
      </c>
      <c r="T1363">
        <v>0</v>
      </c>
      <c r="U1363">
        <v>0</v>
      </c>
      <c r="V1363" s="3">
        <v>0</v>
      </c>
      <c r="W1363" s="3">
        <v>0</v>
      </c>
      <c r="X1363">
        <v>0</v>
      </c>
      <c r="Y1363" t="s">
        <v>1163</v>
      </c>
    </row>
    <row r="1364" spans="1:25" hidden="1" x14ac:dyDescent="0.25">
      <c r="A1364" s="1" t="s">
        <v>47</v>
      </c>
      <c r="B1364" s="1" t="s">
        <v>137</v>
      </c>
      <c r="C1364" s="1" t="s">
        <v>27</v>
      </c>
      <c r="D1364" s="1" t="s">
        <v>27</v>
      </c>
      <c r="E1364" s="10">
        <v>45895</v>
      </c>
      <c r="F1364" s="2">
        <v>45895</v>
      </c>
      <c r="G1364" s="3">
        <v>29</v>
      </c>
      <c r="H1364" s="4" t="s">
        <v>28</v>
      </c>
      <c r="I1364">
        <v>47</v>
      </c>
      <c r="J1364">
        <v>0</v>
      </c>
      <c r="K1364">
        <v>0</v>
      </c>
      <c r="L1364" s="3">
        <v>0</v>
      </c>
      <c r="M1364" s="3">
        <v>0</v>
      </c>
      <c r="N1364">
        <v>1</v>
      </c>
      <c r="O1364">
        <v>0</v>
      </c>
      <c r="P1364">
        <v>0</v>
      </c>
      <c r="Q1364">
        <v>0</v>
      </c>
      <c r="R1364" s="3">
        <v>0</v>
      </c>
      <c r="S1364" s="3">
        <v>0</v>
      </c>
      <c r="T1364">
        <v>0</v>
      </c>
      <c r="U1364">
        <v>0</v>
      </c>
      <c r="V1364" s="3">
        <v>0</v>
      </c>
      <c r="W1364" s="3">
        <v>0</v>
      </c>
      <c r="X1364">
        <v>0</v>
      </c>
      <c r="Y1364" t="s">
        <v>1164</v>
      </c>
    </row>
    <row r="1365" spans="1:25" hidden="1" x14ac:dyDescent="0.25">
      <c r="A1365" s="1" t="s">
        <v>34</v>
      </c>
      <c r="B1365" s="1" t="s">
        <v>137</v>
      </c>
      <c r="C1365" s="1" t="s">
        <v>27</v>
      </c>
      <c r="D1365" s="1" t="s">
        <v>27</v>
      </c>
      <c r="E1365" s="10">
        <v>45895</v>
      </c>
      <c r="F1365" s="2">
        <v>45895</v>
      </c>
      <c r="G1365" s="3">
        <v>29</v>
      </c>
      <c r="H1365" s="4" t="s">
        <v>28</v>
      </c>
      <c r="I1365">
        <v>47</v>
      </c>
      <c r="J1365">
        <v>0</v>
      </c>
      <c r="K1365">
        <v>0</v>
      </c>
      <c r="L1365" s="3">
        <v>0</v>
      </c>
      <c r="M1365" s="3">
        <v>0</v>
      </c>
      <c r="N1365">
        <v>1</v>
      </c>
      <c r="O1365">
        <v>0</v>
      </c>
      <c r="P1365">
        <v>0</v>
      </c>
      <c r="Q1365">
        <v>0</v>
      </c>
      <c r="R1365" s="3">
        <v>0</v>
      </c>
      <c r="S1365" s="3">
        <v>0</v>
      </c>
      <c r="T1365">
        <v>0</v>
      </c>
      <c r="U1365">
        <v>0</v>
      </c>
      <c r="V1365" s="3">
        <v>0</v>
      </c>
      <c r="W1365" s="3">
        <v>0</v>
      </c>
      <c r="X1365">
        <v>0</v>
      </c>
      <c r="Y1365" t="s">
        <v>1164</v>
      </c>
    </row>
    <row r="1366" spans="1:25" hidden="1" x14ac:dyDescent="0.25">
      <c r="A1366" s="1" t="s">
        <v>49</v>
      </c>
      <c r="B1366" s="1" t="s">
        <v>118</v>
      </c>
      <c r="C1366" s="1" t="s">
        <v>50</v>
      </c>
      <c r="D1366" s="1" t="s">
        <v>27</v>
      </c>
      <c r="E1366" s="10">
        <v>45895</v>
      </c>
      <c r="F1366" s="2">
        <v>45895</v>
      </c>
      <c r="G1366" s="3">
        <v>31</v>
      </c>
      <c r="H1366" s="4" t="s">
        <v>28</v>
      </c>
      <c r="I1366">
        <v>29</v>
      </c>
      <c r="J1366">
        <v>0</v>
      </c>
      <c r="K1366">
        <v>0</v>
      </c>
      <c r="L1366" s="3">
        <v>1</v>
      </c>
      <c r="M1366" s="3">
        <v>1</v>
      </c>
      <c r="N1366">
        <v>0</v>
      </c>
      <c r="O1366">
        <v>1</v>
      </c>
      <c r="P1366">
        <v>0</v>
      </c>
      <c r="Q1366">
        <v>29</v>
      </c>
      <c r="R1366" s="3">
        <v>0</v>
      </c>
      <c r="S1366" s="3">
        <v>0</v>
      </c>
      <c r="T1366">
        <v>0</v>
      </c>
      <c r="U1366">
        <v>0</v>
      </c>
      <c r="V1366" s="3">
        <v>0</v>
      </c>
      <c r="W1366" s="3">
        <v>0</v>
      </c>
      <c r="X1366">
        <v>0</v>
      </c>
      <c r="Y1366" t="s">
        <v>1165</v>
      </c>
    </row>
    <row r="1367" spans="1:25" hidden="1" x14ac:dyDescent="0.25">
      <c r="A1367" s="1" t="s">
        <v>54</v>
      </c>
      <c r="B1367" s="1" t="s">
        <v>122</v>
      </c>
      <c r="C1367" s="1" t="s">
        <v>52</v>
      </c>
      <c r="D1367" s="1" t="s">
        <v>27</v>
      </c>
      <c r="E1367" s="10">
        <v>45895</v>
      </c>
      <c r="F1367" s="2">
        <v>45895</v>
      </c>
      <c r="G1367" s="3">
        <v>46</v>
      </c>
      <c r="H1367" s="4" t="s">
        <v>28</v>
      </c>
      <c r="I1367">
        <v>47</v>
      </c>
      <c r="J1367">
        <v>0</v>
      </c>
      <c r="K1367">
        <v>0</v>
      </c>
      <c r="L1367" s="3">
        <v>0</v>
      </c>
      <c r="M1367" s="3">
        <v>0</v>
      </c>
      <c r="N1367">
        <v>0</v>
      </c>
      <c r="O1367">
        <v>0</v>
      </c>
      <c r="P1367">
        <v>0</v>
      </c>
      <c r="Q1367">
        <v>2</v>
      </c>
      <c r="R1367" s="3">
        <v>0</v>
      </c>
      <c r="S1367" s="3">
        <v>0</v>
      </c>
      <c r="T1367">
        <v>0</v>
      </c>
      <c r="U1367">
        <v>0</v>
      </c>
      <c r="V1367" s="3">
        <v>0</v>
      </c>
      <c r="W1367" s="3">
        <v>0</v>
      </c>
      <c r="X1367">
        <v>0</v>
      </c>
      <c r="Y1367" t="s">
        <v>1166</v>
      </c>
    </row>
    <row r="1368" spans="1:25" hidden="1" x14ac:dyDescent="0.25">
      <c r="A1368" s="1" t="s">
        <v>58</v>
      </c>
      <c r="B1368" s="1" t="s">
        <v>112</v>
      </c>
      <c r="C1368" s="1" t="s">
        <v>489</v>
      </c>
      <c r="D1368" s="1" t="s">
        <v>27</v>
      </c>
      <c r="E1368" s="10">
        <v>45895</v>
      </c>
      <c r="F1368" s="2">
        <v>45895</v>
      </c>
      <c r="G1368" s="3">
        <v>49</v>
      </c>
      <c r="H1368" s="4" t="s">
        <v>28</v>
      </c>
      <c r="I1368">
        <v>22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1152</v>
      </c>
    </row>
    <row r="1369" spans="1:25" hidden="1" x14ac:dyDescent="0.25">
      <c r="A1369" s="1" t="s">
        <v>53</v>
      </c>
      <c r="B1369" s="1" t="s">
        <v>142</v>
      </c>
      <c r="C1369" s="1" t="s">
        <v>39</v>
      </c>
      <c r="D1369" s="1" t="s">
        <v>27</v>
      </c>
      <c r="E1369" s="10">
        <v>45895</v>
      </c>
      <c r="F1369" s="2">
        <v>45895</v>
      </c>
      <c r="G1369" s="3">
        <v>36</v>
      </c>
      <c r="H1369" s="4" t="s">
        <v>28</v>
      </c>
      <c r="I1369">
        <v>26</v>
      </c>
      <c r="J1369">
        <v>0</v>
      </c>
      <c r="K1369">
        <v>0</v>
      </c>
      <c r="L1369" s="3">
        <v>1</v>
      </c>
      <c r="M1369" s="3">
        <v>0</v>
      </c>
      <c r="N1369">
        <v>0</v>
      </c>
      <c r="O1369">
        <v>0</v>
      </c>
      <c r="P1369">
        <v>0</v>
      </c>
      <c r="Q1369">
        <v>26</v>
      </c>
      <c r="R1369" s="3">
        <v>0</v>
      </c>
      <c r="S1369" s="3">
        <v>0</v>
      </c>
      <c r="T1369">
        <v>0</v>
      </c>
      <c r="U1369">
        <v>0</v>
      </c>
      <c r="V1369" s="3">
        <v>0</v>
      </c>
      <c r="W1369" s="3">
        <v>0</v>
      </c>
      <c r="X1369">
        <v>0</v>
      </c>
      <c r="Y1369" t="s">
        <v>1167</v>
      </c>
    </row>
    <row r="1370" spans="1:25" hidden="1" x14ac:dyDescent="0.25">
      <c r="A1370" s="1" t="s">
        <v>51</v>
      </c>
      <c r="B1370" s="1" t="s">
        <v>589</v>
      </c>
      <c r="C1370" s="1" t="s">
        <v>27</v>
      </c>
      <c r="D1370" s="1" t="s">
        <v>27</v>
      </c>
      <c r="E1370" s="10">
        <v>45895</v>
      </c>
      <c r="F1370" s="2">
        <v>45895</v>
      </c>
      <c r="G1370" s="3">
        <v>37</v>
      </c>
      <c r="H1370" s="4" t="s">
        <v>28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1167</v>
      </c>
    </row>
    <row r="1371" spans="1:25" hidden="1" x14ac:dyDescent="0.25">
      <c r="A1371" s="1" t="s">
        <v>27</v>
      </c>
      <c r="B1371" s="1" t="s">
        <v>112</v>
      </c>
      <c r="C1371" s="1" t="s">
        <v>55</v>
      </c>
      <c r="D1371" s="1" t="s">
        <v>27</v>
      </c>
      <c r="E1371" s="10">
        <v>45895</v>
      </c>
      <c r="F1371" s="2">
        <v>45895</v>
      </c>
      <c r="G1371" s="3">
        <v>38</v>
      </c>
      <c r="H1371" s="4" t="s">
        <v>1448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1167</v>
      </c>
    </row>
    <row r="1372" spans="1:25" hidden="1" x14ac:dyDescent="0.25">
      <c r="A1372" s="1" t="s">
        <v>27</v>
      </c>
      <c r="B1372" s="1" t="s">
        <v>590</v>
      </c>
      <c r="C1372" s="1" t="s">
        <v>57</v>
      </c>
      <c r="D1372" s="1" t="s">
        <v>27</v>
      </c>
      <c r="E1372" s="10">
        <v>45895</v>
      </c>
      <c r="F1372" s="2">
        <v>45895</v>
      </c>
      <c r="G1372" s="3">
        <v>39</v>
      </c>
      <c r="H1372" s="4" t="s">
        <v>28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1167</v>
      </c>
    </row>
    <row r="1373" spans="1:25" hidden="1" x14ac:dyDescent="0.25">
      <c r="A1373" s="1" t="s">
        <v>48</v>
      </c>
      <c r="B1373" s="1" t="s">
        <v>591</v>
      </c>
      <c r="C1373" s="1" t="s">
        <v>27</v>
      </c>
      <c r="D1373" s="1" t="s">
        <v>27</v>
      </c>
      <c r="E1373" s="10">
        <v>45895</v>
      </c>
      <c r="F1373" s="2">
        <v>45895</v>
      </c>
      <c r="G1373" s="3">
        <v>40</v>
      </c>
      <c r="H1373" s="4" t="s">
        <v>28</v>
      </c>
      <c r="I1373">
        <v>50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1167</v>
      </c>
    </row>
    <row r="1374" spans="1:25" hidden="1" x14ac:dyDescent="0.25">
      <c r="A1374" s="1" t="s">
        <v>56</v>
      </c>
      <c r="B1374" s="1" t="s">
        <v>98</v>
      </c>
      <c r="C1374" s="1" t="s">
        <v>37</v>
      </c>
      <c r="D1374" s="1" t="s">
        <v>27</v>
      </c>
      <c r="E1374" s="2">
        <v>45896</v>
      </c>
      <c r="F1374" s="2">
        <v>45896</v>
      </c>
      <c r="G1374" s="3">
        <v>28</v>
      </c>
      <c r="H1374" s="4" t="s">
        <v>28</v>
      </c>
      <c r="I1374">
        <v>39</v>
      </c>
      <c r="J1374">
        <v>0</v>
      </c>
      <c r="K1374">
        <v>0</v>
      </c>
      <c r="L1374" s="3">
        <v>1</v>
      </c>
      <c r="M1374" s="3">
        <v>0</v>
      </c>
      <c r="N1374">
        <v>0</v>
      </c>
      <c r="O1374">
        <v>0</v>
      </c>
      <c r="P1374">
        <v>0</v>
      </c>
      <c r="Q1374">
        <v>0</v>
      </c>
      <c r="R1374" s="3">
        <v>0</v>
      </c>
      <c r="S1374" s="3">
        <v>0</v>
      </c>
      <c r="T1374">
        <v>0</v>
      </c>
      <c r="U1374">
        <v>0</v>
      </c>
      <c r="V1374" s="3">
        <v>0</v>
      </c>
      <c r="W1374" s="3">
        <v>0</v>
      </c>
      <c r="X1374">
        <v>0</v>
      </c>
      <c r="Y1374" t="s">
        <v>1168</v>
      </c>
    </row>
    <row r="1375" spans="1:25" hidden="1" x14ac:dyDescent="0.25">
      <c r="A1375" s="1" t="s">
        <v>29</v>
      </c>
      <c r="B1375" s="1" t="s">
        <v>100</v>
      </c>
      <c r="C1375" s="1" t="s">
        <v>26</v>
      </c>
      <c r="D1375" s="1" t="s">
        <v>27</v>
      </c>
      <c r="E1375" s="2">
        <v>45896</v>
      </c>
      <c r="F1375" s="2">
        <v>45896</v>
      </c>
      <c r="G1375" s="3">
        <v>39</v>
      </c>
      <c r="H1375" s="4" t="s">
        <v>28</v>
      </c>
      <c r="I1375">
        <v>42</v>
      </c>
      <c r="J1375">
        <v>0</v>
      </c>
      <c r="K1375">
        <v>0</v>
      </c>
      <c r="L1375" s="3">
        <v>1</v>
      </c>
      <c r="M1375" s="3">
        <v>0</v>
      </c>
      <c r="N1375">
        <v>0</v>
      </c>
      <c r="O1375">
        <v>0</v>
      </c>
      <c r="P1375">
        <v>0</v>
      </c>
      <c r="Q1375">
        <v>0</v>
      </c>
      <c r="R1375" s="3">
        <v>0</v>
      </c>
      <c r="S1375" s="3">
        <v>0</v>
      </c>
      <c r="T1375">
        <v>0</v>
      </c>
      <c r="U1375">
        <v>0</v>
      </c>
      <c r="V1375" s="3">
        <v>0</v>
      </c>
      <c r="W1375" s="3">
        <v>0</v>
      </c>
      <c r="X1375">
        <v>0</v>
      </c>
      <c r="Y1375" t="s">
        <v>1169</v>
      </c>
    </row>
    <row r="1376" spans="1:25" hidden="1" x14ac:dyDescent="0.25">
      <c r="A1376" s="1" t="s">
        <v>344</v>
      </c>
      <c r="B1376" s="1" t="s">
        <v>102</v>
      </c>
      <c r="C1376" s="1" t="s">
        <v>35</v>
      </c>
      <c r="D1376" s="1" t="s">
        <v>27</v>
      </c>
      <c r="E1376" s="2">
        <v>45896</v>
      </c>
      <c r="F1376" s="2">
        <v>45896</v>
      </c>
      <c r="G1376" s="3">
        <v>29</v>
      </c>
      <c r="H1376" s="4" t="s">
        <v>28</v>
      </c>
      <c r="I1376">
        <v>29</v>
      </c>
      <c r="J1376">
        <v>0</v>
      </c>
      <c r="K1376">
        <v>0</v>
      </c>
      <c r="L1376" s="3">
        <v>0</v>
      </c>
      <c r="M1376" s="3">
        <v>0</v>
      </c>
      <c r="N1376">
        <v>0</v>
      </c>
      <c r="O1376">
        <v>0</v>
      </c>
      <c r="P1376">
        <v>0</v>
      </c>
      <c r="Q1376">
        <v>0</v>
      </c>
      <c r="R1376" s="3">
        <v>0</v>
      </c>
      <c r="S1376" s="3">
        <v>0</v>
      </c>
      <c r="T1376">
        <v>0</v>
      </c>
      <c r="U1376">
        <v>0</v>
      </c>
      <c r="V1376" s="3">
        <v>0</v>
      </c>
      <c r="W1376" s="3">
        <v>0</v>
      </c>
      <c r="X1376">
        <v>0</v>
      </c>
      <c r="Y1376" t="s">
        <v>1170</v>
      </c>
    </row>
    <row r="1377" spans="1:25" hidden="1" x14ac:dyDescent="0.25">
      <c r="A1377" s="1" t="s">
        <v>31</v>
      </c>
      <c r="B1377" s="1" t="s">
        <v>104</v>
      </c>
      <c r="C1377" s="1" t="s">
        <v>32</v>
      </c>
      <c r="D1377" s="1" t="s">
        <v>27</v>
      </c>
      <c r="E1377" s="2">
        <v>45896</v>
      </c>
      <c r="F1377" s="2">
        <v>45896</v>
      </c>
      <c r="G1377" s="3">
        <v>35</v>
      </c>
      <c r="H1377" s="4" t="s">
        <v>28</v>
      </c>
      <c r="I1377">
        <v>103</v>
      </c>
      <c r="J1377">
        <v>0</v>
      </c>
      <c r="K1377">
        <v>0</v>
      </c>
      <c r="L1377" s="3">
        <v>0</v>
      </c>
      <c r="M1377" s="3">
        <v>0</v>
      </c>
      <c r="N1377">
        <v>0</v>
      </c>
      <c r="O1377">
        <v>0</v>
      </c>
      <c r="P1377">
        <v>0</v>
      </c>
      <c r="Q1377">
        <v>54</v>
      </c>
      <c r="R1377" s="3">
        <v>0</v>
      </c>
      <c r="S1377" s="3">
        <v>0</v>
      </c>
      <c r="T1377">
        <v>0</v>
      </c>
      <c r="U1377">
        <v>0</v>
      </c>
      <c r="V1377" s="3">
        <v>0</v>
      </c>
      <c r="W1377" s="3">
        <v>0</v>
      </c>
      <c r="X1377">
        <v>3</v>
      </c>
      <c r="Y1377" t="s">
        <v>1171</v>
      </c>
    </row>
    <row r="1378" spans="1:25" hidden="1" x14ac:dyDescent="0.25">
      <c r="A1378" s="1" t="s">
        <v>33</v>
      </c>
      <c r="B1378" s="1" t="s">
        <v>106</v>
      </c>
      <c r="C1378" s="1" t="s">
        <v>57</v>
      </c>
      <c r="D1378" s="1" t="s">
        <v>27</v>
      </c>
      <c r="E1378" s="2">
        <v>45896</v>
      </c>
      <c r="F1378" s="2">
        <v>45896</v>
      </c>
      <c r="G1378" s="3">
        <v>26</v>
      </c>
      <c r="H1378" s="4" t="s">
        <v>28</v>
      </c>
      <c r="I1378">
        <v>41</v>
      </c>
      <c r="J1378">
        <v>0</v>
      </c>
      <c r="K1378">
        <v>0</v>
      </c>
      <c r="L1378" s="3">
        <v>0</v>
      </c>
      <c r="M1378" s="3">
        <v>0</v>
      </c>
      <c r="N1378">
        <v>0</v>
      </c>
      <c r="O1378">
        <v>0</v>
      </c>
      <c r="P1378">
        <v>0</v>
      </c>
      <c r="Q1378">
        <v>18</v>
      </c>
      <c r="R1378" s="3">
        <v>0</v>
      </c>
      <c r="S1378" s="3">
        <v>0</v>
      </c>
      <c r="T1378">
        <v>0</v>
      </c>
      <c r="U1378">
        <v>0</v>
      </c>
      <c r="V1378" s="3">
        <v>0</v>
      </c>
      <c r="W1378" s="3">
        <v>0</v>
      </c>
      <c r="X1378">
        <v>0</v>
      </c>
      <c r="Y1378" t="s">
        <v>1172</v>
      </c>
    </row>
    <row r="1379" spans="1:25" hidden="1" x14ac:dyDescent="0.25">
      <c r="A1379" s="1" t="s">
        <v>38</v>
      </c>
      <c r="B1379" s="1" t="s">
        <v>108</v>
      </c>
      <c r="C1379" s="1" t="s">
        <v>27</v>
      </c>
      <c r="D1379" s="1" t="s">
        <v>27</v>
      </c>
      <c r="E1379" s="2">
        <v>45896</v>
      </c>
      <c r="F1379" s="2">
        <v>45896</v>
      </c>
      <c r="G1379" s="3">
        <v>37</v>
      </c>
      <c r="H1379" s="4" t="s">
        <v>28</v>
      </c>
      <c r="I1379">
        <v>29</v>
      </c>
      <c r="J1379">
        <v>0</v>
      </c>
      <c r="K1379">
        <v>0</v>
      </c>
      <c r="L1379" s="3">
        <v>0</v>
      </c>
      <c r="M1379" s="3">
        <v>0</v>
      </c>
      <c r="N1379">
        <v>0</v>
      </c>
      <c r="O1379">
        <v>0</v>
      </c>
      <c r="P1379">
        <v>0</v>
      </c>
      <c r="Q1379">
        <v>29</v>
      </c>
      <c r="R1379" s="3">
        <v>0</v>
      </c>
      <c r="S1379" s="3">
        <v>0</v>
      </c>
      <c r="T1379">
        <v>0</v>
      </c>
      <c r="U1379">
        <v>0</v>
      </c>
      <c r="V1379" s="3">
        <v>0</v>
      </c>
      <c r="W1379" s="3">
        <v>0</v>
      </c>
      <c r="X1379">
        <v>0</v>
      </c>
      <c r="Y1379" t="s">
        <v>1173</v>
      </c>
    </row>
    <row r="1380" spans="1:25" hidden="1" x14ac:dyDescent="0.25">
      <c r="A1380" s="1" t="s">
        <v>40</v>
      </c>
      <c r="B1380" s="1" t="s">
        <v>110</v>
      </c>
      <c r="C1380" s="1" t="s">
        <v>27</v>
      </c>
      <c r="D1380" s="1" t="s">
        <v>27</v>
      </c>
      <c r="E1380" s="2">
        <v>45896</v>
      </c>
      <c r="F1380" s="2">
        <v>45896</v>
      </c>
      <c r="G1380" s="3">
        <v>132</v>
      </c>
      <c r="H1380" s="4" t="s">
        <v>28</v>
      </c>
      <c r="I1380">
        <v>63</v>
      </c>
      <c r="J1380">
        <v>0</v>
      </c>
      <c r="K1380">
        <v>0</v>
      </c>
      <c r="L1380" s="3">
        <v>1</v>
      </c>
      <c r="M1380" s="3">
        <v>0</v>
      </c>
      <c r="N1380">
        <v>1</v>
      </c>
      <c r="O1380">
        <v>0</v>
      </c>
      <c r="P1380">
        <v>0</v>
      </c>
      <c r="Q1380">
        <v>0</v>
      </c>
      <c r="R1380" s="3">
        <v>0</v>
      </c>
      <c r="S1380" s="3">
        <v>0</v>
      </c>
      <c r="T1380">
        <v>0</v>
      </c>
      <c r="U1380">
        <v>0</v>
      </c>
      <c r="V1380" s="3">
        <v>0</v>
      </c>
      <c r="W1380" s="3">
        <v>0</v>
      </c>
      <c r="X1380">
        <v>0</v>
      </c>
      <c r="Y1380" t="s">
        <v>1174</v>
      </c>
    </row>
    <row r="1381" spans="1:25" hidden="1" x14ac:dyDescent="0.25">
      <c r="A1381" s="1" t="s">
        <v>36</v>
      </c>
      <c r="B1381" s="1" t="s">
        <v>110</v>
      </c>
      <c r="C1381" s="1" t="s">
        <v>27</v>
      </c>
      <c r="D1381" s="1" t="s">
        <v>27</v>
      </c>
      <c r="E1381" s="2">
        <v>45896</v>
      </c>
      <c r="F1381" s="2">
        <v>45896</v>
      </c>
      <c r="G1381" s="3">
        <v>132</v>
      </c>
      <c r="H1381" s="4" t="s">
        <v>28</v>
      </c>
      <c r="I1381">
        <v>63</v>
      </c>
      <c r="J1381">
        <v>0</v>
      </c>
      <c r="K1381">
        <v>0</v>
      </c>
      <c r="L1381" s="3">
        <v>1</v>
      </c>
      <c r="M1381" s="3">
        <v>0</v>
      </c>
      <c r="N1381">
        <v>1</v>
      </c>
      <c r="O1381">
        <v>0</v>
      </c>
      <c r="P1381">
        <v>0</v>
      </c>
      <c r="Q1381">
        <v>0</v>
      </c>
      <c r="R1381" s="3">
        <v>0</v>
      </c>
      <c r="S1381" s="3">
        <v>0</v>
      </c>
      <c r="T1381">
        <v>0</v>
      </c>
      <c r="U1381">
        <v>0</v>
      </c>
      <c r="V1381" s="3">
        <v>0</v>
      </c>
      <c r="W1381" s="3">
        <v>0</v>
      </c>
      <c r="X1381">
        <v>0</v>
      </c>
      <c r="Y1381" t="s">
        <v>1174</v>
      </c>
    </row>
    <row r="1382" spans="1:25" hidden="1" x14ac:dyDescent="0.25">
      <c r="A1382" s="1" t="s">
        <v>41</v>
      </c>
      <c r="B1382" s="1" t="s">
        <v>112</v>
      </c>
      <c r="C1382" s="1" t="s">
        <v>42</v>
      </c>
      <c r="D1382" s="1" t="s">
        <v>27</v>
      </c>
      <c r="E1382" s="2">
        <v>45896</v>
      </c>
      <c r="F1382" s="2">
        <v>45896</v>
      </c>
      <c r="G1382" s="3">
        <v>34</v>
      </c>
      <c r="H1382" s="4" t="s">
        <v>28</v>
      </c>
      <c r="I1382">
        <v>41</v>
      </c>
      <c r="J1382">
        <v>0</v>
      </c>
      <c r="K1382">
        <v>0</v>
      </c>
      <c r="L1382" s="3">
        <v>1</v>
      </c>
      <c r="M1382" s="3">
        <v>0</v>
      </c>
      <c r="N1382">
        <v>0</v>
      </c>
      <c r="O1382">
        <v>0</v>
      </c>
      <c r="P1382">
        <v>0</v>
      </c>
      <c r="Q1382">
        <v>4</v>
      </c>
      <c r="R1382" s="3">
        <v>0</v>
      </c>
      <c r="S1382" s="3">
        <v>0</v>
      </c>
      <c r="T1382">
        <v>0</v>
      </c>
      <c r="U1382">
        <v>0</v>
      </c>
      <c r="V1382" s="3">
        <v>0</v>
      </c>
      <c r="W1382" s="3">
        <v>0</v>
      </c>
      <c r="X1382">
        <v>0</v>
      </c>
      <c r="Y1382" t="s">
        <v>1147</v>
      </c>
    </row>
    <row r="1383" spans="1:25" hidden="1" x14ac:dyDescent="0.25">
      <c r="A1383" s="1" t="s">
        <v>43</v>
      </c>
      <c r="B1383" s="1" t="s">
        <v>114</v>
      </c>
      <c r="C1383" s="1" t="s">
        <v>44</v>
      </c>
      <c r="D1383" s="1" t="s">
        <v>27</v>
      </c>
      <c r="E1383" s="2">
        <v>45896</v>
      </c>
      <c r="F1383" s="2">
        <v>45896</v>
      </c>
      <c r="G1383" s="3">
        <v>23</v>
      </c>
      <c r="H1383" s="4" t="s">
        <v>28</v>
      </c>
      <c r="I1383">
        <v>54</v>
      </c>
      <c r="J1383">
        <v>0</v>
      </c>
      <c r="K1383">
        <v>0</v>
      </c>
      <c r="L1383" s="3">
        <v>0</v>
      </c>
      <c r="M1383" s="3">
        <v>0</v>
      </c>
      <c r="N1383">
        <v>0</v>
      </c>
      <c r="O1383">
        <v>0</v>
      </c>
      <c r="P1383">
        <v>0</v>
      </c>
      <c r="Q1383">
        <v>0</v>
      </c>
      <c r="R1383" s="3">
        <v>0</v>
      </c>
      <c r="S1383" s="3">
        <v>0</v>
      </c>
      <c r="T1383">
        <v>0</v>
      </c>
      <c r="U1383">
        <v>0</v>
      </c>
      <c r="V1383" s="3">
        <v>0</v>
      </c>
      <c r="W1383" s="3">
        <v>0</v>
      </c>
      <c r="X1383">
        <v>0</v>
      </c>
      <c r="Y1383" t="s">
        <v>1175</v>
      </c>
    </row>
    <row r="1384" spans="1:25" hidden="1" x14ac:dyDescent="0.25">
      <c r="A1384" s="1" t="s">
        <v>45</v>
      </c>
      <c r="B1384" s="1" t="s">
        <v>116</v>
      </c>
      <c r="C1384" s="1" t="s">
        <v>46</v>
      </c>
      <c r="D1384" s="1" t="s">
        <v>27</v>
      </c>
      <c r="E1384" s="2">
        <v>45896</v>
      </c>
      <c r="F1384" s="2">
        <v>45896</v>
      </c>
      <c r="G1384" s="3">
        <v>61</v>
      </c>
      <c r="H1384" s="4" t="s">
        <v>28</v>
      </c>
      <c r="I1384">
        <v>84</v>
      </c>
      <c r="J1384">
        <v>0</v>
      </c>
      <c r="K1384">
        <v>0</v>
      </c>
      <c r="L1384" s="3">
        <v>1</v>
      </c>
      <c r="M1384" s="3">
        <v>0</v>
      </c>
      <c r="N1384">
        <v>0</v>
      </c>
      <c r="O1384">
        <v>0</v>
      </c>
      <c r="P1384">
        <v>0</v>
      </c>
      <c r="Q1384">
        <v>0</v>
      </c>
      <c r="R1384" s="3">
        <v>0</v>
      </c>
      <c r="S1384" s="3">
        <v>0</v>
      </c>
      <c r="T1384">
        <v>0</v>
      </c>
      <c r="U1384">
        <v>0</v>
      </c>
      <c r="V1384" s="3">
        <v>0</v>
      </c>
      <c r="W1384" s="3">
        <v>0</v>
      </c>
      <c r="X1384">
        <v>0</v>
      </c>
      <c r="Y1384" t="s">
        <v>1176</v>
      </c>
    </row>
    <row r="1385" spans="1:25" hidden="1" x14ac:dyDescent="0.25">
      <c r="A1385" s="1" t="s">
        <v>47</v>
      </c>
      <c r="B1385" s="1" t="s">
        <v>137</v>
      </c>
      <c r="C1385" s="1" t="s">
        <v>27</v>
      </c>
      <c r="D1385" s="1" t="s">
        <v>27</v>
      </c>
      <c r="E1385" s="2">
        <v>45896</v>
      </c>
      <c r="F1385" s="2">
        <v>45896</v>
      </c>
      <c r="G1385" s="3">
        <v>30</v>
      </c>
      <c r="H1385" s="4" t="s">
        <v>28</v>
      </c>
      <c r="I1385">
        <v>60</v>
      </c>
      <c r="J1385">
        <v>10</v>
      </c>
      <c r="K1385">
        <v>0</v>
      </c>
      <c r="L1385" s="3">
        <v>0</v>
      </c>
      <c r="M1385" s="3">
        <v>0</v>
      </c>
      <c r="N1385">
        <v>0</v>
      </c>
      <c r="O1385">
        <v>0</v>
      </c>
      <c r="P1385">
        <v>0</v>
      </c>
      <c r="Q1385">
        <v>0</v>
      </c>
      <c r="R1385" s="3">
        <v>0</v>
      </c>
      <c r="S1385" s="3">
        <v>0</v>
      </c>
      <c r="T1385">
        <v>0</v>
      </c>
      <c r="U1385">
        <v>0</v>
      </c>
      <c r="V1385" s="3">
        <v>0</v>
      </c>
      <c r="W1385" s="3">
        <v>0</v>
      </c>
      <c r="X1385">
        <v>0</v>
      </c>
      <c r="Y1385" t="s">
        <v>1177</v>
      </c>
    </row>
    <row r="1386" spans="1:25" hidden="1" x14ac:dyDescent="0.25">
      <c r="A1386" s="1" t="s">
        <v>34</v>
      </c>
      <c r="B1386" s="1" t="s">
        <v>137</v>
      </c>
      <c r="C1386" s="1" t="s">
        <v>27</v>
      </c>
      <c r="D1386" s="1" t="s">
        <v>27</v>
      </c>
      <c r="E1386" s="2">
        <v>45896</v>
      </c>
      <c r="F1386" s="2">
        <v>45896</v>
      </c>
      <c r="G1386" s="3">
        <v>30</v>
      </c>
      <c r="H1386" s="4" t="s">
        <v>28</v>
      </c>
      <c r="I1386">
        <v>60</v>
      </c>
      <c r="J1386">
        <v>10</v>
      </c>
      <c r="K1386">
        <v>0</v>
      </c>
      <c r="L1386" s="3">
        <v>0</v>
      </c>
      <c r="M1386" s="3">
        <v>0</v>
      </c>
      <c r="N1386">
        <v>0</v>
      </c>
      <c r="O1386">
        <v>0</v>
      </c>
      <c r="P1386">
        <v>0</v>
      </c>
      <c r="Q1386">
        <v>0</v>
      </c>
      <c r="R1386" s="3">
        <v>0</v>
      </c>
      <c r="S1386" s="3">
        <v>0</v>
      </c>
      <c r="T1386">
        <v>0</v>
      </c>
      <c r="U1386">
        <v>0</v>
      </c>
      <c r="V1386" s="3">
        <v>0</v>
      </c>
      <c r="W1386" s="3">
        <v>0</v>
      </c>
      <c r="X1386">
        <v>0</v>
      </c>
      <c r="Y1386" t="s">
        <v>1177</v>
      </c>
    </row>
    <row r="1387" spans="1:25" hidden="1" x14ac:dyDescent="0.25">
      <c r="A1387" s="1" t="s">
        <v>49</v>
      </c>
      <c r="B1387" s="1" t="s">
        <v>118</v>
      </c>
      <c r="C1387" s="1" t="s">
        <v>50</v>
      </c>
      <c r="D1387" s="1" t="s">
        <v>27</v>
      </c>
      <c r="E1387" s="2">
        <v>45896</v>
      </c>
      <c r="F1387" s="2">
        <v>45896</v>
      </c>
      <c r="G1387" s="3">
        <v>31</v>
      </c>
      <c r="H1387" s="4" t="s">
        <v>28</v>
      </c>
      <c r="I1387">
        <v>67</v>
      </c>
      <c r="J1387">
        <v>0</v>
      </c>
      <c r="K1387">
        <v>0</v>
      </c>
      <c r="L1387" s="3">
        <v>1</v>
      </c>
      <c r="M1387" s="3">
        <v>1</v>
      </c>
      <c r="N1387">
        <v>0</v>
      </c>
      <c r="O1387">
        <v>1</v>
      </c>
      <c r="P1387">
        <v>0</v>
      </c>
      <c r="Q1387">
        <v>29</v>
      </c>
      <c r="R1387" s="3">
        <v>0</v>
      </c>
      <c r="S1387" s="3">
        <v>0</v>
      </c>
      <c r="T1387">
        <v>0</v>
      </c>
      <c r="U1387">
        <v>0</v>
      </c>
      <c r="V1387" s="3">
        <v>0</v>
      </c>
      <c r="W1387" s="3">
        <v>0</v>
      </c>
      <c r="X1387">
        <v>0</v>
      </c>
      <c r="Y1387" t="s">
        <v>1165</v>
      </c>
    </row>
    <row r="1388" spans="1:25" hidden="1" x14ac:dyDescent="0.25">
      <c r="A1388" s="1" t="s">
        <v>51</v>
      </c>
      <c r="B1388" s="1" t="s">
        <v>120</v>
      </c>
      <c r="C1388" s="1" t="s">
        <v>55</v>
      </c>
      <c r="D1388" s="1" t="s">
        <v>27</v>
      </c>
      <c r="E1388" s="2">
        <v>45896</v>
      </c>
      <c r="F1388" s="2">
        <v>45896</v>
      </c>
      <c r="G1388" s="3">
        <v>106</v>
      </c>
      <c r="H1388" s="4" t="s">
        <v>28</v>
      </c>
      <c r="I1388">
        <v>60</v>
      </c>
      <c r="J1388">
        <v>0</v>
      </c>
      <c r="K1388">
        <v>0</v>
      </c>
      <c r="L1388" s="3">
        <v>1</v>
      </c>
      <c r="M1388" s="3">
        <v>0</v>
      </c>
      <c r="N1388">
        <v>1</v>
      </c>
      <c r="O1388">
        <v>0</v>
      </c>
      <c r="P1388">
        <v>0</v>
      </c>
      <c r="Q1388">
        <v>0</v>
      </c>
      <c r="R1388" s="3">
        <v>0</v>
      </c>
      <c r="S1388" s="3">
        <v>0</v>
      </c>
      <c r="T1388">
        <v>0</v>
      </c>
      <c r="U1388">
        <v>0</v>
      </c>
      <c r="V1388" s="3">
        <v>0</v>
      </c>
      <c r="W1388" s="3">
        <v>0</v>
      </c>
      <c r="X1388">
        <v>0</v>
      </c>
      <c r="Y1388" t="s">
        <v>1178</v>
      </c>
    </row>
    <row r="1389" spans="1:25" hidden="1" x14ac:dyDescent="0.25">
      <c r="A1389" s="1" t="s">
        <v>54</v>
      </c>
      <c r="B1389" s="1" t="s">
        <v>122</v>
      </c>
      <c r="C1389" s="1" t="s">
        <v>52</v>
      </c>
      <c r="D1389" s="1" t="s">
        <v>27</v>
      </c>
      <c r="E1389" s="2">
        <v>45896</v>
      </c>
      <c r="F1389" s="2">
        <v>45896</v>
      </c>
      <c r="G1389" s="3">
        <v>36</v>
      </c>
      <c r="H1389" s="4" t="s">
        <v>28</v>
      </c>
      <c r="I1389">
        <v>27</v>
      </c>
      <c r="J1389">
        <v>0</v>
      </c>
      <c r="K1389">
        <v>0</v>
      </c>
      <c r="L1389" s="3">
        <v>0</v>
      </c>
      <c r="M1389" s="3">
        <v>0</v>
      </c>
      <c r="N1389">
        <v>0</v>
      </c>
      <c r="O1389">
        <v>0</v>
      </c>
      <c r="P1389">
        <v>0</v>
      </c>
      <c r="Q1389">
        <v>2</v>
      </c>
      <c r="R1389" s="3">
        <v>0</v>
      </c>
      <c r="S1389" s="3">
        <v>0</v>
      </c>
      <c r="T1389">
        <v>0</v>
      </c>
      <c r="U1389">
        <v>0</v>
      </c>
      <c r="V1389" s="3">
        <v>0</v>
      </c>
      <c r="W1389" s="3">
        <v>0</v>
      </c>
      <c r="X1389">
        <v>0</v>
      </c>
      <c r="Y1389" t="s">
        <v>1179</v>
      </c>
    </row>
    <row r="1390" spans="1:25" hidden="1" x14ac:dyDescent="0.25">
      <c r="A1390" s="1" t="s">
        <v>53</v>
      </c>
      <c r="B1390" s="1" t="s">
        <v>142</v>
      </c>
      <c r="C1390" s="1" t="s">
        <v>39</v>
      </c>
      <c r="D1390" s="1" t="s">
        <v>27</v>
      </c>
      <c r="E1390" s="2">
        <v>45896</v>
      </c>
      <c r="F1390" s="2">
        <v>45896</v>
      </c>
      <c r="G1390" s="3">
        <v>30</v>
      </c>
      <c r="H1390" s="4" t="s">
        <v>28</v>
      </c>
      <c r="I1390">
        <v>32</v>
      </c>
      <c r="J1390">
        <v>0</v>
      </c>
      <c r="K1390">
        <v>0</v>
      </c>
      <c r="L1390" s="3">
        <v>1</v>
      </c>
      <c r="M1390" s="3">
        <v>0</v>
      </c>
      <c r="N1390">
        <v>0</v>
      </c>
      <c r="O1390">
        <v>0</v>
      </c>
      <c r="P1390">
        <v>0</v>
      </c>
      <c r="Q1390">
        <v>32</v>
      </c>
      <c r="R1390" s="3">
        <v>0</v>
      </c>
      <c r="S1390" s="3">
        <v>0</v>
      </c>
      <c r="T1390">
        <v>0</v>
      </c>
      <c r="U1390">
        <v>0</v>
      </c>
      <c r="V1390" s="3">
        <v>0</v>
      </c>
      <c r="W1390" s="3">
        <v>0</v>
      </c>
      <c r="X1390">
        <v>0</v>
      </c>
      <c r="Y1390" t="s">
        <v>1180</v>
      </c>
    </row>
    <row r="1391" spans="1:25" hidden="1" x14ac:dyDescent="0.25">
      <c r="A1391" s="1" t="s">
        <v>58</v>
      </c>
      <c r="B1391" s="1" t="s">
        <v>144</v>
      </c>
      <c r="C1391" s="1" t="s">
        <v>489</v>
      </c>
      <c r="D1391" s="1" t="s">
        <v>27</v>
      </c>
      <c r="E1391" s="2">
        <v>45896</v>
      </c>
      <c r="F1391" s="2">
        <v>45896</v>
      </c>
      <c r="G1391" s="3">
        <v>25</v>
      </c>
      <c r="H1391" s="4" t="s">
        <v>28</v>
      </c>
      <c r="I1391">
        <v>69</v>
      </c>
      <c r="J1391">
        <v>0</v>
      </c>
      <c r="K1391">
        <v>0</v>
      </c>
      <c r="L1391" s="3">
        <v>1</v>
      </c>
      <c r="M1391" s="3">
        <v>0</v>
      </c>
      <c r="N1391">
        <v>0</v>
      </c>
      <c r="O1391">
        <v>0</v>
      </c>
      <c r="P1391">
        <v>0</v>
      </c>
      <c r="Q1391">
        <v>0</v>
      </c>
      <c r="R1391" s="3">
        <v>0</v>
      </c>
      <c r="S1391" s="3">
        <v>0</v>
      </c>
      <c r="T1391">
        <v>0</v>
      </c>
      <c r="U1391">
        <v>0</v>
      </c>
      <c r="V1391" s="3">
        <v>0</v>
      </c>
      <c r="W1391" s="3">
        <v>0</v>
      </c>
      <c r="X1391">
        <v>0</v>
      </c>
      <c r="Y1391" t="s">
        <v>1181</v>
      </c>
    </row>
    <row r="1392" spans="1:25" hidden="1" x14ac:dyDescent="0.25">
      <c r="A1392" s="1" t="s">
        <v>48</v>
      </c>
      <c r="B1392" s="1" t="s">
        <v>106</v>
      </c>
      <c r="C1392" s="1" t="s">
        <v>27</v>
      </c>
      <c r="D1392" s="1" t="s">
        <v>27</v>
      </c>
      <c r="E1392" s="2">
        <v>45896</v>
      </c>
      <c r="F1392" s="2">
        <v>45896</v>
      </c>
      <c r="G1392" s="3">
        <v>26</v>
      </c>
      <c r="H1392" s="4" t="s">
        <v>1153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1181</v>
      </c>
    </row>
    <row r="1393" spans="1:25" hidden="1" x14ac:dyDescent="0.25">
      <c r="A1393" s="1" t="s">
        <v>25</v>
      </c>
      <c r="B1393" s="1" t="s">
        <v>182</v>
      </c>
      <c r="C1393" s="1" t="s">
        <v>27</v>
      </c>
      <c r="D1393" s="1" t="s">
        <v>27</v>
      </c>
      <c r="E1393" s="2">
        <v>45896</v>
      </c>
      <c r="F1393" s="2">
        <v>45896</v>
      </c>
      <c r="G1393" s="3">
        <v>27</v>
      </c>
      <c r="H1393" s="4" t="s">
        <v>1153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1181</v>
      </c>
    </row>
    <row r="1394" spans="1:25" hidden="1" x14ac:dyDescent="0.25">
      <c r="A1394" s="1" t="s">
        <v>25</v>
      </c>
      <c r="B1394" s="1" t="s">
        <v>96</v>
      </c>
      <c r="C1394" s="1" t="s">
        <v>26</v>
      </c>
      <c r="D1394" s="1" t="s">
        <v>27</v>
      </c>
      <c r="E1394" s="2">
        <v>45897</v>
      </c>
      <c r="F1394" s="2">
        <v>45897</v>
      </c>
      <c r="G1394" s="3">
        <v>43</v>
      </c>
      <c r="H1394" s="4" t="s">
        <v>28</v>
      </c>
      <c r="I1394">
        <v>41</v>
      </c>
      <c r="J1394">
        <v>0</v>
      </c>
      <c r="K1394">
        <v>0</v>
      </c>
      <c r="L1394" s="3">
        <v>0</v>
      </c>
      <c r="M1394" s="3">
        <v>0</v>
      </c>
      <c r="N1394">
        <v>1</v>
      </c>
      <c r="O1394">
        <v>0</v>
      </c>
      <c r="P1394">
        <v>0</v>
      </c>
      <c r="Q1394">
        <v>0</v>
      </c>
      <c r="R1394" s="3">
        <v>0</v>
      </c>
      <c r="S1394" s="3">
        <v>0</v>
      </c>
      <c r="T1394">
        <v>0</v>
      </c>
      <c r="U1394">
        <v>0</v>
      </c>
      <c r="V1394" s="3">
        <v>0</v>
      </c>
      <c r="W1394" s="3">
        <v>0</v>
      </c>
      <c r="X1394">
        <v>0</v>
      </c>
      <c r="Y1394" t="s">
        <v>1182</v>
      </c>
    </row>
    <row r="1395" spans="1:25" hidden="1" x14ac:dyDescent="0.25">
      <c r="A1395" s="1" t="s">
        <v>56</v>
      </c>
      <c r="B1395" s="1" t="s">
        <v>98</v>
      </c>
      <c r="C1395" s="1" t="s">
        <v>37</v>
      </c>
      <c r="D1395" s="1" t="s">
        <v>27</v>
      </c>
      <c r="E1395" s="2">
        <v>45897</v>
      </c>
      <c r="F1395" s="2">
        <v>45897</v>
      </c>
      <c r="G1395" s="3">
        <v>34</v>
      </c>
      <c r="H1395" s="4" t="s">
        <v>28</v>
      </c>
      <c r="I1395">
        <v>69</v>
      </c>
      <c r="J1395">
        <v>0</v>
      </c>
      <c r="K1395">
        <v>0</v>
      </c>
      <c r="L1395" s="3">
        <v>1</v>
      </c>
      <c r="M1395" s="3">
        <v>0</v>
      </c>
      <c r="N1395">
        <v>0</v>
      </c>
      <c r="O1395">
        <v>0</v>
      </c>
      <c r="P1395">
        <v>0</v>
      </c>
      <c r="Q1395">
        <v>15</v>
      </c>
      <c r="R1395" s="3">
        <v>0</v>
      </c>
      <c r="S1395" s="3">
        <v>0</v>
      </c>
      <c r="T1395">
        <v>0</v>
      </c>
      <c r="U1395">
        <v>0</v>
      </c>
      <c r="V1395" s="3">
        <v>0</v>
      </c>
      <c r="W1395" s="3">
        <v>0</v>
      </c>
      <c r="X1395">
        <v>0</v>
      </c>
      <c r="Y1395" t="s">
        <v>1183</v>
      </c>
    </row>
    <row r="1396" spans="1:25" hidden="1" x14ac:dyDescent="0.25">
      <c r="A1396" s="1" t="s">
        <v>29</v>
      </c>
      <c r="B1396" s="1" t="s">
        <v>100</v>
      </c>
      <c r="C1396" s="1" t="s">
        <v>36</v>
      </c>
      <c r="D1396" s="1" t="s">
        <v>27</v>
      </c>
      <c r="E1396" s="2">
        <v>45897</v>
      </c>
      <c r="F1396" s="2">
        <v>45897</v>
      </c>
      <c r="G1396" s="3">
        <v>115</v>
      </c>
      <c r="H1396" s="4" t="s">
        <v>28</v>
      </c>
      <c r="I1396">
        <v>33</v>
      </c>
      <c r="J1396">
        <v>0</v>
      </c>
      <c r="K1396">
        <v>0</v>
      </c>
      <c r="L1396" s="3">
        <v>0</v>
      </c>
      <c r="M1396" s="3">
        <v>0</v>
      </c>
      <c r="N1396">
        <v>0</v>
      </c>
      <c r="O1396">
        <v>0</v>
      </c>
      <c r="P1396">
        <v>0</v>
      </c>
      <c r="Q1396">
        <v>0</v>
      </c>
      <c r="R1396" s="3">
        <v>0</v>
      </c>
      <c r="S1396" s="3">
        <v>0</v>
      </c>
      <c r="T1396">
        <v>0</v>
      </c>
      <c r="U1396">
        <v>0</v>
      </c>
      <c r="V1396" s="3">
        <v>0</v>
      </c>
      <c r="W1396" s="3">
        <v>0</v>
      </c>
      <c r="X1396">
        <v>0</v>
      </c>
      <c r="Y1396" t="s">
        <v>1184</v>
      </c>
    </row>
    <row r="1397" spans="1:25" hidden="1" x14ac:dyDescent="0.25">
      <c r="A1397" s="1" t="s">
        <v>31</v>
      </c>
      <c r="B1397" s="1" t="s">
        <v>104</v>
      </c>
      <c r="C1397" s="1" t="s">
        <v>32</v>
      </c>
      <c r="D1397" s="1" t="s">
        <v>27</v>
      </c>
      <c r="E1397" s="2">
        <v>45897</v>
      </c>
      <c r="F1397" s="2">
        <v>45897</v>
      </c>
      <c r="G1397" s="3">
        <v>48</v>
      </c>
      <c r="H1397" s="4" t="s">
        <v>28</v>
      </c>
      <c r="I1397">
        <v>98</v>
      </c>
      <c r="J1397">
        <v>0</v>
      </c>
      <c r="K1397">
        <v>0</v>
      </c>
      <c r="L1397" s="3">
        <v>1</v>
      </c>
      <c r="M1397" s="3">
        <v>0</v>
      </c>
      <c r="N1397">
        <v>0</v>
      </c>
      <c r="O1397">
        <v>0</v>
      </c>
      <c r="P1397">
        <v>0</v>
      </c>
      <c r="Q1397">
        <v>54</v>
      </c>
      <c r="R1397" s="3">
        <v>0</v>
      </c>
      <c r="S1397" s="3">
        <v>0</v>
      </c>
      <c r="T1397">
        <v>0</v>
      </c>
      <c r="U1397">
        <v>0</v>
      </c>
      <c r="V1397" s="3">
        <v>0</v>
      </c>
      <c r="W1397" s="3">
        <v>0</v>
      </c>
      <c r="X1397">
        <v>3</v>
      </c>
      <c r="Y1397" t="s">
        <v>1185</v>
      </c>
    </row>
    <row r="1398" spans="1:25" hidden="1" x14ac:dyDescent="0.25">
      <c r="A1398" s="1" t="s">
        <v>38</v>
      </c>
      <c r="B1398" s="1" t="s">
        <v>108</v>
      </c>
      <c r="C1398" s="1" t="s">
        <v>27</v>
      </c>
      <c r="D1398" s="1" t="s">
        <v>27</v>
      </c>
      <c r="E1398" s="2">
        <v>45897</v>
      </c>
      <c r="F1398" s="2">
        <v>45897</v>
      </c>
      <c r="G1398" s="3">
        <v>54</v>
      </c>
      <c r="H1398" s="4" t="s">
        <v>28</v>
      </c>
      <c r="I1398">
        <v>30</v>
      </c>
      <c r="J1398">
        <v>0</v>
      </c>
      <c r="K1398">
        <v>0</v>
      </c>
      <c r="L1398" s="3">
        <v>0</v>
      </c>
      <c r="M1398" s="3">
        <v>0</v>
      </c>
      <c r="N1398">
        <v>0</v>
      </c>
      <c r="O1398">
        <v>0</v>
      </c>
      <c r="P1398">
        <v>0</v>
      </c>
      <c r="Q1398">
        <v>30</v>
      </c>
      <c r="R1398" s="3">
        <v>0</v>
      </c>
      <c r="S1398" s="3">
        <v>0</v>
      </c>
      <c r="T1398">
        <v>0</v>
      </c>
      <c r="U1398">
        <v>0</v>
      </c>
      <c r="V1398" s="3">
        <v>0</v>
      </c>
      <c r="W1398" s="3">
        <v>0</v>
      </c>
      <c r="X1398">
        <v>0</v>
      </c>
      <c r="Y1398" t="s">
        <v>1186</v>
      </c>
    </row>
    <row r="1399" spans="1:25" hidden="1" x14ac:dyDescent="0.25">
      <c r="A1399" s="1" t="s">
        <v>33</v>
      </c>
      <c r="B1399" s="1" t="s">
        <v>106</v>
      </c>
      <c r="C1399" s="1" t="s">
        <v>57</v>
      </c>
      <c r="D1399" s="1" t="s">
        <v>27</v>
      </c>
      <c r="E1399" s="2">
        <v>45897</v>
      </c>
      <c r="F1399" s="2">
        <v>45897</v>
      </c>
      <c r="G1399" s="3">
        <v>26</v>
      </c>
      <c r="H1399" s="4" t="s">
        <v>28</v>
      </c>
      <c r="I1399">
        <v>37</v>
      </c>
      <c r="J1399">
        <v>0</v>
      </c>
      <c r="K1399">
        <v>0</v>
      </c>
      <c r="L1399" s="3">
        <v>0</v>
      </c>
      <c r="M1399" s="3">
        <v>0</v>
      </c>
      <c r="N1399">
        <v>0</v>
      </c>
      <c r="O1399">
        <v>0</v>
      </c>
      <c r="P1399">
        <v>0</v>
      </c>
      <c r="Q1399">
        <v>18</v>
      </c>
      <c r="R1399" s="3">
        <v>0</v>
      </c>
      <c r="S1399" s="3">
        <v>0</v>
      </c>
      <c r="T1399">
        <v>0</v>
      </c>
      <c r="U1399">
        <v>0</v>
      </c>
      <c r="V1399" s="3">
        <v>0</v>
      </c>
      <c r="W1399" s="3">
        <v>0</v>
      </c>
      <c r="X1399">
        <v>0</v>
      </c>
      <c r="Y1399" t="s">
        <v>1172</v>
      </c>
    </row>
    <row r="1400" spans="1:25" hidden="1" x14ac:dyDescent="0.25">
      <c r="A1400" s="1" t="s">
        <v>40</v>
      </c>
      <c r="B1400" s="1" t="s">
        <v>110</v>
      </c>
      <c r="C1400" s="1" t="s">
        <v>40</v>
      </c>
      <c r="D1400" s="1" t="s">
        <v>27</v>
      </c>
      <c r="E1400" s="2">
        <v>45897</v>
      </c>
      <c r="F1400" s="2">
        <v>45897</v>
      </c>
      <c r="G1400" s="3">
        <v>53</v>
      </c>
      <c r="H1400" s="4" t="s">
        <v>28</v>
      </c>
      <c r="I1400">
        <v>27</v>
      </c>
      <c r="J1400">
        <v>0</v>
      </c>
      <c r="K1400">
        <v>0</v>
      </c>
      <c r="L1400" s="3">
        <v>0</v>
      </c>
      <c r="M1400" s="3">
        <v>0</v>
      </c>
      <c r="N1400">
        <v>0</v>
      </c>
      <c r="O1400">
        <v>0</v>
      </c>
      <c r="P1400">
        <v>0</v>
      </c>
      <c r="Q1400">
        <v>0</v>
      </c>
      <c r="R1400" s="3">
        <v>0</v>
      </c>
      <c r="S1400" s="3">
        <v>0</v>
      </c>
      <c r="T1400">
        <v>0</v>
      </c>
      <c r="U1400">
        <v>0</v>
      </c>
      <c r="V1400" s="3">
        <v>0</v>
      </c>
      <c r="W1400" s="3">
        <v>0</v>
      </c>
      <c r="X1400">
        <v>0</v>
      </c>
      <c r="Y1400" t="s">
        <v>1187</v>
      </c>
    </row>
    <row r="1401" spans="1:25" hidden="1" x14ac:dyDescent="0.25">
      <c r="A1401" s="1" t="s">
        <v>41</v>
      </c>
      <c r="B1401" s="1" t="s">
        <v>112</v>
      </c>
      <c r="C1401" s="1" t="s">
        <v>42</v>
      </c>
      <c r="D1401" s="1" t="s">
        <v>27</v>
      </c>
      <c r="E1401" s="2">
        <v>45897</v>
      </c>
      <c r="F1401" s="2">
        <v>45897</v>
      </c>
      <c r="G1401" s="3">
        <v>35</v>
      </c>
      <c r="H1401" s="4" t="s">
        <v>28</v>
      </c>
      <c r="I1401">
        <v>51</v>
      </c>
      <c r="J1401">
        <v>0</v>
      </c>
      <c r="K1401">
        <v>0</v>
      </c>
      <c r="L1401" s="3">
        <v>1</v>
      </c>
      <c r="M1401" s="3">
        <v>0</v>
      </c>
      <c r="N1401">
        <v>0</v>
      </c>
      <c r="O1401">
        <v>0</v>
      </c>
      <c r="P1401">
        <v>0</v>
      </c>
      <c r="Q1401">
        <v>4</v>
      </c>
      <c r="R1401" s="3">
        <v>0</v>
      </c>
      <c r="S1401" s="3">
        <v>0</v>
      </c>
      <c r="T1401">
        <v>0</v>
      </c>
      <c r="U1401">
        <v>0</v>
      </c>
      <c r="V1401" s="3">
        <v>0</v>
      </c>
      <c r="W1401" s="3">
        <v>0</v>
      </c>
      <c r="X1401">
        <v>0</v>
      </c>
      <c r="Y1401" t="s">
        <v>1188</v>
      </c>
    </row>
    <row r="1402" spans="1:25" hidden="1" x14ac:dyDescent="0.25">
      <c r="A1402" s="1" t="s">
        <v>43</v>
      </c>
      <c r="B1402" s="1" t="s">
        <v>114</v>
      </c>
      <c r="C1402" s="1" t="s">
        <v>44</v>
      </c>
      <c r="D1402" s="1" t="s">
        <v>27</v>
      </c>
      <c r="E1402" s="2">
        <v>45897</v>
      </c>
      <c r="F1402" s="2">
        <v>45897</v>
      </c>
      <c r="G1402" s="3">
        <v>24</v>
      </c>
      <c r="H1402" s="4" t="s">
        <v>28</v>
      </c>
      <c r="I1402">
        <v>52</v>
      </c>
      <c r="J1402">
        <v>0</v>
      </c>
      <c r="K1402">
        <v>0</v>
      </c>
      <c r="L1402" s="3">
        <v>1</v>
      </c>
      <c r="M1402" s="3">
        <v>0</v>
      </c>
      <c r="N1402">
        <v>0</v>
      </c>
      <c r="O1402">
        <v>0</v>
      </c>
      <c r="P1402">
        <v>0</v>
      </c>
      <c r="Q1402">
        <v>0</v>
      </c>
      <c r="R1402" s="3">
        <v>0</v>
      </c>
      <c r="S1402" s="3">
        <v>0</v>
      </c>
      <c r="T1402">
        <v>0</v>
      </c>
      <c r="U1402">
        <v>0</v>
      </c>
      <c r="V1402" s="3">
        <v>0</v>
      </c>
      <c r="W1402" s="3">
        <v>0</v>
      </c>
      <c r="X1402">
        <v>0</v>
      </c>
      <c r="Y1402" t="s">
        <v>1189</v>
      </c>
    </row>
    <row r="1403" spans="1:25" hidden="1" x14ac:dyDescent="0.25">
      <c r="A1403" s="1" t="s">
        <v>45</v>
      </c>
      <c r="B1403" s="1" t="s">
        <v>116</v>
      </c>
      <c r="C1403" s="1" t="s">
        <v>46</v>
      </c>
      <c r="D1403" s="1" t="s">
        <v>27</v>
      </c>
      <c r="E1403" s="2">
        <v>45897</v>
      </c>
      <c r="F1403" s="2">
        <v>45897</v>
      </c>
      <c r="G1403" s="3">
        <v>287</v>
      </c>
      <c r="H1403" s="4" t="s">
        <v>28</v>
      </c>
      <c r="I1403">
        <v>21</v>
      </c>
      <c r="J1403">
        <v>7</v>
      </c>
      <c r="K1403">
        <v>0</v>
      </c>
      <c r="L1403" s="3">
        <v>0</v>
      </c>
      <c r="M1403" s="3">
        <v>0</v>
      </c>
      <c r="N1403">
        <v>0</v>
      </c>
      <c r="O1403">
        <v>0</v>
      </c>
      <c r="P1403">
        <v>0</v>
      </c>
      <c r="Q1403">
        <v>2</v>
      </c>
      <c r="R1403" s="3">
        <v>0</v>
      </c>
      <c r="S1403" s="3">
        <v>0</v>
      </c>
      <c r="T1403">
        <v>0</v>
      </c>
      <c r="U1403">
        <v>0</v>
      </c>
      <c r="V1403" s="3">
        <v>0</v>
      </c>
      <c r="W1403" s="3">
        <v>0</v>
      </c>
      <c r="X1403">
        <v>4</v>
      </c>
      <c r="Y1403" t="s">
        <v>1190</v>
      </c>
    </row>
    <row r="1404" spans="1:25" hidden="1" x14ac:dyDescent="0.25">
      <c r="A1404" s="1" t="s">
        <v>49</v>
      </c>
      <c r="B1404" s="1" t="s">
        <v>118</v>
      </c>
      <c r="C1404" s="1" t="s">
        <v>50</v>
      </c>
      <c r="D1404" s="1" t="s">
        <v>27</v>
      </c>
      <c r="E1404" s="2">
        <v>45897</v>
      </c>
      <c r="F1404" s="2">
        <v>45897</v>
      </c>
      <c r="G1404" s="3">
        <v>31</v>
      </c>
      <c r="H1404" s="4" t="s">
        <v>28</v>
      </c>
      <c r="I1404">
        <v>29</v>
      </c>
      <c r="J1404">
        <v>0</v>
      </c>
      <c r="K1404">
        <v>0</v>
      </c>
      <c r="L1404" s="3">
        <v>1</v>
      </c>
      <c r="M1404" s="3">
        <v>1</v>
      </c>
      <c r="N1404">
        <v>0</v>
      </c>
      <c r="O1404">
        <v>1</v>
      </c>
      <c r="P1404">
        <v>0</v>
      </c>
      <c r="Q1404">
        <v>29</v>
      </c>
      <c r="R1404" s="3">
        <v>0</v>
      </c>
      <c r="S1404" s="3">
        <v>0</v>
      </c>
      <c r="T1404">
        <v>0</v>
      </c>
      <c r="U1404">
        <v>0</v>
      </c>
      <c r="V1404" s="3">
        <v>0</v>
      </c>
      <c r="W1404" s="3">
        <v>0</v>
      </c>
      <c r="X1404">
        <v>0</v>
      </c>
      <c r="Y1404" t="s">
        <v>1165</v>
      </c>
    </row>
    <row r="1405" spans="1:25" hidden="1" x14ac:dyDescent="0.25">
      <c r="A1405" s="1" t="s">
        <v>47</v>
      </c>
      <c r="B1405" s="1" t="s">
        <v>137</v>
      </c>
      <c r="C1405" s="1" t="s">
        <v>27</v>
      </c>
      <c r="D1405" s="1" t="s">
        <v>27</v>
      </c>
      <c r="E1405" s="2">
        <v>45897</v>
      </c>
      <c r="F1405" s="2">
        <v>45897</v>
      </c>
      <c r="G1405" s="3">
        <v>53</v>
      </c>
      <c r="H1405" s="4" t="s">
        <v>28</v>
      </c>
      <c r="I1405">
        <v>42</v>
      </c>
      <c r="J1405">
        <v>0</v>
      </c>
      <c r="K1405">
        <v>8</v>
      </c>
      <c r="L1405" s="3">
        <v>1</v>
      </c>
      <c r="M1405" s="3">
        <v>0</v>
      </c>
      <c r="N1405">
        <v>0</v>
      </c>
      <c r="O1405">
        <v>0</v>
      </c>
      <c r="P1405">
        <v>0</v>
      </c>
      <c r="Q1405">
        <v>25</v>
      </c>
      <c r="R1405" s="3">
        <v>0</v>
      </c>
      <c r="S1405" s="3">
        <v>0</v>
      </c>
      <c r="T1405">
        <v>0</v>
      </c>
      <c r="U1405">
        <v>0</v>
      </c>
      <c r="V1405" s="3">
        <v>0</v>
      </c>
      <c r="W1405" s="3">
        <v>0</v>
      </c>
      <c r="X1405">
        <v>0</v>
      </c>
      <c r="Y1405" t="s">
        <v>1191</v>
      </c>
    </row>
    <row r="1406" spans="1:25" hidden="1" x14ac:dyDescent="0.25">
      <c r="A1406" s="1" t="s">
        <v>58</v>
      </c>
      <c r="B1406" s="1" t="s">
        <v>137</v>
      </c>
      <c r="C1406" s="1" t="s">
        <v>27</v>
      </c>
      <c r="D1406" s="1" t="s">
        <v>27</v>
      </c>
      <c r="E1406" s="2">
        <v>45897</v>
      </c>
      <c r="F1406" s="2">
        <v>45897</v>
      </c>
      <c r="G1406" s="3">
        <v>53</v>
      </c>
      <c r="H1406" s="4" t="s">
        <v>28</v>
      </c>
      <c r="I1406">
        <v>42</v>
      </c>
      <c r="J1406">
        <v>0</v>
      </c>
      <c r="K1406">
        <v>8</v>
      </c>
      <c r="L1406" s="3">
        <v>1</v>
      </c>
      <c r="M1406" s="3">
        <v>0</v>
      </c>
      <c r="N1406">
        <v>0</v>
      </c>
      <c r="O1406">
        <v>0</v>
      </c>
      <c r="P1406">
        <v>0</v>
      </c>
      <c r="Q1406">
        <v>25</v>
      </c>
      <c r="R1406" s="3">
        <v>0</v>
      </c>
      <c r="S1406" s="3">
        <v>0</v>
      </c>
      <c r="T1406">
        <v>0</v>
      </c>
      <c r="U1406">
        <v>0</v>
      </c>
      <c r="V1406" s="3">
        <v>0</v>
      </c>
      <c r="W1406" s="3">
        <v>0</v>
      </c>
      <c r="X1406">
        <v>0</v>
      </c>
      <c r="Y1406" t="s">
        <v>1191</v>
      </c>
    </row>
    <row r="1407" spans="1:25" hidden="1" x14ac:dyDescent="0.25">
      <c r="A1407" s="1" t="s">
        <v>34</v>
      </c>
      <c r="B1407" s="1" t="s">
        <v>137</v>
      </c>
      <c r="C1407" s="1" t="s">
        <v>27</v>
      </c>
      <c r="D1407" s="1" t="s">
        <v>27</v>
      </c>
      <c r="E1407" s="2">
        <v>45897</v>
      </c>
      <c r="F1407" s="2">
        <v>45897</v>
      </c>
      <c r="G1407" s="3">
        <v>53</v>
      </c>
      <c r="H1407" s="4" t="s">
        <v>1153</v>
      </c>
      <c r="I1407">
        <v>0</v>
      </c>
      <c r="J1407">
        <v>0</v>
      </c>
      <c r="K1407">
        <v>0</v>
      </c>
      <c r="L1407" s="3">
        <v>0</v>
      </c>
      <c r="M1407" s="3">
        <v>0</v>
      </c>
      <c r="N1407">
        <v>0</v>
      </c>
      <c r="O1407">
        <v>0</v>
      </c>
      <c r="P1407">
        <v>0</v>
      </c>
      <c r="Q1407">
        <v>0</v>
      </c>
      <c r="R1407" s="3">
        <v>0</v>
      </c>
      <c r="S1407" s="3">
        <v>0</v>
      </c>
      <c r="T1407">
        <v>0</v>
      </c>
      <c r="U1407">
        <v>0</v>
      </c>
      <c r="V1407" s="3">
        <v>0</v>
      </c>
      <c r="W1407" s="3">
        <v>0</v>
      </c>
      <c r="X1407">
        <v>0</v>
      </c>
      <c r="Y1407" t="s">
        <v>1191</v>
      </c>
    </row>
    <row r="1408" spans="1:25" hidden="1" x14ac:dyDescent="0.25">
      <c r="A1408" s="1" t="s">
        <v>51</v>
      </c>
      <c r="B1408" s="1" t="s">
        <v>120</v>
      </c>
      <c r="C1408" s="1" t="s">
        <v>55</v>
      </c>
      <c r="D1408" s="1" t="s">
        <v>27</v>
      </c>
      <c r="E1408" s="2">
        <v>45897</v>
      </c>
      <c r="F1408" s="2">
        <v>45897</v>
      </c>
      <c r="G1408" s="3">
        <v>58</v>
      </c>
      <c r="H1408" s="4" t="s">
        <v>28</v>
      </c>
      <c r="I1408">
        <v>39</v>
      </c>
      <c r="J1408">
        <v>0</v>
      </c>
      <c r="K1408">
        <v>0</v>
      </c>
      <c r="L1408" s="3">
        <v>0</v>
      </c>
      <c r="M1408" s="3">
        <v>0</v>
      </c>
      <c r="N1408">
        <v>1</v>
      </c>
      <c r="O1408">
        <v>0</v>
      </c>
      <c r="P1408">
        <v>0</v>
      </c>
      <c r="Q1408">
        <v>0</v>
      </c>
      <c r="R1408" s="3">
        <v>0</v>
      </c>
      <c r="S1408" s="3">
        <v>0</v>
      </c>
      <c r="T1408">
        <v>0</v>
      </c>
      <c r="U1408">
        <v>0</v>
      </c>
      <c r="V1408" s="3">
        <v>0</v>
      </c>
      <c r="W1408" s="3">
        <v>0</v>
      </c>
      <c r="X1408">
        <v>0</v>
      </c>
      <c r="Y1408" t="s">
        <v>1192</v>
      </c>
    </row>
    <row r="1409" spans="1:25" hidden="1" x14ac:dyDescent="0.25">
      <c r="A1409" s="1" t="s">
        <v>54</v>
      </c>
      <c r="B1409" s="1" t="s">
        <v>122</v>
      </c>
      <c r="C1409" s="1" t="s">
        <v>52</v>
      </c>
      <c r="D1409" s="1" t="s">
        <v>27</v>
      </c>
      <c r="E1409" s="2">
        <v>45897</v>
      </c>
      <c r="F1409" s="2">
        <v>45897</v>
      </c>
      <c r="G1409" s="3">
        <v>42</v>
      </c>
      <c r="H1409" s="4" t="s">
        <v>28</v>
      </c>
      <c r="I1409">
        <v>32</v>
      </c>
      <c r="J1409">
        <v>0</v>
      </c>
      <c r="K1409">
        <v>0</v>
      </c>
      <c r="L1409" s="3">
        <v>0</v>
      </c>
      <c r="M1409" s="3">
        <v>0</v>
      </c>
      <c r="N1409">
        <v>0</v>
      </c>
      <c r="O1409">
        <v>0</v>
      </c>
      <c r="P1409">
        <v>0</v>
      </c>
      <c r="Q1409">
        <v>2</v>
      </c>
      <c r="R1409" s="3">
        <v>0</v>
      </c>
      <c r="S1409" s="3">
        <v>0</v>
      </c>
      <c r="T1409">
        <v>0</v>
      </c>
      <c r="U1409">
        <v>0</v>
      </c>
      <c r="V1409" s="3">
        <v>0</v>
      </c>
      <c r="W1409" s="3">
        <v>0</v>
      </c>
      <c r="X1409">
        <v>0</v>
      </c>
      <c r="Y1409" t="s">
        <v>1193</v>
      </c>
    </row>
    <row r="1410" spans="1:25" hidden="1" x14ac:dyDescent="0.25">
      <c r="A1410" s="1" t="s">
        <v>48</v>
      </c>
      <c r="B1410" s="1" t="s">
        <v>149</v>
      </c>
      <c r="C1410" s="1" t="s">
        <v>35</v>
      </c>
      <c r="D1410" s="1" t="s">
        <v>27</v>
      </c>
      <c r="E1410" s="2">
        <v>45897</v>
      </c>
      <c r="F1410" s="2">
        <v>45897</v>
      </c>
      <c r="G1410" s="3">
        <v>39</v>
      </c>
      <c r="H1410" s="4" t="s">
        <v>28</v>
      </c>
      <c r="I1410">
        <v>30</v>
      </c>
      <c r="J1410">
        <v>0</v>
      </c>
      <c r="K1410">
        <v>0</v>
      </c>
      <c r="L1410" s="3">
        <v>0</v>
      </c>
      <c r="M1410" s="3">
        <v>0</v>
      </c>
      <c r="N1410">
        <v>0</v>
      </c>
      <c r="O1410">
        <v>0</v>
      </c>
      <c r="P1410">
        <v>0</v>
      </c>
      <c r="Q1410">
        <v>0</v>
      </c>
      <c r="R1410" s="3">
        <v>0</v>
      </c>
      <c r="S1410" s="3">
        <v>0</v>
      </c>
      <c r="T1410">
        <v>0</v>
      </c>
      <c r="U1410">
        <v>0</v>
      </c>
      <c r="V1410" s="3">
        <v>0</v>
      </c>
      <c r="W1410" s="3">
        <v>0</v>
      </c>
      <c r="X1410">
        <v>0</v>
      </c>
      <c r="Y1410" t="s">
        <v>1194</v>
      </c>
    </row>
    <row r="1411" spans="1:25" hidden="1" x14ac:dyDescent="0.25">
      <c r="A1411" s="1" t="s">
        <v>53</v>
      </c>
      <c r="B1411" s="1" t="s">
        <v>142</v>
      </c>
      <c r="C1411" s="1" t="s">
        <v>39</v>
      </c>
      <c r="D1411" s="1" t="s">
        <v>27</v>
      </c>
      <c r="E1411" s="2">
        <v>45897</v>
      </c>
      <c r="F1411" s="2">
        <v>45897</v>
      </c>
      <c r="G1411" s="3">
        <v>81</v>
      </c>
      <c r="H1411" s="4" t="s">
        <v>28</v>
      </c>
      <c r="I1411">
        <v>20</v>
      </c>
      <c r="J1411">
        <v>0</v>
      </c>
      <c r="K1411">
        <v>0</v>
      </c>
      <c r="L1411" s="3">
        <v>1</v>
      </c>
      <c r="M1411" s="3">
        <v>0</v>
      </c>
      <c r="N1411">
        <v>0</v>
      </c>
      <c r="O1411">
        <v>0</v>
      </c>
      <c r="P1411">
        <v>0</v>
      </c>
      <c r="Q1411">
        <v>20</v>
      </c>
      <c r="R1411" s="3">
        <v>0</v>
      </c>
      <c r="S1411" s="3">
        <v>0</v>
      </c>
      <c r="T1411">
        <v>0</v>
      </c>
      <c r="U1411">
        <v>0</v>
      </c>
      <c r="V1411" s="3">
        <v>0</v>
      </c>
      <c r="W1411" s="3">
        <v>0</v>
      </c>
      <c r="X1411">
        <v>0</v>
      </c>
      <c r="Y1411" t="s">
        <v>1195</v>
      </c>
    </row>
    <row r="1412" spans="1:25" hidden="1" x14ac:dyDescent="0.25">
      <c r="A1412" s="1" t="s">
        <v>344</v>
      </c>
      <c r="B1412" s="1" t="s">
        <v>589</v>
      </c>
      <c r="C1412" s="1" t="s">
        <v>27</v>
      </c>
      <c r="D1412" s="1" t="s">
        <v>27</v>
      </c>
      <c r="E1412" s="2">
        <v>45897</v>
      </c>
      <c r="F1412" s="2">
        <v>45897</v>
      </c>
      <c r="G1412" s="3">
        <v>82</v>
      </c>
      <c r="H1412" s="4" t="s">
        <v>1153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1195</v>
      </c>
    </row>
    <row r="1413" spans="1:25" hidden="1" x14ac:dyDescent="0.25">
      <c r="A1413" s="1" t="s">
        <v>27</v>
      </c>
      <c r="B1413" s="1" t="s">
        <v>112</v>
      </c>
      <c r="C1413" s="1" t="s">
        <v>489</v>
      </c>
      <c r="D1413" s="1" t="s">
        <v>27</v>
      </c>
      <c r="E1413" s="2">
        <v>45897</v>
      </c>
      <c r="F1413" s="2">
        <v>45897</v>
      </c>
      <c r="G1413" s="3">
        <v>83</v>
      </c>
      <c r="H1413" s="4" t="s">
        <v>1153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1195</v>
      </c>
    </row>
    <row r="1414" spans="1:25" hidden="1" x14ac:dyDescent="0.25">
      <c r="A1414" s="1" t="s">
        <v>56</v>
      </c>
      <c r="B1414" s="1" t="s">
        <v>98</v>
      </c>
      <c r="C1414" s="1" t="s">
        <v>37</v>
      </c>
      <c r="D1414" t="s">
        <v>27</v>
      </c>
      <c r="E1414" s="2">
        <v>45898</v>
      </c>
      <c r="F1414" s="2">
        <v>45898</v>
      </c>
      <c r="G1414" s="3">
        <v>27</v>
      </c>
      <c r="H1414" t="s">
        <v>28</v>
      </c>
      <c r="I1414">
        <v>74</v>
      </c>
      <c r="J1414">
        <v>0</v>
      </c>
      <c r="K1414">
        <v>0</v>
      </c>
      <c r="L1414" s="3">
        <v>1</v>
      </c>
      <c r="M1414" s="3">
        <v>0</v>
      </c>
      <c r="N1414">
        <v>0</v>
      </c>
      <c r="O1414">
        <v>0</v>
      </c>
      <c r="P1414">
        <v>0</v>
      </c>
      <c r="Q1414">
        <v>0</v>
      </c>
      <c r="R1414" s="3">
        <v>0</v>
      </c>
      <c r="S1414" s="3">
        <v>0</v>
      </c>
      <c r="T1414">
        <v>0</v>
      </c>
      <c r="U1414">
        <v>0</v>
      </c>
      <c r="V1414" s="3">
        <v>0</v>
      </c>
      <c r="W1414" s="3">
        <v>0</v>
      </c>
      <c r="X1414">
        <v>0</v>
      </c>
      <c r="Y1414" t="s">
        <v>1196</v>
      </c>
    </row>
    <row r="1415" spans="1:25" hidden="1" x14ac:dyDescent="0.25">
      <c r="A1415" s="1" t="s">
        <v>29</v>
      </c>
      <c r="B1415" s="1" t="s">
        <v>100</v>
      </c>
      <c r="C1415" s="1" t="s">
        <v>26</v>
      </c>
      <c r="D1415" t="s">
        <v>36</v>
      </c>
      <c r="E1415" s="2">
        <v>45898</v>
      </c>
      <c r="F1415" s="2">
        <v>45898</v>
      </c>
      <c r="G1415" s="3">
        <v>56</v>
      </c>
      <c r="H1415" t="s">
        <v>28</v>
      </c>
      <c r="I1415">
        <v>69</v>
      </c>
      <c r="J1415">
        <v>0</v>
      </c>
      <c r="K1415">
        <v>0</v>
      </c>
      <c r="L1415" s="3">
        <v>1</v>
      </c>
      <c r="M1415" s="3">
        <v>0</v>
      </c>
      <c r="N1415">
        <v>0</v>
      </c>
      <c r="O1415">
        <v>0</v>
      </c>
      <c r="P1415">
        <v>0</v>
      </c>
      <c r="Q1415">
        <v>0</v>
      </c>
      <c r="R1415" s="3">
        <v>0</v>
      </c>
      <c r="S1415" s="3">
        <v>0</v>
      </c>
      <c r="T1415">
        <v>0</v>
      </c>
      <c r="U1415">
        <v>0</v>
      </c>
      <c r="V1415" s="3">
        <v>0</v>
      </c>
      <c r="W1415" s="3">
        <v>0</v>
      </c>
      <c r="X1415">
        <v>0</v>
      </c>
      <c r="Y1415" t="s">
        <v>1197</v>
      </c>
    </row>
    <row r="1416" spans="1:25" hidden="1" x14ac:dyDescent="0.25">
      <c r="A1416" s="1" t="s">
        <v>344</v>
      </c>
      <c r="B1416" s="1" t="s">
        <v>102</v>
      </c>
      <c r="C1416" s="1" t="s">
        <v>35</v>
      </c>
      <c r="D1416" s="1" t="s">
        <v>27</v>
      </c>
      <c r="E1416" s="2">
        <v>45898</v>
      </c>
      <c r="F1416" s="2">
        <v>45898</v>
      </c>
      <c r="G1416" s="3">
        <v>29</v>
      </c>
      <c r="H1416" s="4" t="s">
        <v>28</v>
      </c>
      <c r="I1416">
        <v>57</v>
      </c>
      <c r="J1416">
        <v>0</v>
      </c>
      <c r="K1416">
        <v>0</v>
      </c>
      <c r="L1416" s="3">
        <v>0</v>
      </c>
      <c r="M1416" s="3">
        <v>0</v>
      </c>
      <c r="N1416">
        <v>0</v>
      </c>
      <c r="O1416">
        <v>0</v>
      </c>
      <c r="P1416">
        <v>0</v>
      </c>
      <c r="Q1416">
        <v>0</v>
      </c>
      <c r="R1416" s="3">
        <v>0</v>
      </c>
      <c r="S1416" s="3">
        <v>0</v>
      </c>
      <c r="T1416">
        <v>0</v>
      </c>
      <c r="U1416">
        <v>0</v>
      </c>
      <c r="V1416" s="3">
        <v>0</v>
      </c>
      <c r="W1416" s="3">
        <v>0</v>
      </c>
      <c r="X1416">
        <v>0</v>
      </c>
      <c r="Y1416" t="s">
        <v>1170</v>
      </c>
    </row>
    <row r="1417" spans="1:25" hidden="1" x14ac:dyDescent="0.25">
      <c r="A1417" s="1" t="s">
        <v>31</v>
      </c>
      <c r="B1417" s="1" t="s">
        <v>104</v>
      </c>
      <c r="C1417" s="1" t="s">
        <v>32</v>
      </c>
      <c r="D1417" t="s">
        <v>27</v>
      </c>
      <c r="E1417" s="2">
        <v>45898</v>
      </c>
      <c r="F1417" s="2">
        <v>45898</v>
      </c>
      <c r="G1417" s="3">
        <v>39</v>
      </c>
      <c r="H1417" t="s">
        <v>28</v>
      </c>
      <c r="I1417">
        <v>93</v>
      </c>
      <c r="J1417">
        <v>0</v>
      </c>
      <c r="K1417">
        <v>0</v>
      </c>
      <c r="L1417" s="3">
        <v>0</v>
      </c>
      <c r="M1417" s="3">
        <v>0</v>
      </c>
      <c r="N1417">
        <v>0</v>
      </c>
      <c r="O1417">
        <v>0</v>
      </c>
      <c r="P1417">
        <v>0</v>
      </c>
      <c r="Q1417">
        <v>54</v>
      </c>
      <c r="R1417" s="3">
        <v>0</v>
      </c>
      <c r="S1417" s="3">
        <v>0</v>
      </c>
      <c r="T1417">
        <v>0</v>
      </c>
      <c r="U1417">
        <v>0</v>
      </c>
      <c r="V1417" s="3">
        <v>0</v>
      </c>
      <c r="W1417" s="3">
        <v>0</v>
      </c>
      <c r="X1417">
        <v>3</v>
      </c>
      <c r="Y1417" t="s">
        <v>1198</v>
      </c>
    </row>
    <row r="1418" spans="1:25" hidden="1" x14ac:dyDescent="0.25">
      <c r="A1418" s="1" t="s">
        <v>33</v>
      </c>
      <c r="B1418" s="1" t="s">
        <v>106</v>
      </c>
      <c r="C1418" s="1" t="s">
        <v>27</v>
      </c>
      <c r="D1418" t="s">
        <v>27</v>
      </c>
      <c r="E1418" s="2">
        <v>45898</v>
      </c>
      <c r="F1418" s="2">
        <v>45898</v>
      </c>
      <c r="G1418" s="3">
        <v>34</v>
      </c>
      <c r="H1418" t="s">
        <v>28</v>
      </c>
      <c r="I1418">
        <v>44</v>
      </c>
      <c r="J1418">
        <v>0</v>
      </c>
      <c r="K1418">
        <v>0</v>
      </c>
      <c r="L1418" s="3">
        <v>0</v>
      </c>
      <c r="M1418" s="3">
        <v>0</v>
      </c>
      <c r="N1418">
        <v>0</v>
      </c>
      <c r="O1418">
        <v>0</v>
      </c>
      <c r="P1418">
        <v>0</v>
      </c>
      <c r="Q1418">
        <v>18</v>
      </c>
      <c r="R1418" s="3">
        <v>0</v>
      </c>
      <c r="S1418" s="3">
        <v>0</v>
      </c>
      <c r="T1418">
        <v>0</v>
      </c>
      <c r="U1418">
        <v>0</v>
      </c>
      <c r="V1418" s="3">
        <v>0</v>
      </c>
      <c r="W1418" s="3">
        <v>0</v>
      </c>
      <c r="X1418">
        <v>0</v>
      </c>
      <c r="Y1418" t="s">
        <v>1199</v>
      </c>
    </row>
    <row r="1419" spans="1:25" hidden="1" x14ac:dyDescent="0.25">
      <c r="A1419" s="1" t="s">
        <v>25</v>
      </c>
      <c r="B1419" s="1" t="s">
        <v>106</v>
      </c>
      <c r="C1419" s="1" t="s">
        <v>27</v>
      </c>
      <c r="D1419" t="s">
        <v>27</v>
      </c>
      <c r="E1419" s="2">
        <v>45898</v>
      </c>
      <c r="F1419" s="2">
        <v>45898</v>
      </c>
      <c r="G1419" s="3">
        <v>34</v>
      </c>
      <c r="H1419" t="s">
        <v>28</v>
      </c>
      <c r="I1419">
        <v>44</v>
      </c>
      <c r="J1419">
        <v>0</v>
      </c>
      <c r="K1419">
        <v>0</v>
      </c>
      <c r="L1419" s="3">
        <v>0</v>
      </c>
      <c r="M1419" s="3">
        <v>0</v>
      </c>
      <c r="N1419">
        <v>0</v>
      </c>
      <c r="O1419">
        <v>0</v>
      </c>
      <c r="P1419">
        <v>0</v>
      </c>
      <c r="Q1419">
        <v>0</v>
      </c>
      <c r="R1419" s="3">
        <v>0</v>
      </c>
      <c r="S1419" s="3">
        <v>0</v>
      </c>
      <c r="T1419">
        <v>0</v>
      </c>
      <c r="U1419">
        <v>0</v>
      </c>
      <c r="V1419" s="3">
        <v>0</v>
      </c>
      <c r="W1419" s="3">
        <v>0</v>
      </c>
      <c r="X1419">
        <v>0</v>
      </c>
      <c r="Y1419" t="s">
        <v>1199</v>
      </c>
    </row>
    <row r="1420" spans="1:25" hidden="1" x14ac:dyDescent="0.25">
      <c r="A1420" s="1" t="s">
        <v>38</v>
      </c>
      <c r="B1420" s="1" t="s">
        <v>108</v>
      </c>
      <c r="C1420" s="1" t="s">
        <v>27</v>
      </c>
      <c r="D1420" t="s">
        <v>27</v>
      </c>
      <c r="E1420" s="2">
        <v>45898</v>
      </c>
      <c r="F1420" s="2">
        <v>45898</v>
      </c>
      <c r="G1420" s="3">
        <v>47</v>
      </c>
      <c r="H1420" t="s">
        <v>28</v>
      </c>
      <c r="I1420">
        <v>29</v>
      </c>
      <c r="J1420">
        <v>0</v>
      </c>
      <c r="K1420">
        <v>0</v>
      </c>
      <c r="L1420" s="3">
        <v>0</v>
      </c>
      <c r="M1420" s="3">
        <v>0</v>
      </c>
      <c r="N1420">
        <v>0</v>
      </c>
      <c r="O1420">
        <v>0</v>
      </c>
      <c r="P1420">
        <v>0</v>
      </c>
      <c r="Q1420">
        <v>29</v>
      </c>
      <c r="R1420" s="3">
        <v>0</v>
      </c>
      <c r="S1420" s="3">
        <v>0</v>
      </c>
      <c r="T1420">
        <v>0</v>
      </c>
      <c r="U1420">
        <v>0</v>
      </c>
      <c r="V1420" s="3">
        <v>0</v>
      </c>
      <c r="W1420" s="3">
        <v>0</v>
      </c>
      <c r="X1420">
        <v>0</v>
      </c>
      <c r="Y1420" t="s">
        <v>1200</v>
      </c>
    </row>
    <row r="1421" spans="1:25" hidden="1" x14ac:dyDescent="0.25">
      <c r="A1421" s="1" t="s">
        <v>40</v>
      </c>
      <c r="B1421" s="1" t="s">
        <v>110</v>
      </c>
      <c r="C1421" s="1" t="s">
        <v>27</v>
      </c>
      <c r="D1421" t="s">
        <v>27</v>
      </c>
      <c r="E1421" s="2">
        <v>45898</v>
      </c>
      <c r="F1421" s="2">
        <v>45898</v>
      </c>
      <c r="G1421" s="3">
        <v>172</v>
      </c>
      <c r="H1421" t="s">
        <v>28</v>
      </c>
      <c r="I1421">
        <v>47</v>
      </c>
      <c r="J1421">
        <v>0</v>
      </c>
      <c r="K1421">
        <v>0</v>
      </c>
      <c r="L1421" s="3">
        <v>1</v>
      </c>
      <c r="M1421" s="3">
        <v>0</v>
      </c>
      <c r="N1421">
        <v>1</v>
      </c>
      <c r="O1421">
        <v>0</v>
      </c>
      <c r="P1421">
        <v>0</v>
      </c>
      <c r="Q1421">
        <v>0</v>
      </c>
      <c r="R1421" s="3">
        <v>0</v>
      </c>
      <c r="S1421" s="3">
        <v>0</v>
      </c>
      <c r="T1421">
        <v>0</v>
      </c>
      <c r="U1421">
        <v>0</v>
      </c>
      <c r="V1421" s="3">
        <v>0</v>
      </c>
      <c r="W1421" s="3">
        <v>0</v>
      </c>
      <c r="X1421">
        <v>0</v>
      </c>
      <c r="Y1421" t="s">
        <v>1201</v>
      </c>
    </row>
    <row r="1422" spans="1:25" hidden="1" x14ac:dyDescent="0.25">
      <c r="A1422" s="1" t="s">
        <v>36</v>
      </c>
      <c r="B1422" s="1" t="s">
        <v>110</v>
      </c>
      <c r="C1422" s="1" t="s">
        <v>27</v>
      </c>
      <c r="D1422" t="s">
        <v>27</v>
      </c>
      <c r="E1422" s="2">
        <v>45898</v>
      </c>
      <c r="F1422" s="2">
        <v>45898</v>
      </c>
      <c r="G1422" s="3">
        <v>172</v>
      </c>
      <c r="H1422" t="s">
        <v>28</v>
      </c>
      <c r="I1422">
        <v>47</v>
      </c>
      <c r="J1422">
        <v>0</v>
      </c>
      <c r="K1422">
        <v>0</v>
      </c>
      <c r="L1422" s="3">
        <v>1</v>
      </c>
      <c r="M1422" s="3">
        <v>0</v>
      </c>
      <c r="N1422">
        <v>1</v>
      </c>
      <c r="O1422">
        <v>0</v>
      </c>
      <c r="P1422">
        <v>0</v>
      </c>
      <c r="Q1422">
        <v>0</v>
      </c>
      <c r="R1422" s="3">
        <v>0</v>
      </c>
      <c r="S1422" s="3">
        <v>0</v>
      </c>
      <c r="T1422">
        <v>0</v>
      </c>
      <c r="U1422">
        <v>0</v>
      </c>
      <c r="V1422" s="3">
        <v>0</v>
      </c>
      <c r="W1422" s="3">
        <v>0</v>
      </c>
      <c r="X1422">
        <v>0</v>
      </c>
      <c r="Y1422" t="s">
        <v>1201</v>
      </c>
    </row>
    <row r="1423" spans="1:25" hidden="1" x14ac:dyDescent="0.25">
      <c r="A1423" s="1" t="s">
        <v>41</v>
      </c>
      <c r="B1423" s="1" t="s">
        <v>112</v>
      </c>
      <c r="C1423" s="1" t="s">
        <v>42</v>
      </c>
      <c r="D1423" s="1" t="s">
        <v>27</v>
      </c>
      <c r="E1423" s="2">
        <v>45898</v>
      </c>
      <c r="F1423" s="2">
        <v>45898</v>
      </c>
      <c r="G1423" s="3">
        <v>35</v>
      </c>
      <c r="H1423" s="4" t="s">
        <v>28</v>
      </c>
      <c r="I1423">
        <v>55</v>
      </c>
      <c r="J1423">
        <v>0</v>
      </c>
      <c r="K1423">
        <v>0</v>
      </c>
      <c r="L1423" s="3">
        <v>1</v>
      </c>
      <c r="M1423" s="3">
        <v>0</v>
      </c>
      <c r="N1423">
        <v>0</v>
      </c>
      <c r="O1423">
        <v>0</v>
      </c>
      <c r="P1423">
        <v>0</v>
      </c>
      <c r="Q1423">
        <v>4</v>
      </c>
      <c r="R1423" s="3">
        <v>0</v>
      </c>
      <c r="S1423" s="3">
        <v>0</v>
      </c>
      <c r="T1423">
        <v>0</v>
      </c>
      <c r="U1423">
        <v>0</v>
      </c>
      <c r="V1423" s="3">
        <v>0</v>
      </c>
      <c r="W1423" s="3">
        <v>0</v>
      </c>
      <c r="X1423">
        <v>0</v>
      </c>
      <c r="Y1423" t="s">
        <v>1188</v>
      </c>
    </row>
    <row r="1424" spans="1:25" hidden="1" x14ac:dyDescent="0.25">
      <c r="A1424" s="1" t="s">
        <v>43</v>
      </c>
      <c r="B1424" s="1" t="s">
        <v>114</v>
      </c>
      <c r="C1424" s="1" t="s">
        <v>44</v>
      </c>
      <c r="D1424" t="s">
        <v>27</v>
      </c>
      <c r="E1424" s="2">
        <v>45898</v>
      </c>
      <c r="F1424" s="2">
        <v>45898</v>
      </c>
      <c r="G1424" s="3">
        <v>27</v>
      </c>
      <c r="H1424" t="s">
        <v>28</v>
      </c>
      <c r="I1424">
        <v>65</v>
      </c>
      <c r="J1424">
        <v>0</v>
      </c>
      <c r="K1424">
        <v>0</v>
      </c>
      <c r="L1424" s="3">
        <v>1</v>
      </c>
      <c r="M1424" s="3">
        <v>0</v>
      </c>
      <c r="N1424">
        <v>0</v>
      </c>
      <c r="O1424">
        <v>0</v>
      </c>
      <c r="P1424">
        <v>0</v>
      </c>
      <c r="Q1424">
        <v>0</v>
      </c>
      <c r="R1424" s="3">
        <v>0</v>
      </c>
      <c r="S1424" s="3">
        <v>0</v>
      </c>
      <c r="T1424">
        <v>0</v>
      </c>
      <c r="U1424">
        <v>0</v>
      </c>
      <c r="V1424" s="3">
        <v>0</v>
      </c>
      <c r="W1424" s="3">
        <v>0</v>
      </c>
      <c r="X1424">
        <v>0</v>
      </c>
      <c r="Y1424" t="s">
        <v>1202</v>
      </c>
    </row>
    <row r="1425" spans="1:25" hidden="1" x14ac:dyDescent="0.25">
      <c r="A1425" s="1" t="s">
        <v>45</v>
      </c>
      <c r="B1425" s="1" t="s">
        <v>116</v>
      </c>
      <c r="C1425" s="1" t="s">
        <v>46</v>
      </c>
      <c r="D1425" t="s">
        <v>27</v>
      </c>
      <c r="E1425" s="2">
        <v>45898</v>
      </c>
      <c r="F1425" s="2">
        <v>45898</v>
      </c>
      <c r="G1425" s="3">
        <v>73</v>
      </c>
      <c r="H1425" t="s">
        <v>28</v>
      </c>
      <c r="I1425">
        <v>82</v>
      </c>
      <c r="J1425">
        <v>0</v>
      </c>
      <c r="K1425">
        <v>0</v>
      </c>
      <c r="L1425" s="3">
        <v>1</v>
      </c>
      <c r="M1425" s="3">
        <v>0</v>
      </c>
      <c r="N1425">
        <v>0</v>
      </c>
      <c r="O1425">
        <v>0</v>
      </c>
      <c r="P1425">
        <v>0</v>
      </c>
      <c r="Q1425">
        <v>0</v>
      </c>
      <c r="R1425" s="3">
        <v>0</v>
      </c>
      <c r="S1425" s="3">
        <v>0</v>
      </c>
      <c r="T1425">
        <v>0</v>
      </c>
      <c r="U1425">
        <v>0</v>
      </c>
      <c r="V1425" s="3">
        <v>0</v>
      </c>
      <c r="W1425" s="3">
        <v>0</v>
      </c>
      <c r="X1425">
        <v>0</v>
      </c>
      <c r="Y1425" t="s">
        <v>1203</v>
      </c>
    </row>
    <row r="1426" spans="1:25" hidden="1" x14ac:dyDescent="0.25">
      <c r="A1426" s="1" t="s">
        <v>47</v>
      </c>
      <c r="B1426" s="1" t="s">
        <v>137</v>
      </c>
      <c r="C1426" s="1" t="s">
        <v>27</v>
      </c>
      <c r="D1426" t="s">
        <v>27</v>
      </c>
      <c r="E1426" s="2">
        <v>45898</v>
      </c>
      <c r="F1426" s="2">
        <v>45898</v>
      </c>
      <c r="G1426" s="3">
        <v>31</v>
      </c>
      <c r="H1426" t="s">
        <v>28</v>
      </c>
      <c r="I1426">
        <v>66</v>
      </c>
      <c r="J1426">
        <v>0</v>
      </c>
      <c r="K1426">
        <v>0</v>
      </c>
      <c r="L1426" s="3">
        <v>0</v>
      </c>
      <c r="M1426" s="3">
        <v>0</v>
      </c>
      <c r="N1426">
        <v>0</v>
      </c>
      <c r="O1426">
        <v>0</v>
      </c>
      <c r="P1426">
        <v>0</v>
      </c>
      <c r="Q1426">
        <v>0</v>
      </c>
      <c r="R1426" s="3">
        <v>0</v>
      </c>
      <c r="S1426" s="3">
        <v>0</v>
      </c>
      <c r="T1426">
        <v>0</v>
      </c>
      <c r="U1426">
        <v>0</v>
      </c>
      <c r="V1426" s="3">
        <v>0</v>
      </c>
      <c r="W1426" s="3">
        <v>0</v>
      </c>
      <c r="X1426">
        <v>0</v>
      </c>
      <c r="Y1426" t="s">
        <v>1204</v>
      </c>
    </row>
    <row r="1427" spans="1:25" hidden="1" x14ac:dyDescent="0.25">
      <c r="A1427" s="1" t="s">
        <v>34</v>
      </c>
      <c r="B1427" s="1" t="s">
        <v>137</v>
      </c>
      <c r="C1427" s="1" t="s">
        <v>27</v>
      </c>
      <c r="D1427" t="s">
        <v>27</v>
      </c>
      <c r="E1427" s="2">
        <v>45898</v>
      </c>
      <c r="F1427" s="2">
        <v>45898</v>
      </c>
      <c r="G1427" s="3">
        <v>31</v>
      </c>
      <c r="H1427" t="s">
        <v>28</v>
      </c>
      <c r="I1427">
        <v>66</v>
      </c>
      <c r="J1427">
        <v>0</v>
      </c>
      <c r="K1427">
        <v>0</v>
      </c>
      <c r="L1427" s="3">
        <v>0</v>
      </c>
      <c r="M1427" s="3">
        <v>0</v>
      </c>
      <c r="N1427">
        <v>0</v>
      </c>
      <c r="O1427">
        <v>0</v>
      </c>
      <c r="P1427">
        <v>0</v>
      </c>
      <c r="Q1427">
        <v>0</v>
      </c>
      <c r="R1427" s="3">
        <v>0</v>
      </c>
      <c r="S1427" s="3">
        <v>0</v>
      </c>
      <c r="T1427">
        <v>0</v>
      </c>
      <c r="U1427">
        <v>0</v>
      </c>
      <c r="V1427" s="3">
        <v>0</v>
      </c>
      <c r="W1427" s="3">
        <v>0</v>
      </c>
      <c r="X1427">
        <v>0</v>
      </c>
      <c r="Y1427" t="s">
        <v>1204</v>
      </c>
    </row>
    <row r="1428" spans="1:25" hidden="1" x14ac:dyDescent="0.25">
      <c r="A1428" s="1" t="s">
        <v>54</v>
      </c>
      <c r="B1428" s="1" t="s">
        <v>122</v>
      </c>
      <c r="C1428" s="1" t="s">
        <v>52</v>
      </c>
      <c r="D1428" t="s">
        <v>27</v>
      </c>
      <c r="E1428" s="2">
        <v>45898</v>
      </c>
      <c r="F1428" s="2">
        <v>45898</v>
      </c>
      <c r="G1428" s="3">
        <v>83</v>
      </c>
      <c r="H1428" t="s">
        <v>28</v>
      </c>
      <c r="I1428">
        <v>52</v>
      </c>
      <c r="J1428">
        <v>0</v>
      </c>
      <c r="K1428">
        <v>0</v>
      </c>
      <c r="L1428" s="3">
        <v>0</v>
      </c>
      <c r="M1428" s="3">
        <v>1</v>
      </c>
      <c r="N1428">
        <v>0</v>
      </c>
      <c r="O1428">
        <v>0</v>
      </c>
      <c r="P1428">
        <v>0</v>
      </c>
      <c r="Q1428">
        <v>0</v>
      </c>
      <c r="R1428" s="3">
        <v>0</v>
      </c>
      <c r="S1428" s="3">
        <v>0</v>
      </c>
      <c r="T1428">
        <v>0</v>
      </c>
      <c r="U1428">
        <v>0</v>
      </c>
      <c r="V1428" s="3">
        <v>0</v>
      </c>
      <c r="W1428" s="3">
        <v>0</v>
      </c>
      <c r="X1428">
        <v>0</v>
      </c>
      <c r="Y1428" t="s">
        <v>1205</v>
      </c>
    </row>
    <row r="1429" spans="1:25" hidden="1" x14ac:dyDescent="0.25">
      <c r="A1429" s="1" t="s">
        <v>53</v>
      </c>
      <c r="B1429" s="1" t="s">
        <v>142</v>
      </c>
      <c r="C1429" s="1" t="s">
        <v>39</v>
      </c>
      <c r="D1429" t="s">
        <v>27</v>
      </c>
      <c r="E1429" s="2">
        <v>45898</v>
      </c>
      <c r="F1429" s="2">
        <v>45898</v>
      </c>
      <c r="G1429" s="3">
        <v>58</v>
      </c>
      <c r="H1429" t="s">
        <v>28</v>
      </c>
      <c r="I1429">
        <v>33</v>
      </c>
      <c r="J1429">
        <v>0</v>
      </c>
      <c r="K1429">
        <v>0</v>
      </c>
      <c r="L1429" s="3">
        <v>1</v>
      </c>
      <c r="M1429" s="3">
        <v>0</v>
      </c>
      <c r="N1429">
        <v>0</v>
      </c>
      <c r="O1429">
        <v>0</v>
      </c>
      <c r="P1429">
        <v>0</v>
      </c>
      <c r="Q1429">
        <v>33</v>
      </c>
      <c r="R1429" s="3">
        <v>0</v>
      </c>
      <c r="S1429" s="3">
        <v>0</v>
      </c>
      <c r="T1429">
        <v>0</v>
      </c>
      <c r="U1429">
        <v>0</v>
      </c>
      <c r="V1429" s="3">
        <v>0</v>
      </c>
      <c r="W1429" s="3">
        <v>0</v>
      </c>
      <c r="X1429">
        <v>0</v>
      </c>
      <c r="Y1429" t="s">
        <v>1206</v>
      </c>
    </row>
    <row r="1430" spans="1:25" hidden="1" x14ac:dyDescent="0.25">
      <c r="A1430" s="1" t="s">
        <v>58</v>
      </c>
      <c r="B1430" s="1" t="s">
        <v>144</v>
      </c>
      <c r="C1430" s="1" t="s">
        <v>489</v>
      </c>
      <c r="D1430" t="s">
        <v>27</v>
      </c>
      <c r="E1430" s="2">
        <v>45898</v>
      </c>
      <c r="F1430" s="2">
        <v>45898</v>
      </c>
      <c r="G1430" s="3">
        <v>30</v>
      </c>
      <c r="H1430" t="s">
        <v>28</v>
      </c>
      <c r="I1430">
        <v>64</v>
      </c>
      <c r="J1430">
        <v>0</v>
      </c>
      <c r="K1430">
        <v>0</v>
      </c>
      <c r="L1430" s="3">
        <v>1</v>
      </c>
      <c r="M1430" s="3">
        <v>1</v>
      </c>
      <c r="N1430">
        <v>0</v>
      </c>
      <c r="O1430">
        <v>0</v>
      </c>
      <c r="P1430">
        <v>0</v>
      </c>
      <c r="Q1430">
        <v>0</v>
      </c>
      <c r="R1430" s="3">
        <v>0</v>
      </c>
      <c r="S1430" s="3">
        <v>0</v>
      </c>
      <c r="T1430">
        <v>0</v>
      </c>
      <c r="U1430">
        <v>0</v>
      </c>
      <c r="V1430" s="3">
        <v>0</v>
      </c>
      <c r="W1430" s="3">
        <v>0</v>
      </c>
      <c r="X1430">
        <v>0</v>
      </c>
      <c r="Y1430" t="s">
        <v>1207</v>
      </c>
    </row>
    <row r="1431" spans="1:25" hidden="1" x14ac:dyDescent="0.25">
      <c r="A1431" s="1" t="s">
        <v>49</v>
      </c>
      <c r="B1431" s="1" t="s">
        <v>118</v>
      </c>
      <c r="C1431" s="1" t="s">
        <v>50</v>
      </c>
      <c r="D1431" s="1" t="s">
        <v>27</v>
      </c>
      <c r="E1431" s="2">
        <v>45898</v>
      </c>
      <c r="F1431" s="2">
        <v>45898</v>
      </c>
      <c r="G1431" s="3">
        <v>31</v>
      </c>
      <c r="H1431" s="4" t="s">
        <v>28</v>
      </c>
      <c r="I1431">
        <v>35</v>
      </c>
      <c r="J1431">
        <v>0</v>
      </c>
      <c r="K1431">
        <v>0</v>
      </c>
      <c r="L1431" s="3">
        <v>1</v>
      </c>
      <c r="M1431" s="3">
        <v>1</v>
      </c>
      <c r="N1431">
        <v>0</v>
      </c>
      <c r="O1431">
        <v>1</v>
      </c>
      <c r="P1431">
        <v>0</v>
      </c>
      <c r="Q1431">
        <v>29</v>
      </c>
      <c r="R1431" s="3">
        <v>0</v>
      </c>
      <c r="S1431" s="3">
        <v>0</v>
      </c>
      <c r="T1431">
        <v>0</v>
      </c>
      <c r="U1431">
        <v>0</v>
      </c>
      <c r="V1431" s="3">
        <v>0</v>
      </c>
      <c r="W1431" s="3">
        <v>0</v>
      </c>
      <c r="X1431">
        <v>0</v>
      </c>
      <c r="Y1431" t="s">
        <v>1165</v>
      </c>
    </row>
    <row r="1432" spans="1:25" hidden="1" x14ac:dyDescent="0.25">
      <c r="A1432" s="1" t="s">
        <v>51</v>
      </c>
      <c r="B1432" s="1" t="s">
        <v>120</v>
      </c>
      <c r="C1432" s="1" t="s">
        <v>55</v>
      </c>
      <c r="D1432" s="1" t="s">
        <v>27</v>
      </c>
      <c r="E1432" s="2">
        <v>45898</v>
      </c>
      <c r="F1432" s="2">
        <v>45898</v>
      </c>
      <c r="G1432" s="3">
        <v>58</v>
      </c>
      <c r="H1432" s="4" t="s">
        <v>28</v>
      </c>
      <c r="I1432">
        <v>58</v>
      </c>
      <c r="J1432">
        <v>0</v>
      </c>
      <c r="K1432">
        <v>0</v>
      </c>
      <c r="L1432" s="3">
        <v>1</v>
      </c>
      <c r="M1432" s="3">
        <v>0</v>
      </c>
      <c r="N1432">
        <v>1</v>
      </c>
      <c r="O1432">
        <v>0</v>
      </c>
      <c r="P1432">
        <v>0</v>
      </c>
      <c r="Q1432">
        <v>0</v>
      </c>
      <c r="R1432" s="3">
        <v>0</v>
      </c>
      <c r="S1432" s="3">
        <v>0</v>
      </c>
      <c r="T1432">
        <v>0</v>
      </c>
      <c r="U1432">
        <v>0</v>
      </c>
      <c r="V1432" s="3">
        <v>0</v>
      </c>
      <c r="W1432" s="3">
        <v>0</v>
      </c>
      <c r="X1432">
        <v>0</v>
      </c>
      <c r="Y1432" t="s">
        <v>1192</v>
      </c>
    </row>
    <row r="1433" spans="1:25" hidden="1" x14ac:dyDescent="0.25">
      <c r="A1433" s="1" t="s">
        <v>27</v>
      </c>
      <c r="B1433" s="1" t="s">
        <v>120</v>
      </c>
      <c r="C1433" s="1" t="s">
        <v>57</v>
      </c>
      <c r="D1433" s="1" t="s">
        <v>27</v>
      </c>
      <c r="E1433" s="2">
        <v>45898</v>
      </c>
      <c r="F1433" s="2">
        <v>45898</v>
      </c>
      <c r="G1433" s="3">
        <v>58</v>
      </c>
      <c r="H1433" s="4" t="s">
        <v>1317</v>
      </c>
      <c r="I1433">
        <v>0</v>
      </c>
      <c r="J1433">
        <v>0</v>
      </c>
      <c r="K1433">
        <v>0</v>
      </c>
      <c r="L1433" s="3">
        <v>0</v>
      </c>
      <c r="M1433" s="3">
        <v>0</v>
      </c>
      <c r="N1433">
        <v>0</v>
      </c>
      <c r="O1433">
        <v>0</v>
      </c>
      <c r="P1433">
        <v>0</v>
      </c>
      <c r="Q1433">
        <v>0</v>
      </c>
      <c r="R1433" s="3">
        <v>0</v>
      </c>
      <c r="S1433" s="3">
        <v>0</v>
      </c>
      <c r="T1433">
        <v>0</v>
      </c>
      <c r="U1433">
        <v>0</v>
      </c>
      <c r="V1433" s="3">
        <v>0</v>
      </c>
      <c r="W1433" s="3">
        <v>0</v>
      </c>
      <c r="X1433">
        <v>0</v>
      </c>
      <c r="Y1433" t="s">
        <v>1192</v>
      </c>
    </row>
    <row r="1434" spans="1:25" hidden="1" x14ac:dyDescent="0.25">
      <c r="A1434" s="1" t="s">
        <v>48</v>
      </c>
      <c r="B1434" s="1" t="s">
        <v>120</v>
      </c>
      <c r="C1434" s="1" t="s">
        <v>27</v>
      </c>
      <c r="D1434" s="1" t="s">
        <v>27</v>
      </c>
      <c r="E1434" s="2">
        <v>45898</v>
      </c>
      <c r="F1434" s="2">
        <v>45898</v>
      </c>
      <c r="G1434" s="3">
        <v>58</v>
      </c>
      <c r="H1434" s="4" t="s">
        <v>1153</v>
      </c>
      <c r="I1434">
        <v>0</v>
      </c>
      <c r="J1434">
        <v>0</v>
      </c>
      <c r="K1434">
        <v>0</v>
      </c>
      <c r="L1434" s="3">
        <v>0</v>
      </c>
      <c r="M1434" s="3">
        <v>0</v>
      </c>
      <c r="N1434">
        <v>1</v>
      </c>
      <c r="O1434">
        <v>0</v>
      </c>
      <c r="P1434">
        <v>0</v>
      </c>
      <c r="Q1434">
        <v>0</v>
      </c>
      <c r="R1434" s="3">
        <v>0</v>
      </c>
      <c r="S1434" s="3">
        <v>0</v>
      </c>
      <c r="T1434">
        <v>0</v>
      </c>
      <c r="U1434">
        <v>0</v>
      </c>
      <c r="V1434" s="3">
        <v>0</v>
      </c>
      <c r="W1434" s="3">
        <v>0</v>
      </c>
      <c r="X1434">
        <v>0</v>
      </c>
      <c r="Y1434" t="s">
        <v>1192</v>
      </c>
    </row>
    <row r="1435" spans="1:25" hidden="1" x14ac:dyDescent="0.25">
      <c r="A1435" t="s">
        <v>41</v>
      </c>
      <c r="B1435" t="s">
        <v>112</v>
      </c>
      <c r="C1435" t="s">
        <v>42</v>
      </c>
      <c r="D1435" t="s">
        <v>27</v>
      </c>
      <c r="E1435" s="2">
        <v>45899</v>
      </c>
      <c r="F1435" s="2">
        <v>45899</v>
      </c>
      <c r="G1435" s="3">
        <v>103</v>
      </c>
      <c r="H1435" t="s">
        <v>28</v>
      </c>
      <c r="I1435">
        <v>0</v>
      </c>
      <c r="J1435">
        <v>0</v>
      </c>
      <c r="K1435">
        <v>0</v>
      </c>
      <c r="L1435" s="3">
        <v>0</v>
      </c>
      <c r="M1435" s="3">
        <v>0</v>
      </c>
      <c r="N1435">
        <v>0</v>
      </c>
      <c r="O1435">
        <v>0</v>
      </c>
      <c r="P1435">
        <v>0</v>
      </c>
      <c r="Q1435">
        <v>13</v>
      </c>
      <c r="R1435" s="3">
        <v>1</v>
      </c>
      <c r="S1435" s="3">
        <v>0</v>
      </c>
      <c r="T1435">
        <v>22</v>
      </c>
      <c r="U1435">
        <v>19</v>
      </c>
      <c r="V1435" s="3">
        <v>1</v>
      </c>
      <c r="W1435" s="3">
        <v>0</v>
      </c>
      <c r="X1435">
        <v>7</v>
      </c>
      <c r="Y1435" t="s">
        <v>1208</v>
      </c>
    </row>
    <row r="1436" spans="1:25" hidden="1" x14ac:dyDescent="0.25">
      <c r="A1436" t="s">
        <v>48</v>
      </c>
      <c r="B1436" t="s">
        <v>149</v>
      </c>
      <c r="C1436" t="s">
        <v>52</v>
      </c>
      <c r="D1436" t="s">
        <v>27</v>
      </c>
      <c r="E1436" s="2">
        <v>45899</v>
      </c>
      <c r="F1436" s="2">
        <v>45899</v>
      </c>
      <c r="G1436" s="3">
        <v>63</v>
      </c>
      <c r="H1436" t="s">
        <v>28</v>
      </c>
      <c r="I1436">
        <v>0</v>
      </c>
      <c r="J1436">
        <v>0</v>
      </c>
      <c r="K1436">
        <v>0</v>
      </c>
      <c r="L1436" s="3">
        <v>0</v>
      </c>
      <c r="M1436" s="3">
        <v>0</v>
      </c>
      <c r="N1436">
        <v>0</v>
      </c>
      <c r="O1436">
        <v>0</v>
      </c>
      <c r="P1436">
        <v>0</v>
      </c>
      <c r="Q1436">
        <v>0</v>
      </c>
      <c r="R1436" s="3">
        <v>1</v>
      </c>
      <c r="S1436" s="3">
        <v>0</v>
      </c>
      <c r="T1436">
        <v>0</v>
      </c>
      <c r="U1436">
        <v>59</v>
      </c>
      <c r="V1436" s="3">
        <v>1</v>
      </c>
      <c r="W1436" s="3">
        <v>0</v>
      </c>
      <c r="X1436">
        <v>0</v>
      </c>
      <c r="Y1436" t="s">
        <v>1209</v>
      </c>
    </row>
    <row r="1437" spans="1:25" hidden="1" x14ac:dyDescent="0.25">
      <c r="A1437" t="s">
        <v>33</v>
      </c>
      <c r="B1437" t="s">
        <v>106</v>
      </c>
      <c r="C1437" t="s">
        <v>55</v>
      </c>
      <c r="D1437" t="s">
        <v>27</v>
      </c>
      <c r="E1437" s="2">
        <v>45900</v>
      </c>
      <c r="F1437" s="2">
        <v>45900</v>
      </c>
      <c r="G1437" s="3">
        <v>60</v>
      </c>
      <c r="H1437" t="s">
        <v>28</v>
      </c>
      <c r="I1437">
        <v>0</v>
      </c>
      <c r="J1437">
        <v>0</v>
      </c>
      <c r="K1437">
        <v>0</v>
      </c>
      <c r="L1437" s="3">
        <v>0</v>
      </c>
      <c r="M1437" s="3">
        <v>0</v>
      </c>
      <c r="N1437">
        <v>0</v>
      </c>
      <c r="O1437">
        <v>0</v>
      </c>
      <c r="P1437">
        <v>0</v>
      </c>
      <c r="Q1437">
        <v>0</v>
      </c>
      <c r="R1437" s="3">
        <v>0</v>
      </c>
      <c r="S1437" s="3">
        <v>1</v>
      </c>
      <c r="T1437">
        <v>8</v>
      </c>
      <c r="U1437">
        <v>61</v>
      </c>
      <c r="V1437" s="3">
        <v>0</v>
      </c>
      <c r="W1437" s="3">
        <v>1</v>
      </c>
      <c r="X1437">
        <v>0</v>
      </c>
      <c r="Y1437" t="s">
        <v>1210</v>
      </c>
    </row>
    <row r="1438" spans="1:25" hidden="1" x14ac:dyDescent="0.25">
      <c r="A1438" t="s">
        <v>41</v>
      </c>
      <c r="B1438" t="s">
        <v>112</v>
      </c>
      <c r="C1438" t="s">
        <v>42</v>
      </c>
      <c r="D1438" t="s">
        <v>27</v>
      </c>
      <c r="E1438" s="2">
        <v>45900</v>
      </c>
      <c r="F1438" s="2">
        <v>45900</v>
      </c>
      <c r="G1438" s="3">
        <v>184</v>
      </c>
      <c r="H1438" t="s">
        <v>28</v>
      </c>
      <c r="I1438">
        <v>0</v>
      </c>
      <c r="J1438">
        <v>0</v>
      </c>
      <c r="K1438">
        <v>0</v>
      </c>
      <c r="L1438" s="3">
        <v>0</v>
      </c>
      <c r="M1438" s="3">
        <v>0</v>
      </c>
      <c r="N1438">
        <v>0</v>
      </c>
      <c r="O1438">
        <v>0</v>
      </c>
      <c r="P1438">
        <v>0</v>
      </c>
      <c r="Q1438">
        <v>0</v>
      </c>
      <c r="R1438" s="3">
        <v>0</v>
      </c>
      <c r="S1438" s="3">
        <v>1</v>
      </c>
      <c r="T1438">
        <v>110</v>
      </c>
      <c r="U1438">
        <v>0</v>
      </c>
      <c r="V1438" s="3">
        <v>0</v>
      </c>
      <c r="W1438" s="3">
        <v>1</v>
      </c>
      <c r="X1438">
        <v>22</v>
      </c>
      <c r="Y1438" t="s">
        <v>1211</v>
      </c>
    </row>
    <row r="1439" spans="1:25" hidden="1" x14ac:dyDescent="0.25">
      <c r="A1439" t="s">
        <v>48</v>
      </c>
      <c r="B1439" t="s">
        <v>149</v>
      </c>
      <c r="C1439" t="s">
        <v>52</v>
      </c>
      <c r="D1439" t="s">
        <v>27</v>
      </c>
      <c r="E1439" s="2">
        <v>45900</v>
      </c>
      <c r="F1439" s="2">
        <v>45900</v>
      </c>
      <c r="G1439" s="3">
        <v>64</v>
      </c>
      <c r="H1439" t="s">
        <v>28</v>
      </c>
      <c r="I1439">
        <v>0</v>
      </c>
      <c r="J1439">
        <v>0</v>
      </c>
      <c r="K1439">
        <v>0</v>
      </c>
      <c r="L1439" s="3">
        <v>0</v>
      </c>
      <c r="M1439" s="3">
        <v>0</v>
      </c>
      <c r="N1439">
        <v>0</v>
      </c>
      <c r="O1439">
        <v>0</v>
      </c>
      <c r="P1439">
        <v>0</v>
      </c>
      <c r="Q1439">
        <v>0</v>
      </c>
      <c r="R1439" s="3">
        <v>0</v>
      </c>
      <c r="S1439" s="3">
        <v>1</v>
      </c>
      <c r="T1439">
        <v>3</v>
      </c>
      <c r="U1439">
        <v>84</v>
      </c>
      <c r="V1439" s="3">
        <v>0</v>
      </c>
      <c r="W1439" s="3">
        <v>1</v>
      </c>
      <c r="X1439">
        <v>2</v>
      </c>
      <c r="Y1439" t="s">
        <v>1212</v>
      </c>
    </row>
    <row r="1440" spans="1:25" hidden="1" x14ac:dyDescent="0.25">
      <c r="A1440" s="1" t="s">
        <v>56</v>
      </c>
      <c r="B1440" s="1" t="s">
        <v>98</v>
      </c>
      <c r="C1440" s="1" t="s">
        <v>37</v>
      </c>
      <c r="D1440" t="s">
        <v>27</v>
      </c>
      <c r="E1440" s="2">
        <v>45901</v>
      </c>
      <c r="F1440" s="2">
        <v>45901</v>
      </c>
      <c r="G1440" s="3">
        <v>32</v>
      </c>
      <c r="H1440" s="4" t="s">
        <v>28</v>
      </c>
      <c r="I1440">
        <v>58</v>
      </c>
      <c r="J1440">
        <v>0</v>
      </c>
      <c r="K1440">
        <v>0</v>
      </c>
      <c r="L1440" s="3">
        <v>1</v>
      </c>
      <c r="M1440" s="3">
        <v>0</v>
      </c>
      <c r="N1440">
        <v>0</v>
      </c>
      <c r="O1440">
        <v>0</v>
      </c>
      <c r="P1440">
        <v>0</v>
      </c>
      <c r="Q1440">
        <v>0</v>
      </c>
      <c r="R1440" s="3">
        <v>0</v>
      </c>
      <c r="S1440" s="3">
        <v>0</v>
      </c>
      <c r="T1440">
        <v>0</v>
      </c>
      <c r="U1440">
        <v>0</v>
      </c>
      <c r="V1440" s="3">
        <v>0</v>
      </c>
      <c r="W1440" s="3">
        <v>0</v>
      </c>
      <c r="X1440">
        <v>0</v>
      </c>
      <c r="Y1440" t="s">
        <v>1213</v>
      </c>
    </row>
    <row r="1441" spans="1:25" hidden="1" x14ac:dyDescent="0.25">
      <c r="A1441" s="1" t="s">
        <v>29</v>
      </c>
      <c r="B1441" s="1" t="s">
        <v>100</v>
      </c>
      <c r="C1441" s="1" t="s">
        <v>26</v>
      </c>
      <c r="D1441" t="s">
        <v>27</v>
      </c>
      <c r="E1441" s="2">
        <v>45901</v>
      </c>
      <c r="F1441" s="2">
        <v>45901</v>
      </c>
      <c r="G1441" s="3">
        <v>58</v>
      </c>
      <c r="H1441" s="4" t="s">
        <v>28</v>
      </c>
      <c r="I1441">
        <v>39</v>
      </c>
      <c r="J1441">
        <v>91</v>
      </c>
      <c r="K1441">
        <v>0</v>
      </c>
      <c r="L1441" s="3">
        <v>1</v>
      </c>
      <c r="M1441" s="3">
        <v>0</v>
      </c>
      <c r="N1441">
        <v>0</v>
      </c>
      <c r="O1441">
        <v>0</v>
      </c>
      <c r="P1441">
        <v>0</v>
      </c>
      <c r="Q1441">
        <v>0</v>
      </c>
      <c r="R1441" s="3">
        <v>0</v>
      </c>
      <c r="S1441" s="3">
        <v>0</v>
      </c>
      <c r="T1441">
        <v>0</v>
      </c>
      <c r="U1441">
        <v>0</v>
      </c>
      <c r="V1441" s="3">
        <v>0</v>
      </c>
      <c r="W1441" s="3">
        <v>0</v>
      </c>
      <c r="X1441">
        <v>0</v>
      </c>
      <c r="Y1441" t="s">
        <v>1214</v>
      </c>
    </row>
    <row r="1442" spans="1:25" hidden="1" x14ac:dyDescent="0.25">
      <c r="A1442" s="1" t="s">
        <v>344</v>
      </c>
      <c r="B1442" s="1" t="s">
        <v>102</v>
      </c>
      <c r="C1442" s="1" t="s">
        <v>35</v>
      </c>
      <c r="D1442" t="s">
        <v>27</v>
      </c>
      <c r="E1442" s="2">
        <v>45901</v>
      </c>
      <c r="F1442" s="2">
        <v>45901</v>
      </c>
      <c r="G1442" s="3">
        <v>32</v>
      </c>
      <c r="H1442" s="4" t="s">
        <v>28</v>
      </c>
      <c r="I1442">
        <v>23</v>
      </c>
      <c r="J1442">
        <v>90</v>
      </c>
      <c r="K1442">
        <v>0</v>
      </c>
      <c r="L1442" s="3">
        <v>0</v>
      </c>
      <c r="M1442" s="3">
        <v>0</v>
      </c>
      <c r="N1442">
        <v>0</v>
      </c>
      <c r="O1442">
        <v>0</v>
      </c>
      <c r="P1442">
        <v>0</v>
      </c>
      <c r="Q1442">
        <v>0</v>
      </c>
      <c r="R1442" s="3">
        <v>0</v>
      </c>
      <c r="S1442" s="3">
        <v>0</v>
      </c>
      <c r="T1442">
        <v>0</v>
      </c>
      <c r="U1442">
        <v>0</v>
      </c>
      <c r="V1442" s="3">
        <v>0</v>
      </c>
      <c r="W1442" s="3">
        <v>0</v>
      </c>
      <c r="X1442">
        <v>0</v>
      </c>
      <c r="Y1442" t="s">
        <v>1215</v>
      </c>
    </row>
    <row r="1443" spans="1:25" hidden="1" x14ac:dyDescent="0.25">
      <c r="A1443" s="1" t="s">
        <v>31</v>
      </c>
      <c r="B1443" s="1" t="s">
        <v>104</v>
      </c>
      <c r="C1443" s="1" t="s">
        <v>32</v>
      </c>
      <c r="D1443" t="s">
        <v>27</v>
      </c>
      <c r="E1443" s="2">
        <v>45901</v>
      </c>
      <c r="F1443" s="2">
        <v>45901</v>
      </c>
      <c r="G1443" s="3">
        <v>64</v>
      </c>
      <c r="H1443" s="4" t="s">
        <v>28</v>
      </c>
      <c r="I1443">
        <v>102</v>
      </c>
      <c r="J1443">
        <v>0</v>
      </c>
      <c r="K1443">
        <v>0</v>
      </c>
      <c r="L1443" s="3">
        <v>0</v>
      </c>
      <c r="M1443" s="3">
        <v>0</v>
      </c>
      <c r="N1443">
        <v>0</v>
      </c>
      <c r="O1443">
        <v>0</v>
      </c>
      <c r="P1443">
        <v>0</v>
      </c>
      <c r="Q1443">
        <v>54</v>
      </c>
      <c r="R1443" s="3">
        <v>0</v>
      </c>
      <c r="S1443" s="3">
        <v>0</v>
      </c>
      <c r="T1443">
        <v>0</v>
      </c>
      <c r="U1443">
        <v>0</v>
      </c>
      <c r="V1443" s="3">
        <v>0</v>
      </c>
      <c r="W1443" s="3">
        <v>0</v>
      </c>
      <c r="X1443">
        <v>0</v>
      </c>
      <c r="Y1443" t="s">
        <v>1216</v>
      </c>
    </row>
    <row r="1444" spans="1:25" hidden="1" x14ac:dyDescent="0.25">
      <c r="A1444" s="1" t="s">
        <v>33</v>
      </c>
      <c r="B1444" s="1" t="s">
        <v>106</v>
      </c>
      <c r="C1444" s="1" t="s">
        <v>57</v>
      </c>
      <c r="D1444" t="s">
        <v>27</v>
      </c>
      <c r="E1444" s="2">
        <v>45901</v>
      </c>
      <c r="F1444" s="2">
        <v>45901</v>
      </c>
      <c r="G1444" s="3">
        <v>30</v>
      </c>
      <c r="H1444" s="4" t="s">
        <v>28</v>
      </c>
      <c r="I1444">
        <v>61</v>
      </c>
      <c r="J1444">
        <v>0</v>
      </c>
      <c r="K1444">
        <v>0</v>
      </c>
      <c r="L1444" s="3">
        <v>0</v>
      </c>
      <c r="M1444" s="3">
        <v>0</v>
      </c>
      <c r="N1444">
        <v>0</v>
      </c>
      <c r="O1444">
        <v>0</v>
      </c>
      <c r="P1444">
        <v>0</v>
      </c>
      <c r="Q1444">
        <v>18</v>
      </c>
      <c r="R1444" s="3">
        <v>0</v>
      </c>
      <c r="S1444" s="3">
        <v>0</v>
      </c>
      <c r="T1444">
        <v>0</v>
      </c>
      <c r="U1444">
        <v>0</v>
      </c>
      <c r="V1444" s="3">
        <v>0</v>
      </c>
      <c r="W1444" s="3">
        <v>0</v>
      </c>
      <c r="X1444">
        <v>0</v>
      </c>
      <c r="Y1444" t="s">
        <v>1217</v>
      </c>
    </row>
    <row r="1445" spans="1:25" hidden="1" x14ac:dyDescent="0.25">
      <c r="A1445" s="1" t="s">
        <v>34</v>
      </c>
      <c r="B1445" s="1" t="s">
        <v>247</v>
      </c>
      <c r="C1445" s="1" t="s">
        <v>489</v>
      </c>
      <c r="D1445" t="s">
        <v>27</v>
      </c>
      <c r="E1445" s="2">
        <v>45901</v>
      </c>
      <c r="F1445" s="2">
        <v>45901</v>
      </c>
      <c r="G1445" s="3">
        <v>50</v>
      </c>
      <c r="H1445" s="4" t="s">
        <v>28</v>
      </c>
      <c r="I1445">
        <v>58</v>
      </c>
      <c r="J1445">
        <v>0</v>
      </c>
      <c r="K1445">
        <v>0</v>
      </c>
      <c r="L1445" s="3">
        <v>1</v>
      </c>
      <c r="M1445" s="3">
        <v>0</v>
      </c>
      <c r="N1445">
        <v>0</v>
      </c>
      <c r="O1445">
        <v>0</v>
      </c>
      <c r="P1445">
        <v>0</v>
      </c>
      <c r="Q1445">
        <v>0</v>
      </c>
      <c r="R1445" s="3">
        <v>0</v>
      </c>
      <c r="S1445" s="3">
        <v>0</v>
      </c>
      <c r="T1445">
        <v>0</v>
      </c>
      <c r="U1445">
        <v>0</v>
      </c>
      <c r="V1445" s="3">
        <v>0</v>
      </c>
      <c r="W1445" s="3">
        <v>0</v>
      </c>
      <c r="X1445">
        <v>0</v>
      </c>
      <c r="Y1445" t="s">
        <v>1218</v>
      </c>
    </row>
    <row r="1446" spans="1:25" hidden="1" x14ac:dyDescent="0.25">
      <c r="A1446" s="1" t="s">
        <v>38</v>
      </c>
      <c r="B1446" s="1" t="s">
        <v>108</v>
      </c>
      <c r="C1446" s="1" t="s">
        <v>27</v>
      </c>
      <c r="D1446" t="s">
        <v>27</v>
      </c>
      <c r="E1446" s="2">
        <v>45901</v>
      </c>
      <c r="F1446" s="2">
        <v>45901</v>
      </c>
      <c r="G1446" s="3">
        <v>36</v>
      </c>
      <c r="H1446" s="4" t="s">
        <v>28</v>
      </c>
      <c r="I1446">
        <v>29</v>
      </c>
      <c r="J1446">
        <v>0</v>
      </c>
      <c r="K1446">
        <v>0</v>
      </c>
      <c r="L1446" s="3">
        <v>0</v>
      </c>
      <c r="M1446" s="3">
        <v>0</v>
      </c>
      <c r="N1446">
        <v>0</v>
      </c>
      <c r="O1446">
        <v>0</v>
      </c>
      <c r="P1446">
        <v>0</v>
      </c>
      <c r="Q1446">
        <v>29</v>
      </c>
      <c r="R1446" s="3">
        <v>0</v>
      </c>
      <c r="S1446" s="3">
        <v>0</v>
      </c>
      <c r="T1446">
        <v>0</v>
      </c>
      <c r="U1446">
        <v>0</v>
      </c>
      <c r="V1446" s="3">
        <v>0</v>
      </c>
      <c r="W1446" s="3">
        <v>0</v>
      </c>
      <c r="X1446">
        <v>0</v>
      </c>
      <c r="Y1446" t="s">
        <v>1219</v>
      </c>
    </row>
    <row r="1447" spans="1:25" hidden="1" x14ac:dyDescent="0.25">
      <c r="A1447" s="1" t="s">
        <v>40</v>
      </c>
      <c r="B1447" s="1" t="s">
        <v>110</v>
      </c>
      <c r="C1447" s="1" t="s">
        <v>27</v>
      </c>
      <c r="D1447" t="s">
        <v>27</v>
      </c>
      <c r="E1447" s="2">
        <v>45901</v>
      </c>
      <c r="F1447" s="2">
        <v>45901</v>
      </c>
      <c r="G1447" s="3">
        <v>128</v>
      </c>
      <c r="H1447" s="4" t="s">
        <v>28</v>
      </c>
      <c r="I1447">
        <v>48</v>
      </c>
      <c r="J1447">
        <v>0</v>
      </c>
      <c r="K1447">
        <v>0</v>
      </c>
      <c r="L1447" s="3">
        <v>1</v>
      </c>
      <c r="M1447" s="3">
        <v>0</v>
      </c>
      <c r="N1447">
        <v>1</v>
      </c>
      <c r="O1447">
        <v>0</v>
      </c>
      <c r="P1447">
        <v>0</v>
      </c>
      <c r="Q1447">
        <v>0</v>
      </c>
      <c r="R1447" s="3">
        <v>0</v>
      </c>
      <c r="S1447" s="3">
        <v>0</v>
      </c>
      <c r="T1447">
        <v>0</v>
      </c>
      <c r="U1447">
        <v>0</v>
      </c>
      <c r="V1447" s="3">
        <v>0</v>
      </c>
      <c r="W1447" s="3">
        <v>0</v>
      </c>
      <c r="X1447">
        <v>0</v>
      </c>
      <c r="Y1447" t="s">
        <v>1220</v>
      </c>
    </row>
    <row r="1448" spans="1:25" hidden="1" x14ac:dyDescent="0.25">
      <c r="A1448" s="1" t="s">
        <v>36</v>
      </c>
      <c r="B1448" s="1" t="s">
        <v>110</v>
      </c>
      <c r="C1448" s="1" t="s">
        <v>27</v>
      </c>
      <c r="D1448" t="s">
        <v>27</v>
      </c>
      <c r="E1448" s="2">
        <v>45901</v>
      </c>
      <c r="F1448" s="2">
        <v>45901</v>
      </c>
      <c r="G1448" s="3">
        <v>128</v>
      </c>
      <c r="H1448" s="4" t="s">
        <v>28</v>
      </c>
      <c r="I1448">
        <v>48</v>
      </c>
      <c r="J1448">
        <v>0</v>
      </c>
      <c r="K1448">
        <v>0</v>
      </c>
      <c r="L1448" s="3">
        <v>1</v>
      </c>
      <c r="M1448" s="3">
        <v>0</v>
      </c>
      <c r="N1448">
        <v>1</v>
      </c>
      <c r="O1448">
        <v>0</v>
      </c>
      <c r="P1448">
        <v>0</v>
      </c>
      <c r="Q1448">
        <v>0</v>
      </c>
      <c r="R1448" s="3">
        <v>0</v>
      </c>
      <c r="S1448" s="3">
        <v>0</v>
      </c>
      <c r="T1448">
        <v>0</v>
      </c>
      <c r="U1448">
        <v>0</v>
      </c>
      <c r="V1448" s="3">
        <v>0</v>
      </c>
      <c r="W1448" s="3">
        <v>0</v>
      </c>
      <c r="X1448">
        <v>0</v>
      </c>
      <c r="Y1448" t="s">
        <v>1220</v>
      </c>
    </row>
    <row r="1449" spans="1:25" hidden="1" x14ac:dyDescent="0.25">
      <c r="A1449" s="1" t="s">
        <v>41</v>
      </c>
      <c r="B1449" s="1" t="s">
        <v>112</v>
      </c>
      <c r="C1449" s="1" t="s">
        <v>42</v>
      </c>
      <c r="D1449" t="s">
        <v>27</v>
      </c>
      <c r="E1449" s="2">
        <v>45901</v>
      </c>
      <c r="F1449" s="2">
        <v>45901</v>
      </c>
      <c r="G1449" s="3">
        <v>58</v>
      </c>
      <c r="H1449" s="4" t="s">
        <v>28</v>
      </c>
      <c r="I1449">
        <v>51</v>
      </c>
      <c r="J1449">
        <v>88</v>
      </c>
      <c r="K1449">
        <v>0</v>
      </c>
      <c r="L1449" s="3">
        <v>1</v>
      </c>
      <c r="M1449" s="3">
        <v>0</v>
      </c>
      <c r="N1449">
        <v>0</v>
      </c>
      <c r="O1449">
        <v>0</v>
      </c>
      <c r="P1449">
        <v>0</v>
      </c>
      <c r="Q1449">
        <v>0</v>
      </c>
      <c r="R1449" s="3">
        <v>0</v>
      </c>
      <c r="S1449" s="3">
        <v>0</v>
      </c>
      <c r="T1449">
        <v>0</v>
      </c>
      <c r="U1449">
        <v>0</v>
      </c>
      <c r="V1449" s="3">
        <v>0</v>
      </c>
      <c r="W1449" s="3">
        <v>0</v>
      </c>
      <c r="X1449">
        <v>0</v>
      </c>
      <c r="Y1449" t="s">
        <v>1221</v>
      </c>
    </row>
    <row r="1450" spans="1:25" hidden="1" x14ac:dyDescent="0.25">
      <c r="A1450" s="1" t="s">
        <v>43</v>
      </c>
      <c r="B1450" s="1" t="s">
        <v>114</v>
      </c>
      <c r="C1450" s="1" t="s">
        <v>44</v>
      </c>
      <c r="D1450" t="s">
        <v>27</v>
      </c>
      <c r="E1450" s="2">
        <v>45901</v>
      </c>
      <c r="F1450" s="2">
        <v>45901</v>
      </c>
      <c r="G1450" s="3">
        <v>25</v>
      </c>
      <c r="H1450" s="4" t="s">
        <v>28</v>
      </c>
      <c r="I1450">
        <v>63</v>
      </c>
      <c r="J1450">
        <v>0</v>
      </c>
      <c r="K1450">
        <v>0</v>
      </c>
      <c r="L1450" s="3">
        <v>1</v>
      </c>
      <c r="M1450" s="3">
        <v>0</v>
      </c>
      <c r="N1450">
        <v>0</v>
      </c>
      <c r="O1450">
        <v>0</v>
      </c>
      <c r="P1450">
        <v>0</v>
      </c>
      <c r="Q1450">
        <v>0</v>
      </c>
      <c r="R1450" s="3">
        <v>0</v>
      </c>
      <c r="S1450" s="3">
        <v>0</v>
      </c>
      <c r="T1450">
        <v>0</v>
      </c>
      <c r="U1450">
        <v>0</v>
      </c>
      <c r="V1450" s="3">
        <v>0</v>
      </c>
      <c r="W1450" s="3">
        <v>0</v>
      </c>
      <c r="X1450">
        <v>0</v>
      </c>
      <c r="Y1450" t="s">
        <v>1222</v>
      </c>
    </row>
    <row r="1451" spans="1:25" hidden="1" x14ac:dyDescent="0.25">
      <c r="A1451" s="1" t="s">
        <v>45</v>
      </c>
      <c r="B1451" s="1" t="s">
        <v>116</v>
      </c>
      <c r="C1451" s="1" t="s">
        <v>46</v>
      </c>
      <c r="D1451" t="s">
        <v>27</v>
      </c>
      <c r="E1451" s="2">
        <v>45901</v>
      </c>
      <c r="F1451" s="2">
        <v>45901</v>
      </c>
      <c r="G1451" s="3">
        <v>89</v>
      </c>
      <c r="H1451" s="4" t="s">
        <v>28</v>
      </c>
      <c r="I1451">
        <v>83</v>
      </c>
      <c r="J1451">
        <v>0</v>
      </c>
      <c r="K1451">
        <v>0</v>
      </c>
      <c r="L1451" s="3">
        <v>1</v>
      </c>
      <c r="M1451" s="3">
        <v>0</v>
      </c>
      <c r="N1451">
        <v>0</v>
      </c>
      <c r="O1451">
        <v>0</v>
      </c>
      <c r="P1451">
        <v>0</v>
      </c>
      <c r="Q1451">
        <v>8</v>
      </c>
      <c r="R1451" s="3">
        <v>0</v>
      </c>
      <c r="S1451" s="3">
        <v>0</v>
      </c>
      <c r="T1451">
        <v>0</v>
      </c>
      <c r="U1451">
        <v>0</v>
      </c>
      <c r="V1451" s="3">
        <v>0</v>
      </c>
      <c r="W1451" s="3">
        <v>0</v>
      </c>
      <c r="X1451">
        <v>0</v>
      </c>
      <c r="Y1451" t="s">
        <v>1223</v>
      </c>
    </row>
    <row r="1452" spans="1:25" hidden="1" x14ac:dyDescent="0.25">
      <c r="A1452" s="1" t="s">
        <v>47</v>
      </c>
      <c r="B1452" s="1" t="s">
        <v>137</v>
      </c>
      <c r="C1452" s="1" t="s">
        <v>27</v>
      </c>
      <c r="D1452" t="s">
        <v>27</v>
      </c>
      <c r="E1452" s="2">
        <v>45901</v>
      </c>
      <c r="F1452" s="2">
        <v>45901</v>
      </c>
      <c r="G1452" s="3">
        <v>46</v>
      </c>
      <c r="H1452" s="4" t="s">
        <v>28</v>
      </c>
      <c r="I1452">
        <v>55</v>
      </c>
      <c r="J1452">
        <v>0</v>
      </c>
      <c r="K1452">
        <v>0</v>
      </c>
      <c r="L1452" s="3">
        <v>0</v>
      </c>
      <c r="M1452" s="3">
        <v>0</v>
      </c>
      <c r="N1452">
        <v>0</v>
      </c>
      <c r="O1452">
        <v>0</v>
      </c>
      <c r="P1452">
        <v>0</v>
      </c>
      <c r="Q1452">
        <v>0</v>
      </c>
      <c r="R1452" s="3">
        <v>0</v>
      </c>
      <c r="S1452" s="3">
        <v>0</v>
      </c>
      <c r="T1452">
        <v>0</v>
      </c>
      <c r="U1452">
        <v>0</v>
      </c>
      <c r="V1452" s="3">
        <v>0</v>
      </c>
      <c r="W1452" s="3">
        <v>0</v>
      </c>
      <c r="X1452">
        <v>0</v>
      </c>
      <c r="Y1452" t="s">
        <v>1224</v>
      </c>
    </row>
    <row r="1453" spans="1:25" hidden="1" x14ac:dyDescent="0.25">
      <c r="A1453" s="1" t="s">
        <v>48</v>
      </c>
      <c r="B1453" s="1" t="s">
        <v>137</v>
      </c>
      <c r="C1453" s="1" t="s">
        <v>27</v>
      </c>
      <c r="D1453" t="s">
        <v>27</v>
      </c>
      <c r="E1453" s="2">
        <v>45901</v>
      </c>
      <c r="F1453" s="2">
        <v>45901</v>
      </c>
      <c r="G1453" s="3">
        <v>46</v>
      </c>
      <c r="H1453" s="4" t="s">
        <v>28</v>
      </c>
      <c r="I1453">
        <v>55</v>
      </c>
      <c r="J1453">
        <v>0</v>
      </c>
      <c r="K1453">
        <v>0</v>
      </c>
      <c r="L1453" s="3">
        <v>0</v>
      </c>
      <c r="M1453" s="3">
        <v>0</v>
      </c>
      <c r="N1453">
        <v>0</v>
      </c>
      <c r="O1453">
        <v>0</v>
      </c>
      <c r="P1453">
        <v>0</v>
      </c>
      <c r="Q1453">
        <v>0</v>
      </c>
      <c r="R1453" s="3">
        <v>0</v>
      </c>
      <c r="S1453" s="3">
        <v>0</v>
      </c>
      <c r="T1453">
        <v>0</v>
      </c>
      <c r="U1453">
        <v>0</v>
      </c>
      <c r="V1453" s="3">
        <v>0</v>
      </c>
      <c r="W1453" s="3">
        <v>0</v>
      </c>
      <c r="X1453">
        <v>0</v>
      </c>
      <c r="Y1453" t="s">
        <v>1224</v>
      </c>
    </row>
    <row r="1454" spans="1:25" hidden="1" x14ac:dyDescent="0.25">
      <c r="A1454" s="1" t="s">
        <v>49</v>
      </c>
      <c r="B1454" s="1" t="s">
        <v>118</v>
      </c>
      <c r="C1454" s="1" t="s">
        <v>50</v>
      </c>
      <c r="D1454" s="1" t="s">
        <v>27</v>
      </c>
      <c r="E1454" s="2">
        <v>45901</v>
      </c>
      <c r="F1454" s="2">
        <v>45901</v>
      </c>
      <c r="G1454" s="3">
        <v>31</v>
      </c>
      <c r="H1454" s="4" t="s">
        <v>28</v>
      </c>
      <c r="I1454">
        <v>41</v>
      </c>
      <c r="J1454">
        <v>0</v>
      </c>
      <c r="K1454">
        <v>0</v>
      </c>
      <c r="L1454" s="3">
        <v>1</v>
      </c>
      <c r="M1454" s="3">
        <v>1</v>
      </c>
      <c r="N1454">
        <v>0</v>
      </c>
      <c r="O1454">
        <v>1</v>
      </c>
      <c r="P1454">
        <v>0</v>
      </c>
      <c r="Q1454">
        <v>29</v>
      </c>
      <c r="R1454" s="3">
        <v>0</v>
      </c>
      <c r="S1454" s="3">
        <v>0</v>
      </c>
      <c r="T1454">
        <v>0</v>
      </c>
      <c r="U1454">
        <v>0</v>
      </c>
      <c r="V1454" s="3">
        <v>0</v>
      </c>
      <c r="W1454" s="3">
        <v>0</v>
      </c>
      <c r="X1454">
        <v>0</v>
      </c>
      <c r="Y1454" t="s">
        <v>1165</v>
      </c>
    </row>
    <row r="1455" spans="1:25" hidden="1" x14ac:dyDescent="0.25">
      <c r="A1455" s="1" t="s">
        <v>51</v>
      </c>
      <c r="B1455" s="1" t="s">
        <v>120</v>
      </c>
      <c r="C1455" s="1" t="s">
        <v>55</v>
      </c>
      <c r="D1455" t="s">
        <v>27</v>
      </c>
      <c r="E1455" s="2">
        <v>45901</v>
      </c>
      <c r="F1455" s="2">
        <v>45901</v>
      </c>
      <c r="G1455" s="3">
        <v>85</v>
      </c>
      <c r="H1455" s="4" t="s">
        <v>28</v>
      </c>
      <c r="I1455">
        <v>37</v>
      </c>
      <c r="J1455">
        <v>0</v>
      </c>
      <c r="K1455">
        <v>0</v>
      </c>
      <c r="L1455" s="3">
        <v>0</v>
      </c>
      <c r="M1455" s="3">
        <v>0</v>
      </c>
      <c r="N1455">
        <v>1</v>
      </c>
      <c r="O1455">
        <v>0</v>
      </c>
      <c r="P1455">
        <v>0</v>
      </c>
      <c r="Q1455">
        <v>0</v>
      </c>
      <c r="R1455" s="3">
        <v>0</v>
      </c>
      <c r="S1455" s="3">
        <v>0</v>
      </c>
      <c r="T1455">
        <v>0</v>
      </c>
      <c r="U1455">
        <v>0</v>
      </c>
      <c r="V1455" s="3">
        <v>0</v>
      </c>
      <c r="W1455" s="3">
        <v>0</v>
      </c>
      <c r="X1455">
        <v>0</v>
      </c>
      <c r="Y1455" t="s">
        <v>1225</v>
      </c>
    </row>
    <row r="1456" spans="1:25" hidden="1" x14ac:dyDescent="0.25">
      <c r="A1456" s="1" t="s">
        <v>54</v>
      </c>
      <c r="B1456" s="1" t="s">
        <v>122</v>
      </c>
      <c r="C1456" s="1" t="s">
        <v>52</v>
      </c>
      <c r="D1456" t="s">
        <v>27</v>
      </c>
      <c r="E1456" s="2">
        <v>45901</v>
      </c>
      <c r="F1456" s="2">
        <v>45901</v>
      </c>
      <c r="G1456" s="3">
        <v>37</v>
      </c>
      <c r="H1456" s="4" t="s">
        <v>28</v>
      </c>
      <c r="I1456">
        <v>35</v>
      </c>
      <c r="J1456">
        <v>0</v>
      </c>
      <c r="K1456">
        <v>0</v>
      </c>
      <c r="L1456" s="3">
        <v>0</v>
      </c>
      <c r="M1456" s="3">
        <v>0</v>
      </c>
      <c r="N1456">
        <v>0</v>
      </c>
      <c r="O1456">
        <v>0</v>
      </c>
      <c r="P1456">
        <v>0</v>
      </c>
      <c r="Q1456">
        <v>2</v>
      </c>
      <c r="R1456" s="3">
        <v>0</v>
      </c>
      <c r="S1456" s="3">
        <v>0</v>
      </c>
      <c r="T1456">
        <v>0</v>
      </c>
      <c r="U1456">
        <v>0</v>
      </c>
      <c r="V1456" s="3">
        <v>0</v>
      </c>
      <c r="W1456" s="3">
        <v>0</v>
      </c>
      <c r="X1456">
        <v>0</v>
      </c>
      <c r="Y1456" t="s">
        <v>1226</v>
      </c>
    </row>
    <row r="1457" spans="1:25" hidden="1" x14ac:dyDescent="0.25">
      <c r="A1457" s="1" t="s">
        <v>53</v>
      </c>
      <c r="B1457" s="1" t="s">
        <v>142</v>
      </c>
      <c r="C1457" s="1" t="s">
        <v>39</v>
      </c>
      <c r="D1457" t="s">
        <v>27</v>
      </c>
      <c r="E1457" s="2">
        <v>45901</v>
      </c>
      <c r="F1457" s="2">
        <v>45901</v>
      </c>
      <c r="G1457" s="3">
        <v>98</v>
      </c>
      <c r="H1457" s="4" t="s">
        <v>28</v>
      </c>
      <c r="I1457">
        <v>31</v>
      </c>
      <c r="J1457">
        <v>0</v>
      </c>
      <c r="K1457">
        <v>0</v>
      </c>
      <c r="L1457" s="3">
        <v>1</v>
      </c>
      <c r="M1457" s="3">
        <v>0</v>
      </c>
      <c r="N1457">
        <v>0</v>
      </c>
      <c r="O1457">
        <v>0</v>
      </c>
      <c r="P1457">
        <v>0</v>
      </c>
      <c r="Q1457">
        <v>31</v>
      </c>
      <c r="R1457" s="3">
        <v>0</v>
      </c>
      <c r="S1457" s="3">
        <v>0</v>
      </c>
      <c r="T1457">
        <v>0</v>
      </c>
      <c r="U1457">
        <v>0</v>
      </c>
      <c r="V1457" s="3">
        <v>0</v>
      </c>
      <c r="W1457" s="3">
        <v>0</v>
      </c>
      <c r="X1457">
        <v>0</v>
      </c>
      <c r="Y1457" t="s">
        <v>1227</v>
      </c>
    </row>
    <row r="1458" spans="1:25" hidden="1" x14ac:dyDescent="0.25">
      <c r="A1458" s="1" t="s">
        <v>58</v>
      </c>
      <c r="B1458" s="1" t="s">
        <v>589</v>
      </c>
      <c r="C1458" s="1" t="s">
        <v>27</v>
      </c>
      <c r="D1458" t="s">
        <v>27</v>
      </c>
      <c r="E1458" s="2">
        <v>45901</v>
      </c>
      <c r="F1458" s="2">
        <v>45901</v>
      </c>
      <c r="G1458" s="3">
        <v>99</v>
      </c>
      <c r="H1458" s="4" t="s">
        <v>1153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1227</v>
      </c>
    </row>
    <row r="1459" spans="1:25" hidden="1" x14ac:dyDescent="0.25">
      <c r="A1459" s="1" t="s">
        <v>25</v>
      </c>
      <c r="B1459" s="1" t="s">
        <v>112</v>
      </c>
      <c r="C1459" s="1" t="s">
        <v>27</v>
      </c>
      <c r="D1459" t="s">
        <v>27</v>
      </c>
      <c r="E1459" s="2">
        <v>45901</v>
      </c>
      <c r="F1459" s="2">
        <v>45901</v>
      </c>
      <c r="G1459" s="3">
        <v>100</v>
      </c>
      <c r="H1459" s="4" t="s">
        <v>1153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1227</v>
      </c>
    </row>
    <row r="1460" spans="1:25" hidden="1" x14ac:dyDescent="0.25">
      <c r="A1460" s="1" t="s">
        <v>25</v>
      </c>
      <c r="B1460" s="1" t="s">
        <v>96</v>
      </c>
      <c r="C1460" s="1" t="s">
        <v>26</v>
      </c>
      <c r="D1460" s="1" t="s">
        <v>27</v>
      </c>
      <c r="E1460" s="2">
        <v>45902</v>
      </c>
      <c r="F1460" s="2">
        <v>45902</v>
      </c>
      <c r="G1460" s="3">
        <v>41</v>
      </c>
      <c r="H1460" s="4" t="s">
        <v>28</v>
      </c>
      <c r="I1460">
        <v>69</v>
      </c>
      <c r="J1460">
        <v>0</v>
      </c>
      <c r="K1460">
        <v>0</v>
      </c>
      <c r="L1460" s="3">
        <v>1</v>
      </c>
      <c r="M1460" s="3">
        <v>0</v>
      </c>
      <c r="N1460">
        <v>1</v>
      </c>
      <c r="O1460">
        <v>0</v>
      </c>
      <c r="P1460">
        <v>0</v>
      </c>
      <c r="Q1460">
        <v>0</v>
      </c>
      <c r="R1460" s="3">
        <v>0</v>
      </c>
      <c r="S1460" s="3">
        <v>0</v>
      </c>
      <c r="T1460">
        <v>0</v>
      </c>
      <c r="U1460">
        <v>0</v>
      </c>
      <c r="V1460" s="3">
        <v>0</v>
      </c>
      <c r="W1460" s="3">
        <v>0</v>
      </c>
      <c r="X1460">
        <v>0</v>
      </c>
      <c r="Y1460" t="s">
        <v>1228</v>
      </c>
    </row>
    <row r="1461" spans="1:25" hidden="1" x14ac:dyDescent="0.25">
      <c r="A1461" s="1" t="s">
        <v>56</v>
      </c>
      <c r="B1461" s="1" t="s">
        <v>98</v>
      </c>
      <c r="C1461" s="1" t="s">
        <v>37</v>
      </c>
      <c r="D1461" s="1" t="s">
        <v>27</v>
      </c>
      <c r="E1461" s="2">
        <v>45902</v>
      </c>
      <c r="F1461" s="2">
        <v>45902</v>
      </c>
      <c r="G1461" s="3">
        <v>34</v>
      </c>
      <c r="H1461" s="4" t="s">
        <v>28</v>
      </c>
      <c r="I1461">
        <v>73</v>
      </c>
      <c r="J1461">
        <v>0</v>
      </c>
      <c r="K1461">
        <v>0</v>
      </c>
      <c r="L1461" s="3">
        <v>0</v>
      </c>
      <c r="M1461" s="3">
        <v>0</v>
      </c>
      <c r="N1461">
        <v>0</v>
      </c>
      <c r="O1461">
        <v>0</v>
      </c>
      <c r="P1461">
        <v>0</v>
      </c>
      <c r="Q1461">
        <v>15</v>
      </c>
      <c r="R1461" s="3">
        <v>0</v>
      </c>
      <c r="S1461" s="3">
        <v>0</v>
      </c>
      <c r="T1461">
        <v>0</v>
      </c>
      <c r="U1461">
        <v>0</v>
      </c>
      <c r="V1461" s="3">
        <v>0</v>
      </c>
      <c r="W1461" s="3">
        <v>0</v>
      </c>
      <c r="X1461">
        <v>0</v>
      </c>
      <c r="Y1461" t="s">
        <v>1229</v>
      </c>
    </row>
    <row r="1462" spans="1:25" hidden="1" x14ac:dyDescent="0.25">
      <c r="A1462" s="1" t="s">
        <v>29</v>
      </c>
      <c r="B1462" s="1" t="s">
        <v>100</v>
      </c>
      <c r="C1462" s="1" t="s">
        <v>27</v>
      </c>
      <c r="D1462" s="1" t="s">
        <v>27</v>
      </c>
      <c r="E1462" s="2">
        <v>45902</v>
      </c>
      <c r="F1462" s="2">
        <v>45902</v>
      </c>
      <c r="G1462" s="3">
        <v>146</v>
      </c>
      <c r="H1462" s="4" t="s">
        <v>28</v>
      </c>
      <c r="I1462">
        <v>53</v>
      </c>
      <c r="J1462">
        <v>0</v>
      </c>
      <c r="K1462">
        <v>0</v>
      </c>
      <c r="L1462" s="3">
        <v>0</v>
      </c>
      <c r="M1462" s="3">
        <v>0</v>
      </c>
      <c r="N1462">
        <v>0</v>
      </c>
      <c r="O1462">
        <v>0</v>
      </c>
      <c r="P1462">
        <v>0</v>
      </c>
      <c r="Q1462">
        <v>5</v>
      </c>
      <c r="R1462" s="3">
        <v>0</v>
      </c>
      <c r="S1462" s="3">
        <v>0</v>
      </c>
      <c r="T1462">
        <v>0</v>
      </c>
      <c r="U1462">
        <v>0</v>
      </c>
      <c r="V1462" s="3">
        <v>0</v>
      </c>
      <c r="W1462" s="3">
        <v>0</v>
      </c>
      <c r="X1462">
        <v>0</v>
      </c>
      <c r="Y1462" t="s">
        <v>1230</v>
      </c>
    </row>
    <row r="1463" spans="1:25" hidden="1" x14ac:dyDescent="0.25">
      <c r="A1463" s="1" t="s">
        <v>33</v>
      </c>
      <c r="B1463" s="1" t="s">
        <v>100</v>
      </c>
      <c r="C1463" s="1" t="s">
        <v>27</v>
      </c>
      <c r="D1463" s="1" t="s">
        <v>27</v>
      </c>
      <c r="E1463" s="2">
        <v>45902</v>
      </c>
      <c r="F1463" s="2">
        <v>45902</v>
      </c>
      <c r="G1463" s="3">
        <v>146</v>
      </c>
      <c r="H1463" s="4" t="s">
        <v>28</v>
      </c>
      <c r="I1463">
        <v>53</v>
      </c>
      <c r="J1463">
        <v>0</v>
      </c>
      <c r="K1463">
        <v>0</v>
      </c>
      <c r="L1463" s="3">
        <v>0</v>
      </c>
      <c r="M1463" s="3">
        <v>0</v>
      </c>
      <c r="N1463">
        <v>0</v>
      </c>
      <c r="O1463">
        <v>0</v>
      </c>
      <c r="P1463">
        <v>0</v>
      </c>
      <c r="Q1463">
        <v>5</v>
      </c>
      <c r="R1463" s="3">
        <v>0</v>
      </c>
      <c r="S1463" s="3">
        <v>0</v>
      </c>
      <c r="T1463">
        <v>0</v>
      </c>
      <c r="U1463">
        <v>0</v>
      </c>
      <c r="V1463" s="3">
        <v>0</v>
      </c>
      <c r="W1463" s="3">
        <v>0</v>
      </c>
      <c r="X1463">
        <v>0</v>
      </c>
      <c r="Y1463" t="s">
        <v>1230</v>
      </c>
    </row>
    <row r="1464" spans="1:25" hidden="1" x14ac:dyDescent="0.25">
      <c r="A1464" s="1" t="s">
        <v>344</v>
      </c>
      <c r="B1464" s="1" t="s">
        <v>102</v>
      </c>
      <c r="C1464" s="1" t="s">
        <v>35</v>
      </c>
      <c r="D1464" s="1" t="s">
        <v>27</v>
      </c>
      <c r="E1464" s="2">
        <v>45902</v>
      </c>
      <c r="F1464" s="2">
        <v>45902</v>
      </c>
      <c r="G1464" s="3">
        <v>23</v>
      </c>
      <c r="H1464" s="4" t="s">
        <v>28</v>
      </c>
      <c r="I1464">
        <v>50</v>
      </c>
      <c r="J1464">
        <v>0</v>
      </c>
      <c r="K1464">
        <v>0</v>
      </c>
      <c r="L1464" s="3">
        <v>0</v>
      </c>
      <c r="M1464" s="3">
        <v>0</v>
      </c>
      <c r="N1464">
        <v>0</v>
      </c>
      <c r="O1464">
        <v>0</v>
      </c>
      <c r="P1464">
        <v>0</v>
      </c>
      <c r="Q1464">
        <v>0</v>
      </c>
      <c r="R1464" s="3">
        <v>0</v>
      </c>
      <c r="S1464" s="3">
        <v>0</v>
      </c>
      <c r="T1464">
        <v>0</v>
      </c>
      <c r="U1464">
        <v>0</v>
      </c>
      <c r="V1464" s="3">
        <v>0</v>
      </c>
      <c r="W1464" s="3">
        <v>0</v>
      </c>
      <c r="X1464">
        <v>0</v>
      </c>
      <c r="Y1464" t="s">
        <v>1231</v>
      </c>
    </row>
    <row r="1465" spans="1:25" hidden="1" x14ac:dyDescent="0.25">
      <c r="A1465" s="1" t="s">
        <v>31</v>
      </c>
      <c r="B1465" s="1" t="s">
        <v>104</v>
      </c>
      <c r="C1465" s="1" t="s">
        <v>32</v>
      </c>
      <c r="D1465" s="1" t="s">
        <v>27</v>
      </c>
      <c r="E1465" s="2">
        <v>45902</v>
      </c>
      <c r="F1465" s="2">
        <v>45902</v>
      </c>
      <c r="G1465" s="3">
        <v>60</v>
      </c>
      <c r="H1465" s="4" t="s">
        <v>28</v>
      </c>
      <c r="I1465">
        <v>70</v>
      </c>
      <c r="J1465">
        <v>4</v>
      </c>
      <c r="K1465">
        <v>0</v>
      </c>
      <c r="L1465" s="3">
        <v>0</v>
      </c>
      <c r="M1465" s="3">
        <v>0</v>
      </c>
      <c r="N1465">
        <v>0</v>
      </c>
      <c r="O1465">
        <v>0</v>
      </c>
      <c r="P1465">
        <v>0</v>
      </c>
      <c r="Q1465">
        <v>56</v>
      </c>
      <c r="R1465" s="3">
        <v>0</v>
      </c>
      <c r="S1465" s="3">
        <v>0</v>
      </c>
      <c r="T1465">
        <v>0</v>
      </c>
      <c r="U1465">
        <v>0</v>
      </c>
      <c r="V1465" s="3">
        <v>0</v>
      </c>
      <c r="W1465" s="3">
        <v>0</v>
      </c>
      <c r="X1465">
        <v>7</v>
      </c>
      <c r="Y1465" t="s">
        <v>1232</v>
      </c>
    </row>
    <row r="1466" spans="1:25" hidden="1" x14ac:dyDescent="0.25">
      <c r="A1466" s="1" t="s">
        <v>34</v>
      </c>
      <c r="B1466" s="1" t="s">
        <v>247</v>
      </c>
      <c r="C1466" s="1" t="s">
        <v>489</v>
      </c>
      <c r="D1466" s="1" t="s">
        <v>27</v>
      </c>
      <c r="E1466" s="2">
        <v>45902</v>
      </c>
      <c r="F1466" s="2">
        <v>45902</v>
      </c>
      <c r="G1466" s="3">
        <v>20</v>
      </c>
      <c r="H1466" s="4" t="s">
        <v>28</v>
      </c>
      <c r="I1466">
        <v>44</v>
      </c>
      <c r="J1466">
        <v>0</v>
      </c>
      <c r="K1466">
        <v>0</v>
      </c>
      <c r="L1466" s="3">
        <v>0</v>
      </c>
      <c r="M1466" s="3">
        <v>0</v>
      </c>
      <c r="N1466">
        <v>0</v>
      </c>
      <c r="O1466">
        <v>0</v>
      </c>
      <c r="P1466">
        <v>0</v>
      </c>
      <c r="Q1466">
        <v>0</v>
      </c>
      <c r="R1466" s="3">
        <v>0</v>
      </c>
      <c r="S1466" s="3">
        <v>0</v>
      </c>
      <c r="T1466">
        <v>0</v>
      </c>
      <c r="U1466">
        <v>0</v>
      </c>
      <c r="V1466" s="3">
        <v>0</v>
      </c>
      <c r="W1466" s="3">
        <v>0</v>
      </c>
      <c r="X1466">
        <v>0</v>
      </c>
      <c r="Y1466" t="s">
        <v>1233</v>
      </c>
    </row>
    <row r="1467" spans="1:25" hidden="1" x14ac:dyDescent="0.25">
      <c r="A1467" s="1" t="s">
        <v>38</v>
      </c>
      <c r="B1467" s="1" t="s">
        <v>108</v>
      </c>
      <c r="C1467" s="1" t="s">
        <v>27</v>
      </c>
      <c r="D1467" s="1" t="s">
        <v>27</v>
      </c>
      <c r="E1467" s="2">
        <v>45902</v>
      </c>
      <c r="F1467" s="2">
        <v>45902</v>
      </c>
      <c r="G1467" s="3">
        <v>87</v>
      </c>
      <c r="H1467" s="4" t="s">
        <v>28</v>
      </c>
      <c r="I1467">
        <v>39</v>
      </c>
      <c r="J1467">
        <v>0</v>
      </c>
      <c r="K1467">
        <v>0</v>
      </c>
      <c r="L1467" s="3">
        <v>0</v>
      </c>
      <c r="M1467" s="3">
        <v>0</v>
      </c>
      <c r="N1467">
        <v>0</v>
      </c>
      <c r="O1467">
        <v>0</v>
      </c>
      <c r="P1467">
        <v>0</v>
      </c>
      <c r="Q1467">
        <v>39</v>
      </c>
      <c r="R1467" s="3">
        <v>0</v>
      </c>
      <c r="S1467" s="3">
        <v>0</v>
      </c>
      <c r="T1467">
        <v>0</v>
      </c>
      <c r="U1467">
        <v>0</v>
      </c>
      <c r="V1467" s="3">
        <v>0</v>
      </c>
      <c r="W1467" s="3">
        <v>0</v>
      </c>
      <c r="X1467">
        <v>0</v>
      </c>
      <c r="Y1467" t="s">
        <v>1234</v>
      </c>
    </row>
    <row r="1468" spans="1:25" hidden="1" x14ac:dyDescent="0.25">
      <c r="A1468" s="1" t="s">
        <v>40</v>
      </c>
      <c r="B1468" s="1" t="s">
        <v>110</v>
      </c>
      <c r="C1468" s="1" t="s">
        <v>27</v>
      </c>
      <c r="D1468" s="1" t="s">
        <v>27</v>
      </c>
      <c r="E1468" s="2">
        <v>45902</v>
      </c>
      <c r="F1468" s="2">
        <v>45902</v>
      </c>
      <c r="G1468" s="3">
        <v>82</v>
      </c>
      <c r="H1468" s="4" t="s">
        <v>28</v>
      </c>
      <c r="I1468">
        <v>23</v>
      </c>
      <c r="J1468">
        <v>0</v>
      </c>
      <c r="K1468">
        <v>0</v>
      </c>
      <c r="L1468" s="3">
        <v>0</v>
      </c>
      <c r="M1468" s="3">
        <v>0</v>
      </c>
      <c r="N1468">
        <v>1</v>
      </c>
      <c r="O1468">
        <v>1</v>
      </c>
      <c r="P1468">
        <v>0</v>
      </c>
      <c r="Q1468">
        <v>0</v>
      </c>
      <c r="R1468" s="3">
        <v>0</v>
      </c>
      <c r="S1468" s="3">
        <v>0</v>
      </c>
      <c r="T1468">
        <v>0</v>
      </c>
      <c r="U1468">
        <v>0</v>
      </c>
      <c r="V1468" s="3">
        <v>0</v>
      </c>
      <c r="W1468" s="3">
        <v>0</v>
      </c>
      <c r="X1468">
        <v>0</v>
      </c>
      <c r="Y1468" t="s">
        <v>1235</v>
      </c>
    </row>
    <row r="1469" spans="1:25" hidden="1" x14ac:dyDescent="0.25">
      <c r="A1469" s="1" t="s">
        <v>36</v>
      </c>
      <c r="B1469" s="1" t="s">
        <v>110</v>
      </c>
      <c r="C1469" s="1" t="s">
        <v>27</v>
      </c>
      <c r="D1469" s="1" t="s">
        <v>27</v>
      </c>
      <c r="E1469" s="2">
        <v>45902</v>
      </c>
      <c r="F1469" s="2">
        <v>45902</v>
      </c>
      <c r="G1469" s="3">
        <v>82</v>
      </c>
      <c r="H1469" s="4" t="s">
        <v>28</v>
      </c>
      <c r="I1469">
        <v>23</v>
      </c>
      <c r="J1469">
        <v>0</v>
      </c>
      <c r="K1469">
        <v>0</v>
      </c>
      <c r="L1469" s="3">
        <v>0</v>
      </c>
      <c r="M1469" s="3">
        <v>0</v>
      </c>
      <c r="N1469">
        <v>1</v>
      </c>
      <c r="O1469">
        <v>1</v>
      </c>
      <c r="P1469">
        <v>0</v>
      </c>
      <c r="Q1469">
        <v>0</v>
      </c>
      <c r="R1469" s="3">
        <v>0</v>
      </c>
      <c r="S1469" s="3">
        <v>0</v>
      </c>
      <c r="T1469">
        <v>0</v>
      </c>
      <c r="U1469">
        <v>0</v>
      </c>
      <c r="V1469" s="3">
        <v>0</v>
      </c>
      <c r="W1469" s="3">
        <v>0</v>
      </c>
      <c r="X1469">
        <v>0</v>
      </c>
      <c r="Y1469" t="s">
        <v>1235</v>
      </c>
    </row>
    <row r="1470" spans="1:25" hidden="1" x14ac:dyDescent="0.25">
      <c r="A1470" s="1" t="s">
        <v>41</v>
      </c>
      <c r="B1470" s="1" t="s">
        <v>112</v>
      </c>
      <c r="C1470" s="1" t="s">
        <v>42</v>
      </c>
      <c r="D1470" s="1" t="s">
        <v>27</v>
      </c>
      <c r="E1470" s="2">
        <v>45902</v>
      </c>
      <c r="F1470" s="2">
        <v>45902</v>
      </c>
      <c r="G1470" s="3">
        <v>58</v>
      </c>
      <c r="H1470" s="4" t="s">
        <v>28</v>
      </c>
      <c r="I1470">
        <f>41+62</f>
        <v>103</v>
      </c>
      <c r="J1470">
        <v>0</v>
      </c>
      <c r="K1470">
        <v>0</v>
      </c>
      <c r="L1470" s="3">
        <v>1</v>
      </c>
      <c r="M1470" s="3">
        <v>0</v>
      </c>
      <c r="N1470">
        <v>0</v>
      </c>
      <c r="O1470">
        <v>0</v>
      </c>
      <c r="P1470">
        <v>0</v>
      </c>
      <c r="Q1470">
        <v>0</v>
      </c>
      <c r="R1470" s="3">
        <v>0</v>
      </c>
      <c r="S1470" s="3">
        <v>0</v>
      </c>
      <c r="T1470">
        <v>0</v>
      </c>
      <c r="U1470">
        <v>0</v>
      </c>
      <c r="V1470" s="3">
        <v>0</v>
      </c>
      <c r="W1470" s="3">
        <v>0</v>
      </c>
      <c r="X1470">
        <v>0</v>
      </c>
      <c r="Y1470" t="s">
        <v>1221</v>
      </c>
    </row>
    <row r="1471" spans="1:25" hidden="1" x14ac:dyDescent="0.25">
      <c r="A1471" s="1" t="s">
        <v>43</v>
      </c>
      <c r="B1471" s="1" t="s">
        <v>114</v>
      </c>
      <c r="C1471" s="1" t="s">
        <v>44</v>
      </c>
      <c r="D1471" s="1" t="s">
        <v>27</v>
      </c>
      <c r="E1471" s="2">
        <v>45902</v>
      </c>
      <c r="F1471" s="2">
        <v>45902</v>
      </c>
      <c r="G1471" s="3">
        <v>28</v>
      </c>
      <c r="H1471" s="4" t="s">
        <v>28</v>
      </c>
      <c r="I1471">
        <v>73</v>
      </c>
      <c r="J1471">
        <v>0</v>
      </c>
      <c r="K1471">
        <v>0</v>
      </c>
      <c r="L1471" s="3">
        <v>1</v>
      </c>
      <c r="M1471" s="3">
        <v>0</v>
      </c>
      <c r="N1471">
        <v>0</v>
      </c>
      <c r="O1471">
        <v>8</v>
      </c>
      <c r="P1471">
        <v>0</v>
      </c>
      <c r="Q1471">
        <v>0</v>
      </c>
      <c r="R1471" s="3">
        <v>0</v>
      </c>
      <c r="S1471" s="3">
        <v>0</v>
      </c>
      <c r="T1471">
        <v>0</v>
      </c>
      <c r="U1471">
        <v>0</v>
      </c>
      <c r="V1471" s="3">
        <v>0</v>
      </c>
      <c r="W1471" s="3">
        <v>0</v>
      </c>
      <c r="X1471">
        <v>0</v>
      </c>
      <c r="Y1471" t="s">
        <v>1236</v>
      </c>
    </row>
    <row r="1472" spans="1:25" hidden="1" x14ac:dyDescent="0.25">
      <c r="A1472" s="1" t="s">
        <v>47</v>
      </c>
      <c r="B1472" s="1" t="s">
        <v>137</v>
      </c>
      <c r="C1472" s="1" t="s">
        <v>55</v>
      </c>
      <c r="D1472" s="1" t="s">
        <v>27</v>
      </c>
      <c r="E1472" s="2">
        <v>45902</v>
      </c>
      <c r="F1472" s="2">
        <v>45902</v>
      </c>
      <c r="G1472" s="3">
        <v>50</v>
      </c>
      <c r="H1472" s="4" t="s">
        <v>28</v>
      </c>
      <c r="I1472">
        <v>51</v>
      </c>
      <c r="J1472">
        <v>0</v>
      </c>
      <c r="K1472">
        <v>0</v>
      </c>
      <c r="L1472" s="3">
        <v>0</v>
      </c>
      <c r="M1472" s="3">
        <v>0</v>
      </c>
      <c r="N1472">
        <v>0</v>
      </c>
      <c r="O1472">
        <v>0</v>
      </c>
      <c r="P1472">
        <v>0</v>
      </c>
      <c r="Q1472">
        <v>0</v>
      </c>
      <c r="R1472" s="3">
        <v>0</v>
      </c>
      <c r="S1472" s="3">
        <v>0</v>
      </c>
      <c r="T1472">
        <v>0</v>
      </c>
      <c r="U1472">
        <v>0</v>
      </c>
      <c r="V1472" s="3">
        <v>0</v>
      </c>
      <c r="W1472" s="3">
        <v>0</v>
      </c>
      <c r="X1472">
        <v>0</v>
      </c>
      <c r="Y1472" t="s">
        <v>1237</v>
      </c>
    </row>
    <row r="1473" spans="1:25" hidden="1" x14ac:dyDescent="0.25">
      <c r="A1473" s="1" t="s">
        <v>49</v>
      </c>
      <c r="B1473" s="1" t="s">
        <v>118</v>
      </c>
      <c r="C1473" s="1" t="s">
        <v>50</v>
      </c>
      <c r="D1473" s="1" t="s">
        <v>27</v>
      </c>
      <c r="E1473" s="2">
        <v>45902</v>
      </c>
      <c r="F1473" s="2">
        <v>45902</v>
      </c>
      <c r="G1473" s="3">
        <v>40</v>
      </c>
      <c r="H1473" s="4" t="s">
        <v>28</v>
      </c>
      <c r="I1473">
        <v>34</v>
      </c>
      <c r="J1473">
        <v>0</v>
      </c>
      <c r="K1473">
        <v>8</v>
      </c>
      <c r="L1473" s="3">
        <v>1</v>
      </c>
      <c r="M1473" s="3">
        <v>1</v>
      </c>
      <c r="N1473">
        <v>0</v>
      </c>
      <c r="O1473">
        <v>1</v>
      </c>
      <c r="P1473">
        <v>0</v>
      </c>
      <c r="Q1473">
        <v>36</v>
      </c>
      <c r="R1473" s="3">
        <v>0</v>
      </c>
      <c r="S1473" s="3">
        <v>0</v>
      </c>
      <c r="T1473">
        <v>0</v>
      </c>
      <c r="U1473">
        <v>0</v>
      </c>
      <c r="V1473" s="3">
        <v>0</v>
      </c>
      <c r="W1473" s="3">
        <v>0</v>
      </c>
      <c r="X1473">
        <v>0</v>
      </c>
      <c r="Y1473" t="s">
        <v>1238</v>
      </c>
    </row>
    <row r="1474" spans="1:25" hidden="1" x14ac:dyDescent="0.25">
      <c r="A1474" s="1" t="s">
        <v>51</v>
      </c>
      <c r="B1474" s="1" t="s">
        <v>120</v>
      </c>
      <c r="C1474" s="1" t="s">
        <v>46</v>
      </c>
      <c r="D1474" s="1" t="s">
        <v>27</v>
      </c>
      <c r="E1474" s="2">
        <v>45902</v>
      </c>
      <c r="F1474" s="2">
        <v>45902</v>
      </c>
      <c r="G1474" s="3">
        <v>49</v>
      </c>
      <c r="H1474" s="4" t="s">
        <v>28</v>
      </c>
      <c r="I1474">
        <v>48</v>
      </c>
      <c r="J1474">
        <v>0</v>
      </c>
      <c r="K1474">
        <v>0</v>
      </c>
      <c r="L1474" s="3">
        <v>0</v>
      </c>
      <c r="M1474" s="3">
        <v>0</v>
      </c>
      <c r="N1474">
        <v>0</v>
      </c>
      <c r="O1474">
        <v>0</v>
      </c>
      <c r="P1474">
        <v>0</v>
      </c>
      <c r="Q1474">
        <v>0</v>
      </c>
      <c r="R1474" s="3">
        <v>0</v>
      </c>
      <c r="S1474" s="3">
        <v>0</v>
      </c>
      <c r="T1474">
        <v>0</v>
      </c>
      <c r="U1474">
        <v>0</v>
      </c>
      <c r="V1474" s="3">
        <v>0</v>
      </c>
      <c r="W1474" s="3">
        <v>0</v>
      </c>
      <c r="X1474">
        <v>0</v>
      </c>
      <c r="Y1474" t="s">
        <v>1239</v>
      </c>
    </row>
    <row r="1475" spans="1:25" hidden="1" x14ac:dyDescent="0.25">
      <c r="A1475" s="1" t="s">
        <v>54</v>
      </c>
      <c r="B1475" s="1" t="s">
        <v>122</v>
      </c>
      <c r="C1475" s="1" t="s">
        <v>52</v>
      </c>
      <c r="D1475" s="1" t="s">
        <v>27</v>
      </c>
      <c r="E1475" s="2">
        <v>45902</v>
      </c>
      <c r="F1475" s="2">
        <v>45902</v>
      </c>
      <c r="G1475" s="3">
        <v>48</v>
      </c>
      <c r="H1475" s="4" t="s">
        <v>28</v>
      </c>
      <c r="I1475">
        <v>56</v>
      </c>
      <c r="J1475">
        <v>0</v>
      </c>
      <c r="K1475">
        <v>0</v>
      </c>
      <c r="L1475" s="3">
        <v>0</v>
      </c>
      <c r="M1475" s="3">
        <v>0</v>
      </c>
      <c r="N1475">
        <v>0</v>
      </c>
      <c r="O1475">
        <v>0</v>
      </c>
      <c r="P1475">
        <v>0</v>
      </c>
      <c r="Q1475">
        <v>2</v>
      </c>
      <c r="R1475" s="3">
        <v>0</v>
      </c>
      <c r="S1475" s="3">
        <v>0</v>
      </c>
      <c r="T1475">
        <v>0</v>
      </c>
      <c r="U1475">
        <v>0</v>
      </c>
      <c r="V1475" s="3">
        <v>0</v>
      </c>
      <c r="W1475" s="3">
        <v>0</v>
      </c>
      <c r="X1475">
        <v>0</v>
      </c>
      <c r="Y1475" t="s">
        <v>1240</v>
      </c>
    </row>
    <row r="1476" spans="1:25" hidden="1" x14ac:dyDescent="0.25">
      <c r="A1476" s="1" t="s">
        <v>53</v>
      </c>
      <c r="B1476" s="1" t="s">
        <v>142</v>
      </c>
      <c r="C1476" s="1" t="s">
        <v>39</v>
      </c>
      <c r="D1476" s="1" t="s">
        <v>27</v>
      </c>
      <c r="E1476" s="2">
        <v>45902</v>
      </c>
      <c r="F1476" s="2">
        <v>45902</v>
      </c>
      <c r="G1476" s="3">
        <v>45</v>
      </c>
      <c r="H1476" s="4" t="s">
        <v>28</v>
      </c>
      <c r="I1476">
        <v>23</v>
      </c>
      <c r="J1476">
        <v>0</v>
      </c>
      <c r="K1476">
        <v>0</v>
      </c>
      <c r="L1476" s="3">
        <v>1</v>
      </c>
      <c r="M1476" s="3">
        <v>0</v>
      </c>
      <c r="N1476">
        <v>0</v>
      </c>
      <c r="O1476">
        <v>0</v>
      </c>
      <c r="P1476">
        <v>0</v>
      </c>
      <c r="Q1476">
        <v>23</v>
      </c>
      <c r="R1476" s="3">
        <v>0</v>
      </c>
      <c r="S1476" s="3">
        <v>0</v>
      </c>
      <c r="T1476">
        <v>0</v>
      </c>
      <c r="U1476">
        <v>0</v>
      </c>
      <c r="V1476" s="3">
        <v>0</v>
      </c>
      <c r="W1476" s="3">
        <v>0</v>
      </c>
      <c r="X1476">
        <v>0</v>
      </c>
      <c r="Y1476" t="s">
        <v>1241</v>
      </c>
    </row>
    <row r="1477" spans="1:25" hidden="1" x14ac:dyDescent="0.25">
      <c r="A1477" s="1" t="s">
        <v>58</v>
      </c>
      <c r="B1477" s="1" t="s">
        <v>589</v>
      </c>
      <c r="C1477" s="1" t="s">
        <v>27</v>
      </c>
      <c r="D1477" s="1" t="s">
        <v>27</v>
      </c>
      <c r="E1477" s="2">
        <v>45902</v>
      </c>
      <c r="F1477" s="2">
        <v>45902</v>
      </c>
      <c r="G1477" s="3">
        <v>45</v>
      </c>
      <c r="H1477" s="4" t="s">
        <v>1153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1241</v>
      </c>
    </row>
    <row r="1478" spans="1:25" hidden="1" x14ac:dyDescent="0.25">
      <c r="A1478" s="1" t="s">
        <v>27</v>
      </c>
      <c r="B1478" s="1" t="s">
        <v>112</v>
      </c>
      <c r="C1478" s="1" t="s">
        <v>57</v>
      </c>
      <c r="D1478" s="1" t="s">
        <v>27</v>
      </c>
      <c r="E1478" s="2">
        <v>45902</v>
      </c>
      <c r="F1478" s="2">
        <v>45902</v>
      </c>
      <c r="G1478" s="3">
        <v>45</v>
      </c>
      <c r="H1478" s="4" t="s">
        <v>1153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1241</v>
      </c>
    </row>
    <row r="1479" spans="1:25" hidden="1" x14ac:dyDescent="0.25">
      <c r="A1479" s="1" t="s">
        <v>45</v>
      </c>
      <c r="B1479" s="1" t="s">
        <v>590</v>
      </c>
      <c r="C1479" s="1" t="s">
        <v>27</v>
      </c>
      <c r="D1479" s="1" t="s">
        <v>27</v>
      </c>
      <c r="E1479" s="2">
        <v>45902</v>
      </c>
      <c r="F1479" s="2">
        <v>45902</v>
      </c>
      <c r="G1479" s="3">
        <v>45</v>
      </c>
      <c r="H1479" s="4" t="s">
        <v>763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1241</v>
      </c>
    </row>
    <row r="1480" spans="1:25" hidden="1" x14ac:dyDescent="0.25">
      <c r="A1480" s="1" t="s">
        <v>48</v>
      </c>
      <c r="B1480" s="1" t="s">
        <v>591</v>
      </c>
      <c r="C1480" s="1" t="s">
        <v>27</v>
      </c>
      <c r="D1480" s="1" t="s">
        <v>27</v>
      </c>
      <c r="E1480" s="2">
        <v>45902</v>
      </c>
      <c r="F1480" s="2">
        <v>45902</v>
      </c>
      <c r="G1480" s="3">
        <v>45</v>
      </c>
      <c r="H1480" s="4" t="s">
        <v>1153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1241</v>
      </c>
    </row>
    <row r="1481" spans="1:25" hidden="1" x14ac:dyDescent="0.25">
      <c r="A1481" s="1" t="s">
        <v>56</v>
      </c>
      <c r="B1481" s="1" t="s">
        <v>98</v>
      </c>
      <c r="C1481" s="1" t="s">
        <v>37</v>
      </c>
      <c r="D1481" s="1" t="s">
        <v>27</v>
      </c>
      <c r="E1481" s="2">
        <v>45903</v>
      </c>
      <c r="F1481" s="2">
        <v>45903</v>
      </c>
      <c r="G1481" s="3">
        <v>28</v>
      </c>
      <c r="H1481" s="4" t="s">
        <v>28</v>
      </c>
      <c r="I1481">
        <v>77</v>
      </c>
      <c r="J1481">
        <v>0</v>
      </c>
      <c r="K1481">
        <v>0</v>
      </c>
      <c r="L1481" s="3">
        <v>1</v>
      </c>
      <c r="M1481" s="3">
        <v>0</v>
      </c>
      <c r="N1481">
        <v>0</v>
      </c>
      <c r="O1481">
        <v>0</v>
      </c>
      <c r="P1481">
        <v>0</v>
      </c>
      <c r="Q1481">
        <v>10</v>
      </c>
      <c r="R1481" s="3">
        <v>0</v>
      </c>
      <c r="S1481" s="3">
        <v>0</v>
      </c>
      <c r="T1481">
        <v>0</v>
      </c>
      <c r="U1481">
        <v>0</v>
      </c>
      <c r="V1481" s="3">
        <v>0</v>
      </c>
      <c r="W1481" s="3">
        <v>0</v>
      </c>
      <c r="X1481">
        <v>0</v>
      </c>
      <c r="Y1481" t="s">
        <v>1242</v>
      </c>
    </row>
    <row r="1482" spans="1:25" hidden="1" x14ac:dyDescent="0.25">
      <c r="A1482" s="1" t="s">
        <v>29</v>
      </c>
      <c r="B1482" s="1" t="s">
        <v>100</v>
      </c>
      <c r="C1482" s="1" t="s">
        <v>26</v>
      </c>
      <c r="D1482" s="1" t="s">
        <v>27</v>
      </c>
      <c r="E1482" s="2">
        <v>45903</v>
      </c>
      <c r="F1482" s="2">
        <v>45903</v>
      </c>
      <c r="G1482" s="3">
        <v>39</v>
      </c>
      <c r="H1482" s="4" t="s">
        <v>28</v>
      </c>
      <c r="I1482">
        <v>47</v>
      </c>
      <c r="J1482">
        <v>0</v>
      </c>
      <c r="K1482">
        <v>0</v>
      </c>
      <c r="L1482" s="3">
        <v>1</v>
      </c>
      <c r="M1482" s="3">
        <v>0</v>
      </c>
      <c r="N1482">
        <v>0</v>
      </c>
      <c r="O1482">
        <v>0</v>
      </c>
      <c r="P1482">
        <v>0</v>
      </c>
      <c r="Q1482">
        <v>0</v>
      </c>
      <c r="R1482" s="3">
        <v>0</v>
      </c>
      <c r="S1482" s="3">
        <v>0</v>
      </c>
      <c r="T1482">
        <v>0</v>
      </c>
      <c r="U1482">
        <v>0</v>
      </c>
      <c r="V1482" s="3">
        <v>0</v>
      </c>
      <c r="W1482" s="3">
        <v>0</v>
      </c>
      <c r="X1482">
        <v>0</v>
      </c>
      <c r="Y1482" t="s">
        <v>1243</v>
      </c>
    </row>
    <row r="1483" spans="1:25" hidden="1" x14ac:dyDescent="0.25">
      <c r="A1483" s="1" t="s">
        <v>344</v>
      </c>
      <c r="B1483" s="1" t="s">
        <v>102</v>
      </c>
      <c r="C1483" s="1" t="s">
        <v>35</v>
      </c>
      <c r="D1483" s="1" t="s">
        <v>27</v>
      </c>
      <c r="E1483" s="2">
        <v>45903</v>
      </c>
      <c r="F1483" s="2">
        <v>45903</v>
      </c>
      <c r="G1483" s="3">
        <v>23</v>
      </c>
      <c r="H1483" s="4" t="s">
        <v>28</v>
      </c>
      <c r="I1483">
        <v>28</v>
      </c>
      <c r="J1483">
        <v>0</v>
      </c>
      <c r="K1483">
        <v>0</v>
      </c>
      <c r="L1483" s="3">
        <v>0</v>
      </c>
      <c r="M1483" s="3">
        <v>0</v>
      </c>
      <c r="N1483">
        <v>0</v>
      </c>
      <c r="O1483">
        <v>0</v>
      </c>
      <c r="P1483">
        <v>0</v>
      </c>
      <c r="Q1483">
        <v>0</v>
      </c>
      <c r="R1483" s="3">
        <v>0</v>
      </c>
      <c r="S1483" s="3">
        <v>0</v>
      </c>
      <c r="T1483">
        <v>0</v>
      </c>
      <c r="U1483">
        <v>0</v>
      </c>
      <c r="V1483" s="3">
        <v>0</v>
      </c>
      <c r="W1483" s="3">
        <v>0</v>
      </c>
      <c r="X1483">
        <v>0</v>
      </c>
      <c r="Y1483" t="s">
        <v>1231</v>
      </c>
    </row>
    <row r="1484" spans="1:25" hidden="1" x14ac:dyDescent="0.25">
      <c r="A1484" s="1" t="s">
        <v>31</v>
      </c>
      <c r="B1484" s="1" t="s">
        <v>104</v>
      </c>
      <c r="C1484" s="1" t="s">
        <v>32</v>
      </c>
      <c r="D1484" s="1" t="s">
        <v>27</v>
      </c>
      <c r="E1484" s="2">
        <v>45903</v>
      </c>
      <c r="F1484" s="2">
        <v>45903</v>
      </c>
      <c r="G1484" s="3">
        <v>89</v>
      </c>
      <c r="H1484" s="4" t="s">
        <v>28</v>
      </c>
      <c r="I1484">
        <v>94</v>
      </c>
      <c r="J1484">
        <v>0</v>
      </c>
      <c r="K1484">
        <v>0</v>
      </c>
      <c r="L1484" s="3">
        <v>1</v>
      </c>
      <c r="M1484" s="3">
        <v>0</v>
      </c>
      <c r="N1484">
        <v>0</v>
      </c>
      <c r="O1484">
        <v>0</v>
      </c>
      <c r="P1484">
        <v>0</v>
      </c>
      <c r="Q1484">
        <v>56</v>
      </c>
      <c r="R1484" s="3">
        <v>0</v>
      </c>
      <c r="S1484" s="3">
        <v>0</v>
      </c>
      <c r="T1484">
        <v>0</v>
      </c>
      <c r="U1484">
        <v>0</v>
      </c>
      <c r="V1484" s="3">
        <v>0</v>
      </c>
      <c r="W1484" s="3">
        <v>0</v>
      </c>
      <c r="X1484">
        <v>1</v>
      </c>
      <c r="Y1484" t="s">
        <v>1244</v>
      </c>
    </row>
    <row r="1485" spans="1:25" hidden="1" x14ac:dyDescent="0.25">
      <c r="A1485" s="1" t="s">
        <v>33</v>
      </c>
      <c r="B1485" s="1" t="s">
        <v>106</v>
      </c>
      <c r="C1485" s="1" t="s">
        <v>57</v>
      </c>
      <c r="D1485" s="1" t="s">
        <v>27</v>
      </c>
      <c r="E1485" s="2">
        <v>45903</v>
      </c>
      <c r="F1485" s="2">
        <v>45903</v>
      </c>
      <c r="G1485" s="3">
        <v>28</v>
      </c>
      <c r="H1485" s="4" t="s">
        <v>28</v>
      </c>
      <c r="I1485">
        <v>46</v>
      </c>
      <c r="J1485">
        <v>0</v>
      </c>
      <c r="K1485">
        <v>0</v>
      </c>
      <c r="L1485" s="3">
        <v>0</v>
      </c>
      <c r="M1485" s="3">
        <v>0</v>
      </c>
      <c r="N1485">
        <v>0</v>
      </c>
      <c r="O1485">
        <v>0</v>
      </c>
      <c r="P1485">
        <v>0</v>
      </c>
      <c r="Q1485">
        <v>18</v>
      </c>
      <c r="R1485" s="3">
        <v>0</v>
      </c>
      <c r="S1485" s="3">
        <v>0</v>
      </c>
      <c r="T1485">
        <v>0</v>
      </c>
      <c r="U1485">
        <v>0</v>
      </c>
      <c r="V1485" s="3">
        <v>0</v>
      </c>
      <c r="W1485" s="3">
        <v>0</v>
      </c>
      <c r="X1485">
        <v>0</v>
      </c>
      <c r="Y1485" t="s">
        <v>1245</v>
      </c>
    </row>
    <row r="1486" spans="1:25" hidden="1" x14ac:dyDescent="0.25">
      <c r="A1486" s="1" t="s">
        <v>38</v>
      </c>
      <c r="B1486" s="1" t="s">
        <v>108</v>
      </c>
      <c r="C1486" s="1" t="s">
        <v>27</v>
      </c>
      <c r="D1486" s="1" t="s">
        <v>27</v>
      </c>
      <c r="E1486" s="2">
        <v>45903</v>
      </c>
      <c r="F1486" s="2">
        <v>45903</v>
      </c>
      <c r="G1486" s="3">
        <v>41</v>
      </c>
      <c r="H1486" s="4" t="s">
        <v>28</v>
      </c>
      <c r="I1486">
        <v>29</v>
      </c>
      <c r="J1486">
        <v>0</v>
      </c>
      <c r="K1486">
        <v>0</v>
      </c>
      <c r="L1486" s="3">
        <v>0</v>
      </c>
      <c r="M1486" s="3">
        <v>0</v>
      </c>
      <c r="N1486">
        <v>0</v>
      </c>
      <c r="O1486">
        <v>0</v>
      </c>
      <c r="P1486">
        <v>0</v>
      </c>
      <c r="Q1486">
        <v>29</v>
      </c>
      <c r="R1486" s="3">
        <v>0</v>
      </c>
      <c r="S1486" s="3">
        <v>0</v>
      </c>
      <c r="T1486">
        <v>0</v>
      </c>
      <c r="U1486">
        <v>0</v>
      </c>
      <c r="V1486" s="3">
        <v>0</v>
      </c>
      <c r="W1486" s="3">
        <v>0</v>
      </c>
      <c r="X1486">
        <v>0</v>
      </c>
      <c r="Y1486" t="s">
        <v>1246</v>
      </c>
    </row>
    <row r="1487" spans="1:25" hidden="1" x14ac:dyDescent="0.25">
      <c r="A1487" s="1" t="s">
        <v>40</v>
      </c>
      <c r="B1487" s="1" t="s">
        <v>110</v>
      </c>
      <c r="C1487" s="1" t="s">
        <v>27</v>
      </c>
      <c r="D1487" s="1" t="s">
        <v>27</v>
      </c>
      <c r="E1487" s="2">
        <v>45903</v>
      </c>
      <c r="F1487" s="2">
        <v>45903</v>
      </c>
      <c r="G1487" s="3">
        <v>80</v>
      </c>
      <c r="H1487" s="4" t="s">
        <v>28</v>
      </c>
      <c r="I1487">
        <v>64</v>
      </c>
      <c r="J1487">
        <v>0</v>
      </c>
      <c r="K1487">
        <v>0</v>
      </c>
      <c r="L1487" s="3">
        <v>1</v>
      </c>
      <c r="M1487" s="3">
        <v>0</v>
      </c>
      <c r="N1487">
        <v>1</v>
      </c>
      <c r="O1487">
        <v>0</v>
      </c>
      <c r="P1487">
        <v>0</v>
      </c>
      <c r="Q1487">
        <v>0</v>
      </c>
      <c r="R1487" s="3">
        <v>0</v>
      </c>
      <c r="S1487" s="3">
        <v>0</v>
      </c>
      <c r="T1487">
        <v>0</v>
      </c>
      <c r="U1487">
        <v>0</v>
      </c>
      <c r="V1487" s="3">
        <v>0</v>
      </c>
      <c r="W1487" s="3">
        <v>0</v>
      </c>
      <c r="X1487">
        <v>0</v>
      </c>
      <c r="Y1487" t="s">
        <v>1247</v>
      </c>
    </row>
    <row r="1488" spans="1:25" hidden="1" x14ac:dyDescent="0.25">
      <c r="A1488" s="1" t="s">
        <v>36</v>
      </c>
      <c r="B1488" s="1" t="s">
        <v>110</v>
      </c>
      <c r="C1488" s="1" t="s">
        <v>27</v>
      </c>
      <c r="D1488" s="1" t="s">
        <v>27</v>
      </c>
      <c r="E1488" s="2">
        <v>45903</v>
      </c>
      <c r="F1488" s="2">
        <v>45903</v>
      </c>
      <c r="G1488" s="3">
        <v>80</v>
      </c>
      <c r="H1488" s="4" t="s">
        <v>28</v>
      </c>
      <c r="I1488">
        <v>64</v>
      </c>
      <c r="J1488">
        <v>0</v>
      </c>
      <c r="K1488">
        <v>0</v>
      </c>
      <c r="L1488" s="3">
        <v>1</v>
      </c>
      <c r="M1488" s="3">
        <v>0</v>
      </c>
      <c r="N1488">
        <v>1</v>
      </c>
      <c r="O1488">
        <v>0</v>
      </c>
      <c r="P1488">
        <v>0</v>
      </c>
      <c r="Q1488">
        <v>0</v>
      </c>
      <c r="R1488" s="3">
        <v>0</v>
      </c>
      <c r="S1488" s="3">
        <v>0</v>
      </c>
      <c r="T1488">
        <v>0</v>
      </c>
      <c r="U1488">
        <v>0</v>
      </c>
      <c r="V1488" s="3">
        <v>0</v>
      </c>
      <c r="W1488" s="3">
        <v>0</v>
      </c>
      <c r="X1488">
        <v>0</v>
      </c>
      <c r="Y1488" t="s">
        <v>1247</v>
      </c>
    </row>
    <row r="1489" spans="1:25" hidden="1" x14ac:dyDescent="0.25">
      <c r="A1489" s="1" t="s">
        <v>41</v>
      </c>
      <c r="B1489" s="1" t="s">
        <v>112</v>
      </c>
      <c r="C1489" s="1" t="s">
        <v>42</v>
      </c>
      <c r="D1489" s="1" t="s">
        <v>27</v>
      </c>
      <c r="E1489" s="2">
        <v>45903</v>
      </c>
      <c r="F1489" s="2">
        <v>45903</v>
      </c>
      <c r="G1489" s="3">
        <v>58</v>
      </c>
      <c r="H1489" s="4" t="s">
        <v>28</v>
      </c>
      <c r="I1489">
        <v>93</v>
      </c>
      <c r="J1489">
        <v>0</v>
      </c>
      <c r="K1489">
        <v>0</v>
      </c>
      <c r="L1489" s="3">
        <v>1</v>
      </c>
      <c r="M1489" s="3">
        <v>0</v>
      </c>
      <c r="N1489">
        <v>0</v>
      </c>
      <c r="O1489">
        <v>0</v>
      </c>
      <c r="P1489">
        <v>0</v>
      </c>
      <c r="Q1489">
        <v>0</v>
      </c>
      <c r="R1489" s="3">
        <v>0</v>
      </c>
      <c r="S1489" s="3">
        <v>0</v>
      </c>
      <c r="T1489">
        <v>0</v>
      </c>
      <c r="U1489">
        <v>0</v>
      </c>
      <c r="V1489" s="3">
        <v>0</v>
      </c>
      <c r="W1489" s="3">
        <v>0</v>
      </c>
      <c r="X1489">
        <v>0</v>
      </c>
      <c r="Y1489" t="s">
        <v>1221</v>
      </c>
    </row>
    <row r="1490" spans="1:25" hidden="1" x14ac:dyDescent="0.25">
      <c r="A1490" s="1" t="s">
        <v>25</v>
      </c>
      <c r="B1490" s="1" t="s">
        <v>114</v>
      </c>
      <c r="C1490" s="1" t="s">
        <v>44</v>
      </c>
      <c r="D1490" s="1" t="s">
        <v>27</v>
      </c>
      <c r="E1490" s="2">
        <v>45903</v>
      </c>
      <c r="F1490" s="2">
        <v>45903</v>
      </c>
      <c r="G1490" s="3">
        <v>32</v>
      </c>
      <c r="H1490" s="4" t="s">
        <v>28</v>
      </c>
      <c r="I1490">
        <v>54</v>
      </c>
      <c r="J1490">
        <v>0</v>
      </c>
      <c r="K1490">
        <v>0</v>
      </c>
      <c r="L1490" s="3">
        <v>1</v>
      </c>
      <c r="M1490" s="3">
        <v>0</v>
      </c>
      <c r="N1490">
        <v>0</v>
      </c>
      <c r="O1490">
        <v>0</v>
      </c>
      <c r="P1490">
        <v>0</v>
      </c>
      <c r="Q1490">
        <v>0</v>
      </c>
      <c r="R1490" s="3">
        <v>0</v>
      </c>
      <c r="S1490" s="3">
        <v>0</v>
      </c>
      <c r="T1490">
        <v>0</v>
      </c>
      <c r="U1490">
        <v>0</v>
      </c>
      <c r="V1490" s="3">
        <v>0</v>
      </c>
      <c r="W1490" s="3">
        <v>0</v>
      </c>
      <c r="X1490">
        <v>0</v>
      </c>
      <c r="Y1490" t="s">
        <v>1248</v>
      </c>
    </row>
    <row r="1491" spans="1:25" hidden="1" x14ac:dyDescent="0.25">
      <c r="A1491" s="1" t="s">
        <v>47</v>
      </c>
      <c r="B1491" s="1" t="s">
        <v>137</v>
      </c>
      <c r="C1491" s="1" t="s">
        <v>27</v>
      </c>
      <c r="D1491" s="1" t="s">
        <v>27</v>
      </c>
      <c r="E1491" s="2">
        <v>45903</v>
      </c>
      <c r="F1491" s="2">
        <v>45903</v>
      </c>
      <c r="G1491" s="3">
        <v>44</v>
      </c>
      <c r="H1491" s="4" t="s">
        <v>28</v>
      </c>
      <c r="I1491">
        <v>5</v>
      </c>
      <c r="J1491">
        <v>0</v>
      </c>
      <c r="K1491">
        <v>0</v>
      </c>
      <c r="L1491" s="3">
        <v>1</v>
      </c>
      <c r="M1491" s="3">
        <v>0</v>
      </c>
      <c r="N1491">
        <v>0</v>
      </c>
      <c r="O1491">
        <v>0</v>
      </c>
      <c r="P1491">
        <v>10</v>
      </c>
      <c r="Q1491">
        <v>25</v>
      </c>
      <c r="R1491" s="3">
        <v>0</v>
      </c>
      <c r="S1491" s="3">
        <v>0</v>
      </c>
      <c r="T1491">
        <v>0</v>
      </c>
      <c r="U1491">
        <v>0</v>
      </c>
      <c r="V1491" s="3">
        <v>0</v>
      </c>
      <c r="W1491" s="3">
        <v>0</v>
      </c>
      <c r="X1491">
        <v>0</v>
      </c>
      <c r="Y1491" t="s">
        <v>1249</v>
      </c>
    </row>
    <row r="1492" spans="1:25" hidden="1" x14ac:dyDescent="0.25">
      <c r="A1492" s="1" t="s">
        <v>34</v>
      </c>
      <c r="B1492" s="1" t="s">
        <v>137</v>
      </c>
      <c r="C1492" s="1" t="s">
        <v>27</v>
      </c>
      <c r="D1492" s="1" t="s">
        <v>27</v>
      </c>
      <c r="E1492" s="2">
        <v>45903</v>
      </c>
      <c r="F1492" s="2">
        <v>45903</v>
      </c>
      <c r="G1492" s="3">
        <v>44</v>
      </c>
      <c r="H1492" s="4" t="s">
        <v>28</v>
      </c>
      <c r="I1492">
        <v>65</v>
      </c>
      <c r="J1492">
        <v>0</v>
      </c>
      <c r="K1492">
        <v>0</v>
      </c>
      <c r="L1492" s="3">
        <v>1</v>
      </c>
      <c r="M1492" s="3">
        <v>0</v>
      </c>
      <c r="N1492">
        <v>0</v>
      </c>
      <c r="O1492">
        <v>0</v>
      </c>
      <c r="P1492">
        <v>10</v>
      </c>
      <c r="Q1492">
        <v>25</v>
      </c>
      <c r="R1492" s="3">
        <v>0</v>
      </c>
      <c r="S1492" s="3">
        <v>0</v>
      </c>
      <c r="T1492">
        <v>0</v>
      </c>
      <c r="U1492">
        <v>0</v>
      </c>
      <c r="V1492" s="3">
        <v>0</v>
      </c>
      <c r="W1492" s="3">
        <v>0</v>
      </c>
      <c r="X1492">
        <v>0</v>
      </c>
      <c r="Y1492" t="s">
        <v>1249</v>
      </c>
    </row>
    <row r="1493" spans="1:25" hidden="1" x14ac:dyDescent="0.25">
      <c r="A1493" s="1" t="s">
        <v>49</v>
      </c>
      <c r="B1493" s="1" t="s">
        <v>118</v>
      </c>
      <c r="C1493" s="1" t="s">
        <v>50</v>
      </c>
      <c r="D1493" s="1" t="s">
        <v>27</v>
      </c>
      <c r="E1493" s="2">
        <v>45903</v>
      </c>
      <c r="F1493" s="2">
        <v>45903</v>
      </c>
      <c r="G1493" s="3">
        <v>40</v>
      </c>
      <c r="H1493" s="4" t="s">
        <v>28</v>
      </c>
      <c r="I1493">
        <v>62</v>
      </c>
      <c r="J1493">
        <v>0</v>
      </c>
      <c r="K1493">
        <v>8</v>
      </c>
      <c r="L1493" s="3">
        <v>1</v>
      </c>
      <c r="M1493" s="3">
        <v>1</v>
      </c>
      <c r="N1493">
        <v>0</v>
      </c>
      <c r="O1493">
        <v>1</v>
      </c>
      <c r="P1493">
        <v>0</v>
      </c>
      <c r="Q1493">
        <v>36</v>
      </c>
      <c r="R1493" s="3">
        <v>0</v>
      </c>
      <c r="S1493" s="3">
        <v>0</v>
      </c>
      <c r="T1493">
        <v>0</v>
      </c>
      <c r="U1493">
        <v>0</v>
      </c>
      <c r="V1493" s="3">
        <v>0</v>
      </c>
      <c r="W1493" s="3">
        <v>0</v>
      </c>
      <c r="X1493">
        <v>0</v>
      </c>
      <c r="Y1493" t="s">
        <v>1238</v>
      </c>
    </row>
    <row r="1494" spans="1:25" hidden="1" x14ac:dyDescent="0.25">
      <c r="A1494" s="1" t="s">
        <v>51</v>
      </c>
      <c r="B1494" s="1" t="s">
        <v>120</v>
      </c>
      <c r="C1494" s="1" t="s">
        <v>55</v>
      </c>
      <c r="D1494" s="1" t="s">
        <v>27</v>
      </c>
      <c r="E1494" s="2">
        <v>45903</v>
      </c>
      <c r="F1494" s="2">
        <v>45903</v>
      </c>
      <c r="G1494" s="3">
        <v>53</v>
      </c>
      <c r="H1494" s="4" t="s">
        <v>28</v>
      </c>
      <c r="I1494">
        <v>53</v>
      </c>
      <c r="J1494">
        <v>0</v>
      </c>
      <c r="K1494">
        <v>0</v>
      </c>
      <c r="L1494" s="3">
        <v>1</v>
      </c>
      <c r="M1494" s="3">
        <v>0</v>
      </c>
      <c r="N1494">
        <v>1</v>
      </c>
      <c r="O1494">
        <v>0</v>
      </c>
      <c r="P1494">
        <v>0</v>
      </c>
      <c r="Q1494">
        <v>0</v>
      </c>
      <c r="R1494" s="3">
        <v>0</v>
      </c>
      <c r="S1494" s="3">
        <v>0</v>
      </c>
      <c r="T1494">
        <v>0</v>
      </c>
      <c r="U1494">
        <v>0</v>
      </c>
      <c r="V1494" s="3">
        <v>0</v>
      </c>
      <c r="W1494" s="3">
        <v>0</v>
      </c>
      <c r="X1494">
        <v>0</v>
      </c>
      <c r="Y1494" t="s">
        <v>1250</v>
      </c>
    </row>
    <row r="1495" spans="1:25" hidden="1" x14ac:dyDescent="0.25">
      <c r="A1495" s="1" t="s">
        <v>54</v>
      </c>
      <c r="B1495" s="1" t="s">
        <v>122</v>
      </c>
      <c r="C1495" s="1" t="s">
        <v>52</v>
      </c>
      <c r="D1495" s="1" t="s">
        <v>27</v>
      </c>
      <c r="E1495" s="2">
        <v>45903</v>
      </c>
      <c r="F1495" s="2">
        <v>45903</v>
      </c>
      <c r="G1495" s="3">
        <v>38</v>
      </c>
      <c r="H1495" s="4" t="s">
        <v>28</v>
      </c>
      <c r="I1495">
        <v>50</v>
      </c>
      <c r="J1495">
        <v>0</v>
      </c>
      <c r="K1495">
        <v>0</v>
      </c>
      <c r="L1495" s="3">
        <v>0</v>
      </c>
      <c r="M1495" s="3">
        <v>0</v>
      </c>
      <c r="N1495">
        <v>0</v>
      </c>
      <c r="O1495">
        <v>0</v>
      </c>
      <c r="P1495">
        <v>0</v>
      </c>
      <c r="Q1495">
        <v>2</v>
      </c>
      <c r="R1495" s="3">
        <v>0</v>
      </c>
      <c r="S1495" s="3">
        <v>0</v>
      </c>
      <c r="T1495">
        <v>0</v>
      </c>
      <c r="U1495">
        <v>0</v>
      </c>
      <c r="V1495" s="3">
        <v>0</v>
      </c>
      <c r="W1495" s="3">
        <v>0</v>
      </c>
      <c r="X1495">
        <v>0</v>
      </c>
      <c r="Y1495" t="s">
        <v>1251</v>
      </c>
    </row>
    <row r="1496" spans="1:25" hidden="1" x14ac:dyDescent="0.25">
      <c r="A1496" s="1" t="s">
        <v>48</v>
      </c>
      <c r="B1496" s="1" t="s">
        <v>149</v>
      </c>
      <c r="C1496" s="1" t="s">
        <v>46</v>
      </c>
      <c r="D1496" s="1" t="s">
        <v>27</v>
      </c>
      <c r="E1496" s="2">
        <v>45903</v>
      </c>
      <c r="F1496" s="2">
        <v>45903</v>
      </c>
      <c r="G1496" s="3">
        <v>33</v>
      </c>
      <c r="H1496" s="4" t="s">
        <v>28</v>
      </c>
      <c r="I1496">
        <v>85</v>
      </c>
      <c r="J1496">
        <v>0</v>
      </c>
      <c r="K1496">
        <v>0</v>
      </c>
      <c r="L1496" s="3">
        <v>0</v>
      </c>
      <c r="M1496" s="3">
        <v>0</v>
      </c>
      <c r="N1496">
        <v>0</v>
      </c>
      <c r="O1496">
        <v>0</v>
      </c>
      <c r="P1496">
        <v>0</v>
      </c>
      <c r="Q1496">
        <v>0</v>
      </c>
      <c r="R1496" s="3">
        <v>0</v>
      </c>
      <c r="S1496" s="3">
        <v>0</v>
      </c>
      <c r="T1496">
        <v>0</v>
      </c>
      <c r="U1496">
        <v>0</v>
      </c>
      <c r="V1496" s="3">
        <v>0</v>
      </c>
      <c r="W1496" s="3">
        <v>0</v>
      </c>
      <c r="X1496">
        <v>0</v>
      </c>
      <c r="Y1496" t="s">
        <v>1252</v>
      </c>
    </row>
    <row r="1497" spans="1:25" hidden="1" x14ac:dyDescent="0.25">
      <c r="A1497" s="1" t="s">
        <v>53</v>
      </c>
      <c r="B1497" s="1" t="s">
        <v>142</v>
      </c>
      <c r="C1497" s="1" t="s">
        <v>39</v>
      </c>
      <c r="D1497" s="1" t="s">
        <v>27</v>
      </c>
      <c r="E1497" s="2">
        <v>45903</v>
      </c>
      <c r="F1497" s="2">
        <v>45903</v>
      </c>
      <c r="G1497" s="3">
        <v>48</v>
      </c>
      <c r="H1497" s="4" t="s">
        <v>28</v>
      </c>
      <c r="I1497">
        <v>32</v>
      </c>
      <c r="J1497">
        <v>0</v>
      </c>
      <c r="K1497">
        <v>0</v>
      </c>
      <c r="L1497" s="3">
        <v>1</v>
      </c>
      <c r="M1497" s="3">
        <v>0</v>
      </c>
      <c r="N1497">
        <v>0</v>
      </c>
      <c r="O1497">
        <v>0</v>
      </c>
      <c r="P1497">
        <v>0</v>
      </c>
      <c r="Q1497">
        <v>32</v>
      </c>
      <c r="R1497" s="3">
        <v>0</v>
      </c>
      <c r="S1497" s="3">
        <v>0</v>
      </c>
      <c r="T1497">
        <v>0</v>
      </c>
      <c r="U1497">
        <v>0</v>
      </c>
      <c r="V1497" s="3">
        <v>0</v>
      </c>
      <c r="W1497" s="3">
        <v>0</v>
      </c>
      <c r="X1497">
        <v>0</v>
      </c>
      <c r="Y1497" t="s">
        <v>1253</v>
      </c>
    </row>
    <row r="1498" spans="1:25" hidden="1" x14ac:dyDescent="0.25">
      <c r="A1498" s="1" t="s">
        <v>58</v>
      </c>
      <c r="B1498" s="1" t="s">
        <v>144</v>
      </c>
      <c r="C1498" s="1" t="s">
        <v>489</v>
      </c>
      <c r="D1498" s="1" t="s">
        <v>27</v>
      </c>
      <c r="E1498" s="2">
        <v>45903</v>
      </c>
      <c r="F1498" s="2">
        <v>45903</v>
      </c>
      <c r="G1498" s="3">
        <v>23</v>
      </c>
      <c r="H1498" s="4" t="s">
        <v>28</v>
      </c>
      <c r="I1498">
        <v>59</v>
      </c>
      <c r="J1498">
        <v>0</v>
      </c>
      <c r="K1498">
        <v>0</v>
      </c>
      <c r="L1498" s="3">
        <v>1</v>
      </c>
      <c r="M1498" s="3">
        <v>0</v>
      </c>
      <c r="N1498">
        <v>0</v>
      </c>
      <c r="O1498">
        <v>0</v>
      </c>
      <c r="P1498">
        <v>2</v>
      </c>
      <c r="Q1498">
        <v>35</v>
      </c>
      <c r="R1498" s="3">
        <v>0</v>
      </c>
      <c r="S1498" s="3">
        <v>0</v>
      </c>
      <c r="T1498">
        <v>0</v>
      </c>
      <c r="U1498">
        <v>0</v>
      </c>
      <c r="V1498" s="3">
        <v>0</v>
      </c>
      <c r="W1498" s="3">
        <v>0</v>
      </c>
      <c r="X1498">
        <v>0</v>
      </c>
      <c r="Y1498" t="s">
        <v>1254</v>
      </c>
    </row>
    <row r="1499" spans="1:25" hidden="1" x14ac:dyDescent="0.25">
      <c r="A1499" s="1" t="s">
        <v>43</v>
      </c>
      <c r="B1499" s="1" t="s">
        <v>106</v>
      </c>
      <c r="C1499" s="1" t="s">
        <v>27</v>
      </c>
      <c r="D1499" s="1" t="s">
        <v>27</v>
      </c>
      <c r="E1499" s="2">
        <v>45903</v>
      </c>
      <c r="F1499" s="2">
        <v>45903</v>
      </c>
      <c r="G1499" s="3">
        <v>24</v>
      </c>
      <c r="H1499" s="4" t="s">
        <v>1255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s="11" t="s">
        <v>1254</v>
      </c>
    </row>
    <row r="1500" spans="1:25" hidden="1" x14ac:dyDescent="0.25">
      <c r="A1500" s="1" t="s">
        <v>45</v>
      </c>
      <c r="B1500" s="1" t="s">
        <v>182</v>
      </c>
      <c r="C1500" s="1" t="s">
        <v>27</v>
      </c>
      <c r="D1500" s="1" t="s">
        <v>27</v>
      </c>
      <c r="E1500" s="2">
        <v>45903</v>
      </c>
      <c r="F1500" s="2">
        <v>45903</v>
      </c>
      <c r="G1500" s="3">
        <v>25</v>
      </c>
      <c r="H1500" s="4" t="s">
        <v>1256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1254</v>
      </c>
    </row>
    <row r="1501" spans="1:25" hidden="1" x14ac:dyDescent="0.25">
      <c r="A1501" s="1" t="s">
        <v>25</v>
      </c>
      <c r="B1501" s="1" t="s">
        <v>96</v>
      </c>
      <c r="C1501" s="1" t="s">
        <v>26</v>
      </c>
      <c r="D1501" s="1" t="s">
        <v>27</v>
      </c>
      <c r="E1501" s="2">
        <v>45904</v>
      </c>
      <c r="F1501" s="2">
        <v>45904</v>
      </c>
      <c r="G1501" s="3">
        <v>66</v>
      </c>
      <c r="H1501" s="4" t="s">
        <v>28</v>
      </c>
      <c r="I1501">
        <v>56</v>
      </c>
      <c r="J1501">
        <v>0</v>
      </c>
      <c r="K1501">
        <v>0</v>
      </c>
      <c r="L1501" s="3">
        <v>1</v>
      </c>
      <c r="M1501" s="3">
        <v>0</v>
      </c>
      <c r="N1501">
        <v>0</v>
      </c>
      <c r="O1501">
        <v>0</v>
      </c>
      <c r="P1501">
        <v>0</v>
      </c>
      <c r="Q1501">
        <v>15</v>
      </c>
      <c r="R1501" s="3">
        <v>0</v>
      </c>
      <c r="S1501" s="3">
        <v>0</v>
      </c>
      <c r="T1501">
        <v>0</v>
      </c>
      <c r="U1501">
        <v>0</v>
      </c>
      <c r="V1501" s="3">
        <v>0</v>
      </c>
      <c r="W1501" s="3">
        <v>0</v>
      </c>
      <c r="X1501">
        <v>0</v>
      </c>
      <c r="Y1501" t="s">
        <v>1257</v>
      </c>
    </row>
    <row r="1502" spans="1:25" hidden="1" x14ac:dyDescent="0.25">
      <c r="A1502" s="1" t="s">
        <v>56</v>
      </c>
      <c r="B1502" s="1" t="s">
        <v>98</v>
      </c>
      <c r="C1502" s="1" t="s">
        <v>37</v>
      </c>
      <c r="D1502" s="1" t="s">
        <v>27</v>
      </c>
      <c r="E1502" s="2">
        <v>45904</v>
      </c>
      <c r="F1502" s="2">
        <v>45904</v>
      </c>
      <c r="G1502" s="3">
        <v>31</v>
      </c>
      <c r="H1502" s="4" t="s">
        <v>28</v>
      </c>
      <c r="I1502">
        <v>33</v>
      </c>
      <c r="J1502">
        <v>0</v>
      </c>
      <c r="K1502">
        <v>0</v>
      </c>
      <c r="L1502" s="3">
        <v>1</v>
      </c>
      <c r="M1502" s="3">
        <v>0</v>
      </c>
      <c r="N1502">
        <v>0</v>
      </c>
      <c r="O1502">
        <v>0</v>
      </c>
      <c r="P1502">
        <v>0</v>
      </c>
      <c r="Q1502">
        <v>10</v>
      </c>
      <c r="R1502" s="3">
        <v>0</v>
      </c>
      <c r="S1502" s="3">
        <v>0</v>
      </c>
      <c r="T1502">
        <v>0</v>
      </c>
      <c r="U1502">
        <v>0</v>
      </c>
      <c r="V1502" s="3">
        <v>0</v>
      </c>
      <c r="W1502" s="3">
        <v>0</v>
      </c>
      <c r="X1502">
        <v>0</v>
      </c>
      <c r="Y1502" t="s">
        <v>1258</v>
      </c>
    </row>
    <row r="1503" spans="1:25" hidden="1" x14ac:dyDescent="0.25">
      <c r="A1503" s="1" t="s">
        <v>29</v>
      </c>
      <c r="B1503" s="1" t="s">
        <v>100</v>
      </c>
      <c r="C1503" s="1" t="s">
        <v>489</v>
      </c>
      <c r="D1503" s="1" t="s">
        <v>27</v>
      </c>
      <c r="E1503" s="2">
        <v>45904</v>
      </c>
      <c r="F1503" s="2">
        <v>45904</v>
      </c>
      <c r="G1503" s="3">
        <v>29</v>
      </c>
      <c r="H1503" s="4" t="s">
        <v>28</v>
      </c>
      <c r="I1503">
        <v>34</v>
      </c>
      <c r="J1503">
        <v>0</v>
      </c>
      <c r="K1503">
        <v>0</v>
      </c>
      <c r="L1503" s="3">
        <v>0</v>
      </c>
      <c r="M1503" s="3">
        <v>0</v>
      </c>
      <c r="N1503">
        <v>0</v>
      </c>
      <c r="O1503">
        <v>0</v>
      </c>
      <c r="P1503">
        <v>8</v>
      </c>
      <c r="Q1503">
        <v>12</v>
      </c>
      <c r="R1503" s="3">
        <v>0</v>
      </c>
      <c r="S1503" s="3">
        <v>0</v>
      </c>
      <c r="T1503">
        <v>0</v>
      </c>
      <c r="U1503">
        <v>0</v>
      </c>
      <c r="V1503" s="3">
        <v>0</v>
      </c>
      <c r="W1503" s="3">
        <v>0</v>
      </c>
      <c r="X1503">
        <v>1</v>
      </c>
      <c r="Y1503" t="s">
        <v>1259</v>
      </c>
    </row>
    <row r="1504" spans="1:25" hidden="1" x14ac:dyDescent="0.25">
      <c r="A1504" s="1" t="s">
        <v>344</v>
      </c>
      <c r="B1504" s="1" t="s">
        <v>102</v>
      </c>
      <c r="C1504" s="1" t="s">
        <v>35</v>
      </c>
      <c r="D1504" s="1" t="s">
        <v>27</v>
      </c>
      <c r="E1504" s="2">
        <v>45904</v>
      </c>
      <c r="F1504" s="2">
        <v>45904</v>
      </c>
      <c r="G1504" s="3">
        <v>23</v>
      </c>
      <c r="H1504" s="4" t="s">
        <v>28</v>
      </c>
      <c r="I1504">
        <v>41</v>
      </c>
      <c r="J1504">
        <v>0</v>
      </c>
      <c r="K1504">
        <v>0</v>
      </c>
      <c r="L1504" s="3">
        <v>0</v>
      </c>
      <c r="M1504" s="3">
        <v>0</v>
      </c>
      <c r="N1504">
        <v>0</v>
      </c>
      <c r="O1504">
        <v>0</v>
      </c>
      <c r="P1504">
        <v>0</v>
      </c>
      <c r="Q1504">
        <v>0</v>
      </c>
      <c r="R1504" s="3">
        <v>0</v>
      </c>
      <c r="S1504" s="3">
        <v>0</v>
      </c>
      <c r="T1504">
        <v>0</v>
      </c>
      <c r="U1504">
        <v>0</v>
      </c>
      <c r="V1504" s="3">
        <v>0</v>
      </c>
      <c r="W1504" s="3">
        <v>0</v>
      </c>
      <c r="X1504">
        <v>0</v>
      </c>
      <c r="Y1504" t="s">
        <v>1231</v>
      </c>
    </row>
    <row r="1505" spans="1:25" hidden="1" x14ac:dyDescent="0.25">
      <c r="A1505" s="1" t="s">
        <v>31</v>
      </c>
      <c r="B1505" s="1" t="s">
        <v>104</v>
      </c>
      <c r="C1505" s="1" t="s">
        <v>32</v>
      </c>
      <c r="D1505" s="1" t="s">
        <v>27</v>
      </c>
      <c r="E1505" s="2">
        <v>45904</v>
      </c>
      <c r="F1505" s="2">
        <v>45904</v>
      </c>
      <c r="G1505" s="3">
        <v>89</v>
      </c>
      <c r="H1505" s="4" t="s">
        <v>28</v>
      </c>
      <c r="I1505">
        <v>79</v>
      </c>
      <c r="J1505">
        <v>0</v>
      </c>
      <c r="K1505">
        <v>0</v>
      </c>
      <c r="L1505" s="3">
        <v>1</v>
      </c>
      <c r="M1505" s="3">
        <v>0</v>
      </c>
      <c r="N1505">
        <v>0</v>
      </c>
      <c r="O1505">
        <v>0</v>
      </c>
      <c r="P1505">
        <v>0</v>
      </c>
      <c r="Q1505">
        <v>56</v>
      </c>
      <c r="R1505" s="3">
        <v>0</v>
      </c>
      <c r="S1505" s="3">
        <v>0</v>
      </c>
      <c r="T1505">
        <v>0</v>
      </c>
      <c r="U1505">
        <v>0</v>
      </c>
      <c r="V1505" s="3">
        <v>0</v>
      </c>
      <c r="W1505" s="3">
        <v>0</v>
      </c>
      <c r="X1505">
        <v>1</v>
      </c>
      <c r="Y1505" t="s">
        <v>1244</v>
      </c>
    </row>
    <row r="1506" spans="1:25" hidden="1" x14ac:dyDescent="0.25">
      <c r="A1506" s="1" t="s">
        <v>33</v>
      </c>
      <c r="B1506" s="1" t="s">
        <v>106</v>
      </c>
      <c r="C1506" s="1" t="s">
        <v>57</v>
      </c>
      <c r="D1506" s="1" t="s">
        <v>27</v>
      </c>
      <c r="E1506" s="2">
        <v>45904</v>
      </c>
      <c r="F1506" s="2">
        <v>45904</v>
      </c>
      <c r="G1506" s="3">
        <v>24</v>
      </c>
      <c r="H1506" s="4" t="s">
        <v>28</v>
      </c>
      <c r="I1506">
        <v>39</v>
      </c>
      <c r="J1506">
        <v>0</v>
      </c>
      <c r="K1506">
        <v>0</v>
      </c>
      <c r="L1506" s="3">
        <v>0</v>
      </c>
      <c r="M1506" s="3">
        <v>0</v>
      </c>
      <c r="N1506">
        <v>0</v>
      </c>
      <c r="O1506">
        <v>0</v>
      </c>
      <c r="P1506">
        <v>0</v>
      </c>
      <c r="Q1506">
        <v>0</v>
      </c>
      <c r="R1506" s="3">
        <v>0</v>
      </c>
      <c r="S1506" s="3">
        <v>0</v>
      </c>
      <c r="T1506">
        <v>0</v>
      </c>
      <c r="U1506">
        <v>0</v>
      </c>
      <c r="V1506" s="3">
        <v>0</v>
      </c>
      <c r="W1506" s="3">
        <v>0</v>
      </c>
      <c r="X1506">
        <v>0</v>
      </c>
      <c r="Y1506" t="s">
        <v>1260</v>
      </c>
    </row>
    <row r="1507" spans="1:25" hidden="1" x14ac:dyDescent="0.25">
      <c r="A1507" s="1" t="s">
        <v>38</v>
      </c>
      <c r="B1507" s="1" t="s">
        <v>108</v>
      </c>
      <c r="C1507" s="1" t="s">
        <v>27</v>
      </c>
      <c r="D1507" s="1" t="s">
        <v>27</v>
      </c>
      <c r="E1507" s="2">
        <v>45904</v>
      </c>
      <c r="F1507" s="2">
        <v>45904</v>
      </c>
      <c r="G1507" s="3">
        <v>32</v>
      </c>
      <c r="H1507" s="4" t="s">
        <v>28</v>
      </c>
      <c r="I1507">
        <v>22</v>
      </c>
      <c r="J1507">
        <v>0</v>
      </c>
      <c r="K1507">
        <v>0</v>
      </c>
      <c r="L1507" s="3">
        <v>0</v>
      </c>
      <c r="M1507" s="3">
        <v>0</v>
      </c>
      <c r="N1507">
        <v>0</v>
      </c>
      <c r="O1507">
        <v>0</v>
      </c>
      <c r="P1507">
        <v>0</v>
      </c>
      <c r="Q1507">
        <v>22</v>
      </c>
      <c r="R1507" s="3">
        <v>0</v>
      </c>
      <c r="S1507" s="3">
        <v>0</v>
      </c>
      <c r="T1507">
        <v>0</v>
      </c>
      <c r="U1507">
        <v>0</v>
      </c>
      <c r="V1507" s="3">
        <v>0</v>
      </c>
      <c r="W1507" s="3">
        <v>0</v>
      </c>
      <c r="X1507">
        <v>0</v>
      </c>
      <c r="Y1507" t="s">
        <v>1261</v>
      </c>
    </row>
    <row r="1508" spans="1:25" hidden="1" x14ac:dyDescent="0.25">
      <c r="A1508" s="1" t="s">
        <v>41</v>
      </c>
      <c r="B1508" s="1" t="s">
        <v>112</v>
      </c>
      <c r="C1508" s="1" t="s">
        <v>42</v>
      </c>
      <c r="D1508" s="1" t="s">
        <v>27</v>
      </c>
      <c r="E1508" s="2">
        <v>45904</v>
      </c>
      <c r="F1508" s="2">
        <v>45904</v>
      </c>
      <c r="G1508" s="3">
        <v>44</v>
      </c>
      <c r="H1508" s="4" t="s">
        <v>28</v>
      </c>
      <c r="I1508">
        <f>88+30</f>
        <v>118</v>
      </c>
      <c r="J1508">
        <v>0</v>
      </c>
      <c r="K1508">
        <v>0</v>
      </c>
      <c r="L1508" s="3">
        <v>1</v>
      </c>
      <c r="M1508" s="3">
        <v>0</v>
      </c>
      <c r="N1508">
        <v>0</v>
      </c>
      <c r="O1508">
        <v>0</v>
      </c>
      <c r="P1508">
        <v>0</v>
      </c>
      <c r="Q1508">
        <v>66</v>
      </c>
      <c r="R1508" s="3">
        <v>0</v>
      </c>
      <c r="S1508" s="3">
        <v>0</v>
      </c>
      <c r="T1508">
        <v>0</v>
      </c>
      <c r="U1508">
        <v>0</v>
      </c>
      <c r="V1508" s="3">
        <v>0</v>
      </c>
      <c r="W1508" s="3">
        <v>0</v>
      </c>
      <c r="X1508">
        <v>0</v>
      </c>
      <c r="Y1508" t="s">
        <v>1262</v>
      </c>
    </row>
    <row r="1509" spans="1:25" hidden="1" x14ac:dyDescent="0.25">
      <c r="A1509" s="1" t="s">
        <v>43</v>
      </c>
      <c r="B1509" s="1" t="s">
        <v>114</v>
      </c>
      <c r="C1509" s="1" t="s">
        <v>44</v>
      </c>
      <c r="D1509" s="1" t="s">
        <v>27</v>
      </c>
      <c r="E1509" s="2">
        <v>45904</v>
      </c>
      <c r="F1509" s="2">
        <v>45904</v>
      </c>
      <c r="G1509" s="3">
        <v>30</v>
      </c>
      <c r="H1509" s="4" t="s">
        <v>28</v>
      </c>
      <c r="I1509">
        <v>55</v>
      </c>
      <c r="J1509">
        <v>0</v>
      </c>
      <c r="K1509">
        <v>0</v>
      </c>
      <c r="L1509" s="3">
        <v>1</v>
      </c>
      <c r="M1509" s="3">
        <v>0</v>
      </c>
      <c r="N1509">
        <v>0</v>
      </c>
      <c r="O1509">
        <v>0</v>
      </c>
      <c r="P1509">
        <v>0</v>
      </c>
      <c r="Q1509">
        <v>0</v>
      </c>
      <c r="R1509" s="3">
        <v>0</v>
      </c>
      <c r="S1509" s="3">
        <v>0</v>
      </c>
      <c r="T1509">
        <v>0</v>
      </c>
      <c r="U1509">
        <v>0</v>
      </c>
      <c r="V1509" s="3">
        <v>0</v>
      </c>
      <c r="W1509" s="3">
        <v>0</v>
      </c>
      <c r="X1509">
        <v>0</v>
      </c>
      <c r="Y1509" t="s">
        <v>1263</v>
      </c>
    </row>
    <row r="1510" spans="1:25" hidden="1" x14ac:dyDescent="0.25">
      <c r="A1510" s="1" t="s">
        <v>47</v>
      </c>
      <c r="B1510" s="1" t="s">
        <v>137</v>
      </c>
      <c r="C1510" s="1" t="s">
        <v>27</v>
      </c>
      <c r="D1510" s="1" t="s">
        <v>27</v>
      </c>
      <c r="E1510" s="2">
        <v>45904</v>
      </c>
      <c r="F1510" s="2">
        <v>45904</v>
      </c>
      <c r="G1510" s="3">
        <v>26</v>
      </c>
      <c r="H1510" s="4" t="s">
        <v>28</v>
      </c>
      <c r="I1510">
        <v>37</v>
      </c>
      <c r="J1510">
        <v>0</v>
      </c>
      <c r="K1510">
        <v>0</v>
      </c>
      <c r="L1510" s="3">
        <v>1</v>
      </c>
      <c r="M1510" s="3">
        <v>0</v>
      </c>
      <c r="N1510">
        <v>0</v>
      </c>
      <c r="O1510">
        <v>0</v>
      </c>
      <c r="P1510">
        <v>0</v>
      </c>
      <c r="Q1510">
        <v>15</v>
      </c>
      <c r="R1510" s="3">
        <v>0</v>
      </c>
      <c r="S1510" s="3">
        <v>0</v>
      </c>
      <c r="T1510">
        <v>0</v>
      </c>
      <c r="U1510">
        <v>0</v>
      </c>
      <c r="V1510" s="3">
        <v>0</v>
      </c>
      <c r="W1510" s="3">
        <v>0</v>
      </c>
      <c r="X1510">
        <v>0</v>
      </c>
      <c r="Y1510" t="s">
        <v>1264</v>
      </c>
    </row>
    <row r="1511" spans="1:25" hidden="1" x14ac:dyDescent="0.25">
      <c r="A1511" s="1" t="s">
        <v>34</v>
      </c>
      <c r="B1511" s="1" t="s">
        <v>137</v>
      </c>
      <c r="C1511" s="1" t="s">
        <v>27</v>
      </c>
      <c r="D1511" s="1" t="s">
        <v>27</v>
      </c>
      <c r="E1511" s="2">
        <v>45904</v>
      </c>
      <c r="F1511" s="2">
        <v>45904</v>
      </c>
      <c r="G1511" s="3">
        <v>26</v>
      </c>
      <c r="H1511" s="4" t="s">
        <v>28</v>
      </c>
      <c r="I1511">
        <v>37</v>
      </c>
      <c r="J1511">
        <v>0</v>
      </c>
      <c r="K1511">
        <v>0</v>
      </c>
      <c r="L1511" s="3">
        <v>1</v>
      </c>
      <c r="M1511" s="3">
        <v>0</v>
      </c>
      <c r="N1511">
        <v>0</v>
      </c>
      <c r="O1511">
        <v>0</v>
      </c>
      <c r="P1511">
        <v>0</v>
      </c>
      <c r="Q1511">
        <v>15</v>
      </c>
      <c r="R1511" s="3">
        <v>0</v>
      </c>
      <c r="S1511" s="3">
        <v>0</v>
      </c>
      <c r="T1511">
        <v>0</v>
      </c>
      <c r="U1511">
        <v>0</v>
      </c>
      <c r="V1511" s="3">
        <v>0</v>
      </c>
      <c r="W1511" s="3">
        <v>0</v>
      </c>
      <c r="X1511">
        <v>0</v>
      </c>
      <c r="Y1511" t="s">
        <v>1264</v>
      </c>
    </row>
    <row r="1512" spans="1:25" hidden="1" x14ac:dyDescent="0.25">
      <c r="A1512" s="1" t="s">
        <v>40</v>
      </c>
      <c r="B1512" s="1" t="s">
        <v>110</v>
      </c>
      <c r="C1512" s="1" t="s">
        <v>27</v>
      </c>
      <c r="D1512" s="1" t="s">
        <v>27</v>
      </c>
      <c r="E1512" s="2">
        <v>45904</v>
      </c>
      <c r="F1512" s="2">
        <v>45904</v>
      </c>
      <c r="G1512" s="3">
        <v>80</v>
      </c>
      <c r="H1512" s="4" t="s">
        <v>28</v>
      </c>
      <c r="I1512">
        <v>26</v>
      </c>
      <c r="K1512">
        <v>0</v>
      </c>
      <c r="L1512" s="3">
        <v>1</v>
      </c>
      <c r="M1512" s="3">
        <v>0</v>
      </c>
      <c r="N1512">
        <v>1</v>
      </c>
      <c r="O1512">
        <v>0</v>
      </c>
      <c r="P1512">
        <v>0</v>
      </c>
      <c r="Q1512">
        <v>0</v>
      </c>
      <c r="R1512" s="3">
        <v>0</v>
      </c>
      <c r="S1512" s="3">
        <v>0</v>
      </c>
      <c r="T1512">
        <v>0</v>
      </c>
      <c r="U1512">
        <v>0</v>
      </c>
      <c r="V1512" s="3">
        <v>0</v>
      </c>
      <c r="W1512" s="3">
        <v>0</v>
      </c>
      <c r="X1512">
        <v>0</v>
      </c>
      <c r="Y1512" t="s">
        <v>1247</v>
      </c>
    </row>
    <row r="1513" spans="1:25" hidden="1" x14ac:dyDescent="0.25">
      <c r="A1513" s="1" t="s">
        <v>36</v>
      </c>
      <c r="B1513" s="1" t="s">
        <v>110</v>
      </c>
      <c r="C1513" s="1" t="s">
        <v>27</v>
      </c>
      <c r="D1513" s="1" t="s">
        <v>27</v>
      </c>
      <c r="E1513" s="2">
        <v>45904</v>
      </c>
      <c r="F1513" s="2">
        <v>45904</v>
      </c>
      <c r="G1513" s="3">
        <v>80</v>
      </c>
      <c r="H1513" s="4" t="s">
        <v>28</v>
      </c>
      <c r="I1513">
        <v>26</v>
      </c>
      <c r="J1513">
        <v>0</v>
      </c>
      <c r="K1513">
        <v>0</v>
      </c>
      <c r="L1513" s="3">
        <v>1</v>
      </c>
      <c r="M1513" s="3">
        <v>0</v>
      </c>
      <c r="N1513">
        <v>1</v>
      </c>
      <c r="O1513">
        <v>0</v>
      </c>
      <c r="P1513">
        <v>0</v>
      </c>
      <c r="Q1513">
        <v>0</v>
      </c>
      <c r="R1513" s="3">
        <v>0</v>
      </c>
      <c r="S1513" s="3">
        <v>0</v>
      </c>
      <c r="T1513">
        <v>0</v>
      </c>
      <c r="U1513">
        <v>0</v>
      </c>
      <c r="V1513" s="3">
        <v>0</v>
      </c>
      <c r="W1513" s="3">
        <v>0</v>
      </c>
      <c r="X1513">
        <v>0</v>
      </c>
      <c r="Y1513" t="s">
        <v>1247</v>
      </c>
    </row>
    <row r="1514" spans="1:25" hidden="1" x14ac:dyDescent="0.25">
      <c r="A1514" s="1" t="s">
        <v>49</v>
      </c>
      <c r="B1514" s="1" t="s">
        <v>118</v>
      </c>
      <c r="C1514" s="1" t="s">
        <v>50</v>
      </c>
      <c r="D1514" s="1" t="s">
        <v>27</v>
      </c>
      <c r="E1514" s="2">
        <v>45904</v>
      </c>
      <c r="F1514" s="2">
        <v>45904</v>
      </c>
      <c r="G1514" s="3">
        <v>21</v>
      </c>
      <c r="H1514" s="4" t="s">
        <v>28</v>
      </c>
      <c r="I1514">
        <v>50</v>
      </c>
      <c r="J1514">
        <v>0</v>
      </c>
      <c r="K1514">
        <v>0</v>
      </c>
      <c r="L1514" s="3">
        <v>1</v>
      </c>
      <c r="M1514" s="3">
        <v>1</v>
      </c>
      <c r="N1514">
        <v>0</v>
      </c>
      <c r="O1514">
        <v>1</v>
      </c>
      <c r="P1514">
        <v>0</v>
      </c>
      <c r="Q1514">
        <v>40</v>
      </c>
      <c r="R1514" s="3">
        <v>0</v>
      </c>
      <c r="S1514" s="3">
        <v>0</v>
      </c>
      <c r="T1514">
        <v>0</v>
      </c>
      <c r="U1514">
        <v>0</v>
      </c>
      <c r="V1514" s="3">
        <v>0</v>
      </c>
      <c r="W1514" s="3">
        <v>0</v>
      </c>
      <c r="X1514">
        <v>0</v>
      </c>
      <c r="Y1514" t="s">
        <v>1265</v>
      </c>
    </row>
    <row r="1515" spans="1:25" hidden="1" x14ac:dyDescent="0.25">
      <c r="A1515" s="1" t="s">
        <v>51</v>
      </c>
      <c r="B1515" s="1" t="s">
        <v>120</v>
      </c>
      <c r="C1515" s="1" t="s">
        <v>55</v>
      </c>
      <c r="D1515" s="1" t="s">
        <v>27</v>
      </c>
      <c r="E1515" s="2">
        <v>45904</v>
      </c>
      <c r="F1515" s="2">
        <v>45904</v>
      </c>
      <c r="G1515" s="3">
        <v>58</v>
      </c>
      <c r="H1515" s="4" t="s">
        <v>28</v>
      </c>
      <c r="I1515">
        <v>36</v>
      </c>
      <c r="J1515">
        <v>0</v>
      </c>
      <c r="K1515">
        <v>0</v>
      </c>
      <c r="L1515" s="3">
        <v>0</v>
      </c>
      <c r="M1515" s="3">
        <v>0</v>
      </c>
      <c r="N1515">
        <v>1</v>
      </c>
      <c r="O1515">
        <v>0</v>
      </c>
      <c r="P1515">
        <v>0</v>
      </c>
      <c r="Q1515">
        <v>0</v>
      </c>
      <c r="R1515" s="3">
        <v>0</v>
      </c>
      <c r="S1515" s="3">
        <v>0</v>
      </c>
      <c r="T1515">
        <v>0</v>
      </c>
      <c r="U1515">
        <v>0</v>
      </c>
      <c r="V1515" s="3">
        <v>0</v>
      </c>
      <c r="W1515" s="3">
        <v>0</v>
      </c>
      <c r="X1515">
        <v>0</v>
      </c>
      <c r="Y1515" t="s">
        <v>1266</v>
      </c>
    </row>
    <row r="1516" spans="1:25" hidden="1" x14ac:dyDescent="0.25">
      <c r="A1516" s="1" t="s">
        <v>54</v>
      </c>
      <c r="B1516" s="1" t="s">
        <v>122</v>
      </c>
      <c r="C1516" s="1" t="s">
        <v>52</v>
      </c>
      <c r="D1516" s="1" t="s">
        <v>27</v>
      </c>
      <c r="E1516" s="2">
        <v>45904</v>
      </c>
      <c r="F1516" s="2">
        <v>45904</v>
      </c>
      <c r="G1516" s="3">
        <v>60</v>
      </c>
      <c r="H1516" s="4" t="s">
        <v>28</v>
      </c>
      <c r="I1516">
        <v>63</v>
      </c>
      <c r="J1516">
        <v>0</v>
      </c>
      <c r="K1516">
        <v>0</v>
      </c>
      <c r="L1516" s="3">
        <v>0</v>
      </c>
      <c r="M1516" s="3">
        <v>0</v>
      </c>
      <c r="N1516">
        <v>0</v>
      </c>
      <c r="O1516">
        <v>0</v>
      </c>
      <c r="P1516">
        <v>0</v>
      </c>
      <c r="Q1516">
        <v>2</v>
      </c>
      <c r="R1516" s="3">
        <v>0</v>
      </c>
      <c r="S1516" s="3">
        <v>0</v>
      </c>
      <c r="T1516">
        <v>0</v>
      </c>
      <c r="U1516">
        <v>0</v>
      </c>
      <c r="V1516" s="3">
        <v>0</v>
      </c>
      <c r="W1516" s="3">
        <v>0</v>
      </c>
      <c r="X1516">
        <v>0</v>
      </c>
      <c r="Y1516" t="s">
        <v>1267</v>
      </c>
    </row>
    <row r="1517" spans="1:25" hidden="1" x14ac:dyDescent="0.25">
      <c r="A1517" s="1" t="s">
        <v>48</v>
      </c>
      <c r="B1517" s="1" t="s">
        <v>149</v>
      </c>
      <c r="C1517" s="1" t="s">
        <v>46</v>
      </c>
      <c r="D1517" s="1" t="s">
        <v>27</v>
      </c>
      <c r="E1517" s="2">
        <v>45904</v>
      </c>
      <c r="F1517" s="2">
        <v>45904</v>
      </c>
      <c r="G1517" s="3">
        <v>52</v>
      </c>
      <c r="H1517" s="4" t="s">
        <v>28</v>
      </c>
      <c r="I1517">
        <v>34</v>
      </c>
      <c r="J1517">
        <v>0</v>
      </c>
      <c r="K1517">
        <v>0</v>
      </c>
      <c r="L1517" s="3">
        <v>0</v>
      </c>
      <c r="M1517" s="3">
        <v>0</v>
      </c>
      <c r="N1517">
        <v>0</v>
      </c>
      <c r="O1517">
        <v>0</v>
      </c>
      <c r="P1517">
        <v>0</v>
      </c>
      <c r="Q1517">
        <v>0</v>
      </c>
      <c r="R1517" s="3">
        <v>0</v>
      </c>
      <c r="S1517" s="3">
        <v>0</v>
      </c>
      <c r="T1517">
        <v>0</v>
      </c>
      <c r="U1517">
        <v>0</v>
      </c>
      <c r="V1517" s="3">
        <v>0</v>
      </c>
      <c r="W1517" s="3">
        <v>0</v>
      </c>
      <c r="X1517">
        <v>0</v>
      </c>
      <c r="Y1517" t="s">
        <v>1268</v>
      </c>
    </row>
    <row r="1518" spans="1:25" hidden="1" x14ac:dyDescent="0.25">
      <c r="A1518" s="1" t="s">
        <v>53</v>
      </c>
      <c r="B1518" s="1" t="s">
        <v>142</v>
      </c>
      <c r="C1518" s="1" t="s">
        <v>39</v>
      </c>
      <c r="D1518" s="1" t="s">
        <v>27</v>
      </c>
      <c r="E1518" s="2">
        <v>45904</v>
      </c>
      <c r="F1518" s="2">
        <v>45904</v>
      </c>
      <c r="G1518" s="3">
        <v>45</v>
      </c>
      <c r="H1518" s="4" t="s">
        <v>28</v>
      </c>
      <c r="I1518">
        <v>28</v>
      </c>
      <c r="J1518">
        <v>0</v>
      </c>
      <c r="K1518">
        <v>0</v>
      </c>
      <c r="L1518" s="3">
        <v>1</v>
      </c>
      <c r="M1518" s="3">
        <v>0</v>
      </c>
      <c r="N1518">
        <v>0</v>
      </c>
      <c r="O1518">
        <v>0</v>
      </c>
      <c r="P1518">
        <v>0</v>
      </c>
      <c r="Q1518">
        <v>28</v>
      </c>
      <c r="R1518" s="3">
        <v>0</v>
      </c>
      <c r="S1518" s="3">
        <v>0</v>
      </c>
      <c r="T1518">
        <v>0</v>
      </c>
      <c r="U1518">
        <v>0</v>
      </c>
      <c r="V1518" s="3">
        <v>0</v>
      </c>
      <c r="W1518" s="3">
        <v>0</v>
      </c>
      <c r="X1518">
        <v>0</v>
      </c>
      <c r="Y1518" t="s">
        <v>1269</v>
      </c>
    </row>
    <row r="1519" spans="1:25" hidden="1" x14ac:dyDescent="0.25">
      <c r="A1519" s="1" t="s">
        <v>45</v>
      </c>
      <c r="B1519" s="1" t="s">
        <v>589</v>
      </c>
      <c r="C1519" s="1" t="s">
        <v>27</v>
      </c>
      <c r="D1519" s="1" t="s">
        <v>27</v>
      </c>
      <c r="E1519" s="2">
        <v>45904</v>
      </c>
      <c r="F1519" s="2">
        <v>45904</v>
      </c>
      <c r="G1519" s="3">
        <v>46</v>
      </c>
      <c r="H1519" s="4" t="s">
        <v>763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1269</v>
      </c>
    </row>
    <row r="1520" spans="1:25" hidden="1" x14ac:dyDescent="0.25">
      <c r="A1520" s="1" t="s">
        <v>58</v>
      </c>
      <c r="B1520" s="1" t="s">
        <v>112</v>
      </c>
      <c r="C1520" s="1" t="s">
        <v>27</v>
      </c>
      <c r="D1520" s="1" t="s">
        <v>27</v>
      </c>
      <c r="E1520" s="2">
        <v>45904</v>
      </c>
      <c r="F1520" s="2">
        <v>45904</v>
      </c>
      <c r="G1520" s="3">
        <v>47</v>
      </c>
      <c r="H1520" s="4" t="s">
        <v>1153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1269</v>
      </c>
    </row>
    <row r="1521" spans="1:25" hidden="1" x14ac:dyDescent="0.25">
      <c r="A1521" s="1" t="s">
        <v>56</v>
      </c>
      <c r="B1521" s="1" t="s">
        <v>98</v>
      </c>
      <c r="C1521" s="1" t="s">
        <v>37</v>
      </c>
      <c r="D1521" s="1" t="s">
        <v>27</v>
      </c>
      <c r="E1521" s="2">
        <v>45905</v>
      </c>
      <c r="F1521" s="2">
        <v>45905</v>
      </c>
      <c r="G1521" s="3">
        <v>51</v>
      </c>
      <c r="H1521" s="4" t="s">
        <v>28</v>
      </c>
      <c r="I1521">
        <v>102</v>
      </c>
      <c r="J1521">
        <v>0</v>
      </c>
      <c r="K1521">
        <v>0</v>
      </c>
      <c r="L1521" s="3">
        <v>1</v>
      </c>
      <c r="M1521" s="3">
        <v>0</v>
      </c>
      <c r="N1521">
        <v>0</v>
      </c>
      <c r="O1521">
        <v>0</v>
      </c>
      <c r="P1521">
        <v>0</v>
      </c>
      <c r="Q1521">
        <v>0</v>
      </c>
      <c r="R1521" s="3">
        <v>0</v>
      </c>
      <c r="S1521" s="3">
        <v>0</v>
      </c>
      <c r="T1521">
        <v>0</v>
      </c>
      <c r="U1521">
        <v>0</v>
      </c>
      <c r="V1521" s="3">
        <v>0</v>
      </c>
      <c r="W1521" s="3">
        <v>0</v>
      </c>
      <c r="X1521">
        <v>0</v>
      </c>
      <c r="Y1521" t="s">
        <v>1270</v>
      </c>
    </row>
    <row r="1522" spans="1:25" hidden="1" x14ac:dyDescent="0.25">
      <c r="A1522" s="1" t="s">
        <v>29</v>
      </c>
      <c r="B1522" s="1" t="s">
        <v>100</v>
      </c>
      <c r="C1522" s="1" t="s">
        <v>26</v>
      </c>
      <c r="D1522" s="1" t="s">
        <v>27</v>
      </c>
      <c r="E1522" s="2">
        <v>45905</v>
      </c>
      <c r="F1522" s="2">
        <v>45905</v>
      </c>
      <c r="G1522" s="3">
        <v>37</v>
      </c>
      <c r="H1522" s="4" t="s">
        <v>28</v>
      </c>
      <c r="I1522">
        <v>70</v>
      </c>
      <c r="J1522">
        <v>0</v>
      </c>
      <c r="K1522">
        <v>0</v>
      </c>
      <c r="L1522" s="3">
        <v>1</v>
      </c>
      <c r="M1522" s="3">
        <v>0</v>
      </c>
      <c r="N1522">
        <v>0</v>
      </c>
      <c r="O1522">
        <v>0</v>
      </c>
      <c r="P1522">
        <v>0</v>
      </c>
      <c r="Q1522">
        <v>0</v>
      </c>
      <c r="R1522" s="3">
        <v>0</v>
      </c>
      <c r="S1522" s="3">
        <v>0</v>
      </c>
      <c r="T1522">
        <v>0</v>
      </c>
      <c r="U1522">
        <v>0</v>
      </c>
      <c r="V1522" s="3">
        <v>0</v>
      </c>
      <c r="W1522" s="3">
        <v>0</v>
      </c>
      <c r="X1522">
        <v>0</v>
      </c>
      <c r="Y1522" t="s">
        <v>1271</v>
      </c>
    </row>
    <row r="1523" spans="1:25" hidden="1" x14ac:dyDescent="0.25">
      <c r="A1523" s="1" t="s">
        <v>344</v>
      </c>
      <c r="B1523" s="1" t="s">
        <v>102</v>
      </c>
      <c r="C1523" s="1" t="s">
        <v>35</v>
      </c>
      <c r="D1523" s="1" t="s">
        <v>27</v>
      </c>
      <c r="E1523" s="2">
        <v>45905</v>
      </c>
      <c r="F1523" s="2">
        <v>45905</v>
      </c>
      <c r="G1523" s="3">
        <v>77</v>
      </c>
      <c r="H1523" s="4" t="s">
        <v>28</v>
      </c>
      <c r="I1523">
        <v>49</v>
      </c>
      <c r="J1523">
        <v>0</v>
      </c>
      <c r="K1523">
        <v>0</v>
      </c>
      <c r="L1523" s="3">
        <v>0</v>
      </c>
      <c r="M1523" s="3">
        <v>0</v>
      </c>
      <c r="N1523">
        <v>0</v>
      </c>
      <c r="O1523">
        <v>0</v>
      </c>
      <c r="P1523">
        <v>0</v>
      </c>
      <c r="Q1523">
        <v>2</v>
      </c>
      <c r="R1523" s="3">
        <v>0</v>
      </c>
      <c r="S1523" s="3">
        <v>0</v>
      </c>
      <c r="T1523">
        <v>0</v>
      </c>
      <c r="U1523">
        <v>0</v>
      </c>
      <c r="V1523" s="3">
        <v>0</v>
      </c>
      <c r="W1523" s="3">
        <v>0</v>
      </c>
      <c r="X1523">
        <v>0</v>
      </c>
      <c r="Y1523" t="s">
        <v>1272</v>
      </c>
    </row>
    <row r="1524" spans="1:25" hidden="1" x14ac:dyDescent="0.25">
      <c r="A1524" s="1" t="s">
        <v>31</v>
      </c>
      <c r="B1524" s="1" t="s">
        <v>104</v>
      </c>
      <c r="C1524" s="1" t="s">
        <v>32</v>
      </c>
      <c r="D1524" s="1" t="s">
        <v>27</v>
      </c>
      <c r="E1524" s="2">
        <v>45905</v>
      </c>
      <c r="F1524" s="2">
        <v>45905</v>
      </c>
      <c r="G1524" s="3">
        <v>29</v>
      </c>
      <c r="H1524" s="4" t="s">
        <v>28</v>
      </c>
      <c r="I1524">
        <v>86</v>
      </c>
      <c r="J1524">
        <v>0</v>
      </c>
      <c r="K1524">
        <v>0</v>
      </c>
      <c r="L1524" s="3">
        <v>0</v>
      </c>
      <c r="M1524" s="3">
        <v>0</v>
      </c>
      <c r="N1524">
        <v>0</v>
      </c>
      <c r="O1524">
        <v>0</v>
      </c>
      <c r="P1524">
        <v>0</v>
      </c>
      <c r="Q1524">
        <v>50</v>
      </c>
      <c r="R1524" s="3">
        <v>0</v>
      </c>
      <c r="S1524" s="3">
        <v>0</v>
      </c>
      <c r="T1524">
        <v>0</v>
      </c>
      <c r="U1524">
        <v>0</v>
      </c>
      <c r="V1524" s="3">
        <v>0</v>
      </c>
      <c r="W1524" s="3">
        <v>0</v>
      </c>
      <c r="X1524">
        <v>0</v>
      </c>
      <c r="Y1524" t="s">
        <v>1273</v>
      </c>
    </row>
    <row r="1525" spans="1:25" hidden="1" x14ac:dyDescent="0.25">
      <c r="A1525" s="1" t="s">
        <v>33</v>
      </c>
      <c r="B1525" s="1" t="s">
        <v>106</v>
      </c>
      <c r="C1525" s="1" t="s">
        <v>57</v>
      </c>
      <c r="D1525" s="1" t="s">
        <v>27</v>
      </c>
      <c r="E1525" s="2">
        <v>45905</v>
      </c>
      <c r="F1525" s="2">
        <v>45905</v>
      </c>
      <c r="G1525" s="3">
        <v>33</v>
      </c>
      <c r="H1525" s="4" t="s">
        <v>28</v>
      </c>
      <c r="I1525">
        <v>49</v>
      </c>
      <c r="J1525">
        <v>0</v>
      </c>
      <c r="K1525">
        <v>0</v>
      </c>
      <c r="L1525" s="3">
        <v>0</v>
      </c>
      <c r="M1525" s="3">
        <v>0</v>
      </c>
      <c r="N1525">
        <v>0</v>
      </c>
      <c r="O1525">
        <v>0</v>
      </c>
      <c r="P1525">
        <v>0</v>
      </c>
      <c r="Q1525">
        <v>18</v>
      </c>
      <c r="R1525" s="3">
        <v>0</v>
      </c>
      <c r="S1525" s="3">
        <v>0</v>
      </c>
      <c r="T1525">
        <v>0</v>
      </c>
      <c r="U1525">
        <v>0</v>
      </c>
      <c r="V1525" s="3">
        <v>0</v>
      </c>
      <c r="W1525" s="3">
        <v>0</v>
      </c>
      <c r="X1525">
        <v>0</v>
      </c>
      <c r="Y1525" t="s">
        <v>1274</v>
      </c>
    </row>
    <row r="1526" spans="1:25" hidden="1" x14ac:dyDescent="0.25">
      <c r="A1526" s="1" t="s">
        <v>38</v>
      </c>
      <c r="B1526" s="1" t="s">
        <v>108</v>
      </c>
      <c r="C1526" s="1" t="s">
        <v>27</v>
      </c>
      <c r="D1526" s="1" t="s">
        <v>27</v>
      </c>
      <c r="E1526" s="2">
        <v>45905</v>
      </c>
      <c r="F1526" s="2">
        <v>45905</v>
      </c>
      <c r="G1526" s="3">
        <v>46</v>
      </c>
      <c r="H1526" s="4" t="s">
        <v>28</v>
      </c>
      <c r="I1526">
        <v>29</v>
      </c>
      <c r="J1526">
        <v>0</v>
      </c>
      <c r="K1526">
        <v>0</v>
      </c>
      <c r="L1526" s="3">
        <v>0</v>
      </c>
      <c r="M1526" s="3">
        <v>0</v>
      </c>
      <c r="N1526">
        <v>0</v>
      </c>
      <c r="O1526">
        <v>0</v>
      </c>
      <c r="P1526">
        <v>0</v>
      </c>
      <c r="Q1526">
        <v>29</v>
      </c>
      <c r="R1526" s="3">
        <v>0</v>
      </c>
      <c r="S1526" s="3">
        <v>0</v>
      </c>
      <c r="T1526">
        <v>0</v>
      </c>
      <c r="U1526">
        <v>0</v>
      </c>
      <c r="V1526" s="3">
        <v>0</v>
      </c>
      <c r="W1526" s="3">
        <v>0</v>
      </c>
      <c r="X1526">
        <v>0</v>
      </c>
      <c r="Y1526" t="s">
        <v>1275</v>
      </c>
    </row>
    <row r="1527" spans="1:25" hidden="1" x14ac:dyDescent="0.25">
      <c r="A1527" s="1" t="s">
        <v>40</v>
      </c>
      <c r="B1527" s="1" t="s">
        <v>110</v>
      </c>
      <c r="C1527" s="1" t="s">
        <v>27</v>
      </c>
      <c r="D1527" s="1" t="s">
        <v>27</v>
      </c>
      <c r="E1527" s="2">
        <v>45905</v>
      </c>
      <c r="F1527" s="2">
        <v>45905</v>
      </c>
      <c r="G1527" s="3">
        <v>121</v>
      </c>
      <c r="H1527" s="4" t="s">
        <v>28</v>
      </c>
      <c r="I1527">
        <v>55</v>
      </c>
      <c r="J1527">
        <v>0</v>
      </c>
      <c r="K1527">
        <v>0</v>
      </c>
      <c r="L1527" s="3">
        <v>1</v>
      </c>
      <c r="M1527" s="3">
        <v>0</v>
      </c>
      <c r="N1527">
        <v>1</v>
      </c>
      <c r="O1527">
        <v>0</v>
      </c>
      <c r="P1527">
        <v>0</v>
      </c>
      <c r="Q1527">
        <v>0</v>
      </c>
      <c r="R1527" s="3">
        <v>0</v>
      </c>
      <c r="S1527" s="3">
        <v>0</v>
      </c>
      <c r="T1527">
        <v>0</v>
      </c>
      <c r="U1527">
        <v>0</v>
      </c>
      <c r="V1527" s="3">
        <v>0</v>
      </c>
      <c r="W1527" s="3">
        <v>0</v>
      </c>
      <c r="X1527">
        <v>0</v>
      </c>
      <c r="Y1527" t="s">
        <v>1276</v>
      </c>
    </row>
    <row r="1528" spans="1:25" hidden="1" x14ac:dyDescent="0.25">
      <c r="A1528" s="1" t="s">
        <v>36</v>
      </c>
      <c r="B1528" s="1" t="s">
        <v>110</v>
      </c>
      <c r="C1528" s="1" t="s">
        <v>27</v>
      </c>
      <c r="D1528" s="1" t="s">
        <v>27</v>
      </c>
      <c r="E1528" s="2">
        <v>45905</v>
      </c>
      <c r="F1528" s="2">
        <v>45905</v>
      </c>
      <c r="G1528" s="3">
        <v>121</v>
      </c>
      <c r="H1528" s="4" t="s">
        <v>28</v>
      </c>
      <c r="I1528">
        <v>55</v>
      </c>
      <c r="J1528">
        <v>0</v>
      </c>
      <c r="K1528">
        <v>0</v>
      </c>
      <c r="L1528" s="3">
        <v>1</v>
      </c>
      <c r="M1528" s="3">
        <v>0</v>
      </c>
      <c r="N1528">
        <v>1</v>
      </c>
      <c r="O1528">
        <v>0</v>
      </c>
      <c r="P1528">
        <v>0</v>
      </c>
      <c r="Q1528">
        <v>0</v>
      </c>
      <c r="R1528" s="3">
        <v>0</v>
      </c>
      <c r="S1528" s="3">
        <v>0</v>
      </c>
      <c r="T1528">
        <v>0</v>
      </c>
      <c r="U1528">
        <v>0</v>
      </c>
      <c r="V1528" s="3">
        <v>0</v>
      </c>
      <c r="W1528" s="3">
        <v>0</v>
      </c>
      <c r="X1528">
        <v>0</v>
      </c>
      <c r="Y1528" t="s">
        <v>1276</v>
      </c>
    </row>
    <row r="1529" spans="1:25" hidden="1" x14ac:dyDescent="0.25">
      <c r="A1529" s="1" t="s">
        <v>41</v>
      </c>
      <c r="B1529" s="1" t="s">
        <v>112</v>
      </c>
      <c r="C1529" s="1" t="s">
        <v>42</v>
      </c>
      <c r="D1529" s="1" t="s">
        <v>27</v>
      </c>
      <c r="E1529" s="2">
        <v>45905</v>
      </c>
      <c r="F1529" s="2">
        <v>45905</v>
      </c>
      <c r="G1529" s="3">
        <v>44</v>
      </c>
      <c r="H1529" s="4" t="s">
        <v>28</v>
      </c>
      <c r="I1529">
        <v>96</v>
      </c>
      <c r="J1529">
        <v>0</v>
      </c>
      <c r="K1529">
        <v>0</v>
      </c>
      <c r="L1529" s="3">
        <v>1</v>
      </c>
      <c r="M1529" s="3">
        <v>0</v>
      </c>
      <c r="N1529">
        <v>0</v>
      </c>
      <c r="O1529">
        <v>0</v>
      </c>
      <c r="P1529">
        <v>0</v>
      </c>
      <c r="Q1529">
        <v>66</v>
      </c>
      <c r="R1529" s="3">
        <v>0</v>
      </c>
      <c r="S1529" s="3">
        <v>0</v>
      </c>
      <c r="T1529">
        <v>0</v>
      </c>
      <c r="U1529">
        <v>0</v>
      </c>
      <c r="V1529" s="3">
        <v>0</v>
      </c>
      <c r="W1529" s="3">
        <v>0</v>
      </c>
      <c r="X1529">
        <v>0</v>
      </c>
      <c r="Y1529" t="s">
        <v>1262</v>
      </c>
    </row>
    <row r="1530" spans="1:25" hidden="1" x14ac:dyDescent="0.25">
      <c r="A1530" s="1" t="s">
        <v>43</v>
      </c>
      <c r="B1530" s="1" t="s">
        <v>114</v>
      </c>
      <c r="C1530" s="1" t="s">
        <v>44</v>
      </c>
      <c r="D1530" s="1" t="s">
        <v>27</v>
      </c>
      <c r="E1530" s="2">
        <v>45905</v>
      </c>
      <c r="F1530" s="2">
        <v>45905</v>
      </c>
      <c r="G1530" s="3">
        <v>41</v>
      </c>
      <c r="H1530" s="4" t="s">
        <v>28</v>
      </c>
      <c r="I1530">
        <v>73</v>
      </c>
      <c r="J1530">
        <v>0</v>
      </c>
      <c r="K1530">
        <v>0</v>
      </c>
      <c r="L1530" s="3">
        <v>1</v>
      </c>
      <c r="M1530" s="3">
        <v>0</v>
      </c>
      <c r="N1530">
        <v>0</v>
      </c>
      <c r="O1530">
        <v>0</v>
      </c>
      <c r="P1530">
        <v>0</v>
      </c>
      <c r="Q1530">
        <v>0</v>
      </c>
      <c r="R1530" s="3">
        <v>0</v>
      </c>
      <c r="S1530" s="3">
        <v>0</v>
      </c>
      <c r="T1530">
        <v>0</v>
      </c>
      <c r="U1530">
        <v>0</v>
      </c>
      <c r="V1530" s="3">
        <v>0</v>
      </c>
      <c r="W1530" s="3">
        <v>0</v>
      </c>
      <c r="X1530">
        <v>0</v>
      </c>
      <c r="Y1530" t="s">
        <v>1277</v>
      </c>
    </row>
    <row r="1531" spans="1:25" hidden="1" x14ac:dyDescent="0.25">
      <c r="A1531" s="1" t="s">
        <v>47</v>
      </c>
      <c r="B1531" s="1" t="s">
        <v>137</v>
      </c>
      <c r="C1531" s="1" t="s">
        <v>27</v>
      </c>
      <c r="D1531" s="1" t="s">
        <v>27</v>
      </c>
      <c r="E1531" s="2">
        <v>45905</v>
      </c>
      <c r="F1531" s="2">
        <v>45905</v>
      </c>
      <c r="G1531" s="3">
        <v>25</v>
      </c>
      <c r="H1531" s="4" t="s">
        <v>28</v>
      </c>
      <c r="I1531">
        <v>64</v>
      </c>
      <c r="J1531">
        <v>0</v>
      </c>
      <c r="K1531">
        <v>0</v>
      </c>
      <c r="L1531" s="3">
        <v>0</v>
      </c>
      <c r="M1531" s="3">
        <v>0</v>
      </c>
      <c r="N1531">
        <v>1</v>
      </c>
      <c r="O1531">
        <v>0</v>
      </c>
      <c r="P1531">
        <v>0</v>
      </c>
      <c r="Q1531">
        <v>0</v>
      </c>
      <c r="R1531" s="3">
        <v>0</v>
      </c>
      <c r="S1531" s="3">
        <v>0</v>
      </c>
      <c r="T1531">
        <v>0</v>
      </c>
      <c r="U1531">
        <v>0</v>
      </c>
      <c r="V1531" s="3">
        <v>0</v>
      </c>
      <c r="W1531" s="3">
        <v>0</v>
      </c>
      <c r="X1531">
        <v>0</v>
      </c>
      <c r="Y1531" t="s">
        <v>1278</v>
      </c>
    </row>
    <row r="1532" spans="1:25" hidden="1" x14ac:dyDescent="0.25">
      <c r="A1532" s="1" t="s">
        <v>34</v>
      </c>
      <c r="B1532" s="1" t="s">
        <v>137</v>
      </c>
      <c r="C1532" s="1" t="s">
        <v>27</v>
      </c>
      <c r="D1532" s="1" t="s">
        <v>27</v>
      </c>
      <c r="E1532" s="2">
        <v>45905</v>
      </c>
      <c r="F1532" s="2">
        <v>45905</v>
      </c>
      <c r="G1532" s="3">
        <v>25</v>
      </c>
      <c r="H1532" s="4" t="s">
        <v>28</v>
      </c>
      <c r="I1532">
        <v>64</v>
      </c>
      <c r="J1532">
        <v>0</v>
      </c>
      <c r="K1532">
        <v>0</v>
      </c>
      <c r="L1532" s="3">
        <v>0</v>
      </c>
      <c r="M1532" s="3">
        <v>0</v>
      </c>
      <c r="N1532">
        <v>1</v>
      </c>
      <c r="O1532">
        <v>0</v>
      </c>
      <c r="P1532">
        <v>0</v>
      </c>
      <c r="Q1532">
        <v>0</v>
      </c>
      <c r="R1532" s="3">
        <v>0</v>
      </c>
      <c r="S1532" s="3">
        <v>0</v>
      </c>
      <c r="T1532">
        <v>0</v>
      </c>
      <c r="U1532">
        <v>0</v>
      </c>
      <c r="V1532" s="3">
        <v>0</v>
      </c>
      <c r="W1532" s="3">
        <v>0</v>
      </c>
      <c r="X1532">
        <v>0</v>
      </c>
      <c r="Y1532" t="s">
        <v>1278</v>
      </c>
    </row>
    <row r="1533" spans="1:25" hidden="1" x14ac:dyDescent="0.25">
      <c r="A1533" s="1" t="s">
        <v>49</v>
      </c>
      <c r="B1533" s="1" t="s">
        <v>118</v>
      </c>
      <c r="C1533" s="1" t="s">
        <v>50</v>
      </c>
      <c r="D1533" s="1" t="s">
        <v>27</v>
      </c>
      <c r="E1533" s="2">
        <v>45905</v>
      </c>
      <c r="F1533" s="2">
        <v>45905</v>
      </c>
      <c r="G1533" s="3">
        <v>21</v>
      </c>
      <c r="H1533" s="4" t="s">
        <v>28</v>
      </c>
      <c r="I1533">
        <v>63</v>
      </c>
      <c r="J1533">
        <v>0</v>
      </c>
      <c r="K1533">
        <v>0</v>
      </c>
      <c r="L1533" s="3">
        <v>1</v>
      </c>
      <c r="M1533" s="3">
        <v>1</v>
      </c>
      <c r="N1533">
        <v>0</v>
      </c>
      <c r="O1533">
        <v>1</v>
      </c>
      <c r="P1533">
        <v>0</v>
      </c>
      <c r="Q1533">
        <v>0</v>
      </c>
      <c r="R1533" s="3">
        <v>0</v>
      </c>
      <c r="S1533" s="3">
        <v>0</v>
      </c>
      <c r="T1533">
        <v>0</v>
      </c>
      <c r="U1533">
        <v>0</v>
      </c>
      <c r="V1533" s="3">
        <v>0</v>
      </c>
      <c r="W1533" s="3">
        <v>0</v>
      </c>
      <c r="X1533">
        <v>0</v>
      </c>
      <c r="Y1533" t="s">
        <v>1265</v>
      </c>
    </row>
    <row r="1534" spans="1:25" hidden="1" x14ac:dyDescent="0.25">
      <c r="A1534" s="1" t="s">
        <v>51</v>
      </c>
      <c r="B1534" s="1" t="s">
        <v>120</v>
      </c>
      <c r="C1534" s="1" t="s">
        <v>55</v>
      </c>
      <c r="D1534" s="1" t="s">
        <v>27</v>
      </c>
      <c r="E1534" s="2">
        <v>45905</v>
      </c>
      <c r="F1534" s="2">
        <v>45905</v>
      </c>
      <c r="G1534" s="3">
        <v>55</v>
      </c>
      <c r="H1534" s="4" t="s">
        <v>28</v>
      </c>
      <c r="I1534">
        <v>53</v>
      </c>
      <c r="J1534">
        <v>0</v>
      </c>
      <c r="K1534">
        <v>0</v>
      </c>
      <c r="L1534" s="3">
        <v>1</v>
      </c>
      <c r="M1534" s="3">
        <v>0</v>
      </c>
      <c r="N1534">
        <v>1</v>
      </c>
      <c r="O1534">
        <v>0</v>
      </c>
      <c r="P1534">
        <v>0</v>
      </c>
      <c r="Q1534">
        <v>0</v>
      </c>
      <c r="R1534" s="3">
        <v>0</v>
      </c>
      <c r="S1534" s="3">
        <v>0</v>
      </c>
      <c r="T1534">
        <v>0</v>
      </c>
      <c r="U1534">
        <v>0</v>
      </c>
      <c r="V1534" s="3">
        <v>0</v>
      </c>
      <c r="W1534" s="3">
        <v>0</v>
      </c>
      <c r="X1534">
        <v>0</v>
      </c>
      <c r="Y1534" t="s">
        <v>1279</v>
      </c>
    </row>
    <row r="1535" spans="1:25" hidden="1" x14ac:dyDescent="0.25">
      <c r="A1535" s="1" t="s">
        <v>54</v>
      </c>
      <c r="B1535" s="1" t="s">
        <v>122</v>
      </c>
      <c r="C1535" s="1" t="s">
        <v>52</v>
      </c>
      <c r="D1535" s="1" t="s">
        <v>27</v>
      </c>
      <c r="E1535" s="2">
        <v>45905</v>
      </c>
      <c r="F1535" s="2">
        <v>45905</v>
      </c>
      <c r="G1535" s="3">
        <v>49</v>
      </c>
      <c r="H1535" s="4" t="s">
        <v>28</v>
      </c>
      <c r="I1535">
        <v>54</v>
      </c>
      <c r="J1535">
        <v>0</v>
      </c>
      <c r="K1535">
        <v>0</v>
      </c>
      <c r="L1535" s="3">
        <v>0</v>
      </c>
      <c r="M1535" s="3">
        <v>0</v>
      </c>
      <c r="N1535">
        <v>0</v>
      </c>
      <c r="O1535">
        <v>0</v>
      </c>
      <c r="P1535">
        <v>0</v>
      </c>
      <c r="Q1535">
        <v>2</v>
      </c>
      <c r="R1535" s="3">
        <v>0</v>
      </c>
      <c r="S1535" s="3">
        <v>0</v>
      </c>
      <c r="T1535">
        <v>0</v>
      </c>
      <c r="U1535">
        <v>0</v>
      </c>
      <c r="V1535" s="3">
        <v>0</v>
      </c>
      <c r="W1535" s="3">
        <v>0</v>
      </c>
      <c r="X1535">
        <v>0</v>
      </c>
      <c r="Y1535" t="s">
        <v>1280</v>
      </c>
    </row>
    <row r="1536" spans="1:25" hidden="1" x14ac:dyDescent="0.25">
      <c r="A1536" s="1" t="s">
        <v>48</v>
      </c>
      <c r="B1536" s="1" t="s">
        <v>149</v>
      </c>
      <c r="C1536" s="1" t="s">
        <v>46</v>
      </c>
      <c r="D1536" s="1" t="s">
        <v>27</v>
      </c>
      <c r="E1536" s="2">
        <v>45905</v>
      </c>
      <c r="F1536" s="2">
        <v>45905</v>
      </c>
      <c r="G1536" s="3">
        <v>54</v>
      </c>
      <c r="H1536" s="4" t="s">
        <v>28</v>
      </c>
      <c r="I1536">
        <v>83</v>
      </c>
      <c r="J1536">
        <v>0</v>
      </c>
      <c r="K1536">
        <v>0</v>
      </c>
      <c r="L1536" s="3">
        <v>1</v>
      </c>
      <c r="M1536" s="3">
        <v>0</v>
      </c>
      <c r="N1536">
        <v>0</v>
      </c>
      <c r="O1536">
        <v>0</v>
      </c>
      <c r="P1536">
        <v>0</v>
      </c>
      <c r="Q1536">
        <v>0</v>
      </c>
      <c r="R1536" s="3">
        <v>0</v>
      </c>
      <c r="S1536" s="3">
        <v>0</v>
      </c>
      <c r="T1536">
        <v>0</v>
      </c>
      <c r="U1536">
        <v>0</v>
      </c>
      <c r="V1536" s="3">
        <v>0</v>
      </c>
      <c r="W1536" s="3">
        <v>0</v>
      </c>
      <c r="X1536">
        <v>0</v>
      </c>
      <c r="Y1536" t="s">
        <v>1281</v>
      </c>
    </row>
    <row r="1537" spans="1:25" hidden="1" x14ac:dyDescent="0.25">
      <c r="A1537" s="1" t="s">
        <v>53</v>
      </c>
      <c r="B1537" s="1" t="s">
        <v>142</v>
      </c>
      <c r="C1537" s="1" t="s">
        <v>39</v>
      </c>
      <c r="D1537" s="1" t="s">
        <v>27</v>
      </c>
      <c r="E1537" s="2">
        <v>45905</v>
      </c>
      <c r="F1537" s="2">
        <v>45905</v>
      </c>
      <c r="G1537" s="3">
        <v>35</v>
      </c>
      <c r="H1537" s="4" t="s">
        <v>28</v>
      </c>
      <c r="I1537">
        <v>31</v>
      </c>
      <c r="J1537">
        <v>0</v>
      </c>
      <c r="K1537">
        <v>0</v>
      </c>
      <c r="L1537" s="3">
        <v>1</v>
      </c>
      <c r="M1537" s="3">
        <v>0</v>
      </c>
      <c r="N1537">
        <v>0</v>
      </c>
      <c r="O1537">
        <v>0</v>
      </c>
      <c r="P1537">
        <v>0</v>
      </c>
      <c r="Q1537">
        <v>31</v>
      </c>
      <c r="R1537" s="3">
        <v>0</v>
      </c>
      <c r="S1537" s="3">
        <v>0</v>
      </c>
      <c r="T1537">
        <v>0</v>
      </c>
      <c r="U1537">
        <v>0</v>
      </c>
      <c r="V1537" s="3">
        <v>0</v>
      </c>
      <c r="W1537" s="3">
        <v>0</v>
      </c>
      <c r="X1537">
        <v>0</v>
      </c>
      <c r="Y1537" t="s">
        <v>1282</v>
      </c>
    </row>
    <row r="1538" spans="1:25" hidden="1" x14ac:dyDescent="0.25">
      <c r="A1538" s="1" t="s">
        <v>58</v>
      </c>
      <c r="B1538" s="1" t="s">
        <v>144</v>
      </c>
      <c r="C1538" s="1" t="s">
        <v>489</v>
      </c>
      <c r="D1538" s="1" t="s">
        <v>27</v>
      </c>
      <c r="E1538" s="2">
        <v>45905</v>
      </c>
      <c r="F1538" s="2">
        <v>45905</v>
      </c>
      <c r="G1538" s="3">
        <v>24</v>
      </c>
      <c r="H1538" s="4" t="s">
        <v>28</v>
      </c>
      <c r="I1538">
        <v>65</v>
      </c>
      <c r="J1538">
        <v>0</v>
      </c>
      <c r="K1538">
        <v>0</v>
      </c>
      <c r="L1538" s="3">
        <v>1</v>
      </c>
      <c r="M1538" s="3">
        <v>0</v>
      </c>
      <c r="N1538">
        <v>0</v>
      </c>
      <c r="O1538">
        <v>0</v>
      </c>
      <c r="P1538">
        <v>0</v>
      </c>
      <c r="Q1538">
        <v>0</v>
      </c>
      <c r="R1538" s="3">
        <v>0</v>
      </c>
      <c r="S1538" s="3">
        <v>0</v>
      </c>
      <c r="T1538">
        <v>0</v>
      </c>
      <c r="U1538">
        <v>0</v>
      </c>
      <c r="V1538" s="3">
        <v>0</v>
      </c>
      <c r="W1538" s="3">
        <v>0</v>
      </c>
      <c r="X1538">
        <v>0</v>
      </c>
      <c r="Y1538" t="s">
        <v>1283</v>
      </c>
    </row>
    <row r="1539" spans="1:25" hidden="1" x14ac:dyDescent="0.25">
      <c r="A1539" s="1" t="s">
        <v>45</v>
      </c>
      <c r="B1539" s="1" t="s">
        <v>106</v>
      </c>
      <c r="C1539" s="1" t="s">
        <v>27</v>
      </c>
      <c r="D1539" s="1" t="s">
        <v>27</v>
      </c>
      <c r="E1539" s="2">
        <v>45905</v>
      </c>
      <c r="F1539" s="2">
        <v>45905</v>
      </c>
      <c r="G1539" s="3">
        <v>25</v>
      </c>
      <c r="H1539" s="4" t="s">
        <v>763</v>
      </c>
      <c r="I1539">
        <v>0</v>
      </c>
      <c r="J1539">
        <v>0</v>
      </c>
      <c r="K1539">
        <v>0</v>
      </c>
      <c r="L1539" s="3">
        <v>0</v>
      </c>
      <c r="M1539" s="3">
        <v>0</v>
      </c>
      <c r="N1539">
        <v>0</v>
      </c>
      <c r="O1539">
        <v>0</v>
      </c>
      <c r="P1539">
        <v>0</v>
      </c>
      <c r="Q1539">
        <v>0</v>
      </c>
      <c r="R1539" s="3">
        <v>0</v>
      </c>
      <c r="S1539" s="3">
        <v>0</v>
      </c>
      <c r="T1539">
        <v>0</v>
      </c>
      <c r="U1539">
        <v>0</v>
      </c>
      <c r="V1539" s="3">
        <v>0</v>
      </c>
      <c r="W1539" s="3">
        <v>0</v>
      </c>
      <c r="X1539" s="3">
        <v>0</v>
      </c>
    </row>
    <row r="1540" spans="1:25" hidden="1" x14ac:dyDescent="0.25">
      <c r="A1540" t="s">
        <v>56</v>
      </c>
      <c r="B1540" t="s">
        <v>98</v>
      </c>
      <c r="C1540" t="s">
        <v>37</v>
      </c>
      <c r="D1540" t="s">
        <v>27</v>
      </c>
      <c r="E1540" s="2">
        <v>45906</v>
      </c>
      <c r="F1540" s="2">
        <v>45906</v>
      </c>
      <c r="G1540" s="3">
        <v>105</v>
      </c>
      <c r="H1540" t="s">
        <v>28</v>
      </c>
      <c r="I1540">
        <v>0</v>
      </c>
      <c r="J1540">
        <v>0</v>
      </c>
      <c r="K1540">
        <v>0</v>
      </c>
      <c r="L1540" s="3">
        <v>1</v>
      </c>
      <c r="M1540" s="3">
        <v>1</v>
      </c>
      <c r="N1540">
        <v>0</v>
      </c>
      <c r="O1540">
        <v>0</v>
      </c>
      <c r="P1540">
        <v>0</v>
      </c>
      <c r="Q1540">
        <v>4</v>
      </c>
      <c r="R1540" s="3">
        <v>1</v>
      </c>
      <c r="S1540" s="3">
        <v>0</v>
      </c>
      <c r="T1540">
        <v>5</v>
      </c>
      <c r="U1540">
        <v>45</v>
      </c>
      <c r="V1540" s="3">
        <v>1</v>
      </c>
      <c r="W1540" s="3">
        <v>0</v>
      </c>
      <c r="X1540">
        <v>0</v>
      </c>
      <c r="Y1540" t="s">
        <v>1284</v>
      </c>
    </row>
    <row r="1541" spans="1:25" hidden="1" x14ac:dyDescent="0.25">
      <c r="A1541" t="s">
        <v>41</v>
      </c>
      <c r="B1541" t="s">
        <v>112</v>
      </c>
      <c r="C1541" t="s">
        <v>42</v>
      </c>
      <c r="D1541" t="s">
        <v>27</v>
      </c>
      <c r="E1541" s="2">
        <v>45906</v>
      </c>
      <c r="F1541" s="2">
        <v>45906</v>
      </c>
      <c r="G1541" s="3">
        <v>82</v>
      </c>
      <c r="H1541" t="s">
        <v>28</v>
      </c>
      <c r="I1541">
        <v>0</v>
      </c>
      <c r="J1541">
        <v>0</v>
      </c>
      <c r="K1541">
        <v>0</v>
      </c>
      <c r="L1541" s="3">
        <v>0</v>
      </c>
      <c r="M1541" s="3">
        <v>0</v>
      </c>
      <c r="N1541">
        <v>0</v>
      </c>
      <c r="O1541">
        <v>0</v>
      </c>
      <c r="P1541">
        <v>0</v>
      </c>
      <c r="Q1541">
        <v>64</v>
      </c>
      <c r="R1541" s="3">
        <v>1</v>
      </c>
      <c r="S1541" s="3">
        <v>0</v>
      </c>
      <c r="T1541">
        <v>74</v>
      </c>
      <c r="U1541">
        <v>20</v>
      </c>
      <c r="V1541" s="3">
        <v>1</v>
      </c>
      <c r="W1541" s="3">
        <v>0</v>
      </c>
      <c r="X1541">
        <v>0</v>
      </c>
      <c r="Y1541" t="s">
        <v>1285</v>
      </c>
    </row>
    <row r="1542" spans="1:25" hidden="1" x14ac:dyDescent="0.25">
      <c r="A1542" t="s">
        <v>56</v>
      </c>
      <c r="B1542" t="s">
        <v>98</v>
      </c>
      <c r="C1542" t="s">
        <v>37</v>
      </c>
      <c r="D1542" t="s">
        <v>27</v>
      </c>
      <c r="E1542" s="2">
        <v>45907</v>
      </c>
      <c r="F1542" s="2">
        <v>45907</v>
      </c>
      <c r="G1542" s="3">
        <v>62</v>
      </c>
      <c r="H1542" t="s">
        <v>28</v>
      </c>
      <c r="I1542">
        <v>0</v>
      </c>
      <c r="J1542">
        <v>0</v>
      </c>
      <c r="K1542">
        <v>0</v>
      </c>
      <c r="L1542" s="3">
        <v>1</v>
      </c>
      <c r="M1542" s="3">
        <v>0</v>
      </c>
      <c r="N1542">
        <v>0</v>
      </c>
      <c r="O1542">
        <v>0</v>
      </c>
      <c r="P1542">
        <v>0</v>
      </c>
      <c r="Q1542">
        <v>8</v>
      </c>
      <c r="R1542" s="3">
        <v>0</v>
      </c>
      <c r="S1542" s="3">
        <v>1</v>
      </c>
      <c r="T1542">
        <v>8</v>
      </c>
      <c r="U1542">
        <v>79</v>
      </c>
      <c r="V1542" s="3">
        <v>0</v>
      </c>
      <c r="W1542" s="3">
        <v>1</v>
      </c>
      <c r="X1542">
        <v>3</v>
      </c>
      <c r="Y1542" t="s">
        <v>1286</v>
      </c>
    </row>
    <row r="1543" spans="1:25" hidden="1" x14ac:dyDescent="0.25">
      <c r="A1543" t="s">
        <v>33</v>
      </c>
      <c r="B1543" t="s">
        <v>106</v>
      </c>
      <c r="C1543" t="s">
        <v>55</v>
      </c>
      <c r="D1543" t="s">
        <v>27</v>
      </c>
      <c r="E1543" s="2">
        <v>45907</v>
      </c>
      <c r="F1543" s="2">
        <v>45907</v>
      </c>
      <c r="G1543" s="5">
        <v>3415</v>
      </c>
      <c r="H1543" t="s">
        <v>28</v>
      </c>
      <c r="I1543">
        <v>0</v>
      </c>
      <c r="J1543">
        <v>0</v>
      </c>
      <c r="K1543">
        <v>0</v>
      </c>
      <c r="L1543" s="3">
        <v>0</v>
      </c>
      <c r="M1543" s="3">
        <v>0</v>
      </c>
      <c r="N1543">
        <v>0</v>
      </c>
      <c r="O1543">
        <v>0</v>
      </c>
      <c r="P1543">
        <v>0</v>
      </c>
      <c r="Q1543">
        <v>6</v>
      </c>
      <c r="R1543" s="3">
        <v>0</v>
      </c>
      <c r="S1543" s="3">
        <v>1</v>
      </c>
      <c r="T1543">
        <v>6</v>
      </c>
      <c r="U1543">
        <v>134</v>
      </c>
      <c r="V1543" s="3">
        <v>0</v>
      </c>
      <c r="W1543" s="3">
        <v>1</v>
      </c>
      <c r="X1543">
        <v>3</v>
      </c>
      <c r="Y1543" t="s">
        <v>1287</v>
      </c>
    </row>
    <row r="1544" spans="1:25" hidden="1" x14ac:dyDescent="0.25">
      <c r="A1544" t="s">
        <v>41</v>
      </c>
      <c r="B1544" t="s">
        <v>112</v>
      </c>
      <c r="C1544" t="s">
        <v>42</v>
      </c>
      <c r="D1544" t="s">
        <v>27</v>
      </c>
      <c r="E1544" s="2">
        <v>45907</v>
      </c>
      <c r="F1544" s="2">
        <v>45907</v>
      </c>
      <c r="G1544" s="3">
        <v>82</v>
      </c>
      <c r="H1544" t="s">
        <v>28</v>
      </c>
      <c r="I1544">
        <v>0</v>
      </c>
      <c r="J1544">
        <v>0</v>
      </c>
      <c r="K1544">
        <v>0</v>
      </c>
      <c r="L1544" s="3">
        <v>0</v>
      </c>
      <c r="M1544" s="3">
        <v>0</v>
      </c>
      <c r="N1544">
        <v>0</v>
      </c>
      <c r="O1544">
        <v>0</v>
      </c>
      <c r="P1544">
        <v>0</v>
      </c>
      <c r="Q1544">
        <v>64</v>
      </c>
      <c r="R1544" s="3">
        <v>0</v>
      </c>
      <c r="S1544" s="3">
        <v>1</v>
      </c>
      <c r="T1544">
        <v>62</v>
      </c>
      <c r="U1544">
        <v>98</v>
      </c>
      <c r="V1544" s="3">
        <v>0</v>
      </c>
      <c r="W1544" s="3">
        <v>1</v>
      </c>
      <c r="X1544">
        <v>4</v>
      </c>
      <c r="Y1544" t="s">
        <v>1285</v>
      </c>
    </row>
    <row r="1545" spans="1:25" hidden="1" x14ac:dyDescent="0.25">
      <c r="A1545" s="1" t="s">
        <v>56</v>
      </c>
      <c r="B1545" s="1" t="s">
        <v>98</v>
      </c>
      <c r="C1545" s="1" t="s">
        <v>37</v>
      </c>
      <c r="D1545" t="s">
        <v>27</v>
      </c>
      <c r="E1545" s="2">
        <v>45908</v>
      </c>
      <c r="F1545" s="2">
        <v>45908</v>
      </c>
      <c r="G1545" s="3">
        <v>37</v>
      </c>
      <c r="H1545" s="4" t="s">
        <v>28</v>
      </c>
      <c r="I1545">
        <v>69</v>
      </c>
      <c r="J1545">
        <v>0</v>
      </c>
      <c r="K1545">
        <v>0</v>
      </c>
      <c r="L1545" s="3">
        <v>1</v>
      </c>
      <c r="M1545" s="3">
        <v>0</v>
      </c>
      <c r="N1545">
        <v>0</v>
      </c>
      <c r="O1545">
        <v>0</v>
      </c>
      <c r="P1545">
        <v>0</v>
      </c>
      <c r="Q1545">
        <v>0</v>
      </c>
      <c r="R1545" s="3">
        <v>0</v>
      </c>
      <c r="S1545" s="3">
        <v>0</v>
      </c>
      <c r="T1545">
        <v>0</v>
      </c>
      <c r="U1545">
        <v>0</v>
      </c>
      <c r="V1545" s="3">
        <v>0</v>
      </c>
      <c r="W1545" s="3">
        <v>0</v>
      </c>
      <c r="X1545">
        <v>0</v>
      </c>
      <c r="Y1545" t="s">
        <v>1288</v>
      </c>
    </row>
    <row r="1546" spans="1:25" hidden="1" x14ac:dyDescent="0.25">
      <c r="A1546" s="1" t="s">
        <v>29</v>
      </c>
      <c r="B1546" s="1" t="s">
        <v>100</v>
      </c>
      <c r="C1546" s="1" t="s">
        <v>26</v>
      </c>
      <c r="D1546" t="s">
        <v>27</v>
      </c>
      <c r="E1546" s="2">
        <v>45908</v>
      </c>
      <c r="F1546" s="2">
        <v>45908</v>
      </c>
      <c r="G1546" s="3">
        <v>39</v>
      </c>
      <c r="H1546" s="4" t="s">
        <v>28</v>
      </c>
      <c r="I1546">
        <v>41</v>
      </c>
      <c r="J1546">
        <v>21</v>
      </c>
      <c r="K1546">
        <v>0</v>
      </c>
      <c r="L1546" s="3">
        <v>1</v>
      </c>
      <c r="M1546" s="3">
        <v>0</v>
      </c>
      <c r="N1546">
        <v>0</v>
      </c>
      <c r="O1546">
        <v>0</v>
      </c>
      <c r="P1546">
        <v>0</v>
      </c>
      <c r="Q1546">
        <v>0</v>
      </c>
      <c r="R1546" s="3">
        <v>0</v>
      </c>
      <c r="S1546" s="3">
        <v>0</v>
      </c>
      <c r="T1546">
        <v>0</v>
      </c>
      <c r="U1546">
        <v>0</v>
      </c>
      <c r="V1546" s="3">
        <v>0</v>
      </c>
      <c r="W1546" s="3">
        <v>0</v>
      </c>
      <c r="X1546">
        <v>0</v>
      </c>
      <c r="Y1546" t="s">
        <v>1289</v>
      </c>
    </row>
    <row r="1547" spans="1:25" hidden="1" x14ac:dyDescent="0.25">
      <c r="A1547" s="1" t="s">
        <v>344</v>
      </c>
      <c r="B1547" s="1" t="s">
        <v>102</v>
      </c>
      <c r="C1547" s="1" t="s">
        <v>35</v>
      </c>
      <c r="D1547" t="s">
        <v>27</v>
      </c>
      <c r="E1547" s="2">
        <v>45908</v>
      </c>
      <c r="F1547" s="2">
        <v>45908</v>
      </c>
      <c r="G1547" s="3">
        <v>28</v>
      </c>
      <c r="H1547" s="4" t="s">
        <v>28</v>
      </c>
      <c r="I1547">
        <v>24</v>
      </c>
      <c r="J1547">
        <v>0</v>
      </c>
      <c r="K1547">
        <v>0</v>
      </c>
      <c r="L1547" s="3">
        <v>0</v>
      </c>
      <c r="M1547" s="3">
        <v>0</v>
      </c>
      <c r="N1547">
        <v>0</v>
      </c>
      <c r="O1547">
        <v>0</v>
      </c>
      <c r="P1547">
        <v>0</v>
      </c>
      <c r="Q1547">
        <v>0</v>
      </c>
      <c r="R1547" s="3">
        <v>0</v>
      </c>
      <c r="S1547" s="3">
        <v>0</v>
      </c>
      <c r="T1547">
        <v>0</v>
      </c>
      <c r="U1547">
        <v>0</v>
      </c>
      <c r="V1547" s="3">
        <v>0</v>
      </c>
      <c r="W1547" s="3">
        <v>0</v>
      </c>
      <c r="X1547">
        <v>0</v>
      </c>
      <c r="Y1547" t="s">
        <v>1290</v>
      </c>
    </row>
    <row r="1548" spans="1:25" hidden="1" x14ac:dyDescent="0.25">
      <c r="A1548" s="1" t="s">
        <v>31</v>
      </c>
      <c r="B1548" s="1" t="s">
        <v>104</v>
      </c>
      <c r="C1548" s="1" t="s">
        <v>32</v>
      </c>
      <c r="D1548" t="s">
        <v>27</v>
      </c>
      <c r="E1548" s="2">
        <v>45908</v>
      </c>
      <c r="F1548" s="2">
        <v>45908</v>
      </c>
      <c r="G1548" s="3">
        <v>36</v>
      </c>
      <c r="H1548" s="4" t="s">
        <v>28</v>
      </c>
      <c r="I1548">
        <v>93</v>
      </c>
      <c r="J1548">
        <v>0</v>
      </c>
      <c r="K1548">
        <v>0</v>
      </c>
      <c r="L1548" s="3">
        <v>0</v>
      </c>
      <c r="M1548" s="3">
        <v>0</v>
      </c>
      <c r="N1548">
        <v>0</v>
      </c>
      <c r="O1548">
        <v>0</v>
      </c>
      <c r="P1548">
        <v>0</v>
      </c>
      <c r="Q1548">
        <v>50</v>
      </c>
      <c r="R1548" s="3">
        <v>0</v>
      </c>
      <c r="S1548" s="3">
        <v>0</v>
      </c>
      <c r="T1548">
        <v>0</v>
      </c>
      <c r="U1548">
        <v>0</v>
      </c>
      <c r="V1548" s="3">
        <v>0</v>
      </c>
      <c r="W1548" s="3">
        <v>0</v>
      </c>
      <c r="X1548">
        <v>0</v>
      </c>
      <c r="Y1548" t="s">
        <v>1291</v>
      </c>
    </row>
    <row r="1549" spans="1:25" hidden="1" x14ac:dyDescent="0.25">
      <c r="A1549" s="1" t="s">
        <v>33</v>
      </c>
      <c r="B1549" s="1" t="s">
        <v>106</v>
      </c>
      <c r="C1549" s="1" t="s">
        <v>57</v>
      </c>
      <c r="D1549" t="s">
        <v>27</v>
      </c>
      <c r="E1549" s="2">
        <v>45908</v>
      </c>
      <c r="F1549" s="2">
        <v>45908</v>
      </c>
      <c r="G1549" s="3">
        <v>36</v>
      </c>
      <c r="H1549" s="4" t="s">
        <v>28</v>
      </c>
      <c r="I1549">
        <v>61</v>
      </c>
      <c r="J1549">
        <v>0</v>
      </c>
      <c r="K1549">
        <v>0</v>
      </c>
      <c r="L1549" s="3">
        <v>0</v>
      </c>
      <c r="M1549" s="3">
        <v>0</v>
      </c>
      <c r="N1549">
        <v>0</v>
      </c>
      <c r="O1549">
        <v>0</v>
      </c>
      <c r="P1549">
        <v>0</v>
      </c>
      <c r="Q1549">
        <v>18</v>
      </c>
      <c r="R1549" s="3">
        <v>0</v>
      </c>
      <c r="S1549" s="3">
        <v>0</v>
      </c>
      <c r="T1549">
        <v>0</v>
      </c>
      <c r="U1549">
        <v>0</v>
      </c>
      <c r="V1549" s="3">
        <v>0</v>
      </c>
      <c r="W1549" s="3">
        <v>0</v>
      </c>
      <c r="X1549">
        <v>0</v>
      </c>
      <c r="Y1549" t="s">
        <v>1292</v>
      </c>
    </row>
    <row r="1550" spans="1:25" hidden="1" x14ac:dyDescent="0.25">
      <c r="A1550" s="1" t="s">
        <v>38</v>
      </c>
      <c r="B1550" s="1" t="s">
        <v>108</v>
      </c>
      <c r="C1550" s="1" t="s">
        <v>27</v>
      </c>
      <c r="D1550" t="s">
        <v>27</v>
      </c>
      <c r="E1550" s="2">
        <v>45908</v>
      </c>
      <c r="F1550" s="2">
        <v>45908</v>
      </c>
      <c r="G1550" s="3">
        <v>37</v>
      </c>
      <c r="H1550" s="4" t="s">
        <v>28</v>
      </c>
      <c r="I1550">
        <v>28</v>
      </c>
      <c r="J1550">
        <v>0</v>
      </c>
      <c r="K1550">
        <v>0</v>
      </c>
      <c r="L1550" s="3">
        <v>0</v>
      </c>
      <c r="M1550" s="3">
        <v>0</v>
      </c>
      <c r="N1550">
        <v>0</v>
      </c>
      <c r="O1550">
        <v>0</v>
      </c>
      <c r="P1550">
        <v>0</v>
      </c>
      <c r="Q1550">
        <v>28</v>
      </c>
      <c r="R1550" s="3">
        <v>0</v>
      </c>
      <c r="S1550" s="3">
        <v>0</v>
      </c>
      <c r="T1550">
        <v>0</v>
      </c>
      <c r="U1550">
        <v>0</v>
      </c>
      <c r="V1550" s="3">
        <v>0</v>
      </c>
      <c r="W1550" s="3">
        <v>0</v>
      </c>
      <c r="X1550">
        <v>0</v>
      </c>
      <c r="Y1550" t="s">
        <v>1293</v>
      </c>
    </row>
    <row r="1551" spans="1:25" hidden="1" x14ac:dyDescent="0.25">
      <c r="A1551" s="1" t="s">
        <v>40</v>
      </c>
      <c r="B1551" s="1" t="s">
        <v>110</v>
      </c>
      <c r="C1551" s="1" t="s">
        <v>27</v>
      </c>
      <c r="D1551" t="s">
        <v>27</v>
      </c>
      <c r="E1551" s="2">
        <v>45908</v>
      </c>
      <c r="F1551" s="2">
        <v>45908</v>
      </c>
      <c r="G1551" s="3">
        <v>88</v>
      </c>
      <c r="H1551" s="4" t="s">
        <v>28</v>
      </c>
      <c r="I1551">
        <v>40</v>
      </c>
      <c r="J1551">
        <v>0</v>
      </c>
      <c r="K1551">
        <v>0</v>
      </c>
      <c r="L1551" s="3">
        <v>1</v>
      </c>
      <c r="M1551" s="3">
        <v>0</v>
      </c>
      <c r="N1551">
        <v>1</v>
      </c>
      <c r="O1551">
        <v>0</v>
      </c>
      <c r="P1551">
        <v>0</v>
      </c>
      <c r="Q1551">
        <v>0</v>
      </c>
      <c r="R1551" s="3">
        <v>0</v>
      </c>
      <c r="S1551" s="3">
        <v>0</v>
      </c>
      <c r="T1551">
        <v>0</v>
      </c>
      <c r="U1551">
        <v>0</v>
      </c>
      <c r="V1551" s="3">
        <v>0</v>
      </c>
      <c r="W1551" s="3">
        <v>0</v>
      </c>
      <c r="X1551">
        <v>0</v>
      </c>
      <c r="Y1551" t="s">
        <v>1294</v>
      </c>
    </row>
    <row r="1552" spans="1:25" hidden="1" x14ac:dyDescent="0.25">
      <c r="A1552" s="1" t="s">
        <v>36</v>
      </c>
      <c r="B1552" s="1" t="s">
        <v>110</v>
      </c>
      <c r="C1552" s="1" t="s">
        <v>27</v>
      </c>
      <c r="D1552" t="s">
        <v>27</v>
      </c>
      <c r="E1552" s="2">
        <v>45908</v>
      </c>
      <c r="F1552" s="2">
        <v>45908</v>
      </c>
      <c r="G1552" s="3">
        <v>88</v>
      </c>
      <c r="H1552" s="4" t="s">
        <v>28</v>
      </c>
      <c r="I1552">
        <v>40</v>
      </c>
      <c r="J1552">
        <v>0</v>
      </c>
      <c r="K1552">
        <v>0</v>
      </c>
      <c r="L1552" s="3">
        <v>1</v>
      </c>
      <c r="M1552" s="3">
        <v>0</v>
      </c>
      <c r="N1552">
        <v>1</v>
      </c>
      <c r="O1552">
        <v>0</v>
      </c>
      <c r="P1552">
        <v>0</v>
      </c>
      <c r="Q1552">
        <v>0</v>
      </c>
      <c r="R1552" s="3">
        <v>0</v>
      </c>
      <c r="S1552" s="3">
        <v>0</v>
      </c>
      <c r="T1552">
        <v>0</v>
      </c>
      <c r="U1552">
        <v>0</v>
      </c>
      <c r="V1552" s="3">
        <v>0</v>
      </c>
      <c r="W1552" s="3">
        <v>0</v>
      </c>
      <c r="X1552">
        <v>0</v>
      </c>
      <c r="Y1552" t="s">
        <v>1294</v>
      </c>
    </row>
    <row r="1553" spans="1:25" hidden="1" x14ac:dyDescent="0.25">
      <c r="A1553" s="1" t="s">
        <v>41</v>
      </c>
      <c r="B1553" s="1" t="s">
        <v>112</v>
      </c>
      <c r="C1553" s="1" t="s">
        <v>42</v>
      </c>
      <c r="D1553" t="s">
        <v>27</v>
      </c>
      <c r="E1553" s="2">
        <v>45908</v>
      </c>
      <c r="F1553" s="2">
        <v>45908</v>
      </c>
      <c r="G1553" s="3">
        <v>48</v>
      </c>
      <c r="H1553" s="4" t="s">
        <v>28</v>
      </c>
      <c r="I1553">
        <f>37+62</f>
        <v>99</v>
      </c>
      <c r="J1553">
        <v>0</v>
      </c>
      <c r="K1553">
        <v>0</v>
      </c>
      <c r="L1553" s="3">
        <v>1</v>
      </c>
      <c r="M1553" s="3">
        <v>0</v>
      </c>
      <c r="N1553">
        <v>0</v>
      </c>
      <c r="O1553">
        <v>0</v>
      </c>
      <c r="P1553">
        <v>0</v>
      </c>
      <c r="Q1553">
        <v>66</v>
      </c>
      <c r="R1553" s="3">
        <v>0</v>
      </c>
      <c r="S1553" s="3">
        <v>0</v>
      </c>
      <c r="T1553">
        <v>0</v>
      </c>
      <c r="U1553">
        <v>0</v>
      </c>
      <c r="V1553" s="3">
        <v>0</v>
      </c>
      <c r="W1553" s="3">
        <v>0</v>
      </c>
      <c r="X1553">
        <v>0</v>
      </c>
      <c r="Y1553" t="s">
        <v>1295</v>
      </c>
    </row>
    <row r="1554" spans="1:25" hidden="1" x14ac:dyDescent="0.25">
      <c r="A1554" s="1" t="s">
        <v>43</v>
      </c>
      <c r="B1554" s="1" t="s">
        <v>114</v>
      </c>
      <c r="C1554" s="1" t="s">
        <v>44</v>
      </c>
      <c r="D1554" t="s">
        <v>27</v>
      </c>
      <c r="E1554" s="2">
        <v>45908</v>
      </c>
      <c r="F1554" s="2">
        <v>45908</v>
      </c>
      <c r="G1554" s="3">
        <v>28</v>
      </c>
      <c r="H1554" s="4" t="s">
        <v>28</v>
      </c>
      <c r="I1554">
        <v>42</v>
      </c>
      <c r="J1554">
        <v>0</v>
      </c>
      <c r="K1554">
        <v>0</v>
      </c>
      <c r="L1554" s="3">
        <v>0</v>
      </c>
      <c r="M1554" s="3">
        <v>0</v>
      </c>
      <c r="N1554">
        <v>0</v>
      </c>
      <c r="O1554">
        <v>0</v>
      </c>
      <c r="P1554">
        <v>0</v>
      </c>
      <c r="Q1554">
        <v>0</v>
      </c>
      <c r="R1554" s="3">
        <v>0</v>
      </c>
      <c r="S1554" s="3">
        <v>0</v>
      </c>
      <c r="T1554">
        <v>0</v>
      </c>
      <c r="U1554">
        <v>0</v>
      </c>
      <c r="V1554" s="3">
        <v>0</v>
      </c>
      <c r="W1554" s="3">
        <v>0</v>
      </c>
      <c r="X1554">
        <v>0</v>
      </c>
      <c r="Y1554" t="s">
        <v>1296</v>
      </c>
    </row>
    <row r="1555" spans="1:25" hidden="1" x14ac:dyDescent="0.25">
      <c r="A1555" s="1" t="s">
        <v>47</v>
      </c>
      <c r="B1555" s="1" t="s">
        <v>137</v>
      </c>
      <c r="C1555" s="1" t="s">
        <v>27</v>
      </c>
      <c r="D1555" t="s">
        <v>27</v>
      </c>
      <c r="E1555" s="2">
        <v>45908</v>
      </c>
      <c r="F1555" s="2">
        <v>45908</v>
      </c>
      <c r="G1555" s="3">
        <v>27</v>
      </c>
      <c r="H1555" s="4" t="s">
        <v>28</v>
      </c>
      <c r="I1555">
        <v>54</v>
      </c>
      <c r="J1555">
        <v>0</v>
      </c>
      <c r="K1555">
        <v>0</v>
      </c>
      <c r="L1555" s="3">
        <v>0</v>
      </c>
      <c r="M1555" s="3">
        <v>0</v>
      </c>
      <c r="N1555">
        <v>0</v>
      </c>
      <c r="O1555">
        <v>0</v>
      </c>
      <c r="P1555">
        <v>0</v>
      </c>
      <c r="Q1555">
        <v>0</v>
      </c>
      <c r="R1555" s="3">
        <v>0</v>
      </c>
      <c r="S1555" s="3">
        <v>0</v>
      </c>
      <c r="T1555">
        <v>0</v>
      </c>
      <c r="U1555">
        <v>0</v>
      </c>
      <c r="V1555" s="3">
        <v>0</v>
      </c>
      <c r="W1555" s="3">
        <v>0</v>
      </c>
      <c r="X1555">
        <v>0</v>
      </c>
      <c r="Y1555" t="s">
        <v>1297</v>
      </c>
    </row>
    <row r="1556" spans="1:25" hidden="1" x14ac:dyDescent="0.25">
      <c r="A1556" s="1" t="s">
        <v>34</v>
      </c>
      <c r="B1556" s="1" t="s">
        <v>137</v>
      </c>
      <c r="C1556" s="1" t="s">
        <v>27</v>
      </c>
      <c r="D1556" t="s">
        <v>27</v>
      </c>
      <c r="E1556" s="2">
        <v>45908</v>
      </c>
      <c r="F1556" s="2">
        <v>45908</v>
      </c>
      <c r="G1556" s="3">
        <v>27</v>
      </c>
      <c r="H1556" s="4" t="s">
        <v>28</v>
      </c>
      <c r="I1556">
        <v>54</v>
      </c>
      <c r="J1556">
        <v>0</v>
      </c>
      <c r="K1556">
        <v>0</v>
      </c>
      <c r="L1556" s="3">
        <v>0</v>
      </c>
      <c r="M1556" s="3">
        <v>0</v>
      </c>
      <c r="N1556">
        <v>0</v>
      </c>
      <c r="O1556">
        <v>0</v>
      </c>
      <c r="P1556">
        <v>0</v>
      </c>
      <c r="Q1556">
        <v>0</v>
      </c>
      <c r="R1556" s="3">
        <v>0</v>
      </c>
      <c r="S1556" s="3">
        <v>0</v>
      </c>
      <c r="T1556">
        <v>0</v>
      </c>
      <c r="U1556">
        <v>0</v>
      </c>
      <c r="V1556" s="3">
        <v>0</v>
      </c>
      <c r="W1556" s="3">
        <v>0</v>
      </c>
      <c r="X1556">
        <v>0</v>
      </c>
      <c r="Y1556" t="s">
        <v>1297</v>
      </c>
    </row>
    <row r="1557" spans="1:25" hidden="1" x14ac:dyDescent="0.25">
      <c r="A1557" s="1" t="s">
        <v>49</v>
      </c>
      <c r="B1557" s="1" t="s">
        <v>118</v>
      </c>
      <c r="C1557" s="1" t="s">
        <v>50</v>
      </c>
      <c r="D1557" t="s">
        <v>27</v>
      </c>
      <c r="E1557" s="2">
        <v>45908</v>
      </c>
      <c r="F1557" s="2">
        <v>45908</v>
      </c>
      <c r="G1557" s="3">
        <v>26</v>
      </c>
      <c r="H1557" s="4" t="s">
        <v>28</v>
      </c>
      <c r="I1557">
        <v>40</v>
      </c>
      <c r="J1557">
        <v>0</v>
      </c>
      <c r="K1557">
        <v>0</v>
      </c>
      <c r="L1557" s="3">
        <v>1</v>
      </c>
      <c r="M1557" s="3">
        <v>1</v>
      </c>
      <c r="N1557">
        <v>0</v>
      </c>
      <c r="O1557">
        <v>1</v>
      </c>
      <c r="P1557">
        <v>0</v>
      </c>
      <c r="Q1557">
        <v>0</v>
      </c>
      <c r="R1557" s="3">
        <v>0</v>
      </c>
      <c r="S1557" s="3">
        <v>0</v>
      </c>
      <c r="T1557">
        <v>0</v>
      </c>
      <c r="U1557">
        <v>0</v>
      </c>
      <c r="V1557" s="3">
        <v>0</v>
      </c>
      <c r="W1557" s="3">
        <v>0</v>
      </c>
      <c r="X1557">
        <v>0</v>
      </c>
      <c r="Y1557" t="s">
        <v>1298</v>
      </c>
    </row>
    <row r="1558" spans="1:25" hidden="1" x14ac:dyDescent="0.25">
      <c r="A1558" s="1" t="s">
        <v>51</v>
      </c>
      <c r="B1558" s="1" t="s">
        <v>120</v>
      </c>
      <c r="C1558" s="1" t="s">
        <v>55</v>
      </c>
      <c r="D1558" t="s">
        <v>27</v>
      </c>
      <c r="E1558" s="2">
        <v>45908</v>
      </c>
      <c r="F1558" s="2">
        <v>45908</v>
      </c>
      <c r="G1558" s="3">
        <v>44</v>
      </c>
      <c r="H1558" s="4" t="s">
        <v>28</v>
      </c>
      <c r="I1558">
        <v>36</v>
      </c>
      <c r="J1558">
        <v>0</v>
      </c>
      <c r="K1558">
        <v>0</v>
      </c>
      <c r="L1558" s="3">
        <v>0</v>
      </c>
      <c r="M1558" s="3">
        <v>0</v>
      </c>
      <c r="N1558">
        <v>1</v>
      </c>
      <c r="O1558">
        <v>0</v>
      </c>
      <c r="P1558">
        <v>0</v>
      </c>
      <c r="Q1558">
        <v>0</v>
      </c>
      <c r="R1558" s="3">
        <v>0</v>
      </c>
      <c r="S1558" s="3">
        <v>0</v>
      </c>
      <c r="T1558">
        <v>0</v>
      </c>
      <c r="U1558">
        <v>0</v>
      </c>
      <c r="V1558" s="3">
        <v>0</v>
      </c>
      <c r="W1558" s="3">
        <v>0</v>
      </c>
      <c r="X1558">
        <v>0</v>
      </c>
      <c r="Y1558" t="s">
        <v>1299</v>
      </c>
    </row>
    <row r="1559" spans="1:25" hidden="1" x14ac:dyDescent="0.25">
      <c r="A1559" s="1" t="s">
        <v>48</v>
      </c>
      <c r="B1559" s="1" t="s">
        <v>149</v>
      </c>
      <c r="C1559" s="1" t="s">
        <v>46</v>
      </c>
      <c r="D1559" t="s">
        <v>27</v>
      </c>
      <c r="E1559" s="2">
        <v>45908</v>
      </c>
      <c r="F1559" s="2">
        <v>45908</v>
      </c>
      <c r="G1559" s="3">
        <v>36</v>
      </c>
      <c r="H1559" s="4" t="s">
        <v>28</v>
      </c>
      <c r="I1559">
        <v>69</v>
      </c>
      <c r="J1559">
        <v>0</v>
      </c>
      <c r="K1559">
        <v>0</v>
      </c>
      <c r="L1559" s="3">
        <v>1</v>
      </c>
      <c r="M1559" s="3">
        <v>0</v>
      </c>
      <c r="N1559">
        <v>0</v>
      </c>
      <c r="O1559">
        <v>0</v>
      </c>
      <c r="P1559">
        <v>0</v>
      </c>
      <c r="Q1559">
        <v>0</v>
      </c>
      <c r="R1559" s="3">
        <v>0</v>
      </c>
      <c r="S1559" s="3">
        <v>0</v>
      </c>
      <c r="T1559">
        <v>0</v>
      </c>
      <c r="U1559">
        <v>0</v>
      </c>
      <c r="V1559" s="3">
        <v>0</v>
      </c>
      <c r="W1559" s="3">
        <v>0</v>
      </c>
      <c r="X1559">
        <v>0</v>
      </c>
      <c r="Y1559" t="s">
        <v>1300</v>
      </c>
    </row>
    <row r="1560" spans="1:25" hidden="1" x14ac:dyDescent="0.25">
      <c r="A1560" s="1" t="s">
        <v>53</v>
      </c>
      <c r="B1560" s="1" t="s">
        <v>142</v>
      </c>
      <c r="C1560" s="1" t="s">
        <v>39</v>
      </c>
      <c r="D1560" t="s">
        <v>27</v>
      </c>
      <c r="E1560" s="2">
        <v>45908</v>
      </c>
      <c r="F1560" s="2">
        <v>45908</v>
      </c>
      <c r="G1560" s="3">
        <v>114</v>
      </c>
      <c r="H1560" s="4" t="s">
        <v>28</v>
      </c>
      <c r="I1560">
        <v>31</v>
      </c>
      <c r="J1560">
        <v>0</v>
      </c>
      <c r="K1560">
        <v>0</v>
      </c>
      <c r="L1560" s="3">
        <v>1</v>
      </c>
      <c r="M1560" s="3">
        <v>0</v>
      </c>
      <c r="N1560">
        <v>0</v>
      </c>
      <c r="O1560">
        <v>0</v>
      </c>
      <c r="P1560">
        <v>0</v>
      </c>
      <c r="Q1560">
        <v>31</v>
      </c>
      <c r="R1560" s="3">
        <v>0</v>
      </c>
      <c r="S1560" s="3">
        <v>0</v>
      </c>
      <c r="T1560">
        <v>0</v>
      </c>
      <c r="U1560">
        <v>0</v>
      </c>
      <c r="V1560" s="3">
        <v>0</v>
      </c>
      <c r="W1560" s="3">
        <v>0</v>
      </c>
      <c r="X1560">
        <v>0</v>
      </c>
      <c r="Y1560" t="s">
        <v>1301</v>
      </c>
    </row>
    <row r="1561" spans="1:25" hidden="1" x14ac:dyDescent="0.25">
      <c r="A1561" s="1" t="s">
        <v>54</v>
      </c>
      <c r="B1561" s="1" t="s">
        <v>122</v>
      </c>
      <c r="C1561" s="1" t="s">
        <v>52</v>
      </c>
      <c r="D1561" t="s">
        <v>27</v>
      </c>
      <c r="E1561" s="2">
        <v>45908</v>
      </c>
      <c r="F1561" s="2">
        <v>45908</v>
      </c>
      <c r="G1561" s="3">
        <v>49</v>
      </c>
      <c r="H1561" s="4" t="s">
        <v>28</v>
      </c>
      <c r="I1561">
        <v>15</v>
      </c>
      <c r="J1561">
        <v>0</v>
      </c>
      <c r="K1561">
        <v>0</v>
      </c>
      <c r="L1561" s="3">
        <v>0</v>
      </c>
      <c r="M1561" s="3">
        <v>0</v>
      </c>
      <c r="N1561">
        <v>0</v>
      </c>
      <c r="O1561">
        <v>0</v>
      </c>
      <c r="P1561">
        <v>0</v>
      </c>
      <c r="Q1561">
        <v>2</v>
      </c>
      <c r="R1561" s="3">
        <v>0</v>
      </c>
      <c r="S1561" s="3">
        <v>0</v>
      </c>
      <c r="T1561">
        <v>0</v>
      </c>
      <c r="U1561">
        <v>0</v>
      </c>
      <c r="V1561" s="3">
        <v>0</v>
      </c>
      <c r="W1561" s="3">
        <v>0</v>
      </c>
      <c r="X1561">
        <v>0</v>
      </c>
      <c r="Y1561" t="s">
        <v>1280</v>
      </c>
    </row>
    <row r="1562" spans="1:25" hidden="1" x14ac:dyDescent="0.25">
      <c r="A1562" s="1" t="s">
        <v>58</v>
      </c>
      <c r="B1562" s="1" t="s">
        <v>144</v>
      </c>
      <c r="C1562" s="1" t="s">
        <v>489</v>
      </c>
      <c r="D1562" t="s">
        <v>27</v>
      </c>
      <c r="E1562" s="2">
        <v>45908</v>
      </c>
      <c r="F1562" s="2">
        <v>45908</v>
      </c>
      <c r="G1562" s="3">
        <v>44</v>
      </c>
      <c r="H1562" s="4" t="s">
        <v>28</v>
      </c>
      <c r="I1562">
        <v>57</v>
      </c>
      <c r="J1562">
        <v>21</v>
      </c>
      <c r="K1562">
        <v>0</v>
      </c>
      <c r="L1562" s="3">
        <v>1</v>
      </c>
      <c r="M1562" s="3">
        <v>0</v>
      </c>
      <c r="N1562">
        <v>0</v>
      </c>
      <c r="O1562">
        <v>0</v>
      </c>
      <c r="P1562">
        <v>0</v>
      </c>
      <c r="Q1562">
        <v>0</v>
      </c>
      <c r="R1562" s="3">
        <v>0</v>
      </c>
      <c r="S1562" s="3">
        <v>0</v>
      </c>
      <c r="T1562">
        <v>0</v>
      </c>
      <c r="U1562">
        <v>0</v>
      </c>
      <c r="V1562" s="3">
        <v>0</v>
      </c>
      <c r="W1562" s="3">
        <v>0</v>
      </c>
      <c r="X1562">
        <v>0</v>
      </c>
      <c r="Y1562" t="s">
        <v>1302</v>
      </c>
    </row>
    <row r="1563" spans="1:25" hidden="1" x14ac:dyDescent="0.25">
      <c r="A1563" s="1" t="s">
        <v>25</v>
      </c>
      <c r="B1563" s="1" t="s">
        <v>96</v>
      </c>
      <c r="C1563" s="1" t="s">
        <v>26</v>
      </c>
      <c r="D1563" t="s">
        <v>27</v>
      </c>
      <c r="E1563" s="2">
        <v>45909</v>
      </c>
      <c r="F1563" s="2">
        <v>45909</v>
      </c>
      <c r="G1563" s="3">
        <v>45</v>
      </c>
      <c r="H1563" s="4" t="s">
        <v>28</v>
      </c>
      <c r="I1563">
        <v>45</v>
      </c>
      <c r="J1563">
        <v>0</v>
      </c>
      <c r="K1563">
        <v>0</v>
      </c>
      <c r="L1563" s="3">
        <v>1</v>
      </c>
      <c r="M1563" s="3">
        <v>0</v>
      </c>
      <c r="N1563">
        <v>1</v>
      </c>
      <c r="O1563">
        <v>0</v>
      </c>
      <c r="P1563">
        <v>0</v>
      </c>
      <c r="Q1563">
        <v>0</v>
      </c>
      <c r="R1563" s="3">
        <v>0</v>
      </c>
      <c r="S1563" s="3">
        <v>0</v>
      </c>
      <c r="T1563">
        <v>0</v>
      </c>
      <c r="U1563">
        <v>0</v>
      </c>
      <c r="V1563" s="3">
        <v>0</v>
      </c>
      <c r="W1563" s="3">
        <v>0</v>
      </c>
      <c r="X1563">
        <v>0</v>
      </c>
      <c r="Y1563" t="s">
        <v>1303</v>
      </c>
    </row>
    <row r="1564" spans="1:25" hidden="1" x14ac:dyDescent="0.25">
      <c r="A1564" s="1" t="s">
        <v>56</v>
      </c>
      <c r="B1564" s="1" t="s">
        <v>98</v>
      </c>
      <c r="C1564" s="1" t="s">
        <v>37</v>
      </c>
      <c r="D1564" t="s">
        <v>27</v>
      </c>
      <c r="E1564" s="2">
        <v>45909</v>
      </c>
      <c r="F1564" s="2">
        <v>45909</v>
      </c>
      <c r="G1564" s="3">
        <v>29</v>
      </c>
      <c r="H1564" s="4" t="s">
        <v>28</v>
      </c>
      <c r="I1564">
        <v>59</v>
      </c>
      <c r="J1564">
        <v>0</v>
      </c>
      <c r="K1564">
        <v>0</v>
      </c>
      <c r="L1564" s="3">
        <v>1</v>
      </c>
      <c r="M1564" s="3">
        <v>0</v>
      </c>
      <c r="N1564">
        <v>0</v>
      </c>
      <c r="O1564">
        <v>0</v>
      </c>
      <c r="P1564">
        <v>0</v>
      </c>
      <c r="Q1564">
        <v>0</v>
      </c>
      <c r="R1564" s="3">
        <v>0</v>
      </c>
      <c r="S1564" s="3">
        <v>0</v>
      </c>
      <c r="T1564">
        <v>0</v>
      </c>
      <c r="U1564">
        <v>0</v>
      </c>
      <c r="V1564" s="3">
        <v>0</v>
      </c>
      <c r="W1564" s="3">
        <v>0</v>
      </c>
      <c r="X1564">
        <v>0</v>
      </c>
      <c r="Y1564" t="s">
        <v>1304</v>
      </c>
    </row>
    <row r="1565" spans="1:25" hidden="1" x14ac:dyDescent="0.25">
      <c r="A1565" s="1" t="s">
        <v>29</v>
      </c>
      <c r="B1565" s="1" t="s">
        <v>100</v>
      </c>
      <c r="C1565" s="1" t="s">
        <v>95</v>
      </c>
      <c r="D1565" t="s">
        <v>27</v>
      </c>
      <c r="E1565" s="2">
        <v>45909</v>
      </c>
      <c r="F1565" s="2">
        <v>45909</v>
      </c>
      <c r="G1565" s="3">
        <v>42</v>
      </c>
      <c r="H1565" s="4" t="s">
        <v>28</v>
      </c>
      <c r="I1565">
        <v>54</v>
      </c>
      <c r="J1565">
        <v>0</v>
      </c>
      <c r="K1565">
        <v>0</v>
      </c>
      <c r="L1565" s="3">
        <v>0</v>
      </c>
      <c r="M1565" s="3">
        <v>0</v>
      </c>
      <c r="N1565">
        <v>0</v>
      </c>
      <c r="O1565">
        <v>0</v>
      </c>
      <c r="P1565">
        <v>12</v>
      </c>
      <c r="Q1565">
        <v>15</v>
      </c>
      <c r="R1565" s="3">
        <v>0</v>
      </c>
      <c r="S1565" s="3">
        <v>0</v>
      </c>
      <c r="T1565">
        <v>0</v>
      </c>
      <c r="U1565">
        <v>0</v>
      </c>
      <c r="V1565" s="3">
        <v>0</v>
      </c>
      <c r="W1565" s="3">
        <v>0</v>
      </c>
      <c r="X1565">
        <v>0</v>
      </c>
      <c r="Y1565" t="s">
        <v>1305</v>
      </c>
    </row>
    <row r="1566" spans="1:25" hidden="1" x14ac:dyDescent="0.25">
      <c r="A1566" s="1" t="s">
        <v>344</v>
      </c>
      <c r="B1566" s="1" t="s">
        <v>100</v>
      </c>
      <c r="C1566" s="1" t="s">
        <v>55</v>
      </c>
      <c r="D1566" t="s">
        <v>27</v>
      </c>
      <c r="E1566" s="2">
        <v>45909</v>
      </c>
      <c r="F1566" s="2">
        <v>45909</v>
      </c>
      <c r="G1566" s="3">
        <v>42</v>
      </c>
      <c r="H1566" s="4" t="s">
        <v>28</v>
      </c>
      <c r="I1566">
        <v>47</v>
      </c>
      <c r="J1566">
        <v>0</v>
      </c>
      <c r="K1566">
        <v>0</v>
      </c>
      <c r="L1566" s="3">
        <v>0</v>
      </c>
      <c r="M1566" s="3">
        <v>0</v>
      </c>
      <c r="N1566">
        <v>0</v>
      </c>
      <c r="O1566">
        <v>0</v>
      </c>
      <c r="P1566">
        <v>0</v>
      </c>
      <c r="Q1566">
        <v>0</v>
      </c>
      <c r="R1566" s="3">
        <v>0</v>
      </c>
      <c r="S1566" s="3">
        <v>0</v>
      </c>
      <c r="T1566">
        <v>0</v>
      </c>
      <c r="U1566">
        <v>0</v>
      </c>
      <c r="V1566" s="3">
        <v>0</v>
      </c>
      <c r="W1566" s="3">
        <v>0</v>
      </c>
      <c r="X1566">
        <v>0</v>
      </c>
      <c r="Y1566" t="s">
        <v>1305</v>
      </c>
    </row>
    <row r="1567" spans="1:25" hidden="1" x14ac:dyDescent="0.25">
      <c r="A1567" s="1" t="s">
        <v>31</v>
      </c>
      <c r="B1567" s="1" t="s">
        <v>104</v>
      </c>
      <c r="C1567" s="1" t="s">
        <v>32</v>
      </c>
      <c r="D1567" t="s">
        <v>27</v>
      </c>
      <c r="E1567" s="2">
        <v>45909</v>
      </c>
      <c r="F1567" s="2">
        <v>45909</v>
      </c>
      <c r="G1567" s="3">
        <v>34</v>
      </c>
      <c r="H1567" s="4" t="s">
        <v>28</v>
      </c>
      <c r="I1567">
        <v>76</v>
      </c>
      <c r="J1567">
        <v>0</v>
      </c>
      <c r="K1567">
        <v>0</v>
      </c>
      <c r="L1567" s="3">
        <v>0</v>
      </c>
      <c r="M1567" s="3">
        <v>0</v>
      </c>
      <c r="N1567">
        <v>0</v>
      </c>
      <c r="O1567">
        <v>0</v>
      </c>
      <c r="P1567">
        <v>0</v>
      </c>
      <c r="Q1567">
        <v>50</v>
      </c>
      <c r="R1567" s="3">
        <v>0</v>
      </c>
      <c r="S1567" s="3">
        <v>0</v>
      </c>
      <c r="T1567">
        <v>0</v>
      </c>
      <c r="U1567">
        <v>0</v>
      </c>
      <c r="V1567" s="3">
        <v>0</v>
      </c>
      <c r="W1567" s="3">
        <v>0</v>
      </c>
      <c r="X1567">
        <v>0</v>
      </c>
      <c r="Y1567" t="s">
        <v>1306</v>
      </c>
    </row>
    <row r="1568" spans="1:25" hidden="1" x14ac:dyDescent="0.25">
      <c r="A1568" s="1" t="s">
        <v>33</v>
      </c>
      <c r="B1568" s="1" t="s">
        <v>106</v>
      </c>
      <c r="C1568" s="1" t="s">
        <v>489</v>
      </c>
      <c r="D1568" t="s">
        <v>27</v>
      </c>
      <c r="E1568" s="2">
        <v>45909</v>
      </c>
      <c r="F1568" s="2">
        <v>45909</v>
      </c>
      <c r="G1568" s="3">
        <v>103</v>
      </c>
      <c r="H1568" s="4" t="s">
        <v>28</v>
      </c>
      <c r="I1568">
        <v>18</v>
      </c>
      <c r="J1568">
        <v>0</v>
      </c>
      <c r="K1568">
        <v>0</v>
      </c>
      <c r="L1568" s="3">
        <v>0</v>
      </c>
      <c r="M1568" s="3">
        <v>0</v>
      </c>
      <c r="N1568">
        <v>0</v>
      </c>
      <c r="O1568">
        <v>0</v>
      </c>
      <c r="P1568">
        <v>0</v>
      </c>
      <c r="Q1568">
        <v>0</v>
      </c>
      <c r="R1568" s="3">
        <v>0</v>
      </c>
      <c r="S1568" s="3">
        <v>0</v>
      </c>
      <c r="T1568">
        <v>0</v>
      </c>
      <c r="U1568">
        <v>0</v>
      </c>
      <c r="V1568" s="3">
        <v>0</v>
      </c>
      <c r="W1568" s="3">
        <v>0</v>
      </c>
      <c r="X1568">
        <v>0</v>
      </c>
      <c r="Y1568" t="s">
        <v>1307</v>
      </c>
    </row>
    <row r="1569" spans="1:25" hidden="1" x14ac:dyDescent="0.25">
      <c r="A1569" s="1" t="s">
        <v>38</v>
      </c>
      <c r="B1569" s="1" t="s">
        <v>108</v>
      </c>
      <c r="C1569" s="1" t="s">
        <v>27</v>
      </c>
      <c r="D1569" t="s">
        <v>27</v>
      </c>
      <c r="E1569" s="2">
        <v>45909</v>
      </c>
      <c r="F1569" s="2">
        <v>45909</v>
      </c>
      <c r="G1569" s="3">
        <v>79</v>
      </c>
      <c r="H1569" s="4" t="s">
        <v>28</v>
      </c>
      <c r="I1569">
        <v>0</v>
      </c>
      <c r="J1569">
        <v>30</v>
      </c>
      <c r="K1569">
        <v>30</v>
      </c>
      <c r="L1569" s="3">
        <v>0</v>
      </c>
      <c r="M1569" s="3">
        <v>0</v>
      </c>
      <c r="N1569">
        <v>0</v>
      </c>
      <c r="O1569">
        <v>0</v>
      </c>
      <c r="P1569">
        <v>0</v>
      </c>
      <c r="Q1569">
        <v>30</v>
      </c>
      <c r="R1569" s="3">
        <v>0</v>
      </c>
      <c r="S1569" s="3">
        <v>0</v>
      </c>
      <c r="T1569">
        <v>0</v>
      </c>
      <c r="U1569">
        <v>0</v>
      </c>
      <c r="V1569" s="3">
        <v>0</v>
      </c>
      <c r="W1569" s="3">
        <v>0</v>
      </c>
      <c r="X1569">
        <v>0</v>
      </c>
      <c r="Y1569" t="s">
        <v>1308</v>
      </c>
    </row>
    <row r="1570" spans="1:25" hidden="1" x14ac:dyDescent="0.25">
      <c r="A1570" s="1" t="s">
        <v>40</v>
      </c>
      <c r="B1570" s="1" t="s">
        <v>110</v>
      </c>
      <c r="C1570" s="1" t="s">
        <v>27</v>
      </c>
      <c r="D1570" t="s">
        <v>27</v>
      </c>
      <c r="E1570" s="2">
        <v>45909</v>
      </c>
      <c r="F1570" s="2">
        <v>45909</v>
      </c>
      <c r="G1570" s="3">
        <v>55</v>
      </c>
      <c r="H1570" s="4" t="s">
        <v>28</v>
      </c>
      <c r="I1570">
        <v>24</v>
      </c>
      <c r="J1570">
        <v>0</v>
      </c>
      <c r="K1570">
        <v>0</v>
      </c>
      <c r="L1570" s="3">
        <v>1</v>
      </c>
      <c r="M1570" s="3">
        <v>0</v>
      </c>
      <c r="N1570">
        <v>0</v>
      </c>
      <c r="O1570">
        <v>0</v>
      </c>
      <c r="P1570">
        <v>0</v>
      </c>
      <c r="Q1570">
        <v>0</v>
      </c>
      <c r="R1570" s="3">
        <v>0</v>
      </c>
      <c r="S1570" s="3">
        <v>0</v>
      </c>
      <c r="T1570">
        <v>0</v>
      </c>
      <c r="U1570">
        <v>0</v>
      </c>
      <c r="V1570" s="3">
        <v>0</v>
      </c>
      <c r="W1570" s="3">
        <v>0</v>
      </c>
      <c r="X1570">
        <v>0</v>
      </c>
      <c r="Y1570" t="s">
        <v>1309</v>
      </c>
    </row>
    <row r="1571" spans="1:25" hidden="1" x14ac:dyDescent="0.25">
      <c r="A1571" s="1" t="s">
        <v>36</v>
      </c>
      <c r="B1571" s="1" t="s">
        <v>110</v>
      </c>
      <c r="C1571" s="1" t="s">
        <v>27</v>
      </c>
      <c r="D1571" t="s">
        <v>27</v>
      </c>
      <c r="E1571" s="2">
        <v>45909</v>
      </c>
      <c r="F1571" s="2">
        <v>45909</v>
      </c>
      <c r="G1571" s="3">
        <v>55</v>
      </c>
      <c r="H1571" s="4" t="s">
        <v>28</v>
      </c>
      <c r="I1571">
        <v>24</v>
      </c>
      <c r="J1571">
        <v>0</v>
      </c>
      <c r="K1571">
        <v>0</v>
      </c>
      <c r="L1571" s="3">
        <v>1</v>
      </c>
      <c r="M1571" s="3">
        <v>0</v>
      </c>
      <c r="N1571">
        <v>0</v>
      </c>
      <c r="O1571">
        <v>0</v>
      </c>
      <c r="P1571">
        <v>0</v>
      </c>
      <c r="Q1571">
        <v>0</v>
      </c>
      <c r="R1571" s="3">
        <v>0</v>
      </c>
      <c r="S1571" s="3">
        <v>0</v>
      </c>
      <c r="T1571">
        <v>0</v>
      </c>
      <c r="U1571">
        <v>0</v>
      </c>
      <c r="V1571" s="3">
        <v>0</v>
      </c>
      <c r="W1571" s="3">
        <v>0</v>
      </c>
      <c r="X1571">
        <v>0</v>
      </c>
      <c r="Y1571" t="s">
        <v>1309</v>
      </c>
    </row>
    <row r="1572" spans="1:25" hidden="1" x14ac:dyDescent="0.25">
      <c r="A1572" s="1" t="s">
        <v>41</v>
      </c>
      <c r="B1572" s="1" t="s">
        <v>112</v>
      </c>
      <c r="C1572" s="1" t="s">
        <v>42</v>
      </c>
      <c r="D1572" t="s">
        <v>27</v>
      </c>
      <c r="E1572" s="2">
        <v>45909</v>
      </c>
      <c r="F1572" s="2">
        <v>45909</v>
      </c>
      <c r="G1572" s="3">
        <v>44</v>
      </c>
      <c r="H1572" s="4" t="s">
        <v>28</v>
      </c>
      <c r="I1572">
        <v>108</v>
      </c>
      <c r="J1572">
        <v>0</v>
      </c>
      <c r="K1572">
        <v>0</v>
      </c>
      <c r="L1572" s="3">
        <v>1</v>
      </c>
      <c r="M1572" s="3">
        <v>0</v>
      </c>
      <c r="N1572">
        <v>0</v>
      </c>
      <c r="O1572">
        <v>0</v>
      </c>
      <c r="P1572">
        <v>0</v>
      </c>
      <c r="Q1572">
        <v>4</v>
      </c>
      <c r="R1572" s="3">
        <v>0</v>
      </c>
      <c r="S1572" s="3">
        <v>0</v>
      </c>
      <c r="T1572">
        <v>0</v>
      </c>
      <c r="U1572">
        <v>0</v>
      </c>
      <c r="V1572" s="3">
        <v>0</v>
      </c>
      <c r="W1572" s="3">
        <v>0</v>
      </c>
      <c r="X1572">
        <v>0</v>
      </c>
      <c r="Y1572" t="s">
        <v>1310</v>
      </c>
    </row>
    <row r="1573" spans="1:25" hidden="1" x14ac:dyDescent="0.25">
      <c r="A1573" s="1" t="s">
        <v>43</v>
      </c>
      <c r="B1573" s="1" t="s">
        <v>114</v>
      </c>
      <c r="C1573" s="1" t="s">
        <v>44</v>
      </c>
      <c r="D1573" t="s">
        <v>27</v>
      </c>
      <c r="E1573" s="2">
        <v>45909</v>
      </c>
      <c r="F1573" s="2">
        <v>45909</v>
      </c>
      <c r="G1573" s="3">
        <v>32</v>
      </c>
      <c r="H1573" s="4" t="s">
        <v>28</v>
      </c>
      <c r="I1573">
        <v>76</v>
      </c>
      <c r="J1573">
        <v>0</v>
      </c>
      <c r="K1573">
        <v>0</v>
      </c>
      <c r="L1573" s="3">
        <v>0</v>
      </c>
      <c r="M1573" s="3">
        <v>0</v>
      </c>
      <c r="N1573">
        <v>0</v>
      </c>
      <c r="O1573">
        <v>0</v>
      </c>
      <c r="P1573">
        <v>0</v>
      </c>
      <c r="Q1573">
        <v>0</v>
      </c>
      <c r="R1573" s="3">
        <v>0</v>
      </c>
      <c r="S1573" s="3">
        <v>0</v>
      </c>
      <c r="T1573">
        <v>0</v>
      </c>
      <c r="U1573">
        <v>0</v>
      </c>
      <c r="V1573" s="3">
        <v>0</v>
      </c>
      <c r="W1573" s="3">
        <v>0</v>
      </c>
      <c r="X1573">
        <v>0</v>
      </c>
      <c r="Y1573" t="s">
        <v>1311</v>
      </c>
    </row>
    <row r="1574" spans="1:25" hidden="1" x14ac:dyDescent="0.25">
      <c r="A1574" s="1" t="s">
        <v>47</v>
      </c>
      <c r="B1574" s="1" t="s">
        <v>137</v>
      </c>
      <c r="C1574" s="1" t="s">
        <v>27</v>
      </c>
      <c r="D1574" t="s">
        <v>27</v>
      </c>
      <c r="E1574" s="2">
        <v>45909</v>
      </c>
      <c r="F1574" s="2">
        <v>45909</v>
      </c>
      <c r="G1574" s="3">
        <v>39</v>
      </c>
      <c r="H1574" s="4" t="s">
        <v>28</v>
      </c>
      <c r="I1574">
        <v>46</v>
      </c>
      <c r="J1574">
        <v>0</v>
      </c>
      <c r="K1574">
        <v>0</v>
      </c>
      <c r="L1574" s="3">
        <v>0</v>
      </c>
      <c r="M1574" s="3">
        <v>0</v>
      </c>
      <c r="N1574">
        <v>1</v>
      </c>
      <c r="O1574">
        <v>0</v>
      </c>
      <c r="P1574">
        <v>0</v>
      </c>
      <c r="Q1574">
        <v>0</v>
      </c>
      <c r="R1574" s="3">
        <v>0</v>
      </c>
      <c r="S1574" s="3">
        <v>0</v>
      </c>
      <c r="T1574">
        <v>0</v>
      </c>
      <c r="U1574">
        <v>0</v>
      </c>
      <c r="V1574" s="3">
        <v>0</v>
      </c>
      <c r="W1574" s="3">
        <v>0</v>
      </c>
      <c r="X1574">
        <v>0</v>
      </c>
      <c r="Y1574" t="s">
        <v>1312</v>
      </c>
    </row>
    <row r="1575" spans="1:25" hidden="1" x14ac:dyDescent="0.25">
      <c r="A1575" s="1" t="s">
        <v>34</v>
      </c>
      <c r="B1575" s="1" t="s">
        <v>137</v>
      </c>
      <c r="C1575" s="1" t="s">
        <v>27</v>
      </c>
      <c r="D1575" t="s">
        <v>27</v>
      </c>
      <c r="E1575" s="2">
        <v>45909</v>
      </c>
      <c r="F1575" s="2">
        <v>45909</v>
      </c>
      <c r="G1575" s="3">
        <v>39</v>
      </c>
      <c r="H1575" s="4" t="s">
        <v>28</v>
      </c>
      <c r="I1575">
        <v>46</v>
      </c>
      <c r="J1575">
        <v>0</v>
      </c>
      <c r="K1575">
        <v>0</v>
      </c>
      <c r="L1575" s="3">
        <v>0</v>
      </c>
      <c r="M1575" s="3">
        <v>0</v>
      </c>
      <c r="N1575">
        <v>1</v>
      </c>
      <c r="O1575">
        <v>0</v>
      </c>
      <c r="P1575">
        <v>0</v>
      </c>
      <c r="Q1575">
        <v>0</v>
      </c>
      <c r="R1575" s="3">
        <v>0</v>
      </c>
      <c r="S1575" s="3">
        <v>0</v>
      </c>
      <c r="T1575">
        <v>0</v>
      </c>
      <c r="U1575">
        <v>0</v>
      </c>
      <c r="V1575" s="3">
        <v>0</v>
      </c>
      <c r="W1575" s="3">
        <v>0</v>
      </c>
      <c r="X1575">
        <v>0</v>
      </c>
      <c r="Y1575" t="s">
        <v>1312</v>
      </c>
    </row>
    <row r="1576" spans="1:25" hidden="1" x14ac:dyDescent="0.25">
      <c r="A1576" s="1" t="s">
        <v>49</v>
      </c>
      <c r="B1576" s="1" t="s">
        <v>118</v>
      </c>
      <c r="C1576" s="1" t="s">
        <v>50</v>
      </c>
      <c r="D1576" t="s">
        <v>27</v>
      </c>
      <c r="E1576" s="2">
        <v>45909</v>
      </c>
      <c r="F1576" s="2">
        <v>45909</v>
      </c>
      <c r="G1576" s="3">
        <v>22</v>
      </c>
      <c r="H1576" s="4" t="s">
        <v>28</v>
      </c>
      <c r="I1576">
        <v>36</v>
      </c>
      <c r="J1576">
        <v>0</v>
      </c>
      <c r="K1576">
        <v>0</v>
      </c>
      <c r="L1576" s="3">
        <v>1</v>
      </c>
      <c r="M1576" s="3">
        <v>1</v>
      </c>
      <c r="N1576">
        <v>0</v>
      </c>
      <c r="O1576">
        <v>1</v>
      </c>
      <c r="P1576">
        <v>0</v>
      </c>
      <c r="Q1576">
        <v>40</v>
      </c>
      <c r="R1576" s="3">
        <v>0</v>
      </c>
      <c r="S1576" s="3">
        <v>0</v>
      </c>
      <c r="T1576">
        <v>0</v>
      </c>
      <c r="U1576">
        <v>0</v>
      </c>
      <c r="V1576" s="3">
        <v>0</v>
      </c>
      <c r="W1576" s="3">
        <v>0</v>
      </c>
      <c r="X1576">
        <v>0</v>
      </c>
      <c r="Y1576" t="s">
        <v>1313</v>
      </c>
    </row>
    <row r="1577" spans="1:25" hidden="1" x14ac:dyDescent="0.25">
      <c r="A1577" s="1" t="s">
        <v>54</v>
      </c>
      <c r="B1577" s="1" t="s">
        <v>122</v>
      </c>
      <c r="C1577" s="1" t="s">
        <v>52</v>
      </c>
      <c r="D1577" t="s">
        <v>27</v>
      </c>
      <c r="E1577" s="2">
        <v>45909</v>
      </c>
      <c r="F1577" s="2">
        <v>45909</v>
      </c>
      <c r="G1577" s="3">
        <v>73</v>
      </c>
      <c r="H1577" s="4" t="s">
        <v>28</v>
      </c>
      <c r="I1577">
        <v>48</v>
      </c>
      <c r="J1577">
        <v>0</v>
      </c>
      <c r="K1577">
        <v>0</v>
      </c>
      <c r="L1577" s="3">
        <v>0</v>
      </c>
      <c r="M1577" s="3">
        <v>0</v>
      </c>
      <c r="N1577">
        <v>0</v>
      </c>
      <c r="O1577">
        <v>0</v>
      </c>
      <c r="P1577">
        <v>0</v>
      </c>
      <c r="Q1577">
        <v>2</v>
      </c>
      <c r="R1577" s="3">
        <v>0</v>
      </c>
      <c r="S1577" s="3">
        <v>0</v>
      </c>
      <c r="T1577">
        <v>0</v>
      </c>
      <c r="U1577">
        <v>0</v>
      </c>
      <c r="V1577" s="3">
        <v>0</v>
      </c>
      <c r="W1577" s="3">
        <v>0</v>
      </c>
      <c r="X1577">
        <v>0</v>
      </c>
      <c r="Y1577" t="s">
        <v>1314</v>
      </c>
    </row>
    <row r="1578" spans="1:25" hidden="1" x14ac:dyDescent="0.25">
      <c r="A1578" s="1" t="s">
        <v>48</v>
      </c>
      <c r="B1578" s="1" t="s">
        <v>149</v>
      </c>
      <c r="C1578" s="1" t="s">
        <v>46</v>
      </c>
      <c r="D1578" t="s">
        <v>27</v>
      </c>
      <c r="E1578" s="2">
        <v>45909</v>
      </c>
      <c r="F1578" s="2">
        <v>45909</v>
      </c>
      <c r="G1578" s="3">
        <v>32</v>
      </c>
      <c r="H1578" s="4" t="s">
        <v>28</v>
      </c>
      <c r="I1578">
        <v>37</v>
      </c>
      <c r="J1578">
        <v>0</v>
      </c>
      <c r="K1578">
        <v>0</v>
      </c>
      <c r="L1578" s="3">
        <v>0</v>
      </c>
      <c r="M1578" s="3">
        <v>0</v>
      </c>
      <c r="N1578">
        <v>0</v>
      </c>
      <c r="O1578">
        <v>0</v>
      </c>
      <c r="P1578">
        <v>0</v>
      </c>
      <c r="Q1578">
        <v>2</v>
      </c>
      <c r="R1578" s="3">
        <v>0</v>
      </c>
      <c r="S1578" s="3">
        <v>0</v>
      </c>
      <c r="T1578">
        <v>0</v>
      </c>
      <c r="U1578">
        <v>0</v>
      </c>
      <c r="V1578" s="3">
        <v>0</v>
      </c>
      <c r="W1578" s="3">
        <v>0</v>
      </c>
      <c r="X1578">
        <v>0</v>
      </c>
      <c r="Y1578" t="s">
        <v>1315</v>
      </c>
    </row>
    <row r="1579" spans="1:25" hidden="1" x14ac:dyDescent="0.25">
      <c r="A1579" s="1" t="s">
        <v>1316</v>
      </c>
      <c r="B1579" s="1" t="s">
        <v>739</v>
      </c>
      <c r="C1579" s="1" t="s">
        <v>27</v>
      </c>
      <c r="D1579" t="s">
        <v>27</v>
      </c>
      <c r="E1579" s="2">
        <v>45909</v>
      </c>
      <c r="F1579" s="2">
        <v>45909</v>
      </c>
      <c r="G1579" s="3">
        <v>33</v>
      </c>
      <c r="H1579" s="4" t="s">
        <v>28</v>
      </c>
      <c r="I1579">
        <v>108</v>
      </c>
      <c r="J1579">
        <v>0</v>
      </c>
      <c r="K1579">
        <v>0</v>
      </c>
      <c r="L1579" s="3">
        <v>1</v>
      </c>
      <c r="M1579" s="3">
        <v>0</v>
      </c>
      <c r="N1579">
        <v>0</v>
      </c>
      <c r="O1579">
        <v>0</v>
      </c>
      <c r="P1579">
        <v>0</v>
      </c>
      <c r="Q1579">
        <v>0</v>
      </c>
      <c r="R1579" s="3">
        <v>0</v>
      </c>
      <c r="S1579" s="3">
        <v>0</v>
      </c>
      <c r="T1579">
        <v>0</v>
      </c>
      <c r="U1579">
        <v>0</v>
      </c>
      <c r="V1579" s="3">
        <v>0</v>
      </c>
      <c r="W1579" s="3">
        <v>0</v>
      </c>
      <c r="X1579" s="3">
        <v>0</v>
      </c>
      <c r="Y1579" t="s">
        <v>1315</v>
      </c>
    </row>
    <row r="1580" spans="1:25" hidden="1" x14ac:dyDescent="0.25">
      <c r="A1580" t="s">
        <v>27</v>
      </c>
      <c r="B1580" t="s">
        <v>755</v>
      </c>
      <c r="C1580" t="s">
        <v>57</v>
      </c>
      <c r="D1580" t="s">
        <v>27</v>
      </c>
      <c r="E1580" s="2">
        <v>45909</v>
      </c>
      <c r="F1580" s="2">
        <v>45909</v>
      </c>
      <c r="G1580" s="3">
        <v>34</v>
      </c>
      <c r="H1580" s="4" t="s">
        <v>1153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1315</v>
      </c>
    </row>
    <row r="1581" spans="1:25" hidden="1" x14ac:dyDescent="0.25">
      <c r="A1581" t="s">
        <v>51</v>
      </c>
      <c r="B1581" t="s">
        <v>758</v>
      </c>
      <c r="C1581" t="s">
        <v>27</v>
      </c>
      <c r="D1581" t="s">
        <v>27</v>
      </c>
      <c r="E1581" s="2">
        <v>45909</v>
      </c>
      <c r="F1581" s="2">
        <v>45909</v>
      </c>
      <c r="G1581" s="3">
        <v>35</v>
      </c>
      <c r="H1581" s="4" t="s">
        <v>28</v>
      </c>
      <c r="I1581">
        <v>52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1315</v>
      </c>
    </row>
    <row r="1582" spans="1:25" hidden="1" x14ac:dyDescent="0.25">
      <c r="A1582" t="s">
        <v>27</v>
      </c>
      <c r="B1582" t="s">
        <v>798</v>
      </c>
      <c r="C1582" t="s">
        <v>35</v>
      </c>
      <c r="D1582" t="s">
        <v>27</v>
      </c>
      <c r="E1582" s="2">
        <v>45909</v>
      </c>
      <c r="F1582" s="2">
        <v>45909</v>
      </c>
      <c r="G1582" s="3">
        <v>36</v>
      </c>
      <c r="H1582" s="4" t="s">
        <v>1317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1315</v>
      </c>
    </row>
    <row r="1583" spans="1:25" hidden="1" x14ac:dyDescent="0.25">
      <c r="A1583" t="s">
        <v>56</v>
      </c>
      <c r="B1583" t="s">
        <v>98</v>
      </c>
      <c r="C1583" t="s">
        <v>37</v>
      </c>
      <c r="D1583" t="s">
        <v>27</v>
      </c>
      <c r="E1583" s="2">
        <v>45910</v>
      </c>
      <c r="F1583" s="2">
        <v>45910</v>
      </c>
      <c r="G1583" s="3">
        <v>31</v>
      </c>
      <c r="H1583" s="4" t="s">
        <v>28</v>
      </c>
      <c r="I1583">
        <v>78</v>
      </c>
      <c r="J1583">
        <v>0</v>
      </c>
      <c r="K1583">
        <v>0</v>
      </c>
      <c r="L1583" s="3">
        <v>1</v>
      </c>
      <c r="M1583" s="3">
        <v>0</v>
      </c>
      <c r="N1583">
        <v>0</v>
      </c>
      <c r="O1583">
        <v>0</v>
      </c>
      <c r="P1583">
        <v>0</v>
      </c>
      <c r="Q1583">
        <v>0</v>
      </c>
      <c r="R1583" s="3">
        <v>0</v>
      </c>
      <c r="S1583" s="3">
        <v>0</v>
      </c>
      <c r="T1583">
        <v>0</v>
      </c>
      <c r="U1583">
        <v>0</v>
      </c>
      <c r="V1583" s="3">
        <v>0</v>
      </c>
      <c r="W1583" s="3">
        <v>0</v>
      </c>
      <c r="X1583">
        <v>0</v>
      </c>
      <c r="Y1583" t="s">
        <v>1318</v>
      </c>
    </row>
    <row r="1584" spans="1:25" hidden="1" x14ac:dyDescent="0.25">
      <c r="A1584" s="1" t="s">
        <v>58</v>
      </c>
      <c r="B1584" s="1" t="s">
        <v>144</v>
      </c>
      <c r="C1584" s="1" t="s">
        <v>489</v>
      </c>
      <c r="D1584" t="s">
        <v>27</v>
      </c>
      <c r="E1584" s="2">
        <v>45909</v>
      </c>
      <c r="F1584" s="2">
        <v>45909</v>
      </c>
      <c r="G1584" s="3">
        <v>44</v>
      </c>
      <c r="H1584" s="4" t="s">
        <v>28</v>
      </c>
      <c r="I1584">
        <v>23</v>
      </c>
      <c r="J1584">
        <v>0</v>
      </c>
      <c r="K1584">
        <v>0</v>
      </c>
      <c r="L1584" s="3">
        <v>0</v>
      </c>
      <c r="M1584" s="3">
        <v>0</v>
      </c>
      <c r="N1584">
        <v>0</v>
      </c>
      <c r="O1584">
        <v>0</v>
      </c>
      <c r="P1584">
        <v>0</v>
      </c>
      <c r="Q1584">
        <v>0</v>
      </c>
      <c r="R1584" s="3">
        <v>0</v>
      </c>
      <c r="S1584" s="3">
        <v>0</v>
      </c>
      <c r="T1584">
        <v>0</v>
      </c>
      <c r="U1584">
        <v>0</v>
      </c>
      <c r="V1584" s="3">
        <v>0</v>
      </c>
      <c r="W1584" s="3">
        <v>0</v>
      </c>
      <c r="X1584">
        <v>0</v>
      </c>
      <c r="Y1584" t="s">
        <v>1302</v>
      </c>
    </row>
    <row r="1585" spans="1:25" hidden="1" x14ac:dyDescent="0.25">
      <c r="A1585" t="s">
        <v>29</v>
      </c>
      <c r="B1585" t="s">
        <v>100</v>
      </c>
      <c r="C1585" t="s">
        <v>95</v>
      </c>
      <c r="D1585" t="s">
        <v>27</v>
      </c>
      <c r="E1585" s="2">
        <v>45910</v>
      </c>
      <c r="F1585" s="2">
        <v>45910</v>
      </c>
      <c r="G1585" s="3">
        <v>68</v>
      </c>
      <c r="H1585" s="4" t="s">
        <v>28</v>
      </c>
      <c r="I1585">
        <v>45</v>
      </c>
      <c r="J1585">
        <v>38</v>
      </c>
      <c r="K1585">
        <v>0</v>
      </c>
      <c r="L1585" s="3">
        <v>0</v>
      </c>
      <c r="M1585" s="3">
        <v>0</v>
      </c>
      <c r="N1585">
        <v>0</v>
      </c>
      <c r="O1585">
        <v>0</v>
      </c>
      <c r="P1585">
        <v>0</v>
      </c>
      <c r="Q1585">
        <v>0</v>
      </c>
      <c r="R1585" s="3">
        <v>0</v>
      </c>
      <c r="S1585" s="3">
        <v>0</v>
      </c>
      <c r="T1585">
        <v>0</v>
      </c>
      <c r="U1585">
        <v>0</v>
      </c>
      <c r="V1585" s="3">
        <v>0</v>
      </c>
      <c r="W1585" s="3">
        <v>0</v>
      </c>
      <c r="X1585">
        <v>0</v>
      </c>
      <c r="Y1585" t="s">
        <v>1319</v>
      </c>
    </row>
    <row r="1586" spans="1:25" hidden="1" x14ac:dyDescent="0.25">
      <c r="A1586" t="s">
        <v>344</v>
      </c>
      <c r="B1586" t="s">
        <v>100</v>
      </c>
      <c r="C1586" t="s">
        <v>35</v>
      </c>
      <c r="D1586" t="s">
        <v>27</v>
      </c>
      <c r="E1586" s="2">
        <v>45910</v>
      </c>
      <c r="F1586" s="2">
        <v>45910</v>
      </c>
      <c r="G1586" s="3">
        <v>68</v>
      </c>
      <c r="H1586" s="4" t="s">
        <v>28</v>
      </c>
      <c r="I1586">
        <v>19</v>
      </c>
      <c r="J1586">
        <v>38</v>
      </c>
      <c r="K1586">
        <v>0</v>
      </c>
      <c r="L1586" s="3">
        <v>0</v>
      </c>
      <c r="M1586" s="3">
        <v>0</v>
      </c>
      <c r="N1586">
        <v>0</v>
      </c>
      <c r="O1586">
        <v>0</v>
      </c>
      <c r="P1586">
        <v>0</v>
      </c>
      <c r="Q1586">
        <v>0</v>
      </c>
      <c r="R1586" s="3">
        <v>0</v>
      </c>
      <c r="S1586" s="3">
        <v>0</v>
      </c>
      <c r="T1586">
        <v>0</v>
      </c>
      <c r="U1586">
        <v>0</v>
      </c>
      <c r="V1586" s="3">
        <v>0</v>
      </c>
      <c r="W1586" s="3">
        <v>0</v>
      </c>
      <c r="X1586">
        <v>0</v>
      </c>
      <c r="Y1586" t="s">
        <v>1319</v>
      </c>
    </row>
    <row r="1587" spans="1:25" hidden="1" x14ac:dyDescent="0.25">
      <c r="A1587" t="s">
        <v>31</v>
      </c>
      <c r="B1587" t="s">
        <v>104</v>
      </c>
      <c r="C1587" t="s">
        <v>32</v>
      </c>
      <c r="D1587" t="s">
        <v>27</v>
      </c>
      <c r="E1587" s="2">
        <v>45910</v>
      </c>
      <c r="F1587" s="2">
        <v>45910</v>
      </c>
      <c r="G1587" s="3">
        <v>37</v>
      </c>
      <c r="H1587" s="4" t="s">
        <v>28</v>
      </c>
      <c r="I1587">
        <v>96</v>
      </c>
      <c r="J1587">
        <v>0</v>
      </c>
      <c r="K1587">
        <v>0</v>
      </c>
      <c r="L1587" s="3">
        <v>0</v>
      </c>
      <c r="M1587" s="3">
        <v>0</v>
      </c>
      <c r="N1587">
        <v>0</v>
      </c>
      <c r="O1587">
        <v>0</v>
      </c>
      <c r="P1587">
        <v>0</v>
      </c>
      <c r="Q1587">
        <v>50</v>
      </c>
      <c r="R1587" s="3">
        <v>0</v>
      </c>
      <c r="S1587" s="3">
        <v>0</v>
      </c>
      <c r="T1587">
        <v>0</v>
      </c>
      <c r="U1587">
        <v>0</v>
      </c>
      <c r="V1587" s="3">
        <v>0</v>
      </c>
      <c r="W1587" s="3">
        <v>0</v>
      </c>
      <c r="X1587">
        <v>0</v>
      </c>
      <c r="Y1587" t="s">
        <v>1320</v>
      </c>
    </row>
    <row r="1588" spans="1:25" hidden="1" x14ac:dyDescent="0.25">
      <c r="A1588" t="s">
        <v>33</v>
      </c>
      <c r="B1588" t="s">
        <v>106</v>
      </c>
      <c r="C1588" t="s">
        <v>57</v>
      </c>
      <c r="D1588" t="s">
        <v>27</v>
      </c>
      <c r="E1588" s="2">
        <v>45910</v>
      </c>
      <c r="F1588" s="2">
        <v>45910</v>
      </c>
      <c r="G1588" s="3">
        <v>29</v>
      </c>
      <c r="H1588" s="4" t="s">
        <v>28</v>
      </c>
      <c r="I1588">
        <v>51</v>
      </c>
      <c r="J1588">
        <v>0</v>
      </c>
      <c r="K1588">
        <v>0</v>
      </c>
      <c r="L1588" s="3">
        <v>0</v>
      </c>
      <c r="M1588" s="3">
        <v>0</v>
      </c>
      <c r="N1588">
        <v>0</v>
      </c>
      <c r="O1588">
        <v>0</v>
      </c>
      <c r="P1588">
        <v>0</v>
      </c>
      <c r="Q1588">
        <v>20</v>
      </c>
      <c r="R1588" s="3">
        <v>0</v>
      </c>
      <c r="S1588" s="3">
        <v>0</v>
      </c>
      <c r="T1588">
        <v>0</v>
      </c>
      <c r="U1588">
        <v>0</v>
      </c>
      <c r="V1588" s="3">
        <v>0</v>
      </c>
      <c r="W1588" s="3">
        <v>0</v>
      </c>
      <c r="X1588">
        <v>0</v>
      </c>
      <c r="Y1588" t="s">
        <v>1321</v>
      </c>
    </row>
    <row r="1589" spans="1:25" hidden="1" x14ac:dyDescent="0.25">
      <c r="A1589" t="s">
        <v>40</v>
      </c>
      <c r="B1589" t="s">
        <v>110</v>
      </c>
      <c r="C1589" t="s">
        <v>27</v>
      </c>
      <c r="D1589" t="s">
        <v>27</v>
      </c>
      <c r="E1589" s="2">
        <v>45910</v>
      </c>
      <c r="F1589" s="2">
        <v>45910</v>
      </c>
      <c r="G1589" s="3">
        <v>128</v>
      </c>
      <c r="H1589" s="4" t="s">
        <v>28</v>
      </c>
      <c r="I1589">
        <v>72</v>
      </c>
      <c r="J1589">
        <v>0</v>
      </c>
      <c r="K1589">
        <v>0</v>
      </c>
      <c r="L1589" s="3">
        <v>1</v>
      </c>
      <c r="M1589" s="3">
        <v>0</v>
      </c>
      <c r="N1589">
        <v>1</v>
      </c>
      <c r="O1589">
        <v>0</v>
      </c>
      <c r="P1589">
        <v>0</v>
      </c>
      <c r="Q1589">
        <v>0</v>
      </c>
      <c r="R1589" s="3">
        <v>0</v>
      </c>
      <c r="S1589" s="3">
        <v>0</v>
      </c>
      <c r="T1589">
        <v>0</v>
      </c>
      <c r="U1589">
        <v>0</v>
      </c>
      <c r="V1589" s="3">
        <v>0</v>
      </c>
      <c r="W1589" s="3">
        <v>0</v>
      </c>
      <c r="X1589">
        <v>0</v>
      </c>
      <c r="Y1589" t="s">
        <v>1322</v>
      </c>
    </row>
    <row r="1590" spans="1:25" hidden="1" x14ac:dyDescent="0.25">
      <c r="A1590" t="s">
        <v>36</v>
      </c>
      <c r="B1590" t="s">
        <v>110</v>
      </c>
      <c r="C1590" t="s">
        <v>27</v>
      </c>
      <c r="D1590" t="s">
        <v>27</v>
      </c>
      <c r="E1590" s="2">
        <v>45910</v>
      </c>
      <c r="F1590" s="2">
        <v>45910</v>
      </c>
      <c r="G1590" s="3">
        <v>128</v>
      </c>
      <c r="H1590" s="4" t="s">
        <v>28</v>
      </c>
      <c r="I1590">
        <v>79</v>
      </c>
      <c r="J1590">
        <v>0</v>
      </c>
      <c r="K1590">
        <v>0</v>
      </c>
      <c r="L1590" s="3">
        <v>1</v>
      </c>
      <c r="M1590" s="3">
        <v>0</v>
      </c>
      <c r="N1590">
        <v>1</v>
      </c>
      <c r="O1590">
        <v>0</v>
      </c>
      <c r="P1590">
        <v>0</v>
      </c>
      <c r="Q1590">
        <v>0</v>
      </c>
      <c r="R1590" s="3">
        <v>0</v>
      </c>
      <c r="S1590" s="3">
        <v>0</v>
      </c>
      <c r="T1590">
        <v>0</v>
      </c>
      <c r="U1590">
        <v>0</v>
      </c>
      <c r="V1590" s="3">
        <v>0</v>
      </c>
      <c r="W1590" s="3">
        <v>0</v>
      </c>
      <c r="X1590">
        <v>0</v>
      </c>
      <c r="Y1590" t="s">
        <v>1322</v>
      </c>
    </row>
    <row r="1591" spans="1:25" hidden="1" x14ac:dyDescent="0.25">
      <c r="A1591" t="s">
        <v>41</v>
      </c>
      <c r="B1591" t="s">
        <v>112</v>
      </c>
      <c r="C1591" t="s">
        <v>42</v>
      </c>
      <c r="D1591" t="s">
        <v>27</v>
      </c>
      <c r="E1591" s="2">
        <v>45910</v>
      </c>
      <c r="F1591" s="2">
        <v>45910</v>
      </c>
      <c r="G1591" s="3">
        <v>56</v>
      </c>
      <c r="H1591" s="4" t="s">
        <v>28</v>
      </c>
      <c r="I1591">
        <v>98</v>
      </c>
      <c r="J1591">
        <v>0</v>
      </c>
      <c r="K1591">
        <v>0</v>
      </c>
      <c r="L1591" s="3">
        <v>1</v>
      </c>
      <c r="M1591" s="3">
        <v>0</v>
      </c>
      <c r="N1591">
        <v>0</v>
      </c>
      <c r="O1591">
        <v>0</v>
      </c>
      <c r="P1591">
        <v>0</v>
      </c>
      <c r="Q1591">
        <v>62</v>
      </c>
      <c r="R1591" s="3">
        <v>0</v>
      </c>
      <c r="S1591" s="3">
        <v>0</v>
      </c>
      <c r="T1591">
        <v>0</v>
      </c>
      <c r="U1591">
        <v>0</v>
      </c>
      <c r="V1591" s="3">
        <v>0</v>
      </c>
      <c r="W1591" s="3">
        <v>0</v>
      </c>
      <c r="X1591">
        <v>0</v>
      </c>
      <c r="Y1591" t="s">
        <v>1323</v>
      </c>
    </row>
    <row r="1592" spans="1:25" hidden="1" x14ac:dyDescent="0.25">
      <c r="A1592" t="s">
        <v>43</v>
      </c>
      <c r="B1592" t="s">
        <v>114</v>
      </c>
      <c r="C1592" t="s">
        <v>44</v>
      </c>
      <c r="D1592" t="s">
        <v>27</v>
      </c>
      <c r="E1592" s="2">
        <v>45910</v>
      </c>
      <c r="F1592" s="2">
        <v>45910</v>
      </c>
      <c r="G1592" s="3">
        <v>31</v>
      </c>
      <c r="H1592" s="4" t="s">
        <v>28</v>
      </c>
      <c r="I1592">
        <v>59</v>
      </c>
      <c r="J1592">
        <v>0</v>
      </c>
      <c r="K1592">
        <v>0</v>
      </c>
      <c r="L1592" s="3">
        <v>0</v>
      </c>
      <c r="M1592" s="3">
        <v>0</v>
      </c>
      <c r="N1592">
        <v>0</v>
      </c>
      <c r="O1592">
        <v>0</v>
      </c>
      <c r="P1592">
        <v>0</v>
      </c>
      <c r="Q1592">
        <v>0</v>
      </c>
      <c r="R1592" s="3">
        <v>0</v>
      </c>
      <c r="S1592" s="3">
        <v>0</v>
      </c>
      <c r="T1592">
        <v>0</v>
      </c>
      <c r="U1592">
        <v>0</v>
      </c>
      <c r="V1592" s="3">
        <v>0</v>
      </c>
      <c r="W1592" s="3">
        <v>0</v>
      </c>
      <c r="X1592">
        <v>0</v>
      </c>
      <c r="Y1592" t="s">
        <v>1324</v>
      </c>
    </row>
    <row r="1593" spans="1:25" hidden="1" x14ac:dyDescent="0.25">
      <c r="A1593" t="s">
        <v>47</v>
      </c>
      <c r="B1593" t="s">
        <v>137</v>
      </c>
      <c r="C1593" t="s">
        <v>27</v>
      </c>
      <c r="D1593" t="s">
        <v>27</v>
      </c>
      <c r="E1593" s="2">
        <v>45910</v>
      </c>
      <c r="F1593" s="2">
        <v>45910</v>
      </c>
      <c r="G1593" s="3">
        <v>36</v>
      </c>
      <c r="H1593" s="4" t="s">
        <v>28</v>
      </c>
      <c r="I1593">
        <v>59</v>
      </c>
      <c r="J1593">
        <v>0</v>
      </c>
      <c r="K1593">
        <v>0</v>
      </c>
      <c r="L1593" s="3">
        <v>0</v>
      </c>
      <c r="M1593" s="3">
        <v>0</v>
      </c>
      <c r="N1593">
        <v>0</v>
      </c>
      <c r="O1593">
        <v>0</v>
      </c>
      <c r="P1593">
        <v>0</v>
      </c>
      <c r="Q1593">
        <v>0</v>
      </c>
      <c r="R1593" s="3">
        <v>0</v>
      </c>
      <c r="S1593" s="3">
        <v>0</v>
      </c>
      <c r="T1593">
        <v>0</v>
      </c>
      <c r="U1593">
        <v>0</v>
      </c>
      <c r="V1593" s="3">
        <v>0</v>
      </c>
      <c r="W1593" s="3">
        <v>0</v>
      </c>
      <c r="X1593">
        <v>0</v>
      </c>
      <c r="Y1593" t="s">
        <v>1325</v>
      </c>
    </row>
    <row r="1594" spans="1:25" hidden="1" x14ac:dyDescent="0.25">
      <c r="A1594" t="s">
        <v>34</v>
      </c>
      <c r="B1594" t="s">
        <v>137</v>
      </c>
      <c r="C1594" t="s">
        <v>27</v>
      </c>
      <c r="D1594" t="s">
        <v>27</v>
      </c>
      <c r="E1594" s="2">
        <v>45910</v>
      </c>
      <c r="F1594" s="2">
        <v>45910</v>
      </c>
      <c r="G1594" s="3">
        <v>36</v>
      </c>
      <c r="H1594" s="4" t="s">
        <v>28</v>
      </c>
      <c r="I1594">
        <v>59</v>
      </c>
      <c r="J1594">
        <v>0</v>
      </c>
      <c r="K1594">
        <v>0</v>
      </c>
      <c r="L1594" s="3">
        <v>0</v>
      </c>
      <c r="M1594" s="3">
        <v>0</v>
      </c>
      <c r="N1594">
        <v>0</v>
      </c>
      <c r="O1594">
        <v>0</v>
      </c>
      <c r="P1594">
        <v>0</v>
      </c>
      <c r="Q1594">
        <v>0</v>
      </c>
      <c r="R1594" s="3">
        <v>0</v>
      </c>
      <c r="S1594" s="3">
        <v>0</v>
      </c>
      <c r="T1594">
        <v>0</v>
      </c>
      <c r="U1594">
        <v>0</v>
      </c>
      <c r="V1594" s="3">
        <v>0</v>
      </c>
      <c r="W1594" s="3">
        <v>0</v>
      </c>
      <c r="X1594">
        <v>0</v>
      </c>
      <c r="Y1594" t="s">
        <v>1325</v>
      </c>
    </row>
    <row r="1595" spans="1:25" hidden="1" x14ac:dyDescent="0.25">
      <c r="A1595" t="s">
        <v>49</v>
      </c>
      <c r="B1595" t="s">
        <v>118</v>
      </c>
      <c r="C1595" t="s">
        <v>50</v>
      </c>
      <c r="D1595" t="s">
        <v>27</v>
      </c>
      <c r="E1595" s="2">
        <v>45910</v>
      </c>
      <c r="F1595" s="2">
        <v>45910</v>
      </c>
      <c r="G1595" s="3">
        <v>26</v>
      </c>
      <c r="H1595" s="4" t="s">
        <v>28</v>
      </c>
      <c r="I1595">
        <v>63</v>
      </c>
      <c r="J1595">
        <v>0</v>
      </c>
      <c r="K1595">
        <v>0</v>
      </c>
      <c r="L1595" s="3">
        <v>1</v>
      </c>
      <c r="M1595" s="3">
        <v>1</v>
      </c>
      <c r="N1595">
        <v>0</v>
      </c>
      <c r="O1595">
        <v>0</v>
      </c>
      <c r="P1595">
        <v>0</v>
      </c>
      <c r="Q1595">
        <v>65</v>
      </c>
      <c r="R1595" s="3">
        <v>0</v>
      </c>
      <c r="S1595" s="3">
        <v>0</v>
      </c>
      <c r="T1595">
        <v>0</v>
      </c>
      <c r="U1595">
        <v>0</v>
      </c>
      <c r="V1595" s="3">
        <v>0</v>
      </c>
      <c r="W1595" s="3">
        <v>0</v>
      </c>
      <c r="X1595">
        <v>0</v>
      </c>
      <c r="Y1595" t="s">
        <v>1326</v>
      </c>
    </row>
    <row r="1596" spans="1:25" hidden="1" x14ac:dyDescent="0.25">
      <c r="A1596" t="s">
        <v>51</v>
      </c>
      <c r="B1596" t="s">
        <v>120</v>
      </c>
      <c r="C1596" t="s">
        <v>55</v>
      </c>
      <c r="D1596" t="s">
        <v>27</v>
      </c>
      <c r="E1596" s="2">
        <v>45910</v>
      </c>
      <c r="F1596" s="2">
        <v>45910</v>
      </c>
      <c r="G1596" s="3">
        <v>48</v>
      </c>
      <c r="H1596" s="4" t="s">
        <v>28</v>
      </c>
      <c r="I1596">
        <v>51</v>
      </c>
      <c r="J1596">
        <v>0</v>
      </c>
      <c r="K1596">
        <v>0</v>
      </c>
      <c r="L1596" s="3">
        <v>1</v>
      </c>
      <c r="M1596" s="3">
        <v>0</v>
      </c>
      <c r="N1596">
        <v>1</v>
      </c>
      <c r="O1596">
        <v>0</v>
      </c>
      <c r="P1596">
        <v>0</v>
      </c>
      <c r="Q1596">
        <v>0</v>
      </c>
      <c r="R1596" s="3">
        <v>0</v>
      </c>
      <c r="S1596" s="3">
        <v>0</v>
      </c>
      <c r="T1596">
        <v>0</v>
      </c>
      <c r="U1596">
        <v>0</v>
      </c>
      <c r="V1596" s="3">
        <v>0</v>
      </c>
      <c r="W1596" s="3">
        <v>0</v>
      </c>
      <c r="X1596">
        <v>0</v>
      </c>
      <c r="Y1596" t="s">
        <v>1327</v>
      </c>
    </row>
    <row r="1597" spans="1:25" hidden="1" x14ac:dyDescent="0.25">
      <c r="A1597" t="s">
        <v>54</v>
      </c>
      <c r="B1597" t="s">
        <v>122</v>
      </c>
      <c r="C1597" t="s">
        <v>26</v>
      </c>
      <c r="D1597" t="s">
        <v>27</v>
      </c>
      <c r="E1597" s="2">
        <v>45910</v>
      </c>
      <c r="F1597" s="2">
        <v>45910</v>
      </c>
      <c r="G1597" s="3">
        <v>52</v>
      </c>
      <c r="H1597" s="4" t="s">
        <v>28</v>
      </c>
      <c r="I1597">
        <v>30</v>
      </c>
      <c r="J1597">
        <v>0</v>
      </c>
      <c r="K1597">
        <v>0</v>
      </c>
      <c r="L1597" s="3">
        <v>0</v>
      </c>
      <c r="M1597" s="3">
        <v>0</v>
      </c>
      <c r="N1597">
        <v>0</v>
      </c>
      <c r="O1597">
        <v>0</v>
      </c>
      <c r="P1597">
        <v>0</v>
      </c>
      <c r="Q1597">
        <v>0</v>
      </c>
      <c r="R1597" s="3">
        <v>0</v>
      </c>
      <c r="S1597" s="3">
        <v>0</v>
      </c>
      <c r="T1597">
        <v>0</v>
      </c>
      <c r="U1597">
        <v>0</v>
      </c>
      <c r="V1597" s="3">
        <v>0</v>
      </c>
      <c r="W1597" s="3">
        <v>0</v>
      </c>
      <c r="X1597">
        <v>0</v>
      </c>
      <c r="Y1597" t="s">
        <v>1328</v>
      </c>
    </row>
    <row r="1598" spans="1:25" hidden="1" x14ac:dyDescent="0.25">
      <c r="A1598" t="s">
        <v>48</v>
      </c>
      <c r="B1598" t="s">
        <v>149</v>
      </c>
      <c r="C1598" t="s">
        <v>46</v>
      </c>
      <c r="D1598" t="s">
        <v>27</v>
      </c>
      <c r="E1598" s="2">
        <v>45910</v>
      </c>
      <c r="F1598" s="2">
        <v>45910</v>
      </c>
      <c r="G1598" s="3">
        <v>41</v>
      </c>
      <c r="H1598" s="4" t="s">
        <v>28</v>
      </c>
      <c r="I1598">
        <v>95</v>
      </c>
      <c r="J1598">
        <v>0</v>
      </c>
      <c r="K1598">
        <v>0</v>
      </c>
      <c r="L1598" s="3">
        <v>1</v>
      </c>
      <c r="M1598" s="3">
        <v>0</v>
      </c>
      <c r="N1598">
        <v>0</v>
      </c>
      <c r="O1598">
        <v>0</v>
      </c>
      <c r="P1598">
        <v>0</v>
      </c>
      <c r="Q1598">
        <v>0</v>
      </c>
      <c r="R1598" s="3">
        <v>0</v>
      </c>
      <c r="S1598" s="3">
        <v>0</v>
      </c>
      <c r="T1598">
        <v>0</v>
      </c>
      <c r="U1598">
        <v>0</v>
      </c>
      <c r="V1598" s="3">
        <v>0</v>
      </c>
      <c r="W1598" s="3">
        <v>0</v>
      </c>
      <c r="X1598">
        <v>0</v>
      </c>
      <c r="Y1598" t="s">
        <v>1329</v>
      </c>
    </row>
    <row r="1599" spans="1:25" hidden="1" x14ac:dyDescent="0.25">
      <c r="A1599" t="s">
        <v>53</v>
      </c>
      <c r="B1599" t="s">
        <v>142</v>
      </c>
      <c r="C1599" t="s">
        <v>39</v>
      </c>
      <c r="D1599" t="s">
        <v>27</v>
      </c>
      <c r="E1599" s="2">
        <v>45910</v>
      </c>
      <c r="F1599" s="2">
        <v>45910</v>
      </c>
      <c r="G1599" s="3">
        <v>42</v>
      </c>
      <c r="H1599" s="4" t="s">
        <v>28</v>
      </c>
      <c r="I1599">
        <v>32</v>
      </c>
      <c r="J1599">
        <v>0</v>
      </c>
      <c r="K1599">
        <v>0</v>
      </c>
      <c r="L1599" s="3">
        <v>1</v>
      </c>
      <c r="M1599" s="3">
        <v>0</v>
      </c>
      <c r="N1599">
        <v>0</v>
      </c>
      <c r="O1599">
        <v>0</v>
      </c>
      <c r="P1599">
        <v>0</v>
      </c>
      <c r="Q1599">
        <v>32</v>
      </c>
      <c r="R1599" s="3">
        <v>0</v>
      </c>
      <c r="S1599" s="3">
        <v>0</v>
      </c>
      <c r="T1599">
        <v>0</v>
      </c>
      <c r="U1599">
        <v>0</v>
      </c>
      <c r="V1599" s="3">
        <v>0</v>
      </c>
      <c r="W1599" s="3">
        <v>0</v>
      </c>
      <c r="X1599">
        <v>0</v>
      </c>
      <c r="Y1599" t="s">
        <v>1330</v>
      </c>
    </row>
    <row r="1600" spans="1:25" hidden="1" x14ac:dyDescent="0.25">
      <c r="A1600" s="1" t="s">
        <v>58</v>
      </c>
      <c r="B1600" t="s">
        <v>144</v>
      </c>
      <c r="C1600" t="s">
        <v>489</v>
      </c>
      <c r="D1600" t="s">
        <v>27</v>
      </c>
      <c r="E1600" s="2">
        <v>45910</v>
      </c>
      <c r="F1600" s="2">
        <v>45910</v>
      </c>
      <c r="G1600" s="3">
        <v>28</v>
      </c>
      <c r="H1600" s="4" t="s">
        <v>28</v>
      </c>
      <c r="I1600">
        <v>60</v>
      </c>
      <c r="J1600">
        <v>0</v>
      </c>
      <c r="K1600">
        <v>0</v>
      </c>
      <c r="L1600" s="3">
        <v>1</v>
      </c>
      <c r="M1600" s="3">
        <v>0</v>
      </c>
      <c r="N1600">
        <v>0</v>
      </c>
      <c r="O1600">
        <v>0</v>
      </c>
      <c r="P1600">
        <v>0</v>
      </c>
      <c r="Q1600">
        <v>0</v>
      </c>
      <c r="R1600" s="3">
        <v>0</v>
      </c>
      <c r="S1600" s="3">
        <v>0</v>
      </c>
      <c r="T1600">
        <v>0</v>
      </c>
      <c r="U1600">
        <v>0</v>
      </c>
      <c r="V1600" s="3">
        <v>0</v>
      </c>
      <c r="W1600" s="3">
        <v>0</v>
      </c>
      <c r="X1600">
        <v>0</v>
      </c>
      <c r="Y1600" t="s">
        <v>1331</v>
      </c>
    </row>
    <row r="1601" spans="1:25" hidden="1" x14ac:dyDescent="0.25">
      <c r="A1601" t="s">
        <v>1316</v>
      </c>
      <c r="B1601" t="s">
        <v>106</v>
      </c>
      <c r="C1601" t="s">
        <v>27</v>
      </c>
      <c r="D1601" t="s">
        <v>27</v>
      </c>
      <c r="E1601" s="2">
        <v>45910</v>
      </c>
      <c r="F1601" s="2">
        <v>45910</v>
      </c>
      <c r="G1601" s="3">
        <v>28</v>
      </c>
      <c r="H1601" s="4" t="s">
        <v>28</v>
      </c>
      <c r="I1601">
        <v>98</v>
      </c>
      <c r="J1601">
        <v>0</v>
      </c>
      <c r="K1601">
        <v>0</v>
      </c>
      <c r="L1601" s="3">
        <v>1</v>
      </c>
      <c r="M1601" s="3">
        <v>0</v>
      </c>
      <c r="N1601">
        <v>0</v>
      </c>
      <c r="O1601">
        <v>0</v>
      </c>
      <c r="P1601">
        <v>0</v>
      </c>
      <c r="Q1601">
        <v>65</v>
      </c>
      <c r="R1601" s="3">
        <v>0</v>
      </c>
      <c r="S1601" s="3">
        <v>0</v>
      </c>
      <c r="T1601">
        <v>0</v>
      </c>
      <c r="U1601">
        <v>0</v>
      </c>
      <c r="V1601" s="3">
        <v>0</v>
      </c>
      <c r="W1601" s="3">
        <v>0</v>
      </c>
      <c r="X1601" s="3">
        <v>0</v>
      </c>
      <c r="Y1601" t="s">
        <v>1331</v>
      </c>
    </row>
    <row r="1602" spans="1:25" hidden="1" x14ac:dyDescent="0.25">
      <c r="A1602" t="s">
        <v>27</v>
      </c>
      <c r="B1602" t="s">
        <v>182</v>
      </c>
      <c r="C1602" t="s">
        <v>25</v>
      </c>
      <c r="D1602" t="s">
        <v>27</v>
      </c>
      <c r="E1602" s="2">
        <v>45910</v>
      </c>
      <c r="F1602" s="2">
        <v>45910</v>
      </c>
      <c r="G1602" s="3">
        <v>29</v>
      </c>
      <c r="H1602" s="4" t="s">
        <v>1153</v>
      </c>
      <c r="I1602">
        <v>0</v>
      </c>
      <c r="J1602">
        <v>0</v>
      </c>
      <c r="K1602">
        <v>0</v>
      </c>
      <c r="L1602" s="3">
        <v>0</v>
      </c>
      <c r="M1602" s="3">
        <v>0</v>
      </c>
      <c r="N1602">
        <v>0</v>
      </c>
      <c r="O1602">
        <v>0</v>
      </c>
      <c r="P1602">
        <v>0</v>
      </c>
      <c r="Q1602">
        <v>0</v>
      </c>
      <c r="R1602" s="3">
        <v>0</v>
      </c>
      <c r="S1602" s="3">
        <v>0</v>
      </c>
      <c r="T1602">
        <v>0</v>
      </c>
      <c r="U1602">
        <v>0</v>
      </c>
      <c r="V1602" s="3">
        <v>0</v>
      </c>
      <c r="W1602" s="3">
        <v>0</v>
      </c>
      <c r="X1602" s="3">
        <v>0</v>
      </c>
      <c r="Y1602" t="s">
        <v>1331</v>
      </c>
    </row>
    <row r="1603" spans="1:25" hidden="1" x14ac:dyDescent="0.25">
      <c r="A1603" t="s">
        <v>27</v>
      </c>
      <c r="B1603" t="s">
        <v>182</v>
      </c>
      <c r="C1603" t="s">
        <v>52</v>
      </c>
      <c r="D1603" t="s">
        <v>27</v>
      </c>
      <c r="E1603" s="2">
        <v>45910</v>
      </c>
      <c r="F1603" s="2">
        <v>45910</v>
      </c>
      <c r="G1603" s="3">
        <v>29</v>
      </c>
      <c r="H1603" s="4" t="s">
        <v>1317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1331</v>
      </c>
    </row>
    <row r="1604" spans="1:25" hidden="1" x14ac:dyDescent="0.25">
      <c r="A1604" t="s">
        <v>25</v>
      </c>
      <c r="B1604" t="s">
        <v>98</v>
      </c>
      <c r="C1604" t="s">
        <v>26</v>
      </c>
      <c r="D1604" t="s">
        <v>27</v>
      </c>
      <c r="E1604" s="2">
        <v>45911</v>
      </c>
      <c r="F1604" s="2">
        <v>45911</v>
      </c>
      <c r="G1604" s="3">
        <v>41</v>
      </c>
      <c r="H1604" s="4" t="s">
        <v>28</v>
      </c>
      <c r="I1604">
        <v>50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5" hidden="1" x14ac:dyDescent="0.25">
      <c r="A1605" t="s">
        <v>56</v>
      </c>
      <c r="B1605" t="s">
        <v>98</v>
      </c>
      <c r="C1605" t="s">
        <v>438</v>
      </c>
      <c r="D1605" t="s">
        <v>27</v>
      </c>
      <c r="E1605" s="2">
        <v>45911</v>
      </c>
      <c r="F1605" s="2">
        <v>45911</v>
      </c>
      <c r="G1605" s="3">
        <v>28</v>
      </c>
      <c r="H1605" s="4" t="s">
        <v>28</v>
      </c>
      <c r="I1605">
        <v>36</v>
      </c>
      <c r="J1605">
        <v>0</v>
      </c>
      <c r="K1605">
        <v>0</v>
      </c>
      <c r="L1605" s="3">
        <v>1</v>
      </c>
      <c r="M1605" s="3">
        <v>0</v>
      </c>
      <c r="N1605">
        <v>0</v>
      </c>
      <c r="O1605">
        <v>0</v>
      </c>
      <c r="P1605">
        <v>0</v>
      </c>
      <c r="Q1605">
        <v>10</v>
      </c>
      <c r="R1605" s="3">
        <v>0</v>
      </c>
      <c r="S1605" s="3">
        <v>0</v>
      </c>
      <c r="T1605">
        <v>0</v>
      </c>
      <c r="U1605">
        <v>0</v>
      </c>
      <c r="V1605" s="3">
        <v>0</v>
      </c>
      <c r="W1605" s="3">
        <v>0</v>
      </c>
      <c r="X1605">
        <v>0</v>
      </c>
      <c r="Y1605" t="s">
        <v>1332</v>
      </c>
    </row>
    <row r="1606" spans="1:25" hidden="1" x14ac:dyDescent="0.25">
      <c r="A1606" t="s">
        <v>31</v>
      </c>
      <c r="B1606" t="s">
        <v>104</v>
      </c>
      <c r="C1606" t="s">
        <v>32</v>
      </c>
      <c r="D1606" t="s">
        <v>27</v>
      </c>
      <c r="E1606" s="2">
        <v>45911</v>
      </c>
      <c r="F1606" s="2">
        <v>45911</v>
      </c>
      <c r="G1606" s="3">
        <v>54</v>
      </c>
      <c r="H1606" s="4" t="s">
        <v>28</v>
      </c>
      <c r="I1606">
        <v>87</v>
      </c>
      <c r="J1606">
        <v>0</v>
      </c>
      <c r="K1606">
        <v>0</v>
      </c>
      <c r="L1606" s="3">
        <v>0</v>
      </c>
      <c r="M1606" s="3">
        <v>0</v>
      </c>
      <c r="N1606">
        <v>0</v>
      </c>
      <c r="O1606">
        <v>0</v>
      </c>
      <c r="P1606">
        <v>0</v>
      </c>
      <c r="Q1606">
        <v>50</v>
      </c>
      <c r="R1606" s="3">
        <v>0</v>
      </c>
      <c r="S1606" s="3">
        <v>0</v>
      </c>
      <c r="T1606">
        <v>0</v>
      </c>
      <c r="U1606">
        <v>0</v>
      </c>
      <c r="V1606" s="3">
        <v>0</v>
      </c>
      <c r="W1606" s="3">
        <v>0</v>
      </c>
      <c r="X1606">
        <v>0</v>
      </c>
      <c r="Y1606" t="s">
        <v>1333</v>
      </c>
    </row>
    <row r="1607" spans="1:25" hidden="1" x14ac:dyDescent="0.25">
      <c r="A1607" t="s">
        <v>33</v>
      </c>
      <c r="B1607" t="s">
        <v>106</v>
      </c>
      <c r="C1607" t="s">
        <v>57</v>
      </c>
      <c r="D1607" t="s">
        <v>27</v>
      </c>
      <c r="E1607" s="2">
        <v>45911</v>
      </c>
      <c r="F1607" s="2">
        <v>45911</v>
      </c>
      <c r="G1607" s="3">
        <v>25</v>
      </c>
      <c r="H1607" s="4" t="s">
        <v>28</v>
      </c>
      <c r="I1607">
        <v>53</v>
      </c>
      <c r="J1607">
        <v>0</v>
      </c>
      <c r="K1607">
        <v>0</v>
      </c>
      <c r="L1607" s="3">
        <v>0</v>
      </c>
      <c r="M1607" s="3">
        <v>0</v>
      </c>
      <c r="N1607">
        <v>0</v>
      </c>
      <c r="O1607">
        <v>0</v>
      </c>
      <c r="P1607">
        <v>0</v>
      </c>
      <c r="Q1607">
        <v>0</v>
      </c>
      <c r="R1607" s="3">
        <v>0</v>
      </c>
      <c r="S1607" s="3">
        <v>0</v>
      </c>
      <c r="T1607">
        <v>0</v>
      </c>
      <c r="U1607">
        <v>0</v>
      </c>
      <c r="V1607" s="3">
        <v>0</v>
      </c>
      <c r="W1607" s="3">
        <v>0</v>
      </c>
      <c r="X1607">
        <v>0</v>
      </c>
      <c r="Y1607" t="s">
        <v>1334</v>
      </c>
    </row>
    <row r="1608" spans="1:25" hidden="1" x14ac:dyDescent="0.25">
      <c r="A1608" t="s">
        <v>36</v>
      </c>
      <c r="B1608" t="s">
        <v>249</v>
      </c>
      <c r="C1608" t="s">
        <v>35</v>
      </c>
      <c r="D1608" t="s">
        <v>27</v>
      </c>
      <c r="E1608" s="2">
        <v>45911</v>
      </c>
      <c r="F1608" s="2">
        <v>45911</v>
      </c>
      <c r="G1608" s="3">
        <v>69</v>
      </c>
      <c r="H1608" s="4" t="s">
        <v>28</v>
      </c>
      <c r="I1608">
        <v>68</v>
      </c>
      <c r="J1608">
        <v>0</v>
      </c>
      <c r="K1608">
        <v>0</v>
      </c>
      <c r="L1608" s="3">
        <v>1</v>
      </c>
      <c r="M1608" s="3">
        <v>0</v>
      </c>
      <c r="N1608">
        <v>0</v>
      </c>
      <c r="O1608">
        <v>0</v>
      </c>
      <c r="P1608">
        <v>0</v>
      </c>
      <c r="Q1608">
        <v>0</v>
      </c>
      <c r="R1608" s="3">
        <v>0</v>
      </c>
      <c r="S1608" s="3">
        <v>0</v>
      </c>
      <c r="T1608">
        <v>0</v>
      </c>
      <c r="U1608">
        <v>0</v>
      </c>
      <c r="V1608" s="3">
        <v>0</v>
      </c>
      <c r="W1608" s="3">
        <v>0</v>
      </c>
      <c r="X1608">
        <v>0</v>
      </c>
      <c r="Y1608" t="s">
        <v>1335</v>
      </c>
    </row>
    <row r="1609" spans="1:25" hidden="1" x14ac:dyDescent="0.25">
      <c r="A1609" t="s">
        <v>38</v>
      </c>
      <c r="B1609" t="s">
        <v>108</v>
      </c>
      <c r="C1609" t="s">
        <v>27</v>
      </c>
      <c r="D1609" t="s">
        <v>27</v>
      </c>
      <c r="E1609" s="2">
        <v>45911</v>
      </c>
      <c r="F1609" s="2">
        <v>45911</v>
      </c>
      <c r="G1609" s="3">
        <v>41</v>
      </c>
      <c r="H1609" s="4" t="s">
        <v>28</v>
      </c>
      <c r="I1609">
        <v>27</v>
      </c>
      <c r="J1609">
        <v>0</v>
      </c>
      <c r="K1609">
        <v>0</v>
      </c>
      <c r="L1609" s="3">
        <v>0</v>
      </c>
      <c r="M1609" s="3">
        <v>0</v>
      </c>
      <c r="N1609">
        <v>0</v>
      </c>
      <c r="O1609">
        <v>0</v>
      </c>
      <c r="P1609">
        <v>0</v>
      </c>
      <c r="Q1609">
        <v>27</v>
      </c>
      <c r="R1609" s="3">
        <v>0</v>
      </c>
      <c r="S1609" s="3">
        <v>0</v>
      </c>
      <c r="T1609">
        <v>0</v>
      </c>
      <c r="U1609">
        <v>0</v>
      </c>
      <c r="V1609" s="3">
        <v>0</v>
      </c>
      <c r="W1609" s="3">
        <v>0</v>
      </c>
      <c r="X1609">
        <v>0</v>
      </c>
      <c r="Y1609" t="s">
        <v>1336</v>
      </c>
    </row>
    <row r="1610" spans="1:25" hidden="1" x14ac:dyDescent="0.25">
      <c r="A1610" t="s">
        <v>38</v>
      </c>
      <c r="B1610" t="s">
        <v>108</v>
      </c>
      <c r="C1610" t="s">
        <v>27</v>
      </c>
      <c r="D1610" t="s">
        <v>27</v>
      </c>
      <c r="E1610" s="2">
        <v>45911</v>
      </c>
      <c r="F1610" s="2">
        <v>45911</v>
      </c>
      <c r="G1610" s="3">
        <v>67</v>
      </c>
      <c r="H1610" s="4" t="s">
        <v>28</v>
      </c>
      <c r="I1610">
        <v>28</v>
      </c>
      <c r="J1610">
        <v>0</v>
      </c>
      <c r="K1610">
        <v>0</v>
      </c>
      <c r="L1610" s="3">
        <v>0</v>
      </c>
      <c r="M1610" s="3">
        <v>0</v>
      </c>
      <c r="N1610">
        <v>0</v>
      </c>
      <c r="O1610">
        <v>0</v>
      </c>
      <c r="P1610">
        <v>0</v>
      </c>
      <c r="Q1610">
        <v>28</v>
      </c>
      <c r="R1610" s="3">
        <v>0</v>
      </c>
      <c r="S1610" s="3">
        <v>0</v>
      </c>
      <c r="T1610">
        <v>0</v>
      </c>
      <c r="U1610">
        <v>0</v>
      </c>
      <c r="V1610" s="3">
        <v>0</v>
      </c>
      <c r="W1610" s="3">
        <v>0</v>
      </c>
      <c r="X1610">
        <v>0</v>
      </c>
      <c r="Y1610" t="s">
        <v>1337</v>
      </c>
    </row>
    <row r="1611" spans="1:25" hidden="1" x14ac:dyDescent="0.25">
      <c r="A1611" t="s">
        <v>40</v>
      </c>
      <c r="B1611" t="s">
        <v>110</v>
      </c>
      <c r="C1611" t="s">
        <v>489</v>
      </c>
      <c r="D1611" t="s">
        <v>27</v>
      </c>
      <c r="E1611" s="2">
        <v>45911</v>
      </c>
      <c r="F1611" s="2">
        <v>45911</v>
      </c>
      <c r="G1611" s="3">
        <v>27</v>
      </c>
      <c r="H1611" s="4" t="s">
        <v>28</v>
      </c>
      <c r="I1611">
        <v>35</v>
      </c>
      <c r="J1611">
        <v>0</v>
      </c>
      <c r="K1611">
        <v>0</v>
      </c>
      <c r="L1611" s="3">
        <v>0</v>
      </c>
      <c r="M1611" s="3">
        <v>0</v>
      </c>
      <c r="N1611">
        <v>1</v>
      </c>
      <c r="O1611">
        <v>0</v>
      </c>
      <c r="P1611">
        <v>0</v>
      </c>
      <c r="Q1611">
        <v>8</v>
      </c>
      <c r="R1611" s="3">
        <v>0</v>
      </c>
      <c r="S1611" s="3">
        <v>0</v>
      </c>
      <c r="T1611">
        <v>0</v>
      </c>
      <c r="U1611">
        <v>0</v>
      </c>
      <c r="V1611" s="3">
        <v>0</v>
      </c>
      <c r="W1611" s="3">
        <v>0</v>
      </c>
      <c r="X1611">
        <v>0</v>
      </c>
      <c r="Y1611" t="s">
        <v>1338</v>
      </c>
    </row>
    <row r="1612" spans="1:25" hidden="1" x14ac:dyDescent="0.25">
      <c r="A1612" t="s">
        <v>41</v>
      </c>
      <c r="B1612" t="s">
        <v>112</v>
      </c>
      <c r="C1612" t="s">
        <v>42</v>
      </c>
      <c r="D1612" t="s">
        <v>27</v>
      </c>
      <c r="E1612" s="2">
        <v>45911</v>
      </c>
      <c r="F1612" s="2">
        <v>45911</v>
      </c>
      <c r="G1612" s="3">
        <v>44</v>
      </c>
      <c r="H1612" s="4" t="s">
        <v>28</v>
      </c>
      <c r="I1612">
        <v>115</v>
      </c>
      <c r="J1612">
        <v>0</v>
      </c>
      <c r="K1612">
        <v>0</v>
      </c>
      <c r="L1612" s="3">
        <v>1</v>
      </c>
      <c r="M1612" s="3">
        <v>0</v>
      </c>
      <c r="N1612">
        <v>0</v>
      </c>
      <c r="O1612">
        <v>0</v>
      </c>
      <c r="P1612">
        <v>0</v>
      </c>
      <c r="Q1612">
        <v>66</v>
      </c>
      <c r="R1612" s="3">
        <v>0</v>
      </c>
      <c r="S1612" s="3">
        <v>0</v>
      </c>
      <c r="T1612">
        <v>0</v>
      </c>
      <c r="U1612">
        <v>0</v>
      </c>
      <c r="V1612" s="3">
        <v>0</v>
      </c>
      <c r="W1612" s="3">
        <v>0</v>
      </c>
      <c r="X1612">
        <v>0</v>
      </c>
      <c r="Y1612" t="s">
        <v>1339</v>
      </c>
    </row>
    <row r="1613" spans="1:25" hidden="1" x14ac:dyDescent="0.25">
      <c r="A1613" t="s">
        <v>43</v>
      </c>
      <c r="B1613" t="s">
        <v>114</v>
      </c>
      <c r="C1613" t="s">
        <v>27</v>
      </c>
      <c r="D1613" t="s">
        <v>27</v>
      </c>
      <c r="E1613" s="2">
        <v>45911</v>
      </c>
      <c r="F1613" s="2">
        <v>45911</v>
      </c>
      <c r="G1613" s="3">
        <v>80</v>
      </c>
      <c r="H1613" s="4" t="s">
        <v>28</v>
      </c>
      <c r="I1613">
        <v>54</v>
      </c>
      <c r="J1613">
        <v>0</v>
      </c>
      <c r="K1613">
        <v>0</v>
      </c>
      <c r="L1613" s="3">
        <v>1</v>
      </c>
      <c r="M1613" s="3">
        <v>0</v>
      </c>
      <c r="N1613">
        <v>0</v>
      </c>
      <c r="O1613">
        <v>0</v>
      </c>
      <c r="P1613">
        <v>0</v>
      </c>
      <c r="Q1613">
        <v>0</v>
      </c>
      <c r="R1613" s="3">
        <v>0</v>
      </c>
      <c r="S1613" s="3">
        <v>0</v>
      </c>
      <c r="T1613">
        <v>0</v>
      </c>
      <c r="U1613">
        <v>0</v>
      </c>
      <c r="V1613" s="3">
        <v>0</v>
      </c>
      <c r="W1613" s="3">
        <v>0</v>
      </c>
      <c r="X1613">
        <v>0</v>
      </c>
      <c r="Y1613" t="s">
        <v>1340</v>
      </c>
    </row>
    <row r="1614" spans="1:25" hidden="1" x14ac:dyDescent="0.25">
      <c r="A1614" t="s">
        <v>1316</v>
      </c>
      <c r="B1614" t="s">
        <v>114</v>
      </c>
      <c r="C1614" t="s">
        <v>27</v>
      </c>
      <c r="D1614" t="s">
        <v>27</v>
      </c>
      <c r="E1614" s="2">
        <v>45911</v>
      </c>
      <c r="F1614" s="2">
        <v>45911</v>
      </c>
      <c r="G1614" s="3">
        <v>80</v>
      </c>
      <c r="H1614" s="4" t="s">
        <v>28</v>
      </c>
      <c r="I1614">
        <v>54</v>
      </c>
      <c r="J1614">
        <v>0</v>
      </c>
      <c r="K1614">
        <v>0</v>
      </c>
      <c r="L1614" s="3">
        <v>1</v>
      </c>
      <c r="M1614" s="3">
        <v>0</v>
      </c>
      <c r="N1614">
        <v>0</v>
      </c>
      <c r="O1614">
        <v>0</v>
      </c>
      <c r="P1614">
        <v>0</v>
      </c>
      <c r="Q1614">
        <v>0</v>
      </c>
      <c r="R1614" s="3">
        <v>0</v>
      </c>
      <c r="S1614" s="3">
        <v>0</v>
      </c>
      <c r="T1614">
        <v>0</v>
      </c>
      <c r="U1614">
        <v>0</v>
      </c>
      <c r="V1614" s="3">
        <v>0</v>
      </c>
      <c r="W1614" s="3">
        <v>0</v>
      </c>
      <c r="X1614">
        <v>0</v>
      </c>
      <c r="Y1614" t="s">
        <v>1340</v>
      </c>
    </row>
    <row r="1615" spans="1:25" hidden="1" x14ac:dyDescent="0.25">
      <c r="A1615" t="s">
        <v>47</v>
      </c>
      <c r="B1615" t="s">
        <v>137</v>
      </c>
      <c r="C1615" t="s">
        <v>27</v>
      </c>
      <c r="D1615" t="s">
        <v>27</v>
      </c>
      <c r="E1615" s="2">
        <v>45911</v>
      </c>
      <c r="F1615" s="2">
        <v>45911</v>
      </c>
      <c r="G1615" s="3">
        <v>28</v>
      </c>
      <c r="H1615" s="4" t="s">
        <v>28</v>
      </c>
      <c r="I1615">
        <v>60</v>
      </c>
      <c r="J1615">
        <v>0</v>
      </c>
      <c r="K1615">
        <v>0</v>
      </c>
      <c r="L1615" s="3">
        <v>1</v>
      </c>
      <c r="M1615" s="3">
        <v>0</v>
      </c>
      <c r="N1615">
        <v>0</v>
      </c>
      <c r="O1615">
        <v>0</v>
      </c>
      <c r="P1615">
        <v>0</v>
      </c>
      <c r="Q1615">
        <v>20</v>
      </c>
      <c r="R1615" s="3">
        <v>0</v>
      </c>
      <c r="S1615" s="3">
        <v>0</v>
      </c>
      <c r="T1615">
        <v>0</v>
      </c>
      <c r="U1615">
        <v>0</v>
      </c>
      <c r="V1615" s="3">
        <v>0</v>
      </c>
      <c r="W1615" s="3">
        <v>0</v>
      </c>
      <c r="X1615">
        <v>0</v>
      </c>
      <c r="Y1615" t="s">
        <v>1341</v>
      </c>
    </row>
    <row r="1616" spans="1:25" hidden="1" x14ac:dyDescent="0.25">
      <c r="A1616" t="s">
        <v>34</v>
      </c>
      <c r="B1616" t="s">
        <v>137</v>
      </c>
      <c r="C1616" t="s">
        <v>27</v>
      </c>
      <c r="D1616" t="s">
        <v>27</v>
      </c>
      <c r="E1616" s="2">
        <v>45911</v>
      </c>
      <c r="F1616" s="2">
        <v>45911</v>
      </c>
      <c r="G1616" s="3">
        <v>28</v>
      </c>
      <c r="H1616" s="4" t="s">
        <v>28</v>
      </c>
      <c r="I1616">
        <v>60</v>
      </c>
      <c r="J1616">
        <v>0</v>
      </c>
      <c r="K1616">
        <v>0</v>
      </c>
      <c r="L1616" s="3">
        <v>1</v>
      </c>
      <c r="M1616" s="3">
        <v>0</v>
      </c>
      <c r="N1616">
        <v>0</v>
      </c>
      <c r="O1616">
        <v>0</v>
      </c>
      <c r="P1616">
        <v>0</v>
      </c>
      <c r="Q1616">
        <v>20</v>
      </c>
      <c r="R1616" s="3">
        <v>0</v>
      </c>
      <c r="S1616" s="3">
        <v>0</v>
      </c>
      <c r="T1616">
        <v>0</v>
      </c>
      <c r="U1616">
        <v>0</v>
      </c>
      <c r="V1616" s="3">
        <v>0</v>
      </c>
      <c r="W1616" s="3">
        <v>0</v>
      </c>
      <c r="X1616">
        <v>0</v>
      </c>
      <c r="Y1616" t="s">
        <v>1341</v>
      </c>
    </row>
    <row r="1617" spans="1:25" hidden="1" x14ac:dyDescent="0.25">
      <c r="A1617" t="s">
        <v>49</v>
      </c>
      <c r="B1617" t="s">
        <v>118</v>
      </c>
      <c r="C1617" t="s">
        <v>50</v>
      </c>
      <c r="D1617" t="s">
        <v>27</v>
      </c>
      <c r="E1617" s="2">
        <v>45911</v>
      </c>
      <c r="F1617" s="2">
        <v>45911</v>
      </c>
      <c r="G1617" s="3">
        <v>29</v>
      </c>
      <c r="H1617" s="4" t="s">
        <v>28</v>
      </c>
      <c r="I1617">
        <v>41</v>
      </c>
      <c r="J1617">
        <v>0</v>
      </c>
      <c r="K1617">
        <v>0</v>
      </c>
      <c r="L1617" s="3">
        <v>1</v>
      </c>
      <c r="M1617" s="3">
        <v>1</v>
      </c>
      <c r="N1617">
        <v>0</v>
      </c>
      <c r="O1617">
        <v>1</v>
      </c>
      <c r="P1617">
        <v>0</v>
      </c>
      <c r="Q1617">
        <v>41</v>
      </c>
      <c r="R1617" s="3">
        <v>0</v>
      </c>
      <c r="S1617" s="3">
        <v>0</v>
      </c>
      <c r="T1617">
        <v>0</v>
      </c>
      <c r="U1617">
        <v>0</v>
      </c>
      <c r="V1617" s="3">
        <v>0</v>
      </c>
      <c r="W1617" s="3">
        <v>0</v>
      </c>
      <c r="X1617">
        <v>0</v>
      </c>
      <c r="Y1617" t="s">
        <v>1342</v>
      </c>
    </row>
    <row r="1618" spans="1:25" hidden="1" x14ac:dyDescent="0.25">
      <c r="A1618" t="s">
        <v>51</v>
      </c>
      <c r="B1618" t="s">
        <v>120</v>
      </c>
      <c r="C1618" t="s">
        <v>55</v>
      </c>
      <c r="D1618" t="s">
        <v>27</v>
      </c>
      <c r="E1618" s="2">
        <v>45911</v>
      </c>
      <c r="F1618" s="2">
        <v>45911</v>
      </c>
      <c r="G1618" s="3">
        <v>53</v>
      </c>
      <c r="H1618" s="4" t="s">
        <v>28</v>
      </c>
      <c r="I1618">
        <v>40</v>
      </c>
      <c r="J1618">
        <v>0</v>
      </c>
      <c r="K1618">
        <v>0</v>
      </c>
      <c r="L1618" s="3">
        <v>0</v>
      </c>
      <c r="M1618" s="3">
        <v>0</v>
      </c>
      <c r="N1618">
        <v>1</v>
      </c>
      <c r="O1618">
        <v>0</v>
      </c>
      <c r="P1618">
        <v>0</v>
      </c>
      <c r="Q1618">
        <v>0</v>
      </c>
      <c r="R1618" s="3">
        <v>0</v>
      </c>
      <c r="S1618" s="3">
        <v>0</v>
      </c>
      <c r="T1618">
        <v>0</v>
      </c>
      <c r="U1618">
        <v>0</v>
      </c>
      <c r="V1618" s="3">
        <v>0</v>
      </c>
      <c r="W1618" s="3">
        <v>0</v>
      </c>
      <c r="X1618">
        <v>0</v>
      </c>
      <c r="Y1618" t="s">
        <v>1343</v>
      </c>
    </row>
    <row r="1619" spans="1:25" hidden="1" x14ac:dyDescent="0.25">
      <c r="A1619" t="s">
        <v>54</v>
      </c>
      <c r="B1619" t="s">
        <v>122</v>
      </c>
      <c r="C1619" t="s">
        <v>52</v>
      </c>
      <c r="D1619" t="s">
        <v>27</v>
      </c>
      <c r="E1619" s="2">
        <v>45911</v>
      </c>
      <c r="F1619" s="2">
        <v>45911</v>
      </c>
      <c r="G1619" s="3">
        <v>37</v>
      </c>
      <c r="H1619" s="4" t="s">
        <v>28</v>
      </c>
      <c r="I1619">
        <v>31</v>
      </c>
      <c r="J1619">
        <v>0</v>
      </c>
      <c r="K1619">
        <v>0</v>
      </c>
      <c r="L1619" s="3">
        <v>0</v>
      </c>
      <c r="M1619" s="3">
        <v>0</v>
      </c>
      <c r="N1619">
        <v>0</v>
      </c>
      <c r="O1619">
        <v>0</v>
      </c>
      <c r="P1619">
        <v>0</v>
      </c>
      <c r="Q1619">
        <v>2</v>
      </c>
      <c r="R1619" s="3">
        <v>0</v>
      </c>
      <c r="S1619" s="3">
        <v>0</v>
      </c>
      <c r="T1619">
        <v>0</v>
      </c>
      <c r="U1619">
        <v>0</v>
      </c>
      <c r="V1619" s="3">
        <v>0</v>
      </c>
      <c r="W1619" s="3">
        <v>0</v>
      </c>
      <c r="X1619">
        <v>1</v>
      </c>
      <c r="Y1619" t="s">
        <v>1344</v>
      </c>
    </row>
    <row r="1620" spans="1:25" hidden="1" x14ac:dyDescent="0.25">
      <c r="A1620" t="s">
        <v>48</v>
      </c>
      <c r="B1620" t="s">
        <v>149</v>
      </c>
      <c r="C1620" t="s">
        <v>46</v>
      </c>
      <c r="D1620" t="s">
        <v>27</v>
      </c>
      <c r="E1620" s="2">
        <v>45911</v>
      </c>
      <c r="F1620" s="2">
        <v>45911</v>
      </c>
      <c r="G1620" s="3">
        <v>124</v>
      </c>
      <c r="H1620" s="4" t="s">
        <v>28</v>
      </c>
      <c r="I1620">
        <v>35</v>
      </c>
      <c r="J1620">
        <v>0</v>
      </c>
      <c r="K1620">
        <v>0</v>
      </c>
      <c r="L1620" s="3">
        <v>0</v>
      </c>
      <c r="M1620" s="3">
        <v>0</v>
      </c>
      <c r="N1620">
        <v>0</v>
      </c>
      <c r="O1620">
        <v>0</v>
      </c>
      <c r="P1620">
        <v>0</v>
      </c>
      <c r="Q1620">
        <v>2</v>
      </c>
      <c r="R1620" s="3">
        <v>0</v>
      </c>
      <c r="S1620" s="3">
        <v>0</v>
      </c>
      <c r="T1620">
        <v>0</v>
      </c>
      <c r="U1620">
        <v>0</v>
      </c>
      <c r="V1620" s="3">
        <v>0</v>
      </c>
      <c r="W1620" s="3">
        <v>0</v>
      </c>
      <c r="X1620">
        <v>0</v>
      </c>
      <c r="Y1620" t="s">
        <v>1345</v>
      </c>
    </row>
    <row r="1621" spans="1:25" hidden="1" x14ac:dyDescent="0.25">
      <c r="A1621" t="s">
        <v>53</v>
      </c>
      <c r="B1621" t="s">
        <v>142</v>
      </c>
      <c r="C1621" t="s">
        <v>39</v>
      </c>
      <c r="D1621" t="s">
        <v>27</v>
      </c>
      <c r="E1621" s="2">
        <v>45911</v>
      </c>
      <c r="F1621" s="2">
        <v>45911</v>
      </c>
      <c r="G1621" s="3">
        <v>41</v>
      </c>
      <c r="H1621" s="4" t="s">
        <v>28</v>
      </c>
      <c r="I1621">
        <v>29</v>
      </c>
      <c r="J1621">
        <v>0</v>
      </c>
      <c r="K1621">
        <v>0</v>
      </c>
      <c r="L1621" s="3">
        <v>1</v>
      </c>
      <c r="M1621" s="3">
        <v>0</v>
      </c>
      <c r="N1621">
        <v>0</v>
      </c>
      <c r="O1621">
        <v>0</v>
      </c>
      <c r="P1621">
        <v>0</v>
      </c>
      <c r="Q1621">
        <v>29</v>
      </c>
      <c r="R1621" s="3">
        <v>0</v>
      </c>
      <c r="S1621" s="3">
        <v>0</v>
      </c>
      <c r="T1621">
        <v>0</v>
      </c>
      <c r="U1621">
        <v>0</v>
      </c>
      <c r="V1621" s="3">
        <v>0</v>
      </c>
      <c r="W1621" s="3">
        <v>0</v>
      </c>
      <c r="X1621">
        <v>0</v>
      </c>
      <c r="Y1621" t="s">
        <v>1346</v>
      </c>
    </row>
    <row r="1622" spans="1:25" hidden="1" x14ac:dyDescent="0.25">
      <c r="A1622" s="1" t="s">
        <v>58</v>
      </c>
      <c r="B1622" t="s">
        <v>589</v>
      </c>
      <c r="C1622" t="s">
        <v>27</v>
      </c>
      <c r="D1622" t="s">
        <v>27</v>
      </c>
      <c r="E1622" s="2">
        <v>45911</v>
      </c>
      <c r="F1622" s="2">
        <v>45911</v>
      </c>
      <c r="G1622" s="3">
        <v>42</v>
      </c>
      <c r="H1622" s="4" t="s">
        <v>28</v>
      </c>
      <c r="I1622">
        <v>40</v>
      </c>
      <c r="J1622">
        <v>0</v>
      </c>
      <c r="K1622">
        <v>0</v>
      </c>
      <c r="L1622" s="3">
        <v>0</v>
      </c>
      <c r="M1622" s="3">
        <v>0</v>
      </c>
      <c r="N1622">
        <v>0</v>
      </c>
      <c r="O1622">
        <v>0</v>
      </c>
      <c r="P1622">
        <v>0</v>
      </c>
      <c r="Q1622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t="s">
        <v>1346</v>
      </c>
    </row>
    <row r="1623" spans="1:25" hidden="1" x14ac:dyDescent="0.25">
      <c r="A1623" t="s">
        <v>1347</v>
      </c>
      <c r="B1623" t="s">
        <v>112</v>
      </c>
      <c r="C1623" t="s">
        <v>27</v>
      </c>
      <c r="D1623" t="s">
        <v>27</v>
      </c>
      <c r="E1623" s="2">
        <v>45911</v>
      </c>
      <c r="F1623" s="2">
        <v>45911</v>
      </c>
      <c r="G1623" s="3">
        <v>43</v>
      </c>
      <c r="H1623" s="4" t="s">
        <v>28</v>
      </c>
      <c r="I1623">
        <v>30</v>
      </c>
      <c r="J1623">
        <v>0</v>
      </c>
      <c r="K1623">
        <v>0</v>
      </c>
      <c r="L1623" s="3">
        <v>0</v>
      </c>
      <c r="M1623" s="3">
        <v>0</v>
      </c>
      <c r="N1623">
        <v>0</v>
      </c>
      <c r="O1623">
        <v>0</v>
      </c>
      <c r="P1623">
        <v>0</v>
      </c>
      <c r="Q162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t="s">
        <v>1346</v>
      </c>
    </row>
    <row r="1624" spans="1:25" hidden="1" x14ac:dyDescent="0.25">
      <c r="A1624" t="s">
        <v>27</v>
      </c>
      <c r="B1624" t="s">
        <v>590</v>
      </c>
      <c r="C1624" t="s">
        <v>95</v>
      </c>
      <c r="D1624" t="s">
        <v>27</v>
      </c>
      <c r="E1624" s="2">
        <v>45911</v>
      </c>
      <c r="F1624" s="2">
        <v>45911</v>
      </c>
      <c r="G1624" s="3">
        <v>44</v>
      </c>
      <c r="H1624" s="4" t="s">
        <v>1153</v>
      </c>
      <c r="I1624">
        <v>0</v>
      </c>
      <c r="J1624">
        <v>0</v>
      </c>
      <c r="K1624">
        <v>0</v>
      </c>
      <c r="L1624" s="3">
        <v>0</v>
      </c>
      <c r="M1624" s="3">
        <v>0</v>
      </c>
      <c r="N1624">
        <v>0</v>
      </c>
      <c r="O1624">
        <v>0</v>
      </c>
      <c r="P1624">
        <v>0</v>
      </c>
      <c r="Q1624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t="s">
        <v>1346</v>
      </c>
    </row>
    <row r="1625" spans="1:25" hidden="1" x14ac:dyDescent="0.25">
      <c r="A1625" t="s">
        <v>27</v>
      </c>
      <c r="B1625" t="s">
        <v>591</v>
      </c>
      <c r="C1625" t="s">
        <v>37</v>
      </c>
      <c r="D1625" t="s">
        <v>27</v>
      </c>
      <c r="E1625" s="2">
        <v>45911</v>
      </c>
      <c r="F1625" s="2">
        <v>45911</v>
      </c>
      <c r="G1625" s="3">
        <v>45</v>
      </c>
      <c r="H1625" s="4" t="s">
        <v>1153</v>
      </c>
      <c r="I1625">
        <v>0</v>
      </c>
      <c r="J1625">
        <v>0</v>
      </c>
      <c r="K1625">
        <v>0</v>
      </c>
      <c r="L1625" s="3">
        <v>0</v>
      </c>
      <c r="M1625" s="3">
        <v>0</v>
      </c>
      <c r="N1625">
        <v>0</v>
      </c>
      <c r="O1625">
        <v>0</v>
      </c>
      <c r="P1625">
        <v>0</v>
      </c>
      <c r="Q1625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t="s">
        <v>1346</v>
      </c>
    </row>
    <row r="1626" spans="1:25" hidden="1" x14ac:dyDescent="0.25">
      <c r="A1626" t="s">
        <v>27</v>
      </c>
      <c r="B1626" t="s">
        <v>1348</v>
      </c>
      <c r="C1626" t="s">
        <v>44</v>
      </c>
      <c r="D1626" t="s">
        <v>27</v>
      </c>
      <c r="E1626" s="2">
        <v>45911</v>
      </c>
      <c r="F1626" s="2">
        <v>45911</v>
      </c>
      <c r="G1626" s="3">
        <v>46</v>
      </c>
      <c r="H1626" s="4" t="s">
        <v>1255</v>
      </c>
      <c r="I1626">
        <v>0</v>
      </c>
      <c r="J1626">
        <v>0</v>
      </c>
      <c r="K1626">
        <v>0</v>
      </c>
      <c r="L1626" s="3">
        <v>0</v>
      </c>
      <c r="M1626" s="3">
        <v>0</v>
      </c>
      <c r="N1626">
        <v>0</v>
      </c>
      <c r="O1626">
        <v>0</v>
      </c>
      <c r="P1626">
        <v>0</v>
      </c>
      <c r="Q1626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t="s">
        <v>1346</v>
      </c>
    </row>
    <row r="1627" spans="1:25" hidden="1" x14ac:dyDescent="0.25">
      <c r="A1627" t="s">
        <v>344</v>
      </c>
      <c r="B1627" t="s">
        <v>1349</v>
      </c>
      <c r="C1627" t="s">
        <v>27</v>
      </c>
      <c r="D1627" t="s">
        <v>27</v>
      </c>
      <c r="E1627" s="2">
        <v>45911</v>
      </c>
      <c r="F1627" s="2">
        <v>45911</v>
      </c>
      <c r="G1627" s="3">
        <v>47</v>
      </c>
      <c r="H1627" s="4" t="s">
        <v>1317</v>
      </c>
      <c r="I1627">
        <v>0</v>
      </c>
      <c r="J1627">
        <v>0</v>
      </c>
      <c r="K1627">
        <v>0</v>
      </c>
      <c r="L1627" s="3">
        <v>0</v>
      </c>
      <c r="M1627" s="3">
        <v>0</v>
      </c>
      <c r="N1627">
        <v>0</v>
      </c>
      <c r="O1627">
        <v>0</v>
      </c>
      <c r="P1627">
        <v>0</v>
      </c>
      <c r="Q1627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t="s">
        <v>1346</v>
      </c>
    </row>
    <row r="1628" spans="1:25" hidden="1" x14ac:dyDescent="0.25">
      <c r="A1628" s="1" t="s">
        <v>25</v>
      </c>
      <c r="B1628" s="1" t="s">
        <v>96</v>
      </c>
      <c r="C1628" s="1" t="s">
        <v>37</v>
      </c>
      <c r="D1628" s="1" t="s">
        <v>27</v>
      </c>
      <c r="E1628" s="2">
        <v>45912</v>
      </c>
      <c r="F1628" s="2">
        <v>45912</v>
      </c>
      <c r="G1628" s="3">
        <v>31</v>
      </c>
      <c r="H1628" s="4" t="s">
        <v>28</v>
      </c>
      <c r="I1628">
        <v>125</v>
      </c>
      <c r="J1628">
        <v>0</v>
      </c>
      <c r="K1628">
        <v>0</v>
      </c>
      <c r="L1628" s="3">
        <v>1</v>
      </c>
      <c r="M1628" s="3">
        <v>0</v>
      </c>
      <c r="N1628">
        <v>0</v>
      </c>
      <c r="O1628">
        <v>0</v>
      </c>
      <c r="P1628">
        <v>0</v>
      </c>
      <c r="Q1628">
        <v>0</v>
      </c>
      <c r="R1628" s="3">
        <v>0</v>
      </c>
      <c r="S1628" s="3">
        <v>0</v>
      </c>
      <c r="T1628">
        <v>0</v>
      </c>
      <c r="U1628">
        <v>0</v>
      </c>
      <c r="V1628" s="3">
        <v>0</v>
      </c>
      <c r="W1628" s="3">
        <v>0</v>
      </c>
      <c r="X1628">
        <v>0</v>
      </c>
      <c r="Y1628" t="s">
        <v>1350</v>
      </c>
    </row>
    <row r="1629" spans="1:25" hidden="1" x14ac:dyDescent="0.25">
      <c r="A1629" s="1" t="s">
        <v>29</v>
      </c>
      <c r="B1629" s="1" t="s">
        <v>100</v>
      </c>
      <c r="C1629" s="1" t="s">
        <v>95</v>
      </c>
      <c r="D1629" s="1" t="s">
        <v>27</v>
      </c>
      <c r="E1629" s="2">
        <v>45912</v>
      </c>
      <c r="F1629" s="2">
        <v>45912</v>
      </c>
      <c r="G1629" s="3">
        <v>68</v>
      </c>
      <c r="H1629" s="4" t="s">
        <v>28</v>
      </c>
      <c r="I1629">
        <v>72</v>
      </c>
      <c r="J1629">
        <v>0</v>
      </c>
      <c r="K1629">
        <v>0</v>
      </c>
      <c r="L1629" s="3">
        <v>0</v>
      </c>
      <c r="M1629" s="3">
        <v>0</v>
      </c>
      <c r="N1629">
        <v>0</v>
      </c>
      <c r="O1629">
        <v>0</v>
      </c>
      <c r="P1629">
        <v>0</v>
      </c>
      <c r="Q1629">
        <v>0</v>
      </c>
      <c r="R1629" s="3">
        <v>0</v>
      </c>
      <c r="S1629" s="3">
        <v>0</v>
      </c>
      <c r="T1629">
        <v>0</v>
      </c>
      <c r="U1629">
        <v>0</v>
      </c>
      <c r="V1629" s="3">
        <v>0</v>
      </c>
      <c r="W1629" s="3">
        <v>0</v>
      </c>
      <c r="X1629">
        <v>0</v>
      </c>
      <c r="Y1629" t="s">
        <v>1319</v>
      </c>
    </row>
    <row r="1630" spans="1:25" hidden="1" x14ac:dyDescent="0.25">
      <c r="A1630" s="1" t="s">
        <v>344</v>
      </c>
      <c r="B1630" s="1" t="s">
        <v>100</v>
      </c>
      <c r="C1630" s="1" t="s">
        <v>35</v>
      </c>
      <c r="D1630" s="1" t="s">
        <v>27</v>
      </c>
      <c r="E1630" s="2">
        <v>45912</v>
      </c>
      <c r="F1630" s="2">
        <v>45912</v>
      </c>
      <c r="G1630" s="3">
        <v>68</v>
      </c>
      <c r="H1630" s="4" t="s">
        <v>28</v>
      </c>
      <c r="I1630">
        <v>53</v>
      </c>
      <c r="J1630">
        <v>0</v>
      </c>
      <c r="K1630">
        <v>0</v>
      </c>
      <c r="L1630" s="3">
        <v>0</v>
      </c>
      <c r="M1630" s="3">
        <v>0</v>
      </c>
      <c r="N1630">
        <v>0</v>
      </c>
      <c r="O1630">
        <v>0</v>
      </c>
      <c r="P1630">
        <v>0</v>
      </c>
      <c r="Q1630">
        <v>0</v>
      </c>
      <c r="R1630" s="3">
        <v>0</v>
      </c>
      <c r="S1630" s="3">
        <v>0</v>
      </c>
      <c r="T1630">
        <v>0</v>
      </c>
      <c r="U1630">
        <v>0</v>
      </c>
      <c r="V1630" s="3">
        <v>0</v>
      </c>
      <c r="W1630" s="3">
        <v>0</v>
      </c>
      <c r="X1630">
        <v>0</v>
      </c>
      <c r="Y1630" t="s">
        <v>1319</v>
      </c>
    </row>
    <row r="1631" spans="1:25" hidden="1" x14ac:dyDescent="0.25">
      <c r="A1631" s="1" t="s">
        <v>31</v>
      </c>
      <c r="B1631" s="1" t="s">
        <v>104</v>
      </c>
      <c r="C1631" s="1" t="s">
        <v>32</v>
      </c>
      <c r="D1631" s="1" t="s">
        <v>27</v>
      </c>
      <c r="E1631" s="2">
        <v>45912</v>
      </c>
      <c r="F1631" s="2">
        <v>45912</v>
      </c>
      <c r="G1631" s="3">
        <v>43</v>
      </c>
      <c r="H1631" s="4" t="s">
        <v>28</v>
      </c>
      <c r="I1631">
        <v>102</v>
      </c>
      <c r="J1631">
        <v>0</v>
      </c>
      <c r="K1631">
        <v>0</v>
      </c>
      <c r="L1631" s="3">
        <v>0</v>
      </c>
      <c r="M1631" s="3">
        <v>0</v>
      </c>
      <c r="N1631">
        <v>0</v>
      </c>
      <c r="O1631">
        <v>0</v>
      </c>
      <c r="P1631">
        <v>0</v>
      </c>
      <c r="Q1631">
        <v>50</v>
      </c>
      <c r="R1631" s="3">
        <v>0</v>
      </c>
      <c r="S1631" s="3">
        <v>0</v>
      </c>
      <c r="T1631">
        <v>0</v>
      </c>
      <c r="U1631">
        <v>0</v>
      </c>
      <c r="V1631" s="3">
        <v>0</v>
      </c>
      <c r="W1631" s="3">
        <v>0</v>
      </c>
      <c r="X1631">
        <v>0</v>
      </c>
      <c r="Y1631" t="s">
        <v>1351</v>
      </c>
    </row>
    <row r="1632" spans="1:25" hidden="1" x14ac:dyDescent="0.25">
      <c r="A1632" s="1" t="s">
        <v>33</v>
      </c>
      <c r="B1632" s="1" t="s">
        <v>106</v>
      </c>
      <c r="C1632" s="1" t="s">
        <v>57</v>
      </c>
      <c r="D1632" s="1" t="s">
        <v>27</v>
      </c>
      <c r="E1632" s="2">
        <v>45912</v>
      </c>
      <c r="F1632" s="2">
        <v>45912</v>
      </c>
      <c r="G1632" s="3">
        <v>25</v>
      </c>
      <c r="H1632" s="4" t="s">
        <v>28</v>
      </c>
      <c r="I1632">
        <v>52</v>
      </c>
      <c r="J1632">
        <v>0</v>
      </c>
      <c r="K1632">
        <v>0</v>
      </c>
      <c r="L1632" s="3">
        <v>0</v>
      </c>
      <c r="M1632" s="3">
        <v>0</v>
      </c>
      <c r="N1632">
        <v>0</v>
      </c>
      <c r="O1632">
        <v>0</v>
      </c>
      <c r="P1632">
        <v>0</v>
      </c>
      <c r="Q1632">
        <v>20</v>
      </c>
      <c r="R1632" s="3">
        <v>0</v>
      </c>
      <c r="S1632" s="3">
        <v>0</v>
      </c>
      <c r="T1632">
        <v>0</v>
      </c>
      <c r="U1632">
        <v>0</v>
      </c>
      <c r="V1632" s="3">
        <v>0</v>
      </c>
      <c r="W1632" s="3">
        <v>0</v>
      </c>
      <c r="X1632">
        <v>0</v>
      </c>
      <c r="Y1632" t="s">
        <v>1352</v>
      </c>
    </row>
    <row r="1633" spans="1:25" hidden="1" x14ac:dyDescent="0.25">
      <c r="A1633" s="1" t="s">
        <v>40</v>
      </c>
      <c r="B1633" s="1" t="s">
        <v>110</v>
      </c>
      <c r="C1633" s="1" t="s">
        <v>27</v>
      </c>
      <c r="D1633" s="1" t="s">
        <v>27</v>
      </c>
      <c r="E1633" s="2">
        <v>45912</v>
      </c>
      <c r="F1633" s="2">
        <v>45912</v>
      </c>
      <c r="G1633" s="3">
        <v>745</v>
      </c>
      <c r="H1633" s="4" t="s">
        <v>28</v>
      </c>
      <c r="I1633">
        <v>54</v>
      </c>
      <c r="J1633">
        <v>0</v>
      </c>
      <c r="K1633">
        <v>0</v>
      </c>
      <c r="L1633" s="3">
        <v>1</v>
      </c>
      <c r="M1633" s="3">
        <v>0</v>
      </c>
      <c r="N1633">
        <v>1</v>
      </c>
      <c r="O1633">
        <v>0</v>
      </c>
      <c r="P1633">
        <v>0</v>
      </c>
      <c r="Q1633">
        <v>0</v>
      </c>
      <c r="R1633" s="3">
        <v>0</v>
      </c>
      <c r="S1633" s="3">
        <v>0</v>
      </c>
      <c r="T1633">
        <v>0</v>
      </c>
      <c r="U1633">
        <v>0</v>
      </c>
      <c r="V1633" s="3">
        <v>0</v>
      </c>
      <c r="W1633" s="3">
        <v>0</v>
      </c>
      <c r="X1633">
        <v>0</v>
      </c>
      <c r="Y1633" t="s">
        <v>1353</v>
      </c>
    </row>
    <row r="1634" spans="1:25" hidden="1" x14ac:dyDescent="0.25">
      <c r="A1634" s="1" t="s">
        <v>36</v>
      </c>
      <c r="B1634" s="1" t="s">
        <v>110</v>
      </c>
      <c r="C1634" s="1" t="s">
        <v>27</v>
      </c>
      <c r="D1634" s="1" t="s">
        <v>27</v>
      </c>
      <c r="E1634" s="2">
        <v>45912</v>
      </c>
      <c r="F1634" s="2">
        <v>45912</v>
      </c>
      <c r="G1634" s="3">
        <v>745</v>
      </c>
      <c r="H1634" s="4" t="s">
        <v>28</v>
      </c>
      <c r="I1634">
        <v>54</v>
      </c>
      <c r="J1634">
        <v>0</v>
      </c>
      <c r="K1634">
        <v>0</v>
      </c>
      <c r="L1634" s="3">
        <v>1</v>
      </c>
      <c r="M1634" s="3">
        <v>0</v>
      </c>
      <c r="N1634">
        <v>1</v>
      </c>
      <c r="O1634">
        <v>0</v>
      </c>
      <c r="P1634">
        <v>0</v>
      </c>
      <c r="Q1634">
        <v>0</v>
      </c>
      <c r="R1634" s="3">
        <v>0</v>
      </c>
      <c r="S1634" s="3">
        <v>0</v>
      </c>
      <c r="T1634">
        <v>0</v>
      </c>
      <c r="U1634">
        <v>0</v>
      </c>
      <c r="V1634" s="3">
        <v>0</v>
      </c>
      <c r="W1634" s="3">
        <v>0</v>
      </c>
      <c r="X1634">
        <v>0</v>
      </c>
      <c r="Y1634" t="s">
        <v>1353</v>
      </c>
    </row>
    <row r="1635" spans="1:25" hidden="1" x14ac:dyDescent="0.25">
      <c r="A1635" s="1" t="s">
        <v>41</v>
      </c>
      <c r="B1635" s="1" t="s">
        <v>112</v>
      </c>
      <c r="C1635" s="1" t="s">
        <v>42</v>
      </c>
      <c r="D1635" s="1" t="s">
        <v>27</v>
      </c>
      <c r="E1635" s="2">
        <v>45912</v>
      </c>
      <c r="F1635" s="2">
        <v>45912</v>
      </c>
      <c r="G1635" s="3">
        <v>40</v>
      </c>
      <c r="H1635" s="4" t="s">
        <v>28</v>
      </c>
      <c r="I1635">
        <v>97</v>
      </c>
      <c r="J1635">
        <v>0</v>
      </c>
      <c r="K1635">
        <v>0</v>
      </c>
      <c r="L1635" s="3">
        <v>1</v>
      </c>
      <c r="M1635" s="3">
        <v>0</v>
      </c>
      <c r="N1635">
        <v>0</v>
      </c>
      <c r="O1635">
        <v>0</v>
      </c>
      <c r="P1635">
        <v>0</v>
      </c>
      <c r="Q1635">
        <v>63</v>
      </c>
      <c r="R1635" s="3">
        <v>0</v>
      </c>
      <c r="S1635" s="3">
        <v>0</v>
      </c>
      <c r="T1635">
        <v>0</v>
      </c>
      <c r="U1635">
        <v>0</v>
      </c>
      <c r="V1635" s="3">
        <v>0</v>
      </c>
      <c r="W1635" s="3">
        <v>0</v>
      </c>
      <c r="X1635">
        <v>0</v>
      </c>
      <c r="Y1635" t="s">
        <v>1354</v>
      </c>
    </row>
    <row r="1636" spans="1:25" hidden="1" x14ac:dyDescent="0.25">
      <c r="A1636" s="1" t="s">
        <v>43</v>
      </c>
      <c r="B1636" s="1" t="s">
        <v>114</v>
      </c>
      <c r="C1636" s="1" t="s">
        <v>44</v>
      </c>
      <c r="D1636" s="1" t="s">
        <v>27</v>
      </c>
      <c r="E1636" s="2">
        <v>45912</v>
      </c>
      <c r="F1636" s="2">
        <v>45912</v>
      </c>
      <c r="G1636" s="3">
        <v>31</v>
      </c>
      <c r="H1636" s="4" t="s">
        <v>28</v>
      </c>
      <c r="I1636">
        <v>70</v>
      </c>
      <c r="J1636">
        <v>0</v>
      </c>
      <c r="K1636">
        <v>0</v>
      </c>
      <c r="L1636" s="3">
        <v>0</v>
      </c>
      <c r="M1636" s="3">
        <v>0</v>
      </c>
      <c r="N1636">
        <v>0</v>
      </c>
      <c r="O1636">
        <v>0</v>
      </c>
      <c r="P1636">
        <v>0</v>
      </c>
      <c r="Q1636">
        <v>0</v>
      </c>
      <c r="R1636" s="3">
        <v>0</v>
      </c>
      <c r="S1636" s="3">
        <v>0</v>
      </c>
      <c r="T1636">
        <v>0</v>
      </c>
      <c r="U1636">
        <v>0</v>
      </c>
      <c r="V1636" s="3">
        <v>0</v>
      </c>
      <c r="W1636" s="3">
        <v>0</v>
      </c>
      <c r="X1636">
        <v>0</v>
      </c>
      <c r="Y1636" t="s">
        <v>1355</v>
      </c>
    </row>
    <row r="1637" spans="1:25" hidden="1" x14ac:dyDescent="0.25">
      <c r="A1637" s="1" t="s">
        <v>47</v>
      </c>
      <c r="B1637" s="1" t="s">
        <v>137</v>
      </c>
      <c r="C1637" s="1" t="s">
        <v>27</v>
      </c>
      <c r="D1637" s="1" t="s">
        <v>27</v>
      </c>
      <c r="E1637" s="2">
        <v>45912</v>
      </c>
      <c r="F1637" s="2">
        <v>45912</v>
      </c>
      <c r="G1637" s="3">
        <v>65</v>
      </c>
      <c r="H1637" s="4" t="s">
        <v>28</v>
      </c>
      <c r="I1637">
        <v>124</v>
      </c>
      <c r="J1637">
        <v>0</v>
      </c>
      <c r="K1637">
        <v>0</v>
      </c>
      <c r="L1637" s="3">
        <v>0</v>
      </c>
      <c r="M1637" s="3">
        <v>0</v>
      </c>
      <c r="N1637">
        <v>1</v>
      </c>
      <c r="O1637">
        <v>0</v>
      </c>
      <c r="P1637">
        <v>0</v>
      </c>
      <c r="Q1637">
        <v>25</v>
      </c>
      <c r="R1637" s="3">
        <v>0</v>
      </c>
      <c r="S1637" s="3">
        <v>0</v>
      </c>
      <c r="T1637">
        <v>0</v>
      </c>
      <c r="U1637">
        <v>0</v>
      </c>
      <c r="V1637" s="3">
        <v>0</v>
      </c>
      <c r="W1637" s="3">
        <v>0</v>
      </c>
      <c r="X1637">
        <v>0</v>
      </c>
      <c r="Y1637" t="s">
        <v>1356</v>
      </c>
    </row>
    <row r="1638" spans="1:25" hidden="1" x14ac:dyDescent="0.25">
      <c r="A1638" s="1" t="s">
        <v>34</v>
      </c>
      <c r="B1638" s="1" t="s">
        <v>137</v>
      </c>
      <c r="C1638" s="1" t="s">
        <v>27</v>
      </c>
      <c r="D1638" s="1" t="s">
        <v>27</v>
      </c>
      <c r="E1638" s="2">
        <v>45912</v>
      </c>
      <c r="F1638" s="2">
        <v>45912</v>
      </c>
      <c r="G1638" s="3">
        <v>65</v>
      </c>
      <c r="H1638" s="4" t="s">
        <v>28</v>
      </c>
      <c r="I1638">
        <v>124</v>
      </c>
      <c r="J1638">
        <v>0</v>
      </c>
      <c r="K1638">
        <v>0</v>
      </c>
      <c r="L1638" s="3">
        <v>0</v>
      </c>
      <c r="M1638" s="3">
        <v>0</v>
      </c>
      <c r="N1638">
        <v>1</v>
      </c>
      <c r="O1638">
        <v>0</v>
      </c>
      <c r="P1638">
        <v>0</v>
      </c>
      <c r="Q1638">
        <v>25</v>
      </c>
      <c r="R1638" s="3">
        <v>0</v>
      </c>
      <c r="S1638" s="3">
        <v>0</v>
      </c>
      <c r="T1638">
        <v>0</v>
      </c>
      <c r="U1638">
        <v>0</v>
      </c>
      <c r="V1638" s="3">
        <v>0</v>
      </c>
      <c r="W1638" s="3">
        <v>0</v>
      </c>
      <c r="X1638">
        <v>0</v>
      </c>
      <c r="Y1638" t="s">
        <v>1356</v>
      </c>
    </row>
    <row r="1639" spans="1:25" hidden="1" x14ac:dyDescent="0.25">
      <c r="A1639" s="1" t="s">
        <v>49</v>
      </c>
      <c r="B1639" s="1" t="s">
        <v>118</v>
      </c>
      <c r="C1639" s="1" t="s">
        <v>50</v>
      </c>
      <c r="D1639" s="1" t="s">
        <v>27</v>
      </c>
      <c r="E1639" s="2">
        <v>45912</v>
      </c>
      <c r="F1639" s="2">
        <v>45912</v>
      </c>
      <c r="G1639" s="3">
        <v>29</v>
      </c>
      <c r="H1639" s="4" t="s">
        <v>28</v>
      </c>
      <c r="I1639">
        <v>45</v>
      </c>
      <c r="J1639">
        <v>0</v>
      </c>
      <c r="K1639">
        <v>0</v>
      </c>
      <c r="L1639" s="3">
        <v>1</v>
      </c>
      <c r="M1639" s="3">
        <v>1</v>
      </c>
      <c r="N1639">
        <v>0</v>
      </c>
      <c r="O1639">
        <v>1</v>
      </c>
      <c r="P1639">
        <v>0</v>
      </c>
      <c r="Q1639">
        <v>41</v>
      </c>
      <c r="R1639" s="3">
        <v>0</v>
      </c>
      <c r="S1639" s="3">
        <v>0</v>
      </c>
      <c r="T1639">
        <v>0</v>
      </c>
      <c r="U1639">
        <v>0</v>
      </c>
      <c r="V1639" s="3">
        <v>0</v>
      </c>
      <c r="W1639" s="3">
        <v>0</v>
      </c>
      <c r="X1639">
        <v>0</v>
      </c>
      <c r="Y1639" t="s">
        <v>1342</v>
      </c>
    </row>
    <row r="1640" spans="1:25" hidden="1" x14ac:dyDescent="0.25">
      <c r="A1640" s="1" t="s">
        <v>51</v>
      </c>
      <c r="B1640" s="1" t="s">
        <v>120</v>
      </c>
      <c r="C1640" s="1" t="s">
        <v>26</v>
      </c>
      <c r="D1640" s="1" t="s">
        <v>27</v>
      </c>
      <c r="E1640" s="2">
        <v>45912</v>
      </c>
      <c r="F1640" s="2">
        <v>45912</v>
      </c>
      <c r="G1640" s="3">
        <v>67</v>
      </c>
      <c r="H1640" s="4" t="s">
        <v>28</v>
      </c>
      <c r="I1640">
        <v>45</v>
      </c>
      <c r="J1640">
        <v>0</v>
      </c>
      <c r="K1640">
        <v>0</v>
      </c>
      <c r="L1640" s="3">
        <v>1</v>
      </c>
      <c r="M1640" s="3">
        <v>0</v>
      </c>
      <c r="N1640">
        <v>1</v>
      </c>
      <c r="O1640">
        <v>0</v>
      </c>
      <c r="P1640">
        <v>0</v>
      </c>
      <c r="Q1640">
        <v>0</v>
      </c>
      <c r="R1640" s="3">
        <v>0</v>
      </c>
      <c r="S1640" s="3">
        <v>0</v>
      </c>
      <c r="T1640">
        <v>0</v>
      </c>
      <c r="U1640">
        <v>0</v>
      </c>
      <c r="V1640" s="3">
        <v>0</v>
      </c>
      <c r="W1640" s="3">
        <v>0</v>
      </c>
      <c r="X1640">
        <v>0</v>
      </c>
      <c r="Y1640" t="s">
        <v>1357</v>
      </c>
    </row>
    <row r="1641" spans="1:25" hidden="1" x14ac:dyDescent="0.25">
      <c r="A1641" s="1" t="s">
        <v>54</v>
      </c>
      <c r="B1641" s="1" t="s">
        <v>122</v>
      </c>
      <c r="C1641" s="1" t="s">
        <v>52</v>
      </c>
      <c r="D1641" s="1" t="s">
        <v>27</v>
      </c>
      <c r="E1641" s="2">
        <v>45912</v>
      </c>
      <c r="F1641" s="2">
        <v>45912</v>
      </c>
      <c r="G1641" s="3">
        <v>36</v>
      </c>
      <c r="H1641" s="4" t="s">
        <v>28</v>
      </c>
      <c r="I1641">
        <v>48</v>
      </c>
      <c r="J1641">
        <v>0</v>
      </c>
      <c r="K1641">
        <v>0</v>
      </c>
      <c r="L1641" s="3">
        <v>0</v>
      </c>
      <c r="M1641" s="3">
        <v>0</v>
      </c>
      <c r="N1641">
        <v>0</v>
      </c>
      <c r="O1641">
        <v>0</v>
      </c>
      <c r="P1641">
        <v>0</v>
      </c>
      <c r="Q1641">
        <v>2</v>
      </c>
      <c r="R1641" s="3">
        <v>0</v>
      </c>
      <c r="S1641" s="3">
        <v>0</v>
      </c>
      <c r="T1641">
        <v>0</v>
      </c>
      <c r="U1641">
        <v>0</v>
      </c>
      <c r="V1641" s="3">
        <v>0</v>
      </c>
      <c r="W1641" s="3">
        <v>0</v>
      </c>
      <c r="X1641">
        <v>0</v>
      </c>
      <c r="Y1641" t="s">
        <v>1358</v>
      </c>
    </row>
    <row r="1642" spans="1:25" hidden="1" x14ac:dyDescent="0.25">
      <c r="A1642" s="1" t="s">
        <v>48</v>
      </c>
      <c r="B1642" s="1" t="s">
        <v>149</v>
      </c>
      <c r="C1642" s="1" t="s">
        <v>46</v>
      </c>
      <c r="D1642" s="1" t="s">
        <v>27</v>
      </c>
      <c r="E1642" s="2">
        <v>45912</v>
      </c>
      <c r="F1642" s="2">
        <v>45912</v>
      </c>
      <c r="G1642" s="3">
        <v>37</v>
      </c>
      <c r="H1642" s="4" t="s">
        <v>28</v>
      </c>
      <c r="I1642">
        <v>71</v>
      </c>
      <c r="J1642">
        <v>0</v>
      </c>
      <c r="K1642">
        <v>0</v>
      </c>
      <c r="L1642" s="3">
        <v>1</v>
      </c>
      <c r="M1642" s="3">
        <v>0</v>
      </c>
      <c r="N1642">
        <v>0</v>
      </c>
      <c r="O1642">
        <v>0</v>
      </c>
      <c r="P1642">
        <v>0</v>
      </c>
      <c r="Q1642">
        <v>0</v>
      </c>
      <c r="R1642" s="3">
        <v>0</v>
      </c>
      <c r="S1642" s="3">
        <v>0</v>
      </c>
      <c r="T1642">
        <v>0</v>
      </c>
      <c r="U1642">
        <v>0</v>
      </c>
      <c r="V1642" s="3">
        <v>0</v>
      </c>
      <c r="W1642" s="3">
        <v>0</v>
      </c>
      <c r="X1642">
        <v>0</v>
      </c>
      <c r="Y1642" t="s">
        <v>1359</v>
      </c>
    </row>
    <row r="1643" spans="1:25" hidden="1" x14ac:dyDescent="0.25">
      <c r="A1643" s="1" t="s">
        <v>53</v>
      </c>
      <c r="B1643" s="1" t="s">
        <v>142</v>
      </c>
      <c r="C1643" s="1" t="s">
        <v>39</v>
      </c>
      <c r="D1643" s="1" t="s">
        <v>27</v>
      </c>
      <c r="E1643" s="2">
        <v>45912</v>
      </c>
      <c r="F1643" s="2">
        <v>45912</v>
      </c>
      <c r="G1643" s="3">
        <v>34</v>
      </c>
      <c r="H1643" s="4" t="s">
        <v>28</v>
      </c>
      <c r="I1643">
        <v>34</v>
      </c>
      <c r="J1643">
        <v>0</v>
      </c>
      <c r="K1643">
        <v>0</v>
      </c>
      <c r="L1643" s="3">
        <v>1</v>
      </c>
      <c r="M1643" s="3">
        <v>0</v>
      </c>
      <c r="N1643">
        <v>0</v>
      </c>
      <c r="O1643">
        <v>0</v>
      </c>
      <c r="P1643">
        <v>0</v>
      </c>
      <c r="Q1643">
        <v>34</v>
      </c>
      <c r="R1643" s="3">
        <v>0</v>
      </c>
      <c r="S1643" s="3">
        <v>0</v>
      </c>
      <c r="T1643">
        <v>0</v>
      </c>
      <c r="U1643">
        <v>0</v>
      </c>
      <c r="V1643" s="3">
        <v>0</v>
      </c>
      <c r="W1643" s="3">
        <v>0</v>
      </c>
      <c r="X1643">
        <v>0</v>
      </c>
      <c r="Y1643" t="s">
        <v>1360</v>
      </c>
    </row>
    <row r="1644" spans="1:25" hidden="1" x14ac:dyDescent="0.25">
      <c r="A1644" s="1" t="s">
        <v>58</v>
      </c>
      <c r="B1644" s="1" t="s">
        <v>144</v>
      </c>
      <c r="C1644" s="1" t="s">
        <v>489</v>
      </c>
      <c r="D1644" s="1" t="s">
        <v>27</v>
      </c>
      <c r="E1644" s="2">
        <v>45912</v>
      </c>
      <c r="F1644" s="2">
        <v>45912</v>
      </c>
      <c r="G1644" s="3">
        <v>36</v>
      </c>
      <c r="H1644" s="4" t="s">
        <v>28</v>
      </c>
      <c r="I1644">
        <v>47</v>
      </c>
      <c r="J1644">
        <v>0</v>
      </c>
      <c r="K1644">
        <v>0</v>
      </c>
      <c r="L1644" s="3">
        <v>1</v>
      </c>
      <c r="M1644" s="3">
        <v>0</v>
      </c>
      <c r="N1644">
        <v>0</v>
      </c>
      <c r="O1644">
        <v>0</v>
      </c>
      <c r="P1644">
        <v>0</v>
      </c>
      <c r="Q1644">
        <v>0</v>
      </c>
      <c r="R1644" s="3">
        <v>0</v>
      </c>
      <c r="S1644" s="3">
        <v>0</v>
      </c>
      <c r="T1644">
        <v>0</v>
      </c>
      <c r="U1644">
        <v>0</v>
      </c>
      <c r="V1644" s="3">
        <v>0</v>
      </c>
      <c r="W1644" s="3">
        <v>0</v>
      </c>
      <c r="X1644">
        <v>0</v>
      </c>
      <c r="Y1644" t="s">
        <v>1361</v>
      </c>
    </row>
    <row r="1645" spans="1:25" hidden="1" x14ac:dyDescent="0.25">
      <c r="A1645" s="1" t="s">
        <v>27</v>
      </c>
      <c r="B1645" s="1" t="s">
        <v>106</v>
      </c>
      <c r="C1645" s="1" t="s">
        <v>55</v>
      </c>
      <c r="D1645" s="1" t="s">
        <v>27</v>
      </c>
      <c r="E1645" s="2">
        <v>45912</v>
      </c>
      <c r="F1645" s="2">
        <v>45912</v>
      </c>
      <c r="G1645" s="3">
        <v>37</v>
      </c>
      <c r="H1645" s="4" t="s">
        <v>763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5" hidden="1" x14ac:dyDescent="0.25">
      <c r="A1646" s="1" t="s">
        <v>27</v>
      </c>
      <c r="B1646" s="1" t="s">
        <v>182</v>
      </c>
      <c r="C1646" s="1" t="s">
        <v>438</v>
      </c>
      <c r="D1646" s="1" t="s">
        <v>27</v>
      </c>
      <c r="E1646" s="2">
        <v>45912</v>
      </c>
      <c r="F1646" s="2">
        <v>45912</v>
      </c>
      <c r="G1646" s="3">
        <v>38</v>
      </c>
      <c r="H1646" s="4" t="s">
        <v>1317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5" hidden="1" x14ac:dyDescent="0.25">
      <c r="A1647" s="1" t="s">
        <v>45</v>
      </c>
      <c r="B1647" s="1" t="s">
        <v>184</v>
      </c>
      <c r="C1647" s="1" t="s">
        <v>27</v>
      </c>
      <c r="D1647" s="1" t="s">
        <v>27</v>
      </c>
      <c r="E1647" s="2">
        <v>45912</v>
      </c>
      <c r="F1647" s="2">
        <v>45912</v>
      </c>
      <c r="G1647" s="3">
        <v>39</v>
      </c>
      <c r="H1647" s="4" t="s">
        <v>1256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5" hidden="1" x14ac:dyDescent="0.25">
      <c r="A1648" t="s">
        <v>41</v>
      </c>
      <c r="B1648" t="s">
        <v>112</v>
      </c>
      <c r="C1648" t="s">
        <v>42</v>
      </c>
      <c r="D1648" t="s">
        <v>27</v>
      </c>
      <c r="E1648" s="2">
        <v>45913</v>
      </c>
      <c r="F1648" s="2">
        <v>45913</v>
      </c>
      <c r="G1648" s="3">
        <v>76</v>
      </c>
      <c r="H1648" t="s">
        <v>28</v>
      </c>
      <c r="I1648">
        <v>0</v>
      </c>
      <c r="J1648">
        <v>0</v>
      </c>
      <c r="K1648">
        <v>0</v>
      </c>
      <c r="L1648" s="3">
        <v>0</v>
      </c>
      <c r="M1648" s="3">
        <v>0</v>
      </c>
      <c r="N1648">
        <v>0</v>
      </c>
      <c r="O1648">
        <v>0</v>
      </c>
      <c r="P1648">
        <v>0</v>
      </c>
      <c r="Q1648">
        <v>67</v>
      </c>
      <c r="R1648" s="3">
        <v>1</v>
      </c>
      <c r="S1648" s="3">
        <v>0</v>
      </c>
      <c r="T1648">
        <v>91</v>
      </c>
      <c r="U1648">
        <v>27</v>
      </c>
      <c r="V1648" s="3">
        <v>1</v>
      </c>
      <c r="W1648" s="3">
        <v>0</v>
      </c>
      <c r="X1648">
        <v>0</v>
      </c>
      <c r="Y1648" t="s">
        <v>1362</v>
      </c>
    </row>
    <row r="1649" spans="1:25" hidden="1" x14ac:dyDescent="0.25">
      <c r="A1649" t="s">
        <v>51</v>
      </c>
      <c r="B1649" t="s">
        <v>120</v>
      </c>
      <c r="C1649" t="s">
        <v>55</v>
      </c>
      <c r="D1649" t="s">
        <v>27</v>
      </c>
      <c r="E1649" s="2">
        <v>45913</v>
      </c>
      <c r="F1649" s="2">
        <v>45913</v>
      </c>
      <c r="G1649" s="3">
        <v>84</v>
      </c>
      <c r="H1649" t="s">
        <v>28</v>
      </c>
      <c r="I1649">
        <v>0</v>
      </c>
      <c r="J1649">
        <v>0</v>
      </c>
      <c r="K1649">
        <v>0</v>
      </c>
      <c r="L1649" s="3">
        <v>0</v>
      </c>
      <c r="M1649" s="3">
        <v>0</v>
      </c>
      <c r="N1649">
        <v>0</v>
      </c>
      <c r="O1649">
        <v>0</v>
      </c>
      <c r="P1649">
        <v>0</v>
      </c>
      <c r="Q1649">
        <v>0</v>
      </c>
      <c r="R1649" s="3">
        <v>1</v>
      </c>
      <c r="S1649" s="3">
        <v>0</v>
      </c>
      <c r="T1649">
        <v>4</v>
      </c>
      <c r="U1649">
        <v>43</v>
      </c>
      <c r="V1649" s="3">
        <v>1</v>
      </c>
      <c r="W1649" s="3">
        <v>0</v>
      </c>
      <c r="X1649">
        <v>0</v>
      </c>
      <c r="Y1649" t="s">
        <v>1363</v>
      </c>
    </row>
    <row r="1650" spans="1:25" hidden="1" x14ac:dyDescent="0.25">
      <c r="A1650" t="s">
        <v>33</v>
      </c>
      <c r="B1650" t="s">
        <v>106</v>
      </c>
      <c r="C1650" t="s">
        <v>55</v>
      </c>
      <c r="D1650" t="s">
        <v>27</v>
      </c>
      <c r="E1650" s="2">
        <v>45914</v>
      </c>
      <c r="F1650" s="2">
        <v>45914</v>
      </c>
      <c r="G1650" s="3">
        <v>77</v>
      </c>
      <c r="H1650" t="s">
        <v>28</v>
      </c>
      <c r="I1650">
        <v>0</v>
      </c>
      <c r="J1650">
        <v>0</v>
      </c>
      <c r="K1650">
        <v>0</v>
      </c>
      <c r="L1650" s="3">
        <v>0</v>
      </c>
      <c r="M1650" s="3">
        <v>0</v>
      </c>
      <c r="N1650">
        <v>0</v>
      </c>
      <c r="O1650">
        <v>0</v>
      </c>
      <c r="P1650">
        <v>0</v>
      </c>
      <c r="Q1650">
        <v>0</v>
      </c>
      <c r="R1650" s="3">
        <v>0</v>
      </c>
      <c r="S1650" s="3">
        <v>1</v>
      </c>
      <c r="T1650">
        <v>7</v>
      </c>
      <c r="U1650">
        <v>73</v>
      </c>
      <c r="V1650" s="3">
        <v>0</v>
      </c>
      <c r="W1650" s="3">
        <v>1</v>
      </c>
      <c r="X1650">
        <v>3</v>
      </c>
      <c r="Y1650" t="s">
        <v>1364</v>
      </c>
    </row>
    <row r="1651" spans="1:25" hidden="1" x14ac:dyDescent="0.25">
      <c r="A1651" t="s">
        <v>48</v>
      </c>
      <c r="B1651" t="s">
        <v>149</v>
      </c>
      <c r="C1651" t="s">
        <v>52</v>
      </c>
      <c r="D1651" t="s">
        <v>27</v>
      </c>
      <c r="E1651" s="2">
        <v>45914</v>
      </c>
      <c r="F1651" s="2">
        <v>45914</v>
      </c>
      <c r="G1651" s="3">
        <v>80</v>
      </c>
      <c r="H1651" t="s">
        <v>28</v>
      </c>
      <c r="I1651">
        <v>0</v>
      </c>
      <c r="J1651">
        <v>0</v>
      </c>
      <c r="K1651">
        <v>0</v>
      </c>
      <c r="L1651" s="3">
        <v>0</v>
      </c>
      <c r="M1651" s="3">
        <v>0</v>
      </c>
      <c r="N1651">
        <v>0</v>
      </c>
      <c r="O1651">
        <v>0</v>
      </c>
      <c r="P1651">
        <v>0</v>
      </c>
      <c r="Q1651">
        <v>0</v>
      </c>
      <c r="R1651" s="3">
        <v>0</v>
      </c>
      <c r="S1651" s="3">
        <v>1</v>
      </c>
      <c r="T1651">
        <v>9</v>
      </c>
      <c r="U1651">
        <v>115</v>
      </c>
      <c r="V1651" s="3">
        <v>0</v>
      </c>
      <c r="W1651" s="3">
        <v>1</v>
      </c>
      <c r="X1651">
        <v>0</v>
      </c>
      <c r="Y1651" t="s">
        <v>1365</v>
      </c>
    </row>
    <row r="1652" spans="1:25" hidden="1" x14ac:dyDescent="0.25">
      <c r="A1652" t="s">
        <v>41</v>
      </c>
      <c r="B1652" t="s">
        <v>112</v>
      </c>
      <c r="C1652" t="s">
        <v>42</v>
      </c>
      <c r="D1652" t="s">
        <v>27</v>
      </c>
      <c r="E1652" s="2">
        <v>45914</v>
      </c>
      <c r="F1652" s="2">
        <v>45914</v>
      </c>
      <c r="G1652" s="3">
        <v>76</v>
      </c>
      <c r="H1652" t="s">
        <v>28</v>
      </c>
      <c r="I1652">
        <v>0</v>
      </c>
      <c r="J1652">
        <v>0</v>
      </c>
      <c r="K1652">
        <v>0</v>
      </c>
      <c r="L1652" s="3">
        <v>0</v>
      </c>
      <c r="M1652" s="3">
        <v>0</v>
      </c>
      <c r="N1652">
        <v>0</v>
      </c>
      <c r="O1652">
        <v>0</v>
      </c>
      <c r="P1652">
        <v>0</v>
      </c>
      <c r="Q1652">
        <v>62</v>
      </c>
      <c r="R1652" s="3">
        <v>0</v>
      </c>
      <c r="S1652" s="3">
        <v>1</v>
      </c>
      <c r="T1652">
        <v>62</v>
      </c>
      <c r="U1652">
        <v>0</v>
      </c>
      <c r="V1652" s="3">
        <v>0</v>
      </c>
      <c r="W1652" s="3">
        <v>0</v>
      </c>
      <c r="X1652">
        <v>0</v>
      </c>
      <c r="Y1652" t="s">
        <v>1362</v>
      </c>
    </row>
    <row r="1653" spans="1:25" hidden="1" x14ac:dyDescent="0.25">
      <c r="A1653" t="s">
        <v>25</v>
      </c>
      <c r="B1653" t="s">
        <v>96</v>
      </c>
      <c r="C1653" t="s">
        <v>35</v>
      </c>
      <c r="D1653" t="s">
        <v>27</v>
      </c>
      <c r="E1653" s="2">
        <v>45915</v>
      </c>
      <c r="F1653" s="2">
        <v>45915</v>
      </c>
      <c r="G1653" s="3">
        <v>27</v>
      </c>
      <c r="H1653" s="4" t="s">
        <v>28</v>
      </c>
      <c r="I1653">
        <v>45</v>
      </c>
      <c r="J1653">
        <v>0</v>
      </c>
      <c r="K1653">
        <v>0</v>
      </c>
      <c r="L1653" s="3">
        <v>0</v>
      </c>
      <c r="M1653" s="3">
        <v>0</v>
      </c>
      <c r="N1653">
        <v>0</v>
      </c>
      <c r="O1653">
        <v>0</v>
      </c>
      <c r="P1653">
        <v>0</v>
      </c>
      <c r="Q1653">
        <v>0</v>
      </c>
      <c r="R1653" s="3">
        <v>0</v>
      </c>
      <c r="S1653" s="3">
        <v>0</v>
      </c>
      <c r="T1653">
        <v>0</v>
      </c>
      <c r="U1653">
        <v>0</v>
      </c>
      <c r="V1653" s="3">
        <v>0</v>
      </c>
      <c r="W1653" s="3">
        <v>0</v>
      </c>
      <c r="X1653">
        <v>0</v>
      </c>
      <c r="Y1653" t="s">
        <v>1366</v>
      </c>
    </row>
    <row r="1654" spans="1:25" hidden="1" x14ac:dyDescent="0.25">
      <c r="A1654" t="s">
        <v>56</v>
      </c>
      <c r="B1654" t="s">
        <v>98</v>
      </c>
      <c r="C1654" t="s">
        <v>37</v>
      </c>
      <c r="D1654" t="s">
        <v>27</v>
      </c>
      <c r="E1654" s="2">
        <v>45915</v>
      </c>
      <c r="F1654" s="2">
        <v>45915</v>
      </c>
      <c r="G1654" s="3">
        <v>30</v>
      </c>
      <c r="H1654" s="4" t="s">
        <v>28</v>
      </c>
      <c r="I1654">
        <v>95</v>
      </c>
      <c r="J1654">
        <v>0</v>
      </c>
      <c r="K1654">
        <v>0</v>
      </c>
      <c r="L1654" s="3">
        <v>1</v>
      </c>
      <c r="M1654" s="3">
        <v>0</v>
      </c>
      <c r="N1654">
        <v>0</v>
      </c>
      <c r="O1654">
        <v>0</v>
      </c>
      <c r="P1654">
        <v>0</v>
      </c>
      <c r="Q1654">
        <v>0</v>
      </c>
      <c r="R1654" s="3">
        <v>0</v>
      </c>
      <c r="S1654" s="3">
        <v>0</v>
      </c>
      <c r="T1654">
        <v>0</v>
      </c>
      <c r="U1654">
        <v>0</v>
      </c>
      <c r="V1654" s="3">
        <v>0</v>
      </c>
      <c r="W1654" s="3">
        <v>0</v>
      </c>
      <c r="X1654">
        <v>0</v>
      </c>
      <c r="Y1654" t="s">
        <v>1367</v>
      </c>
    </row>
    <row r="1655" spans="1:25" hidden="1" x14ac:dyDescent="0.25">
      <c r="A1655" t="s">
        <v>29</v>
      </c>
      <c r="B1655" t="s">
        <v>100</v>
      </c>
      <c r="C1655" t="s">
        <v>95</v>
      </c>
      <c r="D1655" t="s">
        <v>27</v>
      </c>
      <c r="E1655" s="2">
        <v>45915</v>
      </c>
      <c r="F1655" s="2">
        <v>45915</v>
      </c>
      <c r="G1655" s="3">
        <v>62</v>
      </c>
      <c r="H1655" s="4" t="s">
        <v>28</v>
      </c>
      <c r="I1655">
        <v>37</v>
      </c>
      <c r="J1655">
        <v>1</v>
      </c>
      <c r="K1655">
        <v>0</v>
      </c>
      <c r="L1655" s="3">
        <v>1</v>
      </c>
      <c r="M1655" s="3">
        <v>0</v>
      </c>
      <c r="N1655">
        <v>0</v>
      </c>
      <c r="O1655">
        <v>0</v>
      </c>
      <c r="P1655">
        <v>0</v>
      </c>
      <c r="Q1655">
        <v>0</v>
      </c>
      <c r="R1655" s="3">
        <v>0</v>
      </c>
      <c r="S1655" s="3">
        <v>0</v>
      </c>
      <c r="T1655">
        <v>0</v>
      </c>
      <c r="U1655">
        <v>0</v>
      </c>
      <c r="V1655" s="3">
        <v>0</v>
      </c>
      <c r="W1655" s="3">
        <v>0</v>
      </c>
      <c r="X1655">
        <v>0</v>
      </c>
      <c r="Y1655" t="s">
        <v>1368</v>
      </c>
    </row>
    <row r="1656" spans="1:25" hidden="1" x14ac:dyDescent="0.25">
      <c r="A1656" t="s">
        <v>31</v>
      </c>
      <c r="B1656" t="s">
        <v>104</v>
      </c>
      <c r="C1656" t="s">
        <v>32</v>
      </c>
      <c r="D1656" t="s">
        <v>27</v>
      </c>
      <c r="E1656" s="2">
        <v>45915</v>
      </c>
      <c r="F1656" s="2">
        <v>45915</v>
      </c>
      <c r="G1656" s="3">
        <v>65</v>
      </c>
      <c r="H1656" s="4" t="s">
        <v>28</v>
      </c>
      <c r="I1656">
        <v>117</v>
      </c>
      <c r="J1656">
        <v>2</v>
      </c>
      <c r="K1656">
        <v>0</v>
      </c>
      <c r="L1656" s="3">
        <v>0</v>
      </c>
      <c r="M1656" s="3">
        <v>0</v>
      </c>
      <c r="N1656">
        <v>0</v>
      </c>
      <c r="O1656">
        <v>0</v>
      </c>
      <c r="P1656">
        <v>0</v>
      </c>
      <c r="Q1656">
        <v>50</v>
      </c>
      <c r="R1656" s="3">
        <v>0</v>
      </c>
      <c r="S1656" s="3">
        <v>0</v>
      </c>
      <c r="T1656">
        <v>0</v>
      </c>
      <c r="U1656">
        <v>0</v>
      </c>
      <c r="V1656" s="3">
        <v>0</v>
      </c>
      <c r="W1656" s="3">
        <v>0</v>
      </c>
      <c r="X1656">
        <v>0</v>
      </c>
      <c r="Y1656" t="s">
        <v>1369</v>
      </c>
    </row>
    <row r="1657" spans="1:25" hidden="1" x14ac:dyDescent="0.25">
      <c r="A1657" t="s">
        <v>33</v>
      </c>
      <c r="B1657" t="s">
        <v>106</v>
      </c>
      <c r="C1657" t="s">
        <v>57</v>
      </c>
      <c r="D1657" t="s">
        <v>27</v>
      </c>
      <c r="E1657" s="2">
        <v>45915</v>
      </c>
      <c r="F1657" s="2">
        <v>45915</v>
      </c>
      <c r="G1657" s="3">
        <v>36</v>
      </c>
      <c r="H1657" s="4" t="s">
        <v>28</v>
      </c>
      <c r="I1657">
        <v>69</v>
      </c>
      <c r="J1657">
        <v>0</v>
      </c>
      <c r="K1657">
        <v>0</v>
      </c>
      <c r="L1657" s="3">
        <v>0</v>
      </c>
      <c r="M1657" s="3">
        <v>0</v>
      </c>
      <c r="N1657">
        <v>0</v>
      </c>
      <c r="O1657">
        <v>0</v>
      </c>
      <c r="P1657">
        <v>0</v>
      </c>
      <c r="Q1657">
        <v>20</v>
      </c>
      <c r="R1657" s="3">
        <v>0</v>
      </c>
      <c r="S1657" s="3">
        <v>0</v>
      </c>
      <c r="T1657">
        <v>0</v>
      </c>
      <c r="U1657">
        <v>0</v>
      </c>
      <c r="V1657" s="3">
        <v>0</v>
      </c>
      <c r="W1657" s="3">
        <v>0</v>
      </c>
      <c r="X1657">
        <v>0</v>
      </c>
      <c r="Y1657" t="s">
        <v>1370</v>
      </c>
    </row>
    <row r="1658" spans="1:25" hidden="1" x14ac:dyDescent="0.25">
      <c r="A1658" t="s">
        <v>38</v>
      </c>
      <c r="B1658" t="s">
        <v>108</v>
      </c>
      <c r="C1658" t="s">
        <v>27</v>
      </c>
      <c r="D1658" t="s">
        <v>27</v>
      </c>
      <c r="E1658" s="2">
        <v>45915</v>
      </c>
      <c r="F1658" s="2">
        <v>45915</v>
      </c>
      <c r="G1658" s="3">
        <v>48</v>
      </c>
      <c r="H1658" s="4" t="s">
        <v>28</v>
      </c>
      <c r="I1658">
        <v>38</v>
      </c>
      <c r="J1658">
        <v>0</v>
      </c>
      <c r="K1658">
        <v>0</v>
      </c>
      <c r="L1658" s="3">
        <v>0</v>
      </c>
      <c r="M1658" s="3">
        <v>0</v>
      </c>
      <c r="N1658">
        <v>0</v>
      </c>
      <c r="O1658">
        <v>0</v>
      </c>
      <c r="P1658">
        <v>0</v>
      </c>
      <c r="Q1658">
        <v>38</v>
      </c>
      <c r="R1658" s="3">
        <v>0</v>
      </c>
      <c r="S1658" s="3">
        <v>0</v>
      </c>
      <c r="T1658">
        <v>0</v>
      </c>
      <c r="U1658">
        <v>0</v>
      </c>
      <c r="V1658" s="3">
        <v>0</v>
      </c>
      <c r="W1658" s="3">
        <v>0</v>
      </c>
      <c r="X1658">
        <v>0</v>
      </c>
      <c r="Y1658" t="s">
        <v>1371</v>
      </c>
    </row>
    <row r="1659" spans="1:25" hidden="1" x14ac:dyDescent="0.25">
      <c r="A1659" t="s">
        <v>40</v>
      </c>
      <c r="B1659" t="s">
        <v>110</v>
      </c>
      <c r="C1659" t="s">
        <v>27</v>
      </c>
      <c r="D1659" t="s">
        <v>27</v>
      </c>
      <c r="E1659" s="2">
        <v>45915</v>
      </c>
      <c r="F1659" s="2">
        <v>45915</v>
      </c>
      <c r="G1659" s="3">
        <v>97</v>
      </c>
      <c r="H1659" s="4" t="s">
        <v>28</v>
      </c>
      <c r="I1659">
        <v>66</v>
      </c>
      <c r="J1659">
        <v>0</v>
      </c>
      <c r="K1659">
        <v>0</v>
      </c>
      <c r="L1659" s="3">
        <v>1</v>
      </c>
      <c r="M1659" s="3">
        <v>0</v>
      </c>
      <c r="N1659">
        <v>1</v>
      </c>
      <c r="O1659">
        <v>0</v>
      </c>
      <c r="P1659">
        <v>0</v>
      </c>
      <c r="Q1659">
        <v>0</v>
      </c>
      <c r="R1659" s="3">
        <v>0</v>
      </c>
      <c r="S1659" s="3">
        <v>0</v>
      </c>
      <c r="T1659">
        <v>0</v>
      </c>
      <c r="U1659">
        <v>0</v>
      </c>
      <c r="V1659" s="3">
        <v>0</v>
      </c>
      <c r="W1659" s="3">
        <v>0</v>
      </c>
      <c r="X1659">
        <v>0</v>
      </c>
      <c r="Y1659" t="s">
        <v>1372</v>
      </c>
    </row>
    <row r="1660" spans="1:25" hidden="1" x14ac:dyDescent="0.25">
      <c r="A1660" t="s">
        <v>36</v>
      </c>
      <c r="B1660" t="s">
        <v>110</v>
      </c>
      <c r="C1660" t="s">
        <v>27</v>
      </c>
      <c r="D1660" t="s">
        <v>27</v>
      </c>
      <c r="E1660" s="2">
        <v>45915</v>
      </c>
      <c r="F1660" s="2">
        <v>45915</v>
      </c>
      <c r="G1660" s="3">
        <v>97</v>
      </c>
      <c r="H1660" s="4" t="s">
        <v>28</v>
      </c>
      <c r="I1660">
        <v>66</v>
      </c>
      <c r="J1660">
        <v>0</v>
      </c>
      <c r="K1660">
        <v>0</v>
      </c>
      <c r="L1660" s="3">
        <v>1</v>
      </c>
      <c r="M1660" s="3">
        <v>0</v>
      </c>
      <c r="N1660">
        <v>1</v>
      </c>
      <c r="O1660">
        <v>0</v>
      </c>
      <c r="P1660">
        <v>0</v>
      </c>
      <c r="Q1660">
        <v>0</v>
      </c>
      <c r="R1660" s="3">
        <v>0</v>
      </c>
      <c r="S1660" s="3">
        <v>0</v>
      </c>
      <c r="T1660">
        <v>0</v>
      </c>
      <c r="U1660">
        <v>0</v>
      </c>
      <c r="V1660" s="3">
        <v>0</v>
      </c>
      <c r="W1660" s="3">
        <v>0</v>
      </c>
      <c r="X1660">
        <v>0</v>
      </c>
      <c r="Y1660" t="s">
        <v>1372</v>
      </c>
    </row>
    <row r="1661" spans="1:25" hidden="1" x14ac:dyDescent="0.25">
      <c r="A1661" t="s">
        <v>41</v>
      </c>
      <c r="B1661" t="s">
        <v>112</v>
      </c>
      <c r="C1661" t="s">
        <v>42</v>
      </c>
      <c r="D1661" t="s">
        <v>27</v>
      </c>
      <c r="E1661" s="2">
        <v>45915</v>
      </c>
      <c r="F1661" s="2">
        <v>45915</v>
      </c>
      <c r="G1661" s="3">
        <v>40</v>
      </c>
      <c r="H1661" s="4" t="s">
        <v>28</v>
      </c>
      <c r="I1661">
        <v>115</v>
      </c>
      <c r="J1661">
        <v>0</v>
      </c>
      <c r="K1661">
        <v>0</v>
      </c>
      <c r="L1661" s="3">
        <v>1</v>
      </c>
      <c r="M1661" s="3">
        <v>0</v>
      </c>
      <c r="N1661">
        <v>0</v>
      </c>
      <c r="O1661">
        <v>0</v>
      </c>
      <c r="P1661">
        <v>0</v>
      </c>
      <c r="Q1661">
        <v>66</v>
      </c>
      <c r="R1661" s="3">
        <v>0</v>
      </c>
      <c r="S1661" s="3">
        <v>0</v>
      </c>
      <c r="T1661">
        <v>0</v>
      </c>
      <c r="U1661">
        <v>0</v>
      </c>
      <c r="V1661" s="3">
        <v>0</v>
      </c>
      <c r="W1661" s="3">
        <v>0</v>
      </c>
      <c r="X1661">
        <v>0</v>
      </c>
      <c r="Y1661" t="s">
        <v>1373</v>
      </c>
    </row>
    <row r="1662" spans="1:25" hidden="1" x14ac:dyDescent="0.25">
      <c r="A1662" t="s">
        <v>43</v>
      </c>
      <c r="B1662" t="s">
        <v>114</v>
      </c>
      <c r="C1662" t="s">
        <v>44</v>
      </c>
      <c r="D1662" t="s">
        <v>27</v>
      </c>
      <c r="E1662" s="2">
        <v>45915</v>
      </c>
      <c r="F1662" s="2">
        <v>45915</v>
      </c>
      <c r="G1662" s="3">
        <v>28</v>
      </c>
      <c r="H1662" s="4" t="s">
        <v>28</v>
      </c>
      <c r="I1662">
        <v>67</v>
      </c>
      <c r="J1662">
        <v>0</v>
      </c>
      <c r="K1662">
        <v>0</v>
      </c>
      <c r="L1662" s="3">
        <v>0</v>
      </c>
      <c r="M1662" s="3">
        <v>0</v>
      </c>
      <c r="N1662">
        <v>0</v>
      </c>
      <c r="O1662">
        <v>0</v>
      </c>
      <c r="P1662">
        <v>0</v>
      </c>
      <c r="Q1662">
        <v>0</v>
      </c>
      <c r="R1662" s="3">
        <v>0</v>
      </c>
      <c r="S1662" s="3">
        <v>0</v>
      </c>
      <c r="T1662">
        <v>0</v>
      </c>
      <c r="U1662">
        <v>0</v>
      </c>
      <c r="V1662" s="3">
        <v>0</v>
      </c>
      <c r="W1662" s="3">
        <v>0</v>
      </c>
      <c r="X1662">
        <v>0</v>
      </c>
      <c r="Y1662" t="s">
        <v>1374</v>
      </c>
    </row>
    <row r="1663" spans="1:25" hidden="1" x14ac:dyDescent="0.25">
      <c r="A1663" t="s">
        <v>47</v>
      </c>
      <c r="B1663" t="s">
        <v>137</v>
      </c>
      <c r="C1663" t="s">
        <v>27</v>
      </c>
      <c r="D1663" t="s">
        <v>27</v>
      </c>
      <c r="E1663" s="2">
        <v>45915</v>
      </c>
      <c r="F1663" s="2">
        <v>45915</v>
      </c>
      <c r="G1663" s="3">
        <v>32</v>
      </c>
      <c r="H1663" s="4" t="s">
        <v>28</v>
      </c>
      <c r="I1663">
        <v>65</v>
      </c>
      <c r="J1663">
        <v>0</v>
      </c>
      <c r="K1663">
        <v>0</v>
      </c>
      <c r="L1663" s="3">
        <v>0</v>
      </c>
      <c r="M1663" s="3">
        <v>0</v>
      </c>
      <c r="N1663">
        <v>0</v>
      </c>
      <c r="O1663">
        <v>0</v>
      </c>
      <c r="P1663">
        <v>0</v>
      </c>
      <c r="Q1663">
        <v>0</v>
      </c>
      <c r="R1663" s="3">
        <v>0</v>
      </c>
      <c r="S1663" s="3">
        <v>0</v>
      </c>
      <c r="T1663">
        <v>0</v>
      </c>
      <c r="U1663">
        <v>0</v>
      </c>
      <c r="V1663" s="3">
        <v>0</v>
      </c>
      <c r="W1663" s="3">
        <v>0</v>
      </c>
      <c r="X1663">
        <v>0</v>
      </c>
      <c r="Y1663" t="s">
        <v>1375</v>
      </c>
    </row>
    <row r="1664" spans="1:25" hidden="1" x14ac:dyDescent="0.25">
      <c r="A1664" t="s">
        <v>34</v>
      </c>
      <c r="B1664" t="s">
        <v>137</v>
      </c>
      <c r="C1664" t="s">
        <v>27</v>
      </c>
      <c r="D1664" t="s">
        <v>27</v>
      </c>
      <c r="E1664" s="2">
        <v>45915</v>
      </c>
      <c r="F1664" s="2">
        <v>45915</v>
      </c>
      <c r="G1664" s="3">
        <v>32</v>
      </c>
      <c r="H1664" s="4" t="s">
        <v>28</v>
      </c>
      <c r="I1664">
        <v>65</v>
      </c>
      <c r="J1664">
        <v>0</v>
      </c>
      <c r="K1664">
        <v>0</v>
      </c>
      <c r="L1664" s="3">
        <v>0</v>
      </c>
      <c r="M1664" s="3">
        <v>0</v>
      </c>
      <c r="N1664">
        <v>0</v>
      </c>
      <c r="O1664">
        <v>0</v>
      </c>
      <c r="P1664">
        <v>0</v>
      </c>
      <c r="Q1664">
        <v>0</v>
      </c>
      <c r="R1664" s="3">
        <v>0</v>
      </c>
      <c r="S1664" s="3">
        <v>0</v>
      </c>
      <c r="T1664">
        <v>0</v>
      </c>
      <c r="U1664">
        <v>0</v>
      </c>
      <c r="V1664" s="3">
        <v>0</v>
      </c>
      <c r="W1664" s="3">
        <v>0</v>
      </c>
      <c r="X1664">
        <v>0</v>
      </c>
      <c r="Y1664" t="s">
        <v>1375</v>
      </c>
    </row>
    <row r="1665" spans="1:25" hidden="1" x14ac:dyDescent="0.25">
      <c r="A1665" t="s">
        <v>49</v>
      </c>
      <c r="B1665" t="s">
        <v>118</v>
      </c>
      <c r="C1665" t="s">
        <v>50</v>
      </c>
      <c r="D1665" t="s">
        <v>27</v>
      </c>
      <c r="E1665" s="2">
        <v>45915</v>
      </c>
      <c r="F1665" s="2">
        <v>45915</v>
      </c>
      <c r="G1665" s="3">
        <v>29</v>
      </c>
      <c r="H1665" s="4" t="s">
        <v>28</v>
      </c>
      <c r="I1665">
        <v>37</v>
      </c>
      <c r="J1665">
        <v>0</v>
      </c>
      <c r="K1665">
        <v>0</v>
      </c>
      <c r="L1665" s="3">
        <v>1</v>
      </c>
      <c r="M1665" s="3">
        <v>0</v>
      </c>
      <c r="N1665">
        <v>0</v>
      </c>
      <c r="O1665">
        <v>0</v>
      </c>
      <c r="P1665">
        <v>0</v>
      </c>
      <c r="Q1665">
        <v>37</v>
      </c>
      <c r="R1665" s="3">
        <v>0</v>
      </c>
      <c r="S1665" s="3">
        <v>0</v>
      </c>
      <c r="T1665">
        <v>0</v>
      </c>
      <c r="U1665">
        <v>0</v>
      </c>
      <c r="V1665" s="3">
        <v>0</v>
      </c>
      <c r="W1665" s="3">
        <v>0</v>
      </c>
      <c r="X1665">
        <v>0</v>
      </c>
      <c r="Y1665" t="s">
        <v>1376</v>
      </c>
    </row>
    <row r="1666" spans="1:25" hidden="1" x14ac:dyDescent="0.25">
      <c r="A1666" t="s">
        <v>51</v>
      </c>
      <c r="B1666" t="s">
        <v>120</v>
      </c>
      <c r="C1666" t="s">
        <v>55</v>
      </c>
      <c r="D1666" t="s">
        <v>27</v>
      </c>
      <c r="E1666" s="2">
        <v>45915</v>
      </c>
      <c r="F1666" s="2">
        <v>45915</v>
      </c>
      <c r="G1666" s="3">
        <v>63</v>
      </c>
      <c r="H1666" s="4" t="s">
        <v>28</v>
      </c>
      <c r="I1666">
        <v>40</v>
      </c>
      <c r="J1666">
        <v>0</v>
      </c>
      <c r="K1666">
        <v>0</v>
      </c>
      <c r="L1666" s="3">
        <v>0</v>
      </c>
      <c r="M1666" s="3">
        <v>0</v>
      </c>
      <c r="N1666">
        <v>1</v>
      </c>
      <c r="O1666">
        <v>0</v>
      </c>
      <c r="P1666">
        <v>0</v>
      </c>
      <c r="Q1666">
        <v>0</v>
      </c>
      <c r="R1666" s="3">
        <v>0</v>
      </c>
      <c r="S1666" s="3">
        <v>0</v>
      </c>
      <c r="T1666">
        <v>0</v>
      </c>
      <c r="U1666">
        <v>0</v>
      </c>
      <c r="V1666" s="3">
        <v>0</v>
      </c>
      <c r="W1666" s="3">
        <v>0</v>
      </c>
      <c r="X1666">
        <v>0</v>
      </c>
      <c r="Y1666" t="s">
        <v>1377</v>
      </c>
    </row>
    <row r="1667" spans="1:25" hidden="1" x14ac:dyDescent="0.25">
      <c r="A1667" t="s">
        <v>54</v>
      </c>
      <c r="B1667" t="s">
        <v>122</v>
      </c>
      <c r="C1667" t="s">
        <v>52</v>
      </c>
      <c r="D1667" t="s">
        <v>27</v>
      </c>
      <c r="E1667" s="2">
        <v>45915</v>
      </c>
      <c r="F1667" s="2">
        <v>45915</v>
      </c>
      <c r="G1667" s="3">
        <v>32</v>
      </c>
      <c r="H1667" s="4" t="s">
        <v>28</v>
      </c>
      <c r="I1667">
        <v>37</v>
      </c>
      <c r="J1667">
        <v>0</v>
      </c>
      <c r="K1667">
        <v>0</v>
      </c>
      <c r="L1667" s="3">
        <v>0</v>
      </c>
      <c r="M1667" s="3">
        <v>0</v>
      </c>
      <c r="N1667">
        <v>0</v>
      </c>
      <c r="O1667">
        <v>0</v>
      </c>
      <c r="P1667">
        <v>0</v>
      </c>
      <c r="Q1667">
        <v>2</v>
      </c>
      <c r="R1667" s="3">
        <v>0</v>
      </c>
      <c r="S1667" s="3">
        <v>0</v>
      </c>
      <c r="T1667">
        <v>0</v>
      </c>
      <c r="U1667">
        <v>0</v>
      </c>
      <c r="V1667" s="3">
        <v>0</v>
      </c>
      <c r="W1667" s="3">
        <v>0</v>
      </c>
      <c r="X1667">
        <v>0</v>
      </c>
      <c r="Y1667" t="s">
        <v>1378</v>
      </c>
    </row>
    <row r="1668" spans="1:25" hidden="1" x14ac:dyDescent="0.25">
      <c r="A1668" t="s">
        <v>48</v>
      </c>
      <c r="B1668" t="s">
        <v>149</v>
      </c>
      <c r="C1668" t="s">
        <v>46</v>
      </c>
      <c r="D1668" t="s">
        <v>27</v>
      </c>
      <c r="E1668" s="2">
        <v>45915</v>
      </c>
      <c r="F1668" s="2">
        <v>45915</v>
      </c>
      <c r="G1668" s="3">
        <v>39</v>
      </c>
      <c r="H1668" s="4" t="s">
        <v>28</v>
      </c>
      <c r="I1668">
        <v>77</v>
      </c>
      <c r="J1668">
        <v>0</v>
      </c>
      <c r="K1668">
        <v>0</v>
      </c>
      <c r="L1668" s="3">
        <v>1</v>
      </c>
      <c r="M1668" s="3">
        <v>0</v>
      </c>
      <c r="N1668">
        <v>0</v>
      </c>
      <c r="O1668">
        <v>0</v>
      </c>
      <c r="P1668">
        <v>0</v>
      </c>
      <c r="Q1668">
        <v>0</v>
      </c>
      <c r="R1668" s="3">
        <v>0</v>
      </c>
      <c r="S1668" s="3">
        <v>0</v>
      </c>
      <c r="T1668">
        <v>0</v>
      </c>
      <c r="U1668">
        <v>0</v>
      </c>
      <c r="V1668" s="3">
        <v>0</v>
      </c>
      <c r="W1668" s="3">
        <v>0</v>
      </c>
      <c r="X1668">
        <v>0</v>
      </c>
      <c r="Y1668" t="s">
        <v>1379</v>
      </c>
    </row>
    <row r="1669" spans="1:25" hidden="1" x14ac:dyDescent="0.25">
      <c r="A1669" t="s">
        <v>53</v>
      </c>
      <c r="B1669" t="s">
        <v>142</v>
      </c>
      <c r="C1669" t="s">
        <v>39</v>
      </c>
      <c r="D1669" t="s">
        <v>27</v>
      </c>
      <c r="E1669" s="2">
        <v>45915</v>
      </c>
      <c r="F1669" s="2">
        <v>45915</v>
      </c>
      <c r="G1669" s="3">
        <v>35</v>
      </c>
      <c r="H1669" s="4" t="s">
        <v>28</v>
      </c>
      <c r="I1669">
        <v>32</v>
      </c>
      <c r="J1669">
        <v>0</v>
      </c>
      <c r="K1669">
        <v>0</v>
      </c>
      <c r="L1669" s="3">
        <v>1</v>
      </c>
      <c r="M1669" s="3">
        <v>0</v>
      </c>
      <c r="N1669">
        <v>0</v>
      </c>
      <c r="O1669">
        <v>0</v>
      </c>
      <c r="P1669">
        <v>0</v>
      </c>
      <c r="Q1669">
        <v>32</v>
      </c>
      <c r="R1669" s="3">
        <v>0</v>
      </c>
      <c r="S1669" s="3">
        <v>0</v>
      </c>
      <c r="T1669">
        <v>0</v>
      </c>
      <c r="U1669">
        <v>0</v>
      </c>
      <c r="V1669" s="3">
        <v>0</v>
      </c>
      <c r="W1669" s="3">
        <v>0</v>
      </c>
      <c r="X1669">
        <v>0</v>
      </c>
      <c r="Y1669" t="s">
        <v>1380</v>
      </c>
    </row>
    <row r="1670" spans="1:25" ht="15.75" hidden="1" customHeight="1" x14ac:dyDescent="0.25">
      <c r="A1670" s="1" t="s">
        <v>58</v>
      </c>
      <c r="B1670" t="s">
        <v>144</v>
      </c>
      <c r="C1670" t="s">
        <v>489</v>
      </c>
      <c r="D1670" t="s">
        <v>27</v>
      </c>
      <c r="E1670" s="2">
        <v>45915</v>
      </c>
      <c r="F1670" s="2">
        <v>45915</v>
      </c>
      <c r="G1670" s="3">
        <v>22</v>
      </c>
      <c r="H1670" s="4" t="s">
        <v>28</v>
      </c>
      <c r="I1670">
        <v>65</v>
      </c>
      <c r="J1670">
        <v>0</v>
      </c>
      <c r="K1670">
        <v>0</v>
      </c>
      <c r="L1670" s="3">
        <v>1</v>
      </c>
      <c r="M1670" s="3">
        <v>0</v>
      </c>
      <c r="N1670">
        <v>0</v>
      </c>
      <c r="O1670">
        <v>0</v>
      </c>
      <c r="P1670">
        <v>0</v>
      </c>
      <c r="Q1670">
        <v>0</v>
      </c>
      <c r="R1670" s="3">
        <v>0</v>
      </c>
      <c r="S1670" s="3">
        <v>0</v>
      </c>
      <c r="T1670">
        <v>0</v>
      </c>
      <c r="U1670">
        <v>0</v>
      </c>
      <c r="V1670" s="3">
        <v>0</v>
      </c>
      <c r="W1670" s="3">
        <v>0</v>
      </c>
      <c r="X1670">
        <v>0</v>
      </c>
      <c r="Y1670" t="s">
        <v>1381</v>
      </c>
    </row>
    <row r="1671" spans="1:25" hidden="1" x14ac:dyDescent="0.25">
      <c r="A1671" t="s">
        <v>344</v>
      </c>
      <c r="B1671" t="s">
        <v>106</v>
      </c>
      <c r="C1671" t="s">
        <v>27</v>
      </c>
      <c r="D1671" t="s">
        <v>27</v>
      </c>
      <c r="E1671" s="2">
        <v>45915</v>
      </c>
      <c r="F1671" s="2">
        <v>45915</v>
      </c>
      <c r="G1671" s="3">
        <v>23</v>
      </c>
      <c r="H1671" s="4" t="s">
        <v>1256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1381</v>
      </c>
    </row>
    <row r="1672" spans="1:25" hidden="1" x14ac:dyDescent="0.25">
      <c r="A1672" t="s">
        <v>45</v>
      </c>
      <c r="B1672" t="s">
        <v>182</v>
      </c>
      <c r="C1672" t="s">
        <v>27</v>
      </c>
      <c r="D1672" t="s">
        <v>27</v>
      </c>
      <c r="E1672" s="2">
        <v>45915</v>
      </c>
      <c r="F1672" s="2">
        <v>45915</v>
      </c>
      <c r="G1672" s="3">
        <v>24</v>
      </c>
      <c r="H1672" s="4" t="s">
        <v>1256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1381</v>
      </c>
    </row>
    <row r="1673" spans="1:25" hidden="1" x14ac:dyDescent="0.25">
      <c r="A1673" t="s">
        <v>27</v>
      </c>
      <c r="B1673" t="s">
        <v>184</v>
      </c>
      <c r="C1673" t="s">
        <v>26</v>
      </c>
      <c r="D1673" t="s">
        <v>27</v>
      </c>
      <c r="E1673" s="2">
        <v>45915</v>
      </c>
      <c r="F1673" s="2">
        <v>45915</v>
      </c>
      <c r="G1673" s="3">
        <v>25</v>
      </c>
      <c r="H1673" s="4" t="s">
        <v>1448</v>
      </c>
      <c r="I1673">
        <v>0</v>
      </c>
      <c r="J1673">
        <v>0</v>
      </c>
      <c r="K1673">
        <v>0</v>
      </c>
      <c r="L1673" s="3">
        <v>0</v>
      </c>
      <c r="M1673" s="3">
        <v>0</v>
      </c>
      <c r="N1673">
        <v>0</v>
      </c>
      <c r="O1673">
        <v>0</v>
      </c>
      <c r="P1673">
        <v>0</v>
      </c>
      <c r="Q1673">
        <v>0</v>
      </c>
      <c r="R1673" s="3">
        <v>0</v>
      </c>
      <c r="S1673" s="3">
        <v>0</v>
      </c>
      <c r="T1673">
        <v>0</v>
      </c>
      <c r="U1673">
        <v>0</v>
      </c>
      <c r="V1673" s="3">
        <v>0</v>
      </c>
      <c r="W1673" s="3">
        <v>0</v>
      </c>
      <c r="X1673" s="3">
        <v>0</v>
      </c>
    </row>
    <row r="1674" spans="1:25" hidden="1" x14ac:dyDescent="0.25">
      <c r="A1674" t="s">
        <v>25</v>
      </c>
      <c r="B1674" t="s">
        <v>96</v>
      </c>
      <c r="C1674" t="s">
        <v>35</v>
      </c>
      <c r="D1674" t="s">
        <v>27</v>
      </c>
      <c r="E1674" s="2">
        <v>45916</v>
      </c>
      <c r="F1674" s="2">
        <v>45916</v>
      </c>
      <c r="G1674" s="3">
        <v>54</v>
      </c>
      <c r="H1674" s="4" t="s">
        <v>28</v>
      </c>
      <c r="I1674">
        <v>45</v>
      </c>
      <c r="J1674">
        <v>0</v>
      </c>
      <c r="K1674">
        <v>0</v>
      </c>
      <c r="L1674" s="3">
        <v>0</v>
      </c>
      <c r="M1674" s="3">
        <v>0</v>
      </c>
      <c r="N1674">
        <v>0</v>
      </c>
      <c r="O1674">
        <v>0</v>
      </c>
      <c r="P1674">
        <v>0</v>
      </c>
      <c r="Q1674">
        <v>0</v>
      </c>
      <c r="R1674" s="3">
        <v>0</v>
      </c>
      <c r="S1674" s="3">
        <v>0</v>
      </c>
      <c r="T1674">
        <v>0</v>
      </c>
      <c r="U1674">
        <v>0</v>
      </c>
      <c r="V1674" s="3">
        <v>0</v>
      </c>
      <c r="W1674" s="3">
        <v>0</v>
      </c>
      <c r="X1674">
        <v>0</v>
      </c>
      <c r="Y1674" t="s">
        <v>1382</v>
      </c>
    </row>
    <row r="1675" spans="1:25" hidden="1" x14ac:dyDescent="0.25">
      <c r="A1675" t="s">
        <v>56</v>
      </c>
      <c r="B1675" t="s">
        <v>98</v>
      </c>
      <c r="C1675" t="s">
        <v>37</v>
      </c>
      <c r="D1675" t="s">
        <v>27</v>
      </c>
      <c r="E1675" s="2">
        <v>45916</v>
      </c>
      <c r="F1675" s="2">
        <v>45916</v>
      </c>
      <c r="G1675" s="3">
        <v>29</v>
      </c>
      <c r="H1675" s="4" t="s">
        <v>28</v>
      </c>
      <c r="I1675">
        <v>45</v>
      </c>
      <c r="J1675">
        <v>0</v>
      </c>
      <c r="K1675">
        <v>0</v>
      </c>
      <c r="L1675" s="3">
        <v>1</v>
      </c>
      <c r="M1675" s="3">
        <v>0</v>
      </c>
      <c r="N1675">
        <v>0</v>
      </c>
      <c r="O1675">
        <v>0</v>
      </c>
      <c r="P1675">
        <v>0</v>
      </c>
      <c r="Q1675">
        <v>5</v>
      </c>
      <c r="R1675" s="3">
        <v>0</v>
      </c>
      <c r="S1675" s="3">
        <v>0</v>
      </c>
      <c r="T1675">
        <v>0</v>
      </c>
      <c r="U1675">
        <v>0</v>
      </c>
      <c r="V1675" s="3">
        <v>0</v>
      </c>
      <c r="W1675" s="3">
        <v>0</v>
      </c>
      <c r="X1675">
        <v>0</v>
      </c>
      <c r="Y1675" t="s">
        <v>1383</v>
      </c>
    </row>
    <row r="1676" spans="1:25" hidden="1" x14ac:dyDescent="0.25">
      <c r="A1676" t="s">
        <v>29</v>
      </c>
      <c r="B1676" t="s">
        <v>100</v>
      </c>
      <c r="C1676" t="s">
        <v>95</v>
      </c>
      <c r="D1676" t="s">
        <v>27</v>
      </c>
      <c r="E1676" s="2">
        <v>45916</v>
      </c>
      <c r="F1676" s="2">
        <v>45916</v>
      </c>
      <c r="G1676" s="3">
        <v>55</v>
      </c>
      <c r="H1676" s="4" t="s">
        <v>28</v>
      </c>
      <c r="I1676">
        <v>62</v>
      </c>
      <c r="J1676">
        <v>0</v>
      </c>
      <c r="K1676">
        <v>0</v>
      </c>
      <c r="L1676" s="3">
        <v>0</v>
      </c>
      <c r="M1676" s="3">
        <v>0</v>
      </c>
      <c r="N1676">
        <v>0</v>
      </c>
      <c r="O1676">
        <v>0</v>
      </c>
      <c r="P1676">
        <v>0</v>
      </c>
      <c r="Q1676">
        <v>17</v>
      </c>
      <c r="R1676" s="3">
        <v>0</v>
      </c>
      <c r="S1676" s="3">
        <v>0</v>
      </c>
      <c r="T1676">
        <v>0</v>
      </c>
      <c r="U1676">
        <v>0</v>
      </c>
      <c r="V1676" s="3">
        <v>0</v>
      </c>
      <c r="W1676" s="3">
        <v>0</v>
      </c>
      <c r="X1676">
        <v>0</v>
      </c>
      <c r="Y1676" t="s">
        <v>1384</v>
      </c>
    </row>
    <row r="1677" spans="1:25" hidden="1" x14ac:dyDescent="0.25">
      <c r="A1677" t="s">
        <v>33</v>
      </c>
      <c r="B1677" t="s">
        <v>106</v>
      </c>
      <c r="C1677" t="s">
        <v>26</v>
      </c>
      <c r="D1677" t="s">
        <v>27</v>
      </c>
      <c r="E1677" s="2">
        <v>45915</v>
      </c>
      <c r="F1677" s="2">
        <v>45915</v>
      </c>
      <c r="G1677" s="3">
        <v>36</v>
      </c>
      <c r="H1677" s="4" t="s">
        <v>28</v>
      </c>
      <c r="I1677">
        <v>69</v>
      </c>
      <c r="J1677">
        <v>0</v>
      </c>
      <c r="K1677">
        <v>0</v>
      </c>
      <c r="L1677" s="3">
        <v>0</v>
      </c>
      <c r="M1677" s="3">
        <v>0</v>
      </c>
      <c r="N1677">
        <v>0</v>
      </c>
      <c r="O1677">
        <v>0</v>
      </c>
      <c r="P1677">
        <v>0</v>
      </c>
      <c r="Q1677">
        <v>20</v>
      </c>
      <c r="R1677" s="3">
        <v>0</v>
      </c>
      <c r="S1677" s="3">
        <v>0</v>
      </c>
      <c r="T1677">
        <v>0</v>
      </c>
      <c r="U1677">
        <v>0</v>
      </c>
      <c r="V1677" s="3">
        <v>0</v>
      </c>
      <c r="W1677" s="3">
        <v>0</v>
      </c>
      <c r="X1677">
        <v>0</v>
      </c>
      <c r="Y1677" t="s">
        <v>1370</v>
      </c>
    </row>
    <row r="1678" spans="1:25" hidden="1" x14ac:dyDescent="0.25">
      <c r="A1678" t="s">
        <v>31</v>
      </c>
      <c r="B1678" t="s">
        <v>104</v>
      </c>
      <c r="C1678" t="s">
        <v>32</v>
      </c>
      <c r="D1678" t="s">
        <v>27</v>
      </c>
      <c r="E1678" s="2">
        <v>45916</v>
      </c>
      <c r="F1678" s="2">
        <v>45916</v>
      </c>
      <c r="G1678" s="3">
        <v>36</v>
      </c>
      <c r="H1678" s="4" t="s">
        <v>28</v>
      </c>
      <c r="I1678">
        <v>88</v>
      </c>
      <c r="J1678">
        <v>0</v>
      </c>
      <c r="K1678">
        <v>0</v>
      </c>
      <c r="L1678" s="3">
        <v>0</v>
      </c>
      <c r="M1678" s="3">
        <v>0</v>
      </c>
      <c r="N1678">
        <v>0</v>
      </c>
      <c r="O1678">
        <v>0</v>
      </c>
      <c r="P1678">
        <v>0</v>
      </c>
      <c r="Q1678">
        <v>50</v>
      </c>
      <c r="R1678" s="3">
        <v>0</v>
      </c>
      <c r="S1678" s="3">
        <v>0</v>
      </c>
      <c r="T1678">
        <v>0</v>
      </c>
      <c r="U1678">
        <v>0</v>
      </c>
      <c r="V1678" s="3">
        <v>0</v>
      </c>
      <c r="W1678" s="3">
        <v>0</v>
      </c>
      <c r="X1678">
        <v>0</v>
      </c>
      <c r="Y1678" t="s">
        <v>1385</v>
      </c>
    </row>
    <row r="1679" spans="1:25" hidden="1" x14ac:dyDescent="0.25">
      <c r="A1679" t="s">
        <v>38</v>
      </c>
      <c r="B1679" t="s">
        <v>108</v>
      </c>
      <c r="C1679" t="s">
        <v>27</v>
      </c>
      <c r="D1679" t="s">
        <v>27</v>
      </c>
      <c r="E1679" s="2">
        <v>45916</v>
      </c>
      <c r="F1679" s="2">
        <v>45916</v>
      </c>
      <c r="G1679" s="3">
        <v>44</v>
      </c>
      <c r="H1679" s="4" t="s">
        <v>28</v>
      </c>
      <c r="I1679">
        <v>30</v>
      </c>
      <c r="J1679">
        <v>0</v>
      </c>
      <c r="K1679">
        <v>0</v>
      </c>
      <c r="L1679" s="3">
        <v>0</v>
      </c>
      <c r="M1679" s="3">
        <v>0</v>
      </c>
      <c r="N1679">
        <v>0</v>
      </c>
      <c r="O1679">
        <v>0</v>
      </c>
      <c r="P1679">
        <v>0</v>
      </c>
      <c r="Q1679">
        <v>30</v>
      </c>
      <c r="R1679" s="3">
        <v>0</v>
      </c>
      <c r="S1679" s="3">
        <v>0</v>
      </c>
      <c r="T1679">
        <v>0</v>
      </c>
      <c r="U1679">
        <v>0</v>
      </c>
      <c r="V1679" s="3">
        <v>0</v>
      </c>
      <c r="W1679" s="3">
        <v>0</v>
      </c>
      <c r="X1679">
        <v>0</v>
      </c>
      <c r="Y1679" t="s">
        <v>1386</v>
      </c>
    </row>
    <row r="1680" spans="1:25" hidden="1" x14ac:dyDescent="0.25">
      <c r="A1680" t="s">
        <v>40</v>
      </c>
      <c r="B1680" t="s">
        <v>110</v>
      </c>
      <c r="C1680" t="s">
        <v>27</v>
      </c>
      <c r="D1680" t="s">
        <v>27</v>
      </c>
      <c r="E1680" s="2">
        <v>45916</v>
      </c>
      <c r="F1680" s="2">
        <v>45916</v>
      </c>
      <c r="G1680" s="3">
        <v>116</v>
      </c>
      <c r="H1680" s="4" t="s">
        <v>28</v>
      </c>
      <c r="I1680">
        <v>26</v>
      </c>
      <c r="J1680">
        <v>0</v>
      </c>
      <c r="K1680">
        <v>0</v>
      </c>
      <c r="L1680" s="3">
        <v>1</v>
      </c>
      <c r="M1680" s="3">
        <v>0</v>
      </c>
      <c r="N1680">
        <v>0</v>
      </c>
      <c r="O1680">
        <v>0</v>
      </c>
      <c r="P1680">
        <v>0</v>
      </c>
      <c r="Q1680">
        <v>0</v>
      </c>
      <c r="R1680" s="3">
        <v>0</v>
      </c>
      <c r="S1680" s="3">
        <v>0</v>
      </c>
      <c r="T1680">
        <v>0</v>
      </c>
      <c r="U1680">
        <v>0</v>
      </c>
      <c r="V1680" s="3">
        <v>0</v>
      </c>
      <c r="W1680" s="3">
        <v>0</v>
      </c>
      <c r="X1680">
        <v>0</v>
      </c>
      <c r="Y1680" t="s">
        <v>1387</v>
      </c>
    </row>
    <row r="1681" spans="1:25" hidden="1" x14ac:dyDescent="0.25">
      <c r="A1681" t="s">
        <v>36</v>
      </c>
      <c r="B1681" t="s">
        <v>110</v>
      </c>
      <c r="C1681" t="s">
        <v>27</v>
      </c>
      <c r="D1681" t="s">
        <v>27</v>
      </c>
      <c r="E1681" s="2">
        <v>45916</v>
      </c>
      <c r="F1681" s="2">
        <v>45916</v>
      </c>
      <c r="G1681" s="3">
        <v>116</v>
      </c>
      <c r="H1681" s="4" t="s">
        <v>28</v>
      </c>
      <c r="I1681">
        <v>26</v>
      </c>
      <c r="J1681">
        <v>0</v>
      </c>
      <c r="K1681">
        <v>0</v>
      </c>
      <c r="L1681" s="3">
        <v>1</v>
      </c>
      <c r="M1681" s="3">
        <v>0</v>
      </c>
      <c r="N1681">
        <v>0</v>
      </c>
      <c r="O1681">
        <v>0</v>
      </c>
      <c r="P1681">
        <v>0</v>
      </c>
      <c r="Q1681">
        <v>0</v>
      </c>
      <c r="R1681" s="3">
        <v>0</v>
      </c>
      <c r="S1681" s="3">
        <v>0</v>
      </c>
      <c r="T1681">
        <v>0</v>
      </c>
      <c r="U1681">
        <v>0</v>
      </c>
      <c r="V1681" s="3">
        <v>0</v>
      </c>
      <c r="W1681" s="3">
        <v>0</v>
      </c>
      <c r="X1681">
        <v>0</v>
      </c>
      <c r="Y1681" t="s">
        <v>1387</v>
      </c>
    </row>
    <row r="1682" spans="1:25" hidden="1" x14ac:dyDescent="0.25">
      <c r="A1682" t="s">
        <v>41</v>
      </c>
      <c r="B1682" t="s">
        <v>112</v>
      </c>
      <c r="C1682" t="s">
        <v>42</v>
      </c>
      <c r="D1682" t="s">
        <v>27</v>
      </c>
      <c r="E1682" s="2">
        <v>45916</v>
      </c>
      <c r="F1682" s="2">
        <v>45916</v>
      </c>
      <c r="G1682" s="3">
        <v>29</v>
      </c>
      <c r="H1682" s="4" t="s">
        <v>28</v>
      </c>
      <c r="I1682">
        <v>104</v>
      </c>
      <c r="J1682">
        <v>0</v>
      </c>
      <c r="K1682">
        <v>0</v>
      </c>
      <c r="L1682" s="3">
        <v>1</v>
      </c>
      <c r="M1682" s="3">
        <v>0</v>
      </c>
      <c r="N1682">
        <v>0</v>
      </c>
      <c r="O1682">
        <v>0</v>
      </c>
      <c r="P1682">
        <v>0</v>
      </c>
      <c r="Q1682">
        <v>63</v>
      </c>
      <c r="R1682" s="3">
        <v>0</v>
      </c>
      <c r="S1682" s="3">
        <v>0</v>
      </c>
      <c r="T1682">
        <v>0</v>
      </c>
      <c r="U1682">
        <v>0</v>
      </c>
      <c r="V1682" s="3">
        <v>0</v>
      </c>
      <c r="W1682" s="3">
        <v>0</v>
      </c>
      <c r="X1682">
        <v>0</v>
      </c>
      <c r="Y1682" t="s">
        <v>1388</v>
      </c>
    </row>
    <row r="1683" spans="1:25" hidden="1" x14ac:dyDescent="0.25">
      <c r="A1683" t="s">
        <v>43</v>
      </c>
      <c r="B1683" t="s">
        <v>114</v>
      </c>
      <c r="C1683" t="s">
        <v>44</v>
      </c>
      <c r="D1683" t="s">
        <v>27</v>
      </c>
      <c r="E1683" s="2">
        <v>45916</v>
      </c>
      <c r="F1683" s="2">
        <v>45916</v>
      </c>
      <c r="G1683" s="3">
        <v>23</v>
      </c>
      <c r="H1683" s="4" t="s">
        <v>28</v>
      </c>
      <c r="I1683">
        <v>72</v>
      </c>
      <c r="J1683">
        <v>0</v>
      </c>
      <c r="K1683">
        <v>0</v>
      </c>
      <c r="L1683" s="3">
        <v>1</v>
      </c>
      <c r="M1683" s="3">
        <v>0</v>
      </c>
      <c r="N1683">
        <v>0</v>
      </c>
      <c r="O1683">
        <v>0</v>
      </c>
      <c r="P1683">
        <v>0</v>
      </c>
      <c r="Q1683">
        <v>0</v>
      </c>
      <c r="R1683" s="3">
        <v>0</v>
      </c>
      <c r="S1683" s="3">
        <v>0</v>
      </c>
      <c r="T1683">
        <v>0</v>
      </c>
      <c r="U1683">
        <v>0</v>
      </c>
      <c r="V1683" s="3">
        <v>0</v>
      </c>
      <c r="W1683" s="3">
        <v>0</v>
      </c>
      <c r="X1683">
        <v>0</v>
      </c>
      <c r="Y1683" t="s">
        <v>1389</v>
      </c>
    </row>
    <row r="1684" spans="1:25" hidden="1" x14ac:dyDescent="0.25">
      <c r="A1684" t="s">
        <v>49</v>
      </c>
      <c r="B1684" t="s">
        <v>118</v>
      </c>
      <c r="C1684" t="s">
        <v>50</v>
      </c>
      <c r="D1684" t="s">
        <v>27</v>
      </c>
      <c r="E1684" s="2">
        <v>45916</v>
      </c>
      <c r="F1684" s="2">
        <v>45916</v>
      </c>
      <c r="G1684" s="3">
        <v>29</v>
      </c>
      <c r="H1684" s="4" t="s">
        <v>28</v>
      </c>
      <c r="I1684">
        <v>37</v>
      </c>
      <c r="J1684">
        <v>0</v>
      </c>
      <c r="K1684">
        <v>0</v>
      </c>
      <c r="L1684" s="3">
        <v>1</v>
      </c>
      <c r="M1684" s="3">
        <v>0</v>
      </c>
      <c r="N1684">
        <v>0</v>
      </c>
      <c r="O1684">
        <v>0</v>
      </c>
      <c r="P1684">
        <v>0</v>
      </c>
      <c r="Q1684">
        <v>37</v>
      </c>
      <c r="R1684" s="3">
        <v>0</v>
      </c>
      <c r="S1684" s="3">
        <v>0</v>
      </c>
      <c r="T1684">
        <v>0</v>
      </c>
      <c r="U1684">
        <v>0</v>
      </c>
      <c r="V1684" s="3">
        <v>0</v>
      </c>
      <c r="W1684" s="3">
        <v>0</v>
      </c>
      <c r="X1684">
        <v>0</v>
      </c>
      <c r="Y1684" t="s">
        <v>1376</v>
      </c>
    </row>
    <row r="1685" spans="1:25" hidden="1" x14ac:dyDescent="0.25">
      <c r="A1685" t="s">
        <v>47</v>
      </c>
      <c r="B1685" t="s">
        <v>137</v>
      </c>
      <c r="C1685" t="s">
        <v>27</v>
      </c>
      <c r="D1685" t="s">
        <v>27</v>
      </c>
      <c r="E1685" s="2">
        <v>45916</v>
      </c>
      <c r="F1685" s="2">
        <v>45916</v>
      </c>
      <c r="G1685" s="3">
        <v>29</v>
      </c>
      <c r="H1685" s="4" t="s">
        <v>28</v>
      </c>
      <c r="I1685">
        <v>53</v>
      </c>
      <c r="J1685">
        <v>0</v>
      </c>
      <c r="K1685">
        <v>0</v>
      </c>
      <c r="L1685" s="3">
        <v>0</v>
      </c>
      <c r="M1685" s="3">
        <v>0</v>
      </c>
      <c r="N1685">
        <v>0</v>
      </c>
      <c r="O1685">
        <v>0</v>
      </c>
      <c r="P1685">
        <v>2</v>
      </c>
      <c r="Q1685">
        <v>15</v>
      </c>
      <c r="R1685" s="3">
        <v>0</v>
      </c>
      <c r="S1685" s="3">
        <v>0</v>
      </c>
      <c r="T1685">
        <v>0</v>
      </c>
      <c r="U1685">
        <v>0</v>
      </c>
      <c r="V1685" s="3">
        <v>0</v>
      </c>
      <c r="W1685" s="3">
        <v>0</v>
      </c>
      <c r="X1685">
        <v>0</v>
      </c>
      <c r="Y1685" t="s">
        <v>1390</v>
      </c>
    </row>
    <row r="1686" spans="1:25" hidden="1" x14ac:dyDescent="0.25">
      <c r="A1686" t="s">
        <v>34</v>
      </c>
      <c r="B1686" t="s">
        <v>137</v>
      </c>
      <c r="C1686" t="s">
        <v>27</v>
      </c>
      <c r="D1686" t="s">
        <v>27</v>
      </c>
      <c r="E1686" s="2">
        <v>45916</v>
      </c>
      <c r="F1686" s="2">
        <v>45916</v>
      </c>
      <c r="G1686" s="3">
        <v>29</v>
      </c>
      <c r="H1686" s="4" t="s">
        <v>28</v>
      </c>
      <c r="I1686">
        <v>53</v>
      </c>
      <c r="J1686">
        <v>0</v>
      </c>
      <c r="K1686">
        <v>0</v>
      </c>
      <c r="L1686" s="3">
        <v>0</v>
      </c>
      <c r="M1686" s="3">
        <v>0</v>
      </c>
      <c r="N1686">
        <v>0</v>
      </c>
      <c r="O1686">
        <v>0</v>
      </c>
      <c r="P1686">
        <v>2</v>
      </c>
      <c r="Q1686">
        <v>15</v>
      </c>
      <c r="R1686" s="3">
        <v>0</v>
      </c>
      <c r="S1686" s="3">
        <v>0</v>
      </c>
      <c r="T1686">
        <v>0</v>
      </c>
      <c r="U1686">
        <v>0</v>
      </c>
      <c r="V1686" s="3">
        <v>0</v>
      </c>
      <c r="W1686" s="3">
        <v>0</v>
      </c>
      <c r="X1686">
        <v>0</v>
      </c>
      <c r="Y1686" t="s">
        <v>1390</v>
      </c>
    </row>
    <row r="1687" spans="1:25" hidden="1" x14ac:dyDescent="0.25">
      <c r="A1687" t="s">
        <v>54</v>
      </c>
      <c r="B1687" t="s">
        <v>122</v>
      </c>
      <c r="C1687" t="s">
        <v>52</v>
      </c>
      <c r="D1687" t="s">
        <v>27</v>
      </c>
      <c r="E1687" s="2">
        <v>45916</v>
      </c>
      <c r="F1687" s="2">
        <v>45916</v>
      </c>
      <c r="G1687" s="3">
        <v>40</v>
      </c>
      <c r="H1687" s="4" t="s">
        <v>28</v>
      </c>
      <c r="I1687">
        <v>60</v>
      </c>
      <c r="J1687">
        <v>0</v>
      </c>
      <c r="K1687">
        <v>0</v>
      </c>
      <c r="L1687" s="3">
        <v>0</v>
      </c>
      <c r="M1687" s="3">
        <v>0</v>
      </c>
      <c r="N1687">
        <v>0</v>
      </c>
      <c r="O1687">
        <v>0</v>
      </c>
      <c r="P1687">
        <v>0</v>
      </c>
      <c r="Q1687">
        <v>2</v>
      </c>
      <c r="R1687" s="3">
        <v>0</v>
      </c>
      <c r="S1687" s="3">
        <v>0</v>
      </c>
      <c r="T1687">
        <v>0</v>
      </c>
      <c r="U1687">
        <v>0</v>
      </c>
      <c r="V1687" s="3">
        <v>0</v>
      </c>
      <c r="W1687" s="3">
        <v>0</v>
      </c>
      <c r="X1687">
        <v>0</v>
      </c>
      <c r="Y1687" t="s">
        <v>1391</v>
      </c>
    </row>
    <row r="1688" spans="1:25" hidden="1" x14ac:dyDescent="0.25">
      <c r="A1688" t="s">
        <v>48</v>
      </c>
      <c r="B1688" t="s">
        <v>149</v>
      </c>
      <c r="C1688" t="s">
        <v>46</v>
      </c>
      <c r="D1688" t="s">
        <v>27</v>
      </c>
      <c r="E1688" s="2">
        <v>45916</v>
      </c>
      <c r="F1688" s="2">
        <v>45916</v>
      </c>
      <c r="G1688" s="3">
        <v>67</v>
      </c>
      <c r="H1688" s="4" t="s">
        <v>28</v>
      </c>
      <c r="I1688">
        <v>39</v>
      </c>
      <c r="J1688">
        <v>0</v>
      </c>
      <c r="K1688">
        <v>0</v>
      </c>
      <c r="L1688" s="3">
        <v>0</v>
      </c>
      <c r="M1688" s="3">
        <v>0</v>
      </c>
      <c r="N1688">
        <v>0</v>
      </c>
      <c r="O1688">
        <v>0</v>
      </c>
      <c r="P1688">
        <v>0</v>
      </c>
      <c r="Q1688">
        <v>3</v>
      </c>
      <c r="R1688" s="3">
        <v>0</v>
      </c>
      <c r="S1688" s="3">
        <v>0</v>
      </c>
      <c r="T1688">
        <v>0</v>
      </c>
      <c r="U1688">
        <v>0</v>
      </c>
      <c r="V1688" s="3">
        <v>0</v>
      </c>
      <c r="W1688" s="3">
        <v>0</v>
      </c>
      <c r="X1688">
        <v>0</v>
      </c>
      <c r="Y1688" t="s">
        <v>1392</v>
      </c>
    </row>
    <row r="1689" spans="1:25" hidden="1" x14ac:dyDescent="0.25">
      <c r="A1689" t="s">
        <v>53</v>
      </c>
      <c r="B1689" t="s">
        <v>142</v>
      </c>
      <c r="C1689" t="s">
        <v>39</v>
      </c>
      <c r="D1689" t="s">
        <v>27</v>
      </c>
      <c r="E1689" s="2">
        <v>45916</v>
      </c>
      <c r="F1689" s="2">
        <v>45916</v>
      </c>
      <c r="G1689" s="3">
        <v>57</v>
      </c>
      <c r="H1689" s="4" t="s">
        <v>28</v>
      </c>
      <c r="I1689">
        <v>32</v>
      </c>
      <c r="J1689">
        <v>0</v>
      </c>
      <c r="K1689">
        <v>0</v>
      </c>
      <c r="L1689" s="3">
        <v>1</v>
      </c>
      <c r="M1689" s="3">
        <v>0</v>
      </c>
      <c r="N1689">
        <v>0</v>
      </c>
      <c r="O1689">
        <v>0</v>
      </c>
      <c r="P1689">
        <v>0</v>
      </c>
      <c r="Q1689">
        <v>32</v>
      </c>
      <c r="R1689" s="3">
        <v>0</v>
      </c>
      <c r="S1689" s="3">
        <v>0</v>
      </c>
      <c r="T1689">
        <v>0</v>
      </c>
      <c r="U1689">
        <v>0</v>
      </c>
      <c r="V1689" s="3">
        <v>0</v>
      </c>
      <c r="W1689" s="3">
        <v>0</v>
      </c>
      <c r="X1689">
        <v>0</v>
      </c>
      <c r="Y1689" t="s">
        <v>1393</v>
      </c>
    </row>
    <row r="1690" spans="1:25" hidden="1" x14ac:dyDescent="0.25">
      <c r="A1690" s="1" t="s">
        <v>58</v>
      </c>
      <c r="B1690" t="s">
        <v>144</v>
      </c>
      <c r="C1690" t="s">
        <v>27</v>
      </c>
      <c r="D1690" t="s">
        <v>27</v>
      </c>
      <c r="E1690" s="2">
        <v>45916</v>
      </c>
      <c r="F1690" s="2">
        <v>45916</v>
      </c>
      <c r="G1690" s="3">
        <v>211</v>
      </c>
      <c r="H1690" s="4" t="s">
        <v>28</v>
      </c>
      <c r="I1690">
        <v>27</v>
      </c>
      <c r="J1690">
        <v>0</v>
      </c>
      <c r="K1690">
        <v>0</v>
      </c>
      <c r="L1690" s="3">
        <v>0</v>
      </c>
      <c r="M1690" s="3">
        <v>0</v>
      </c>
      <c r="N1690">
        <v>0</v>
      </c>
      <c r="O1690">
        <v>0</v>
      </c>
      <c r="P1690">
        <v>0</v>
      </c>
      <c r="Q1690">
        <v>0</v>
      </c>
      <c r="R1690" s="3">
        <v>0</v>
      </c>
      <c r="S1690" s="3">
        <v>0</v>
      </c>
      <c r="T1690">
        <v>0</v>
      </c>
      <c r="U1690">
        <v>0</v>
      </c>
      <c r="V1690" s="3">
        <v>0</v>
      </c>
      <c r="W1690" s="3">
        <v>0</v>
      </c>
      <c r="X1690">
        <v>0</v>
      </c>
      <c r="Y1690" t="s">
        <v>1394</v>
      </c>
    </row>
    <row r="1691" spans="1:25" hidden="1" x14ac:dyDescent="0.25">
      <c r="A1691" t="s">
        <v>51</v>
      </c>
      <c r="B1691" t="s">
        <v>144</v>
      </c>
      <c r="C1691" t="s">
        <v>27</v>
      </c>
      <c r="D1691" t="s">
        <v>27</v>
      </c>
      <c r="E1691" s="2">
        <v>45916</v>
      </c>
      <c r="F1691" s="2">
        <v>45916</v>
      </c>
      <c r="G1691" s="3">
        <v>211</v>
      </c>
      <c r="H1691" s="4" t="s">
        <v>28</v>
      </c>
      <c r="I1691">
        <v>27</v>
      </c>
      <c r="J1691">
        <v>0</v>
      </c>
      <c r="K1691">
        <v>0</v>
      </c>
      <c r="L1691" s="3">
        <v>1</v>
      </c>
      <c r="M1691" s="3">
        <v>0</v>
      </c>
      <c r="N1691">
        <v>0</v>
      </c>
      <c r="O1691">
        <v>0</v>
      </c>
      <c r="P1691">
        <v>0</v>
      </c>
      <c r="Q1691">
        <v>0</v>
      </c>
      <c r="R1691" s="3">
        <v>0</v>
      </c>
      <c r="S1691" s="3">
        <v>0</v>
      </c>
      <c r="T1691">
        <v>0</v>
      </c>
      <c r="U1691">
        <v>0</v>
      </c>
      <c r="V1691" s="3">
        <v>0</v>
      </c>
      <c r="W1691" s="3">
        <v>0</v>
      </c>
      <c r="X1691">
        <v>0</v>
      </c>
      <c r="Y1691" t="s">
        <v>1394</v>
      </c>
    </row>
    <row r="1692" spans="1:25" hidden="1" x14ac:dyDescent="0.25">
      <c r="A1692" t="s">
        <v>27</v>
      </c>
      <c r="B1692" t="s">
        <v>106</v>
      </c>
      <c r="C1692" t="s">
        <v>489</v>
      </c>
      <c r="D1692" t="s">
        <v>27</v>
      </c>
      <c r="E1692" s="2">
        <v>45916</v>
      </c>
      <c r="F1692" s="2">
        <v>45916</v>
      </c>
      <c r="G1692" s="3">
        <v>211</v>
      </c>
      <c r="H1692" s="4" t="s">
        <v>1395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1394</v>
      </c>
    </row>
    <row r="1693" spans="1:25" hidden="1" x14ac:dyDescent="0.25">
      <c r="A1693" t="s">
        <v>27</v>
      </c>
      <c r="B1693" t="s">
        <v>182</v>
      </c>
      <c r="C1693" t="s">
        <v>1396</v>
      </c>
      <c r="D1693" t="s">
        <v>27</v>
      </c>
      <c r="E1693" s="2">
        <v>45916</v>
      </c>
      <c r="F1693" s="2">
        <v>45916</v>
      </c>
      <c r="G1693" s="3">
        <v>211</v>
      </c>
      <c r="H1693" s="4" t="s">
        <v>1395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1394</v>
      </c>
    </row>
    <row r="1694" spans="1:25" hidden="1" x14ac:dyDescent="0.25">
      <c r="A1694" t="s">
        <v>344</v>
      </c>
      <c r="B1694" t="s">
        <v>184</v>
      </c>
      <c r="C1694" t="s">
        <v>27</v>
      </c>
      <c r="D1694" t="s">
        <v>27</v>
      </c>
      <c r="E1694" s="2">
        <v>45916</v>
      </c>
      <c r="F1694" s="2">
        <v>45916</v>
      </c>
      <c r="G1694" s="3">
        <v>23</v>
      </c>
      <c r="H1694" s="4" t="s">
        <v>1256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1381</v>
      </c>
    </row>
    <row r="1695" spans="1:25" hidden="1" x14ac:dyDescent="0.25">
      <c r="A1695" t="s">
        <v>45</v>
      </c>
      <c r="B1695" t="s">
        <v>182</v>
      </c>
      <c r="C1695" t="s">
        <v>27</v>
      </c>
      <c r="D1695" t="s">
        <v>27</v>
      </c>
      <c r="E1695" s="2">
        <v>45916</v>
      </c>
      <c r="F1695" s="2">
        <v>45916</v>
      </c>
      <c r="G1695" s="3">
        <v>24</v>
      </c>
      <c r="H1695" s="4" t="s">
        <v>1256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1381</v>
      </c>
    </row>
    <row r="1696" spans="1:25" hidden="1" x14ac:dyDescent="0.25">
      <c r="A1696" t="s">
        <v>25</v>
      </c>
      <c r="B1696" t="s">
        <v>96</v>
      </c>
      <c r="C1696" t="s">
        <v>35</v>
      </c>
      <c r="D1696" t="s">
        <v>27</v>
      </c>
      <c r="E1696" s="2">
        <v>45917</v>
      </c>
      <c r="F1696" s="2">
        <v>45917</v>
      </c>
      <c r="G1696" s="3">
        <v>31</v>
      </c>
      <c r="H1696" t="s">
        <v>28</v>
      </c>
      <c r="I1696">
        <v>47</v>
      </c>
      <c r="J1696">
        <v>0</v>
      </c>
      <c r="K1696">
        <v>0</v>
      </c>
      <c r="L1696" s="3">
        <v>1</v>
      </c>
      <c r="M1696" s="3">
        <v>0</v>
      </c>
      <c r="N1696">
        <v>0</v>
      </c>
      <c r="O1696">
        <v>0</v>
      </c>
      <c r="P1696">
        <v>0</v>
      </c>
      <c r="Q1696">
        <v>0</v>
      </c>
      <c r="R1696" s="3">
        <v>0</v>
      </c>
      <c r="S1696" s="3">
        <v>0</v>
      </c>
      <c r="T1696">
        <v>0</v>
      </c>
      <c r="U1696">
        <v>0</v>
      </c>
      <c r="V1696" s="3">
        <v>0</v>
      </c>
      <c r="W1696" s="3">
        <v>0</v>
      </c>
      <c r="X1696">
        <v>0</v>
      </c>
      <c r="Y1696" t="s">
        <v>1397</v>
      </c>
    </row>
    <row r="1697" spans="1:25" hidden="1" x14ac:dyDescent="0.25">
      <c r="A1697" t="s">
        <v>56</v>
      </c>
      <c r="B1697" t="s">
        <v>98</v>
      </c>
      <c r="C1697" t="s">
        <v>37</v>
      </c>
      <c r="D1697" t="s">
        <v>27</v>
      </c>
      <c r="E1697" s="2">
        <v>45917</v>
      </c>
      <c r="F1697" s="2">
        <v>45917</v>
      </c>
      <c r="G1697" s="3">
        <v>52</v>
      </c>
      <c r="H1697" t="s">
        <v>28</v>
      </c>
      <c r="I1697">
        <v>75</v>
      </c>
      <c r="J1697">
        <v>0</v>
      </c>
      <c r="K1697">
        <v>0</v>
      </c>
      <c r="L1697" s="3">
        <v>1</v>
      </c>
      <c r="M1697" s="3">
        <v>0</v>
      </c>
      <c r="N1697">
        <v>0</v>
      </c>
      <c r="O1697">
        <v>0</v>
      </c>
      <c r="P1697">
        <v>0</v>
      </c>
      <c r="Q1697">
        <v>0</v>
      </c>
      <c r="R1697" s="3">
        <v>0</v>
      </c>
      <c r="S1697" s="3">
        <v>0</v>
      </c>
      <c r="T1697">
        <v>0</v>
      </c>
      <c r="U1697">
        <v>0</v>
      </c>
      <c r="V1697" s="3">
        <v>0</v>
      </c>
      <c r="W1697" s="3">
        <v>0</v>
      </c>
      <c r="X1697">
        <v>0</v>
      </c>
      <c r="Y1697" t="s">
        <v>1398</v>
      </c>
    </row>
    <row r="1698" spans="1:25" hidden="1" x14ac:dyDescent="0.25">
      <c r="A1698" t="s">
        <v>29</v>
      </c>
      <c r="B1698" t="s">
        <v>100</v>
      </c>
      <c r="C1698" t="s">
        <v>95</v>
      </c>
      <c r="D1698" t="s">
        <v>27</v>
      </c>
      <c r="E1698" s="2">
        <v>45917</v>
      </c>
      <c r="F1698" s="2">
        <v>45917</v>
      </c>
      <c r="G1698" s="3">
        <v>35</v>
      </c>
      <c r="H1698" t="s">
        <v>28</v>
      </c>
      <c r="I1698">
        <v>41</v>
      </c>
      <c r="J1698">
        <v>0</v>
      </c>
      <c r="K1698">
        <v>0</v>
      </c>
      <c r="L1698" s="3">
        <v>1</v>
      </c>
      <c r="M1698" s="3">
        <v>0</v>
      </c>
      <c r="N1698">
        <v>0</v>
      </c>
      <c r="O1698">
        <v>0</v>
      </c>
      <c r="P1698">
        <v>0</v>
      </c>
      <c r="Q1698">
        <v>0</v>
      </c>
      <c r="R1698" s="3">
        <v>0</v>
      </c>
      <c r="S1698" s="3">
        <v>0</v>
      </c>
      <c r="T1698">
        <v>0</v>
      </c>
      <c r="U1698">
        <v>0</v>
      </c>
      <c r="V1698" s="3">
        <v>0</v>
      </c>
      <c r="W1698" s="3">
        <v>0</v>
      </c>
      <c r="X1698">
        <v>0</v>
      </c>
      <c r="Y1698" t="s">
        <v>1399</v>
      </c>
    </row>
    <row r="1699" spans="1:25" hidden="1" x14ac:dyDescent="0.25">
      <c r="A1699" t="s">
        <v>31</v>
      </c>
      <c r="B1699" t="s">
        <v>104</v>
      </c>
      <c r="C1699" t="s">
        <v>32</v>
      </c>
      <c r="D1699" t="s">
        <v>27</v>
      </c>
      <c r="E1699" s="2">
        <v>45917</v>
      </c>
      <c r="F1699" s="2">
        <v>45917</v>
      </c>
      <c r="G1699" s="3">
        <v>36</v>
      </c>
      <c r="H1699" s="4" t="s">
        <v>28</v>
      </c>
      <c r="I1699">
        <v>88</v>
      </c>
      <c r="J1699">
        <v>0</v>
      </c>
      <c r="K1699">
        <v>0</v>
      </c>
      <c r="L1699" s="3">
        <v>0</v>
      </c>
      <c r="M1699" s="3">
        <v>0</v>
      </c>
      <c r="N1699">
        <v>0</v>
      </c>
      <c r="O1699">
        <v>0</v>
      </c>
      <c r="P1699">
        <v>0</v>
      </c>
      <c r="Q1699">
        <v>50</v>
      </c>
      <c r="R1699" s="3">
        <v>0</v>
      </c>
      <c r="S1699" s="3">
        <v>0</v>
      </c>
      <c r="T1699">
        <v>0</v>
      </c>
      <c r="U1699">
        <v>0</v>
      </c>
      <c r="V1699" s="3">
        <v>0</v>
      </c>
      <c r="W1699" s="3">
        <v>0</v>
      </c>
      <c r="X1699">
        <v>0</v>
      </c>
      <c r="Y1699" t="s">
        <v>1385</v>
      </c>
    </row>
    <row r="1700" spans="1:25" hidden="1" x14ac:dyDescent="0.25">
      <c r="A1700" t="s">
        <v>33</v>
      </c>
      <c r="B1700" t="s">
        <v>106</v>
      </c>
      <c r="C1700" t="s">
        <v>57</v>
      </c>
      <c r="D1700" t="s">
        <v>27</v>
      </c>
      <c r="E1700" s="2">
        <v>45917</v>
      </c>
      <c r="F1700" s="2">
        <v>45917</v>
      </c>
      <c r="G1700" s="3">
        <v>28</v>
      </c>
      <c r="H1700" t="s">
        <v>28</v>
      </c>
      <c r="I1700">
        <v>47</v>
      </c>
      <c r="J1700">
        <v>0</v>
      </c>
      <c r="K1700">
        <v>0</v>
      </c>
      <c r="L1700" s="3">
        <v>0</v>
      </c>
      <c r="M1700" s="3">
        <v>0</v>
      </c>
      <c r="N1700">
        <v>0</v>
      </c>
      <c r="O1700">
        <v>0</v>
      </c>
      <c r="P1700">
        <v>0</v>
      </c>
      <c r="Q1700">
        <v>20</v>
      </c>
      <c r="R1700" s="3">
        <v>0</v>
      </c>
      <c r="S1700" s="3">
        <v>0</v>
      </c>
      <c r="T1700">
        <v>0</v>
      </c>
      <c r="U1700">
        <v>0</v>
      </c>
      <c r="V1700" s="3">
        <v>0</v>
      </c>
      <c r="W1700" s="3">
        <v>0</v>
      </c>
      <c r="X1700">
        <v>0</v>
      </c>
      <c r="Y1700" t="s">
        <v>1400</v>
      </c>
    </row>
    <row r="1701" spans="1:25" hidden="1" x14ac:dyDescent="0.25">
      <c r="A1701" t="s">
        <v>38</v>
      </c>
      <c r="B1701" t="s">
        <v>108</v>
      </c>
      <c r="C1701" t="s">
        <v>27</v>
      </c>
      <c r="D1701" t="s">
        <v>27</v>
      </c>
      <c r="E1701" s="2">
        <v>45917</v>
      </c>
      <c r="F1701" s="2">
        <v>45917</v>
      </c>
      <c r="G1701" s="3">
        <v>37</v>
      </c>
      <c r="H1701" t="s">
        <v>28</v>
      </c>
      <c r="I1701">
        <v>37</v>
      </c>
      <c r="J1701">
        <v>0</v>
      </c>
      <c r="K1701">
        <v>0</v>
      </c>
      <c r="L1701" s="3">
        <v>0</v>
      </c>
      <c r="M1701" s="3">
        <v>0</v>
      </c>
      <c r="N1701">
        <v>0</v>
      </c>
      <c r="O1701">
        <v>0</v>
      </c>
      <c r="P1701">
        <v>0</v>
      </c>
      <c r="Q1701">
        <v>37</v>
      </c>
      <c r="R1701" s="3">
        <v>0</v>
      </c>
      <c r="S1701" s="3">
        <v>0</v>
      </c>
      <c r="T1701">
        <v>0</v>
      </c>
      <c r="U1701">
        <v>0</v>
      </c>
      <c r="V1701" s="3">
        <v>0</v>
      </c>
      <c r="W1701" s="3">
        <v>0</v>
      </c>
      <c r="X1701">
        <v>0</v>
      </c>
      <c r="Y1701" t="s">
        <v>1401</v>
      </c>
    </row>
    <row r="1702" spans="1:25" hidden="1" x14ac:dyDescent="0.25">
      <c r="A1702" t="s">
        <v>40</v>
      </c>
      <c r="B1702" t="s">
        <v>110</v>
      </c>
      <c r="C1702" t="s">
        <v>27</v>
      </c>
      <c r="D1702" t="s">
        <v>27</v>
      </c>
      <c r="E1702" s="2">
        <v>45917</v>
      </c>
      <c r="F1702" s="2">
        <v>45917</v>
      </c>
      <c r="G1702" s="3">
        <v>200</v>
      </c>
      <c r="H1702" t="s">
        <v>28</v>
      </c>
      <c r="I1702">
        <v>171</v>
      </c>
      <c r="J1702">
        <v>0</v>
      </c>
      <c r="K1702">
        <v>0</v>
      </c>
      <c r="L1702" s="3">
        <v>1</v>
      </c>
      <c r="M1702" s="3">
        <v>0</v>
      </c>
      <c r="N1702">
        <v>1</v>
      </c>
      <c r="O1702">
        <v>0</v>
      </c>
      <c r="P1702">
        <v>0</v>
      </c>
      <c r="Q1702">
        <v>0</v>
      </c>
      <c r="R1702" s="3">
        <v>0</v>
      </c>
      <c r="S1702" s="3">
        <v>0</v>
      </c>
      <c r="T1702">
        <v>0</v>
      </c>
      <c r="U1702">
        <v>0</v>
      </c>
      <c r="V1702" s="3">
        <v>0</v>
      </c>
      <c r="W1702" s="3">
        <v>0</v>
      </c>
      <c r="X1702">
        <v>0</v>
      </c>
      <c r="Y1702" t="s">
        <v>1402</v>
      </c>
    </row>
    <row r="1703" spans="1:25" hidden="1" x14ac:dyDescent="0.25">
      <c r="A1703" t="s">
        <v>36</v>
      </c>
      <c r="B1703" t="s">
        <v>110</v>
      </c>
      <c r="C1703" t="s">
        <v>27</v>
      </c>
      <c r="D1703" t="s">
        <v>27</v>
      </c>
      <c r="E1703" s="2">
        <v>45917</v>
      </c>
      <c r="F1703" s="2">
        <v>45917</v>
      </c>
      <c r="G1703" s="3">
        <v>200</v>
      </c>
      <c r="H1703" t="s">
        <v>28</v>
      </c>
      <c r="I1703">
        <v>171</v>
      </c>
      <c r="J1703">
        <v>0</v>
      </c>
      <c r="K1703">
        <v>0</v>
      </c>
      <c r="L1703" s="3">
        <v>1</v>
      </c>
      <c r="M1703" s="3">
        <v>0</v>
      </c>
      <c r="N1703">
        <v>1</v>
      </c>
      <c r="O1703">
        <v>0</v>
      </c>
      <c r="P1703">
        <v>0</v>
      </c>
      <c r="Q1703">
        <v>0</v>
      </c>
      <c r="R1703" s="3">
        <v>0</v>
      </c>
      <c r="S1703" s="3">
        <v>0</v>
      </c>
      <c r="T1703">
        <v>0</v>
      </c>
      <c r="U1703">
        <v>0</v>
      </c>
      <c r="V1703" s="3">
        <v>0</v>
      </c>
      <c r="W1703" s="3">
        <v>0</v>
      </c>
      <c r="X1703">
        <v>0</v>
      </c>
      <c r="Y1703" t="s">
        <v>1402</v>
      </c>
    </row>
    <row r="1704" spans="1:25" hidden="1" x14ac:dyDescent="0.25">
      <c r="A1704" t="s">
        <v>41</v>
      </c>
      <c r="B1704" t="s">
        <v>112</v>
      </c>
      <c r="C1704" t="s">
        <v>42</v>
      </c>
      <c r="D1704" t="s">
        <v>27</v>
      </c>
      <c r="E1704" s="2">
        <v>45917</v>
      </c>
      <c r="F1704" s="2">
        <v>45917</v>
      </c>
      <c r="G1704" s="3">
        <v>29</v>
      </c>
      <c r="H1704" s="4" t="s">
        <v>28</v>
      </c>
      <c r="I1704">
        <v>104</v>
      </c>
      <c r="J1704">
        <v>0</v>
      </c>
      <c r="K1704">
        <v>0</v>
      </c>
      <c r="L1704" s="3">
        <v>1</v>
      </c>
      <c r="M1704" s="3">
        <v>0</v>
      </c>
      <c r="N1704">
        <v>0</v>
      </c>
      <c r="O1704">
        <v>0</v>
      </c>
      <c r="P1704">
        <v>0</v>
      </c>
      <c r="Q1704">
        <v>63</v>
      </c>
      <c r="R1704" s="3">
        <v>0</v>
      </c>
      <c r="S1704" s="3">
        <v>0</v>
      </c>
      <c r="T1704">
        <v>0</v>
      </c>
      <c r="U1704">
        <v>0</v>
      </c>
      <c r="V1704" s="3">
        <v>0</v>
      </c>
      <c r="W1704" s="3">
        <v>0</v>
      </c>
      <c r="X1704">
        <v>0</v>
      </c>
      <c r="Y1704" t="s">
        <v>1388</v>
      </c>
    </row>
    <row r="1705" spans="1:25" hidden="1" x14ac:dyDescent="0.25">
      <c r="A1705" t="s">
        <v>43</v>
      </c>
      <c r="B1705" t="s">
        <v>114</v>
      </c>
      <c r="C1705" t="s">
        <v>44</v>
      </c>
      <c r="D1705" t="s">
        <v>27</v>
      </c>
      <c r="E1705" s="2">
        <v>45917</v>
      </c>
      <c r="F1705" s="2">
        <v>45917</v>
      </c>
      <c r="G1705" s="3">
        <v>27</v>
      </c>
      <c r="H1705" t="s">
        <v>28</v>
      </c>
      <c r="I1705">
        <v>18</v>
      </c>
      <c r="J1705">
        <v>0</v>
      </c>
      <c r="K1705">
        <v>0</v>
      </c>
      <c r="L1705" s="3">
        <v>1</v>
      </c>
      <c r="M1705" s="3">
        <v>0</v>
      </c>
      <c r="N1705">
        <v>0</v>
      </c>
      <c r="O1705">
        <v>0</v>
      </c>
      <c r="P1705">
        <v>0</v>
      </c>
      <c r="Q1705">
        <v>0</v>
      </c>
      <c r="R1705" s="3">
        <v>0</v>
      </c>
      <c r="S1705" s="3">
        <v>0</v>
      </c>
      <c r="T1705">
        <v>0</v>
      </c>
      <c r="U1705">
        <v>0</v>
      </c>
      <c r="V1705" s="3">
        <v>0</v>
      </c>
      <c r="W1705" s="3">
        <v>0</v>
      </c>
      <c r="X1705">
        <v>0</v>
      </c>
      <c r="Y1705" t="s">
        <v>1403</v>
      </c>
    </row>
    <row r="1706" spans="1:25" hidden="1" x14ac:dyDescent="0.25">
      <c r="A1706" t="s">
        <v>49</v>
      </c>
      <c r="B1706" t="s">
        <v>118</v>
      </c>
      <c r="C1706" t="s">
        <v>50</v>
      </c>
      <c r="D1706" t="s">
        <v>27</v>
      </c>
      <c r="E1706" s="2">
        <v>45917</v>
      </c>
      <c r="F1706" s="2">
        <v>45917</v>
      </c>
      <c r="G1706" s="3">
        <v>29</v>
      </c>
      <c r="H1706" s="4" t="s">
        <v>28</v>
      </c>
      <c r="I1706">
        <v>37</v>
      </c>
      <c r="J1706">
        <v>0</v>
      </c>
      <c r="K1706">
        <v>0</v>
      </c>
      <c r="L1706" s="3">
        <v>1</v>
      </c>
      <c r="M1706" s="3">
        <v>0</v>
      </c>
      <c r="N1706">
        <v>0</v>
      </c>
      <c r="O1706">
        <v>0</v>
      </c>
      <c r="P1706">
        <v>0</v>
      </c>
      <c r="Q1706">
        <v>37</v>
      </c>
      <c r="R1706" s="3">
        <v>0</v>
      </c>
      <c r="S1706" s="3">
        <v>0</v>
      </c>
      <c r="T1706">
        <v>0</v>
      </c>
      <c r="U1706">
        <v>0</v>
      </c>
      <c r="V1706" s="3">
        <v>0</v>
      </c>
      <c r="W1706" s="3">
        <v>0</v>
      </c>
      <c r="X1706">
        <v>0</v>
      </c>
      <c r="Y1706" t="s">
        <v>1376</v>
      </c>
    </row>
    <row r="1707" spans="1:25" hidden="1" x14ac:dyDescent="0.25">
      <c r="A1707" t="s">
        <v>47</v>
      </c>
      <c r="B1707" t="s">
        <v>137</v>
      </c>
      <c r="C1707" t="s">
        <v>27</v>
      </c>
      <c r="D1707" t="s">
        <v>27</v>
      </c>
      <c r="E1707" s="2">
        <v>45917</v>
      </c>
      <c r="F1707" s="2">
        <v>45917</v>
      </c>
      <c r="G1707" s="3">
        <v>29</v>
      </c>
      <c r="H1707" t="s">
        <v>28</v>
      </c>
      <c r="I1707">
        <v>70</v>
      </c>
      <c r="J1707">
        <v>0</v>
      </c>
      <c r="K1707">
        <v>0</v>
      </c>
      <c r="L1707" s="3">
        <v>0</v>
      </c>
      <c r="M1707" s="3">
        <v>0</v>
      </c>
      <c r="N1707">
        <v>0</v>
      </c>
      <c r="O1707">
        <v>0</v>
      </c>
      <c r="P1707">
        <v>0</v>
      </c>
      <c r="Q1707">
        <v>0</v>
      </c>
      <c r="R1707" s="3">
        <v>0</v>
      </c>
      <c r="S1707" s="3">
        <v>0</v>
      </c>
      <c r="T1707">
        <v>0</v>
      </c>
      <c r="U1707">
        <v>0</v>
      </c>
      <c r="V1707" s="3">
        <v>0</v>
      </c>
      <c r="W1707" s="3">
        <v>0</v>
      </c>
      <c r="X1707">
        <v>0</v>
      </c>
      <c r="Y1707" t="s">
        <v>1404</v>
      </c>
    </row>
    <row r="1708" spans="1:25" hidden="1" x14ac:dyDescent="0.25">
      <c r="A1708" t="s">
        <v>34</v>
      </c>
      <c r="B1708" t="s">
        <v>137</v>
      </c>
      <c r="C1708" t="s">
        <v>27</v>
      </c>
      <c r="D1708" t="s">
        <v>27</v>
      </c>
      <c r="E1708" s="2">
        <v>45917</v>
      </c>
      <c r="F1708" s="2">
        <v>45917</v>
      </c>
      <c r="G1708" s="3">
        <v>29</v>
      </c>
      <c r="H1708" t="s">
        <v>28</v>
      </c>
      <c r="I1708">
        <v>70</v>
      </c>
      <c r="J1708">
        <v>0</v>
      </c>
      <c r="K1708">
        <v>0</v>
      </c>
      <c r="L1708" s="3">
        <v>0</v>
      </c>
      <c r="M1708" s="3">
        <v>0</v>
      </c>
      <c r="N1708">
        <v>0</v>
      </c>
      <c r="O1708">
        <v>0</v>
      </c>
      <c r="P1708">
        <v>0</v>
      </c>
      <c r="Q1708">
        <v>0</v>
      </c>
      <c r="R1708" s="3">
        <v>0</v>
      </c>
      <c r="S1708" s="3">
        <v>0</v>
      </c>
      <c r="T1708">
        <v>0</v>
      </c>
      <c r="U1708">
        <v>0</v>
      </c>
      <c r="V1708" s="3">
        <v>0</v>
      </c>
      <c r="W1708" s="3">
        <v>0</v>
      </c>
      <c r="X1708">
        <v>0</v>
      </c>
      <c r="Y1708" t="s">
        <v>1404</v>
      </c>
    </row>
    <row r="1709" spans="1:25" hidden="1" x14ac:dyDescent="0.25">
      <c r="A1709" t="s">
        <v>51</v>
      </c>
      <c r="B1709" t="s">
        <v>120</v>
      </c>
      <c r="C1709" t="s">
        <v>55</v>
      </c>
      <c r="D1709" t="s">
        <v>27</v>
      </c>
      <c r="E1709" s="2">
        <v>45917</v>
      </c>
      <c r="F1709" s="2">
        <v>45917</v>
      </c>
      <c r="G1709" s="3">
        <v>46</v>
      </c>
      <c r="H1709" t="s">
        <v>28</v>
      </c>
      <c r="I1709">
        <v>43</v>
      </c>
      <c r="J1709">
        <v>0</v>
      </c>
      <c r="K1709">
        <v>0</v>
      </c>
      <c r="L1709" s="3">
        <v>1</v>
      </c>
      <c r="M1709" s="3">
        <v>0</v>
      </c>
      <c r="N1709">
        <v>1</v>
      </c>
      <c r="O1709">
        <v>0</v>
      </c>
      <c r="P1709">
        <v>0</v>
      </c>
      <c r="Q1709">
        <v>0</v>
      </c>
      <c r="R1709" s="3">
        <v>0</v>
      </c>
      <c r="S1709" s="3">
        <v>0</v>
      </c>
      <c r="T1709">
        <v>0</v>
      </c>
      <c r="U1709">
        <v>0</v>
      </c>
      <c r="V1709" s="3">
        <v>0</v>
      </c>
      <c r="W1709" s="3">
        <v>0</v>
      </c>
      <c r="X1709">
        <v>0</v>
      </c>
      <c r="Y1709" t="s">
        <v>1405</v>
      </c>
    </row>
    <row r="1710" spans="1:25" hidden="1" x14ac:dyDescent="0.25">
      <c r="A1710" t="s">
        <v>54</v>
      </c>
      <c r="B1710" t="s">
        <v>122</v>
      </c>
      <c r="C1710" t="s">
        <v>52</v>
      </c>
      <c r="D1710" t="s">
        <v>27</v>
      </c>
      <c r="E1710" s="2">
        <v>45917</v>
      </c>
      <c r="F1710" s="2">
        <v>45917</v>
      </c>
      <c r="G1710" s="3">
        <v>39</v>
      </c>
      <c r="H1710" t="s">
        <v>28</v>
      </c>
      <c r="I1710">
        <v>30</v>
      </c>
      <c r="J1710">
        <v>0</v>
      </c>
      <c r="K1710">
        <v>0</v>
      </c>
      <c r="L1710" s="3">
        <v>0</v>
      </c>
      <c r="M1710" s="3">
        <v>0</v>
      </c>
      <c r="N1710">
        <v>0</v>
      </c>
      <c r="O1710">
        <v>0</v>
      </c>
      <c r="P1710">
        <v>0</v>
      </c>
      <c r="Q1710">
        <v>2</v>
      </c>
      <c r="R1710" s="3">
        <v>0</v>
      </c>
      <c r="S1710" s="3">
        <v>0</v>
      </c>
      <c r="T1710">
        <v>0</v>
      </c>
      <c r="U1710">
        <v>0</v>
      </c>
      <c r="V1710" s="3">
        <v>0</v>
      </c>
      <c r="W1710" s="3">
        <v>0</v>
      </c>
      <c r="X1710">
        <v>1</v>
      </c>
      <c r="Y1710" t="s">
        <v>1406</v>
      </c>
    </row>
    <row r="1711" spans="1:25" hidden="1" x14ac:dyDescent="0.25">
      <c r="A1711" t="s">
        <v>48</v>
      </c>
      <c r="B1711" t="s">
        <v>149</v>
      </c>
      <c r="C1711" t="s">
        <v>46</v>
      </c>
      <c r="D1711" t="s">
        <v>27</v>
      </c>
      <c r="E1711" s="2">
        <v>45917</v>
      </c>
      <c r="F1711" s="2">
        <v>45917</v>
      </c>
      <c r="G1711" s="3">
        <v>34</v>
      </c>
      <c r="H1711" t="s">
        <v>28</v>
      </c>
      <c r="I1711">
        <v>81</v>
      </c>
      <c r="J1711">
        <v>0</v>
      </c>
      <c r="K1711">
        <v>0</v>
      </c>
      <c r="L1711" s="3">
        <v>1</v>
      </c>
      <c r="M1711" s="3">
        <v>0</v>
      </c>
      <c r="N1711">
        <v>0</v>
      </c>
      <c r="O1711">
        <v>0</v>
      </c>
      <c r="P1711">
        <v>0</v>
      </c>
      <c r="Q1711">
        <v>3</v>
      </c>
      <c r="R1711" s="3">
        <v>0</v>
      </c>
      <c r="S1711" s="3">
        <v>0</v>
      </c>
      <c r="T1711">
        <v>0</v>
      </c>
      <c r="U1711">
        <v>0</v>
      </c>
      <c r="V1711" s="3">
        <v>0</v>
      </c>
      <c r="W1711" s="3">
        <v>0</v>
      </c>
      <c r="X1711">
        <v>0</v>
      </c>
      <c r="Y1711" t="s">
        <v>1407</v>
      </c>
    </row>
    <row r="1712" spans="1:25" ht="15.75" hidden="1" customHeight="1" x14ac:dyDescent="0.25">
      <c r="A1712" s="1" t="s">
        <v>58</v>
      </c>
      <c r="B1712" t="s">
        <v>144</v>
      </c>
      <c r="C1712" t="s">
        <v>489</v>
      </c>
      <c r="D1712" t="s">
        <v>27</v>
      </c>
      <c r="E1712" s="2">
        <v>45917</v>
      </c>
      <c r="F1712" s="2">
        <v>45917</v>
      </c>
      <c r="G1712" s="3">
        <v>22</v>
      </c>
      <c r="H1712" s="4" t="s">
        <v>28</v>
      </c>
      <c r="I1712">
        <v>65</v>
      </c>
      <c r="J1712">
        <v>0</v>
      </c>
      <c r="K1712">
        <v>0</v>
      </c>
      <c r="L1712" s="3">
        <v>1</v>
      </c>
      <c r="M1712" s="3">
        <v>0</v>
      </c>
      <c r="N1712">
        <v>0</v>
      </c>
      <c r="O1712">
        <v>0</v>
      </c>
      <c r="P1712">
        <v>0</v>
      </c>
      <c r="Q1712">
        <v>0</v>
      </c>
      <c r="R1712" s="3">
        <v>0</v>
      </c>
      <c r="S1712" s="3">
        <v>0</v>
      </c>
      <c r="T1712">
        <v>0</v>
      </c>
      <c r="U1712">
        <v>0</v>
      </c>
      <c r="V1712" s="3">
        <v>0</v>
      </c>
      <c r="W1712" s="3">
        <v>0</v>
      </c>
      <c r="X1712">
        <v>0</v>
      </c>
      <c r="Y1712" t="s">
        <v>1381</v>
      </c>
    </row>
    <row r="1713" spans="1:25" hidden="1" x14ac:dyDescent="0.25">
      <c r="A1713" t="s">
        <v>344</v>
      </c>
      <c r="B1713" t="s">
        <v>184</v>
      </c>
      <c r="C1713" t="s">
        <v>27</v>
      </c>
      <c r="D1713" t="s">
        <v>27</v>
      </c>
      <c r="E1713" s="2">
        <v>45917</v>
      </c>
      <c r="F1713" s="2">
        <v>45917</v>
      </c>
      <c r="G1713" s="3">
        <v>23</v>
      </c>
      <c r="H1713" s="4" t="s">
        <v>1256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1381</v>
      </c>
    </row>
    <row r="1714" spans="1:25" hidden="1" x14ac:dyDescent="0.25">
      <c r="A1714" t="s">
        <v>45</v>
      </c>
      <c r="B1714" t="s">
        <v>182</v>
      </c>
      <c r="C1714" t="s">
        <v>27</v>
      </c>
      <c r="D1714" t="s">
        <v>27</v>
      </c>
      <c r="E1714" s="2">
        <v>45917</v>
      </c>
      <c r="F1714" s="2">
        <v>45917</v>
      </c>
      <c r="G1714" s="3">
        <v>24</v>
      </c>
      <c r="H1714" s="4" t="s">
        <v>1256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1381</v>
      </c>
    </row>
    <row r="1715" spans="1:25" hidden="1" x14ac:dyDescent="0.25">
      <c r="A1715" t="s">
        <v>27</v>
      </c>
      <c r="B1715" t="s">
        <v>184</v>
      </c>
      <c r="C1715" t="s">
        <v>26</v>
      </c>
      <c r="D1715" t="s">
        <v>27</v>
      </c>
      <c r="E1715" s="2">
        <v>45917</v>
      </c>
      <c r="F1715" s="2">
        <v>45917</v>
      </c>
      <c r="G1715" s="3">
        <v>25</v>
      </c>
      <c r="H1715" s="4" t="s">
        <v>1448</v>
      </c>
      <c r="I1715">
        <v>0</v>
      </c>
      <c r="J1715">
        <v>0</v>
      </c>
      <c r="K1715">
        <v>0</v>
      </c>
      <c r="L1715" s="3">
        <v>0</v>
      </c>
      <c r="M1715" s="3">
        <v>0</v>
      </c>
      <c r="N1715">
        <v>0</v>
      </c>
      <c r="O1715">
        <v>0</v>
      </c>
      <c r="P1715">
        <v>0</v>
      </c>
      <c r="Q1715">
        <v>0</v>
      </c>
      <c r="R1715" s="3">
        <v>0</v>
      </c>
      <c r="S1715" s="3">
        <v>0</v>
      </c>
      <c r="T1715">
        <v>0</v>
      </c>
      <c r="U1715">
        <v>0</v>
      </c>
      <c r="V1715" s="3">
        <v>0</v>
      </c>
      <c r="W1715" s="3">
        <v>0</v>
      </c>
      <c r="X1715" s="3">
        <v>0</v>
      </c>
      <c r="Y1715" t="s">
        <v>1381</v>
      </c>
    </row>
    <row r="1716" spans="1:25" hidden="1" x14ac:dyDescent="0.25">
      <c r="A1716" t="s">
        <v>25</v>
      </c>
      <c r="B1716" t="s">
        <v>96</v>
      </c>
      <c r="C1716" t="s">
        <v>35</v>
      </c>
      <c r="D1716" t="s">
        <v>27</v>
      </c>
      <c r="E1716" s="2">
        <v>45922</v>
      </c>
      <c r="F1716" s="2">
        <v>45922</v>
      </c>
      <c r="G1716" s="3">
        <v>31</v>
      </c>
      <c r="H1716" t="s">
        <v>28</v>
      </c>
      <c r="I1716" s="22">
        <v>47</v>
      </c>
      <c r="J1716" s="22">
        <v>0</v>
      </c>
      <c r="K1716" s="22">
        <v>0</v>
      </c>
      <c r="L1716" s="23">
        <v>1</v>
      </c>
      <c r="M1716" s="23">
        <v>0</v>
      </c>
      <c r="N1716" s="22">
        <v>0</v>
      </c>
      <c r="O1716" s="22">
        <v>0</v>
      </c>
      <c r="P1716" s="22">
        <v>0</v>
      </c>
      <c r="Q1716" s="22">
        <v>0</v>
      </c>
      <c r="R1716" s="23">
        <v>0</v>
      </c>
      <c r="S1716" s="23">
        <v>0</v>
      </c>
      <c r="T1716" s="22">
        <v>0</v>
      </c>
      <c r="U1716" s="22">
        <v>0</v>
      </c>
      <c r="V1716" s="23">
        <v>0</v>
      </c>
      <c r="W1716" s="23">
        <v>0</v>
      </c>
      <c r="X1716" s="22">
        <v>0</v>
      </c>
      <c r="Y1716" t="s">
        <v>1397</v>
      </c>
    </row>
    <row r="1717" spans="1:25" hidden="1" x14ac:dyDescent="0.25">
      <c r="A1717" t="s">
        <v>47</v>
      </c>
      <c r="B1717" t="s">
        <v>137</v>
      </c>
      <c r="C1717" t="s">
        <v>27</v>
      </c>
      <c r="D1717" t="s">
        <v>27</v>
      </c>
      <c r="E1717" s="2">
        <v>45922</v>
      </c>
      <c r="F1717" s="2">
        <v>45922</v>
      </c>
      <c r="G1717" s="3">
        <v>25</v>
      </c>
      <c r="H1717" s="4" t="s">
        <v>28</v>
      </c>
      <c r="I1717">
        <v>49</v>
      </c>
      <c r="J1717">
        <v>0</v>
      </c>
      <c r="K1717">
        <v>0</v>
      </c>
      <c r="L1717" s="3">
        <v>0</v>
      </c>
      <c r="M1717" s="3">
        <v>0</v>
      </c>
      <c r="N1717">
        <v>0</v>
      </c>
      <c r="O1717">
        <v>0</v>
      </c>
      <c r="P1717">
        <v>0</v>
      </c>
      <c r="Q1717">
        <v>0</v>
      </c>
      <c r="R1717" s="3">
        <v>0</v>
      </c>
      <c r="S1717" s="3">
        <v>0</v>
      </c>
      <c r="T1717">
        <v>0</v>
      </c>
      <c r="U1717">
        <v>0</v>
      </c>
      <c r="V1717" s="3">
        <v>0</v>
      </c>
      <c r="W1717" s="3">
        <v>0</v>
      </c>
      <c r="X1717">
        <v>0</v>
      </c>
      <c r="Y1717" t="s">
        <v>1459</v>
      </c>
    </row>
    <row r="1718" spans="1:25" hidden="1" x14ac:dyDescent="0.25">
      <c r="A1718" t="s">
        <v>56</v>
      </c>
      <c r="B1718" t="s">
        <v>98</v>
      </c>
      <c r="C1718" t="s">
        <v>37</v>
      </c>
      <c r="D1718" t="s">
        <v>27</v>
      </c>
      <c r="E1718" s="2">
        <v>45922</v>
      </c>
      <c r="F1718" s="2">
        <v>45922</v>
      </c>
      <c r="G1718" s="3">
        <v>122</v>
      </c>
      <c r="H1718" t="s">
        <v>28</v>
      </c>
      <c r="I1718" s="22">
        <v>73</v>
      </c>
      <c r="J1718" s="22">
        <v>120</v>
      </c>
      <c r="K1718" s="22">
        <v>0</v>
      </c>
      <c r="L1718" s="23">
        <v>1</v>
      </c>
      <c r="M1718" s="23">
        <v>0</v>
      </c>
      <c r="N1718" s="22">
        <v>0</v>
      </c>
      <c r="O1718" s="22">
        <v>0</v>
      </c>
      <c r="P1718" s="22">
        <v>0</v>
      </c>
      <c r="Q1718" s="22">
        <v>10</v>
      </c>
      <c r="R1718" s="23">
        <v>0</v>
      </c>
      <c r="S1718" s="23">
        <v>0</v>
      </c>
      <c r="T1718" s="22">
        <v>0</v>
      </c>
      <c r="U1718" s="22">
        <v>0</v>
      </c>
      <c r="V1718" s="23">
        <v>0</v>
      </c>
      <c r="W1718" s="23">
        <v>0</v>
      </c>
      <c r="X1718" s="22">
        <v>4</v>
      </c>
      <c r="Y1718" t="s">
        <v>1408</v>
      </c>
    </row>
    <row r="1719" spans="1:25" hidden="1" x14ac:dyDescent="0.25">
      <c r="A1719" t="s">
        <v>29</v>
      </c>
      <c r="B1719" t="s">
        <v>100</v>
      </c>
      <c r="C1719" t="s">
        <v>95</v>
      </c>
      <c r="D1719" t="s">
        <v>27</v>
      </c>
      <c r="E1719" s="2">
        <v>45922</v>
      </c>
      <c r="F1719" s="2">
        <v>45922</v>
      </c>
      <c r="G1719" s="3">
        <v>35</v>
      </c>
      <c r="H1719" t="s">
        <v>28</v>
      </c>
      <c r="I1719" s="22">
        <v>36</v>
      </c>
      <c r="J1719" s="22">
        <v>80</v>
      </c>
      <c r="K1719" s="22">
        <v>0</v>
      </c>
      <c r="L1719" s="23">
        <v>1</v>
      </c>
      <c r="M1719" s="23">
        <v>0</v>
      </c>
      <c r="N1719" s="22">
        <v>0</v>
      </c>
      <c r="O1719" s="22">
        <v>0</v>
      </c>
      <c r="P1719" s="22">
        <v>12</v>
      </c>
      <c r="Q1719" s="22">
        <v>0</v>
      </c>
      <c r="R1719" s="23">
        <v>0</v>
      </c>
      <c r="S1719" s="23">
        <v>0</v>
      </c>
      <c r="T1719" s="22">
        <v>0</v>
      </c>
      <c r="U1719" s="22">
        <v>0</v>
      </c>
      <c r="V1719" s="23">
        <v>0</v>
      </c>
      <c r="W1719" s="23">
        <v>0</v>
      </c>
      <c r="X1719" s="22">
        <v>2</v>
      </c>
      <c r="Y1719" t="s">
        <v>1409</v>
      </c>
    </row>
    <row r="1720" spans="1:25" hidden="1" x14ac:dyDescent="0.25">
      <c r="A1720" t="s">
        <v>31</v>
      </c>
      <c r="B1720" t="s">
        <v>104</v>
      </c>
      <c r="C1720" t="s">
        <v>32</v>
      </c>
      <c r="D1720" t="s">
        <v>27</v>
      </c>
      <c r="E1720" s="2">
        <v>45922</v>
      </c>
      <c r="F1720" s="2">
        <v>45922</v>
      </c>
      <c r="G1720" s="3">
        <v>89</v>
      </c>
      <c r="H1720" t="s">
        <v>28</v>
      </c>
      <c r="I1720" s="22">
        <v>118</v>
      </c>
      <c r="J1720" s="22">
        <v>75</v>
      </c>
      <c r="K1720" s="22">
        <v>0</v>
      </c>
      <c r="L1720" s="23">
        <v>0</v>
      </c>
      <c r="M1720" s="23">
        <v>0</v>
      </c>
      <c r="N1720" s="22">
        <v>0</v>
      </c>
      <c r="O1720" s="22">
        <v>0</v>
      </c>
      <c r="P1720" s="22">
        <v>0</v>
      </c>
      <c r="Q1720" s="22">
        <v>50</v>
      </c>
      <c r="R1720" s="23">
        <v>0</v>
      </c>
      <c r="S1720" s="23">
        <v>0</v>
      </c>
      <c r="T1720" s="22">
        <v>0</v>
      </c>
      <c r="U1720" s="22">
        <v>0</v>
      </c>
      <c r="V1720" s="23">
        <v>0</v>
      </c>
      <c r="W1720" s="23">
        <v>0</v>
      </c>
      <c r="X1720" s="22">
        <v>2</v>
      </c>
      <c r="Y1720" t="s">
        <v>1410</v>
      </c>
    </row>
    <row r="1721" spans="1:25" hidden="1" x14ac:dyDescent="0.25">
      <c r="A1721" t="s">
        <v>33</v>
      </c>
      <c r="B1721" t="s">
        <v>106</v>
      </c>
      <c r="C1721" t="s">
        <v>57</v>
      </c>
      <c r="D1721" t="s">
        <v>27</v>
      </c>
      <c r="E1721" s="2">
        <v>45922</v>
      </c>
      <c r="F1721" s="2">
        <v>45922</v>
      </c>
      <c r="G1721" s="3">
        <v>29</v>
      </c>
      <c r="H1721" t="s">
        <v>28</v>
      </c>
      <c r="I1721" s="22">
        <v>65</v>
      </c>
      <c r="J1721" s="22">
        <v>0</v>
      </c>
      <c r="K1721" s="22">
        <v>0</v>
      </c>
      <c r="L1721" s="23">
        <v>0</v>
      </c>
      <c r="M1721" s="23">
        <v>0</v>
      </c>
      <c r="N1721" s="22">
        <v>0</v>
      </c>
      <c r="O1721" s="22">
        <v>0</v>
      </c>
      <c r="P1721" s="22">
        <v>0</v>
      </c>
      <c r="Q1721" s="22">
        <v>20</v>
      </c>
      <c r="R1721" s="23">
        <v>0</v>
      </c>
      <c r="S1721" s="23">
        <v>0</v>
      </c>
      <c r="T1721" s="22">
        <v>0</v>
      </c>
      <c r="U1721" s="22">
        <v>0</v>
      </c>
      <c r="V1721" s="23">
        <v>0</v>
      </c>
      <c r="W1721" s="23">
        <v>0</v>
      </c>
      <c r="X1721" s="22">
        <v>0</v>
      </c>
      <c r="Y1721" t="s">
        <v>1411</v>
      </c>
    </row>
    <row r="1722" spans="1:25" hidden="1" x14ac:dyDescent="0.25">
      <c r="A1722" t="s">
        <v>38</v>
      </c>
      <c r="B1722" t="s">
        <v>108</v>
      </c>
      <c r="C1722" t="s">
        <v>27</v>
      </c>
      <c r="D1722" t="s">
        <v>27</v>
      </c>
      <c r="E1722" s="2">
        <v>45922</v>
      </c>
      <c r="F1722" s="2">
        <v>45922</v>
      </c>
      <c r="G1722" s="3">
        <v>62</v>
      </c>
      <c r="H1722" t="s">
        <v>28</v>
      </c>
      <c r="I1722" s="22">
        <v>38</v>
      </c>
      <c r="J1722" s="22">
        <v>0</v>
      </c>
      <c r="K1722" s="22">
        <v>0</v>
      </c>
      <c r="L1722" s="23">
        <v>0</v>
      </c>
      <c r="M1722" s="23">
        <v>0</v>
      </c>
      <c r="N1722" s="22">
        <v>0</v>
      </c>
      <c r="O1722" s="22">
        <v>0</v>
      </c>
      <c r="P1722" s="22">
        <v>0</v>
      </c>
      <c r="Q1722" s="22">
        <v>38</v>
      </c>
      <c r="R1722" s="23">
        <v>0</v>
      </c>
      <c r="S1722" s="23">
        <v>0</v>
      </c>
      <c r="T1722" s="22">
        <v>0</v>
      </c>
      <c r="U1722" s="22">
        <v>0</v>
      </c>
      <c r="V1722" s="23">
        <v>0</v>
      </c>
      <c r="W1722" s="23">
        <v>0</v>
      </c>
      <c r="X1722" s="22">
        <v>0</v>
      </c>
      <c r="Y1722" t="s">
        <v>1412</v>
      </c>
    </row>
    <row r="1723" spans="1:25" hidden="1" x14ac:dyDescent="0.25">
      <c r="A1723" t="s">
        <v>40</v>
      </c>
      <c r="B1723" t="s">
        <v>110</v>
      </c>
      <c r="C1723" t="s">
        <v>27</v>
      </c>
      <c r="D1723" t="s">
        <v>27</v>
      </c>
      <c r="E1723" s="2">
        <v>45922</v>
      </c>
      <c r="F1723" s="2">
        <v>45922</v>
      </c>
      <c r="G1723" s="3">
        <v>130</v>
      </c>
      <c r="H1723" t="s">
        <v>28</v>
      </c>
      <c r="I1723" s="22">
        <v>92</v>
      </c>
      <c r="J1723" s="22">
        <v>0</v>
      </c>
      <c r="K1723" s="22">
        <v>0</v>
      </c>
      <c r="L1723" s="23">
        <v>1</v>
      </c>
      <c r="M1723" s="23">
        <v>0</v>
      </c>
      <c r="N1723" s="22">
        <v>1</v>
      </c>
      <c r="O1723" s="22">
        <v>0</v>
      </c>
      <c r="P1723" s="22">
        <v>0</v>
      </c>
      <c r="Q1723" s="22">
        <v>0</v>
      </c>
      <c r="R1723" s="23">
        <v>0</v>
      </c>
      <c r="S1723" s="23">
        <v>0</v>
      </c>
      <c r="T1723" s="22">
        <v>0</v>
      </c>
      <c r="U1723" s="22">
        <v>0</v>
      </c>
      <c r="V1723" s="23">
        <v>0</v>
      </c>
      <c r="W1723" s="23">
        <v>0</v>
      </c>
      <c r="X1723" s="22">
        <v>0</v>
      </c>
      <c r="Y1723" t="s">
        <v>1413</v>
      </c>
    </row>
    <row r="1724" spans="1:25" hidden="1" x14ac:dyDescent="0.25">
      <c r="A1724" t="s">
        <v>36</v>
      </c>
      <c r="B1724" t="s">
        <v>110</v>
      </c>
      <c r="C1724" t="s">
        <v>27</v>
      </c>
      <c r="D1724" t="s">
        <v>27</v>
      </c>
      <c r="E1724" s="2">
        <v>45922</v>
      </c>
      <c r="F1724" s="2">
        <v>45922</v>
      </c>
      <c r="G1724" s="3">
        <v>130</v>
      </c>
      <c r="H1724" t="s">
        <v>28</v>
      </c>
      <c r="I1724" s="22">
        <v>92</v>
      </c>
      <c r="J1724" s="22">
        <v>0</v>
      </c>
      <c r="K1724" s="22">
        <v>0</v>
      </c>
      <c r="L1724" s="23">
        <v>1</v>
      </c>
      <c r="M1724" s="23">
        <v>0</v>
      </c>
      <c r="N1724" s="22">
        <v>1</v>
      </c>
      <c r="O1724" s="22">
        <v>0</v>
      </c>
      <c r="P1724" s="22">
        <v>0</v>
      </c>
      <c r="Q1724" s="22">
        <v>0</v>
      </c>
      <c r="R1724" s="23">
        <v>0</v>
      </c>
      <c r="S1724" s="23">
        <v>0</v>
      </c>
      <c r="T1724" s="22">
        <v>0</v>
      </c>
      <c r="U1724" s="22">
        <v>0</v>
      </c>
      <c r="V1724" s="23">
        <v>0</v>
      </c>
      <c r="W1724" s="23">
        <v>0</v>
      </c>
      <c r="X1724" s="22">
        <v>0</v>
      </c>
      <c r="Y1724" t="s">
        <v>1413</v>
      </c>
    </row>
    <row r="1725" spans="1:25" hidden="1" x14ac:dyDescent="0.25">
      <c r="A1725" t="s">
        <v>41</v>
      </c>
      <c r="B1725" t="s">
        <v>112</v>
      </c>
      <c r="C1725" t="s">
        <v>42</v>
      </c>
      <c r="D1725" t="s">
        <v>27</v>
      </c>
      <c r="E1725" s="2">
        <v>45922</v>
      </c>
      <c r="F1725" s="2">
        <v>45922</v>
      </c>
      <c r="G1725" s="3">
        <v>29</v>
      </c>
      <c r="H1725" s="4" t="s">
        <v>28</v>
      </c>
      <c r="I1725" s="22">
        <v>104</v>
      </c>
      <c r="J1725" s="22">
        <v>0</v>
      </c>
      <c r="K1725" s="22">
        <v>0</v>
      </c>
      <c r="L1725" s="23">
        <v>1</v>
      </c>
      <c r="M1725" s="23">
        <v>0</v>
      </c>
      <c r="N1725" s="22">
        <v>0</v>
      </c>
      <c r="O1725" s="22">
        <v>0</v>
      </c>
      <c r="P1725" s="22">
        <v>0</v>
      </c>
      <c r="Q1725" s="22">
        <v>0</v>
      </c>
      <c r="R1725" s="23">
        <v>0</v>
      </c>
      <c r="S1725" s="23">
        <v>0</v>
      </c>
      <c r="T1725" s="22">
        <v>0</v>
      </c>
      <c r="U1725" s="22">
        <v>0</v>
      </c>
      <c r="V1725" s="23">
        <v>0</v>
      </c>
      <c r="W1725" s="23">
        <v>0</v>
      </c>
      <c r="X1725" s="22">
        <v>0</v>
      </c>
      <c r="Y1725" t="s">
        <v>1388</v>
      </c>
    </row>
    <row r="1726" spans="1:25" hidden="1" x14ac:dyDescent="0.25">
      <c r="A1726" t="s">
        <v>43</v>
      </c>
      <c r="B1726" t="s">
        <v>114</v>
      </c>
      <c r="C1726" t="s">
        <v>44</v>
      </c>
      <c r="D1726" t="s">
        <v>27</v>
      </c>
      <c r="E1726" s="2">
        <v>45922</v>
      </c>
      <c r="F1726" s="2">
        <v>45922</v>
      </c>
      <c r="G1726" s="3">
        <v>27</v>
      </c>
      <c r="H1726" t="s">
        <v>28</v>
      </c>
      <c r="I1726" s="22">
        <v>18</v>
      </c>
      <c r="J1726" s="22">
        <v>0</v>
      </c>
      <c r="K1726" s="22">
        <v>0</v>
      </c>
      <c r="L1726" s="23">
        <v>1</v>
      </c>
      <c r="M1726" s="23">
        <v>0</v>
      </c>
      <c r="N1726" s="22">
        <v>0</v>
      </c>
      <c r="O1726" s="22">
        <v>0</v>
      </c>
      <c r="P1726" s="22">
        <v>0</v>
      </c>
      <c r="Q1726" s="22">
        <v>0</v>
      </c>
      <c r="R1726" s="23">
        <v>0</v>
      </c>
      <c r="S1726" s="23">
        <v>0</v>
      </c>
      <c r="T1726" s="22">
        <v>0</v>
      </c>
      <c r="U1726" s="22">
        <v>0</v>
      </c>
      <c r="V1726" s="23">
        <v>0</v>
      </c>
      <c r="W1726" s="23">
        <v>0</v>
      </c>
      <c r="X1726" s="22">
        <v>0</v>
      </c>
      <c r="Y1726" t="s">
        <v>1403</v>
      </c>
    </row>
    <row r="1727" spans="1:25" hidden="1" x14ac:dyDescent="0.25">
      <c r="A1727" t="s">
        <v>49</v>
      </c>
      <c r="B1727" t="s">
        <v>118</v>
      </c>
      <c r="C1727" t="s">
        <v>50</v>
      </c>
      <c r="D1727" t="s">
        <v>27</v>
      </c>
      <c r="E1727" s="2">
        <v>45922</v>
      </c>
      <c r="F1727" s="2">
        <v>45922</v>
      </c>
      <c r="G1727" s="3">
        <v>29</v>
      </c>
      <c r="H1727" s="4" t="s">
        <v>28</v>
      </c>
      <c r="I1727" s="22">
        <v>37</v>
      </c>
      <c r="J1727" s="22">
        <v>0</v>
      </c>
      <c r="K1727" s="22">
        <v>0</v>
      </c>
      <c r="L1727" s="23">
        <v>1</v>
      </c>
      <c r="M1727" s="23">
        <v>0</v>
      </c>
      <c r="N1727" s="22">
        <v>0</v>
      </c>
      <c r="O1727" s="22">
        <v>0</v>
      </c>
      <c r="P1727" s="22">
        <v>0</v>
      </c>
      <c r="Q1727" s="22">
        <v>37</v>
      </c>
      <c r="R1727" s="23">
        <v>0</v>
      </c>
      <c r="S1727" s="23">
        <v>0</v>
      </c>
      <c r="T1727" s="22">
        <v>0</v>
      </c>
      <c r="U1727" s="22">
        <v>0</v>
      </c>
      <c r="V1727" s="23">
        <v>0</v>
      </c>
      <c r="W1727" s="23">
        <v>0</v>
      </c>
      <c r="X1727" s="22">
        <v>0</v>
      </c>
      <c r="Y1727" t="s">
        <v>1376</v>
      </c>
    </row>
    <row r="1728" spans="1:25" hidden="1" x14ac:dyDescent="0.25">
      <c r="A1728" t="s">
        <v>34</v>
      </c>
      <c r="B1728" t="s">
        <v>137</v>
      </c>
      <c r="C1728" t="s">
        <v>27</v>
      </c>
      <c r="D1728" t="s">
        <v>27</v>
      </c>
      <c r="E1728" s="2">
        <v>45922</v>
      </c>
      <c r="F1728" s="2">
        <v>45922</v>
      </c>
      <c r="G1728" s="3">
        <v>70</v>
      </c>
      <c r="H1728" t="s">
        <v>28</v>
      </c>
      <c r="I1728" s="22">
        <v>60</v>
      </c>
      <c r="J1728" s="22">
        <v>95</v>
      </c>
      <c r="K1728" s="22">
        <v>0</v>
      </c>
      <c r="L1728" s="23">
        <v>0</v>
      </c>
      <c r="M1728" s="23">
        <v>0</v>
      </c>
      <c r="N1728" s="22">
        <v>0</v>
      </c>
      <c r="O1728" s="22">
        <v>0</v>
      </c>
      <c r="P1728" s="22">
        <v>0</v>
      </c>
      <c r="Q1728" s="22">
        <v>0</v>
      </c>
      <c r="R1728" s="23">
        <v>0</v>
      </c>
      <c r="S1728" s="23">
        <v>0</v>
      </c>
      <c r="T1728" s="22">
        <v>0</v>
      </c>
      <c r="U1728" s="22">
        <v>0</v>
      </c>
      <c r="V1728" s="23">
        <v>0</v>
      </c>
      <c r="W1728" s="23">
        <v>0</v>
      </c>
      <c r="X1728" s="22">
        <v>1</v>
      </c>
      <c r="Y1728" t="s">
        <v>1414</v>
      </c>
    </row>
    <row r="1729" spans="1:25" hidden="1" x14ac:dyDescent="0.25">
      <c r="A1729" t="s">
        <v>51</v>
      </c>
      <c r="B1729" t="s">
        <v>120</v>
      </c>
      <c r="C1729" t="s">
        <v>55</v>
      </c>
      <c r="D1729" t="s">
        <v>27</v>
      </c>
      <c r="E1729" s="2">
        <v>45922</v>
      </c>
      <c r="F1729" s="2">
        <v>45922</v>
      </c>
      <c r="G1729" s="3">
        <v>64</v>
      </c>
      <c r="H1729" t="s">
        <v>28</v>
      </c>
      <c r="I1729" s="22">
        <v>38</v>
      </c>
      <c r="J1729" s="22">
        <v>0</v>
      </c>
      <c r="K1729" s="22">
        <v>0</v>
      </c>
      <c r="L1729" s="23">
        <v>0</v>
      </c>
      <c r="M1729" s="23">
        <v>0</v>
      </c>
      <c r="N1729" s="22">
        <v>1</v>
      </c>
      <c r="O1729" s="22">
        <v>0</v>
      </c>
      <c r="P1729" s="22">
        <v>0</v>
      </c>
      <c r="Q1729" s="22">
        <v>0</v>
      </c>
      <c r="R1729" s="23">
        <v>0</v>
      </c>
      <c r="S1729" s="23">
        <v>0</v>
      </c>
      <c r="T1729" s="22">
        <v>0</v>
      </c>
      <c r="U1729" s="22">
        <v>0</v>
      </c>
      <c r="V1729" s="23">
        <v>0</v>
      </c>
      <c r="W1729" s="23">
        <v>0</v>
      </c>
      <c r="X1729" s="22">
        <v>0</v>
      </c>
      <c r="Y1729" t="s">
        <v>1415</v>
      </c>
    </row>
    <row r="1730" spans="1:25" hidden="1" x14ac:dyDescent="0.25">
      <c r="A1730" t="s">
        <v>54</v>
      </c>
      <c r="B1730" t="s">
        <v>122</v>
      </c>
      <c r="C1730" t="s">
        <v>52</v>
      </c>
      <c r="D1730" t="s">
        <v>27</v>
      </c>
      <c r="E1730" s="2">
        <v>45922</v>
      </c>
      <c r="F1730" s="2">
        <v>45922</v>
      </c>
      <c r="G1730" s="3">
        <v>39</v>
      </c>
      <c r="H1730" t="s">
        <v>28</v>
      </c>
      <c r="I1730" s="22">
        <v>57</v>
      </c>
      <c r="J1730" s="22">
        <v>0</v>
      </c>
      <c r="K1730" s="22">
        <v>0</v>
      </c>
      <c r="L1730" s="23">
        <v>0</v>
      </c>
      <c r="M1730" s="23">
        <v>0</v>
      </c>
      <c r="N1730" s="22">
        <v>0</v>
      </c>
      <c r="O1730" s="22">
        <v>0</v>
      </c>
      <c r="P1730" s="22">
        <v>0</v>
      </c>
      <c r="Q1730" s="22">
        <v>2</v>
      </c>
      <c r="R1730" s="23">
        <v>0</v>
      </c>
      <c r="S1730" s="23">
        <v>0</v>
      </c>
      <c r="T1730" s="22">
        <v>0</v>
      </c>
      <c r="U1730" s="22">
        <v>0</v>
      </c>
      <c r="V1730" s="23">
        <v>0</v>
      </c>
      <c r="W1730" s="23">
        <v>0</v>
      </c>
      <c r="X1730" s="22">
        <v>0</v>
      </c>
      <c r="Y1730" t="s">
        <v>1416</v>
      </c>
    </row>
    <row r="1731" spans="1:25" hidden="1" x14ac:dyDescent="0.25">
      <c r="A1731" t="s">
        <v>48</v>
      </c>
      <c r="B1731" t="s">
        <v>149</v>
      </c>
      <c r="C1731" t="s">
        <v>46</v>
      </c>
      <c r="D1731" t="s">
        <v>27</v>
      </c>
      <c r="E1731" s="2">
        <v>45922</v>
      </c>
      <c r="F1731" s="2">
        <v>45922</v>
      </c>
      <c r="G1731" s="3">
        <v>79</v>
      </c>
      <c r="H1731" t="s">
        <v>28</v>
      </c>
      <c r="I1731" s="22">
        <v>72</v>
      </c>
      <c r="J1731" s="22">
        <v>51</v>
      </c>
      <c r="K1731" s="22">
        <v>0</v>
      </c>
      <c r="L1731" s="23">
        <v>1</v>
      </c>
      <c r="M1731" s="23">
        <v>0</v>
      </c>
      <c r="N1731" s="22">
        <v>0</v>
      </c>
      <c r="O1731" s="22">
        <v>0</v>
      </c>
      <c r="P1731" s="22">
        <v>0</v>
      </c>
      <c r="Q1731" s="22">
        <v>4</v>
      </c>
      <c r="R1731" s="23">
        <v>0</v>
      </c>
      <c r="S1731" s="23">
        <v>0</v>
      </c>
      <c r="T1731" s="22">
        <v>0</v>
      </c>
      <c r="U1731" s="22">
        <v>0</v>
      </c>
      <c r="V1731" s="23">
        <v>0</v>
      </c>
      <c r="W1731" s="23">
        <v>0</v>
      </c>
      <c r="X1731" s="22">
        <v>1</v>
      </c>
      <c r="Y1731" t="s">
        <v>1417</v>
      </c>
    </row>
    <row r="1732" spans="1:25" hidden="1" x14ac:dyDescent="0.25">
      <c r="A1732" t="s">
        <v>58</v>
      </c>
      <c r="B1732" t="s">
        <v>144</v>
      </c>
      <c r="C1732" t="s">
        <v>489</v>
      </c>
      <c r="D1732" t="s">
        <v>27</v>
      </c>
      <c r="E1732" s="2">
        <v>45922</v>
      </c>
      <c r="F1732" s="2">
        <v>45922</v>
      </c>
      <c r="G1732" s="3">
        <v>76</v>
      </c>
      <c r="H1732" t="s">
        <v>28</v>
      </c>
      <c r="I1732" s="22">
        <v>53</v>
      </c>
      <c r="J1732" s="22">
        <v>125</v>
      </c>
      <c r="K1732" s="22">
        <v>0</v>
      </c>
      <c r="L1732" s="23">
        <v>1</v>
      </c>
      <c r="M1732" s="23">
        <v>0</v>
      </c>
      <c r="N1732" s="22">
        <v>0</v>
      </c>
      <c r="O1732" s="22">
        <v>0</v>
      </c>
      <c r="P1732" s="22">
        <v>0</v>
      </c>
      <c r="Q1732" s="22">
        <v>0</v>
      </c>
      <c r="R1732" s="23">
        <v>0</v>
      </c>
      <c r="S1732" s="23">
        <v>0</v>
      </c>
      <c r="T1732" s="22">
        <v>0</v>
      </c>
      <c r="U1732" s="22">
        <v>0</v>
      </c>
      <c r="V1732" s="23">
        <v>0</v>
      </c>
      <c r="W1732" s="23">
        <v>0</v>
      </c>
      <c r="X1732" s="22">
        <v>4</v>
      </c>
      <c r="Y1732" t="s">
        <v>1418</v>
      </c>
    </row>
    <row r="1733" spans="1:25" hidden="1" x14ac:dyDescent="0.25">
      <c r="A1733" t="s">
        <v>27</v>
      </c>
      <c r="B1733" t="s">
        <v>106</v>
      </c>
      <c r="C1733" t="s">
        <v>26</v>
      </c>
      <c r="D1733" t="s">
        <v>27</v>
      </c>
      <c r="E1733" s="2">
        <v>45922</v>
      </c>
      <c r="F1733" s="2">
        <v>45922</v>
      </c>
      <c r="G1733" s="3">
        <v>76</v>
      </c>
      <c r="H1733" t="s">
        <v>1395</v>
      </c>
      <c r="I1733">
        <v>0</v>
      </c>
      <c r="J1733">
        <v>0</v>
      </c>
      <c r="K1733">
        <v>0</v>
      </c>
      <c r="L1733" s="3">
        <v>0</v>
      </c>
      <c r="M1733" s="3">
        <v>0</v>
      </c>
      <c r="N1733">
        <v>0</v>
      </c>
      <c r="O1733">
        <v>0</v>
      </c>
      <c r="P1733">
        <v>0</v>
      </c>
      <c r="Q1733">
        <v>0</v>
      </c>
      <c r="R1733" s="3">
        <v>0</v>
      </c>
      <c r="S1733" s="3">
        <v>0</v>
      </c>
      <c r="T1733">
        <v>0</v>
      </c>
      <c r="U1733">
        <v>0</v>
      </c>
      <c r="V1733" s="3">
        <v>0</v>
      </c>
      <c r="W1733" s="3">
        <v>0</v>
      </c>
      <c r="X1733" s="3">
        <v>0</v>
      </c>
      <c r="Y1733" t="s">
        <v>1418</v>
      </c>
    </row>
    <row r="1734" spans="1:25" hidden="1" x14ac:dyDescent="0.25">
      <c r="A1734" t="s">
        <v>344</v>
      </c>
      <c r="B1734" t="s">
        <v>184</v>
      </c>
      <c r="C1734" t="s">
        <v>27</v>
      </c>
      <c r="D1734" t="s">
        <v>27</v>
      </c>
      <c r="E1734" s="2">
        <v>45922</v>
      </c>
      <c r="F1734" s="2">
        <v>45922</v>
      </c>
      <c r="G1734" s="3">
        <v>23</v>
      </c>
      <c r="H1734" s="4" t="s">
        <v>1256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1381</v>
      </c>
    </row>
    <row r="1735" spans="1:25" hidden="1" x14ac:dyDescent="0.25">
      <c r="A1735" t="s">
        <v>45</v>
      </c>
      <c r="B1735" t="s">
        <v>182</v>
      </c>
      <c r="C1735" t="s">
        <v>27</v>
      </c>
      <c r="D1735" t="s">
        <v>27</v>
      </c>
      <c r="E1735" s="2">
        <v>45922</v>
      </c>
      <c r="F1735" s="2">
        <v>45922</v>
      </c>
      <c r="G1735" s="3">
        <v>24</v>
      </c>
      <c r="H1735" s="4" t="s">
        <v>1256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1381</v>
      </c>
    </row>
    <row r="1736" spans="1:25" hidden="1" x14ac:dyDescent="0.25">
      <c r="A1736" t="s">
        <v>25</v>
      </c>
      <c r="B1736" t="s">
        <v>96</v>
      </c>
      <c r="C1736" t="s">
        <v>35</v>
      </c>
      <c r="D1736" t="s">
        <v>27</v>
      </c>
      <c r="E1736" s="2">
        <v>45923</v>
      </c>
      <c r="F1736" s="2">
        <v>45923</v>
      </c>
      <c r="G1736" s="3">
        <v>36</v>
      </c>
      <c r="H1736" s="4" t="s">
        <v>28</v>
      </c>
      <c r="I1736">
        <v>12</v>
      </c>
      <c r="J1736">
        <v>0</v>
      </c>
      <c r="K1736">
        <v>0</v>
      </c>
      <c r="L1736" s="3">
        <v>0</v>
      </c>
      <c r="M1736" s="3">
        <v>0</v>
      </c>
      <c r="N1736">
        <v>0</v>
      </c>
      <c r="O1736">
        <v>0</v>
      </c>
      <c r="P1736">
        <v>0</v>
      </c>
      <c r="Q1736">
        <v>0</v>
      </c>
      <c r="R1736" s="3">
        <v>0</v>
      </c>
      <c r="S1736" s="3">
        <v>0</v>
      </c>
      <c r="T1736">
        <v>0</v>
      </c>
      <c r="U1736">
        <v>0</v>
      </c>
      <c r="V1736" s="3">
        <v>0</v>
      </c>
      <c r="W1736" s="3">
        <v>0</v>
      </c>
      <c r="X1736">
        <v>0</v>
      </c>
      <c r="Y1736" t="s">
        <v>1449</v>
      </c>
    </row>
    <row r="1737" spans="1:25" hidden="1" x14ac:dyDescent="0.25">
      <c r="A1737" t="s">
        <v>56</v>
      </c>
      <c r="B1737" t="s">
        <v>98</v>
      </c>
      <c r="C1737" t="s">
        <v>37</v>
      </c>
      <c r="D1737" t="s">
        <v>27</v>
      </c>
      <c r="E1737" s="2">
        <v>45923</v>
      </c>
      <c r="F1737" s="2">
        <v>45923</v>
      </c>
      <c r="G1737" s="3">
        <v>47</v>
      </c>
      <c r="H1737" s="4" t="s">
        <v>28</v>
      </c>
      <c r="I1737">
        <v>58</v>
      </c>
      <c r="J1737">
        <v>0</v>
      </c>
      <c r="K1737">
        <v>0</v>
      </c>
      <c r="L1737" s="3">
        <v>1</v>
      </c>
      <c r="M1737" s="3">
        <v>0</v>
      </c>
      <c r="N1737">
        <v>0</v>
      </c>
      <c r="O1737">
        <v>0</v>
      </c>
      <c r="P1737">
        <v>0</v>
      </c>
      <c r="Q1737">
        <v>0</v>
      </c>
      <c r="R1737" s="3">
        <v>0</v>
      </c>
      <c r="S1737" s="3">
        <v>0</v>
      </c>
      <c r="T1737">
        <v>0</v>
      </c>
      <c r="U1737">
        <v>0</v>
      </c>
      <c r="V1737" s="3">
        <v>0</v>
      </c>
      <c r="W1737" s="3">
        <v>0</v>
      </c>
      <c r="X1737">
        <v>0</v>
      </c>
      <c r="Y1737" t="s">
        <v>1450</v>
      </c>
    </row>
    <row r="1738" spans="1:25" hidden="1" x14ac:dyDescent="0.25">
      <c r="A1738" t="s">
        <v>29</v>
      </c>
      <c r="B1738" t="s">
        <v>100</v>
      </c>
      <c r="C1738" t="s">
        <v>95</v>
      </c>
      <c r="D1738" t="s">
        <v>27</v>
      </c>
      <c r="E1738" s="2">
        <v>45923</v>
      </c>
      <c r="F1738" s="2">
        <v>45923</v>
      </c>
      <c r="G1738" s="3">
        <v>26</v>
      </c>
      <c r="H1738" s="4" t="s">
        <v>28</v>
      </c>
      <c r="I1738">
        <v>56</v>
      </c>
      <c r="J1738">
        <v>0</v>
      </c>
      <c r="K1738">
        <v>0</v>
      </c>
      <c r="L1738" s="3">
        <v>0</v>
      </c>
      <c r="M1738" s="3">
        <v>0</v>
      </c>
      <c r="N1738">
        <v>0</v>
      </c>
      <c r="O1738">
        <v>0</v>
      </c>
      <c r="P1738">
        <v>0</v>
      </c>
      <c r="Q1738">
        <v>0</v>
      </c>
      <c r="R1738" s="3">
        <v>0</v>
      </c>
      <c r="S1738" s="3">
        <v>0</v>
      </c>
      <c r="T1738">
        <v>0</v>
      </c>
      <c r="U1738">
        <v>0</v>
      </c>
      <c r="V1738" s="3">
        <v>0</v>
      </c>
      <c r="W1738" s="3">
        <v>0</v>
      </c>
      <c r="X1738">
        <v>0</v>
      </c>
      <c r="Y1738" t="s">
        <v>1451</v>
      </c>
    </row>
    <row r="1739" spans="1:25" hidden="1" x14ac:dyDescent="0.25">
      <c r="A1739" s="1" t="s">
        <v>31</v>
      </c>
      <c r="B1739" s="1" t="s">
        <v>104</v>
      </c>
      <c r="C1739" s="1" t="s">
        <v>32</v>
      </c>
      <c r="D1739" s="1" t="s">
        <v>27</v>
      </c>
      <c r="E1739" s="2">
        <v>45923</v>
      </c>
      <c r="F1739" s="2">
        <v>45923</v>
      </c>
      <c r="G1739" s="3">
        <v>89</v>
      </c>
      <c r="H1739" s="4" t="s">
        <v>28</v>
      </c>
      <c r="I1739" s="22">
        <v>87</v>
      </c>
      <c r="J1739" s="22">
        <v>0</v>
      </c>
      <c r="K1739" s="22">
        <v>0</v>
      </c>
      <c r="L1739" s="23">
        <v>0</v>
      </c>
      <c r="M1739" s="23">
        <v>0</v>
      </c>
      <c r="N1739" s="22">
        <v>0</v>
      </c>
      <c r="O1739" s="22">
        <v>0</v>
      </c>
      <c r="P1739" s="22">
        <v>0</v>
      </c>
      <c r="Q1739" s="22">
        <v>50</v>
      </c>
      <c r="R1739" s="23">
        <v>0</v>
      </c>
      <c r="S1739" s="23">
        <v>0</v>
      </c>
      <c r="T1739" s="22">
        <v>0</v>
      </c>
      <c r="U1739" s="22">
        <v>0</v>
      </c>
      <c r="V1739" s="23">
        <v>0</v>
      </c>
      <c r="W1739" s="23">
        <v>0</v>
      </c>
      <c r="X1739" s="22">
        <v>0</v>
      </c>
      <c r="Y1739" t="s">
        <v>1410</v>
      </c>
    </row>
    <row r="1740" spans="1:25" hidden="1" x14ac:dyDescent="0.25">
      <c r="A1740" t="s">
        <v>38</v>
      </c>
      <c r="B1740" t="s">
        <v>108</v>
      </c>
      <c r="C1740" t="s">
        <v>27</v>
      </c>
      <c r="D1740" t="s">
        <v>27</v>
      </c>
      <c r="E1740" s="2">
        <v>45923</v>
      </c>
      <c r="F1740" s="2">
        <v>45923</v>
      </c>
      <c r="G1740" s="3">
        <v>49</v>
      </c>
      <c r="H1740" s="4" t="s">
        <v>28</v>
      </c>
      <c r="I1740">
        <v>26</v>
      </c>
      <c r="J1740">
        <v>0</v>
      </c>
      <c r="K1740">
        <v>0</v>
      </c>
      <c r="L1740" s="3">
        <v>0</v>
      </c>
      <c r="M1740" s="3">
        <v>0</v>
      </c>
      <c r="N1740">
        <v>0</v>
      </c>
      <c r="O1740">
        <v>0</v>
      </c>
      <c r="P1740">
        <v>0</v>
      </c>
      <c r="Q1740">
        <v>26</v>
      </c>
      <c r="R1740" s="3">
        <v>0</v>
      </c>
      <c r="S1740" s="3">
        <v>0</v>
      </c>
      <c r="T1740">
        <v>0</v>
      </c>
      <c r="U1740">
        <v>0</v>
      </c>
      <c r="V1740" s="3">
        <v>0</v>
      </c>
      <c r="W1740" s="3">
        <v>0</v>
      </c>
      <c r="X1740">
        <v>0</v>
      </c>
      <c r="Y1740" t="s">
        <v>1452</v>
      </c>
    </row>
    <row r="1741" spans="1:25" hidden="1" x14ac:dyDescent="0.25">
      <c r="A1741" t="s">
        <v>40</v>
      </c>
      <c r="B1741" t="s">
        <v>110</v>
      </c>
      <c r="C1741" t="s">
        <v>27</v>
      </c>
      <c r="D1741" t="s">
        <v>27</v>
      </c>
      <c r="E1741" s="2">
        <v>45923</v>
      </c>
      <c r="F1741" s="2">
        <v>45923</v>
      </c>
      <c r="G1741" s="3">
        <v>92</v>
      </c>
      <c r="H1741" s="4" t="s">
        <v>28</v>
      </c>
      <c r="I1741">
        <v>32</v>
      </c>
      <c r="J1741">
        <v>0</v>
      </c>
      <c r="K1741">
        <v>0</v>
      </c>
      <c r="L1741" s="3">
        <v>1</v>
      </c>
      <c r="M1741" s="3">
        <v>0</v>
      </c>
      <c r="N1741">
        <v>1</v>
      </c>
      <c r="O1741">
        <v>0</v>
      </c>
      <c r="P1741">
        <v>0</v>
      </c>
      <c r="Q1741">
        <v>0</v>
      </c>
      <c r="R1741" s="3">
        <v>0</v>
      </c>
      <c r="S1741" s="3">
        <v>0</v>
      </c>
      <c r="T1741">
        <v>0</v>
      </c>
      <c r="U1741">
        <v>0</v>
      </c>
      <c r="V1741" s="3">
        <v>0</v>
      </c>
      <c r="W1741" s="3">
        <v>0</v>
      </c>
      <c r="X1741">
        <v>0</v>
      </c>
      <c r="Y1741" t="s">
        <v>1453</v>
      </c>
    </row>
    <row r="1742" spans="1:25" hidden="1" x14ac:dyDescent="0.25">
      <c r="A1742" t="s">
        <v>36</v>
      </c>
      <c r="B1742" t="s">
        <v>110</v>
      </c>
      <c r="C1742" t="s">
        <v>27</v>
      </c>
      <c r="D1742" t="s">
        <v>27</v>
      </c>
      <c r="E1742" s="2">
        <v>45923</v>
      </c>
      <c r="F1742" s="2">
        <v>45923</v>
      </c>
      <c r="G1742" s="3">
        <v>92</v>
      </c>
      <c r="H1742" s="4" t="s">
        <v>28</v>
      </c>
      <c r="I1742">
        <v>32</v>
      </c>
      <c r="J1742">
        <v>0</v>
      </c>
      <c r="K1742">
        <v>0</v>
      </c>
      <c r="L1742" s="3">
        <v>1</v>
      </c>
      <c r="M1742" s="3">
        <v>0</v>
      </c>
      <c r="N1742">
        <v>1</v>
      </c>
      <c r="O1742">
        <v>0</v>
      </c>
      <c r="P1742">
        <v>0</v>
      </c>
      <c r="Q1742">
        <v>0</v>
      </c>
      <c r="R1742" s="3">
        <v>0</v>
      </c>
      <c r="S1742" s="3">
        <v>0</v>
      </c>
      <c r="T1742">
        <v>0</v>
      </c>
      <c r="U1742">
        <v>0</v>
      </c>
      <c r="V1742" s="3">
        <v>0</v>
      </c>
      <c r="W1742" s="3">
        <v>0</v>
      </c>
      <c r="X1742">
        <v>0</v>
      </c>
      <c r="Y1742" t="s">
        <v>1453</v>
      </c>
    </row>
    <row r="1743" spans="1:25" hidden="1" x14ac:dyDescent="0.25">
      <c r="A1743" t="s">
        <v>1454</v>
      </c>
      <c r="B1743" t="s">
        <v>1455</v>
      </c>
      <c r="C1743" t="s">
        <v>27</v>
      </c>
      <c r="D1743" t="s">
        <v>27</v>
      </c>
      <c r="E1743" s="2">
        <v>45923</v>
      </c>
      <c r="F1743" s="2">
        <v>45923</v>
      </c>
      <c r="G1743" s="3">
        <v>34</v>
      </c>
      <c r="H1743" s="4" t="s">
        <v>28</v>
      </c>
      <c r="I1743">
        <v>31</v>
      </c>
      <c r="J1743">
        <v>0</v>
      </c>
      <c r="K1743">
        <v>0</v>
      </c>
      <c r="L1743" s="3">
        <v>1</v>
      </c>
      <c r="M1743" s="3">
        <v>0</v>
      </c>
      <c r="N1743">
        <v>0</v>
      </c>
      <c r="O1743">
        <v>0</v>
      </c>
      <c r="P1743">
        <v>0</v>
      </c>
      <c r="Q1743">
        <v>31</v>
      </c>
      <c r="R1743" s="3">
        <v>0</v>
      </c>
      <c r="S1743" s="3">
        <v>0</v>
      </c>
      <c r="T1743">
        <v>0</v>
      </c>
      <c r="U1743">
        <v>0</v>
      </c>
      <c r="V1743" s="3">
        <v>0</v>
      </c>
      <c r="W1743" s="3">
        <v>0</v>
      </c>
      <c r="X1743">
        <v>0</v>
      </c>
      <c r="Y1743" t="s">
        <v>1456</v>
      </c>
    </row>
    <row r="1744" spans="1:25" hidden="1" x14ac:dyDescent="0.25">
      <c r="A1744" t="s">
        <v>41</v>
      </c>
      <c r="B1744" t="s">
        <v>112</v>
      </c>
      <c r="C1744" t="s">
        <v>42</v>
      </c>
      <c r="D1744" t="s">
        <v>27</v>
      </c>
      <c r="E1744" s="2">
        <v>45923</v>
      </c>
      <c r="F1744" s="2">
        <v>45923</v>
      </c>
      <c r="G1744" s="3">
        <v>67</v>
      </c>
      <c r="H1744" s="4" t="s">
        <v>28</v>
      </c>
      <c r="I1744">
        <v>92</v>
      </c>
      <c r="J1744">
        <v>0</v>
      </c>
      <c r="K1744">
        <v>0</v>
      </c>
      <c r="L1744" s="3">
        <v>1</v>
      </c>
      <c r="M1744" s="3">
        <v>1</v>
      </c>
      <c r="N1744">
        <v>0</v>
      </c>
      <c r="O1744">
        <v>0</v>
      </c>
      <c r="P1744">
        <v>0</v>
      </c>
      <c r="Q1744">
        <v>5</v>
      </c>
      <c r="R1744" s="3">
        <v>0</v>
      </c>
      <c r="S1744" s="3">
        <v>0</v>
      </c>
      <c r="T1744">
        <v>0</v>
      </c>
      <c r="U1744">
        <v>0</v>
      </c>
      <c r="V1744" s="3">
        <v>0</v>
      </c>
      <c r="W1744" s="3">
        <v>0</v>
      </c>
      <c r="X1744">
        <v>13</v>
      </c>
      <c r="Y1744" t="s">
        <v>1457</v>
      </c>
    </row>
    <row r="1745" spans="1:25" hidden="1" x14ac:dyDescent="0.25">
      <c r="A1745" t="s">
        <v>43</v>
      </c>
      <c r="B1745" t="s">
        <v>114</v>
      </c>
      <c r="C1745" t="s">
        <v>44</v>
      </c>
      <c r="D1745" t="s">
        <v>27</v>
      </c>
      <c r="E1745" s="2">
        <v>45923</v>
      </c>
      <c r="F1745" s="2">
        <v>45923</v>
      </c>
      <c r="G1745" s="3">
        <v>24</v>
      </c>
      <c r="H1745" s="4" t="s">
        <v>28</v>
      </c>
      <c r="I1745">
        <v>70</v>
      </c>
      <c r="J1745">
        <v>0</v>
      </c>
      <c r="K1745">
        <v>0</v>
      </c>
      <c r="L1745" s="3">
        <v>1</v>
      </c>
      <c r="M1745" s="3">
        <v>0</v>
      </c>
      <c r="N1745">
        <v>0</v>
      </c>
      <c r="O1745">
        <v>0</v>
      </c>
      <c r="P1745">
        <v>0</v>
      </c>
      <c r="Q1745">
        <v>0</v>
      </c>
      <c r="R1745" s="3">
        <v>0</v>
      </c>
      <c r="S1745" s="3">
        <v>0</v>
      </c>
      <c r="T1745">
        <v>0</v>
      </c>
      <c r="U1745">
        <v>0</v>
      </c>
      <c r="V1745" s="3">
        <v>0</v>
      </c>
      <c r="W1745" s="3">
        <v>0</v>
      </c>
      <c r="X1745">
        <v>0</v>
      </c>
      <c r="Y1745" t="s">
        <v>1458</v>
      </c>
    </row>
    <row r="1746" spans="1:25" hidden="1" x14ac:dyDescent="0.25">
      <c r="A1746" t="s">
        <v>47</v>
      </c>
      <c r="B1746" t="s">
        <v>137</v>
      </c>
      <c r="C1746" t="s">
        <v>27</v>
      </c>
      <c r="D1746" t="s">
        <v>27</v>
      </c>
      <c r="E1746" s="2">
        <v>45923</v>
      </c>
      <c r="F1746" s="2">
        <v>45923</v>
      </c>
      <c r="G1746" s="3">
        <v>25</v>
      </c>
      <c r="H1746" s="4" t="s">
        <v>28</v>
      </c>
      <c r="I1746">
        <v>42</v>
      </c>
      <c r="J1746">
        <v>0</v>
      </c>
      <c r="K1746">
        <v>0</v>
      </c>
      <c r="L1746" s="3">
        <v>0</v>
      </c>
      <c r="M1746" s="3">
        <v>0</v>
      </c>
      <c r="N1746">
        <v>0</v>
      </c>
      <c r="O1746">
        <v>0</v>
      </c>
      <c r="P1746">
        <v>0</v>
      </c>
      <c r="Q1746">
        <v>0</v>
      </c>
      <c r="R1746" s="3">
        <v>0</v>
      </c>
      <c r="S1746" s="3">
        <v>0</v>
      </c>
      <c r="T1746">
        <v>0</v>
      </c>
      <c r="U1746">
        <v>0</v>
      </c>
      <c r="V1746" s="3">
        <v>0</v>
      </c>
      <c r="W1746" s="3">
        <v>0</v>
      </c>
      <c r="X1746">
        <v>0</v>
      </c>
      <c r="Y1746" t="s">
        <v>1459</v>
      </c>
    </row>
    <row r="1747" spans="1:25" hidden="1" x14ac:dyDescent="0.25">
      <c r="A1747" t="s">
        <v>34</v>
      </c>
      <c r="B1747" t="s">
        <v>137</v>
      </c>
      <c r="C1747" t="s">
        <v>27</v>
      </c>
      <c r="D1747" t="s">
        <v>27</v>
      </c>
      <c r="E1747" s="2">
        <v>45923</v>
      </c>
      <c r="F1747" s="2">
        <v>45923</v>
      </c>
      <c r="G1747" s="3">
        <v>25</v>
      </c>
      <c r="H1747" s="4" t="s">
        <v>28</v>
      </c>
      <c r="I1747">
        <v>42</v>
      </c>
      <c r="J1747">
        <v>0</v>
      </c>
      <c r="K1747">
        <v>0</v>
      </c>
      <c r="L1747" s="3">
        <v>0</v>
      </c>
      <c r="M1747" s="3">
        <v>0</v>
      </c>
      <c r="N1747">
        <v>0</v>
      </c>
      <c r="O1747">
        <v>0</v>
      </c>
      <c r="P1747">
        <v>0</v>
      </c>
      <c r="Q1747">
        <v>0</v>
      </c>
      <c r="R1747" s="3">
        <v>0</v>
      </c>
      <c r="S1747" s="3">
        <v>0</v>
      </c>
      <c r="T1747">
        <v>0</v>
      </c>
      <c r="U1747">
        <v>0</v>
      </c>
      <c r="V1747" s="3">
        <v>0</v>
      </c>
      <c r="W1747" s="3">
        <v>0</v>
      </c>
      <c r="X1747">
        <v>0</v>
      </c>
      <c r="Y1747" t="s">
        <v>1459</v>
      </c>
    </row>
    <row r="1748" spans="1:25" hidden="1" x14ac:dyDescent="0.25">
      <c r="A1748" t="s">
        <v>49</v>
      </c>
      <c r="B1748" t="s">
        <v>118</v>
      </c>
      <c r="C1748" t="s">
        <v>50</v>
      </c>
      <c r="D1748" t="s">
        <v>27</v>
      </c>
      <c r="E1748" s="2">
        <v>45923</v>
      </c>
      <c r="F1748" s="2">
        <v>45923</v>
      </c>
      <c r="G1748" s="3">
        <v>25</v>
      </c>
      <c r="H1748" s="4" t="s">
        <v>28</v>
      </c>
      <c r="I1748">
        <v>52</v>
      </c>
      <c r="J1748">
        <v>0</v>
      </c>
      <c r="K1748">
        <v>0</v>
      </c>
      <c r="L1748" s="3">
        <v>1</v>
      </c>
      <c r="M1748" s="3">
        <v>1</v>
      </c>
      <c r="N1748">
        <v>0</v>
      </c>
      <c r="O1748">
        <v>1</v>
      </c>
      <c r="P1748">
        <v>0</v>
      </c>
      <c r="Q1748">
        <v>40</v>
      </c>
      <c r="R1748" s="3">
        <v>0</v>
      </c>
      <c r="S1748" s="3">
        <v>0</v>
      </c>
      <c r="T1748">
        <v>0</v>
      </c>
      <c r="U1748">
        <v>0</v>
      </c>
      <c r="V1748" s="3">
        <v>0</v>
      </c>
      <c r="W1748" s="3">
        <v>0</v>
      </c>
      <c r="X1748">
        <v>0</v>
      </c>
      <c r="Y1748" t="s">
        <v>1460</v>
      </c>
    </row>
    <row r="1749" spans="1:25" hidden="1" x14ac:dyDescent="0.25">
      <c r="A1749" t="s">
        <v>51</v>
      </c>
      <c r="B1749" t="s">
        <v>120</v>
      </c>
      <c r="C1749" t="s">
        <v>26</v>
      </c>
      <c r="D1749" t="s">
        <v>27</v>
      </c>
      <c r="E1749" s="2">
        <v>45923</v>
      </c>
      <c r="F1749" s="2">
        <v>45923</v>
      </c>
      <c r="G1749" s="3">
        <v>64</v>
      </c>
      <c r="H1749" s="4" t="s">
        <v>28</v>
      </c>
      <c r="I1749">
        <v>80</v>
      </c>
      <c r="J1749">
        <v>0</v>
      </c>
      <c r="K1749">
        <v>0</v>
      </c>
      <c r="L1749" s="3">
        <v>0</v>
      </c>
      <c r="M1749" s="3">
        <v>0</v>
      </c>
      <c r="N1749">
        <v>0</v>
      </c>
      <c r="O1749">
        <v>0</v>
      </c>
      <c r="P1749">
        <v>0</v>
      </c>
      <c r="Q1749">
        <v>0</v>
      </c>
      <c r="R1749" s="3">
        <v>0</v>
      </c>
      <c r="S1749" s="3">
        <v>0</v>
      </c>
      <c r="T1749">
        <v>0</v>
      </c>
      <c r="U1749">
        <v>0</v>
      </c>
      <c r="V1749" s="3">
        <v>0</v>
      </c>
      <c r="W1749" s="3">
        <v>0</v>
      </c>
      <c r="X1749">
        <v>0</v>
      </c>
      <c r="Y1749" t="s">
        <v>1461</v>
      </c>
    </row>
    <row r="1750" spans="1:25" hidden="1" x14ac:dyDescent="0.25">
      <c r="A1750" t="s">
        <v>54</v>
      </c>
      <c r="B1750" t="s">
        <v>122</v>
      </c>
      <c r="C1750" t="s">
        <v>52</v>
      </c>
      <c r="D1750" t="s">
        <v>27</v>
      </c>
      <c r="E1750" s="2">
        <v>45923</v>
      </c>
      <c r="F1750" s="2">
        <v>45923</v>
      </c>
      <c r="G1750" s="3">
        <v>40</v>
      </c>
      <c r="H1750" s="4" t="s">
        <v>28</v>
      </c>
      <c r="I1750">
        <v>47</v>
      </c>
      <c r="J1750">
        <v>0</v>
      </c>
      <c r="K1750">
        <v>0</v>
      </c>
      <c r="L1750" s="3">
        <v>0</v>
      </c>
      <c r="M1750" s="3">
        <v>0</v>
      </c>
      <c r="N1750">
        <v>0</v>
      </c>
      <c r="O1750">
        <v>0</v>
      </c>
      <c r="P1750">
        <v>0</v>
      </c>
      <c r="Q1750">
        <v>2</v>
      </c>
      <c r="R1750" s="3">
        <v>0</v>
      </c>
      <c r="S1750" s="3">
        <v>0</v>
      </c>
      <c r="T1750">
        <v>0</v>
      </c>
      <c r="U1750">
        <v>0</v>
      </c>
      <c r="V1750" s="3">
        <v>0</v>
      </c>
      <c r="W1750" s="3">
        <v>0</v>
      </c>
      <c r="X1750">
        <v>0</v>
      </c>
      <c r="Y1750" t="s">
        <v>1462</v>
      </c>
    </row>
    <row r="1751" spans="1:25" hidden="1" x14ac:dyDescent="0.25">
      <c r="A1751" t="s">
        <v>48</v>
      </c>
      <c r="B1751" t="s">
        <v>149</v>
      </c>
      <c r="C1751" t="s">
        <v>46</v>
      </c>
      <c r="D1751" t="s">
        <v>27</v>
      </c>
      <c r="E1751" s="2">
        <v>45923</v>
      </c>
      <c r="F1751" s="2">
        <v>45923</v>
      </c>
      <c r="G1751" s="3">
        <v>88</v>
      </c>
      <c r="H1751" s="4" t="s">
        <v>28</v>
      </c>
      <c r="I1751">
        <v>33</v>
      </c>
      <c r="J1751">
        <v>0</v>
      </c>
      <c r="K1751">
        <v>0</v>
      </c>
      <c r="L1751" s="3">
        <v>0</v>
      </c>
      <c r="M1751" s="3">
        <v>0</v>
      </c>
      <c r="N1751">
        <v>0</v>
      </c>
      <c r="O1751">
        <v>0</v>
      </c>
      <c r="P1751">
        <v>0</v>
      </c>
      <c r="Q1751">
        <v>2</v>
      </c>
      <c r="R1751" s="3">
        <v>0</v>
      </c>
      <c r="S1751" s="3">
        <v>0</v>
      </c>
      <c r="T1751">
        <v>0</v>
      </c>
      <c r="U1751">
        <v>0</v>
      </c>
      <c r="V1751" s="3">
        <v>0</v>
      </c>
      <c r="W1751" s="3">
        <v>0</v>
      </c>
      <c r="X1751">
        <v>0</v>
      </c>
      <c r="Y1751" t="s">
        <v>1463</v>
      </c>
    </row>
    <row r="1752" spans="1:25" hidden="1" x14ac:dyDescent="0.25">
      <c r="A1752" t="s">
        <v>58</v>
      </c>
      <c r="B1752" t="s">
        <v>144</v>
      </c>
      <c r="C1752" t="s">
        <v>489</v>
      </c>
      <c r="D1752" t="s">
        <v>27</v>
      </c>
      <c r="E1752" s="2">
        <v>45923</v>
      </c>
      <c r="F1752" s="2">
        <v>45923</v>
      </c>
      <c r="G1752" s="3">
        <v>22</v>
      </c>
      <c r="H1752" s="4" t="s">
        <v>28</v>
      </c>
      <c r="I1752">
        <v>34</v>
      </c>
      <c r="J1752">
        <v>0</v>
      </c>
      <c r="K1752">
        <v>0</v>
      </c>
      <c r="L1752" s="3">
        <v>1</v>
      </c>
      <c r="M1752" s="3">
        <v>0</v>
      </c>
      <c r="N1752">
        <v>0</v>
      </c>
      <c r="O1752">
        <v>0</v>
      </c>
      <c r="P1752">
        <v>0</v>
      </c>
      <c r="Q1752">
        <v>0</v>
      </c>
      <c r="R1752" s="3">
        <v>0</v>
      </c>
      <c r="S1752" s="3">
        <v>0</v>
      </c>
      <c r="T1752">
        <v>0</v>
      </c>
      <c r="U1752">
        <v>0</v>
      </c>
      <c r="V1752" s="3">
        <v>0</v>
      </c>
      <c r="W1752" s="3">
        <v>0</v>
      </c>
      <c r="X1752">
        <v>0</v>
      </c>
      <c r="Y1752" t="s">
        <v>1464</v>
      </c>
    </row>
    <row r="1753" spans="1:25" hidden="1" x14ac:dyDescent="0.25">
      <c r="A1753" t="s">
        <v>33</v>
      </c>
      <c r="B1753" t="s">
        <v>106</v>
      </c>
      <c r="C1753" t="s">
        <v>27</v>
      </c>
      <c r="D1753" t="s">
        <v>27</v>
      </c>
      <c r="E1753" s="2">
        <v>45923</v>
      </c>
      <c r="F1753" s="2">
        <v>45923</v>
      </c>
      <c r="G1753" s="3">
        <v>23</v>
      </c>
      <c r="H1753" s="4" t="s">
        <v>1448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1464</v>
      </c>
    </row>
    <row r="1754" spans="1:25" hidden="1" x14ac:dyDescent="0.25">
      <c r="A1754" t="s">
        <v>27</v>
      </c>
      <c r="B1754" t="s">
        <v>182</v>
      </c>
      <c r="C1754" t="s">
        <v>57</v>
      </c>
      <c r="D1754" t="s">
        <v>27</v>
      </c>
      <c r="E1754" s="2">
        <v>45923</v>
      </c>
      <c r="F1754" s="2">
        <v>45923</v>
      </c>
      <c r="G1754" s="3">
        <v>24</v>
      </c>
      <c r="H1754" s="4" t="s">
        <v>1448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1464</v>
      </c>
    </row>
    <row r="1755" spans="1:25" hidden="1" x14ac:dyDescent="0.25">
      <c r="A1755" t="s">
        <v>27</v>
      </c>
      <c r="B1755" t="s">
        <v>184</v>
      </c>
      <c r="C1755" t="s">
        <v>55</v>
      </c>
      <c r="D1755" t="s">
        <v>27</v>
      </c>
      <c r="E1755" s="2">
        <v>45923</v>
      </c>
      <c r="F1755" s="2">
        <v>45923</v>
      </c>
      <c r="G1755" s="3">
        <v>25</v>
      </c>
      <c r="H1755" s="4" t="s">
        <v>1465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1464</v>
      </c>
    </row>
    <row r="1756" spans="1:25" hidden="1" x14ac:dyDescent="0.25">
      <c r="A1756" t="s">
        <v>25</v>
      </c>
      <c r="B1756" t="s">
        <v>96</v>
      </c>
      <c r="C1756" t="s">
        <v>35</v>
      </c>
      <c r="D1756" t="s">
        <v>27</v>
      </c>
      <c r="E1756" s="2">
        <v>45924</v>
      </c>
      <c r="F1756" s="2">
        <v>45924</v>
      </c>
      <c r="G1756" s="3">
        <v>36</v>
      </c>
      <c r="H1756" s="4" t="s">
        <v>28</v>
      </c>
      <c r="I1756">
        <v>28</v>
      </c>
      <c r="J1756">
        <v>0</v>
      </c>
      <c r="K1756">
        <v>0</v>
      </c>
      <c r="L1756" s="3">
        <v>0</v>
      </c>
      <c r="M1756" s="3">
        <v>0</v>
      </c>
      <c r="N1756">
        <v>0</v>
      </c>
      <c r="O1756">
        <v>0</v>
      </c>
      <c r="P1756">
        <v>0</v>
      </c>
      <c r="Q1756">
        <v>0</v>
      </c>
      <c r="R1756" s="3">
        <v>0</v>
      </c>
      <c r="S1756" s="3">
        <v>0</v>
      </c>
      <c r="T1756">
        <v>0</v>
      </c>
      <c r="U1756">
        <v>0</v>
      </c>
      <c r="V1756" s="3">
        <v>0</v>
      </c>
      <c r="W1756" s="3">
        <v>0</v>
      </c>
      <c r="X1756">
        <v>0</v>
      </c>
      <c r="Y1756" t="s">
        <v>1449</v>
      </c>
    </row>
    <row r="1757" spans="1:25" hidden="1" x14ac:dyDescent="0.25">
      <c r="A1757" t="s">
        <v>56</v>
      </c>
      <c r="B1757" t="s">
        <v>98</v>
      </c>
      <c r="C1757" t="s">
        <v>37</v>
      </c>
      <c r="D1757" t="s">
        <v>27</v>
      </c>
      <c r="E1757" s="2">
        <v>45924</v>
      </c>
      <c r="F1757" s="2">
        <v>45924</v>
      </c>
      <c r="G1757" s="3">
        <v>30</v>
      </c>
      <c r="H1757" s="4" t="s">
        <v>28</v>
      </c>
      <c r="I1757">
        <v>76</v>
      </c>
      <c r="J1757">
        <v>0</v>
      </c>
      <c r="K1757">
        <v>0</v>
      </c>
      <c r="L1757" s="3">
        <v>1</v>
      </c>
      <c r="M1757" s="3">
        <v>0</v>
      </c>
      <c r="N1757">
        <v>0</v>
      </c>
      <c r="O1757">
        <v>0</v>
      </c>
      <c r="P1757">
        <v>0</v>
      </c>
      <c r="Q1757">
        <v>0</v>
      </c>
      <c r="R1757" s="3">
        <v>0</v>
      </c>
      <c r="S1757" s="3">
        <v>0</v>
      </c>
      <c r="T1757">
        <v>0</v>
      </c>
      <c r="U1757">
        <v>0</v>
      </c>
      <c r="V1757" s="3">
        <v>0</v>
      </c>
      <c r="W1757" s="3">
        <v>0</v>
      </c>
      <c r="X1757">
        <v>0</v>
      </c>
      <c r="Y1757" t="s">
        <v>1466</v>
      </c>
    </row>
    <row r="1758" spans="1:25" hidden="1" x14ac:dyDescent="0.25">
      <c r="A1758" t="s">
        <v>29</v>
      </c>
      <c r="B1758" t="s">
        <v>100</v>
      </c>
      <c r="C1758" t="s">
        <v>95</v>
      </c>
      <c r="D1758" t="s">
        <v>27</v>
      </c>
      <c r="E1758" s="2">
        <v>45924</v>
      </c>
      <c r="F1758" s="2">
        <v>45924</v>
      </c>
      <c r="G1758" s="3">
        <v>154</v>
      </c>
      <c r="H1758" s="4" t="s">
        <v>28</v>
      </c>
      <c r="I1758">
        <v>42</v>
      </c>
      <c r="J1758">
        <v>0</v>
      </c>
      <c r="K1758">
        <v>0</v>
      </c>
      <c r="L1758" s="3">
        <v>1</v>
      </c>
      <c r="M1758" s="3">
        <v>0</v>
      </c>
      <c r="N1758">
        <v>0</v>
      </c>
      <c r="O1758">
        <v>0</v>
      </c>
      <c r="P1758">
        <v>0</v>
      </c>
      <c r="Q1758">
        <v>0</v>
      </c>
      <c r="R1758" s="3">
        <v>0</v>
      </c>
      <c r="S1758" s="3">
        <v>0</v>
      </c>
      <c r="T1758">
        <v>0</v>
      </c>
      <c r="U1758">
        <v>0</v>
      </c>
      <c r="V1758" s="3">
        <v>0</v>
      </c>
      <c r="W1758" s="3">
        <v>0</v>
      </c>
      <c r="X1758">
        <v>0</v>
      </c>
      <c r="Y1758" t="s">
        <v>1467</v>
      </c>
    </row>
    <row r="1759" spans="1:25" hidden="1" x14ac:dyDescent="0.25">
      <c r="A1759" t="s">
        <v>31</v>
      </c>
      <c r="B1759" t="s">
        <v>104</v>
      </c>
      <c r="C1759" t="s">
        <v>32</v>
      </c>
      <c r="D1759" t="s">
        <v>27</v>
      </c>
      <c r="E1759" s="2">
        <v>45924</v>
      </c>
      <c r="F1759" s="2">
        <v>45924</v>
      </c>
      <c r="G1759" s="3">
        <v>61</v>
      </c>
      <c r="H1759" s="4" t="s">
        <v>28</v>
      </c>
      <c r="I1759">
        <v>110</v>
      </c>
      <c r="J1759">
        <v>0</v>
      </c>
      <c r="K1759">
        <v>0</v>
      </c>
      <c r="L1759" s="3">
        <v>0</v>
      </c>
      <c r="M1759" s="3">
        <v>0</v>
      </c>
      <c r="N1759">
        <v>0</v>
      </c>
      <c r="O1759">
        <v>0</v>
      </c>
      <c r="P1759">
        <v>0</v>
      </c>
      <c r="Q1759">
        <v>50</v>
      </c>
      <c r="R1759" s="3">
        <v>0</v>
      </c>
      <c r="S1759" s="3">
        <v>0</v>
      </c>
      <c r="T1759">
        <v>0</v>
      </c>
      <c r="U1759">
        <v>0</v>
      </c>
      <c r="V1759" s="3">
        <v>0</v>
      </c>
      <c r="W1759" s="3">
        <v>0</v>
      </c>
      <c r="X1759">
        <v>0</v>
      </c>
      <c r="Y1759" t="s">
        <v>1468</v>
      </c>
    </row>
    <row r="1760" spans="1:25" hidden="1" x14ac:dyDescent="0.25">
      <c r="A1760" t="s">
        <v>33</v>
      </c>
      <c r="B1760" t="s">
        <v>106</v>
      </c>
      <c r="C1760" t="s">
        <v>57</v>
      </c>
      <c r="D1760" t="s">
        <v>27</v>
      </c>
      <c r="E1760" s="2">
        <v>45924</v>
      </c>
      <c r="F1760" s="2">
        <v>45924</v>
      </c>
      <c r="G1760" s="3">
        <v>29</v>
      </c>
      <c r="H1760" s="4" t="s">
        <v>28</v>
      </c>
      <c r="I1760">
        <v>49</v>
      </c>
      <c r="J1760">
        <v>0</v>
      </c>
      <c r="K1760">
        <v>0</v>
      </c>
      <c r="L1760" s="3">
        <v>0</v>
      </c>
      <c r="M1760" s="3">
        <v>0</v>
      </c>
      <c r="N1760">
        <v>0</v>
      </c>
      <c r="O1760">
        <v>0</v>
      </c>
      <c r="P1760">
        <v>0</v>
      </c>
      <c r="Q1760">
        <v>0</v>
      </c>
      <c r="R1760" s="3">
        <v>0</v>
      </c>
      <c r="S1760" s="3">
        <v>0</v>
      </c>
      <c r="T1760">
        <v>0</v>
      </c>
      <c r="U1760">
        <v>0</v>
      </c>
      <c r="V1760" s="3">
        <v>0</v>
      </c>
      <c r="W1760" s="3">
        <v>0</v>
      </c>
      <c r="X1760">
        <v>0</v>
      </c>
      <c r="Y1760" t="s">
        <v>1469</v>
      </c>
    </row>
    <row r="1761" spans="1:25" hidden="1" x14ac:dyDescent="0.25">
      <c r="A1761" t="s">
        <v>36</v>
      </c>
      <c r="B1761" t="s">
        <v>249</v>
      </c>
      <c r="C1761" t="s">
        <v>26</v>
      </c>
      <c r="D1761" t="s">
        <v>27</v>
      </c>
      <c r="E1761" s="2">
        <v>45924</v>
      </c>
      <c r="F1761" s="2">
        <v>45924</v>
      </c>
      <c r="G1761" s="3">
        <v>57</v>
      </c>
      <c r="H1761" s="4" t="s">
        <v>28</v>
      </c>
      <c r="I1761">
        <v>77</v>
      </c>
      <c r="J1761">
        <v>0</v>
      </c>
      <c r="K1761">
        <v>0</v>
      </c>
      <c r="L1761" s="3">
        <v>1</v>
      </c>
      <c r="M1761" s="3">
        <v>0</v>
      </c>
      <c r="N1761">
        <v>1</v>
      </c>
      <c r="O1761">
        <v>0</v>
      </c>
      <c r="P1761">
        <v>0</v>
      </c>
      <c r="Q1761">
        <v>0</v>
      </c>
      <c r="R1761" s="3">
        <v>0</v>
      </c>
      <c r="S1761" s="3">
        <v>0</v>
      </c>
      <c r="T1761">
        <v>0</v>
      </c>
      <c r="U1761">
        <v>0</v>
      </c>
      <c r="V1761" s="3">
        <v>0</v>
      </c>
      <c r="W1761" s="3">
        <v>0</v>
      </c>
      <c r="X1761">
        <v>0</v>
      </c>
      <c r="Y1761" t="s">
        <v>1470</v>
      </c>
    </row>
    <row r="1762" spans="1:25" hidden="1" x14ac:dyDescent="0.25">
      <c r="A1762" t="s">
        <v>38</v>
      </c>
      <c r="B1762" t="s">
        <v>108</v>
      </c>
      <c r="C1762" t="s">
        <v>27</v>
      </c>
      <c r="D1762" t="s">
        <v>27</v>
      </c>
      <c r="E1762" s="2">
        <v>45924</v>
      </c>
      <c r="F1762" s="2">
        <v>45924</v>
      </c>
      <c r="G1762" s="3">
        <v>75</v>
      </c>
      <c r="H1762" s="4" t="s">
        <v>28</v>
      </c>
      <c r="I1762">
        <v>36</v>
      </c>
      <c r="J1762">
        <v>0</v>
      </c>
      <c r="K1762">
        <v>0</v>
      </c>
      <c r="L1762" s="3">
        <v>0</v>
      </c>
      <c r="M1762" s="3">
        <v>0</v>
      </c>
      <c r="N1762">
        <v>0</v>
      </c>
      <c r="O1762">
        <v>0</v>
      </c>
      <c r="P1762">
        <v>0</v>
      </c>
      <c r="Q1762">
        <v>36</v>
      </c>
      <c r="R1762" s="3">
        <v>0</v>
      </c>
      <c r="S1762" s="3">
        <v>0</v>
      </c>
      <c r="T1762">
        <v>0</v>
      </c>
      <c r="U1762">
        <v>0</v>
      </c>
      <c r="V1762" s="3">
        <v>0</v>
      </c>
      <c r="W1762" s="3">
        <v>0</v>
      </c>
      <c r="X1762">
        <v>0</v>
      </c>
      <c r="Y1762" t="s">
        <v>1471</v>
      </c>
    </row>
    <row r="1763" spans="1:25" hidden="1" x14ac:dyDescent="0.25">
      <c r="A1763" t="s">
        <v>1454</v>
      </c>
      <c r="B1763" t="s">
        <v>1455</v>
      </c>
      <c r="C1763" t="s">
        <v>27</v>
      </c>
      <c r="D1763" t="s">
        <v>27</v>
      </c>
      <c r="E1763" s="2">
        <v>45924</v>
      </c>
      <c r="F1763" s="2">
        <v>45924</v>
      </c>
      <c r="G1763" s="3">
        <v>36</v>
      </c>
      <c r="H1763" s="4" t="s">
        <v>28</v>
      </c>
      <c r="I1763">
        <v>33</v>
      </c>
      <c r="J1763">
        <v>0</v>
      </c>
      <c r="K1763">
        <v>0</v>
      </c>
      <c r="L1763" s="3">
        <v>1</v>
      </c>
      <c r="M1763" s="3">
        <v>0</v>
      </c>
      <c r="N1763">
        <v>0</v>
      </c>
      <c r="O1763">
        <v>0</v>
      </c>
      <c r="P1763">
        <v>0</v>
      </c>
      <c r="Q1763">
        <v>0</v>
      </c>
      <c r="R1763" s="3">
        <v>0</v>
      </c>
      <c r="S1763" s="3">
        <v>0</v>
      </c>
      <c r="T1763">
        <v>0</v>
      </c>
      <c r="U1763">
        <v>0</v>
      </c>
      <c r="V1763" s="3">
        <v>0</v>
      </c>
      <c r="W1763" s="3">
        <v>0</v>
      </c>
      <c r="X1763">
        <v>0</v>
      </c>
      <c r="Y1763" t="s">
        <v>1472</v>
      </c>
    </row>
    <row r="1764" spans="1:25" hidden="1" x14ac:dyDescent="0.25">
      <c r="A1764" t="s">
        <v>41</v>
      </c>
      <c r="B1764" t="s">
        <v>112</v>
      </c>
      <c r="C1764" t="s">
        <v>42</v>
      </c>
      <c r="D1764" t="s">
        <v>27</v>
      </c>
      <c r="E1764" s="2">
        <v>45924</v>
      </c>
      <c r="F1764" s="2">
        <v>45924</v>
      </c>
      <c r="G1764" s="3">
        <v>38</v>
      </c>
      <c r="H1764" s="4" t="s">
        <v>28</v>
      </c>
      <c r="I1764">
        <v>40</v>
      </c>
      <c r="J1764">
        <v>0</v>
      </c>
      <c r="K1764">
        <v>0</v>
      </c>
      <c r="L1764" s="3">
        <v>1</v>
      </c>
      <c r="M1764" s="3">
        <v>0</v>
      </c>
      <c r="N1764">
        <v>0</v>
      </c>
      <c r="O1764">
        <v>0</v>
      </c>
      <c r="P1764">
        <v>0</v>
      </c>
      <c r="Q1764">
        <v>0</v>
      </c>
      <c r="R1764" s="3">
        <v>0</v>
      </c>
      <c r="S1764" s="3">
        <v>0</v>
      </c>
      <c r="T1764">
        <v>0</v>
      </c>
      <c r="U1764">
        <v>0</v>
      </c>
      <c r="V1764" s="3">
        <v>0</v>
      </c>
      <c r="W1764" s="3">
        <v>0</v>
      </c>
      <c r="X1764">
        <v>0</v>
      </c>
      <c r="Y1764" t="s">
        <v>1473</v>
      </c>
    </row>
    <row r="1765" spans="1:25" hidden="1" x14ac:dyDescent="0.25">
      <c r="A1765" t="s">
        <v>43</v>
      </c>
      <c r="B1765" t="s">
        <v>114</v>
      </c>
      <c r="C1765" t="s">
        <v>44</v>
      </c>
      <c r="D1765" t="s">
        <v>27</v>
      </c>
      <c r="E1765" s="2">
        <v>45924</v>
      </c>
      <c r="F1765" s="2">
        <v>45924</v>
      </c>
      <c r="G1765" s="3">
        <v>34</v>
      </c>
      <c r="H1765" s="4" t="s">
        <v>28</v>
      </c>
      <c r="I1765">
        <v>58</v>
      </c>
      <c r="J1765">
        <v>0</v>
      </c>
      <c r="K1765">
        <v>0</v>
      </c>
      <c r="L1765" s="3">
        <v>0</v>
      </c>
      <c r="M1765" s="3">
        <v>0</v>
      </c>
      <c r="N1765">
        <v>0</v>
      </c>
      <c r="O1765">
        <v>0</v>
      </c>
      <c r="P1765">
        <v>0</v>
      </c>
      <c r="Q1765">
        <v>0</v>
      </c>
      <c r="R1765" s="3">
        <v>0</v>
      </c>
      <c r="S1765" s="3">
        <v>0</v>
      </c>
      <c r="T1765">
        <v>0</v>
      </c>
      <c r="U1765">
        <v>0</v>
      </c>
      <c r="V1765" s="3">
        <v>0</v>
      </c>
      <c r="W1765" s="3">
        <v>0</v>
      </c>
      <c r="X1765">
        <v>0</v>
      </c>
      <c r="Y1765" t="s">
        <v>1474</v>
      </c>
    </row>
    <row r="1766" spans="1:25" hidden="1" x14ac:dyDescent="0.25">
      <c r="A1766" t="s">
        <v>47</v>
      </c>
      <c r="B1766" t="s">
        <v>137</v>
      </c>
      <c r="C1766" t="s">
        <v>27</v>
      </c>
      <c r="D1766" t="s">
        <v>27</v>
      </c>
      <c r="E1766" s="2">
        <v>45924</v>
      </c>
      <c r="F1766" s="2">
        <v>45924</v>
      </c>
      <c r="G1766" s="3">
        <v>24</v>
      </c>
      <c r="H1766" s="4" t="s">
        <v>28</v>
      </c>
      <c r="I1766">
        <v>55</v>
      </c>
      <c r="J1766">
        <v>2</v>
      </c>
      <c r="K1766">
        <v>0</v>
      </c>
      <c r="L1766" s="3">
        <v>0</v>
      </c>
      <c r="M1766" s="3">
        <v>0</v>
      </c>
      <c r="N1766">
        <v>0</v>
      </c>
      <c r="O1766">
        <v>0</v>
      </c>
      <c r="P1766">
        <v>0</v>
      </c>
      <c r="Q1766">
        <v>0</v>
      </c>
      <c r="R1766" s="3">
        <v>0</v>
      </c>
      <c r="S1766" s="3">
        <v>0</v>
      </c>
      <c r="T1766">
        <v>0</v>
      </c>
      <c r="U1766">
        <v>0</v>
      </c>
      <c r="V1766" s="3">
        <v>0</v>
      </c>
      <c r="W1766" s="3">
        <v>0</v>
      </c>
      <c r="X1766">
        <v>0</v>
      </c>
      <c r="Y1766" t="s">
        <v>1475</v>
      </c>
    </row>
    <row r="1767" spans="1:25" hidden="1" x14ac:dyDescent="0.25">
      <c r="A1767" t="s">
        <v>34</v>
      </c>
      <c r="B1767" t="s">
        <v>137</v>
      </c>
      <c r="C1767" t="s">
        <v>27</v>
      </c>
      <c r="D1767" t="s">
        <v>27</v>
      </c>
      <c r="E1767" s="2">
        <v>45924</v>
      </c>
      <c r="F1767" s="2">
        <v>45924</v>
      </c>
      <c r="G1767" s="3">
        <v>24</v>
      </c>
      <c r="H1767" s="4" t="s">
        <v>28</v>
      </c>
      <c r="I1767">
        <v>55</v>
      </c>
      <c r="J1767">
        <v>2</v>
      </c>
      <c r="K1767">
        <v>0</v>
      </c>
      <c r="L1767" s="3">
        <v>0</v>
      </c>
      <c r="M1767" s="3">
        <v>0</v>
      </c>
      <c r="N1767">
        <v>0</v>
      </c>
      <c r="O1767">
        <v>0</v>
      </c>
      <c r="P1767">
        <v>0</v>
      </c>
      <c r="Q1767">
        <v>0</v>
      </c>
      <c r="R1767" s="3">
        <v>0</v>
      </c>
      <c r="S1767" s="3">
        <v>0</v>
      </c>
      <c r="T1767">
        <v>0</v>
      </c>
      <c r="U1767">
        <v>0</v>
      </c>
      <c r="V1767" s="3">
        <v>0</v>
      </c>
      <c r="W1767" s="3">
        <v>0</v>
      </c>
      <c r="X1767">
        <v>0</v>
      </c>
      <c r="Y1767" t="s">
        <v>1475</v>
      </c>
    </row>
    <row r="1768" spans="1:25" hidden="1" x14ac:dyDescent="0.25">
      <c r="A1768" t="s">
        <v>49</v>
      </c>
      <c r="B1768" t="s">
        <v>118</v>
      </c>
      <c r="C1768" t="s">
        <v>50</v>
      </c>
      <c r="D1768" t="s">
        <v>27</v>
      </c>
      <c r="E1768" s="2">
        <v>45924</v>
      </c>
      <c r="F1768" s="2">
        <v>45924</v>
      </c>
      <c r="G1768" s="3">
        <v>25</v>
      </c>
      <c r="H1768" s="4" t="s">
        <v>28</v>
      </c>
      <c r="I1768">
        <v>62</v>
      </c>
      <c r="J1768">
        <v>0</v>
      </c>
      <c r="K1768">
        <v>0</v>
      </c>
      <c r="L1768" s="3">
        <v>1</v>
      </c>
      <c r="M1768" s="3">
        <v>1</v>
      </c>
      <c r="N1768">
        <v>0</v>
      </c>
      <c r="O1768">
        <v>0</v>
      </c>
      <c r="P1768">
        <v>0</v>
      </c>
      <c r="Q1768">
        <v>51</v>
      </c>
      <c r="R1768" s="3">
        <v>0</v>
      </c>
      <c r="S1768" s="3">
        <v>0</v>
      </c>
      <c r="T1768">
        <v>0</v>
      </c>
      <c r="U1768">
        <v>0</v>
      </c>
      <c r="V1768" s="3">
        <v>0</v>
      </c>
      <c r="W1768" s="3">
        <v>0</v>
      </c>
      <c r="X1768">
        <v>0</v>
      </c>
      <c r="Y1768" t="s">
        <v>1476</v>
      </c>
    </row>
    <row r="1769" spans="1:25" hidden="1" x14ac:dyDescent="0.25">
      <c r="A1769" t="s">
        <v>51</v>
      </c>
      <c r="B1769" t="s">
        <v>120</v>
      </c>
      <c r="C1769" t="s">
        <v>55</v>
      </c>
      <c r="D1769" t="s">
        <v>27</v>
      </c>
      <c r="E1769" s="2">
        <v>45924</v>
      </c>
      <c r="F1769" s="2">
        <v>45924</v>
      </c>
      <c r="G1769" s="3">
        <v>77</v>
      </c>
      <c r="H1769" s="4" t="s">
        <v>28</v>
      </c>
      <c r="I1769">
        <v>53</v>
      </c>
      <c r="J1769">
        <v>0</v>
      </c>
      <c r="K1769">
        <v>0</v>
      </c>
      <c r="L1769" s="3">
        <v>1</v>
      </c>
      <c r="M1769" s="3">
        <v>0</v>
      </c>
      <c r="N1769">
        <v>1</v>
      </c>
      <c r="O1769">
        <v>0</v>
      </c>
      <c r="P1769">
        <v>0</v>
      </c>
      <c r="Q1769">
        <v>0</v>
      </c>
      <c r="R1769" s="3">
        <v>0</v>
      </c>
      <c r="S1769" s="3">
        <v>0</v>
      </c>
      <c r="T1769">
        <v>0</v>
      </c>
      <c r="U1769">
        <v>0</v>
      </c>
      <c r="V1769" s="3">
        <v>0</v>
      </c>
      <c r="W1769" s="3">
        <v>0</v>
      </c>
      <c r="X1769">
        <v>0</v>
      </c>
      <c r="Y1769" t="s">
        <v>1477</v>
      </c>
    </row>
    <row r="1770" spans="1:25" hidden="1" x14ac:dyDescent="0.25">
      <c r="A1770" t="s">
        <v>54</v>
      </c>
      <c r="B1770" t="s">
        <v>122</v>
      </c>
      <c r="C1770" t="s">
        <v>52</v>
      </c>
      <c r="D1770" t="s">
        <v>27</v>
      </c>
      <c r="E1770" s="2">
        <v>45924</v>
      </c>
      <c r="F1770" s="2">
        <v>45924</v>
      </c>
      <c r="G1770" s="3">
        <v>39</v>
      </c>
      <c r="H1770" s="4" t="s">
        <v>28</v>
      </c>
      <c r="I1770">
        <v>26</v>
      </c>
      <c r="J1770">
        <v>0</v>
      </c>
      <c r="K1770">
        <v>0</v>
      </c>
      <c r="L1770" s="3">
        <v>0</v>
      </c>
      <c r="M1770" s="3">
        <v>0</v>
      </c>
      <c r="N1770">
        <v>0</v>
      </c>
      <c r="O1770">
        <v>0</v>
      </c>
      <c r="P1770">
        <v>0</v>
      </c>
      <c r="Q1770">
        <v>2</v>
      </c>
      <c r="R1770" s="3">
        <v>0</v>
      </c>
      <c r="S1770" s="3">
        <v>0</v>
      </c>
      <c r="T1770">
        <v>0</v>
      </c>
      <c r="U1770">
        <v>0</v>
      </c>
      <c r="V1770" s="3">
        <v>0</v>
      </c>
      <c r="W1770" s="3">
        <v>0</v>
      </c>
      <c r="X1770">
        <v>0</v>
      </c>
      <c r="Y1770" t="s">
        <v>1478</v>
      </c>
    </row>
    <row r="1771" spans="1:25" hidden="1" x14ac:dyDescent="0.25">
      <c r="A1771" t="s">
        <v>48</v>
      </c>
      <c r="B1771" t="s">
        <v>149</v>
      </c>
      <c r="C1771" t="s">
        <v>46</v>
      </c>
      <c r="D1771" t="s">
        <v>27</v>
      </c>
      <c r="E1771" s="2">
        <v>45924</v>
      </c>
      <c r="F1771" s="2">
        <v>45924</v>
      </c>
      <c r="G1771" s="3">
        <v>54</v>
      </c>
      <c r="H1771" s="4" t="s">
        <v>28</v>
      </c>
      <c r="I1771">
        <v>83</v>
      </c>
      <c r="J1771">
        <v>0</v>
      </c>
      <c r="K1771">
        <v>0</v>
      </c>
      <c r="L1771" s="3">
        <v>1</v>
      </c>
      <c r="M1771" s="3">
        <v>0</v>
      </c>
      <c r="N1771">
        <v>0</v>
      </c>
      <c r="O1771">
        <v>0</v>
      </c>
      <c r="P1771">
        <v>0</v>
      </c>
      <c r="Q1771">
        <v>0</v>
      </c>
      <c r="R1771" s="3">
        <v>0</v>
      </c>
      <c r="S1771" s="3">
        <v>0</v>
      </c>
      <c r="T1771">
        <v>0</v>
      </c>
      <c r="U1771">
        <v>0</v>
      </c>
      <c r="V1771" s="3">
        <v>0</v>
      </c>
      <c r="W1771" s="3">
        <v>0</v>
      </c>
      <c r="X1771">
        <v>0</v>
      </c>
      <c r="Y1771" t="s">
        <v>1479</v>
      </c>
    </row>
    <row r="1772" spans="1:25" hidden="1" x14ac:dyDescent="0.25">
      <c r="A1772" t="s">
        <v>58</v>
      </c>
      <c r="B1772" t="s">
        <v>144</v>
      </c>
      <c r="C1772" t="s">
        <v>489</v>
      </c>
      <c r="D1772" t="s">
        <v>27</v>
      </c>
      <c r="E1772" s="2">
        <v>45924</v>
      </c>
      <c r="F1772" s="2">
        <v>45924</v>
      </c>
      <c r="G1772" s="3">
        <v>23</v>
      </c>
      <c r="H1772" s="4" t="s">
        <v>28</v>
      </c>
      <c r="I1772">
        <v>60</v>
      </c>
      <c r="J1772">
        <v>0</v>
      </c>
      <c r="K1772">
        <v>0</v>
      </c>
      <c r="L1772" s="3">
        <v>1</v>
      </c>
      <c r="M1772" s="3">
        <v>0</v>
      </c>
      <c r="N1772">
        <v>0</v>
      </c>
      <c r="O1772">
        <v>0</v>
      </c>
      <c r="P1772">
        <v>0</v>
      </c>
      <c r="Q1772">
        <v>0</v>
      </c>
      <c r="R1772" s="3">
        <v>0</v>
      </c>
      <c r="S1772" s="3">
        <v>0</v>
      </c>
      <c r="T1772">
        <v>0</v>
      </c>
      <c r="U1772">
        <v>0</v>
      </c>
      <c r="V1772" s="3">
        <v>0</v>
      </c>
      <c r="W1772" s="3">
        <v>0</v>
      </c>
      <c r="X1772">
        <v>0</v>
      </c>
      <c r="Y1772" t="s">
        <v>1480</v>
      </c>
    </row>
    <row r="1773" spans="1:25" hidden="1" x14ac:dyDescent="0.25">
      <c r="A1773" t="s">
        <v>40</v>
      </c>
      <c r="B1773" t="s">
        <v>106</v>
      </c>
      <c r="C1773" t="s">
        <v>27</v>
      </c>
      <c r="D1773" t="s">
        <v>27</v>
      </c>
      <c r="E1773" s="2">
        <v>45924</v>
      </c>
      <c r="F1773" s="2">
        <v>45924</v>
      </c>
      <c r="G1773" s="3">
        <v>24</v>
      </c>
      <c r="H1773" s="4" t="s">
        <v>763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1480</v>
      </c>
    </row>
    <row r="1774" spans="1:25" hidden="1" x14ac:dyDescent="0.25">
      <c r="A1774" t="s">
        <v>1481</v>
      </c>
      <c r="B1774" t="s">
        <v>182</v>
      </c>
      <c r="C1774" t="s">
        <v>27</v>
      </c>
      <c r="D1774" t="s">
        <v>27</v>
      </c>
      <c r="E1774" s="2">
        <v>45924</v>
      </c>
      <c r="F1774" s="2">
        <v>45924</v>
      </c>
      <c r="G1774" s="3">
        <v>25</v>
      </c>
      <c r="H1774" s="4" t="s">
        <v>1256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1480</v>
      </c>
    </row>
    <row r="1775" spans="1:25" hidden="1" x14ac:dyDescent="0.25">
      <c r="A1775" t="s">
        <v>45</v>
      </c>
      <c r="B1775" t="s">
        <v>184</v>
      </c>
      <c r="C1775" t="s">
        <v>27</v>
      </c>
      <c r="D1775" t="s">
        <v>27</v>
      </c>
      <c r="E1775" s="2">
        <v>45924</v>
      </c>
      <c r="F1775" s="2">
        <v>45924</v>
      </c>
      <c r="G1775" s="3">
        <v>26</v>
      </c>
      <c r="H1775" s="4" t="s">
        <v>1256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1480</v>
      </c>
    </row>
    <row r="1776" spans="1:25" hidden="1" x14ac:dyDescent="0.25">
      <c r="A1776" t="s">
        <v>25</v>
      </c>
      <c r="B1776" t="s">
        <v>96</v>
      </c>
      <c r="C1776" t="s">
        <v>35</v>
      </c>
      <c r="D1776" t="s">
        <v>27</v>
      </c>
      <c r="E1776" s="2">
        <v>45925</v>
      </c>
      <c r="F1776" s="2">
        <v>45925</v>
      </c>
      <c r="G1776" s="3">
        <v>54</v>
      </c>
      <c r="H1776" t="s">
        <v>28</v>
      </c>
      <c r="I1776">
        <v>30</v>
      </c>
      <c r="J1776">
        <v>0</v>
      </c>
      <c r="K1776">
        <v>0</v>
      </c>
      <c r="L1776" s="3">
        <v>0</v>
      </c>
      <c r="M1776" s="3">
        <v>0</v>
      </c>
      <c r="N1776">
        <v>0</v>
      </c>
      <c r="O1776">
        <v>0</v>
      </c>
      <c r="P1776">
        <v>0</v>
      </c>
      <c r="Q1776">
        <v>0</v>
      </c>
      <c r="R1776" s="3">
        <v>0</v>
      </c>
      <c r="S1776" s="3">
        <v>0</v>
      </c>
      <c r="T1776">
        <v>0</v>
      </c>
      <c r="U1776">
        <v>0</v>
      </c>
      <c r="V1776" s="3">
        <v>0</v>
      </c>
      <c r="W1776" s="3">
        <v>0</v>
      </c>
      <c r="X1776">
        <v>0</v>
      </c>
      <c r="Y1776" t="s">
        <v>1482</v>
      </c>
    </row>
    <row r="1777" spans="1:25" hidden="1" x14ac:dyDescent="0.25">
      <c r="A1777" t="s">
        <v>56</v>
      </c>
      <c r="B1777" t="s">
        <v>98</v>
      </c>
      <c r="C1777" t="s">
        <v>37</v>
      </c>
      <c r="D1777" t="s">
        <v>27</v>
      </c>
      <c r="E1777" s="2">
        <v>45925</v>
      </c>
      <c r="F1777" s="2">
        <v>45925</v>
      </c>
      <c r="G1777" s="3">
        <v>49</v>
      </c>
      <c r="H1777" t="s">
        <v>28</v>
      </c>
      <c r="I1777">
        <v>37</v>
      </c>
      <c r="J1777">
        <v>0</v>
      </c>
      <c r="K1777">
        <v>0</v>
      </c>
      <c r="L1777" s="3">
        <v>1</v>
      </c>
      <c r="M1777" s="3">
        <v>0</v>
      </c>
      <c r="N1777">
        <v>0</v>
      </c>
      <c r="O1777">
        <v>0</v>
      </c>
      <c r="P1777">
        <v>0</v>
      </c>
      <c r="Q1777">
        <v>10</v>
      </c>
      <c r="R1777" s="3">
        <v>0</v>
      </c>
      <c r="S1777" s="3">
        <v>0</v>
      </c>
      <c r="T1777">
        <v>0</v>
      </c>
      <c r="U1777">
        <v>0</v>
      </c>
      <c r="V1777" s="3">
        <v>0</v>
      </c>
      <c r="W1777" s="3">
        <v>0</v>
      </c>
      <c r="X1777">
        <v>0</v>
      </c>
      <c r="Y1777" t="s">
        <v>1483</v>
      </c>
    </row>
    <row r="1778" spans="1:25" hidden="1" x14ac:dyDescent="0.25">
      <c r="A1778" t="s">
        <v>29</v>
      </c>
      <c r="B1778" t="s">
        <v>100</v>
      </c>
      <c r="C1778" t="s">
        <v>95</v>
      </c>
      <c r="D1778" t="s">
        <v>27</v>
      </c>
      <c r="E1778" s="2">
        <v>45925</v>
      </c>
      <c r="F1778" s="2">
        <v>45925</v>
      </c>
      <c r="G1778" s="3">
        <v>87</v>
      </c>
      <c r="H1778" t="s">
        <v>28</v>
      </c>
      <c r="I1778">
        <v>29</v>
      </c>
      <c r="J1778">
        <v>0</v>
      </c>
      <c r="K1778">
        <v>0</v>
      </c>
      <c r="L1778" s="3">
        <v>0</v>
      </c>
      <c r="M1778" s="3">
        <v>0</v>
      </c>
      <c r="N1778">
        <v>0</v>
      </c>
      <c r="O1778">
        <v>0</v>
      </c>
      <c r="P1778">
        <v>0</v>
      </c>
      <c r="Q1778">
        <v>10</v>
      </c>
      <c r="R1778" s="3">
        <v>0</v>
      </c>
      <c r="S1778" s="3">
        <v>0</v>
      </c>
      <c r="T1778">
        <v>0</v>
      </c>
      <c r="U1778">
        <v>0</v>
      </c>
      <c r="V1778" s="3">
        <v>0</v>
      </c>
      <c r="W1778" s="3">
        <v>0</v>
      </c>
      <c r="X1778">
        <v>0</v>
      </c>
      <c r="Y1778" t="s">
        <v>1484</v>
      </c>
    </row>
    <row r="1779" spans="1:25" hidden="1" x14ac:dyDescent="0.25">
      <c r="A1779" t="s">
        <v>31</v>
      </c>
      <c r="B1779" t="s">
        <v>104</v>
      </c>
      <c r="C1779" t="s">
        <v>32</v>
      </c>
      <c r="D1779" t="s">
        <v>27</v>
      </c>
      <c r="E1779" s="2">
        <v>45925</v>
      </c>
      <c r="F1779" s="2">
        <v>45925</v>
      </c>
      <c r="G1779" s="3">
        <v>62</v>
      </c>
      <c r="H1779" t="s">
        <v>28</v>
      </c>
      <c r="I1779">
        <v>96</v>
      </c>
      <c r="J1779">
        <v>0</v>
      </c>
      <c r="K1779">
        <v>0</v>
      </c>
      <c r="L1779" s="3">
        <v>0</v>
      </c>
      <c r="M1779" s="3">
        <v>0</v>
      </c>
      <c r="N1779">
        <v>0</v>
      </c>
      <c r="O1779">
        <v>0</v>
      </c>
      <c r="P1779">
        <v>0</v>
      </c>
      <c r="Q1779">
        <v>50</v>
      </c>
      <c r="R1779" s="3">
        <v>0</v>
      </c>
      <c r="S1779" s="3">
        <v>0</v>
      </c>
      <c r="T1779">
        <v>0</v>
      </c>
      <c r="U1779">
        <v>0</v>
      </c>
      <c r="V1779" s="3">
        <v>0</v>
      </c>
      <c r="W1779" s="3">
        <v>0</v>
      </c>
      <c r="X1779">
        <v>0</v>
      </c>
      <c r="Y1779" t="s">
        <v>1485</v>
      </c>
    </row>
    <row r="1780" spans="1:25" hidden="1" x14ac:dyDescent="0.25">
      <c r="A1780" t="s">
        <v>33</v>
      </c>
      <c r="B1780" t="s">
        <v>106</v>
      </c>
      <c r="C1780" t="s">
        <v>57</v>
      </c>
      <c r="D1780" t="s">
        <v>27</v>
      </c>
      <c r="E1780" s="2">
        <v>45925</v>
      </c>
      <c r="F1780" s="2">
        <v>45925</v>
      </c>
      <c r="G1780" s="3">
        <v>31</v>
      </c>
      <c r="H1780" t="s">
        <v>28</v>
      </c>
      <c r="I1780">
        <v>38</v>
      </c>
      <c r="J1780">
        <v>0</v>
      </c>
      <c r="K1780">
        <v>0</v>
      </c>
      <c r="L1780" s="3">
        <v>0</v>
      </c>
      <c r="M1780" s="3">
        <v>0</v>
      </c>
      <c r="N1780">
        <v>0</v>
      </c>
      <c r="O1780">
        <v>0</v>
      </c>
      <c r="P1780">
        <v>0</v>
      </c>
      <c r="Q1780">
        <v>0</v>
      </c>
      <c r="R1780" s="3">
        <v>0</v>
      </c>
      <c r="S1780" s="3">
        <v>0</v>
      </c>
      <c r="T1780">
        <v>0</v>
      </c>
      <c r="U1780">
        <v>0</v>
      </c>
      <c r="V1780" s="3">
        <v>0</v>
      </c>
      <c r="W1780" s="3">
        <v>0</v>
      </c>
      <c r="X1780">
        <v>0</v>
      </c>
      <c r="Y1780" t="s">
        <v>1486</v>
      </c>
    </row>
    <row r="1781" spans="1:25" hidden="1" x14ac:dyDescent="0.25">
      <c r="A1781" t="s">
        <v>36</v>
      </c>
      <c r="B1781" t="s">
        <v>249</v>
      </c>
      <c r="C1781" t="s">
        <v>26</v>
      </c>
      <c r="D1781" t="s">
        <v>27</v>
      </c>
      <c r="E1781" s="2">
        <v>45925</v>
      </c>
      <c r="F1781" s="2">
        <v>45925</v>
      </c>
      <c r="G1781" s="3">
        <v>38</v>
      </c>
      <c r="H1781" t="s">
        <v>28</v>
      </c>
      <c r="I1781">
        <v>59</v>
      </c>
      <c r="J1781">
        <v>0</v>
      </c>
      <c r="K1781">
        <v>0</v>
      </c>
      <c r="L1781" s="3">
        <v>1</v>
      </c>
      <c r="M1781" s="3">
        <v>0</v>
      </c>
      <c r="N1781">
        <v>1</v>
      </c>
      <c r="O1781">
        <v>0</v>
      </c>
      <c r="P1781">
        <v>0</v>
      </c>
      <c r="Q1781">
        <v>0</v>
      </c>
      <c r="R1781" s="3">
        <v>0</v>
      </c>
      <c r="S1781" s="3">
        <v>0</v>
      </c>
      <c r="T1781">
        <v>0</v>
      </c>
      <c r="U1781">
        <v>0</v>
      </c>
      <c r="V1781" s="3">
        <v>0</v>
      </c>
      <c r="W1781" s="3">
        <v>0</v>
      </c>
      <c r="X1781">
        <v>0</v>
      </c>
      <c r="Y1781" t="s">
        <v>1487</v>
      </c>
    </row>
    <row r="1782" spans="1:25" hidden="1" x14ac:dyDescent="0.25">
      <c r="A1782" t="s">
        <v>38</v>
      </c>
      <c r="B1782" t="s">
        <v>108</v>
      </c>
      <c r="C1782" t="s">
        <v>27</v>
      </c>
      <c r="D1782" t="s">
        <v>27</v>
      </c>
      <c r="E1782" s="2">
        <v>45925</v>
      </c>
      <c r="F1782" s="2">
        <v>45925</v>
      </c>
      <c r="G1782" s="3">
        <v>46</v>
      </c>
      <c r="H1782" t="s">
        <v>28</v>
      </c>
      <c r="I1782">
        <v>24</v>
      </c>
      <c r="J1782">
        <v>0</v>
      </c>
      <c r="K1782">
        <v>0</v>
      </c>
      <c r="L1782" s="3">
        <v>0</v>
      </c>
      <c r="M1782" s="3">
        <v>0</v>
      </c>
      <c r="N1782">
        <v>0</v>
      </c>
      <c r="O1782">
        <v>0</v>
      </c>
      <c r="P1782">
        <v>0</v>
      </c>
      <c r="Q1782">
        <v>24</v>
      </c>
      <c r="R1782" s="3">
        <v>0</v>
      </c>
      <c r="S1782" s="3">
        <v>0</v>
      </c>
      <c r="T1782">
        <v>0</v>
      </c>
      <c r="U1782">
        <v>0</v>
      </c>
      <c r="V1782" s="3">
        <v>0</v>
      </c>
      <c r="W1782" s="3">
        <v>0</v>
      </c>
      <c r="X1782">
        <v>0</v>
      </c>
      <c r="Y1782" t="s">
        <v>1488</v>
      </c>
    </row>
    <row r="1783" spans="1:25" hidden="1" x14ac:dyDescent="0.25">
      <c r="A1783" t="s">
        <v>40</v>
      </c>
      <c r="B1783" t="s">
        <v>110</v>
      </c>
      <c r="C1783" t="s">
        <v>40</v>
      </c>
      <c r="D1783" t="s">
        <v>27</v>
      </c>
      <c r="E1783" s="2">
        <v>45925</v>
      </c>
      <c r="F1783" s="2">
        <v>45925</v>
      </c>
      <c r="G1783" s="3">
        <v>35</v>
      </c>
      <c r="H1783" t="s">
        <v>28</v>
      </c>
      <c r="I1783">
        <v>32</v>
      </c>
      <c r="J1783">
        <v>0</v>
      </c>
      <c r="K1783">
        <v>0</v>
      </c>
      <c r="L1783" s="3">
        <v>1</v>
      </c>
      <c r="M1783" s="3">
        <v>0</v>
      </c>
      <c r="N1783">
        <v>0</v>
      </c>
      <c r="O1783">
        <v>0</v>
      </c>
      <c r="P1783">
        <v>0</v>
      </c>
      <c r="Q1783">
        <v>0</v>
      </c>
      <c r="R1783" s="3">
        <v>0</v>
      </c>
      <c r="S1783" s="3">
        <v>0</v>
      </c>
      <c r="T1783">
        <v>0</v>
      </c>
      <c r="U1783">
        <v>0</v>
      </c>
      <c r="V1783" s="3">
        <v>0</v>
      </c>
      <c r="W1783" s="3">
        <v>0</v>
      </c>
      <c r="X1783">
        <v>0</v>
      </c>
      <c r="Y1783" t="s">
        <v>1489</v>
      </c>
    </row>
    <row r="1784" spans="1:25" hidden="1" x14ac:dyDescent="0.25">
      <c r="A1784" t="s">
        <v>1454</v>
      </c>
      <c r="B1784" t="s">
        <v>1455</v>
      </c>
      <c r="C1784" t="s">
        <v>27</v>
      </c>
      <c r="D1784" t="s">
        <v>27</v>
      </c>
      <c r="E1784" s="2">
        <v>45925</v>
      </c>
      <c r="F1784" s="2">
        <v>45925</v>
      </c>
      <c r="G1784" s="3">
        <v>59</v>
      </c>
      <c r="H1784" t="s">
        <v>28</v>
      </c>
      <c r="I1784">
        <v>27</v>
      </c>
      <c r="J1784">
        <v>0</v>
      </c>
      <c r="K1784">
        <v>0</v>
      </c>
      <c r="L1784" s="3">
        <v>1</v>
      </c>
      <c r="M1784" s="3">
        <v>0</v>
      </c>
      <c r="N1784">
        <v>0</v>
      </c>
      <c r="O1784">
        <v>0</v>
      </c>
      <c r="P1784">
        <v>0</v>
      </c>
      <c r="Q1784">
        <v>0</v>
      </c>
      <c r="R1784" s="3">
        <v>0</v>
      </c>
      <c r="S1784" s="3">
        <v>0</v>
      </c>
      <c r="T1784">
        <v>0</v>
      </c>
      <c r="U1784">
        <v>0</v>
      </c>
      <c r="V1784" s="3">
        <v>0</v>
      </c>
      <c r="W1784" s="3">
        <v>0</v>
      </c>
      <c r="X1784">
        <v>0</v>
      </c>
      <c r="Y1784" t="s">
        <v>1490</v>
      </c>
    </row>
    <row r="1785" spans="1:25" hidden="1" x14ac:dyDescent="0.25">
      <c r="A1785" t="s">
        <v>41</v>
      </c>
      <c r="B1785" t="s">
        <v>112</v>
      </c>
      <c r="C1785" t="s">
        <v>42</v>
      </c>
      <c r="D1785" t="s">
        <v>27</v>
      </c>
      <c r="E1785" s="2">
        <v>45925</v>
      </c>
      <c r="F1785" s="2">
        <v>45925</v>
      </c>
      <c r="G1785" s="3">
        <v>32</v>
      </c>
      <c r="H1785" t="s">
        <v>28</v>
      </c>
      <c r="I1785">
        <v>48</v>
      </c>
      <c r="J1785">
        <v>0</v>
      </c>
      <c r="K1785">
        <v>0</v>
      </c>
      <c r="L1785" s="3">
        <v>1</v>
      </c>
      <c r="M1785" s="3">
        <v>0</v>
      </c>
      <c r="N1785">
        <v>0</v>
      </c>
      <c r="O1785">
        <v>0</v>
      </c>
      <c r="P1785">
        <v>0</v>
      </c>
      <c r="Q1785">
        <v>4</v>
      </c>
      <c r="R1785" s="3">
        <v>0</v>
      </c>
      <c r="S1785" s="3">
        <v>0</v>
      </c>
      <c r="T1785">
        <v>0</v>
      </c>
      <c r="U1785">
        <v>0</v>
      </c>
      <c r="V1785" s="3">
        <v>0</v>
      </c>
      <c r="W1785" s="3">
        <v>0</v>
      </c>
      <c r="X1785">
        <v>0</v>
      </c>
      <c r="Y1785" t="s">
        <v>1491</v>
      </c>
    </row>
    <row r="1786" spans="1:25" hidden="1" x14ac:dyDescent="0.25">
      <c r="A1786" t="s">
        <v>43</v>
      </c>
      <c r="B1786" t="s">
        <v>114</v>
      </c>
      <c r="C1786" t="s">
        <v>44</v>
      </c>
      <c r="D1786" t="s">
        <v>27</v>
      </c>
      <c r="E1786" s="2">
        <v>45925</v>
      </c>
      <c r="F1786" s="2">
        <v>45925</v>
      </c>
      <c r="G1786" s="3">
        <v>23</v>
      </c>
      <c r="H1786" t="s">
        <v>28</v>
      </c>
      <c r="I1786">
        <v>56</v>
      </c>
      <c r="J1786">
        <v>0</v>
      </c>
      <c r="K1786">
        <v>0</v>
      </c>
      <c r="L1786" s="3">
        <v>1</v>
      </c>
      <c r="M1786" s="3">
        <v>0</v>
      </c>
      <c r="N1786">
        <v>0</v>
      </c>
      <c r="O1786">
        <v>0</v>
      </c>
      <c r="P1786">
        <v>0</v>
      </c>
      <c r="Q1786">
        <v>0</v>
      </c>
      <c r="R1786" s="3">
        <v>0</v>
      </c>
      <c r="S1786" s="3">
        <v>0</v>
      </c>
      <c r="T1786">
        <v>0</v>
      </c>
      <c r="U1786">
        <v>0</v>
      </c>
      <c r="V1786" s="3">
        <v>0</v>
      </c>
      <c r="W1786" s="3">
        <v>0</v>
      </c>
      <c r="X1786">
        <v>0</v>
      </c>
      <c r="Y1786" t="s">
        <v>1492</v>
      </c>
    </row>
    <row r="1787" spans="1:25" hidden="1" x14ac:dyDescent="0.25">
      <c r="A1787" t="s">
        <v>49</v>
      </c>
      <c r="B1787" t="s">
        <v>118</v>
      </c>
      <c r="C1787" t="s">
        <v>50</v>
      </c>
      <c r="D1787" t="s">
        <v>27</v>
      </c>
      <c r="E1787" s="2">
        <v>45925</v>
      </c>
      <c r="F1787" s="2">
        <v>45925</v>
      </c>
      <c r="G1787" s="3">
        <v>25</v>
      </c>
      <c r="H1787" t="s">
        <v>28</v>
      </c>
      <c r="I1787">
        <v>45</v>
      </c>
      <c r="J1787">
        <v>0</v>
      </c>
      <c r="K1787">
        <v>0</v>
      </c>
      <c r="L1787" s="3">
        <v>1</v>
      </c>
      <c r="M1787" s="3">
        <v>1</v>
      </c>
      <c r="N1787">
        <v>0</v>
      </c>
      <c r="O1787">
        <v>0</v>
      </c>
      <c r="P1787">
        <v>0</v>
      </c>
      <c r="Q1787">
        <v>51</v>
      </c>
      <c r="R1787" s="3">
        <v>0</v>
      </c>
      <c r="S1787" s="3">
        <v>0</v>
      </c>
      <c r="T1787">
        <v>0</v>
      </c>
      <c r="U1787">
        <v>0</v>
      </c>
      <c r="V1787" s="3">
        <v>0</v>
      </c>
      <c r="W1787" s="3">
        <v>0</v>
      </c>
      <c r="X1787">
        <v>0</v>
      </c>
      <c r="Y1787" t="s">
        <v>1476</v>
      </c>
    </row>
    <row r="1788" spans="1:25" hidden="1" x14ac:dyDescent="0.25">
      <c r="A1788" t="s">
        <v>47</v>
      </c>
      <c r="B1788" t="s">
        <v>137</v>
      </c>
      <c r="C1788" t="s">
        <v>27</v>
      </c>
      <c r="D1788" t="s">
        <v>27</v>
      </c>
      <c r="E1788" s="2">
        <v>45925</v>
      </c>
      <c r="F1788" s="2">
        <v>45925</v>
      </c>
      <c r="G1788" s="3">
        <v>30</v>
      </c>
      <c r="H1788" t="s">
        <v>28</v>
      </c>
      <c r="I1788">
        <v>46</v>
      </c>
      <c r="J1788">
        <v>0</v>
      </c>
      <c r="K1788">
        <v>0</v>
      </c>
      <c r="L1788" s="3">
        <v>1</v>
      </c>
      <c r="M1788" s="3">
        <v>0</v>
      </c>
      <c r="N1788">
        <v>0</v>
      </c>
      <c r="O1788">
        <v>0</v>
      </c>
      <c r="P1788">
        <v>0</v>
      </c>
      <c r="Q1788">
        <v>15</v>
      </c>
      <c r="R1788" s="3">
        <v>0</v>
      </c>
      <c r="S1788" s="3">
        <v>0</v>
      </c>
      <c r="T1788">
        <v>0</v>
      </c>
      <c r="U1788">
        <v>0</v>
      </c>
      <c r="V1788" s="3">
        <v>0</v>
      </c>
      <c r="W1788" s="3">
        <v>0</v>
      </c>
      <c r="X1788">
        <v>0</v>
      </c>
      <c r="Y1788" t="s">
        <v>1493</v>
      </c>
    </row>
    <row r="1789" spans="1:25" hidden="1" x14ac:dyDescent="0.25">
      <c r="A1789" t="s">
        <v>34</v>
      </c>
      <c r="B1789" t="s">
        <v>137</v>
      </c>
      <c r="C1789" t="s">
        <v>27</v>
      </c>
      <c r="D1789" t="s">
        <v>27</v>
      </c>
      <c r="E1789" s="2">
        <v>45925</v>
      </c>
      <c r="F1789" s="2">
        <v>45925</v>
      </c>
      <c r="G1789" s="3">
        <v>30</v>
      </c>
      <c r="H1789" t="s">
        <v>28</v>
      </c>
      <c r="I1789">
        <v>46</v>
      </c>
      <c r="J1789">
        <v>0</v>
      </c>
      <c r="K1789">
        <v>0</v>
      </c>
      <c r="L1789" s="3">
        <v>1</v>
      </c>
      <c r="M1789" s="3">
        <v>0</v>
      </c>
      <c r="N1789">
        <v>0</v>
      </c>
      <c r="O1789">
        <v>0</v>
      </c>
      <c r="P1789">
        <v>0</v>
      </c>
      <c r="Q1789">
        <v>15</v>
      </c>
      <c r="R1789" s="3">
        <v>0</v>
      </c>
      <c r="S1789" s="3">
        <v>0</v>
      </c>
      <c r="T1789">
        <v>0</v>
      </c>
      <c r="U1789">
        <v>0</v>
      </c>
      <c r="V1789" s="3">
        <v>0</v>
      </c>
      <c r="W1789" s="3">
        <v>0</v>
      </c>
      <c r="X1789">
        <v>0</v>
      </c>
      <c r="Y1789" t="s">
        <v>1493</v>
      </c>
    </row>
    <row r="1790" spans="1:25" hidden="1" x14ac:dyDescent="0.25">
      <c r="A1790" t="s">
        <v>51</v>
      </c>
      <c r="B1790" t="s">
        <v>120</v>
      </c>
      <c r="C1790" t="s">
        <v>55</v>
      </c>
      <c r="D1790" t="s">
        <v>27</v>
      </c>
      <c r="E1790" s="2">
        <v>45925</v>
      </c>
      <c r="F1790" s="2">
        <v>45925</v>
      </c>
      <c r="G1790" s="3">
        <v>49</v>
      </c>
      <c r="H1790" t="s">
        <v>28</v>
      </c>
      <c r="I1790">
        <v>49</v>
      </c>
      <c r="J1790">
        <v>0</v>
      </c>
      <c r="K1790">
        <v>0</v>
      </c>
      <c r="L1790" s="3">
        <v>1</v>
      </c>
      <c r="M1790" s="3">
        <v>0</v>
      </c>
      <c r="N1790">
        <v>1</v>
      </c>
      <c r="O1790">
        <v>0</v>
      </c>
      <c r="P1790">
        <v>0</v>
      </c>
      <c r="Q1790">
        <v>0</v>
      </c>
      <c r="R1790" s="3">
        <v>0</v>
      </c>
      <c r="S1790" s="3">
        <v>0</v>
      </c>
      <c r="T1790">
        <v>0</v>
      </c>
      <c r="U1790">
        <v>0</v>
      </c>
      <c r="V1790" s="3">
        <v>0</v>
      </c>
      <c r="W1790" s="3">
        <v>0</v>
      </c>
      <c r="X1790">
        <v>0</v>
      </c>
      <c r="Y1790" t="s">
        <v>1494</v>
      </c>
    </row>
    <row r="1791" spans="1:25" hidden="1" x14ac:dyDescent="0.25">
      <c r="A1791" t="s">
        <v>54</v>
      </c>
      <c r="B1791" t="s">
        <v>122</v>
      </c>
      <c r="C1791" t="s">
        <v>52</v>
      </c>
      <c r="D1791" t="s">
        <v>27</v>
      </c>
      <c r="E1791" s="2">
        <v>45925</v>
      </c>
      <c r="F1791" s="2">
        <v>45925</v>
      </c>
      <c r="G1791" s="3">
        <v>53</v>
      </c>
      <c r="H1791" t="s">
        <v>28</v>
      </c>
      <c r="I1791">
        <v>38</v>
      </c>
      <c r="J1791">
        <v>0</v>
      </c>
      <c r="K1791">
        <v>0</v>
      </c>
      <c r="L1791" s="3">
        <v>0</v>
      </c>
      <c r="M1791" s="3">
        <v>0</v>
      </c>
      <c r="N1791">
        <v>0</v>
      </c>
      <c r="O1791">
        <v>0</v>
      </c>
      <c r="P1791">
        <v>0</v>
      </c>
      <c r="Q1791">
        <v>2</v>
      </c>
      <c r="R1791" s="3">
        <v>0</v>
      </c>
      <c r="S1791" s="3">
        <v>0</v>
      </c>
      <c r="T1791">
        <v>0</v>
      </c>
      <c r="U1791">
        <v>0</v>
      </c>
      <c r="V1791" s="3">
        <v>0</v>
      </c>
      <c r="W1791" s="3">
        <v>0</v>
      </c>
      <c r="X1791">
        <v>0</v>
      </c>
      <c r="Y1791" t="s">
        <v>1495</v>
      </c>
    </row>
    <row r="1792" spans="1:25" hidden="1" x14ac:dyDescent="0.25">
      <c r="A1792" t="s">
        <v>48</v>
      </c>
      <c r="B1792" t="s">
        <v>149</v>
      </c>
      <c r="C1792" t="s">
        <v>46</v>
      </c>
      <c r="D1792" t="s">
        <v>27</v>
      </c>
      <c r="E1792" s="2">
        <v>45925</v>
      </c>
      <c r="F1792" s="2">
        <v>45925</v>
      </c>
      <c r="G1792" s="3">
        <v>41</v>
      </c>
      <c r="H1792" t="s">
        <v>28</v>
      </c>
      <c r="I1792">
        <v>29</v>
      </c>
      <c r="J1792">
        <v>0</v>
      </c>
      <c r="K1792">
        <v>0</v>
      </c>
      <c r="L1792" s="3">
        <v>0</v>
      </c>
      <c r="M1792" s="3">
        <v>0</v>
      </c>
      <c r="N1792">
        <v>0</v>
      </c>
      <c r="O1792">
        <v>0</v>
      </c>
      <c r="P1792">
        <v>0</v>
      </c>
      <c r="Q1792">
        <v>2</v>
      </c>
      <c r="R1792" s="3">
        <v>0</v>
      </c>
      <c r="S1792" s="3">
        <v>0</v>
      </c>
      <c r="T1792">
        <v>0</v>
      </c>
      <c r="U1792">
        <v>0</v>
      </c>
      <c r="V1792" s="3">
        <v>0</v>
      </c>
      <c r="W1792" s="3">
        <v>0</v>
      </c>
      <c r="X1792">
        <v>0</v>
      </c>
      <c r="Y1792" t="s">
        <v>1496</v>
      </c>
    </row>
    <row r="1793" spans="1:25" hidden="1" x14ac:dyDescent="0.25">
      <c r="A1793" t="s">
        <v>27</v>
      </c>
      <c r="B1793" t="s">
        <v>739</v>
      </c>
      <c r="C1793" t="s">
        <v>489</v>
      </c>
      <c r="D1793" t="s">
        <v>27</v>
      </c>
      <c r="E1793" s="2">
        <v>45925</v>
      </c>
      <c r="F1793" s="2">
        <v>45925</v>
      </c>
      <c r="G1793" s="3">
        <v>42</v>
      </c>
      <c r="H1793" t="s">
        <v>1317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1496</v>
      </c>
    </row>
    <row r="1794" spans="1:25" hidden="1" x14ac:dyDescent="0.25">
      <c r="A1794" t="s">
        <v>58</v>
      </c>
      <c r="B1794" t="s">
        <v>755</v>
      </c>
      <c r="C1794" t="s">
        <v>27</v>
      </c>
      <c r="D1794" t="s">
        <v>27</v>
      </c>
      <c r="E1794" s="2">
        <v>45925</v>
      </c>
      <c r="F1794" s="2">
        <v>45925</v>
      </c>
      <c r="G1794" s="3">
        <v>43</v>
      </c>
      <c r="H1794" t="s">
        <v>28</v>
      </c>
      <c r="I1794">
        <v>30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1496</v>
      </c>
    </row>
    <row r="1795" spans="1:25" hidden="1" x14ac:dyDescent="0.25">
      <c r="A1795" t="s">
        <v>25</v>
      </c>
      <c r="B1795" t="s">
        <v>96</v>
      </c>
      <c r="C1795" t="s">
        <v>35</v>
      </c>
      <c r="D1795" t="s">
        <v>27</v>
      </c>
      <c r="E1795" s="2">
        <v>45926</v>
      </c>
      <c r="F1795" s="2">
        <v>45926</v>
      </c>
      <c r="G1795" s="3">
        <v>35</v>
      </c>
      <c r="H1795" s="4" t="s">
        <v>28</v>
      </c>
      <c r="I1795">
        <v>34</v>
      </c>
      <c r="J1795">
        <v>0</v>
      </c>
      <c r="K1795">
        <v>0</v>
      </c>
      <c r="L1795" s="3">
        <v>0</v>
      </c>
      <c r="M1795" s="3">
        <v>0</v>
      </c>
      <c r="N1795">
        <v>0</v>
      </c>
      <c r="O1795">
        <v>0</v>
      </c>
      <c r="P1795">
        <v>0</v>
      </c>
      <c r="Q1795">
        <v>0</v>
      </c>
      <c r="R1795" s="3">
        <v>0</v>
      </c>
      <c r="S1795" s="3">
        <v>0</v>
      </c>
      <c r="T1795">
        <v>0</v>
      </c>
      <c r="U1795">
        <v>0</v>
      </c>
      <c r="V1795" s="3">
        <v>0</v>
      </c>
      <c r="W1795" s="3">
        <v>0</v>
      </c>
      <c r="X1795">
        <v>0</v>
      </c>
      <c r="Y1795" t="s">
        <v>1497</v>
      </c>
    </row>
    <row r="1796" spans="1:25" hidden="1" x14ac:dyDescent="0.25">
      <c r="A1796" t="s">
        <v>56</v>
      </c>
      <c r="B1796" t="s">
        <v>98</v>
      </c>
      <c r="C1796" t="s">
        <v>37</v>
      </c>
      <c r="D1796" t="s">
        <v>27</v>
      </c>
      <c r="E1796" s="2">
        <v>45926</v>
      </c>
      <c r="F1796" s="2">
        <v>45926</v>
      </c>
      <c r="G1796" s="3">
        <v>29</v>
      </c>
      <c r="H1796" s="4" t="s">
        <v>28</v>
      </c>
      <c r="I1796">
        <v>109</v>
      </c>
      <c r="J1796">
        <v>0</v>
      </c>
      <c r="K1796">
        <v>0</v>
      </c>
      <c r="L1796" s="3">
        <v>1</v>
      </c>
      <c r="M1796" s="3">
        <v>0</v>
      </c>
      <c r="N1796">
        <v>0</v>
      </c>
      <c r="O1796">
        <v>0</v>
      </c>
      <c r="P1796">
        <v>0</v>
      </c>
      <c r="Q1796">
        <v>0</v>
      </c>
      <c r="R1796" s="3">
        <v>0</v>
      </c>
      <c r="S1796" s="3">
        <v>0</v>
      </c>
      <c r="T1796">
        <v>0</v>
      </c>
      <c r="U1796">
        <v>0</v>
      </c>
      <c r="V1796" s="3">
        <v>0</v>
      </c>
      <c r="W1796" s="3">
        <v>0</v>
      </c>
      <c r="X1796">
        <v>0</v>
      </c>
      <c r="Y1796" t="s">
        <v>1498</v>
      </c>
    </row>
    <row r="1797" spans="1:25" hidden="1" x14ac:dyDescent="0.25">
      <c r="A1797" t="s">
        <v>29</v>
      </c>
      <c r="B1797" t="s">
        <v>100</v>
      </c>
      <c r="C1797" t="s">
        <v>95</v>
      </c>
      <c r="D1797" t="s">
        <v>27</v>
      </c>
      <c r="E1797" s="2">
        <v>45926</v>
      </c>
      <c r="F1797" s="2">
        <v>45926</v>
      </c>
      <c r="G1797" s="3">
        <v>33</v>
      </c>
      <c r="H1797" s="4" t="s">
        <v>28</v>
      </c>
      <c r="I1797">
        <v>71</v>
      </c>
      <c r="J1797">
        <v>0</v>
      </c>
      <c r="K1797">
        <v>0</v>
      </c>
      <c r="L1797" s="3">
        <v>1</v>
      </c>
      <c r="M1797" s="3">
        <v>0</v>
      </c>
      <c r="N1797">
        <v>0</v>
      </c>
      <c r="O1797">
        <v>0</v>
      </c>
      <c r="P1797">
        <v>0</v>
      </c>
      <c r="Q1797">
        <v>0</v>
      </c>
      <c r="R1797" s="3">
        <v>0</v>
      </c>
      <c r="S1797" s="3">
        <v>0</v>
      </c>
      <c r="T1797">
        <v>0</v>
      </c>
      <c r="U1797">
        <v>0</v>
      </c>
      <c r="V1797" s="3">
        <v>0</v>
      </c>
      <c r="W1797" s="3">
        <v>0</v>
      </c>
      <c r="X1797">
        <v>0</v>
      </c>
      <c r="Y1797" t="s">
        <v>1499</v>
      </c>
    </row>
    <row r="1798" spans="1:25" hidden="1" x14ac:dyDescent="0.25">
      <c r="A1798" t="s">
        <v>31</v>
      </c>
      <c r="B1798" t="s">
        <v>104</v>
      </c>
      <c r="C1798" t="s">
        <v>32</v>
      </c>
      <c r="D1798" t="s">
        <v>27</v>
      </c>
      <c r="E1798" s="2">
        <v>45926</v>
      </c>
      <c r="F1798" s="2">
        <v>45926</v>
      </c>
      <c r="G1798" s="3">
        <v>31</v>
      </c>
      <c r="H1798" s="4" t="s">
        <v>28</v>
      </c>
      <c r="I1798">
        <v>104</v>
      </c>
      <c r="J1798">
        <v>0</v>
      </c>
      <c r="K1798">
        <v>0</v>
      </c>
      <c r="L1798" s="3">
        <v>0</v>
      </c>
      <c r="M1798" s="3">
        <v>0</v>
      </c>
      <c r="N1798">
        <v>0</v>
      </c>
      <c r="O1798">
        <v>0</v>
      </c>
      <c r="P1798">
        <v>0</v>
      </c>
      <c r="Q1798">
        <v>50</v>
      </c>
      <c r="R1798" s="3">
        <v>0</v>
      </c>
      <c r="S1798" s="3">
        <v>0</v>
      </c>
      <c r="T1798">
        <v>0</v>
      </c>
      <c r="U1798">
        <v>0</v>
      </c>
      <c r="V1798" s="3">
        <v>0</v>
      </c>
      <c r="W1798" s="3">
        <v>0</v>
      </c>
      <c r="X1798">
        <v>0</v>
      </c>
      <c r="Y1798" t="s">
        <v>1500</v>
      </c>
    </row>
    <row r="1799" spans="1:25" hidden="1" x14ac:dyDescent="0.25">
      <c r="A1799" t="s">
        <v>33</v>
      </c>
      <c r="B1799" t="s">
        <v>106</v>
      </c>
      <c r="C1799" t="s">
        <v>57</v>
      </c>
      <c r="D1799" t="s">
        <v>27</v>
      </c>
      <c r="E1799" s="2">
        <v>45926</v>
      </c>
      <c r="F1799" s="2">
        <v>45926</v>
      </c>
      <c r="G1799" s="3">
        <v>29</v>
      </c>
      <c r="H1799" s="4" t="s">
        <v>28</v>
      </c>
      <c r="I1799">
        <v>46</v>
      </c>
      <c r="J1799">
        <v>0</v>
      </c>
      <c r="K1799">
        <v>0</v>
      </c>
      <c r="L1799" s="3">
        <v>0</v>
      </c>
      <c r="M1799" s="3">
        <v>0</v>
      </c>
      <c r="N1799">
        <v>0</v>
      </c>
      <c r="O1799">
        <v>0</v>
      </c>
      <c r="P1799">
        <v>0</v>
      </c>
      <c r="Q1799">
        <v>20</v>
      </c>
      <c r="R1799" s="3">
        <v>0</v>
      </c>
      <c r="S1799" s="3">
        <v>0</v>
      </c>
      <c r="T1799">
        <v>0</v>
      </c>
      <c r="U1799">
        <v>0</v>
      </c>
      <c r="V1799" s="3">
        <v>0</v>
      </c>
      <c r="W1799" s="3">
        <v>0</v>
      </c>
      <c r="X1799">
        <v>0</v>
      </c>
      <c r="Y1799" t="s">
        <v>1501</v>
      </c>
    </row>
    <row r="1800" spans="1:25" hidden="1" x14ac:dyDescent="0.25">
      <c r="A1800" t="s">
        <v>38</v>
      </c>
      <c r="B1800" t="s">
        <v>108</v>
      </c>
      <c r="C1800" t="s">
        <v>27</v>
      </c>
      <c r="D1800" t="s">
        <v>27</v>
      </c>
      <c r="E1800" s="2">
        <v>45926</v>
      </c>
      <c r="F1800" s="2">
        <v>45926</v>
      </c>
      <c r="G1800" s="3">
        <v>42</v>
      </c>
      <c r="H1800" s="4" t="s">
        <v>28</v>
      </c>
      <c r="I1800">
        <v>36</v>
      </c>
      <c r="J1800">
        <v>0</v>
      </c>
      <c r="K1800">
        <v>0</v>
      </c>
      <c r="L1800" s="3">
        <v>0</v>
      </c>
      <c r="M1800" s="3">
        <v>0</v>
      </c>
      <c r="N1800">
        <v>0</v>
      </c>
      <c r="O1800">
        <v>0</v>
      </c>
      <c r="P1800">
        <v>0</v>
      </c>
      <c r="Q1800">
        <v>36</v>
      </c>
      <c r="R1800" s="3">
        <v>0</v>
      </c>
      <c r="S1800" s="3">
        <v>0</v>
      </c>
      <c r="T1800">
        <v>0</v>
      </c>
      <c r="U1800">
        <v>0</v>
      </c>
      <c r="V1800" s="3">
        <v>0</v>
      </c>
      <c r="W1800" s="3">
        <v>0</v>
      </c>
      <c r="X1800">
        <v>0</v>
      </c>
      <c r="Y1800" t="s">
        <v>1502</v>
      </c>
    </row>
    <row r="1801" spans="1:25" hidden="1" x14ac:dyDescent="0.25">
      <c r="A1801" t="s">
        <v>40</v>
      </c>
      <c r="B1801" t="s">
        <v>110</v>
      </c>
      <c r="C1801" t="s">
        <v>27</v>
      </c>
      <c r="D1801" t="s">
        <v>27</v>
      </c>
      <c r="E1801" s="2">
        <v>45926</v>
      </c>
      <c r="F1801" s="2">
        <v>45926</v>
      </c>
      <c r="G1801" s="3">
        <v>36</v>
      </c>
      <c r="H1801" s="4" t="s">
        <v>28</v>
      </c>
      <c r="I1801">
        <v>47</v>
      </c>
      <c r="J1801">
        <v>0</v>
      </c>
      <c r="K1801">
        <v>0</v>
      </c>
      <c r="L1801" s="3">
        <v>1</v>
      </c>
      <c r="M1801" s="3">
        <v>0</v>
      </c>
      <c r="N1801">
        <v>1</v>
      </c>
      <c r="O1801">
        <v>0</v>
      </c>
      <c r="P1801">
        <v>0</v>
      </c>
      <c r="Q1801">
        <v>0</v>
      </c>
      <c r="R1801" s="3">
        <v>0</v>
      </c>
      <c r="S1801" s="3">
        <v>0</v>
      </c>
      <c r="T1801">
        <v>0</v>
      </c>
      <c r="U1801">
        <v>0</v>
      </c>
      <c r="V1801" s="3">
        <v>0</v>
      </c>
      <c r="W1801" s="3">
        <v>0</v>
      </c>
      <c r="X1801">
        <v>0</v>
      </c>
      <c r="Y1801" t="s">
        <v>1503</v>
      </c>
    </row>
    <row r="1802" spans="1:25" hidden="1" x14ac:dyDescent="0.25">
      <c r="A1802" t="s">
        <v>36</v>
      </c>
      <c r="B1802" t="s">
        <v>110</v>
      </c>
      <c r="C1802" t="s">
        <v>27</v>
      </c>
      <c r="D1802" t="s">
        <v>27</v>
      </c>
      <c r="E1802" s="2">
        <v>45926</v>
      </c>
      <c r="F1802" s="2">
        <v>45926</v>
      </c>
      <c r="G1802" s="3">
        <v>36</v>
      </c>
      <c r="H1802" s="4" t="s">
        <v>28</v>
      </c>
      <c r="I1802">
        <v>47</v>
      </c>
      <c r="J1802">
        <v>0</v>
      </c>
      <c r="K1802">
        <v>0</v>
      </c>
      <c r="L1802" s="3">
        <v>1</v>
      </c>
      <c r="M1802" s="3">
        <v>0</v>
      </c>
      <c r="N1802">
        <v>1</v>
      </c>
      <c r="O1802">
        <v>0</v>
      </c>
      <c r="P1802">
        <v>0</v>
      </c>
      <c r="Q1802">
        <v>0</v>
      </c>
      <c r="R1802" s="3">
        <v>0</v>
      </c>
      <c r="S1802" s="3">
        <v>0</v>
      </c>
      <c r="T1802">
        <v>0</v>
      </c>
      <c r="U1802">
        <v>0</v>
      </c>
      <c r="V1802" s="3">
        <v>0</v>
      </c>
      <c r="W1802" s="3">
        <v>0</v>
      </c>
      <c r="X1802">
        <v>0</v>
      </c>
      <c r="Y1802" t="s">
        <v>1503</v>
      </c>
    </row>
    <row r="1803" spans="1:25" hidden="1" x14ac:dyDescent="0.25">
      <c r="A1803" t="s">
        <v>41</v>
      </c>
      <c r="B1803" t="s">
        <v>112</v>
      </c>
      <c r="C1803" t="s">
        <v>42</v>
      </c>
      <c r="D1803" t="s">
        <v>27</v>
      </c>
      <c r="E1803" s="2">
        <v>45926</v>
      </c>
      <c r="F1803" s="2">
        <v>45926</v>
      </c>
      <c r="G1803" s="3">
        <v>60</v>
      </c>
      <c r="H1803" s="4" t="s">
        <v>28</v>
      </c>
      <c r="I1803">
        <v>48</v>
      </c>
      <c r="J1803">
        <v>0</v>
      </c>
      <c r="K1803">
        <v>0</v>
      </c>
      <c r="L1803" s="3">
        <v>1</v>
      </c>
      <c r="M1803" s="3">
        <v>0</v>
      </c>
      <c r="N1803">
        <v>0</v>
      </c>
      <c r="O1803">
        <v>0</v>
      </c>
      <c r="P1803">
        <v>0</v>
      </c>
      <c r="Q1803">
        <v>1</v>
      </c>
      <c r="R1803" s="3">
        <v>0</v>
      </c>
      <c r="S1803" s="3">
        <v>0</v>
      </c>
      <c r="T1803">
        <v>0</v>
      </c>
      <c r="U1803">
        <v>0</v>
      </c>
      <c r="V1803" s="3">
        <v>0</v>
      </c>
      <c r="W1803" s="3">
        <v>0</v>
      </c>
      <c r="X1803">
        <v>0</v>
      </c>
      <c r="Y1803" t="s">
        <v>1504</v>
      </c>
    </row>
    <row r="1804" spans="1:25" hidden="1" x14ac:dyDescent="0.25">
      <c r="A1804" t="s">
        <v>43</v>
      </c>
      <c r="B1804" t="s">
        <v>114</v>
      </c>
      <c r="C1804" t="s">
        <v>44</v>
      </c>
      <c r="D1804" t="s">
        <v>27</v>
      </c>
      <c r="E1804" s="2">
        <v>45926</v>
      </c>
      <c r="F1804" s="2">
        <v>45926</v>
      </c>
      <c r="G1804" s="3">
        <v>34</v>
      </c>
      <c r="H1804" s="4" t="s">
        <v>28</v>
      </c>
      <c r="I1804">
        <v>67</v>
      </c>
      <c r="J1804">
        <v>0</v>
      </c>
      <c r="K1804">
        <v>0</v>
      </c>
      <c r="L1804" s="3">
        <v>1</v>
      </c>
      <c r="M1804" s="3">
        <v>0</v>
      </c>
      <c r="N1804">
        <v>0</v>
      </c>
      <c r="O1804">
        <v>0</v>
      </c>
      <c r="P1804">
        <v>0</v>
      </c>
      <c r="Q1804">
        <v>0</v>
      </c>
      <c r="R1804" s="3">
        <v>0</v>
      </c>
      <c r="S1804" s="3">
        <v>0</v>
      </c>
      <c r="T1804">
        <v>0</v>
      </c>
      <c r="U1804">
        <v>0</v>
      </c>
      <c r="V1804" s="3">
        <v>0</v>
      </c>
      <c r="W1804" s="3">
        <v>0</v>
      </c>
      <c r="X1804">
        <v>0</v>
      </c>
      <c r="Y1804" t="s">
        <v>1505</v>
      </c>
    </row>
    <row r="1805" spans="1:25" hidden="1" x14ac:dyDescent="0.25">
      <c r="A1805" t="s">
        <v>47</v>
      </c>
      <c r="B1805" t="s">
        <v>137</v>
      </c>
      <c r="C1805" t="s">
        <v>26</v>
      </c>
      <c r="D1805" t="s">
        <v>27</v>
      </c>
      <c r="E1805" s="2">
        <v>45926</v>
      </c>
      <c r="F1805" s="2">
        <v>45926</v>
      </c>
      <c r="G1805" s="3">
        <v>114</v>
      </c>
      <c r="H1805" s="4" t="s">
        <v>28</v>
      </c>
      <c r="I1805">
        <v>51</v>
      </c>
      <c r="J1805">
        <v>0</v>
      </c>
      <c r="K1805">
        <v>0</v>
      </c>
      <c r="L1805" s="3">
        <v>0</v>
      </c>
      <c r="M1805" s="3">
        <v>0</v>
      </c>
      <c r="N1805">
        <v>0</v>
      </c>
      <c r="O1805">
        <v>0</v>
      </c>
      <c r="P1805">
        <v>0</v>
      </c>
      <c r="Q1805">
        <v>0</v>
      </c>
      <c r="R1805" s="3">
        <v>0</v>
      </c>
      <c r="S1805" s="3">
        <v>0</v>
      </c>
      <c r="T1805">
        <v>0</v>
      </c>
      <c r="U1805">
        <v>0</v>
      </c>
      <c r="V1805" s="3">
        <v>0</v>
      </c>
      <c r="W1805" s="3">
        <v>0</v>
      </c>
      <c r="X1805">
        <v>0</v>
      </c>
      <c r="Y1805" t="s">
        <v>1506</v>
      </c>
    </row>
    <row r="1806" spans="1:25" hidden="1" x14ac:dyDescent="0.25">
      <c r="A1806" t="s">
        <v>49</v>
      </c>
      <c r="B1806" t="s">
        <v>118</v>
      </c>
      <c r="C1806" t="s">
        <v>50</v>
      </c>
      <c r="D1806" t="s">
        <v>27</v>
      </c>
      <c r="E1806" s="2">
        <v>45926</v>
      </c>
      <c r="F1806" s="2">
        <v>45926</v>
      </c>
      <c r="G1806" s="3">
        <v>26</v>
      </c>
      <c r="H1806" s="4" t="s">
        <v>28</v>
      </c>
      <c r="I1806">
        <v>61</v>
      </c>
      <c r="J1806">
        <v>0</v>
      </c>
      <c r="K1806">
        <v>0</v>
      </c>
      <c r="L1806" s="3">
        <v>1</v>
      </c>
      <c r="M1806" s="3">
        <v>1</v>
      </c>
      <c r="N1806">
        <v>0</v>
      </c>
      <c r="O1806">
        <v>0</v>
      </c>
      <c r="P1806">
        <v>0</v>
      </c>
      <c r="Q1806">
        <v>50</v>
      </c>
      <c r="R1806" s="3">
        <v>0</v>
      </c>
      <c r="S1806" s="3">
        <v>0</v>
      </c>
      <c r="T1806">
        <v>0</v>
      </c>
      <c r="U1806">
        <v>0</v>
      </c>
      <c r="V1806" s="3">
        <v>0</v>
      </c>
      <c r="W1806" s="3">
        <v>0</v>
      </c>
      <c r="X1806">
        <v>0</v>
      </c>
      <c r="Y1806" t="s">
        <v>1507</v>
      </c>
    </row>
    <row r="1807" spans="1:25" hidden="1" x14ac:dyDescent="0.25">
      <c r="A1807" t="s">
        <v>51</v>
      </c>
      <c r="B1807" t="s">
        <v>120</v>
      </c>
      <c r="C1807" t="s">
        <v>55</v>
      </c>
      <c r="D1807" t="s">
        <v>27</v>
      </c>
      <c r="E1807" s="2">
        <v>45926</v>
      </c>
      <c r="F1807" s="2">
        <v>45926</v>
      </c>
      <c r="G1807" s="3">
        <v>53</v>
      </c>
      <c r="H1807" s="4" t="s">
        <v>28</v>
      </c>
      <c r="I1807">
        <v>45</v>
      </c>
      <c r="J1807">
        <v>0</v>
      </c>
      <c r="K1807">
        <v>0</v>
      </c>
      <c r="L1807" s="3">
        <v>1</v>
      </c>
      <c r="M1807" s="3">
        <v>0</v>
      </c>
      <c r="N1807">
        <v>1</v>
      </c>
      <c r="O1807">
        <v>0</v>
      </c>
      <c r="P1807">
        <v>0</v>
      </c>
      <c r="Q1807">
        <v>0</v>
      </c>
      <c r="R1807" s="3">
        <v>0</v>
      </c>
      <c r="S1807" s="3">
        <v>0</v>
      </c>
      <c r="T1807">
        <v>0</v>
      </c>
      <c r="U1807">
        <v>0</v>
      </c>
      <c r="V1807" s="3">
        <v>0</v>
      </c>
      <c r="W1807" s="3">
        <v>0</v>
      </c>
      <c r="X1807">
        <v>0</v>
      </c>
      <c r="Y1807" t="s">
        <v>1508</v>
      </c>
    </row>
    <row r="1808" spans="1:25" hidden="1" x14ac:dyDescent="0.25">
      <c r="A1808" t="s">
        <v>54</v>
      </c>
      <c r="B1808" t="s">
        <v>122</v>
      </c>
      <c r="C1808" t="s">
        <v>52</v>
      </c>
      <c r="D1808" t="s">
        <v>27</v>
      </c>
      <c r="E1808" s="2">
        <v>45926</v>
      </c>
      <c r="F1808" s="2">
        <v>45926</v>
      </c>
      <c r="G1808" s="3">
        <v>39</v>
      </c>
      <c r="H1808" s="4" t="s">
        <v>28</v>
      </c>
      <c r="I1808">
        <v>54</v>
      </c>
      <c r="J1808">
        <v>0</v>
      </c>
      <c r="K1808">
        <v>0</v>
      </c>
      <c r="L1808" s="3">
        <v>0</v>
      </c>
      <c r="M1808" s="3">
        <v>0</v>
      </c>
      <c r="N1808">
        <v>0</v>
      </c>
      <c r="O1808">
        <v>0</v>
      </c>
      <c r="P1808">
        <v>0</v>
      </c>
      <c r="Q1808">
        <v>2</v>
      </c>
      <c r="R1808" s="3">
        <v>0</v>
      </c>
      <c r="S1808" s="3">
        <v>0</v>
      </c>
      <c r="T1808">
        <v>0</v>
      </c>
      <c r="U1808">
        <v>0</v>
      </c>
      <c r="V1808" s="3">
        <v>0</v>
      </c>
      <c r="W1808" s="3">
        <v>0</v>
      </c>
      <c r="X1808">
        <v>0</v>
      </c>
      <c r="Y1808" t="s">
        <v>1509</v>
      </c>
    </row>
    <row r="1809" spans="1:25" hidden="1" x14ac:dyDescent="0.25">
      <c r="A1809" t="s">
        <v>48</v>
      </c>
      <c r="B1809" t="s">
        <v>149</v>
      </c>
      <c r="C1809" t="s">
        <v>46</v>
      </c>
      <c r="D1809" t="s">
        <v>27</v>
      </c>
      <c r="E1809" s="2">
        <v>45926</v>
      </c>
      <c r="F1809" s="2">
        <v>45926</v>
      </c>
      <c r="G1809" s="3">
        <v>39</v>
      </c>
      <c r="H1809" s="4" t="s">
        <v>28</v>
      </c>
      <c r="I1809">
        <v>81</v>
      </c>
      <c r="J1809">
        <v>0</v>
      </c>
      <c r="K1809">
        <v>0</v>
      </c>
      <c r="L1809" s="3">
        <v>1</v>
      </c>
      <c r="M1809" s="3">
        <v>0</v>
      </c>
      <c r="N1809">
        <v>0</v>
      </c>
      <c r="O1809">
        <v>0</v>
      </c>
      <c r="P1809">
        <v>0</v>
      </c>
      <c r="Q1809">
        <v>0</v>
      </c>
      <c r="R1809" s="3">
        <v>0</v>
      </c>
      <c r="S1809" s="3">
        <v>0</v>
      </c>
      <c r="T1809">
        <v>0</v>
      </c>
      <c r="U1809">
        <v>0</v>
      </c>
      <c r="V1809" s="3">
        <v>0</v>
      </c>
      <c r="W1809" s="3">
        <v>0</v>
      </c>
      <c r="X1809">
        <v>0</v>
      </c>
      <c r="Y1809" t="s">
        <v>1510</v>
      </c>
    </row>
    <row r="1810" spans="1:25" hidden="1" x14ac:dyDescent="0.25">
      <c r="A1810" t="s">
        <v>58</v>
      </c>
      <c r="B1810" t="s">
        <v>144</v>
      </c>
      <c r="C1810" t="s">
        <v>489</v>
      </c>
      <c r="D1810" t="s">
        <v>27</v>
      </c>
      <c r="E1810" s="2">
        <v>45926</v>
      </c>
      <c r="F1810" s="2">
        <v>45926</v>
      </c>
      <c r="G1810" s="3">
        <v>26</v>
      </c>
      <c r="H1810" s="4" t="s">
        <v>28</v>
      </c>
      <c r="I1810">
        <v>66</v>
      </c>
      <c r="J1810">
        <v>0</v>
      </c>
      <c r="K1810">
        <v>0</v>
      </c>
      <c r="L1810" s="3">
        <v>1</v>
      </c>
      <c r="M1810" s="3">
        <v>0</v>
      </c>
      <c r="N1810">
        <v>0</v>
      </c>
      <c r="O1810">
        <v>0</v>
      </c>
      <c r="P1810">
        <v>0</v>
      </c>
      <c r="Q1810">
        <v>0</v>
      </c>
      <c r="R1810" s="3">
        <v>0</v>
      </c>
      <c r="S1810" s="3">
        <v>0</v>
      </c>
      <c r="T1810">
        <v>0</v>
      </c>
      <c r="U1810">
        <v>0</v>
      </c>
      <c r="V1810" s="3">
        <v>0</v>
      </c>
      <c r="W1810" s="3">
        <v>0</v>
      </c>
      <c r="X1810">
        <v>0</v>
      </c>
      <c r="Y1810" t="s">
        <v>1511</v>
      </c>
    </row>
    <row r="1811" spans="1:25" hidden="1" x14ac:dyDescent="0.25">
      <c r="A1811" t="s">
        <v>1512</v>
      </c>
      <c r="B1811" t="s">
        <v>106</v>
      </c>
      <c r="C1811" t="s">
        <v>27</v>
      </c>
      <c r="D1811" t="s">
        <v>27</v>
      </c>
      <c r="E1811" s="2">
        <v>45926</v>
      </c>
      <c r="F1811" s="2">
        <v>45926</v>
      </c>
      <c r="G1811" s="3">
        <v>27</v>
      </c>
      <c r="H1811" s="4" t="s">
        <v>1120</v>
      </c>
      <c r="I1811">
        <v>0</v>
      </c>
      <c r="J1811">
        <v>0</v>
      </c>
      <c r="K1811">
        <v>0</v>
      </c>
      <c r="L1811" s="3">
        <v>0</v>
      </c>
      <c r="M1811" s="3">
        <v>0</v>
      </c>
      <c r="N1811">
        <v>0</v>
      </c>
      <c r="O1811">
        <v>0</v>
      </c>
      <c r="P1811">
        <v>0</v>
      </c>
      <c r="Q1811">
        <v>0</v>
      </c>
      <c r="R1811" s="3">
        <v>0</v>
      </c>
      <c r="S1811" s="3">
        <v>0</v>
      </c>
      <c r="T1811">
        <v>0</v>
      </c>
      <c r="U1811">
        <v>0</v>
      </c>
      <c r="V1811" s="3">
        <v>0</v>
      </c>
      <c r="W1811" s="3">
        <v>0</v>
      </c>
      <c r="X1811" s="3">
        <v>0</v>
      </c>
      <c r="Y1811" t="s">
        <v>1511</v>
      </c>
    </row>
    <row r="1812" spans="1:25" hidden="1" x14ac:dyDescent="0.25">
      <c r="A1812" t="s">
        <v>51</v>
      </c>
      <c r="B1812" t="s">
        <v>120</v>
      </c>
      <c r="C1812" t="s">
        <v>44</v>
      </c>
      <c r="D1812" t="s">
        <v>27</v>
      </c>
      <c r="E1812" s="2">
        <v>45927</v>
      </c>
      <c r="F1812" s="2">
        <v>45927</v>
      </c>
      <c r="G1812" s="3">
        <v>70</v>
      </c>
      <c r="H1812" t="s">
        <v>28</v>
      </c>
      <c r="I1812">
        <v>0</v>
      </c>
      <c r="J1812">
        <v>0</v>
      </c>
      <c r="K1812">
        <v>0</v>
      </c>
      <c r="L1812" s="3">
        <v>0</v>
      </c>
      <c r="M1812" s="3">
        <v>0</v>
      </c>
      <c r="N1812">
        <v>0</v>
      </c>
      <c r="O1812">
        <v>0</v>
      </c>
      <c r="P1812">
        <v>0</v>
      </c>
      <c r="Q1812">
        <v>0</v>
      </c>
      <c r="R1812" s="3">
        <v>1</v>
      </c>
      <c r="S1812" s="3">
        <v>0</v>
      </c>
      <c r="T1812">
        <v>4</v>
      </c>
      <c r="U1812">
        <v>47</v>
      </c>
      <c r="V1812" s="3">
        <v>1</v>
      </c>
      <c r="W1812" s="3">
        <v>0</v>
      </c>
      <c r="X1812">
        <v>0</v>
      </c>
      <c r="Y1812" t="s">
        <v>1513</v>
      </c>
    </row>
    <row r="1813" spans="1:25" hidden="1" x14ac:dyDescent="0.25">
      <c r="A1813" t="s">
        <v>48</v>
      </c>
      <c r="B1813" t="s">
        <v>149</v>
      </c>
      <c r="C1813" t="s">
        <v>52</v>
      </c>
      <c r="D1813" t="s">
        <v>27</v>
      </c>
      <c r="E1813" s="2">
        <v>45927</v>
      </c>
      <c r="F1813" s="2">
        <v>45927</v>
      </c>
      <c r="G1813" s="3">
        <v>136</v>
      </c>
      <c r="H1813" t="s">
        <v>28</v>
      </c>
      <c r="I1813">
        <v>0</v>
      </c>
      <c r="J1813">
        <v>0</v>
      </c>
      <c r="K1813">
        <v>0</v>
      </c>
      <c r="L1813" s="3">
        <v>1</v>
      </c>
      <c r="M1813" s="3">
        <v>0</v>
      </c>
      <c r="N1813">
        <v>0</v>
      </c>
      <c r="O1813">
        <v>0</v>
      </c>
      <c r="P1813">
        <v>0</v>
      </c>
      <c r="Q1813">
        <v>20</v>
      </c>
      <c r="R1813" s="3">
        <v>1</v>
      </c>
      <c r="S1813" s="3">
        <v>0</v>
      </c>
      <c r="T1813">
        <v>23</v>
      </c>
      <c r="U1813">
        <v>24</v>
      </c>
      <c r="V1813" s="3">
        <v>1</v>
      </c>
      <c r="W1813" s="3">
        <v>0</v>
      </c>
      <c r="X1813">
        <v>0</v>
      </c>
      <c r="Y1813" t="s">
        <v>1514</v>
      </c>
    </row>
    <row r="1814" spans="1:25" hidden="1" x14ac:dyDescent="0.25">
      <c r="A1814" t="s">
        <v>33</v>
      </c>
      <c r="B1814" t="s">
        <v>106</v>
      </c>
      <c r="C1814" t="s">
        <v>55</v>
      </c>
      <c r="D1814" t="s">
        <v>27</v>
      </c>
      <c r="E1814" s="2">
        <v>45928</v>
      </c>
      <c r="F1814" s="2">
        <v>45928</v>
      </c>
      <c r="G1814" s="3">
        <v>126</v>
      </c>
      <c r="H1814" t="s">
        <v>28</v>
      </c>
      <c r="I1814">
        <v>0</v>
      </c>
      <c r="J1814">
        <v>0</v>
      </c>
      <c r="K1814">
        <v>0</v>
      </c>
      <c r="L1814" s="3">
        <v>1</v>
      </c>
      <c r="M1814" s="3">
        <v>0</v>
      </c>
      <c r="N1814">
        <v>0</v>
      </c>
      <c r="O1814">
        <v>0</v>
      </c>
      <c r="P1814">
        <v>0</v>
      </c>
      <c r="Q1814">
        <v>0</v>
      </c>
      <c r="R1814" s="3">
        <v>0</v>
      </c>
      <c r="S1814" s="3">
        <v>1</v>
      </c>
      <c r="T1814">
        <v>3</v>
      </c>
      <c r="U1814">
        <v>33</v>
      </c>
      <c r="V1814" s="3">
        <v>0</v>
      </c>
      <c r="W1814" s="3">
        <v>1</v>
      </c>
      <c r="X1814">
        <v>0</v>
      </c>
      <c r="Y1814" t="s">
        <v>1515</v>
      </c>
    </row>
    <row r="1815" spans="1:25" hidden="1" x14ac:dyDescent="0.25">
      <c r="A1815" t="s">
        <v>54</v>
      </c>
      <c r="B1815" t="s">
        <v>122</v>
      </c>
      <c r="C1815" t="s">
        <v>52</v>
      </c>
      <c r="D1815" t="s">
        <v>27</v>
      </c>
      <c r="E1815" s="2">
        <v>45928</v>
      </c>
      <c r="F1815" s="2">
        <v>45928</v>
      </c>
      <c r="G1815" s="3">
        <v>79</v>
      </c>
      <c r="H1815" t="s">
        <v>28</v>
      </c>
      <c r="I1815">
        <v>0</v>
      </c>
      <c r="J1815">
        <v>0</v>
      </c>
      <c r="K1815">
        <v>0</v>
      </c>
      <c r="L1815" s="3">
        <v>0</v>
      </c>
      <c r="M1815" s="3">
        <v>0</v>
      </c>
      <c r="N1815">
        <v>0</v>
      </c>
      <c r="O1815">
        <v>0</v>
      </c>
      <c r="P1815">
        <v>0</v>
      </c>
      <c r="Q1815">
        <v>0</v>
      </c>
      <c r="R1815" s="3">
        <v>0</v>
      </c>
      <c r="S1815" s="3">
        <v>1</v>
      </c>
      <c r="T1815">
        <v>10</v>
      </c>
      <c r="U1815">
        <v>56</v>
      </c>
      <c r="V1815" s="3">
        <v>0</v>
      </c>
      <c r="W1815" s="3">
        <v>1</v>
      </c>
      <c r="X1815">
        <v>0</v>
      </c>
      <c r="Y1815" t="s">
        <v>1516</v>
      </c>
    </row>
    <row r="1816" spans="1:25" hidden="1" x14ac:dyDescent="0.25">
      <c r="A1816" t="s">
        <v>25</v>
      </c>
      <c r="B1816" t="s">
        <v>96</v>
      </c>
      <c r="C1816" t="s">
        <v>35</v>
      </c>
      <c r="D1816" t="s">
        <v>27</v>
      </c>
      <c r="E1816" s="2">
        <v>45929</v>
      </c>
      <c r="F1816" s="2">
        <v>45929</v>
      </c>
      <c r="G1816" s="3">
        <v>35</v>
      </c>
      <c r="H1816" s="4" t="s">
        <v>28</v>
      </c>
      <c r="I1816">
        <v>41</v>
      </c>
      <c r="J1816">
        <v>0</v>
      </c>
      <c r="K1816">
        <v>0</v>
      </c>
      <c r="L1816" s="3">
        <v>0</v>
      </c>
      <c r="M1816" s="3">
        <v>0</v>
      </c>
      <c r="N1816">
        <v>0</v>
      </c>
      <c r="O1816">
        <v>0</v>
      </c>
      <c r="P1816">
        <v>0</v>
      </c>
      <c r="Q1816">
        <v>0</v>
      </c>
      <c r="R1816" s="3">
        <v>0</v>
      </c>
      <c r="S1816" s="3">
        <v>0</v>
      </c>
      <c r="T1816">
        <v>0</v>
      </c>
      <c r="U1816">
        <v>0</v>
      </c>
      <c r="V1816" s="3">
        <v>0</v>
      </c>
      <c r="W1816" s="3">
        <v>0</v>
      </c>
      <c r="X1816">
        <v>0</v>
      </c>
      <c r="Y1816" t="s">
        <v>1497</v>
      </c>
    </row>
    <row r="1817" spans="1:25" hidden="1" x14ac:dyDescent="0.25">
      <c r="A1817" t="s">
        <v>56</v>
      </c>
      <c r="B1817" t="s">
        <v>98</v>
      </c>
      <c r="C1817" t="s">
        <v>37</v>
      </c>
      <c r="D1817" t="s">
        <v>27</v>
      </c>
      <c r="E1817" s="2">
        <v>45929</v>
      </c>
      <c r="F1817" s="2">
        <v>45929</v>
      </c>
      <c r="G1817" s="3">
        <v>29</v>
      </c>
      <c r="H1817" s="4" t="s">
        <v>28</v>
      </c>
      <c r="I1817">
        <v>113</v>
      </c>
      <c r="J1817">
        <v>0</v>
      </c>
      <c r="K1817">
        <v>0</v>
      </c>
      <c r="L1817" s="3">
        <v>1</v>
      </c>
      <c r="M1817" s="3">
        <v>0</v>
      </c>
      <c r="N1817">
        <v>0</v>
      </c>
      <c r="O1817">
        <v>0</v>
      </c>
      <c r="P1817">
        <v>0</v>
      </c>
      <c r="Q1817">
        <v>10</v>
      </c>
      <c r="R1817" s="3">
        <v>0</v>
      </c>
      <c r="S1817" s="3">
        <v>0</v>
      </c>
      <c r="T1817">
        <v>0</v>
      </c>
      <c r="U1817">
        <v>0</v>
      </c>
      <c r="V1817" s="3">
        <v>0</v>
      </c>
      <c r="W1817" s="3">
        <v>0</v>
      </c>
      <c r="X1817">
        <v>0</v>
      </c>
      <c r="Y1817" t="s">
        <v>1498</v>
      </c>
    </row>
    <row r="1818" spans="1:25" hidden="1" x14ac:dyDescent="0.25">
      <c r="A1818" t="s">
        <v>31</v>
      </c>
      <c r="B1818" t="s">
        <v>104</v>
      </c>
      <c r="C1818" t="s">
        <v>32</v>
      </c>
      <c r="D1818" t="s">
        <v>27</v>
      </c>
      <c r="E1818" s="2">
        <v>45929</v>
      </c>
      <c r="F1818" s="2">
        <v>45929</v>
      </c>
      <c r="G1818" s="3">
        <v>30</v>
      </c>
      <c r="H1818" s="4" t="s">
        <v>28</v>
      </c>
      <c r="I1818">
        <v>118</v>
      </c>
      <c r="J1818">
        <v>0</v>
      </c>
      <c r="K1818">
        <v>0</v>
      </c>
      <c r="L1818" s="3">
        <v>1</v>
      </c>
      <c r="M1818" s="3">
        <v>0</v>
      </c>
      <c r="N1818">
        <v>0</v>
      </c>
      <c r="O1818">
        <v>0</v>
      </c>
      <c r="P1818">
        <v>0</v>
      </c>
      <c r="Q1818">
        <v>50</v>
      </c>
      <c r="R1818" s="3">
        <v>0</v>
      </c>
      <c r="S1818" s="3">
        <v>0</v>
      </c>
      <c r="T1818">
        <v>0</v>
      </c>
      <c r="U1818">
        <v>0</v>
      </c>
      <c r="V1818" s="3">
        <v>0</v>
      </c>
      <c r="W1818" s="3">
        <v>0</v>
      </c>
      <c r="X1818">
        <v>0</v>
      </c>
      <c r="Y1818" t="s">
        <v>1517</v>
      </c>
    </row>
    <row r="1819" spans="1:25" hidden="1" x14ac:dyDescent="0.25">
      <c r="A1819" t="s">
        <v>33</v>
      </c>
      <c r="B1819" t="s">
        <v>106</v>
      </c>
      <c r="C1819" t="s">
        <v>57</v>
      </c>
      <c r="D1819" t="s">
        <v>27</v>
      </c>
      <c r="E1819" s="2">
        <v>45929</v>
      </c>
      <c r="F1819" s="2">
        <v>45929</v>
      </c>
      <c r="G1819" s="3">
        <v>27</v>
      </c>
      <c r="H1819" s="4" t="s">
        <v>28</v>
      </c>
      <c r="I1819">
        <v>75</v>
      </c>
      <c r="J1819">
        <v>0</v>
      </c>
      <c r="K1819">
        <v>0</v>
      </c>
      <c r="L1819" s="3">
        <v>0</v>
      </c>
      <c r="M1819" s="3">
        <v>0</v>
      </c>
      <c r="N1819">
        <v>0</v>
      </c>
      <c r="O1819">
        <v>0</v>
      </c>
      <c r="P1819">
        <v>0</v>
      </c>
      <c r="Q1819">
        <v>20</v>
      </c>
      <c r="R1819" s="3">
        <v>0</v>
      </c>
      <c r="S1819" s="3">
        <v>0</v>
      </c>
      <c r="T1819">
        <v>0</v>
      </c>
      <c r="U1819">
        <v>0</v>
      </c>
      <c r="V1819" s="3">
        <v>0</v>
      </c>
      <c r="W1819" s="3">
        <v>0</v>
      </c>
      <c r="X1819">
        <v>0</v>
      </c>
      <c r="Y1819" t="s">
        <v>1518</v>
      </c>
    </row>
    <row r="1820" spans="1:25" hidden="1" x14ac:dyDescent="0.25">
      <c r="A1820" t="s">
        <v>36</v>
      </c>
      <c r="B1820" t="s">
        <v>249</v>
      </c>
      <c r="C1820" t="s">
        <v>26</v>
      </c>
      <c r="D1820" t="s">
        <v>27</v>
      </c>
      <c r="E1820" s="2">
        <v>45929</v>
      </c>
      <c r="F1820" s="2">
        <v>45929</v>
      </c>
      <c r="G1820" s="3">
        <v>34</v>
      </c>
      <c r="H1820" s="4" t="s">
        <v>28</v>
      </c>
      <c r="I1820">
        <v>116</v>
      </c>
      <c r="J1820">
        <v>0</v>
      </c>
      <c r="K1820">
        <v>0</v>
      </c>
      <c r="L1820" s="3">
        <v>1</v>
      </c>
      <c r="M1820" s="3">
        <v>0</v>
      </c>
      <c r="N1820">
        <v>1</v>
      </c>
      <c r="O1820">
        <v>0</v>
      </c>
      <c r="P1820">
        <v>0</v>
      </c>
      <c r="Q1820">
        <v>0</v>
      </c>
      <c r="R1820" s="3">
        <v>0</v>
      </c>
      <c r="S1820" s="3">
        <v>0</v>
      </c>
      <c r="T1820">
        <v>0</v>
      </c>
      <c r="U1820">
        <v>0</v>
      </c>
      <c r="V1820" s="3">
        <v>0</v>
      </c>
      <c r="W1820" s="3">
        <v>0</v>
      </c>
      <c r="X1820">
        <v>0</v>
      </c>
      <c r="Y1820" t="s">
        <v>1519</v>
      </c>
    </row>
    <row r="1821" spans="1:25" hidden="1" x14ac:dyDescent="0.25">
      <c r="A1821" t="s">
        <v>38</v>
      </c>
      <c r="B1821" t="s">
        <v>108</v>
      </c>
      <c r="C1821" t="s">
        <v>27</v>
      </c>
      <c r="D1821" t="s">
        <v>27</v>
      </c>
      <c r="E1821" s="2">
        <v>45929</v>
      </c>
      <c r="F1821" s="2">
        <v>45929</v>
      </c>
      <c r="G1821" s="3">
        <v>43</v>
      </c>
      <c r="H1821" s="4" t="s">
        <v>28</v>
      </c>
      <c r="I1821">
        <v>38</v>
      </c>
      <c r="J1821">
        <v>0</v>
      </c>
      <c r="K1821">
        <v>0</v>
      </c>
      <c r="L1821" s="3">
        <v>0</v>
      </c>
      <c r="M1821" s="3">
        <v>0</v>
      </c>
      <c r="N1821">
        <v>0</v>
      </c>
      <c r="O1821">
        <v>0</v>
      </c>
      <c r="P1821">
        <v>0</v>
      </c>
      <c r="Q1821">
        <v>38</v>
      </c>
      <c r="R1821" s="3">
        <v>0</v>
      </c>
      <c r="S1821" s="3">
        <v>0</v>
      </c>
      <c r="T1821">
        <v>0</v>
      </c>
      <c r="U1821">
        <v>0</v>
      </c>
      <c r="V1821" s="3">
        <v>0</v>
      </c>
      <c r="W1821" s="3">
        <v>0</v>
      </c>
      <c r="X1821">
        <v>0</v>
      </c>
      <c r="Y1821" t="s">
        <v>1520</v>
      </c>
    </row>
    <row r="1822" spans="1:25" hidden="1" x14ac:dyDescent="0.25">
      <c r="A1822" t="s">
        <v>1454</v>
      </c>
      <c r="B1822" t="s">
        <v>1455</v>
      </c>
      <c r="C1822" t="s">
        <v>27</v>
      </c>
      <c r="D1822" t="s">
        <v>27</v>
      </c>
      <c r="E1822" s="2">
        <v>45929</v>
      </c>
      <c r="F1822" s="2">
        <v>45929</v>
      </c>
      <c r="G1822" s="3">
        <v>44</v>
      </c>
      <c r="H1822" s="4" t="s">
        <v>28</v>
      </c>
      <c r="I1822">
        <v>31</v>
      </c>
      <c r="J1822">
        <v>0</v>
      </c>
      <c r="K1822">
        <v>0</v>
      </c>
      <c r="L1822" s="3">
        <v>1</v>
      </c>
      <c r="M1822" s="3">
        <v>0</v>
      </c>
      <c r="N1822">
        <v>0</v>
      </c>
      <c r="O1822">
        <v>0</v>
      </c>
      <c r="P1822">
        <v>0</v>
      </c>
      <c r="Q1822">
        <v>31</v>
      </c>
      <c r="R1822" s="3">
        <v>0</v>
      </c>
      <c r="S1822" s="3">
        <v>0</v>
      </c>
      <c r="T1822">
        <v>0</v>
      </c>
      <c r="U1822">
        <v>0</v>
      </c>
      <c r="V1822" s="3">
        <v>0</v>
      </c>
      <c r="W1822" s="3">
        <v>0</v>
      </c>
      <c r="X1822">
        <v>0</v>
      </c>
      <c r="Y1822" t="s">
        <v>1521</v>
      </c>
    </row>
    <row r="1823" spans="1:25" hidden="1" x14ac:dyDescent="0.25">
      <c r="A1823" t="s">
        <v>41</v>
      </c>
      <c r="B1823" t="s">
        <v>112</v>
      </c>
      <c r="C1823" t="s">
        <v>42</v>
      </c>
      <c r="D1823" t="s">
        <v>27</v>
      </c>
      <c r="E1823" s="2">
        <v>45929</v>
      </c>
      <c r="F1823" s="2">
        <v>45929</v>
      </c>
      <c r="G1823" s="3">
        <v>31</v>
      </c>
      <c r="H1823" s="4" t="s">
        <v>28</v>
      </c>
      <c r="I1823">
        <v>38</v>
      </c>
      <c r="J1823">
        <v>0</v>
      </c>
      <c r="K1823">
        <v>0</v>
      </c>
      <c r="L1823" s="3">
        <v>1</v>
      </c>
      <c r="M1823" s="3">
        <v>0</v>
      </c>
      <c r="N1823">
        <v>0</v>
      </c>
      <c r="O1823">
        <v>0</v>
      </c>
      <c r="P1823">
        <v>0</v>
      </c>
      <c r="Q1823">
        <v>4</v>
      </c>
      <c r="R1823" s="3">
        <v>0</v>
      </c>
      <c r="S1823" s="3">
        <v>0</v>
      </c>
      <c r="T1823">
        <v>0</v>
      </c>
      <c r="U1823">
        <v>0</v>
      </c>
      <c r="V1823" s="3">
        <v>0</v>
      </c>
      <c r="W1823" s="3">
        <v>0</v>
      </c>
      <c r="X1823">
        <v>0</v>
      </c>
      <c r="Y1823" t="s">
        <v>1522</v>
      </c>
    </row>
    <row r="1824" spans="1:25" hidden="1" x14ac:dyDescent="0.25">
      <c r="A1824" t="s">
        <v>43</v>
      </c>
      <c r="B1824" t="s">
        <v>114</v>
      </c>
      <c r="C1824" t="s">
        <v>44</v>
      </c>
      <c r="D1824" t="s">
        <v>27</v>
      </c>
      <c r="E1824" s="2">
        <v>45929</v>
      </c>
      <c r="F1824" s="2">
        <v>45929</v>
      </c>
      <c r="G1824" s="3">
        <v>33</v>
      </c>
      <c r="H1824" s="4" t="s">
        <v>28</v>
      </c>
      <c r="I1824">
        <v>61</v>
      </c>
      <c r="J1824">
        <v>0</v>
      </c>
      <c r="K1824">
        <v>0</v>
      </c>
      <c r="L1824" s="3">
        <v>0</v>
      </c>
      <c r="M1824" s="3">
        <v>0</v>
      </c>
      <c r="N1824">
        <v>0</v>
      </c>
      <c r="O1824">
        <v>0</v>
      </c>
      <c r="P1824">
        <v>0</v>
      </c>
      <c r="Q1824">
        <v>0</v>
      </c>
      <c r="R1824" s="3">
        <v>0</v>
      </c>
      <c r="S1824" s="3">
        <v>0</v>
      </c>
      <c r="T1824">
        <v>0</v>
      </c>
      <c r="U1824">
        <v>0</v>
      </c>
      <c r="V1824" s="3">
        <v>0</v>
      </c>
      <c r="W1824" s="3">
        <v>0</v>
      </c>
      <c r="X1824">
        <v>0</v>
      </c>
      <c r="Y1824" t="s">
        <v>1523</v>
      </c>
    </row>
    <row r="1825" spans="1:25" hidden="1" x14ac:dyDescent="0.25">
      <c r="A1825" t="s">
        <v>47</v>
      </c>
      <c r="B1825" t="s">
        <v>137</v>
      </c>
      <c r="C1825" t="s">
        <v>27</v>
      </c>
      <c r="D1825" t="s">
        <v>27</v>
      </c>
      <c r="E1825" s="2">
        <v>45929</v>
      </c>
      <c r="F1825" s="2">
        <v>45929</v>
      </c>
      <c r="G1825" s="3">
        <v>33</v>
      </c>
      <c r="H1825" s="4" t="s">
        <v>28</v>
      </c>
      <c r="I1825">
        <v>94</v>
      </c>
      <c r="J1825">
        <v>0</v>
      </c>
      <c r="K1825">
        <v>0</v>
      </c>
      <c r="L1825" s="3">
        <v>0</v>
      </c>
      <c r="M1825" s="3">
        <v>0</v>
      </c>
      <c r="N1825">
        <v>1</v>
      </c>
      <c r="O1825">
        <v>0</v>
      </c>
      <c r="P1825">
        <v>0</v>
      </c>
      <c r="Q1825">
        <v>0</v>
      </c>
      <c r="R1825" s="3">
        <v>0</v>
      </c>
      <c r="S1825" s="3">
        <v>0</v>
      </c>
      <c r="T1825">
        <v>0</v>
      </c>
      <c r="U1825">
        <v>0</v>
      </c>
      <c r="V1825" s="3">
        <v>0</v>
      </c>
      <c r="W1825" s="3">
        <v>0</v>
      </c>
      <c r="X1825">
        <v>0</v>
      </c>
      <c r="Y1825" t="s">
        <v>1524</v>
      </c>
    </row>
    <row r="1826" spans="1:25" hidden="1" x14ac:dyDescent="0.25">
      <c r="A1826" t="s">
        <v>34</v>
      </c>
      <c r="B1826" t="s">
        <v>137</v>
      </c>
      <c r="C1826" t="s">
        <v>27</v>
      </c>
      <c r="D1826" t="s">
        <v>27</v>
      </c>
      <c r="E1826" s="2">
        <v>45929</v>
      </c>
      <c r="F1826" s="2">
        <v>45929</v>
      </c>
      <c r="G1826" s="3">
        <v>33</v>
      </c>
      <c r="H1826" s="4" t="s">
        <v>28</v>
      </c>
      <c r="I1826">
        <v>94</v>
      </c>
      <c r="J1826">
        <v>0</v>
      </c>
      <c r="K1826">
        <v>0</v>
      </c>
      <c r="L1826" s="3">
        <v>0</v>
      </c>
      <c r="M1826" s="3">
        <v>0</v>
      </c>
      <c r="N1826">
        <v>1</v>
      </c>
      <c r="O1826">
        <v>0</v>
      </c>
      <c r="P1826">
        <v>0</v>
      </c>
      <c r="Q1826">
        <v>0</v>
      </c>
      <c r="R1826" s="3">
        <v>0</v>
      </c>
      <c r="S1826" s="3">
        <v>0</v>
      </c>
      <c r="T1826">
        <v>0</v>
      </c>
      <c r="U1826">
        <v>0</v>
      </c>
      <c r="V1826" s="3">
        <v>0</v>
      </c>
      <c r="W1826" s="3">
        <v>0</v>
      </c>
      <c r="X1826">
        <v>0</v>
      </c>
      <c r="Y1826" t="s">
        <v>1524</v>
      </c>
    </row>
    <row r="1827" spans="1:25" hidden="1" x14ac:dyDescent="0.25">
      <c r="A1827" t="s">
        <v>49</v>
      </c>
      <c r="B1827" t="s">
        <v>118</v>
      </c>
      <c r="C1827" t="s">
        <v>50</v>
      </c>
      <c r="D1827" t="s">
        <v>27</v>
      </c>
      <c r="E1827" s="2">
        <v>45929</v>
      </c>
      <c r="F1827" s="2">
        <v>45929</v>
      </c>
      <c r="G1827" s="3">
        <v>20</v>
      </c>
      <c r="H1827" s="4" t="s">
        <v>28</v>
      </c>
      <c r="I1827">
        <v>40</v>
      </c>
      <c r="J1827">
        <v>0</v>
      </c>
      <c r="K1827">
        <v>0</v>
      </c>
      <c r="L1827" s="3">
        <v>1</v>
      </c>
      <c r="M1827" s="3">
        <v>1</v>
      </c>
      <c r="N1827">
        <v>0</v>
      </c>
      <c r="O1827">
        <v>0</v>
      </c>
      <c r="P1827">
        <v>0</v>
      </c>
      <c r="Q1827">
        <v>24</v>
      </c>
      <c r="R1827" s="3">
        <v>0</v>
      </c>
      <c r="S1827" s="3">
        <v>0</v>
      </c>
      <c r="T1827">
        <v>0</v>
      </c>
      <c r="U1827">
        <v>0</v>
      </c>
      <c r="V1827" s="3">
        <v>0</v>
      </c>
      <c r="W1827" s="3">
        <v>0</v>
      </c>
      <c r="X1827">
        <v>0</v>
      </c>
      <c r="Y1827" t="s">
        <v>1525</v>
      </c>
    </row>
    <row r="1828" spans="1:25" hidden="1" x14ac:dyDescent="0.25">
      <c r="A1828" t="s">
        <v>51</v>
      </c>
      <c r="B1828" t="s">
        <v>120</v>
      </c>
      <c r="C1828" t="s">
        <v>55</v>
      </c>
      <c r="D1828" t="s">
        <v>27</v>
      </c>
      <c r="E1828" s="2">
        <v>45929</v>
      </c>
      <c r="F1828" s="2">
        <v>45929</v>
      </c>
      <c r="G1828" s="3">
        <v>68</v>
      </c>
      <c r="H1828" s="4" t="s">
        <v>28</v>
      </c>
      <c r="I1828">
        <v>48</v>
      </c>
      <c r="J1828">
        <v>10</v>
      </c>
      <c r="K1828">
        <v>0</v>
      </c>
      <c r="L1828" s="3">
        <v>0</v>
      </c>
      <c r="M1828" s="3">
        <v>0</v>
      </c>
      <c r="N1828">
        <v>0</v>
      </c>
      <c r="O1828">
        <v>1</v>
      </c>
      <c r="P1828">
        <v>0</v>
      </c>
      <c r="Q1828">
        <v>0</v>
      </c>
      <c r="R1828" s="3">
        <v>0</v>
      </c>
      <c r="S1828" s="3">
        <v>0</v>
      </c>
      <c r="T1828">
        <v>0</v>
      </c>
      <c r="U1828">
        <v>0</v>
      </c>
      <c r="V1828" s="3">
        <v>0</v>
      </c>
      <c r="W1828" s="3">
        <v>0</v>
      </c>
      <c r="X1828">
        <v>0</v>
      </c>
      <c r="Y1828" t="s">
        <v>1526</v>
      </c>
    </row>
    <row r="1829" spans="1:25" hidden="1" x14ac:dyDescent="0.25">
      <c r="A1829" t="s">
        <v>54</v>
      </c>
      <c r="B1829" t="s">
        <v>122</v>
      </c>
      <c r="C1829" t="s">
        <v>52</v>
      </c>
      <c r="D1829" t="s">
        <v>27</v>
      </c>
      <c r="E1829" s="2">
        <v>45929</v>
      </c>
      <c r="F1829" s="2">
        <v>45929</v>
      </c>
      <c r="G1829" s="3">
        <v>53</v>
      </c>
      <c r="H1829" s="4" t="s">
        <v>28</v>
      </c>
      <c r="I1829">
        <v>57</v>
      </c>
      <c r="J1829">
        <v>0</v>
      </c>
      <c r="K1829">
        <v>0</v>
      </c>
      <c r="L1829" s="3">
        <v>0</v>
      </c>
      <c r="M1829" s="3">
        <v>0</v>
      </c>
      <c r="N1829">
        <v>0</v>
      </c>
      <c r="O1829">
        <v>0</v>
      </c>
      <c r="P1829">
        <v>0</v>
      </c>
      <c r="Q1829">
        <v>2</v>
      </c>
      <c r="R1829" s="3">
        <v>0</v>
      </c>
      <c r="S1829" s="3">
        <v>0</v>
      </c>
      <c r="T1829">
        <v>0</v>
      </c>
      <c r="U1829">
        <v>0</v>
      </c>
      <c r="V1829" s="3">
        <v>0</v>
      </c>
      <c r="W1829" s="3">
        <v>0</v>
      </c>
      <c r="X1829">
        <v>0</v>
      </c>
      <c r="Y1829" t="s">
        <v>1527</v>
      </c>
    </row>
    <row r="1830" spans="1:25" hidden="1" x14ac:dyDescent="0.25">
      <c r="A1830" t="s">
        <v>48</v>
      </c>
      <c r="B1830" t="s">
        <v>149</v>
      </c>
      <c r="C1830" t="s">
        <v>46</v>
      </c>
      <c r="D1830" t="s">
        <v>27</v>
      </c>
      <c r="E1830" s="2">
        <v>45929</v>
      </c>
      <c r="F1830" s="2">
        <v>45929</v>
      </c>
      <c r="G1830" s="3">
        <v>113</v>
      </c>
      <c r="H1830" s="4" t="s">
        <v>28</v>
      </c>
      <c r="I1830">
        <v>75</v>
      </c>
      <c r="J1830">
        <v>0</v>
      </c>
      <c r="K1830">
        <v>0</v>
      </c>
      <c r="L1830" s="3">
        <v>1</v>
      </c>
      <c r="M1830" s="3">
        <v>0</v>
      </c>
      <c r="N1830">
        <v>0</v>
      </c>
      <c r="O1830">
        <v>0</v>
      </c>
      <c r="P1830">
        <v>0</v>
      </c>
      <c r="Q1830">
        <v>20</v>
      </c>
      <c r="R1830" s="3">
        <v>0</v>
      </c>
      <c r="S1830" s="3">
        <v>0</v>
      </c>
      <c r="T1830">
        <v>0</v>
      </c>
      <c r="U1830">
        <v>0</v>
      </c>
      <c r="V1830" s="3">
        <v>0</v>
      </c>
      <c r="W1830" s="3">
        <v>0</v>
      </c>
      <c r="X1830">
        <v>0</v>
      </c>
      <c r="Y1830" t="s">
        <v>1528</v>
      </c>
    </row>
    <row r="1831" spans="1:25" hidden="1" x14ac:dyDescent="0.25">
      <c r="A1831" t="s">
        <v>58</v>
      </c>
      <c r="B1831" t="s">
        <v>144</v>
      </c>
      <c r="C1831" t="s">
        <v>489</v>
      </c>
      <c r="D1831" t="s">
        <v>27</v>
      </c>
      <c r="E1831" s="2">
        <v>45929</v>
      </c>
      <c r="F1831" s="2">
        <v>45929</v>
      </c>
      <c r="G1831" s="3">
        <v>35</v>
      </c>
      <c r="H1831" s="4" t="s">
        <v>28</v>
      </c>
      <c r="I1831">
        <v>101</v>
      </c>
      <c r="J1831">
        <v>0</v>
      </c>
      <c r="K1831">
        <v>0</v>
      </c>
      <c r="L1831" s="3">
        <v>1</v>
      </c>
      <c r="M1831" s="3">
        <v>0</v>
      </c>
      <c r="N1831">
        <v>0</v>
      </c>
      <c r="O1831">
        <v>0</v>
      </c>
      <c r="P1831">
        <v>0</v>
      </c>
      <c r="Q1831">
        <v>0</v>
      </c>
      <c r="R1831" s="3">
        <v>0</v>
      </c>
      <c r="S1831" s="3">
        <v>0</v>
      </c>
      <c r="T1831">
        <v>0</v>
      </c>
      <c r="U1831">
        <v>0</v>
      </c>
      <c r="V1831" s="3">
        <v>0</v>
      </c>
      <c r="W1831" s="3">
        <v>0</v>
      </c>
      <c r="X1831">
        <v>0</v>
      </c>
      <c r="Y1831" t="s">
        <v>1529</v>
      </c>
    </row>
    <row r="1832" spans="1:25" hidden="1" x14ac:dyDescent="0.25">
      <c r="A1832" t="s">
        <v>29</v>
      </c>
      <c r="B1832" t="s">
        <v>106</v>
      </c>
      <c r="C1832" t="s">
        <v>27</v>
      </c>
      <c r="D1832" t="s">
        <v>27</v>
      </c>
      <c r="E1832" s="2">
        <v>45929</v>
      </c>
      <c r="F1832" s="2">
        <v>45929</v>
      </c>
      <c r="G1832" s="3">
        <v>36</v>
      </c>
      <c r="H1832" s="4" t="s">
        <v>1448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5" hidden="1" x14ac:dyDescent="0.25">
      <c r="A1833" t="s">
        <v>40</v>
      </c>
      <c r="B1833" t="s">
        <v>182</v>
      </c>
      <c r="C1833" t="s">
        <v>27</v>
      </c>
      <c r="D1833" t="s">
        <v>27</v>
      </c>
      <c r="E1833" s="2">
        <v>45929</v>
      </c>
      <c r="F1833" s="2">
        <v>45929</v>
      </c>
      <c r="G1833" s="3">
        <v>37</v>
      </c>
      <c r="H1833" s="4" t="s">
        <v>1448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5" hidden="1" x14ac:dyDescent="0.25">
      <c r="A1834" t="s">
        <v>27</v>
      </c>
      <c r="B1834" t="s">
        <v>184</v>
      </c>
      <c r="C1834" t="s">
        <v>95</v>
      </c>
      <c r="D1834" t="s">
        <v>27</v>
      </c>
      <c r="E1834" s="2">
        <v>45929</v>
      </c>
      <c r="F1834" s="2">
        <v>45929</v>
      </c>
      <c r="G1834" s="3">
        <v>38</v>
      </c>
      <c r="H1834" s="4" t="s">
        <v>1255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5" hidden="1" x14ac:dyDescent="0.25">
      <c r="A1835" s="1" t="s">
        <v>25</v>
      </c>
      <c r="B1835" s="1" t="s">
        <v>96</v>
      </c>
      <c r="C1835" s="1" t="s">
        <v>35</v>
      </c>
      <c r="D1835" t="s">
        <v>27</v>
      </c>
      <c r="E1835" s="2">
        <v>45930</v>
      </c>
      <c r="F1835" s="2">
        <v>45930</v>
      </c>
      <c r="G1835" s="3">
        <v>49</v>
      </c>
      <c r="H1835" s="4" t="s">
        <v>28</v>
      </c>
      <c r="I1835">
        <v>50</v>
      </c>
      <c r="J1835">
        <v>0</v>
      </c>
      <c r="K1835">
        <v>0</v>
      </c>
      <c r="L1835" s="3">
        <v>0</v>
      </c>
      <c r="M1835" s="3">
        <v>0</v>
      </c>
      <c r="N1835">
        <v>0</v>
      </c>
      <c r="O1835">
        <v>0</v>
      </c>
      <c r="P1835">
        <v>0</v>
      </c>
      <c r="Q1835">
        <v>0</v>
      </c>
      <c r="R1835" s="3">
        <v>0</v>
      </c>
      <c r="S1835" s="3">
        <v>0</v>
      </c>
      <c r="T1835">
        <v>0</v>
      </c>
      <c r="U1835">
        <v>0</v>
      </c>
      <c r="V1835" s="3">
        <v>0</v>
      </c>
      <c r="W1835" s="3">
        <v>0</v>
      </c>
      <c r="X1835">
        <v>0</v>
      </c>
      <c r="Y1835" t="s">
        <v>1530</v>
      </c>
    </row>
    <row r="1836" spans="1:25" hidden="1" x14ac:dyDescent="0.25">
      <c r="A1836" s="1" t="s">
        <v>56</v>
      </c>
      <c r="B1836" s="1" t="s">
        <v>98</v>
      </c>
      <c r="C1836" s="1" t="s">
        <v>37</v>
      </c>
      <c r="D1836" t="s">
        <v>27</v>
      </c>
      <c r="E1836" s="2">
        <v>45930</v>
      </c>
      <c r="F1836" s="2">
        <v>45930</v>
      </c>
      <c r="G1836" s="3">
        <v>28</v>
      </c>
      <c r="H1836" s="4" t="s">
        <v>28</v>
      </c>
      <c r="I1836">
        <v>45</v>
      </c>
      <c r="J1836">
        <v>0</v>
      </c>
      <c r="K1836">
        <v>0</v>
      </c>
      <c r="L1836" s="3">
        <v>1</v>
      </c>
      <c r="M1836" s="3">
        <v>0</v>
      </c>
      <c r="N1836">
        <v>0</v>
      </c>
      <c r="O1836">
        <v>0</v>
      </c>
      <c r="P1836">
        <v>0</v>
      </c>
      <c r="Q1836">
        <v>10</v>
      </c>
      <c r="R1836" s="3">
        <v>0</v>
      </c>
      <c r="S1836" s="3">
        <v>0</v>
      </c>
      <c r="T1836">
        <v>0</v>
      </c>
      <c r="U1836">
        <v>0</v>
      </c>
      <c r="V1836" s="3">
        <v>0</v>
      </c>
      <c r="W1836" s="3">
        <v>0</v>
      </c>
      <c r="X1836">
        <v>0</v>
      </c>
      <c r="Y1836" t="s">
        <v>1531</v>
      </c>
    </row>
    <row r="1837" spans="1:25" hidden="1" x14ac:dyDescent="0.25">
      <c r="A1837" s="1" t="s">
        <v>29</v>
      </c>
      <c r="B1837" s="1" t="s">
        <v>100</v>
      </c>
      <c r="C1837" s="1" t="s">
        <v>95</v>
      </c>
      <c r="D1837" t="s">
        <v>27</v>
      </c>
      <c r="E1837" s="2">
        <v>45930</v>
      </c>
      <c r="F1837" s="2">
        <v>45930</v>
      </c>
      <c r="G1837" s="3">
        <v>33</v>
      </c>
      <c r="H1837" s="4" t="s">
        <v>28</v>
      </c>
      <c r="I1837">
        <v>54</v>
      </c>
      <c r="J1837">
        <v>0</v>
      </c>
      <c r="K1837">
        <v>0</v>
      </c>
      <c r="L1837" s="3">
        <v>0</v>
      </c>
      <c r="M1837" s="3">
        <v>0</v>
      </c>
      <c r="N1837">
        <v>0</v>
      </c>
      <c r="O1837">
        <v>0</v>
      </c>
      <c r="P1837">
        <v>0</v>
      </c>
      <c r="Q1837">
        <v>0</v>
      </c>
      <c r="R1837" s="3">
        <v>0</v>
      </c>
      <c r="S1837" s="3">
        <v>0</v>
      </c>
      <c r="T1837">
        <v>0</v>
      </c>
      <c r="U1837">
        <v>0</v>
      </c>
      <c r="V1837" s="3">
        <v>0</v>
      </c>
      <c r="W1837" s="3">
        <v>0</v>
      </c>
      <c r="X1837">
        <v>0</v>
      </c>
      <c r="Y1837" t="s">
        <v>1532</v>
      </c>
    </row>
    <row r="1838" spans="1:25" hidden="1" x14ac:dyDescent="0.25">
      <c r="A1838" s="1" t="s">
        <v>31</v>
      </c>
      <c r="B1838" s="1" t="s">
        <v>104</v>
      </c>
      <c r="C1838" s="1" t="s">
        <v>32</v>
      </c>
      <c r="D1838" t="s">
        <v>27</v>
      </c>
      <c r="E1838" s="2">
        <v>45930</v>
      </c>
      <c r="F1838" s="2">
        <v>45930</v>
      </c>
      <c r="G1838" s="3">
        <v>40</v>
      </c>
      <c r="H1838" s="4" t="s">
        <v>28</v>
      </c>
      <c r="I1838">
        <v>88</v>
      </c>
      <c r="J1838">
        <v>0</v>
      </c>
      <c r="K1838">
        <v>0</v>
      </c>
      <c r="L1838" s="3">
        <v>0</v>
      </c>
      <c r="M1838" s="3">
        <v>0</v>
      </c>
      <c r="N1838">
        <v>0</v>
      </c>
      <c r="O1838">
        <v>0</v>
      </c>
      <c r="P1838">
        <v>0</v>
      </c>
      <c r="Q1838">
        <v>50</v>
      </c>
      <c r="R1838" s="3">
        <v>0</v>
      </c>
      <c r="S1838" s="3">
        <v>0</v>
      </c>
      <c r="T1838">
        <v>0</v>
      </c>
      <c r="U1838">
        <v>0</v>
      </c>
      <c r="V1838" s="3">
        <v>0</v>
      </c>
      <c r="W1838" s="3">
        <v>0</v>
      </c>
      <c r="X1838">
        <v>0</v>
      </c>
      <c r="Y1838" t="s">
        <v>1533</v>
      </c>
    </row>
    <row r="1839" spans="1:25" hidden="1" x14ac:dyDescent="0.25">
      <c r="A1839" s="1" t="s">
        <v>38</v>
      </c>
      <c r="B1839" s="1" t="s">
        <v>108</v>
      </c>
      <c r="C1839" s="1" t="s">
        <v>27</v>
      </c>
      <c r="D1839" t="s">
        <v>27</v>
      </c>
      <c r="E1839" s="2">
        <v>45930</v>
      </c>
      <c r="F1839" s="2">
        <v>45930</v>
      </c>
      <c r="G1839" s="3">
        <v>33</v>
      </c>
      <c r="H1839" s="4" t="s">
        <v>28</v>
      </c>
      <c r="I1839">
        <v>31</v>
      </c>
      <c r="J1839">
        <v>0</v>
      </c>
      <c r="K1839">
        <v>0</v>
      </c>
      <c r="L1839" s="3">
        <v>0</v>
      </c>
      <c r="M1839" s="3">
        <v>0</v>
      </c>
      <c r="N1839">
        <v>0</v>
      </c>
      <c r="O1839">
        <v>0</v>
      </c>
      <c r="P1839">
        <v>0</v>
      </c>
      <c r="Q1839">
        <v>31</v>
      </c>
      <c r="R1839" s="3">
        <v>0</v>
      </c>
      <c r="S1839" s="3">
        <v>0</v>
      </c>
      <c r="T1839">
        <v>0</v>
      </c>
      <c r="U1839">
        <v>0</v>
      </c>
      <c r="V1839" s="3">
        <v>0</v>
      </c>
      <c r="W1839" s="3">
        <v>0</v>
      </c>
      <c r="X1839">
        <v>0</v>
      </c>
      <c r="Y1839" t="s">
        <v>1534</v>
      </c>
    </row>
    <row r="1840" spans="1:25" hidden="1" x14ac:dyDescent="0.25">
      <c r="A1840" s="1" t="s">
        <v>40</v>
      </c>
      <c r="B1840" s="1" t="s">
        <v>110</v>
      </c>
      <c r="C1840" s="1" t="s">
        <v>27</v>
      </c>
      <c r="D1840" t="s">
        <v>27</v>
      </c>
      <c r="E1840" s="2">
        <v>45930</v>
      </c>
      <c r="F1840" s="2">
        <v>45930</v>
      </c>
      <c r="G1840" s="3">
        <v>120</v>
      </c>
      <c r="H1840" s="4" t="s">
        <v>28</v>
      </c>
      <c r="I1840">
        <v>61</v>
      </c>
      <c r="J1840">
        <v>0</v>
      </c>
      <c r="K1840">
        <v>0</v>
      </c>
      <c r="L1840" s="3">
        <v>1</v>
      </c>
      <c r="M1840" s="3">
        <v>0</v>
      </c>
      <c r="N1840">
        <v>1</v>
      </c>
      <c r="O1840">
        <v>0</v>
      </c>
      <c r="P1840">
        <v>0</v>
      </c>
      <c r="Q1840">
        <v>0</v>
      </c>
      <c r="R1840" s="3">
        <v>0</v>
      </c>
      <c r="S1840" s="3">
        <v>0</v>
      </c>
      <c r="T1840">
        <v>0</v>
      </c>
      <c r="U1840">
        <v>0</v>
      </c>
      <c r="V1840" s="3">
        <v>0</v>
      </c>
      <c r="W1840" s="3">
        <v>0</v>
      </c>
      <c r="X1840">
        <v>0</v>
      </c>
      <c r="Y1840" t="s">
        <v>1535</v>
      </c>
    </row>
    <row r="1841" spans="1:25" hidden="1" x14ac:dyDescent="0.25">
      <c r="A1841" s="1" t="s">
        <v>36</v>
      </c>
      <c r="B1841" s="1" t="s">
        <v>110</v>
      </c>
      <c r="C1841" s="1" t="s">
        <v>27</v>
      </c>
      <c r="D1841" t="s">
        <v>27</v>
      </c>
      <c r="E1841" s="2">
        <v>45930</v>
      </c>
      <c r="F1841" s="2">
        <v>45930</v>
      </c>
      <c r="G1841" s="3">
        <v>120</v>
      </c>
      <c r="H1841" s="4" t="s">
        <v>28</v>
      </c>
      <c r="I1841">
        <v>61</v>
      </c>
      <c r="J1841">
        <v>0</v>
      </c>
      <c r="K1841">
        <v>0</v>
      </c>
      <c r="L1841" s="3">
        <v>1</v>
      </c>
      <c r="M1841" s="3">
        <v>0</v>
      </c>
      <c r="N1841">
        <v>1</v>
      </c>
      <c r="O1841">
        <v>0</v>
      </c>
      <c r="P1841">
        <v>0</v>
      </c>
      <c r="Q1841">
        <v>0</v>
      </c>
      <c r="R1841" s="3">
        <v>0</v>
      </c>
      <c r="S1841" s="3">
        <v>0</v>
      </c>
      <c r="T1841">
        <v>0</v>
      </c>
      <c r="U1841">
        <v>0</v>
      </c>
      <c r="V1841" s="3">
        <v>0</v>
      </c>
      <c r="W1841" s="3">
        <v>0</v>
      </c>
      <c r="X1841">
        <v>0</v>
      </c>
      <c r="Y1841" t="s">
        <v>1535</v>
      </c>
    </row>
    <row r="1842" spans="1:25" hidden="1" x14ac:dyDescent="0.25">
      <c r="A1842" s="1" t="s">
        <v>1454</v>
      </c>
      <c r="B1842" s="1" t="s">
        <v>1455</v>
      </c>
      <c r="C1842" s="1" t="s">
        <v>27</v>
      </c>
      <c r="D1842" t="s">
        <v>27</v>
      </c>
      <c r="E1842" s="2">
        <v>45930</v>
      </c>
      <c r="F1842" s="2">
        <v>45930</v>
      </c>
      <c r="G1842" s="3">
        <v>41</v>
      </c>
      <c r="H1842" s="4" t="s">
        <v>28</v>
      </c>
      <c r="I1842">
        <v>31</v>
      </c>
      <c r="J1842">
        <v>0</v>
      </c>
      <c r="K1842">
        <v>0</v>
      </c>
      <c r="L1842" s="3">
        <v>1</v>
      </c>
      <c r="M1842" s="3">
        <v>0</v>
      </c>
      <c r="N1842">
        <v>0</v>
      </c>
      <c r="O1842">
        <v>0</v>
      </c>
      <c r="P1842">
        <v>0</v>
      </c>
      <c r="Q1842">
        <v>31</v>
      </c>
      <c r="R1842" s="3">
        <v>0</v>
      </c>
      <c r="S1842" s="3">
        <v>0</v>
      </c>
      <c r="T1842">
        <v>0</v>
      </c>
      <c r="U1842">
        <v>0</v>
      </c>
      <c r="V1842" s="3">
        <v>0</v>
      </c>
      <c r="W1842" s="3">
        <v>0</v>
      </c>
      <c r="X1842">
        <v>0</v>
      </c>
      <c r="Y1842" t="s">
        <v>1536</v>
      </c>
    </row>
    <row r="1843" spans="1:25" hidden="1" x14ac:dyDescent="0.25">
      <c r="A1843" s="1" t="s">
        <v>41</v>
      </c>
      <c r="B1843" s="1" t="s">
        <v>112</v>
      </c>
      <c r="C1843" s="1" t="s">
        <v>42</v>
      </c>
      <c r="D1843" t="s">
        <v>27</v>
      </c>
      <c r="E1843" s="2">
        <v>45930</v>
      </c>
      <c r="F1843" s="2">
        <v>45930</v>
      </c>
      <c r="G1843" s="3">
        <v>69</v>
      </c>
      <c r="H1843" s="4" t="s">
        <v>28</v>
      </c>
      <c r="I1843">
        <v>60</v>
      </c>
      <c r="J1843">
        <v>0</v>
      </c>
      <c r="K1843">
        <v>0</v>
      </c>
      <c r="L1843" s="3">
        <v>1</v>
      </c>
      <c r="M1843" s="3">
        <v>1</v>
      </c>
      <c r="N1843">
        <v>0</v>
      </c>
      <c r="O1843">
        <v>0</v>
      </c>
      <c r="P1843">
        <v>0</v>
      </c>
      <c r="Q1843">
        <v>0</v>
      </c>
      <c r="R1843" s="3">
        <v>0</v>
      </c>
      <c r="S1843" s="3">
        <v>0</v>
      </c>
      <c r="T1843">
        <v>0</v>
      </c>
      <c r="U1843">
        <v>0</v>
      </c>
      <c r="V1843" s="3">
        <v>0</v>
      </c>
      <c r="W1843" s="3">
        <v>0</v>
      </c>
      <c r="X1843">
        <v>0</v>
      </c>
      <c r="Y1843" t="s">
        <v>1537</v>
      </c>
    </row>
    <row r="1844" spans="1:25" hidden="1" x14ac:dyDescent="0.25">
      <c r="A1844" s="1" t="s">
        <v>43</v>
      </c>
      <c r="B1844" s="1" t="s">
        <v>114</v>
      </c>
      <c r="C1844" s="1" t="s">
        <v>44</v>
      </c>
      <c r="D1844" t="s">
        <v>27</v>
      </c>
      <c r="E1844" s="2">
        <v>45930</v>
      </c>
      <c r="F1844" s="2">
        <v>45930</v>
      </c>
      <c r="G1844" s="3">
        <v>29</v>
      </c>
      <c r="H1844" s="4" t="s">
        <v>28</v>
      </c>
      <c r="I1844">
        <v>70</v>
      </c>
      <c r="J1844">
        <v>0</v>
      </c>
      <c r="K1844">
        <v>0</v>
      </c>
      <c r="L1844" s="3">
        <v>1</v>
      </c>
      <c r="M1844" s="3">
        <v>0</v>
      </c>
      <c r="N1844">
        <v>0</v>
      </c>
      <c r="O1844">
        <v>0</v>
      </c>
      <c r="P1844">
        <v>0</v>
      </c>
      <c r="Q1844">
        <v>0</v>
      </c>
      <c r="R1844" s="3">
        <v>0</v>
      </c>
      <c r="S1844" s="3">
        <v>0</v>
      </c>
      <c r="T1844">
        <v>0</v>
      </c>
      <c r="U1844">
        <v>0</v>
      </c>
      <c r="V1844" s="3">
        <v>0</v>
      </c>
      <c r="W1844" s="3">
        <v>0</v>
      </c>
      <c r="X1844">
        <v>0</v>
      </c>
      <c r="Y1844" t="s">
        <v>1538</v>
      </c>
    </row>
    <row r="1845" spans="1:25" hidden="1" x14ac:dyDescent="0.25">
      <c r="A1845" s="1" t="s">
        <v>47</v>
      </c>
      <c r="B1845" s="1" t="s">
        <v>137</v>
      </c>
      <c r="C1845" s="1" t="s">
        <v>27</v>
      </c>
      <c r="D1845" t="s">
        <v>27</v>
      </c>
      <c r="E1845" s="2">
        <v>45930</v>
      </c>
      <c r="F1845" s="2">
        <v>45930</v>
      </c>
      <c r="G1845" s="3">
        <v>28</v>
      </c>
      <c r="H1845" s="4" t="s">
        <v>28</v>
      </c>
      <c r="I1845">
        <v>50</v>
      </c>
      <c r="J1845">
        <v>0</v>
      </c>
      <c r="K1845">
        <v>0</v>
      </c>
      <c r="L1845" s="3">
        <v>0</v>
      </c>
      <c r="M1845" s="3">
        <v>0</v>
      </c>
      <c r="N1845">
        <v>0</v>
      </c>
      <c r="O1845">
        <v>0</v>
      </c>
      <c r="P1845">
        <v>0</v>
      </c>
      <c r="Q1845">
        <v>0</v>
      </c>
      <c r="R1845" s="3">
        <v>0</v>
      </c>
      <c r="S1845" s="3">
        <v>0</v>
      </c>
      <c r="T1845">
        <v>0</v>
      </c>
      <c r="U1845">
        <v>0</v>
      </c>
      <c r="V1845" s="3">
        <v>0</v>
      </c>
      <c r="W1845" s="3">
        <v>0</v>
      </c>
      <c r="X1845">
        <v>0</v>
      </c>
      <c r="Y1845" t="s">
        <v>1539</v>
      </c>
    </row>
    <row r="1846" spans="1:25" hidden="1" x14ac:dyDescent="0.25">
      <c r="A1846" s="1" t="s">
        <v>34</v>
      </c>
      <c r="B1846" s="1" t="s">
        <v>137</v>
      </c>
      <c r="C1846" s="1" t="s">
        <v>27</v>
      </c>
      <c r="D1846" t="s">
        <v>27</v>
      </c>
      <c r="E1846" s="2">
        <v>45930</v>
      </c>
      <c r="F1846" s="2">
        <v>45930</v>
      </c>
      <c r="G1846" s="3">
        <v>28</v>
      </c>
      <c r="H1846" s="4" t="s">
        <v>28</v>
      </c>
      <c r="I1846">
        <v>50</v>
      </c>
      <c r="J1846">
        <v>0</v>
      </c>
      <c r="K1846">
        <v>0</v>
      </c>
      <c r="L1846" s="3">
        <v>0</v>
      </c>
      <c r="M1846" s="3">
        <v>0</v>
      </c>
      <c r="N1846">
        <v>0</v>
      </c>
      <c r="O1846">
        <v>0</v>
      </c>
      <c r="P1846">
        <v>0</v>
      </c>
      <c r="Q1846">
        <v>0</v>
      </c>
      <c r="R1846" s="3">
        <v>0</v>
      </c>
      <c r="S1846" s="3">
        <v>0</v>
      </c>
      <c r="T1846">
        <v>0</v>
      </c>
      <c r="U1846">
        <v>0</v>
      </c>
      <c r="V1846" s="3">
        <v>0</v>
      </c>
      <c r="W1846" s="3">
        <v>0</v>
      </c>
      <c r="X1846">
        <v>0</v>
      </c>
      <c r="Y1846" t="s">
        <v>1539</v>
      </c>
    </row>
    <row r="1847" spans="1:25" hidden="1" x14ac:dyDescent="0.25">
      <c r="A1847" s="1" t="s">
        <v>49</v>
      </c>
      <c r="B1847" s="1" t="s">
        <v>118</v>
      </c>
      <c r="C1847" s="1" t="s">
        <v>50</v>
      </c>
      <c r="D1847" t="s">
        <v>27</v>
      </c>
      <c r="E1847" s="2">
        <v>45930</v>
      </c>
      <c r="F1847" s="2">
        <v>45930</v>
      </c>
      <c r="G1847" s="3">
        <v>29</v>
      </c>
      <c r="H1847" s="4" t="s">
        <v>28</v>
      </c>
      <c r="I1847">
        <v>45</v>
      </c>
      <c r="J1847">
        <v>0</v>
      </c>
      <c r="K1847">
        <v>0</v>
      </c>
      <c r="L1847" s="3">
        <v>1</v>
      </c>
      <c r="M1847" s="3">
        <v>1</v>
      </c>
      <c r="N1847">
        <v>0</v>
      </c>
      <c r="O1847">
        <v>1</v>
      </c>
      <c r="P1847">
        <v>0</v>
      </c>
      <c r="Q1847">
        <v>45</v>
      </c>
      <c r="R1847" s="3">
        <v>0</v>
      </c>
      <c r="S1847" s="3">
        <v>0</v>
      </c>
      <c r="T1847">
        <v>0</v>
      </c>
      <c r="U1847">
        <v>0</v>
      </c>
      <c r="V1847" s="3">
        <v>0</v>
      </c>
      <c r="W1847" s="3">
        <v>0</v>
      </c>
      <c r="X1847">
        <v>0</v>
      </c>
      <c r="Y1847" t="s">
        <v>1540</v>
      </c>
    </row>
    <row r="1848" spans="1:25" hidden="1" x14ac:dyDescent="0.25">
      <c r="A1848" s="1" t="s">
        <v>54</v>
      </c>
      <c r="B1848" s="1" t="s">
        <v>122</v>
      </c>
      <c r="C1848" s="1" t="s">
        <v>52</v>
      </c>
      <c r="D1848" t="s">
        <v>27</v>
      </c>
      <c r="E1848" s="2">
        <v>45930</v>
      </c>
      <c r="F1848" s="2">
        <v>45930</v>
      </c>
      <c r="G1848" s="3">
        <v>40</v>
      </c>
      <c r="H1848" s="4" t="s">
        <v>28</v>
      </c>
      <c r="I1848">
        <v>48</v>
      </c>
      <c r="J1848">
        <v>0</v>
      </c>
      <c r="K1848">
        <v>0</v>
      </c>
      <c r="L1848" s="3">
        <v>0</v>
      </c>
      <c r="M1848" s="3">
        <v>0</v>
      </c>
      <c r="N1848">
        <v>0</v>
      </c>
      <c r="O1848">
        <v>0</v>
      </c>
      <c r="P1848">
        <v>0</v>
      </c>
      <c r="Q1848">
        <v>2</v>
      </c>
      <c r="R1848" s="3">
        <v>0</v>
      </c>
      <c r="S1848" s="3">
        <v>0</v>
      </c>
      <c r="T1848">
        <v>0</v>
      </c>
      <c r="U1848">
        <v>0</v>
      </c>
      <c r="V1848" s="3">
        <v>0</v>
      </c>
      <c r="W1848" s="3">
        <v>0</v>
      </c>
      <c r="X1848">
        <v>0</v>
      </c>
      <c r="Y1848" t="s">
        <v>1541</v>
      </c>
    </row>
    <row r="1849" spans="1:25" hidden="1" x14ac:dyDescent="0.25">
      <c r="A1849" s="1" t="s">
        <v>48</v>
      </c>
      <c r="B1849" s="1" t="s">
        <v>149</v>
      </c>
      <c r="C1849" s="1" t="s">
        <v>46</v>
      </c>
      <c r="D1849" t="s">
        <v>27</v>
      </c>
      <c r="E1849" s="2">
        <v>45930</v>
      </c>
      <c r="F1849" s="2">
        <v>45930</v>
      </c>
      <c r="G1849" s="3">
        <v>48</v>
      </c>
      <c r="H1849" s="4" t="s">
        <v>28</v>
      </c>
      <c r="I1849">
        <v>38</v>
      </c>
      <c r="J1849">
        <v>0</v>
      </c>
      <c r="K1849">
        <v>0</v>
      </c>
      <c r="L1849" s="3">
        <v>0</v>
      </c>
      <c r="M1849" s="3">
        <v>0</v>
      </c>
      <c r="N1849">
        <v>0</v>
      </c>
      <c r="O1849">
        <v>0</v>
      </c>
      <c r="P1849">
        <v>0</v>
      </c>
      <c r="Q1849">
        <v>2</v>
      </c>
      <c r="R1849" s="3">
        <v>0</v>
      </c>
      <c r="S1849" s="3">
        <v>0</v>
      </c>
      <c r="T1849">
        <v>0</v>
      </c>
      <c r="U1849">
        <v>0</v>
      </c>
      <c r="V1849" s="3">
        <v>0</v>
      </c>
      <c r="W1849" s="3">
        <v>0</v>
      </c>
      <c r="X1849">
        <v>0</v>
      </c>
      <c r="Y1849" t="s">
        <v>1542</v>
      </c>
    </row>
    <row r="1850" spans="1:25" hidden="1" x14ac:dyDescent="0.25">
      <c r="A1850" t="s">
        <v>58</v>
      </c>
      <c r="B1850" s="1" t="s">
        <v>144</v>
      </c>
      <c r="C1850" s="1" t="s">
        <v>489</v>
      </c>
      <c r="D1850" t="s">
        <v>27</v>
      </c>
      <c r="E1850" s="2">
        <v>45930</v>
      </c>
      <c r="F1850" s="2">
        <v>45930</v>
      </c>
      <c r="G1850" s="3">
        <v>19</v>
      </c>
      <c r="H1850" s="4" t="s">
        <v>28</v>
      </c>
      <c r="I1850">
        <v>25</v>
      </c>
      <c r="J1850">
        <v>0</v>
      </c>
      <c r="K1850">
        <v>0</v>
      </c>
      <c r="L1850" s="3">
        <v>0</v>
      </c>
      <c r="M1850" s="3">
        <v>0</v>
      </c>
      <c r="N1850">
        <v>0</v>
      </c>
      <c r="O1850">
        <v>0</v>
      </c>
      <c r="P1850">
        <v>0</v>
      </c>
      <c r="Q1850">
        <v>0</v>
      </c>
      <c r="R1850" s="3">
        <v>0</v>
      </c>
      <c r="S1850" s="3">
        <v>0</v>
      </c>
      <c r="T1850">
        <v>0</v>
      </c>
      <c r="U1850">
        <v>0</v>
      </c>
      <c r="V1850" s="3">
        <v>0</v>
      </c>
      <c r="W1850" s="3">
        <v>0</v>
      </c>
      <c r="X1850">
        <v>0</v>
      </c>
      <c r="Y1850" t="s">
        <v>1543</v>
      </c>
    </row>
    <row r="1851" spans="1:25" hidden="1" x14ac:dyDescent="0.25">
      <c r="A1851" s="1" t="s">
        <v>51</v>
      </c>
      <c r="B1851" s="1" t="s">
        <v>106</v>
      </c>
      <c r="C1851" s="1" t="s">
        <v>27</v>
      </c>
      <c r="D1851" t="s">
        <v>27</v>
      </c>
      <c r="E1851" s="2">
        <v>45930</v>
      </c>
      <c r="F1851" s="2">
        <v>45930</v>
      </c>
      <c r="G1851" s="3">
        <v>20</v>
      </c>
      <c r="H1851" s="4" t="s">
        <v>1448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1543</v>
      </c>
    </row>
    <row r="1852" spans="1:25" hidden="1" x14ac:dyDescent="0.25">
      <c r="A1852" s="1" t="s">
        <v>27</v>
      </c>
      <c r="B1852" s="1" t="s">
        <v>182</v>
      </c>
      <c r="C1852" s="1" t="s">
        <v>57</v>
      </c>
      <c r="D1852" t="s">
        <v>27</v>
      </c>
      <c r="E1852" s="2">
        <v>45930</v>
      </c>
      <c r="F1852" s="2">
        <v>45930</v>
      </c>
      <c r="G1852" s="3">
        <v>21</v>
      </c>
      <c r="H1852" s="4" t="s">
        <v>1448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1543</v>
      </c>
    </row>
    <row r="1853" spans="1:25" hidden="1" x14ac:dyDescent="0.25">
      <c r="A1853" s="1" t="s">
        <v>27</v>
      </c>
      <c r="B1853" s="1" t="s">
        <v>184</v>
      </c>
      <c r="C1853" s="1" t="s">
        <v>26</v>
      </c>
      <c r="D1853" t="s">
        <v>27</v>
      </c>
      <c r="E1853" s="2">
        <v>45930</v>
      </c>
      <c r="F1853" s="2">
        <v>45930</v>
      </c>
      <c r="G1853" s="3">
        <v>22</v>
      </c>
      <c r="H1853" s="4" t="s">
        <v>1448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1543</v>
      </c>
    </row>
    <row r="1854" spans="1:25" hidden="1" x14ac:dyDescent="0.25">
      <c r="A1854" t="s">
        <v>33</v>
      </c>
      <c r="B1854" s="1" t="s">
        <v>186</v>
      </c>
      <c r="C1854" s="1" t="s">
        <v>27</v>
      </c>
      <c r="D1854" t="s">
        <v>27</v>
      </c>
      <c r="E1854" s="2">
        <v>45930</v>
      </c>
      <c r="F1854" s="2">
        <v>45930</v>
      </c>
      <c r="G1854" s="3">
        <v>23</v>
      </c>
      <c r="H1854" s="4" t="s">
        <v>1448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1543</v>
      </c>
    </row>
    <row r="1855" spans="1:25" hidden="1" x14ac:dyDescent="0.25">
      <c r="A1855" t="s">
        <v>27</v>
      </c>
      <c r="B1855" t="s">
        <v>188</v>
      </c>
      <c r="C1855" s="1" t="s">
        <v>55</v>
      </c>
      <c r="D1855" t="s">
        <v>27</v>
      </c>
      <c r="E1855" s="2">
        <v>45930</v>
      </c>
      <c r="F1855" s="2">
        <v>45930</v>
      </c>
      <c r="G1855" s="3">
        <v>24</v>
      </c>
      <c r="H1855" s="4" t="s">
        <v>1448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1543</v>
      </c>
    </row>
    <row r="1856" spans="1:25" hidden="1" x14ac:dyDescent="0.25">
      <c r="A1856" s="1" t="s">
        <v>25</v>
      </c>
      <c r="B1856" s="1" t="s">
        <v>96</v>
      </c>
      <c r="C1856" s="1" t="s">
        <v>35</v>
      </c>
      <c r="D1856" t="s">
        <v>27</v>
      </c>
      <c r="E1856" s="2">
        <v>45931</v>
      </c>
      <c r="F1856" s="2">
        <v>45931</v>
      </c>
      <c r="G1856" s="3">
        <v>28</v>
      </c>
      <c r="H1856" s="4" t="s">
        <v>28</v>
      </c>
      <c r="I1856" s="1">
        <v>33</v>
      </c>
      <c r="J1856">
        <v>0</v>
      </c>
      <c r="K1856">
        <v>0</v>
      </c>
      <c r="L1856" s="3">
        <v>0</v>
      </c>
      <c r="M1856" s="3">
        <v>0</v>
      </c>
      <c r="N1856">
        <v>0</v>
      </c>
      <c r="O1856">
        <v>0</v>
      </c>
      <c r="P1856">
        <v>0</v>
      </c>
      <c r="Q1856">
        <v>0</v>
      </c>
      <c r="R1856" s="3">
        <v>0</v>
      </c>
      <c r="S1856" s="3">
        <v>0</v>
      </c>
      <c r="T1856">
        <v>0</v>
      </c>
      <c r="U1856">
        <v>0</v>
      </c>
      <c r="V1856" s="3">
        <v>0</v>
      </c>
      <c r="W1856" s="3">
        <v>0</v>
      </c>
      <c r="X1856">
        <v>0</v>
      </c>
      <c r="Y1856" t="s">
        <v>1544</v>
      </c>
    </row>
    <row r="1857" spans="1:25" hidden="1" x14ac:dyDescent="0.25">
      <c r="A1857" s="1" t="s">
        <v>56</v>
      </c>
      <c r="B1857" s="1" t="s">
        <v>98</v>
      </c>
      <c r="C1857" s="1" t="s">
        <v>37</v>
      </c>
      <c r="D1857" t="s">
        <v>27</v>
      </c>
      <c r="E1857" s="2">
        <v>45931</v>
      </c>
      <c r="F1857" s="2">
        <v>45931</v>
      </c>
      <c r="G1857" s="3">
        <v>29</v>
      </c>
      <c r="H1857" s="4" t="s">
        <v>28</v>
      </c>
      <c r="I1857" s="1">
        <v>93</v>
      </c>
      <c r="J1857">
        <v>0</v>
      </c>
      <c r="K1857">
        <v>0</v>
      </c>
      <c r="L1857" s="3">
        <v>1</v>
      </c>
      <c r="M1857" s="3">
        <v>0</v>
      </c>
      <c r="N1857">
        <v>0</v>
      </c>
      <c r="O1857">
        <v>0</v>
      </c>
      <c r="P1857">
        <v>0</v>
      </c>
      <c r="Q1857">
        <v>10</v>
      </c>
      <c r="R1857" s="3">
        <v>0</v>
      </c>
      <c r="S1857" s="3">
        <v>0</v>
      </c>
      <c r="T1857">
        <v>0</v>
      </c>
      <c r="U1857">
        <v>0</v>
      </c>
      <c r="V1857" s="3">
        <v>0</v>
      </c>
      <c r="W1857" s="3">
        <v>0</v>
      </c>
      <c r="X1857">
        <v>0</v>
      </c>
      <c r="Y1857" t="s">
        <v>1545</v>
      </c>
    </row>
    <row r="1858" spans="1:25" hidden="1" x14ac:dyDescent="0.25">
      <c r="A1858" s="1" t="s">
        <v>29</v>
      </c>
      <c r="B1858" s="1" t="s">
        <v>100</v>
      </c>
      <c r="C1858" s="1" t="s">
        <v>95</v>
      </c>
      <c r="D1858" t="s">
        <v>27</v>
      </c>
      <c r="E1858" s="2">
        <v>45931</v>
      </c>
      <c r="F1858" s="2">
        <v>45931</v>
      </c>
      <c r="G1858" s="3">
        <v>69</v>
      </c>
      <c r="H1858" s="4" t="s">
        <v>28</v>
      </c>
      <c r="I1858" s="1">
        <v>41</v>
      </c>
      <c r="J1858">
        <v>0</v>
      </c>
      <c r="K1858">
        <v>0</v>
      </c>
      <c r="L1858" s="3">
        <v>1</v>
      </c>
      <c r="M1858" s="3">
        <v>0</v>
      </c>
      <c r="N1858">
        <v>0</v>
      </c>
      <c r="O1858">
        <v>0</v>
      </c>
      <c r="P1858">
        <v>0</v>
      </c>
      <c r="Q1858">
        <v>12</v>
      </c>
      <c r="R1858" s="3">
        <v>0</v>
      </c>
      <c r="S1858" s="3">
        <v>0</v>
      </c>
      <c r="T1858">
        <v>0</v>
      </c>
      <c r="U1858">
        <v>0</v>
      </c>
      <c r="V1858" s="3">
        <v>0</v>
      </c>
      <c r="W1858" s="3">
        <v>0</v>
      </c>
      <c r="X1858">
        <v>0</v>
      </c>
      <c r="Y1858" t="s">
        <v>1546</v>
      </c>
    </row>
    <row r="1859" spans="1:25" hidden="1" x14ac:dyDescent="0.25">
      <c r="A1859" s="1" t="s">
        <v>31</v>
      </c>
      <c r="B1859" s="1" t="s">
        <v>104</v>
      </c>
      <c r="C1859" s="1" t="s">
        <v>32</v>
      </c>
      <c r="D1859" t="s">
        <v>27</v>
      </c>
      <c r="E1859" s="2">
        <v>45931</v>
      </c>
      <c r="F1859" s="2">
        <v>45931</v>
      </c>
      <c r="G1859" s="3">
        <v>34</v>
      </c>
      <c r="H1859" s="4" t="s">
        <v>28</v>
      </c>
      <c r="I1859" s="1">
        <v>121</v>
      </c>
      <c r="J1859">
        <v>0</v>
      </c>
      <c r="K1859">
        <v>0</v>
      </c>
      <c r="L1859" s="3">
        <v>0</v>
      </c>
      <c r="M1859" s="3">
        <v>0</v>
      </c>
      <c r="N1859">
        <v>0</v>
      </c>
      <c r="O1859">
        <v>0</v>
      </c>
      <c r="P1859">
        <v>0</v>
      </c>
      <c r="Q1859">
        <v>50</v>
      </c>
      <c r="R1859" s="3">
        <v>0</v>
      </c>
      <c r="S1859" s="3">
        <v>0</v>
      </c>
      <c r="T1859">
        <v>0</v>
      </c>
      <c r="U1859">
        <v>0</v>
      </c>
      <c r="V1859" s="3">
        <v>0</v>
      </c>
      <c r="W1859" s="3">
        <v>0</v>
      </c>
      <c r="X1859">
        <v>0</v>
      </c>
      <c r="Y1859" t="s">
        <v>1547</v>
      </c>
    </row>
    <row r="1860" spans="1:25" hidden="1" x14ac:dyDescent="0.25">
      <c r="A1860" t="s">
        <v>33</v>
      </c>
      <c r="B1860" s="1" t="s">
        <v>106</v>
      </c>
      <c r="C1860" s="1" t="s">
        <v>57</v>
      </c>
      <c r="D1860" t="s">
        <v>27</v>
      </c>
      <c r="E1860" s="2">
        <v>45931</v>
      </c>
      <c r="F1860" s="2">
        <v>45931</v>
      </c>
      <c r="G1860" s="3">
        <v>28</v>
      </c>
      <c r="H1860" s="4" t="s">
        <v>28</v>
      </c>
      <c r="I1860" s="1">
        <v>49</v>
      </c>
      <c r="J1860">
        <v>0</v>
      </c>
      <c r="K1860">
        <v>0</v>
      </c>
      <c r="L1860" s="3">
        <v>0</v>
      </c>
      <c r="M1860" s="3">
        <v>0</v>
      </c>
      <c r="N1860">
        <v>0</v>
      </c>
      <c r="O1860">
        <v>0</v>
      </c>
      <c r="P1860">
        <v>0</v>
      </c>
      <c r="Q1860">
        <v>20</v>
      </c>
      <c r="R1860" s="3">
        <v>0</v>
      </c>
      <c r="S1860" s="3">
        <v>0</v>
      </c>
      <c r="T1860">
        <v>0</v>
      </c>
      <c r="U1860">
        <v>0</v>
      </c>
      <c r="V1860" s="3">
        <v>0</v>
      </c>
      <c r="W1860" s="3">
        <v>0</v>
      </c>
      <c r="X1860">
        <v>0</v>
      </c>
      <c r="Y1860" t="s">
        <v>1548</v>
      </c>
    </row>
    <row r="1861" spans="1:25" hidden="1" x14ac:dyDescent="0.25">
      <c r="A1861" s="1" t="s">
        <v>38</v>
      </c>
      <c r="B1861" s="1" t="s">
        <v>108</v>
      </c>
      <c r="C1861" s="1" t="s">
        <v>27</v>
      </c>
      <c r="D1861" t="s">
        <v>27</v>
      </c>
      <c r="E1861" s="2">
        <v>45931</v>
      </c>
      <c r="F1861" s="2">
        <v>45931</v>
      </c>
      <c r="G1861" s="3">
        <v>43</v>
      </c>
      <c r="H1861" s="4" t="s">
        <v>28</v>
      </c>
      <c r="I1861" s="1">
        <v>40</v>
      </c>
      <c r="J1861">
        <v>0</v>
      </c>
      <c r="K1861">
        <v>0</v>
      </c>
      <c r="L1861" s="3">
        <v>0</v>
      </c>
      <c r="M1861" s="3">
        <v>0</v>
      </c>
      <c r="N1861">
        <v>0</v>
      </c>
      <c r="O1861">
        <v>0</v>
      </c>
      <c r="P1861">
        <v>0</v>
      </c>
      <c r="Q1861">
        <v>40</v>
      </c>
      <c r="R1861" s="3">
        <v>0</v>
      </c>
      <c r="S1861" s="3">
        <v>0</v>
      </c>
      <c r="T1861">
        <v>0</v>
      </c>
      <c r="U1861">
        <v>0</v>
      </c>
      <c r="V1861" s="3">
        <v>0</v>
      </c>
      <c r="W1861" s="3">
        <v>0</v>
      </c>
      <c r="X1861">
        <v>0</v>
      </c>
      <c r="Y1861" t="s">
        <v>1549</v>
      </c>
    </row>
    <row r="1862" spans="1:25" hidden="1" x14ac:dyDescent="0.25">
      <c r="A1862" s="1" t="s">
        <v>40</v>
      </c>
      <c r="B1862" s="1" t="s">
        <v>110</v>
      </c>
      <c r="C1862" s="1" t="s">
        <v>27</v>
      </c>
      <c r="D1862" t="s">
        <v>27</v>
      </c>
      <c r="E1862" s="2">
        <v>45931</v>
      </c>
      <c r="F1862" s="2">
        <v>45931</v>
      </c>
      <c r="G1862" s="3">
        <v>144</v>
      </c>
      <c r="H1862" s="4" t="s">
        <v>28</v>
      </c>
      <c r="I1862" s="1">
        <v>74</v>
      </c>
      <c r="J1862">
        <v>0</v>
      </c>
      <c r="K1862">
        <v>0</v>
      </c>
      <c r="L1862" s="3">
        <v>1</v>
      </c>
      <c r="M1862" s="3">
        <v>0</v>
      </c>
      <c r="N1862">
        <v>1</v>
      </c>
      <c r="O1862">
        <v>0</v>
      </c>
      <c r="P1862">
        <v>0</v>
      </c>
      <c r="Q1862">
        <v>0</v>
      </c>
      <c r="R1862" s="3">
        <v>0</v>
      </c>
      <c r="S1862" s="3">
        <v>0</v>
      </c>
      <c r="T1862">
        <v>0</v>
      </c>
      <c r="U1862">
        <v>0</v>
      </c>
      <c r="V1862" s="3">
        <v>0</v>
      </c>
      <c r="W1862" s="3">
        <v>0</v>
      </c>
      <c r="X1862">
        <v>0</v>
      </c>
      <c r="Y1862" t="s">
        <v>1550</v>
      </c>
    </row>
    <row r="1863" spans="1:25" hidden="1" x14ac:dyDescent="0.25">
      <c r="A1863" s="1" t="s">
        <v>36</v>
      </c>
      <c r="B1863" s="1" t="s">
        <v>110</v>
      </c>
      <c r="C1863" s="1" t="s">
        <v>27</v>
      </c>
      <c r="D1863" t="s">
        <v>27</v>
      </c>
      <c r="E1863" s="2">
        <v>45931</v>
      </c>
      <c r="F1863" s="2">
        <v>45931</v>
      </c>
      <c r="G1863" s="3">
        <v>144</v>
      </c>
      <c r="H1863" s="4" t="s">
        <v>28</v>
      </c>
      <c r="I1863" s="1">
        <v>74</v>
      </c>
      <c r="J1863">
        <v>0</v>
      </c>
      <c r="K1863">
        <v>0</v>
      </c>
      <c r="L1863" s="3">
        <v>1</v>
      </c>
      <c r="M1863" s="3">
        <v>0</v>
      </c>
      <c r="N1863">
        <v>1</v>
      </c>
      <c r="O1863">
        <v>0</v>
      </c>
      <c r="P1863">
        <v>0</v>
      </c>
      <c r="Q1863">
        <v>0</v>
      </c>
      <c r="R1863" s="3">
        <v>0</v>
      </c>
      <c r="S1863" s="3">
        <v>0</v>
      </c>
      <c r="T1863">
        <v>0</v>
      </c>
      <c r="U1863">
        <v>0</v>
      </c>
      <c r="V1863" s="3">
        <v>0</v>
      </c>
      <c r="W1863" s="3">
        <v>0</v>
      </c>
      <c r="X1863">
        <v>0</v>
      </c>
      <c r="Y1863" t="s">
        <v>1550</v>
      </c>
    </row>
    <row r="1864" spans="1:25" hidden="1" x14ac:dyDescent="0.25">
      <c r="A1864" s="1" t="s">
        <v>1454</v>
      </c>
      <c r="B1864" s="1" t="s">
        <v>1455</v>
      </c>
      <c r="C1864" s="1" t="s">
        <v>27</v>
      </c>
      <c r="D1864" t="s">
        <v>27</v>
      </c>
      <c r="E1864" s="2">
        <v>45931</v>
      </c>
      <c r="F1864" s="2">
        <v>45931</v>
      </c>
      <c r="G1864" s="3">
        <v>48</v>
      </c>
      <c r="H1864" s="4" t="s">
        <v>28</v>
      </c>
      <c r="I1864" s="1">
        <v>34</v>
      </c>
      <c r="J1864">
        <v>0</v>
      </c>
      <c r="K1864">
        <v>0</v>
      </c>
      <c r="L1864" s="3">
        <v>1</v>
      </c>
      <c r="M1864" s="3">
        <v>0</v>
      </c>
      <c r="N1864">
        <v>0</v>
      </c>
      <c r="O1864">
        <v>0</v>
      </c>
      <c r="P1864">
        <v>0</v>
      </c>
      <c r="Q1864">
        <v>34</v>
      </c>
      <c r="R1864" s="3">
        <v>0</v>
      </c>
      <c r="S1864" s="3">
        <v>0</v>
      </c>
      <c r="T1864">
        <v>0</v>
      </c>
      <c r="U1864">
        <v>0</v>
      </c>
      <c r="V1864" s="3">
        <v>0</v>
      </c>
      <c r="W1864" s="3">
        <v>0</v>
      </c>
      <c r="X1864">
        <v>0</v>
      </c>
      <c r="Y1864" t="s">
        <v>1551</v>
      </c>
    </row>
    <row r="1865" spans="1:25" hidden="1" x14ac:dyDescent="0.25">
      <c r="A1865" s="1" t="s">
        <v>41</v>
      </c>
      <c r="B1865" s="1" t="s">
        <v>112</v>
      </c>
      <c r="C1865" s="1" t="s">
        <v>42</v>
      </c>
      <c r="D1865" t="s">
        <v>27</v>
      </c>
      <c r="E1865" s="2">
        <v>45931</v>
      </c>
      <c r="F1865" s="2">
        <v>45931</v>
      </c>
      <c r="G1865" s="3">
        <v>41</v>
      </c>
      <c r="H1865" s="4" t="s">
        <v>28</v>
      </c>
      <c r="I1865" s="1">
        <v>38</v>
      </c>
      <c r="J1865">
        <v>0</v>
      </c>
      <c r="K1865">
        <v>0</v>
      </c>
      <c r="L1865" s="3">
        <v>1</v>
      </c>
      <c r="M1865" s="3">
        <v>0</v>
      </c>
      <c r="N1865">
        <v>0</v>
      </c>
      <c r="O1865">
        <v>0</v>
      </c>
      <c r="P1865">
        <v>0</v>
      </c>
      <c r="Q1865">
        <v>0</v>
      </c>
      <c r="R1865" s="3">
        <v>0</v>
      </c>
      <c r="S1865" s="3">
        <v>0</v>
      </c>
      <c r="T1865">
        <v>0</v>
      </c>
      <c r="U1865">
        <v>0</v>
      </c>
      <c r="V1865" s="3">
        <v>0</v>
      </c>
      <c r="W1865" s="3">
        <v>0</v>
      </c>
      <c r="X1865">
        <v>0</v>
      </c>
      <c r="Y1865" t="s">
        <v>1552</v>
      </c>
    </row>
    <row r="1866" spans="1:25" hidden="1" x14ac:dyDescent="0.25">
      <c r="A1866" s="1" t="s">
        <v>43</v>
      </c>
      <c r="B1866" s="1" t="s">
        <v>114</v>
      </c>
      <c r="C1866" s="1" t="s">
        <v>44</v>
      </c>
      <c r="D1866" t="s">
        <v>27</v>
      </c>
      <c r="E1866" s="2">
        <v>45931</v>
      </c>
      <c r="F1866" s="2">
        <v>45931</v>
      </c>
      <c r="G1866" s="3">
        <v>24</v>
      </c>
      <c r="H1866" s="4" t="s">
        <v>28</v>
      </c>
      <c r="I1866" s="1">
        <v>58</v>
      </c>
      <c r="J1866">
        <v>0</v>
      </c>
      <c r="K1866">
        <v>0</v>
      </c>
      <c r="L1866" s="3">
        <v>0</v>
      </c>
      <c r="M1866" s="3">
        <v>0</v>
      </c>
      <c r="N1866">
        <v>0</v>
      </c>
      <c r="O1866">
        <v>0</v>
      </c>
      <c r="P1866">
        <v>0</v>
      </c>
      <c r="Q1866">
        <v>0</v>
      </c>
      <c r="R1866" s="3">
        <v>0</v>
      </c>
      <c r="S1866" s="3">
        <v>0</v>
      </c>
      <c r="T1866">
        <v>0</v>
      </c>
      <c r="U1866">
        <v>0</v>
      </c>
      <c r="V1866" s="3">
        <v>0</v>
      </c>
      <c r="W1866" s="3">
        <v>0</v>
      </c>
      <c r="X1866">
        <v>0</v>
      </c>
      <c r="Y1866" t="s">
        <v>1553</v>
      </c>
    </row>
    <row r="1867" spans="1:25" hidden="1" x14ac:dyDescent="0.25">
      <c r="A1867" s="1" t="s">
        <v>47</v>
      </c>
      <c r="B1867" s="1" t="s">
        <v>137</v>
      </c>
      <c r="C1867" s="1" t="s">
        <v>27</v>
      </c>
      <c r="D1867" t="s">
        <v>27</v>
      </c>
      <c r="E1867" s="2">
        <v>45931</v>
      </c>
      <c r="F1867" s="2">
        <v>45931</v>
      </c>
      <c r="G1867" s="3">
        <v>68</v>
      </c>
      <c r="H1867" s="4" t="s">
        <v>28</v>
      </c>
      <c r="I1867" s="1">
        <v>104</v>
      </c>
      <c r="J1867">
        <v>0</v>
      </c>
      <c r="K1867">
        <v>0</v>
      </c>
      <c r="L1867" s="3">
        <v>0</v>
      </c>
      <c r="M1867" s="3">
        <v>0</v>
      </c>
      <c r="N1867">
        <v>0</v>
      </c>
      <c r="O1867">
        <v>0</v>
      </c>
      <c r="P1867">
        <v>0</v>
      </c>
      <c r="Q1867">
        <v>20</v>
      </c>
      <c r="R1867" s="3">
        <v>0</v>
      </c>
      <c r="S1867" s="3">
        <v>0</v>
      </c>
      <c r="T1867">
        <v>0</v>
      </c>
      <c r="U1867">
        <v>0</v>
      </c>
      <c r="V1867" s="3">
        <v>0</v>
      </c>
      <c r="W1867" s="3">
        <v>0</v>
      </c>
      <c r="X1867">
        <v>0</v>
      </c>
      <c r="Y1867" t="s">
        <v>1554</v>
      </c>
    </row>
    <row r="1868" spans="1:25" hidden="1" x14ac:dyDescent="0.25">
      <c r="A1868" s="1" t="s">
        <v>34</v>
      </c>
      <c r="B1868" s="1" t="s">
        <v>137</v>
      </c>
      <c r="C1868" s="1" t="s">
        <v>27</v>
      </c>
      <c r="D1868" t="s">
        <v>27</v>
      </c>
      <c r="E1868" s="2">
        <v>45931</v>
      </c>
      <c r="F1868" s="2">
        <v>45931</v>
      </c>
      <c r="G1868" s="3">
        <v>68</v>
      </c>
      <c r="H1868" s="4" t="s">
        <v>28</v>
      </c>
      <c r="I1868" s="1">
        <v>104</v>
      </c>
      <c r="J1868">
        <v>0</v>
      </c>
      <c r="K1868">
        <v>0</v>
      </c>
      <c r="L1868" s="3">
        <v>0</v>
      </c>
      <c r="M1868" s="3">
        <v>0</v>
      </c>
      <c r="N1868">
        <v>0</v>
      </c>
      <c r="O1868">
        <v>0</v>
      </c>
      <c r="P1868">
        <v>0</v>
      </c>
      <c r="Q1868">
        <v>20</v>
      </c>
      <c r="R1868" s="3">
        <v>0</v>
      </c>
      <c r="S1868" s="3">
        <v>0</v>
      </c>
      <c r="T1868">
        <v>0</v>
      </c>
      <c r="U1868">
        <v>0</v>
      </c>
      <c r="V1868" s="3">
        <v>0</v>
      </c>
      <c r="W1868" s="3">
        <v>0</v>
      </c>
      <c r="X1868">
        <v>0</v>
      </c>
      <c r="Y1868" t="s">
        <v>1554</v>
      </c>
    </row>
    <row r="1869" spans="1:25" hidden="1" x14ac:dyDescent="0.25">
      <c r="A1869" s="1" t="s">
        <v>49</v>
      </c>
      <c r="B1869" s="1" t="s">
        <v>118</v>
      </c>
      <c r="C1869" s="1" t="s">
        <v>50</v>
      </c>
      <c r="D1869" t="s">
        <v>27</v>
      </c>
      <c r="E1869" s="2">
        <v>45931</v>
      </c>
      <c r="F1869" s="2">
        <v>45931</v>
      </c>
      <c r="G1869" s="3">
        <v>27</v>
      </c>
      <c r="H1869" s="4" t="s">
        <v>28</v>
      </c>
      <c r="I1869" s="1">
        <v>59</v>
      </c>
      <c r="J1869">
        <v>0</v>
      </c>
      <c r="K1869">
        <v>0</v>
      </c>
      <c r="L1869" s="3">
        <v>1</v>
      </c>
      <c r="M1869" s="3">
        <v>1</v>
      </c>
      <c r="N1869">
        <v>0</v>
      </c>
      <c r="O1869">
        <v>0</v>
      </c>
      <c r="P1869">
        <v>0</v>
      </c>
      <c r="Q1869">
        <v>48</v>
      </c>
      <c r="R1869" s="3">
        <v>0</v>
      </c>
      <c r="S1869" s="3">
        <v>0</v>
      </c>
      <c r="T1869">
        <v>0</v>
      </c>
      <c r="U1869">
        <v>0</v>
      </c>
      <c r="V1869" s="3">
        <v>0</v>
      </c>
      <c r="W1869" s="3">
        <v>0</v>
      </c>
      <c r="X1869">
        <v>0</v>
      </c>
      <c r="Y1869" t="s">
        <v>1555</v>
      </c>
    </row>
    <row r="1870" spans="1:25" hidden="1" x14ac:dyDescent="0.25">
      <c r="A1870" s="1" t="s">
        <v>51</v>
      </c>
      <c r="B1870" s="1" t="s">
        <v>120</v>
      </c>
      <c r="C1870" s="1" t="s">
        <v>55</v>
      </c>
      <c r="D1870" t="s">
        <v>27</v>
      </c>
      <c r="E1870" s="2">
        <v>45931</v>
      </c>
      <c r="F1870" s="2">
        <v>45931</v>
      </c>
      <c r="G1870" s="3">
        <v>51</v>
      </c>
      <c r="H1870" s="4" t="s">
        <v>28</v>
      </c>
      <c r="I1870" s="1">
        <v>50</v>
      </c>
      <c r="J1870">
        <v>0</v>
      </c>
      <c r="K1870">
        <v>0</v>
      </c>
      <c r="L1870" s="3">
        <v>0</v>
      </c>
      <c r="M1870" s="3">
        <v>0</v>
      </c>
      <c r="N1870">
        <v>1</v>
      </c>
      <c r="O1870">
        <v>0</v>
      </c>
      <c r="P1870">
        <v>0</v>
      </c>
      <c r="Q1870">
        <v>0</v>
      </c>
      <c r="R1870" s="3">
        <v>0</v>
      </c>
      <c r="S1870" s="3">
        <v>0</v>
      </c>
      <c r="T1870">
        <v>0</v>
      </c>
      <c r="U1870">
        <v>0</v>
      </c>
      <c r="V1870" s="3">
        <v>0</v>
      </c>
      <c r="W1870" s="3">
        <v>0</v>
      </c>
      <c r="X1870">
        <v>0</v>
      </c>
      <c r="Y1870" t="s">
        <v>1556</v>
      </c>
    </row>
    <row r="1871" spans="1:25" hidden="1" x14ac:dyDescent="0.25">
      <c r="A1871" s="1" t="s">
        <v>54</v>
      </c>
      <c r="B1871" s="1" t="s">
        <v>122</v>
      </c>
      <c r="C1871" s="1" t="s">
        <v>52</v>
      </c>
      <c r="D1871" t="s">
        <v>27</v>
      </c>
      <c r="E1871" s="2">
        <v>45931</v>
      </c>
      <c r="F1871" s="2">
        <v>45931</v>
      </c>
      <c r="G1871" s="3">
        <v>34</v>
      </c>
      <c r="H1871" s="4" t="s">
        <v>28</v>
      </c>
      <c r="I1871" s="1">
        <v>21</v>
      </c>
      <c r="J1871">
        <v>0</v>
      </c>
      <c r="K1871">
        <v>0</v>
      </c>
      <c r="L1871" s="3">
        <v>0</v>
      </c>
      <c r="M1871" s="3">
        <v>0</v>
      </c>
      <c r="N1871">
        <v>0</v>
      </c>
      <c r="O1871">
        <v>0</v>
      </c>
      <c r="P1871">
        <v>0</v>
      </c>
      <c r="Q1871">
        <v>0</v>
      </c>
      <c r="R1871" s="3">
        <v>0</v>
      </c>
      <c r="S1871" s="3">
        <v>0</v>
      </c>
      <c r="T1871">
        <v>0</v>
      </c>
      <c r="U1871">
        <v>0</v>
      </c>
      <c r="V1871" s="3">
        <v>0</v>
      </c>
      <c r="W1871" s="3">
        <v>0</v>
      </c>
      <c r="X1871">
        <v>0</v>
      </c>
      <c r="Y1871" t="s">
        <v>1557</v>
      </c>
    </row>
    <row r="1872" spans="1:25" hidden="1" x14ac:dyDescent="0.25">
      <c r="A1872" s="1" t="s">
        <v>48</v>
      </c>
      <c r="B1872" s="1" t="s">
        <v>149</v>
      </c>
      <c r="C1872" s="1" t="s">
        <v>46</v>
      </c>
      <c r="D1872" t="s">
        <v>27</v>
      </c>
      <c r="E1872" s="2">
        <v>45931</v>
      </c>
      <c r="F1872" s="2">
        <v>45931</v>
      </c>
      <c r="G1872" s="3">
        <v>64</v>
      </c>
      <c r="H1872" s="4" t="s">
        <v>28</v>
      </c>
      <c r="I1872" s="1">
        <v>80</v>
      </c>
      <c r="J1872">
        <v>0</v>
      </c>
      <c r="K1872">
        <v>0</v>
      </c>
      <c r="L1872" s="3">
        <v>0</v>
      </c>
      <c r="M1872" s="3">
        <v>0</v>
      </c>
      <c r="N1872">
        <v>0</v>
      </c>
      <c r="O1872">
        <v>0</v>
      </c>
      <c r="P1872">
        <v>0</v>
      </c>
      <c r="Q1872">
        <v>4</v>
      </c>
      <c r="R1872" s="3">
        <v>0</v>
      </c>
      <c r="S1872" s="3">
        <v>0</v>
      </c>
      <c r="T1872">
        <v>0</v>
      </c>
      <c r="U1872">
        <v>0</v>
      </c>
      <c r="V1872" s="3">
        <v>0</v>
      </c>
      <c r="W1872" s="3">
        <v>0</v>
      </c>
      <c r="X1872">
        <v>0</v>
      </c>
      <c r="Y1872" t="s">
        <v>1558</v>
      </c>
    </row>
    <row r="1873" spans="1:25" hidden="1" x14ac:dyDescent="0.25">
      <c r="A1873" t="s">
        <v>58</v>
      </c>
      <c r="B1873" s="1" t="s">
        <v>144</v>
      </c>
      <c r="C1873" s="1" t="s">
        <v>489</v>
      </c>
      <c r="D1873" t="s">
        <v>27</v>
      </c>
      <c r="E1873" s="2">
        <v>45931</v>
      </c>
      <c r="F1873" s="2">
        <v>45931</v>
      </c>
      <c r="G1873" s="3">
        <v>21</v>
      </c>
      <c r="H1873" s="4" t="s">
        <v>28</v>
      </c>
      <c r="I1873" s="1">
        <v>60</v>
      </c>
      <c r="J1873">
        <v>0</v>
      </c>
      <c r="K1873">
        <v>0</v>
      </c>
      <c r="L1873" s="3">
        <v>1</v>
      </c>
      <c r="M1873" s="3">
        <v>0</v>
      </c>
      <c r="N1873">
        <v>0</v>
      </c>
      <c r="O1873">
        <v>0</v>
      </c>
      <c r="P1873">
        <v>0</v>
      </c>
      <c r="Q1873">
        <v>38</v>
      </c>
      <c r="R1873" s="3">
        <v>0</v>
      </c>
      <c r="S1873" s="3">
        <v>0</v>
      </c>
      <c r="T1873">
        <v>0</v>
      </c>
      <c r="U1873">
        <v>0</v>
      </c>
      <c r="V1873" s="3">
        <v>0</v>
      </c>
      <c r="W1873" s="3">
        <v>0</v>
      </c>
      <c r="X1873">
        <v>0</v>
      </c>
      <c r="Y1873" t="s">
        <v>1559</v>
      </c>
    </row>
    <row r="1874" spans="1:25" hidden="1" x14ac:dyDescent="0.25">
      <c r="A1874" s="1" t="s">
        <v>27</v>
      </c>
      <c r="B1874" s="1" t="s">
        <v>106</v>
      </c>
      <c r="C1874" s="1" t="s">
        <v>26</v>
      </c>
      <c r="D1874" t="s">
        <v>27</v>
      </c>
      <c r="E1874" s="2">
        <v>45931</v>
      </c>
      <c r="F1874" s="2">
        <v>45931</v>
      </c>
      <c r="G1874" s="3">
        <v>22</v>
      </c>
      <c r="H1874" s="4" t="s">
        <v>1448</v>
      </c>
      <c r="I1874" s="1">
        <v>0</v>
      </c>
      <c r="J1874">
        <v>0</v>
      </c>
      <c r="K1874">
        <v>0</v>
      </c>
      <c r="L1874" s="3">
        <v>0</v>
      </c>
      <c r="M1874" s="3">
        <v>0</v>
      </c>
      <c r="N1874">
        <v>0</v>
      </c>
      <c r="O1874">
        <v>0</v>
      </c>
      <c r="P1874">
        <v>0</v>
      </c>
      <c r="Q1874">
        <v>0</v>
      </c>
      <c r="R1874" s="3">
        <v>0</v>
      </c>
      <c r="S1874" s="3">
        <v>0</v>
      </c>
      <c r="T1874">
        <v>0</v>
      </c>
      <c r="U1874">
        <v>0</v>
      </c>
      <c r="V1874" s="3">
        <v>0</v>
      </c>
      <c r="W1874" s="3"/>
      <c r="X1874" s="3">
        <v>0</v>
      </c>
      <c r="Y1874" t="s">
        <v>1559</v>
      </c>
    </row>
    <row r="1875" spans="1:25" hidden="1" x14ac:dyDescent="0.25">
      <c r="A1875" s="1" t="s">
        <v>25</v>
      </c>
      <c r="B1875" s="1" t="s">
        <v>96</v>
      </c>
      <c r="C1875" s="1" t="s">
        <v>35</v>
      </c>
      <c r="D1875" t="s">
        <v>27</v>
      </c>
      <c r="E1875" s="2">
        <v>45932</v>
      </c>
      <c r="F1875" s="2">
        <v>45932</v>
      </c>
      <c r="G1875" s="3">
        <v>33</v>
      </c>
      <c r="H1875" s="4" t="s">
        <v>28</v>
      </c>
      <c r="I1875" s="1">
        <v>29</v>
      </c>
      <c r="J1875">
        <v>0</v>
      </c>
      <c r="K1875">
        <v>0</v>
      </c>
      <c r="L1875" s="3">
        <v>0</v>
      </c>
      <c r="M1875" s="3">
        <v>0</v>
      </c>
      <c r="N1875">
        <v>0</v>
      </c>
      <c r="O1875">
        <v>0</v>
      </c>
      <c r="P1875">
        <v>0</v>
      </c>
      <c r="Q1875">
        <v>0</v>
      </c>
      <c r="R1875" s="3">
        <v>0</v>
      </c>
      <c r="S1875" s="3">
        <v>0</v>
      </c>
      <c r="T1875">
        <v>0</v>
      </c>
      <c r="U1875">
        <v>0</v>
      </c>
      <c r="V1875" s="3">
        <v>0</v>
      </c>
      <c r="W1875" s="3">
        <v>0</v>
      </c>
      <c r="X1875">
        <v>0</v>
      </c>
      <c r="Y1875" t="s">
        <v>1560</v>
      </c>
    </row>
    <row r="1876" spans="1:25" hidden="1" x14ac:dyDescent="0.25">
      <c r="A1876" s="1" t="s">
        <v>56</v>
      </c>
      <c r="B1876" s="1" t="s">
        <v>98</v>
      </c>
      <c r="C1876" s="1" t="s">
        <v>37</v>
      </c>
      <c r="D1876" t="s">
        <v>27</v>
      </c>
      <c r="E1876" s="2">
        <v>45932</v>
      </c>
      <c r="F1876" s="2">
        <v>45932</v>
      </c>
      <c r="G1876" s="3">
        <v>26</v>
      </c>
      <c r="H1876" s="4" t="s">
        <v>28</v>
      </c>
      <c r="I1876" s="1">
        <v>36</v>
      </c>
      <c r="J1876">
        <v>0</v>
      </c>
      <c r="K1876">
        <v>0</v>
      </c>
      <c r="L1876" s="3">
        <v>1</v>
      </c>
      <c r="M1876" s="3">
        <v>0</v>
      </c>
      <c r="N1876">
        <v>0</v>
      </c>
      <c r="O1876">
        <v>0</v>
      </c>
      <c r="P1876">
        <v>0</v>
      </c>
      <c r="Q1876">
        <v>0</v>
      </c>
      <c r="R1876" s="3">
        <v>0</v>
      </c>
      <c r="S1876" s="3">
        <v>0</v>
      </c>
      <c r="T1876">
        <v>0</v>
      </c>
      <c r="U1876">
        <v>0</v>
      </c>
      <c r="V1876" s="3">
        <v>0</v>
      </c>
      <c r="W1876" s="3">
        <v>0</v>
      </c>
      <c r="X1876">
        <v>0</v>
      </c>
      <c r="Y1876" t="s">
        <v>1561</v>
      </c>
    </row>
    <row r="1877" spans="1:25" hidden="1" x14ac:dyDescent="0.25">
      <c r="A1877" s="1" t="s">
        <v>29</v>
      </c>
      <c r="B1877" s="1" t="s">
        <v>100</v>
      </c>
      <c r="C1877" t="s">
        <v>95</v>
      </c>
      <c r="D1877" t="s">
        <v>27</v>
      </c>
      <c r="E1877" s="2">
        <v>45932</v>
      </c>
      <c r="F1877" s="2">
        <v>45932</v>
      </c>
      <c r="G1877" s="3">
        <v>31</v>
      </c>
      <c r="H1877" s="4" t="s">
        <v>28</v>
      </c>
      <c r="I1877" s="1">
        <v>29</v>
      </c>
      <c r="J1877">
        <v>0</v>
      </c>
      <c r="K1877">
        <v>0</v>
      </c>
      <c r="L1877" s="3">
        <v>0</v>
      </c>
      <c r="M1877" s="3">
        <v>0</v>
      </c>
      <c r="N1877">
        <v>0</v>
      </c>
      <c r="O1877">
        <v>0</v>
      </c>
      <c r="P1877">
        <v>5</v>
      </c>
      <c r="Q1877">
        <v>6</v>
      </c>
      <c r="R1877" s="3">
        <v>0</v>
      </c>
      <c r="S1877" s="3">
        <v>0</v>
      </c>
      <c r="T1877">
        <v>0</v>
      </c>
      <c r="U1877">
        <v>0</v>
      </c>
      <c r="V1877" s="3">
        <v>0</v>
      </c>
      <c r="W1877" s="3">
        <v>0</v>
      </c>
      <c r="X1877">
        <v>0</v>
      </c>
      <c r="Y1877" t="s">
        <v>1562</v>
      </c>
    </row>
    <row r="1878" spans="1:25" hidden="1" x14ac:dyDescent="0.25">
      <c r="A1878" s="1" t="s">
        <v>31</v>
      </c>
      <c r="B1878" s="1" t="s">
        <v>104</v>
      </c>
      <c r="C1878" s="1" t="s">
        <v>32</v>
      </c>
      <c r="D1878" t="s">
        <v>27</v>
      </c>
      <c r="E1878" s="2">
        <v>45932</v>
      </c>
      <c r="F1878" s="2">
        <v>45932</v>
      </c>
      <c r="G1878" s="3">
        <v>51</v>
      </c>
      <c r="H1878" s="4" t="s">
        <v>28</v>
      </c>
      <c r="I1878" s="1">
        <v>75</v>
      </c>
      <c r="J1878">
        <v>0</v>
      </c>
      <c r="K1878">
        <v>0</v>
      </c>
      <c r="L1878" s="3">
        <v>0</v>
      </c>
      <c r="M1878" s="3">
        <v>0</v>
      </c>
      <c r="N1878">
        <v>0</v>
      </c>
      <c r="O1878">
        <v>0</v>
      </c>
      <c r="P1878">
        <v>0</v>
      </c>
      <c r="Q1878">
        <v>35</v>
      </c>
      <c r="R1878" s="3">
        <v>0</v>
      </c>
      <c r="S1878" s="3">
        <v>0</v>
      </c>
      <c r="T1878">
        <v>0</v>
      </c>
      <c r="U1878">
        <v>0</v>
      </c>
      <c r="V1878" s="3">
        <v>0</v>
      </c>
      <c r="W1878" s="3">
        <v>0</v>
      </c>
      <c r="X1878">
        <v>0</v>
      </c>
      <c r="Y1878" t="s">
        <v>1563</v>
      </c>
    </row>
    <row r="1879" spans="1:25" hidden="1" x14ac:dyDescent="0.25">
      <c r="A1879" t="s">
        <v>33</v>
      </c>
      <c r="B1879" s="1" t="s">
        <v>106</v>
      </c>
      <c r="C1879" s="1" t="s">
        <v>57</v>
      </c>
      <c r="D1879" t="s">
        <v>27</v>
      </c>
      <c r="E1879" s="2">
        <v>45932</v>
      </c>
      <c r="F1879" s="2">
        <v>45932</v>
      </c>
      <c r="G1879" s="3">
        <v>23</v>
      </c>
      <c r="H1879" s="4" t="s">
        <v>28</v>
      </c>
      <c r="I1879" s="1">
        <v>45</v>
      </c>
      <c r="J1879">
        <v>0</v>
      </c>
      <c r="K1879">
        <v>0</v>
      </c>
      <c r="L1879" s="3">
        <v>0</v>
      </c>
      <c r="M1879" s="3">
        <v>0</v>
      </c>
      <c r="N1879">
        <v>0</v>
      </c>
      <c r="O1879">
        <v>0</v>
      </c>
      <c r="P1879">
        <v>0</v>
      </c>
      <c r="Q1879">
        <v>0</v>
      </c>
      <c r="R1879" s="3">
        <v>0</v>
      </c>
      <c r="S1879" s="3">
        <v>0</v>
      </c>
      <c r="T1879">
        <v>0</v>
      </c>
      <c r="U1879">
        <v>0</v>
      </c>
      <c r="V1879" s="3">
        <v>0</v>
      </c>
      <c r="W1879" s="3">
        <v>0</v>
      </c>
      <c r="X1879">
        <v>0</v>
      </c>
      <c r="Y1879" t="s">
        <v>1564</v>
      </c>
    </row>
    <row r="1880" spans="1:25" hidden="1" x14ac:dyDescent="0.25">
      <c r="A1880" s="1" t="s">
        <v>38</v>
      </c>
      <c r="B1880" s="1" t="s">
        <v>108</v>
      </c>
      <c r="C1880" s="1" t="s">
        <v>27</v>
      </c>
      <c r="D1880" t="s">
        <v>27</v>
      </c>
      <c r="E1880" s="2">
        <v>45932</v>
      </c>
      <c r="F1880" s="2">
        <v>45932</v>
      </c>
      <c r="G1880" s="3">
        <v>77</v>
      </c>
      <c r="H1880" s="4" t="s">
        <v>28</v>
      </c>
      <c r="I1880" s="1">
        <v>25</v>
      </c>
      <c r="J1880">
        <v>0</v>
      </c>
      <c r="K1880">
        <v>0</v>
      </c>
      <c r="L1880" s="3">
        <v>0</v>
      </c>
      <c r="M1880" s="3">
        <v>0</v>
      </c>
      <c r="N1880">
        <v>0</v>
      </c>
      <c r="O1880">
        <v>0</v>
      </c>
      <c r="P1880">
        <v>0</v>
      </c>
      <c r="Q1880">
        <v>25</v>
      </c>
      <c r="R1880" s="3">
        <v>0</v>
      </c>
      <c r="S1880" s="3">
        <v>0</v>
      </c>
      <c r="T1880">
        <v>0</v>
      </c>
      <c r="U1880">
        <v>0</v>
      </c>
      <c r="V1880" s="3">
        <v>0</v>
      </c>
      <c r="W1880" s="3">
        <v>0</v>
      </c>
      <c r="X1880">
        <v>0</v>
      </c>
      <c r="Y1880" t="s">
        <v>1565</v>
      </c>
    </row>
    <row r="1881" spans="1:25" hidden="1" x14ac:dyDescent="0.25">
      <c r="A1881" s="1" t="s">
        <v>47</v>
      </c>
      <c r="B1881" s="1" t="s">
        <v>137</v>
      </c>
      <c r="C1881" s="1" t="s">
        <v>27</v>
      </c>
      <c r="D1881" t="s">
        <v>27</v>
      </c>
      <c r="E1881" s="2">
        <v>45932</v>
      </c>
      <c r="F1881" s="2">
        <v>45932</v>
      </c>
      <c r="G1881" s="3">
        <v>68</v>
      </c>
      <c r="H1881" s="4" t="s">
        <v>28</v>
      </c>
      <c r="I1881" s="1">
        <v>37</v>
      </c>
      <c r="J1881">
        <v>0</v>
      </c>
      <c r="K1881">
        <v>0</v>
      </c>
      <c r="L1881" s="3">
        <v>0</v>
      </c>
      <c r="M1881" s="3">
        <v>0</v>
      </c>
      <c r="N1881">
        <v>0</v>
      </c>
      <c r="O1881">
        <v>0</v>
      </c>
      <c r="P1881">
        <v>0</v>
      </c>
      <c r="Q1881">
        <v>0</v>
      </c>
      <c r="R1881" s="3">
        <v>0</v>
      </c>
      <c r="S1881" s="3">
        <v>0</v>
      </c>
      <c r="T1881">
        <v>0</v>
      </c>
      <c r="U1881">
        <v>0</v>
      </c>
      <c r="V1881" s="3">
        <v>0</v>
      </c>
      <c r="W1881" s="3">
        <v>0</v>
      </c>
      <c r="X1881">
        <v>0</v>
      </c>
      <c r="Y1881" t="s">
        <v>1554</v>
      </c>
    </row>
    <row r="1882" spans="1:25" hidden="1" x14ac:dyDescent="0.25">
      <c r="A1882" s="1" t="s">
        <v>34</v>
      </c>
      <c r="B1882" s="1" t="s">
        <v>137</v>
      </c>
      <c r="C1882" s="1" t="s">
        <v>27</v>
      </c>
      <c r="D1882" t="s">
        <v>27</v>
      </c>
      <c r="E1882" s="2">
        <v>45932</v>
      </c>
      <c r="F1882" s="2">
        <v>45932</v>
      </c>
      <c r="G1882" s="3">
        <v>68</v>
      </c>
      <c r="H1882" s="4" t="s">
        <v>28</v>
      </c>
      <c r="I1882" s="1">
        <v>37</v>
      </c>
      <c r="J1882">
        <v>0</v>
      </c>
      <c r="K1882">
        <v>0</v>
      </c>
      <c r="L1882" s="3">
        <v>0</v>
      </c>
      <c r="M1882" s="3">
        <v>0</v>
      </c>
      <c r="N1882">
        <v>0</v>
      </c>
      <c r="O1882">
        <v>0</v>
      </c>
      <c r="P1882">
        <v>0</v>
      </c>
      <c r="Q1882">
        <v>0</v>
      </c>
      <c r="R1882" s="3">
        <v>0</v>
      </c>
      <c r="S1882" s="3">
        <v>0</v>
      </c>
      <c r="T1882">
        <v>0</v>
      </c>
      <c r="U1882">
        <v>0</v>
      </c>
      <c r="V1882" s="3">
        <v>0</v>
      </c>
      <c r="W1882" s="3">
        <v>0</v>
      </c>
      <c r="X1882">
        <v>0</v>
      </c>
      <c r="Y1882" t="s">
        <v>1554</v>
      </c>
    </row>
    <row r="1883" spans="1:25" hidden="1" x14ac:dyDescent="0.25">
      <c r="A1883" s="1" t="s">
        <v>40</v>
      </c>
      <c r="B1883" s="1" t="s">
        <v>110</v>
      </c>
      <c r="C1883" s="1" t="s">
        <v>27</v>
      </c>
      <c r="D1883" t="s">
        <v>27</v>
      </c>
      <c r="E1883" s="2">
        <v>45932</v>
      </c>
      <c r="F1883" s="2">
        <v>45932</v>
      </c>
      <c r="G1883" s="3">
        <v>122</v>
      </c>
      <c r="H1883" s="4" t="s">
        <v>28</v>
      </c>
      <c r="I1883" s="1">
        <v>65</v>
      </c>
      <c r="J1883">
        <v>0</v>
      </c>
      <c r="K1883">
        <v>0</v>
      </c>
      <c r="L1883" s="3">
        <v>1</v>
      </c>
      <c r="M1883" s="3">
        <v>0</v>
      </c>
      <c r="N1883">
        <v>1</v>
      </c>
      <c r="O1883">
        <v>0</v>
      </c>
      <c r="P1883">
        <v>0</v>
      </c>
      <c r="Q1883">
        <v>0</v>
      </c>
      <c r="R1883" s="3">
        <v>0</v>
      </c>
      <c r="S1883" s="3">
        <v>0</v>
      </c>
      <c r="T1883">
        <v>0</v>
      </c>
      <c r="U1883">
        <v>0</v>
      </c>
      <c r="V1883" s="3">
        <v>0</v>
      </c>
      <c r="W1883" s="3">
        <v>0</v>
      </c>
      <c r="X1883">
        <v>0</v>
      </c>
      <c r="Y1883" t="s">
        <v>1566</v>
      </c>
    </row>
    <row r="1884" spans="1:25" hidden="1" x14ac:dyDescent="0.25">
      <c r="A1884" s="1" t="s">
        <v>36</v>
      </c>
      <c r="B1884" s="1" t="s">
        <v>110</v>
      </c>
      <c r="C1884" s="1" t="s">
        <v>27</v>
      </c>
      <c r="D1884" t="s">
        <v>27</v>
      </c>
      <c r="E1884" s="2">
        <v>45932</v>
      </c>
      <c r="F1884" s="2">
        <v>45932</v>
      </c>
      <c r="G1884" s="3">
        <v>122</v>
      </c>
      <c r="H1884" s="4" t="s">
        <v>28</v>
      </c>
      <c r="I1884" s="1">
        <v>65</v>
      </c>
      <c r="J1884">
        <v>0</v>
      </c>
      <c r="K1884">
        <v>0</v>
      </c>
      <c r="L1884" s="3">
        <v>1</v>
      </c>
      <c r="M1884" s="3">
        <v>0</v>
      </c>
      <c r="N1884">
        <v>1</v>
      </c>
      <c r="O1884">
        <v>0</v>
      </c>
      <c r="P1884">
        <v>0</v>
      </c>
      <c r="Q1884">
        <v>0</v>
      </c>
      <c r="R1884" s="3">
        <v>0</v>
      </c>
      <c r="S1884" s="3">
        <v>0</v>
      </c>
      <c r="T1884">
        <v>0</v>
      </c>
      <c r="U1884">
        <v>0</v>
      </c>
      <c r="V1884" s="3">
        <v>0</v>
      </c>
      <c r="W1884" s="3">
        <v>0</v>
      </c>
      <c r="X1884">
        <v>0</v>
      </c>
      <c r="Y1884" t="s">
        <v>1566</v>
      </c>
    </row>
    <row r="1885" spans="1:25" hidden="1" x14ac:dyDescent="0.25">
      <c r="A1885" s="1" t="s">
        <v>1454</v>
      </c>
      <c r="B1885" s="1" t="s">
        <v>1455</v>
      </c>
      <c r="C1885" s="1" t="s">
        <v>27</v>
      </c>
      <c r="D1885" t="s">
        <v>27</v>
      </c>
      <c r="E1885" s="2">
        <v>45932</v>
      </c>
      <c r="F1885" s="2">
        <v>45932</v>
      </c>
      <c r="G1885" s="3">
        <v>43</v>
      </c>
      <c r="H1885" s="4" t="s">
        <v>28</v>
      </c>
      <c r="I1885" s="1">
        <v>31</v>
      </c>
      <c r="J1885">
        <v>0</v>
      </c>
      <c r="K1885">
        <v>0</v>
      </c>
      <c r="L1885" s="3">
        <v>1</v>
      </c>
      <c r="M1885" s="3">
        <v>0</v>
      </c>
      <c r="N1885">
        <v>0</v>
      </c>
      <c r="O1885">
        <v>0</v>
      </c>
      <c r="P1885">
        <v>0</v>
      </c>
      <c r="Q1885">
        <v>31</v>
      </c>
      <c r="R1885" s="3">
        <v>0</v>
      </c>
      <c r="S1885" s="3">
        <v>0</v>
      </c>
      <c r="T1885">
        <v>0</v>
      </c>
      <c r="U1885">
        <v>0</v>
      </c>
      <c r="V1885" s="3">
        <v>0</v>
      </c>
      <c r="W1885" s="3">
        <v>0</v>
      </c>
      <c r="X1885">
        <v>0</v>
      </c>
      <c r="Y1885" t="s">
        <v>1567</v>
      </c>
    </row>
    <row r="1886" spans="1:25" hidden="1" x14ac:dyDescent="0.25">
      <c r="A1886" s="1" t="s">
        <v>41</v>
      </c>
      <c r="B1886" s="1" t="s">
        <v>112</v>
      </c>
      <c r="C1886" s="1" t="s">
        <v>42</v>
      </c>
      <c r="D1886" t="s">
        <v>27</v>
      </c>
      <c r="E1886" s="2">
        <v>45932</v>
      </c>
      <c r="F1886" s="2">
        <v>45932</v>
      </c>
      <c r="G1886" s="3">
        <v>61</v>
      </c>
      <c r="H1886" s="4" t="s">
        <v>28</v>
      </c>
      <c r="I1886" s="1">
        <v>46</v>
      </c>
      <c r="J1886">
        <v>0</v>
      </c>
      <c r="K1886">
        <v>0</v>
      </c>
      <c r="L1886" s="3">
        <v>1</v>
      </c>
      <c r="M1886" s="3">
        <v>0</v>
      </c>
      <c r="N1886">
        <v>0</v>
      </c>
      <c r="O1886">
        <v>0</v>
      </c>
      <c r="P1886">
        <v>0</v>
      </c>
      <c r="Q1886">
        <v>4</v>
      </c>
      <c r="R1886" s="3">
        <v>0</v>
      </c>
      <c r="S1886" s="3">
        <v>0</v>
      </c>
      <c r="T1886">
        <v>0</v>
      </c>
      <c r="U1886">
        <v>0</v>
      </c>
      <c r="V1886" s="3">
        <v>0</v>
      </c>
      <c r="W1886" s="3">
        <v>0</v>
      </c>
      <c r="X1886">
        <v>0</v>
      </c>
      <c r="Y1886" t="s">
        <v>1568</v>
      </c>
    </row>
    <row r="1887" spans="1:25" hidden="1" x14ac:dyDescent="0.25">
      <c r="A1887" s="1" t="s">
        <v>43</v>
      </c>
      <c r="B1887" s="1" t="s">
        <v>114</v>
      </c>
      <c r="C1887" s="1" t="s">
        <v>44</v>
      </c>
      <c r="D1887" t="s">
        <v>27</v>
      </c>
      <c r="E1887" s="2">
        <v>45932</v>
      </c>
      <c r="F1887" s="2">
        <v>45932</v>
      </c>
      <c r="G1887" s="3">
        <v>22</v>
      </c>
      <c r="H1887" s="4" t="s">
        <v>28</v>
      </c>
      <c r="I1887" s="1">
        <v>52</v>
      </c>
      <c r="J1887">
        <v>0</v>
      </c>
      <c r="K1887">
        <v>0</v>
      </c>
      <c r="L1887" s="3">
        <v>1</v>
      </c>
      <c r="M1887" s="3">
        <v>0</v>
      </c>
      <c r="N1887">
        <v>0</v>
      </c>
      <c r="O1887">
        <v>0</v>
      </c>
      <c r="P1887">
        <v>0</v>
      </c>
      <c r="Q1887">
        <v>0</v>
      </c>
      <c r="R1887" s="3">
        <v>0</v>
      </c>
      <c r="S1887" s="3">
        <v>0</v>
      </c>
      <c r="T1887">
        <v>0</v>
      </c>
      <c r="U1887">
        <v>0</v>
      </c>
      <c r="V1887" s="3">
        <v>0</v>
      </c>
      <c r="W1887" s="3">
        <v>0</v>
      </c>
      <c r="X1887">
        <v>0</v>
      </c>
      <c r="Y1887" t="s">
        <v>1569</v>
      </c>
    </row>
    <row r="1888" spans="1:25" hidden="1" x14ac:dyDescent="0.25">
      <c r="A1888" s="1" t="s">
        <v>47</v>
      </c>
      <c r="B1888" s="1" t="s">
        <v>137</v>
      </c>
      <c r="C1888" s="1" t="s">
        <v>27</v>
      </c>
      <c r="D1888" t="s">
        <v>27</v>
      </c>
      <c r="E1888" s="2">
        <v>45932</v>
      </c>
      <c r="F1888" s="2">
        <v>45932</v>
      </c>
      <c r="G1888" s="3">
        <v>32</v>
      </c>
      <c r="H1888" s="4" t="s">
        <v>28</v>
      </c>
      <c r="I1888" s="1">
        <v>37</v>
      </c>
      <c r="J1888">
        <v>0</v>
      </c>
      <c r="K1888">
        <v>0</v>
      </c>
      <c r="L1888" s="3">
        <v>0</v>
      </c>
      <c r="M1888" s="3">
        <v>0</v>
      </c>
      <c r="N1888">
        <v>0</v>
      </c>
      <c r="O1888">
        <v>0</v>
      </c>
      <c r="P1888">
        <v>5</v>
      </c>
      <c r="Q1888">
        <v>0</v>
      </c>
      <c r="R1888" s="3">
        <v>0</v>
      </c>
      <c r="S1888" s="3">
        <v>0</v>
      </c>
      <c r="T1888">
        <v>0</v>
      </c>
      <c r="U1888">
        <v>0</v>
      </c>
      <c r="V1888" s="3">
        <v>0</v>
      </c>
      <c r="W1888" s="3">
        <v>0</v>
      </c>
      <c r="X1888">
        <v>0</v>
      </c>
      <c r="Y1888" t="s">
        <v>1570</v>
      </c>
    </row>
    <row r="1889" spans="1:25" hidden="1" x14ac:dyDescent="0.25">
      <c r="A1889" s="1" t="s">
        <v>34</v>
      </c>
      <c r="B1889" s="1" t="s">
        <v>137</v>
      </c>
      <c r="C1889" s="1" t="s">
        <v>27</v>
      </c>
      <c r="D1889" t="s">
        <v>27</v>
      </c>
      <c r="E1889" s="2">
        <v>45932</v>
      </c>
      <c r="F1889" s="2">
        <v>45932</v>
      </c>
      <c r="G1889" s="3">
        <v>32</v>
      </c>
      <c r="H1889" s="4" t="s">
        <v>28</v>
      </c>
      <c r="I1889" s="1">
        <v>37</v>
      </c>
      <c r="J1889">
        <v>0</v>
      </c>
      <c r="K1889">
        <v>0</v>
      </c>
      <c r="L1889" s="3">
        <v>0</v>
      </c>
      <c r="M1889" s="3">
        <v>0</v>
      </c>
      <c r="N1889">
        <v>0</v>
      </c>
      <c r="O1889">
        <v>0</v>
      </c>
      <c r="P1889">
        <v>5</v>
      </c>
      <c r="Q1889">
        <v>0</v>
      </c>
      <c r="R1889" s="3">
        <v>0</v>
      </c>
      <c r="S1889" s="3">
        <v>0</v>
      </c>
      <c r="T1889">
        <v>0</v>
      </c>
      <c r="U1889">
        <v>0</v>
      </c>
      <c r="V1889" s="3">
        <v>0</v>
      </c>
      <c r="W1889" s="3">
        <v>0</v>
      </c>
      <c r="X1889">
        <v>0</v>
      </c>
      <c r="Y1889" t="s">
        <v>1570</v>
      </c>
    </row>
    <row r="1890" spans="1:25" hidden="1" x14ac:dyDescent="0.25">
      <c r="A1890" s="1" t="s">
        <v>49</v>
      </c>
      <c r="B1890" s="1" t="s">
        <v>118</v>
      </c>
      <c r="C1890" s="1" t="s">
        <v>50</v>
      </c>
      <c r="D1890" t="s">
        <v>27</v>
      </c>
      <c r="E1890" s="2">
        <v>45932</v>
      </c>
      <c r="F1890" s="2">
        <v>45932</v>
      </c>
      <c r="G1890" s="3">
        <v>36</v>
      </c>
      <c r="H1890" s="4" t="s">
        <v>28</v>
      </c>
      <c r="I1890" s="1">
        <v>40</v>
      </c>
      <c r="J1890">
        <v>0</v>
      </c>
      <c r="K1890">
        <v>0</v>
      </c>
      <c r="L1890" s="3">
        <v>1</v>
      </c>
      <c r="M1890" s="3">
        <v>1</v>
      </c>
      <c r="N1890">
        <v>0</v>
      </c>
      <c r="O1890">
        <v>1</v>
      </c>
      <c r="P1890">
        <v>0</v>
      </c>
      <c r="Q1890">
        <v>46</v>
      </c>
      <c r="R1890" s="3">
        <v>0</v>
      </c>
      <c r="S1890" s="3">
        <v>0</v>
      </c>
      <c r="T1890">
        <v>0</v>
      </c>
      <c r="U1890">
        <v>0</v>
      </c>
      <c r="V1890" s="3">
        <v>0</v>
      </c>
      <c r="W1890" s="3">
        <v>0</v>
      </c>
      <c r="X1890">
        <v>0</v>
      </c>
      <c r="Y1890" t="s">
        <v>1571</v>
      </c>
    </row>
    <row r="1891" spans="1:25" hidden="1" x14ac:dyDescent="0.25">
      <c r="A1891" s="1" t="s">
        <v>51</v>
      </c>
      <c r="B1891" s="1" t="s">
        <v>120</v>
      </c>
      <c r="C1891" s="1" t="s">
        <v>55</v>
      </c>
      <c r="D1891" t="s">
        <v>27</v>
      </c>
      <c r="E1891" s="2">
        <v>45932</v>
      </c>
      <c r="F1891" s="2">
        <v>45932</v>
      </c>
      <c r="G1891" s="3">
        <v>56</v>
      </c>
      <c r="H1891" s="4" t="s">
        <v>28</v>
      </c>
      <c r="I1891" s="1">
        <v>45</v>
      </c>
      <c r="J1891">
        <v>0</v>
      </c>
      <c r="K1891">
        <v>0</v>
      </c>
      <c r="L1891" s="3">
        <v>1</v>
      </c>
      <c r="M1891" s="3">
        <v>0</v>
      </c>
      <c r="N1891">
        <v>1</v>
      </c>
      <c r="O1891">
        <v>0</v>
      </c>
      <c r="P1891">
        <v>0</v>
      </c>
      <c r="Q1891">
        <v>0</v>
      </c>
      <c r="R1891" s="3">
        <v>0</v>
      </c>
      <c r="S1891" s="3">
        <v>0</v>
      </c>
      <c r="T1891">
        <v>0</v>
      </c>
      <c r="U1891">
        <v>0</v>
      </c>
      <c r="V1891" s="3">
        <v>0</v>
      </c>
      <c r="W1891" s="3">
        <v>0</v>
      </c>
      <c r="X1891">
        <v>0</v>
      </c>
      <c r="Y1891" t="s">
        <v>1572</v>
      </c>
    </row>
    <row r="1892" spans="1:25" hidden="1" x14ac:dyDescent="0.25">
      <c r="A1892" s="1" t="s">
        <v>54</v>
      </c>
      <c r="B1892" s="1" t="s">
        <v>122</v>
      </c>
      <c r="C1892" s="1" t="s">
        <v>52</v>
      </c>
      <c r="D1892" t="s">
        <v>27</v>
      </c>
      <c r="E1892" s="2">
        <v>45932</v>
      </c>
      <c r="F1892" s="2">
        <v>45932</v>
      </c>
      <c r="G1892" s="3">
        <v>34</v>
      </c>
      <c r="H1892" s="4" t="s">
        <v>28</v>
      </c>
      <c r="I1892" s="1">
        <v>40</v>
      </c>
      <c r="J1892">
        <v>0</v>
      </c>
      <c r="K1892">
        <v>0</v>
      </c>
      <c r="L1892" s="3">
        <v>0</v>
      </c>
      <c r="M1892" s="3">
        <v>0</v>
      </c>
      <c r="N1892">
        <v>0</v>
      </c>
      <c r="O1892">
        <v>0</v>
      </c>
      <c r="P1892">
        <v>0</v>
      </c>
      <c r="Q1892">
        <v>2</v>
      </c>
      <c r="R1892" s="3">
        <v>0</v>
      </c>
      <c r="S1892" s="3">
        <v>0</v>
      </c>
      <c r="T1892">
        <v>0</v>
      </c>
      <c r="U1892">
        <v>0</v>
      </c>
      <c r="V1892" s="3">
        <v>0</v>
      </c>
      <c r="W1892" s="3">
        <v>0</v>
      </c>
      <c r="X1892">
        <v>0</v>
      </c>
      <c r="Y1892" t="s">
        <v>1573</v>
      </c>
    </row>
    <row r="1893" spans="1:25" hidden="1" x14ac:dyDescent="0.25">
      <c r="A1893" s="1" t="s">
        <v>48</v>
      </c>
      <c r="B1893" s="1" t="s">
        <v>149</v>
      </c>
      <c r="C1893" s="1" t="s">
        <v>46</v>
      </c>
      <c r="D1893" t="s">
        <v>27</v>
      </c>
      <c r="E1893" s="2">
        <v>45932</v>
      </c>
      <c r="F1893" s="2">
        <v>45932</v>
      </c>
      <c r="G1893" s="3">
        <v>39</v>
      </c>
      <c r="H1893" s="4" t="s">
        <v>28</v>
      </c>
      <c r="I1893" s="1">
        <v>33</v>
      </c>
      <c r="J1893">
        <v>0</v>
      </c>
      <c r="K1893">
        <v>0</v>
      </c>
      <c r="L1893" s="3">
        <v>0</v>
      </c>
      <c r="M1893" s="3">
        <v>0</v>
      </c>
      <c r="N1893">
        <v>0</v>
      </c>
      <c r="O1893">
        <v>0</v>
      </c>
      <c r="P1893">
        <v>0</v>
      </c>
      <c r="Q1893">
        <v>4</v>
      </c>
      <c r="R1893" s="3">
        <v>0</v>
      </c>
      <c r="S1893" s="3">
        <v>0</v>
      </c>
      <c r="T1893">
        <v>0</v>
      </c>
      <c r="U1893">
        <v>0</v>
      </c>
      <c r="V1893" s="3">
        <v>0</v>
      </c>
      <c r="W1893" s="3">
        <v>0</v>
      </c>
      <c r="X1893">
        <v>0</v>
      </c>
      <c r="Y1893" t="s">
        <v>1574</v>
      </c>
    </row>
    <row r="1894" spans="1:25" hidden="1" x14ac:dyDescent="0.25">
      <c r="A1894" t="s">
        <v>58</v>
      </c>
      <c r="B1894" s="1" t="s">
        <v>739</v>
      </c>
      <c r="C1894" s="1" t="s">
        <v>27</v>
      </c>
      <c r="D1894" t="s">
        <v>27</v>
      </c>
      <c r="E1894" s="2">
        <v>45932</v>
      </c>
      <c r="F1894" s="2">
        <v>45932</v>
      </c>
      <c r="G1894" s="3">
        <v>40</v>
      </c>
      <c r="H1894" s="4" t="s">
        <v>1255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t="s">
        <v>1574</v>
      </c>
    </row>
    <row r="1895" spans="1:25" hidden="1" x14ac:dyDescent="0.25">
      <c r="A1895" s="1" t="s">
        <v>27</v>
      </c>
      <c r="B1895" s="1" t="s">
        <v>755</v>
      </c>
      <c r="C1895" s="1" t="s">
        <v>26</v>
      </c>
      <c r="D1895" t="s">
        <v>27</v>
      </c>
      <c r="E1895" s="2">
        <v>45932</v>
      </c>
      <c r="F1895" s="2">
        <v>45932</v>
      </c>
      <c r="G1895" s="3">
        <v>41</v>
      </c>
      <c r="H1895" s="4" t="s">
        <v>1448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t="s">
        <v>1574</v>
      </c>
    </row>
    <row r="1896" spans="1:25" hidden="1" x14ac:dyDescent="0.25">
      <c r="A1896" s="1" t="s">
        <v>27</v>
      </c>
      <c r="B1896" s="1" t="s">
        <v>758</v>
      </c>
      <c r="C1896" s="1" t="s">
        <v>489</v>
      </c>
      <c r="D1896" t="s">
        <v>27</v>
      </c>
      <c r="E1896" s="2">
        <v>45932</v>
      </c>
      <c r="F1896" s="2">
        <v>45932</v>
      </c>
      <c r="G1896" s="3">
        <v>42</v>
      </c>
      <c r="H1896" s="4" t="s">
        <v>1317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t="s">
        <v>1574</v>
      </c>
    </row>
    <row r="1897" spans="1:25" hidden="1" x14ac:dyDescent="0.25">
      <c r="A1897" s="1" t="s">
        <v>25</v>
      </c>
      <c r="B1897" s="1" t="s">
        <v>96</v>
      </c>
      <c r="C1897" s="1" t="s">
        <v>35</v>
      </c>
      <c r="D1897" t="s">
        <v>27</v>
      </c>
      <c r="E1897" s="2">
        <v>45933</v>
      </c>
      <c r="F1897" s="2">
        <v>45933</v>
      </c>
      <c r="G1897" s="3">
        <v>30</v>
      </c>
      <c r="H1897" t="s">
        <v>28</v>
      </c>
      <c r="I1897" s="1">
        <v>42</v>
      </c>
      <c r="J1897">
        <v>0</v>
      </c>
      <c r="K1897">
        <v>0</v>
      </c>
      <c r="L1897" s="3">
        <v>0</v>
      </c>
      <c r="M1897" s="3">
        <v>0</v>
      </c>
      <c r="N1897">
        <v>0</v>
      </c>
      <c r="O1897">
        <v>0</v>
      </c>
      <c r="P1897">
        <v>0</v>
      </c>
      <c r="Q1897">
        <v>0</v>
      </c>
      <c r="R1897" s="3">
        <v>0</v>
      </c>
      <c r="S1897" s="3">
        <v>0</v>
      </c>
      <c r="T1897">
        <v>0</v>
      </c>
      <c r="U1897">
        <v>0</v>
      </c>
      <c r="V1897" s="3">
        <v>0</v>
      </c>
      <c r="W1897" s="3">
        <v>0</v>
      </c>
      <c r="X1897">
        <v>0</v>
      </c>
      <c r="Y1897" t="s">
        <v>1575</v>
      </c>
    </row>
    <row r="1898" spans="1:25" hidden="1" x14ac:dyDescent="0.25">
      <c r="A1898" s="1" t="s">
        <v>56</v>
      </c>
      <c r="B1898" s="1" t="s">
        <v>98</v>
      </c>
      <c r="C1898" s="1" t="s">
        <v>37</v>
      </c>
      <c r="D1898" t="s">
        <v>27</v>
      </c>
      <c r="E1898" s="2">
        <v>45933</v>
      </c>
      <c r="F1898" s="2">
        <v>45933</v>
      </c>
      <c r="G1898" s="3">
        <v>34</v>
      </c>
      <c r="H1898" t="s">
        <v>28</v>
      </c>
      <c r="I1898" s="1">
        <v>34</v>
      </c>
      <c r="J1898">
        <v>0</v>
      </c>
      <c r="K1898">
        <v>0</v>
      </c>
      <c r="L1898" s="3">
        <v>1</v>
      </c>
      <c r="M1898" s="3">
        <v>0</v>
      </c>
      <c r="N1898">
        <v>0</v>
      </c>
      <c r="O1898">
        <v>0</v>
      </c>
      <c r="P1898">
        <v>0</v>
      </c>
      <c r="Q1898">
        <v>10</v>
      </c>
      <c r="R1898" s="3">
        <v>0</v>
      </c>
      <c r="S1898" s="3">
        <v>0</v>
      </c>
      <c r="T1898">
        <v>0</v>
      </c>
      <c r="U1898">
        <v>0</v>
      </c>
      <c r="V1898" s="3">
        <v>0</v>
      </c>
      <c r="W1898" s="3">
        <v>0</v>
      </c>
      <c r="X1898">
        <v>0</v>
      </c>
      <c r="Y1898" t="s">
        <v>1576</v>
      </c>
    </row>
    <row r="1899" spans="1:25" hidden="1" x14ac:dyDescent="0.25">
      <c r="A1899" s="1" t="s">
        <v>29</v>
      </c>
      <c r="B1899" s="1" t="s">
        <v>100</v>
      </c>
      <c r="C1899" s="1" t="s">
        <v>95</v>
      </c>
      <c r="D1899" t="s">
        <v>27</v>
      </c>
      <c r="E1899" s="2">
        <v>45933</v>
      </c>
      <c r="F1899" s="2">
        <v>45933</v>
      </c>
      <c r="G1899" s="3">
        <v>35</v>
      </c>
      <c r="H1899" t="s">
        <v>28</v>
      </c>
      <c r="I1899" s="1">
        <v>25</v>
      </c>
      <c r="J1899">
        <v>0</v>
      </c>
      <c r="K1899">
        <v>0</v>
      </c>
      <c r="L1899" s="3">
        <v>1</v>
      </c>
      <c r="M1899" s="3">
        <v>0</v>
      </c>
      <c r="N1899">
        <v>0</v>
      </c>
      <c r="O1899">
        <v>0</v>
      </c>
      <c r="P1899">
        <v>0</v>
      </c>
      <c r="Q1899">
        <v>14</v>
      </c>
      <c r="R1899" s="3">
        <v>0</v>
      </c>
      <c r="S1899" s="3">
        <v>0</v>
      </c>
      <c r="T1899">
        <v>0</v>
      </c>
      <c r="U1899">
        <v>0</v>
      </c>
      <c r="V1899" s="3">
        <v>0</v>
      </c>
      <c r="W1899" s="3">
        <v>0</v>
      </c>
      <c r="X1899">
        <v>0</v>
      </c>
      <c r="Y1899" t="s">
        <v>1577</v>
      </c>
    </row>
    <row r="1900" spans="1:25" hidden="1" x14ac:dyDescent="0.25">
      <c r="A1900" s="1" t="s">
        <v>31</v>
      </c>
      <c r="B1900" s="1" t="s">
        <v>104</v>
      </c>
      <c r="C1900" s="1" t="s">
        <v>32</v>
      </c>
      <c r="D1900" t="s">
        <v>27</v>
      </c>
      <c r="E1900" s="2">
        <v>45933</v>
      </c>
      <c r="F1900" s="2">
        <v>45933</v>
      </c>
      <c r="G1900" s="3">
        <v>104</v>
      </c>
      <c r="H1900" t="s">
        <v>28</v>
      </c>
      <c r="I1900" s="1">
        <v>71</v>
      </c>
      <c r="J1900">
        <v>0</v>
      </c>
      <c r="K1900">
        <v>0</v>
      </c>
      <c r="L1900" s="3">
        <v>0</v>
      </c>
      <c r="M1900" s="3">
        <v>0</v>
      </c>
      <c r="N1900">
        <v>0</v>
      </c>
      <c r="O1900">
        <v>0</v>
      </c>
      <c r="P1900">
        <v>0</v>
      </c>
      <c r="Q1900">
        <v>37</v>
      </c>
      <c r="R1900" s="3">
        <v>0</v>
      </c>
      <c r="S1900" s="3">
        <v>0</v>
      </c>
      <c r="T1900">
        <v>0</v>
      </c>
      <c r="U1900">
        <v>0</v>
      </c>
      <c r="V1900" s="3">
        <v>0</v>
      </c>
      <c r="W1900" s="3">
        <v>0</v>
      </c>
      <c r="X1900">
        <v>0</v>
      </c>
      <c r="Y1900" t="s">
        <v>1578</v>
      </c>
    </row>
    <row r="1901" spans="1:25" hidden="1" x14ac:dyDescent="0.25">
      <c r="A1901" t="s">
        <v>33</v>
      </c>
      <c r="B1901" s="1" t="s">
        <v>106</v>
      </c>
      <c r="C1901" s="1" t="s">
        <v>57</v>
      </c>
      <c r="D1901" t="s">
        <v>27</v>
      </c>
      <c r="E1901" s="2">
        <v>45933</v>
      </c>
      <c r="F1901" s="2">
        <v>45933</v>
      </c>
      <c r="G1901" s="3">
        <v>42</v>
      </c>
      <c r="H1901" t="s">
        <v>28</v>
      </c>
      <c r="I1901" s="1">
        <v>49</v>
      </c>
      <c r="J1901">
        <v>0</v>
      </c>
      <c r="K1901">
        <v>0</v>
      </c>
      <c r="L1901" s="3">
        <v>0</v>
      </c>
      <c r="M1901" s="3">
        <v>0</v>
      </c>
      <c r="N1901">
        <v>0</v>
      </c>
      <c r="O1901">
        <v>0</v>
      </c>
      <c r="P1901">
        <v>0</v>
      </c>
      <c r="Q1901">
        <v>20</v>
      </c>
      <c r="R1901" s="3">
        <v>0</v>
      </c>
      <c r="S1901" s="3">
        <v>0</v>
      </c>
      <c r="T1901">
        <v>0</v>
      </c>
      <c r="U1901">
        <v>0</v>
      </c>
      <c r="V1901" s="3">
        <v>0</v>
      </c>
      <c r="W1901" s="3">
        <v>0</v>
      </c>
      <c r="X1901">
        <v>0</v>
      </c>
      <c r="Y1901" t="s">
        <v>1579</v>
      </c>
    </row>
    <row r="1902" spans="1:25" hidden="1" x14ac:dyDescent="0.25">
      <c r="A1902" s="1" t="s">
        <v>38</v>
      </c>
      <c r="B1902" s="1" t="s">
        <v>108</v>
      </c>
      <c r="C1902" s="1" t="s">
        <v>27</v>
      </c>
      <c r="D1902" t="s">
        <v>27</v>
      </c>
      <c r="E1902" s="2">
        <v>45933</v>
      </c>
      <c r="F1902" s="2">
        <v>45933</v>
      </c>
      <c r="G1902" s="3">
        <v>40</v>
      </c>
      <c r="H1902" t="s">
        <v>28</v>
      </c>
      <c r="I1902" s="1">
        <v>50</v>
      </c>
      <c r="J1902">
        <v>0</v>
      </c>
      <c r="K1902">
        <v>0</v>
      </c>
      <c r="L1902" s="3">
        <v>0</v>
      </c>
      <c r="M1902" s="3">
        <v>0</v>
      </c>
      <c r="N1902">
        <v>0</v>
      </c>
      <c r="O1902">
        <v>0</v>
      </c>
      <c r="P1902">
        <v>0</v>
      </c>
      <c r="Q1902">
        <v>50</v>
      </c>
      <c r="R1902" s="3">
        <v>0</v>
      </c>
      <c r="S1902" s="3">
        <v>0</v>
      </c>
      <c r="T1902">
        <v>0</v>
      </c>
      <c r="U1902">
        <v>0</v>
      </c>
      <c r="V1902" s="3">
        <v>0</v>
      </c>
      <c r="W1902" s="3">
        <v>0</v>
      </c>
      <c r="X1902">
        <v>0</v>
      </c>
      <c r="Y1902" t="s">
        <v>1580</v>
      </c>
    </row>
    <row r="1903" spans="1:25" hidden="1" x14ac:dyDescent="0.25">
      <c r="A1903" s="1" t="s">
        <v>40</v>
      </c>
      <c r="B1903" s="1" t="s">
        <v>110</v>
      </c>
      <c r="C1903" s="1" t="s">
        <v>27</v>
      </c>
      <c r="D1903" t="s">
        <v>27</v>
      </c>
      <c r="E1903" s="2">
        <v>45933</v>
      </c>
      <c r="F1903" s="2">
        <v>45933</v>
      </c>
      <c r="G1903" s="3">
        <v>209</v>
      </c>
      <c r="H1903" t="s">
        <v>28</v>
      </c>
      <c r="I1903" s="1">
        <v>65</v>
      </c>
      <c r="J1903">
        <v>0</v>
      </c>
      <c r="K1903">
        <v>0</v>
      </c>
      <c r="L1903" s="3">
        <v>1</v>
      </c>
      <c r="M1903" s="3">
        <v>0</v>
      </c>
      <c r="N1903">
        <v>1</v>
      </c>
      <c r="O1903">
        <v>0</v>
      </c>
      <c r="P1903">
        <v>0</v>
      </c>
      <c r="Q1903">
        <v>0</v>
      </c>
      <c r="R1903" s="3">
        <v>0</v>
      </c>
      <c r="S1903" s="3">
        <v>0</v>
      </c>
      <c r="T1903">
        <v>0</v>
      </c>
      <c r="U1903">
        <v>0</v>
      </c>
      <c r="V1903" s="3">
        <v>0</v>
      </c>
      <c r="W1903" s="3">
        <v>0</v>
      </c>
      <c r="X1903">
        <v>0</v>
      </c>
      <c r="Y1903" t="s">
        <v>1581</v>
      </c>
    </row>
    <row r="1904" spans="1:25" hidden="1" x14ac:dyDescent="0.25">
      <c r="A1904" s="1" t="s">
        <v>36</v>
      </c>
      <c r="B1904" s="1" t="s">
        <v>110</v>
      </c>
      <c r="C1904" s="1" t="s">
        <v>27</v>
      </c>
      <c r="D1904" t="s">
        <v>27</v>
      </c>
      <c r="E1904" s="2">
        <v>45933</v>
      </c>
      <c r="F1904" s="2">
        <v>45933</v>
      </c>
      <c r="G1904" s="3">
        <v>209</v>
      </c>
      <c r="H1904" t="s">
        <v>28</v>
      </c>
      <c r="I1904" s="1">
        <v>65</v>
      </c>
      <c r="J1904">
        <v>0</v>
      </c>
      <c r="K1904">
        <v>0</v>
      </c>
      <c r="L1904" s="3">
        <v>1</v>
      </c>
      <c r="M1904" s="3">
        <v>0</v>
      </c>
      <c r="N1904">
        <v>1</v>
      </c>
      <c r="O1904">
        <v>0</v>
      </c>
      <c r="P1904">
        <v>0</v>
      </c>
      <c r="Q1904">
        <v>0</v>
      </c>
      <c r="R1904" s="3">
        <v>0</v>
      </c>
      <c r="S1904" s="3">
        <v>0</v>
      </c>
      <c r="T1904">
        <v>0</v>
      </c>
      <c r="U1904">
        <v>0</v>
      </c>
      <c r="V1904" s="3">
        <v>0</v>
      </c>
      <c r="W1904" s="3">
        <v>0</v>
      </c>
      <c r="X1904">
        <v>0</v>
      </c>
      <c r="Y1904" t="s">
        <v>1581</v>
      </c>
    </row>
    <row r="1905" spans="1:25" hidden="1" x14ac:dyDescent="0.25">
      <c r="A1905" s="1" t="s">
        <v>1454</v>
      </c>
      <c r="B1905" s="1" t="s">
        <v>1455</v>
      </c>
      <c r="C1905" s="1" t="s">
        <v>27</v>
      </c>
      <c r="D1905" t="s">
        <v>27</v>
      </c>
      <c r="E1905" s="2">
        <v>45933</v>
      </c>
      <c r="F1905" s="2">
        <v>45933</v>
      </c>
      <c r="G1905" s="3">
        <v>50</v>
      </c>
      <c r="H1905" t="s">
        <v>28</v>
      </c>
      <c r="I1905" s="1">
        <v>35</v>
      </c>
      <c r="J1905">
        <v>0</v>
      </c>
      <c r="K1905">
        <v>0</v>
      </c>
      <c r="L1905" s="3">
        <v>1</v>
      </c>
      <c r="M1905" s="3">
        <v>0</v>
      </c>
      <c r="N1905">
        <v>0</v>
      </c>
      <c r="O1905">
        <v>0</v>
      </c>
      <c r="P1905">
        <v>0</v>
      </c>
      <c r="Q1905">
        <v>35</v>
      </c>
      <c r="R1905" s="3">
        <v>0</v>
      </c>
      <c r="S1905" s="3">
        <v>0</v>
      </c>
      <c r="T1905">
        <v>0</v>
      </c>
      <c r="U1905">
        <v>0</v>
      </c>
      <c r="V1905" s="3">
        <v>0</v>
      </c>
      <c r="W1905" s="3">
        <v>0</v>
      </c>
      <c r="X1905">
        <v>0</v>
      </c>
      <c r="Y1905" t="s">
        <v>1582</v>
      </c>
    </row>
    <row r="1906" spans="1:25" hidden="1" x14ac:dyDescent="0.25">
      <c r="A1906" s="1" t="s">
        <v>41</v>
      </c>
      <c r="B1906" s="1" t="s">
        <v>112</v>
      </c>
      <c r="C1906" s="1" t="s">
        <v>42</v>
      </c>
      <c r="D1906" t="s">
        <v>27</v>
      </c>
      <c r="E1906" s="2">
        <v>45933</v>
      </c>
      <c r="F1906" s="2">
        <v>45933</v>
      </c>
      <c r="G1906" s="3">
        <v>41</v>
      </c>
      <c r="H1906" t="s">
        <v>28</v>
      </c>
      <c r="I1906" s="1">
        <v>47</v>
      </c>
      <c r="J1906">
        <v>0</v>
      </c>
      <c r="K1906">
        <v>0</v>
      </c>
      <c r="L1906" s="3">
        <v>1</v>
      </c>
      <c r="M1906" s="3">
        <v>0</v>
      </c>
      <c r="N1906">
        <v>0</v>
      </c>
      <c r="O1906">
        <v>0</v>
      </c>
      <c r="P1906">
        <v>0</v>
      </c>
      <c r="Q1906">
        <v>1</v>
      </c>
      <c r="R1906" s="3">
        <v>0</v>
      </c>
      <c r="S1906" s="3">
        <v>0</v>
      </c>
      <c r="T1906">
        <v>0</v>
      </c>
      <c r="U1906">
        <v>0</v>
      </c>
      <c r="V1906" s="3">
        <v>0</v>
      </c>
      <c r="W1906" s="3">
        <v>0</v>
      </c>
      <c r="X1906">
        <v>0</v>
      </c>
      <c r="Y1906" t="s">
        <v>1583</v>
      </c>
    </row>
    <row r="1907" spans="1:25" hidden="1" x14ac:dyDescent="0.25">
      <c r="A1907" s="1" t="s">
        <v>43</v>
      </c>
      <c r="B1907" s="1" t="s">
        <v>114</v>
      </c>
      <c r="C1907" s="1" t="s">
        <v>44</v>
      </c>
      <c r="D1907" t="s">
        <v>27</v>
      </c>
      <c r="E1907" s="2">
        <v>45933</v>
      </c>
      <c r="F1907" s="2">
        <v>45933</v>
      </c>
      <c r="G1907" s="3">
        <v>39</v>
      </c>
      <c r="H1907" t="s">
        <v>28</v>
      </c>
      <c r="I1907" s="1">
        <v>63</v>
      </c>
      <c r="J1907">
        <v>0</v>
      </c>
      <c r="K1907">
        <v>0</v>
      </c>
      <c r="L1907" s="3">
        <v>1</v>
      </c>
      <c r="M1907" s="3">
        <v>0</v>
      </c>
      <c r="N1907">
        <v>0</v>
      </c>
      <c r="O1907">
        <v>0</v>
      </c>
      <c r="P1907">
        <v>0</v>
      </c>
      <c r="Q1907">
        <v>0</v>
      </c>
      <c r="R1907" s="3">
        <v>0</v>
      </c>
      <c r="S1907" s="3">
        <v>0</v>
      </c>
      <c r="T1907">
        <v>0</v>
      </c>
      <c r="U1907">
        <v>0</v>
      </c>
      <c r="V1907" s="3">
        <v>0</v>
      </c>
      <c r="W1907" s="3">
        <v>0</v>
      </c>
      <c r="X1907">
        <v>0</v>
      </c>
      <c r="Y1907" t="s">
        <v>1584</v>
      </c>
    </row>
    <row r="1908" spans="1:25" hidden="1" x14ac:dyDescent="0.25">
      <c r="A1908" s="1" t="s">
        <v>47</v>
      </c>
      <c r="B1908" s="1" t="s">
        <v>137</v>
      </c>
      <c r="C1908" s="1" t="s">
        <v>27</v>
      </c>
      <c r="D1908" t="s">
        <v>27</v>
      </c>
      <c r="E1908" s="2">
        <v>45933</v>
      </c>
      <c r="F1908" s="2">
        <v>45933</v>
      </c>
      <c r="G1908" s="3">
        <v>26</v>
      </c>
      <c r="H1908" t="s">
        <v>28</v>
      </c>
      <c r="I1908" s="1">
        <v>55</v>
      </c>
      <c r="J1908">
        <v>0</v>
      </c>
      <c r="K1908">
        <v>0</v>
      </c>
      <c r="L1908" s="3">
        <v>0</v>
      </c>
      <c r="M1908" s="3">
        <v>0</v>
      </c>
      <c r="N1908">
        <v>1</v>
      </c>
      <c r="O1908">
        <v>0</v>
      </c>
      <c r="P1908">
        <v>0</v>
      </c>
      <c r="Q1908">
        <v>5</v>
      </c>
      <c r="R1908" s="3">
        <v>0</v>
      </c>
      <c r="S1908" s="3">
        <v>0</v>
      </c>
      <c r="T1908">
        <v>0</v>
      </c>
      <c r="U1908">
        <v>0</v>
      </c>
      <c r="V1908" s="3">
        <v>0</v>
      </c>
      <c r="W1908" s="3">
        <v>0</v>
      </c>
      <c r="X1908">
        <v>0</v>
      </c>
      <c r="Y1908" t="s">
        <v>1585</v>
      </c>
    </row>
    <row r="1909" spans="1:25" hidden="1" x14ac:dyDescent="0.25">
      <c r="A1909" s="1" t="s">
        <v>34</v>
      </c>
      <c r="B1909" s="1" t="s">
        <v>137</v>
      </c>
      <c r="C1909" s="1" t="s">
        <v>27</v>
      </c>
      <c r="D1909" t="s">
        <v>27</v>
      </c>
      <c r="E1909" s="2">
        <v>45933</v>
      </c>
      <c r="F1909" s="2">
        <v>45933</v>
      </c>
      <c r="G1909" s="3">
        <v>26</v>
      </c>
      <c r="H1909" t="s">
        <v>28</v>
      </c>
      <c r="I1909" s="1">
        <v>55</v>
      </c>
      <c r="J1909">
        <v>0</v>
      </c>
      <c r="K1909">
        <v>0</v>
      </c>
      <c r="L1909" s="3">
        <v>0</v>
      </c>
      <c r="M1909" s="3">
        <v>0</v>
      </c>
      <c r="N1909">
        <v>1</v>
      </c>
      <c r="O1909">
        <v>0</v>
      </c>
      <c r="P1909">
        <v>0</v>
      </c>
      <c r="Q1909">
        <v>5</v>
      </c>
      <c r="R1909" s="3">
        <v>0</v>
      </c>
      <c r="S1909" s="3">
        <v>0</v>
      </c>
      <c r="T1909">
        <v>0</v>
      </c>
      <c r="U1909">
        <v>0</v>
      </c>
      <c r="V1909" s="3">
        <v>0</v>
      </c>
      <c r="W1909" s="3">
        <v>0</v>
      </c>
      <c r="X1909">
        <v>0</v>
      </c>
      <c r="Y1909" t="s">
        <v>1585</v>
      </c>
    </row>
    <row r="1910" spans="1:25" hidden="1" x14ac:dyDescent="0.25">
      <c r="A1910" s="1" t="s">
        <v>49</v>
      </c>
      <c r="B1910" s="1" t="s">
        <v>118</v>
      </c>
      <c r="C1910" s="1" t="s">
        <v>50</v>
      </c>
      <c r="D1910" t="s">
        <v>27</v>
      </c>
      <c r="E1910" s="2">
        <v>45933</v>
      </c>
      <c r="F1910" s="2">
        <v>45933</v>
      </c>
      <c r="G1910" s="3">
        <v>36</v>
      </c>
      <c r="H1910" s="4" t="s">
        <v>28</v>
      </c>
      <c r="I1910" s="1">
        <v>40</v>
      </c>
      <c r="J1910">
        <v>0</v>
      </c>
      <c r="K1910">
        <v>0</v>
      </c>
      <c r="L1910" s="3">
        <v>1</v>
      </c>
      <c r="M1910" s="3">
        <v>1</v>
      </c>
      <c r="N1910">
        <v>0</v>
      </c>
      <c r="O1910">
        <v>1</v>
      </c>
      <c r="P1910">
        <v>0</v>
      </c>
      <c r="Q1910">
        <v>46</v>
      </c>
      <c r="R1910" s="3">
        <v>0</v>
      </c>
      <c r="S1910" s="3">
        <v>0</v>
      </c>
      <c r="T1910">
        <v>0</v>
      </c>
      <c r="U1910">
        <v>0</v>
      </c>
      <c r="V1910" s="3">
        <v>0</v>
      </c>
      <c r="W1910" s="3">
        <v>0</v>
      </c>
      <c r="X1910">
        <v>0</v>
      </c>
      <c r="Y1910" t="s">
        <v>1571</v>
      </c>
    </row>
    <row r="1911" spans="1:25" hidden="1" x14ac:dyDescent="0.25">
      <c r="A1911" s="1" t="s">
        <v>51</v>
      </c>
      <c r="B1911" s="1" t="s">
        <v>120</v>
      </c>
      <c r="C1911" s="1" t="s">
        <v>55</v>
      </c>
      <c r="D1911" t="s">
        <v>27</v>
      </c>
      <c r="E1911" s="2">
        <v>45933</v>
      </c>
      <c r="F1911" s="2">
        <v>45933</v>
      </c>
      <c r="G1911" s="3">
        <v>101</v>
      </c>
      <c r="H1911" t="s">
        <v>28</v>
      </c>
      <c r="I1911" s="1">
        <v>43</v>
      </c>
      <c r="J1911">
        <v>0</v>
      </c>
      <c r="K1911">
        <v>0</v>
      </c>
      <c r="L1911" s="3">
        <v>1</v>
      </c>
      <c r="M1911" s="3">
        <v>0</v>
      </c>
      <c r="N1911">
        <v>1</v>
      </c>
      <c r="O1911">
        <v>0</v>
      </c>
      <c r="P1911">
        <v>0</v>
      </c>
      <c r="Q1911">
        <v>0</v>
      </c>
      <c r="R1911" s="3">
        <v>0</v>
      </c>
      <c r="S1911" s="3">
        <v>0</v>
      </c>
      <c r="T1911">
        <v>0</v>
      </c>
      <c r="U1911">
        <v>0</v>
      </c>
      <c r="V1911" s="3">
        <v>0</v>
      </c>
      <c r="W1911" s="3">
        <v>0</v>
      </c>
      <c r="X1911">
        <v>0</v>
      </c>
      <c r="Y1911" t="s">
        <v>1586</v>
      </c>
    </row>
    <row r="1912" spans="1:25" hidden="1" x14ac:dyDescent="0.25">
      <c r="A1912" s="1" t="s">
        <v>54</v>
      </c>
      <c r="B1912" s="1" t="s">
        <v>122</v>
      </c>
      <c r="C1912" s="1" t="s">
        <v>52</v>
      </c>
      <c r="D1912" t="s">
        <v>27</v>
      </c>
      <c r="E1912" s="2">
        <v>45933</v>
      </c>
      <c r="F1912" s="2">
        <v>45933</v>
      </c>
      <c r="G1912" s="3">
        <v>36</v>
      </c>
      <c r="H1912" t="s">
        <v>28</v>
      </c>
      <c r="I1912" s="1">
        <v>52</v>
      </c>
      <c r="J1912">
        <v>0</v>
      </c>
      <c r="K1912">
        <v>0</v>
      </c>
      <c r="L1912" s="3">
        <v>0</v>
      </c>
      <c r="M1912" s="3">
        <v>0</v>
      </c>
      <c r="N1912">
        <v>0</v>
      </c>
      <c r="O1912">
        <v>0</v>
      </c>
      <c r="P1912">
        <v>0</v>
      </c>
      <c r="Q1912">
        <v>2</v>
      </c>
      <c r="R1912" s="3">
        <v>0</v>
      </c>
      <c r="S1912" s="3">
        <v>0</v>
      </c>
      <c r="T1912">
        <v>0</v>
      </c>
      <c r="U1912">
        <v>0</v>
      </c>
      <c r="V1912" s="3">
        <v>0</v>
      </c>
      <c r="W1912" s="3">
        <v>0</v>
      </c>
      <c r="X1912">
        <v>0</v>
      </c>
      <c r="Y1912" t="s">
        <v>1587</v>
      </c>
    </row>
    <row r="1913" spans="1:25" hidden="1" x14ac:dyDescent="0.25">
      <c r="A1913" s="1" t="s">
        <v>48</v>
      </c>
      <c r="B1913" s="1" t="s">
        <v>149</v>
      </c>
      <c r="C1913" s="1" t="s">
        <v>46</v>
      </c>
      <c r="D1913" t="s">
        <v>27</v>
      </c>
      <c r="E1913" s="2">
        <v>45933</v>
      </c>
      <c r="F1913" s="2">
        <v>45933</v>
      </c>
      <c r="G1913" s="3">
        <v>43</v>
      </c>
      <c r="H1913" t="s">
        <v>28</v>
      </c>
      <c r="I1913" s="1">
        <v>94</v>
      </c>
      <c r="J1913">
        <v>0</v>
      </c>
      <c r="K1913">
        <v>0</v>
      </c>
      <c r="L1913" s="3">
        <v>1</v>
      </c>
      <c r="M1913" s="3">
        <v>0</v>
      </c>
      <c r="N1913">
        <v>0</v>
      </c>
      <c r="O1913">
        <v>0</v>
      </c>
      <c r="P1913">
        <v>0</v>
      </c>
      <c r="Q1913">
        <v>0</v>
      </c>
      <c r="R1913" s="3">
        <v>0</v>
      </c>
      <c r="S1913" s="3">
        <v>0</v>
      </c>
      <c r="T1913">
        <v>0</v>
      </c>
      <c r="U1913">
        <v>0</v>
      </c>
      <c r="V1913" s="3">
        <v>0</v>
      </c>
      <c r="W1913" s="3">
        <v>0</v>
      </c>
      <c r="X1913">
        <v>0</v>
      </c>
      <c r="Y1913" t="s">
        <v>1588</v>
      </c>
    </row>
    <row r="1914" spans="1:25" hidden="1" x14ac:dyDescent="0.25">
      <c r="A1914" t="s">
        <v>58</v>
      </c>
      <c r="B1914" s="1" t="s">
        <v>144</v>
      </c>
      <c r="C1914" s="1" t="s">
        <v>489</v>
      </c>
      <c r="D1914" t="s">
        <v>27</v>
      </c>
      <c r="E1914" s="2">
        <v>45933</v>
      </c>
      <c r="F1914" s="2">
        <v>45933</v>
      </c>
      <c r="G1914" s="3">
        <v>21</v>
      </c>
      <c r="H1914" t="s">
        <v>28</v>
      </c>
      <c r="I1914" s="1">
        <v>65</v>
      </c>
      <c r="J1914">
        <v>0</v>
      </c>
      <c r="K1914">
        <v>0</v>
      </c>
      <c r="L1914" s="3">
        <v>1</v>
      </c>
      <c r="M1914" s="3">
        <v>0</v>
      </c>
      <c r="N1914">
        <v>0</v>
      </c>
      <c r="O1914">
        <v>0</v>
      </c>
      <c r="P1914">
        <v>0</v>
      </c>
      <c r="Q1914">
        <v>0</v>
      </c>
      <c r="R1914" s="3">
        <v>0</v>
      </c>
      <c r="S1914" s="3">
        <v>0</v>
      </c>
      <c r="T1914">
        <v>0</v>
      </c>
      <c r="U1914">
        <v>0</v>
      </c>
      <c r="V1914" s="3">
        <v>0</v>
      </c>
      <c r="W1914" s="3">
        <v>0</v>
      </c>
      <c r="X1914">
        <v>0</v>
      </c>
      <c r="Y1914" t="s">
        <v>1589</v>
      </c>
    </row>
    <row r="1915" spans="1:25" hidden="1" x14ac:dyDescent="0.25">
      <c r="A1915" s="1" t="s">
        <v>27</v>
      </c>
      <c r="B1915" s="1" t="s">
        <v>106</v>
      </c>
      <c r="C1915" s="1" t="s">
        <v>26</v>
      </c>
      <c r="D1915" t="s">
        <v>27</v>
      </c>
      <c r="E1915" s="2">
        <v>45933</v>
      </c>
      <c r="F1915" s="2">
        <v>45933</v>
      </c>
      <c r="G1915" s="3">
        <v>22</v>
      </c>
      <c r="H1915" t="s">
        <v>1448</v>
      </c>
      <c r="I1915" s="1">
        <v>0</v>
      </c>
      <c r="J1915">
        <v>0</v>
      </c>
      <c r="K1915">
        <v>0</v>
      </c>
      <c r="L1915" s="3">
        <v>0</v>
      </c>
      <c r="M1915" s="3">
        <v>0</v>
      </c>
      <c r="N1915">
        <v>0</v>
      </c>
      <c r="O1915">
        <v>0</v>
      </c>
      <c r="P1915">
        <v>0</v>
      </c>
      <c r="Q1915">
        <v>0</v>
      </c>
      <c r="R1915" s="3">
        <v>0</v>
      </c>
      <c r="S1915" s="3">
        <v>0</v>
      </c>
      <c r="T1915">
        <v>0</v>
      </c>
      <c r="U1915">
        <v>0</v>
      </c>
      <c r="V1915" s="3">
        <v>0</v>
      </c>
      <c r="W1915" s="3">
        <v>0</v>
      </c>
      <c r="X1915" s="3">
        <v>0</v>
      </c>
      <c r="Y1915" t="s">
        <v>1589</v>
      </c>
    </row>
    <row r="1916" spans="1:25" hidden="1" x14ac:dyDescent="0.25">
      <c r="A1916" t="s">
        <v>56</v>
      </c>
      <c r="B1916" t="s">
        <v>98</v>
      </c>
      <c r="C1916" t="s">
        <v>37</v>
      </c>
      <c r="D1916" t="s">
        <v>27</v>
      </c>
      <c r="E1916" s="2">
        <v>45934</v>
      </c>
      <c r="F1916" s="2">
        <v>45934</v>
      </c>
      <c r="G1916" s="3">
        <v>56</v>
      </c>
      <c r="H1916" t="s">
        <v>28</v>
      </c>
      <c r="I1916">
        <v>0</v>
      </c>
      <c r="J1916">
        <v>0</v>
      </c>
      <c r="K1916">
        <v>0</v>
      </c>
      <c r="L1916" s="3">
        <v>1</v>
      </c>
      <c r="M1916" s="3">
        <v>1</v>
      </c>
      <c r="N1916">
        <v>0</v>
      </c>
      <c r="O1916">
        <v>0</v>
      </c>
      <c r="P1916">
        <v>0</v>
      </c>
      <c r="Q1916">
        <v>3</v>
      </c>
      <c r="R1916" s="3">
        <v>1</v>
      </c>
      <c r="S1916" s="3">
        <v>0</v>
      </c>
      <c r="T1916">
        <v>10</v>
      </c>
      <c r="U1916">
        <v>50</v>
      </c>
      <c r="V1916" s="3">
        <v>1</v>
      </c>
      <c r="W1916" s="3">
        <v>0</v>
      </c>
      <c r="X1916">
        <v>8</v>
      </c>
      <c r="Y1916" t="s">
        <v>1590</v>
      </c>
    </row>
    <row r="1917" spans="1:25" hidden="1" x14ac:dyDescent="0.25">
      <c r="A1917" t="s">
        <v>41</v>
      </c>
      <c r="B1917" t="s">
        <v>112</v>
      </c>
      <c r="C1917" t="s">
        <v>42</v>
      </c>
      <c r="D1917" t="s">
        <v>27</v>
      </c>
      <c r="E1917" s="2">
        <v>45934</v>
      </c>
      <c r="F1917" s="2">
        <v>45934</v>
      </c>
      <c r="G1917" s="3">
        <v>77</v>
      </c>
      <c r="H1917" t="s">
        <v>28</v>
      </c>
      <c r="I1917">
        <v>0</v>
      </c>
      <c r="J1917">
        <v>0</v>
      </c>
      <c r="K1917">
        <v>0</v>
      </c>
      <c r="L1917" s="3">
        <v>0</v>
      </c>
      <c r="M1917" s="3">
        <v>0</v>
      </c>
      <c r="N1917">
        <v>0</v>
      </c>
      <c r="O1917">
        <v>0</v>
      </c>
      <c r="P1917">
        <v>0</v>
      </c>
      <c r="Q1917">
        <v>19</v>
      </c>
      <c r="R1917" s="3">
        <v>1</v>
      </c>
      <c r="S1917" s="3">
        <v>0</v>
      </c>
      <c r="T1917">
        <v>23</v>
      </c>
      <c r="U1917">
        <v>0</v>
      </c>
      <c r="V1917" s="3">
        <v>1</v>
      </c>
      <c r="W1917" s="3">
        <v>0</v>
      </c>
      <c r="X1917">
        <v>6</v>
      </c>
      <c r="Y1917" t="s">
        <v>1591</v>
      </c>
    </row>
    <row r="1918" spans="1:25" hidden="1" x14ac:dyDescent="0.25">
      <c r="A1918" t="s">
        <v>56</v>
      </c>
      <c r="B1918" t="s">
        <v>98</v>
      </c>
      <c r="C1918" t="s">
        <v>37</v>
      </c>
      <c r="D1918" t="s">
        <v>27</v>
      </c>
      <c r="E1918" s="2">
        <v>45935</v>
      </c>
      <c r="F1918" s="2">
        <v>45935</v>
      </c>
      <c r="G1918" s="3">
        <v>97</v>
      </c>
      <c r="H1918" t="s">
        <v>28</v>
      </c>
      <c r="I1918">
        <v>0</v>
      </c>
      <c r="J1918">
        <v>0</v>
      </c>
      <c r="K1918">
        <v>0</v>
      </c>
      <c r="L1918" s="3">
        <v>1</v>
      </c>
      <c r="M1918" s="3">
        <v>1</v>
      </c>
      <c r="N1918">
        <v>0</v>
      </c>
      <c r="O1918">
        <v>0</v>
      </c>
      <c r="P1918">
        <v>0</v>
      </c>
      <c r="Q1918">
        <v>45</v>
      </c>
      <c r="R1918" s="3">
        <v>0</v>
      </c>
      <c r="S1918" s="3">
        <v>1</v>
      </c>
      <c r="T1918">
        <v>45</v>
      </c>
      <c r="U1918">
        <v>125</v>
      </c>
      <c r="V1918" s="3">
        <v>0</v>
      </c>
      <c r="W1918" s="3">
        <v>1</v>
      </c>
      <c r="X1918">
        <v>5</v>
      </c>
      <c r="Y1918" t="s">
        <v>1592</v>
      </c>
    </row>
    <row r="1919" spans="1:25" hidden="1" x14ac:dyDescent="0.25">
      <c r="A1919" t="s">
        <v>33</v>
      </c>
      <c r="B1919" t="s">
        <v>106</v>
      </c>
      <c r="C1919" t="s">
        <v>55</v>
      </c>
      <c r="D1919" t="s">
        <v>27</v>
      </c>
      <c r="E1919" s="2">
        <v>45935</v>
      </c>
      <c r="F1919" s="2">
        <v>45935</v>
      </c>
      <c r="G1919" s="3">
        <v>246</v>
      </c>
      <c r="H1919" t="s">
        <v>28</v>
      </c>
      <c r="I1919">
        <v>0</v>
      </c>
      <c r="J1919">
        <v>0</v>
      </c>
      <c r="K1919">
        <v>0</v>
      </c>
      <c r="L1919" s="3">
        <v>1</v>
      </c>
      <c r="M1919" s="3">
        <v>0</v>
      </c>
      <c r="N1919">
        <v>0</v>
      </c>
      <c r="O1919">
        <v>0</v>
      </c>
      <c r="P1919">
        <v>0</v>
      </c>
      <c r="Q1919">
        <v>83</v>
      </c>
      <c r="R1919" s="3">
        <v>0</v>
      </c>
      <c r="S1919" s="3">
        <v>1</v>
      </c>
      <c r="T1919">
        <v>53</v>
      </c>
      <c r="U1919">
        <v>88</v>
      </c>
      <c r="V1919" s="3">
        <v>0</v>
      </c>
      <c r="W1919" s="3">
        <v>1</v>
      </c>
      <c r="X1919">
        <v>6</v>
      </c>
      <c r="Y1919" t="s">
        <v>1593</v>
      </c>
    </row>
    <row r="1920" spans="1:25" hidden="1" x14ac:dyDescent="0.25">
      <c r="A1920" t="s">
        <v>41</v>
      </c>
      <c r="B1920" t="s">
        <v>112</v>
      </c>
      <c r="C1920" t="s">
        <v>42</v>
      </c>
      <c r="D1920" t="s">
        <v>27</v>
      </c>
      <c r="E1920" s="2">
        <v>45935</v>
      </c>
      <c r="F1920" s="2">
        <v>45935</v>
      </c>
      <c r="G1920" s="3">
        <v>85</v>
      </c>
      <c r="H1920" t="s">
        <v>28</v>
      </c>
      <c r="I1920">
        <v>0</v>
      </c>
      <c r="J1920">
        <v>0</v>
      </c>
      <c r="K1920">
        <v>0</v>
      </c>
      <c r="L1920" s="3">
        <v>0</v>
      </c>
      <c r="M1920" s="3">
        <v>0</v>
      </c>
      <c r="N1920">
        <v>0</v>
      </c>
      <c r="O1920">
        <v>0</v>
      </c>
      <c r="P1920">
        <v>0</v>
      </c>
      <c r="Q1920">
        <v>4</v>
      </c>
      <c r="R1920" s="3">
        <v>0</v>
      </c>
      <c r="S1920" s="3">
        <v>1</v>
      </c>
      <c r="T1920">
        <v>4</v>
      </c>
      <c r="U1920">
        <v>70</v>
      </c>
      <c r="V1920" s="3">
        <v>0</v>
      </c>
      <c r="W1920" s="3">
        <v>0</v>
      </c>
      <c r="X1920">
        <v>7</v>
      </c>
      <c r="Y1920" t="s">
        <v>1594</v>
      </c>
    </row>
    <row r="1921" spans="1:25" hidden="1" x14ac:dyDescent="0.25">
      <c r="A1921" t="s">
        <v>25</v>
      </c>
      <c r="B1921" t="s">
        <v>96</v>
      </c>
      <c r="C1921" t="s">
        <v>35</v>
      </c>
      <c r="D1921" t="s">
        <v>27</v>
      </c>
      <c r="E1921" s="24">
        <v>45936</v>
      </c>
      <c r="F1921" s="24">
        <v>45936</v>
      </c>
      <c r="G1921" s="3">
        <v>38</v>
      </c>
      <c r="H1921" s="4" t="s">
        <v>28</v>
      </c>
      <c r="I1921">
        <v>23</v>
      </c>
      <c r="J1921">
        <v>0</v>
      </c>
      <c r="K1921">
        <v>0</v>
      </c>
      <c r="L1921" s="3">
        <v>0</v>
      </c>
      <c r="M1921" s="3">
        <v>0</v>
      </c>
      <c r="N1921">
        <v>0</v>
      </c>
      <c r="O1921">
        <v>0</v>
      </c>
      <c r="P1921">
        <v>0</v>
      </c>
      <c r="Q1921">
        <v>0</v>
      </c>
      <c r="R1921" s="3">
        <v>0</v>
      </c>
      <c r="S1921" s="3">
        <v>0</v>
      </c>
      <c r="T1921">
        <v>0</v>
      </c>
      <c r="U1921">
        <v>0</v>
      </c>
      <c r="V1921" s="3">
        <v>0</v>
      </c>
      <c r="W1921" s="3">
        <v>0</v>
      </c>
      <c r="X1921">
        <v>0</v>
      </c>
      <c r="Y1921" t="s">
        <v>1595</v>
      </c>
    </row>
    <row r="1922" spans="1:25" hidden="1" x14ac:dyDescent="0.25">
      <c r="A1922" t="s">
        <v>56</v>
      </c>
      <c r="B1922" t="s">
        <v>98</v>
      </c>
      <c r="C1922" t="s">
        <v>37</v>
      </c>
      <c r="D1922" t="s">
        <v>27</v>
      </c>
      <c r="E1922" s="24">
        <v>45936</v>
      </c>
      <c r="F1922" s="24">
        <v>45936</v>
      </c>
      <c r="G1922" s="3">
        <v>33</v>
      </c>
      <c r="H1922" s="4" t="s">
        <v>28</v>
      </c>
      <c r="I1922">
        <v>87</v>
      </c>
      <c r="J1922">
        <v>0</v>
      </c>
      <c r="K1922">
        <v>0</v>
      </c>
      <c r="L1922" s="3">
        <v>1</v>
      </c>
      <c r="M1922" s="3">
        <v>0</v>
      </c>
      <c r="N1922">
        <v>0</v>
      </c>
      <c r="O1922">
        <v>0</v>
      </c>
      <c r="P1922">
        <v>0</v>
      </c>
      <c r="Q1922">
        <v>0</v>
      </c>
      <c r="R1922" s="3">
        <v>0</v>
      </c>
      <c r="S1922" s="3">
        <v>0</v>
      </c>
      <c r="T1922">
        <v>0</v>
      </c>
      <c r="U1922">
        <v>0</v>
      </c>
      <c r="V1922" s="3">
        <v>0</v>
      </c>
      <c r="W1922" s="3">
        <v>0</v>
      </c>
      <c r="X1922">
        <v>0</v>
      </c>
      <c r="Y1922" t="s">
        <v>1596</v>
      </c>
    </row>
    <row r="1923" spans="1:25" hidden="1" x14ac:dyDescent="0.25">
      <c r="A1923" t="s">
        <v>29</v>
      </c>
      <c r="B1923" t="s">
        <v>100</v>
      </c>
      <c r="C1923" t="s">
        <v>95</v>
      </c>
      <c r="D1923" t="s">
        <v>27</v>
      </c>
      <c r="E1923" s="24">
        <v>45936</v>
      </c>
      <c r="F1923" s="24">
        <v>45936</v>
      </c>
      <c r="G1923" s="3">
        <v>39</v>
      </c>
      <c r="H1923" s="4" t="s">
        <v>28</v>
      </c>
      <c r="I1923">
        <v>32</v>
      </c>
      <c r="J1923">
        <v>33</v>
      </c>
      <c r="K1923">
        <v>0</v>
      </c>
      <c r="L1923" s="3">
        <v>1</v>
      </c>
      <c r="M1923" s="3">
        <v>0</v>
      </c>
      <c r="N1923">
        <v>0</v>
      </c>
      <c r="O1923">
        <v>0</v>
      </c>
      <c r="P1923">
        <v>0</v>
      </c>
      <c r="Q1923">
        <v>0</v>
      </c>
      <c r="R1923" s="3">
        <v>0</v>
      </c>
      <c r="S1923" s="3">
        <v>0</v>
      </c>
      <c r="T1923">
        <v>0</v>
      </c>
      <c r="U1923">
        <v>0</v>
      </c>
      <c r="V1923" s="3">
        <v>0</v>
      </c>
      <c r="W1923" s="3">
        <v>0</v>
      </c>
      <c r="X1923">
        <v>0</v>
      </c>
      <c r="Y1923" t="s">
        <v>1597</v>
      </c>
    </row>
    <row r="1924" spans="1:25" hidden="1" x14ac:dyDescent="0.25">
      <c r="A1924" t="s">
        <v>31</v>
      </c>
      <c r="B1924" t="s">
        <v>104</v>
      </c>
      <c r="C1924" t="s">
        <v>32</v>
      </c>
      <c r="D1924" t="s">
        <v>27</v>
      </c>
      <c r="E1924" s="24">
        <v>45936</v>
      </c>
      <c r="F1924" s="24">
        <v>45936</v>
      </c>
      <c r="G1924" s="3">
        <v>63</v>
      </c>
      <c r="H1924" s="4" t="s">
        <v>28</v>
      </c>
      <c r="I1924">
        <v>104</v>
      </c>
      <c r="J1924">
        <v>2</v>
      </c>
      <c r="K1924">
        <v>0</v>
      </c>
      <c r="L1924" s="3">
        <v>0</v>
      </c>
      <c r="M1924" s="3">
        <v>0</v>
      </c>
      <c r="N1924">
        <v>0</v>
      </c>
      <c r="O1924">
        <v>0</v>
      </c>
      <c r="P1924">
        <v>0</v>
      </c>
      <c r="Q1924">
        <v>39</v>
      </c>
      <c r="R1924" s="3">
        <v>0</v>
      </c>
      <c r="S1924" s="3">
        <v>0</v>
      </c>
      <c r="T1924">
        <v>0</v>
      </c>
      <c r="U1924">
        <v>0</v>
      </c>
      <c r="V1924" s="3">
        <v>0</v>
      </c>
      <c r="W1924" s="3">
        <v>0</v>
      </c>
      <c r="X1924">
        <v>4</v>
      </c>
      <c r="Y1924" t="s">
        <v>1598</v>
      </c>
    </row>
    <row r="1925" spans="1:25" hidden="1" x14ac:dyDescent="0.25">
      <c r="A1925" t="s">
        <v>33</v>
      </c>
      <c r="B1925" t="s">
        <v>106</v>
      </c>
      <c r="C1925" t="s">
        <v>57</v>
      </c>
      <c r="D1925" t="s">
        <v>27</v>
      </c>
      <c r="E1925" s="24">
        <v>45936</v>
      </c>
      <c r="F1925" s="24">
        <v>45936</v>
      </c>
      <c r="G1925" s="3">
        <v>35</v>
      </c>
      <c r="H1925" s="4" t="s">
        <v>28</v>
      </c>
      <c r="I1925">
        <v>64</v>
      </c>
      <c r="J1925">
        <v>0</v>
      </c>
      <c r="K1925">
        <v>0</v>
      </c>
      <c r="L1925" s="3">
        <v>0</v>
      </c>
      <c r="M1925" s="3">
        <v>0</v>
      </c>
      <c r="N1925">
        <v>0</v>
      </c>
      <c r="O1925">
        <v>0</v>
      </c>
      <c r="P1925">
        <v>0</v>
      </c>
      <c r="Q1925">
        <v>20</v>
      </c>
      <c r="R1925" s="3">
        <v>0</v>
      </c>
      <c r="S1925" s="3">
        <v>0</v>
      </c>
      <c r="T1925">
        <v>0</v>
      </c>
      <c r="U1925">
        <v>0</v>
      </c>
      <c r="V1925" s="3">
        <v>0</v>
      </c>
      <c r="W1925" s="3">
        <v>0</v>
      </c>
      <c r="X1925">
        <v>0</v>
      </c>
      <c r="Y1925" t="s">
        <v>1599</v>
      </c>
    </row>
    <row r="1926" spans="1:25" hidden="1" x14ac:dyDescent="0.25">
      <c r="A1926" t="s">
        <v>38</v>
      </c>
      <c r="B1926" t="s">
        <v>108</v>
      </c>
      <c r="C1926" t="s">
        <v>27</v>
      </c>
      <c r="D1926" t="s">
        <v>27</v>
      </c>
      <c r="E1926" s="24">
        <v>45936</v>
      </c>
      <c r="F1926" s="24">
        <v>45936</v>
      </c>
      <c r="G1926" s="3">
        <v>37</v>
      </c>
      <c r="H1926" s="4" t="s">
        <v>28</v>
      </c>
      <c r="I1926">
        <v>39</v>
      </c>
      <c r="J1926">
        <v>0</v>
      </c>
      <c r="K1926">
        <v>0</v>
      </c>
      <c r="L1926" s="3">
        <v>0</v>
      </c>
      <c r="M1926" s="3">
        <v>0</v>
      </c>
      <c r="N1926">
        <v>0</v>
      </c>
      <c r="O1926">
        <v>0</v>
      </c>
      <c r="P1926">
        <v>0</v>
      </c>
      <c r="Q1926">
        <v>39</v>
      </c>
      <c r="R1926" s="3">
        <v>0</v>
      </c>
      <c r="S1926" s="3">
        <v>0</v>
      </c>
      <c r="T1926">
        <v>0</v>
      </c>
      <c r="U1926">
        <v>0</v>
      </c>
      <c r="V1926" s="3">
        <v>0</v>
      </c>
      <c r="W1926" s="3">
        <v>0</v>
      </c>
      <c r="X1926">
        <v>0</v>
      </c>
      <c r="Y1926" t="s">
        <v>1600</v>
      </c>
    </row>
    <row r="1927" spans="1:25" hidden="1" x14ac:dyDescent="0.25">
      <c r="A1927" s="1" t="s">
        <v>40</v>
      </c>
      <c r="B1927" t="s">
        <v>110</v>
      </c>
      <c r="C1927" t="s">
        <v>27</v>
      </c>
      <c r="D1927" t="s">
        <v>27</v>
      </c>
      <c r="E1927" s="24">
        <v>45936</v>
      </c>
      <c r="F1927" s="24">
        <v>45936</v>
      </c>
      <c r="G1927" s="3">
        <v>166</v>
      </c>
      <c r="H1927" s="4" t="s">
        <v>28</v>
      </c>
      <c r="I1927">
        <v>78</v>
      </c>
      <c r="J1927">
        <v>0</v>
      </c>
      <c r="K1927">
        <v>0</v>
      </c>
      <c r="L1927" s="3">
        <v>1</v>
      </c>
      <c r="M1927" s="3">
        <v>0</v>
      </c>
      <c r="N1927">
        <v>1</v>
      </c>
      <c r="O1927">
        <v>0</v>
      </c>
      <c r="P1927">
        <v>0</v>
      </c>
      <c r="Q1927">
        <v>0</v>
      </c>
      <c r="R1927" s="3">
        <v>0</v>
      </c>
      <c r="S1927" s="3">
        <v>0</v>
      </c>
      <c r="T1927">
        <v>0</v>
      </c>
      <c r="U1927">
        <v>0</v>
      </c>
      <c r="V1927" s="3">
        <v>0</v>
      </c>
      <c r="W1927" s="3">
        <v>0</v>
      </c>
      <c r="X1927">
        <v>0</v>
      </c>
      <c r="Y1927" t="s">
        <v>1601</v>
      </c>
    </row>
    <row r="1928" spans="1:25" hidden="1" x14ac:dyDescent="0.25">
      <c r="A1928" s="1" t="s">
        <v>36</v>
      </c>
      <c r="B1928" t="s">
        <v>110</v>
      </c>
      <c r="C1928" t="s">
        <v>27</v>
      </c>
      <c r="D1928" t="s">
        <v>27</v>
      </c>
      <c r="E1928" s="24">
        <v>45936</v>
      </c>
      <c r="F1928" s="24">
        <v>45936</v>
      </c>
      <c r="G1928" s="3">
        <v>166</v>
      </c>
      <c r="H1928" s="4" t="s">
        <v>28</v>
      </c>
      <c r="I1928">
        <v>78</v>
      </c>
      <c r="J1928">
        <v>0</v>
      </c>
      <c r="K1928">
        <v>0</v>
      </c>
      <c r="L1928" s="3">
        <v>1</v>
      </c>
      <c r="M1928" s="3">
        <v>0</v>
      </c>
      <c r="N1928">
        <v>1</v>
      </c>
      <c r="O1928">
        <v>0</v>
      </c>
      <c r="P1928">
        <v>0</v>
      </c>
      <c r="Q1928">
        <v>0</v>
      </c>
      <c r="R1928" s="3">
        <v>0</v>
      </c>
      <c r="S1928" s="3">
        <v>0</v>
      </c>
      <c r="T1928">
        <v>0</v>
      </c>
      <c r="U1928">
        <v>0</v>
      </c>
      <c r="V1928" s="3">
        <v>0</v>
      </c>
      <c r="W1928" s="3">
        <v>0</v>
      </c>
      <c r="X1928">
        <v>0</v>
      </c>
      <c r="Y1928" t="s">
        <v>1601</v>
      </c>
    </row>
    <row r="1929" spans="1:25" hidden="1" x14ac:dyDescent="0.25">
      <c r="A1929" t="s">
        <v>1454</v>
      </c>
      <c r="B1929" t="s">
        <v>1455</v>
      </c>
      <c r="C1929" t="s">
        <v>27</v>
      </c>
      <c r="D1929" t="s">
        <v>27</v>
      </c>
      <c r="E1929" s="24">
        <v>45936</v>
      </c>
      <c r="F1929" s="24">
        <v>45936</v>
      </c>
      <c r="G1929" s="3">
        <v>55</v>
      </c>
      <c r="H1929" s="4" t="s">
        <v>28</v>
      </c>
      <c r="I1929">
        <v>34</v>
      </c>
      <c r="J1929">
        <v>0</v>
      </c>
      <c r="K1929">
        <v>0</v>
      </c>
      <c r="L1929" s="3">
        <v>1</v>
      </c>
      <c r="M1929" s="3">
        <v>0</v>
      </c>
      <c r="N1929">
        <v>0</v>
      </c>
      <c r="O1929">
        <v>0</v>
      </c>
      <c r="P1929">
        <v>0</v>
      </c>
      <c r="Q1929">
        <v>34</v>
      </c>
      <c r="R1929" s="3">
        <v>0</v>
      </c>
      <c r="S1929" s="3">
        <v>0</v>
      </c>
      <c r="T1929">
        <v>0</v>
      </c>
      <c r="U1929">
        <v>0</v>
      </c>
      <c r="V1929" s="3">
        <v>0</v>
      </c>
      <c r="W1929" s="3">
        <v>0</v>
      </c>
      <c r="X1929">
        <v>0</v>
      </c>
      <c r="Y1929" t="s">
        <v>1602</v>
      </c>
    </row>
    <row r="1930" spans="1:25" hidden="1" x14ac:dyDescent="0.25">
      <c r="A1930" t="s">
        <v>41</v>
      </c>
      <c r="B1930" t="s">
        <v>112</v>
      </c>
      <c r="C1930" t="s">
        <v>42</v>
      </c>
      <c r="D1930" t="s">
        <v>27</v>
      </c>
      <c r="E1930" s="24">
        <v>45936</v>
      </c>
      <c r="F1930" s="24">
        <v>45936</v>
      </c>
      <c r="G1930" s="3">
        <v>28</v>
      </c>
      <c r="H1930" s="4" t="s">
        <v>28</v>
      </c>
      <c r="I1930">
        <v>51</v>
      </c>
      <c r="J1930">
        <v>0</v>
      </c>
      <c r="K1930">
        <v>0</v>
      </c>
      <c r="L1930" s="3">
        <v>1</v>
      </c>
      <c r="M1930" s="3">
        <v>0</v>
      </c>
      <c r="N1930">
        <v>0</v>
      </c>
      <c r="O1930">
        <v>0</v>
      </c>
      <c r="P1930">
        <v>0</v>
      </c>
      <c r="Q1930">
        <v>4</v>
      </c>
      <c r="R1930" s="3">
        <v>0</v>
      </c>
      <c r="S1930" s="3">
        <v>0</v>
      </c>
      <c r="T1930">
        <v>0</v>
      </c>
      <c r="U1930">
        <v>0</v>
      </c>
      <c r="V1930" s="3">
        <v>0</v>
      </c>
      <c r="W1930" s="3">
        <v>0</v>
      </c>
      <c r="X1930">
        <v>0</v>
      </c>
      <c r="Y1930" t="s">
        <v>1603</v>
      </c>
    </row>
    <row r="1931" spans="1:25" hidden="1" x14ac:dyDescent="0.25">
      <c r="A1931" t="s">
        <v>43</v>
      </c>
      <c r="B1931" t="s">
        <v>114</v>
      </c>
      <c r="C1931" t="s">
        <v>44</v>
      </c>
      <c r="D1931" t="s">
        <v>27</v>
      </c>
      <c r="E1931" s="24">
        <v>45936</v>
      </c>
      <c r="F1931" s="24">
        <v>45936</v>
      </c>
      <c r="G1931" s="3">
        <v>43</v>
      </c>
      <c r="H1931" s="4" t="s">
        <v>28</v>
      </c>
      <c r="I1931">
        <v>61</v>
      </c>
      <c r="J1931">
        <v>0</v>
      </c>
      <c r="K1931">
        <v>0</v>
      </c>
      <c r="L1931" s="3">
        <v>0</v>
      </c>
      <c r="M1931" s="3">
        <v>0</v>
      </c>
      <c r="N1931">
        <v>0</v>
      </c>
      <c r="O1931">
        <v>0</v>
      </c>
      <c r="P1931">
        <v>0</v>
      </c>
      <c r="Q1931">
        <v>0</v>
      </c>
      <c r="R1931" s="3">
        <v>0</v>
      </c>
      <c r="S1931" s="3">
        <v>0</v>
      </c>
      <c r="T1931">
        <v>0</v>
      </c>
      <c r="U1931">
        <v>0</v>
      </c>
      <c r="V1931" s="3">
        <v>0</v>
      </c>
      <c r="W1931" s="3">
        <v>0</v>
      </c>
      <c r="X1931">
        <v>0</v>
      </c>
      <c r="Y1931" t="s">
        <v>1604</v>
      </c>
    </row>
    <row r="1932" spans="1:25" hidden="1" x14ac:dyDescent="0.25">
      <c r="A1932" t="s">
        <v>45</v>
      </c>
      <c r="B1932" t="s">
        <v>116</v>
      </c>
      <c r="C1932" t="s">
        <v>46</v>
      </c>
      <c r="D1932" t="s">
        <v>27</v>
      </c>
      <c r="E1932" s="24">
        <v>45936</v>
      </c>
      <c r="F1932" s="24">
        <v>45936</v>
      </c>
      <c r="G1932" s="3">
        <v>86</v>
      </c>
      <c r="H1932" s="4" t="s">
        <v>28</v>
      </c>
      <c r="I1932">
        <v>66</v>
      </c>
      <c r="J1932">
        <v>24</v>
      </c>
      <c r="K1932">
        <v>0</v>
      </c>
      <c r="L1932" s="3">
        <v>1</v>
      </c>
      <c r="M1932" s="3">
        <v>0</v>
      </c>
      <c r="N1932">
        <v>0</v>
      </c>
      <c r="O1932">
        <v>0</v>
      </c>
      <c r="P1932">
        <v>0</v>
      </c>
      <c r="Q1932">
        <v>0</v>
      </c>
      <c r="R1932" s="3">
        <v>0</v>
      </c>
      <c r="S1932" s="3">
        <v>0</v>
      </c>
      <c r="T1932">
        <v>0</v>
      </c>
      <c r="U1932">
        <v>0</v>
      </c>
      <c r="V1932" s="3">
        <v>0</v>
      </c>
      <c r="W1932" s="3">
        <v>0</v>
      </c>
      <c r="X1932">
        <v>5</v>
      </c>
      <c r="Y1932" t="s">
        <v>1605</v>
      </c>
    </row>
    <row r="1933" spans="1:25" hidden="1" x14ac:dyDescent="0.25">
      <c r="A1933" s="1" t="s">
        <v>47</v>
      </c>
      <c r="B1933" t="s">
        <v>137</v>
      </c>
      <c r="C1933" t="s">
        <v>27</v>
      </c>
      <c r="D1933" t="s">
        <v>27</v>
      </c>
      <c r="E1933" s="24">
        <v>45936</v>
      </c>
      <c r="F1933" s="24">
        <v>45936</v>
      </c>
      <c r="G1933" s="3">
        <v>35</v>
      </c>
      <c r="H1933" s="4" t="s">
        <v>28</v>
      </c>
      <c r="I1933">
        <v>49</v>
      </c>
      <c r="J1933">
        <v>5</v>
      </c>
      <c r="K1933">
        <v>0</v>
      </c>
      <c r="L1933" s="3">
        <v>0</v>
      </c>
      <c r="M1933" s="3">
        <v>0</v>
      </c>
      <c r="N1933">
        <v>0</v>
      </c>
      <c r="O1933">
        <v>0</v>
      </c>
      <c r="P1933">
        <v>0</v>
      </c>
      <c r="Q1933">
        <v>2</v>
      </c>
      <c r="R1933" s="3">
        <v>0</v>
      </c>
      <c r="S1933" s="3">
        <v>0</v>
      </c>
      <c r="T1933">
        <v>0</v>
      </c>
      <c r="U1933">
        <v>0</v>
      </c>
      <c r="V1933" s="3">
        <v>0</v>
      </c>
      <c r="W1933" s="3">
        <v>0</v>
      </c>
      <c r="X1933">
        <v>0</v>
      </c>
      <c r="Y1933" t="s">
        <v>1606</v>
      </c>
    </row>
    <row r="1934" spans="1:25" hidden="1" x14ac:dyDescent="0.25">
      <c r="A1934" s="1" t="s">
        <v>34</v>
      </c>
      <c r="B1934" t="s">
        <v>137</v>
      </c>
      <c r="C1934" t="s">
        <v>27</v>
      </c>
      <c r="D1934" t="s">
        <v>27</v>
      </c>
      <c r="E1934" s="24">
        <v>45936</v>
      </c>
      <c r="F1934" s="24">
        <v>45936</v>
      </c>
      <c r="G1934" s="3">
        <v>35</v>
      </c>
      <c r="H1934" s="4" t="s">
        <v>28</v>
      </c>
      <c r="I1934">
        <v>49</v>
      </c>
      <c r="J1934">
        <v>5</v>
      </c>
      <c r="K1934">
        <v>0</v>
      </c>
      <c r="L1934" s="3">
        <v>0</v>
      </c>
      <c r="M1934" s="3">
        <v>0</v>
      </c>
      <c r="N1934">
        <v>0</v>
      </c>
      <c r="O1934">
        <v>0</v>
      </c>
      <c r="P1934">
        <v>0</v>
      </c>
      <c r="Q1934">
        <v>2</v>
      </c>
      <c r="R1934" s="3">
        <v>0</v>
      </c>
      <c r="S1934" s="3">
        <v>0</v>
      </c>
      <c r="T1934">
        <v>0</v>
      </c>
      <c r="U1934">
        <v>0</v>
      </c>
      <c r="V1934" s="3">
        <v>0</v>
      </c>
      <c r="W1934" s="3">
        <v>0</v>
      </c>
      <c r="X1934">
        <v>0</v>
      </c>
      <c r="Y1934" t="s">
        <v>1606</v>
      </c>
    </row>
    <row r="1935" spans="1:25" hidden="1" x14ac:dyDescent="0.25">
      <c r="A1935" t="s">
        <v>49</v>
      </c>
      <c r="B1935" t="s">
        <v>118</v>
      </c>
      <c r="C1935" t="s">
        <v>50</v>
      </c>
      <c r="D1935" t="s">
        <v>27</v>
      </c>
      <c r="E1935" s="24">
        <v>45936</v>
      </c>
      <c r="F1935" s="24">
        <v>45936</v>
      </c>
      <c r="G1935" s="3">
        <v>22</v>
      </c>
      <c r="H1935" s="4" t="s">
        <v>28</v>
      </c>
      <c r="I1935">
        <v>37</v>
      </c>
      <c r="J1935">
        <v>0</v>
      </c>
      <c r="K1935">
        <v>0</v>
      </c>
      <c r="L1935" s="3">
        <v>1</v>
      </c>
      <c r="M1935" s="3">
        <v>1</v>
      </c>
      <c r="N1935">
        <v>0</v>
      </c>
      <c r="O1935">
        <v>0</v>
      </c>
      <c r="P1935">
        <v>0</v>
      </c>
      <c r="Q1935">
        <v>21</v>
      </c>
      <c r="R1935" s="3">
        <v>0</v>
      </c>
      <c r="S1935" s="3">
        <v>0</v>
      </c>
      <c r="T1935">
        <v>0</v>
      </c>
      <c r="U1935">
        <v>0</v>
      </c>
      <c r="V1935" s="3">
        <v>0</v>
      </c>
      <c r="W1935" s="3">
        <v>0</v>
      </c>
      <c r="X1935">
        <v>0</v>
      </c>
      <c r="Y1935" t="s">
        <v>1607</v>
      </c>
    </row>
    <row r="1936" spans="1:25" hidden="1" x14ac:dyDescent="0.25">
      <c r="A1936" t="s">
        <v>51</v>
      </c>
      <c r="B1936" t="s">
        <v>120</v>
      </c>
      <c r="C1936" t="s">
        <v>55</v>
      </c>
      <c r="D1936" t="s">
        <v>27</v>
      </c>
      <c r="E1936" s="24">
        <v>45936</v>
      </c>
      <c r="F1936" s="24">
        <v>45936</v>
      </c>
      <c r="G1936" s="3">
        <v>94</v>
      </c>
      <c r="H1936" s="4" t="s">
        <v>28</v>
      </c>
      <c r="I1936">
        <v>43</v>
      </c>
      <c r="J1936">
        <v>0</v>
      </c>
      <c r="K1936">
        <v>0</v>
      </c>
      <c r="L1936" s="3">
        <v>0</v>
      </c>
      <c r="M1936" s="3">
        <v>0</v>
      </c>
      <c r="N1936">
        <v>1</v>
      </c>
      <c r="O1936">
        <v>0</v>
      </c>
      <c r="P1936">
        <v>0</v>
      </c>
      <c r="Q1936">
        <v>0</v>
      </c>
      <c r="R1936" s="3">
        <v>0</v>
      </c>
      <c r="S1936" s="3">
        <v>0</v>
      </c>
      <c r="T1936">
        <v>0</v>
      </c>
      <c r="U1936">
        <v>0</v>
      </c>
      <c r="V1936" s="3">
        <v>0</v>
      </c>
      <c r="W1936" s="3">
        <v>0</v>
      </c>
      <c r="X1936">
        <v>0</v>
      </c>
      <c r="Y1936" t="s">
        <v>1608</v>
      </c>
    </row>
    <row r="1937" spans="1:25" hidden="1" x14ac:dyDescent="0.25">
      <c r="A1937" t="s">
        <v>54</v>
      </c>
      <c r="B1937" t="s">
        <v>122</v>
      </c>
      <c r="C1937" t="s">
        <v>52</v>
      </c>
      <c r="D1937" t="s">
        <v>27</v>
      </c>
      <c r="E1937" s="24">
        <v>45936</v>
      </c>
      <c r="F1937" s="24">
        <v>45936</v>
      </c>
      <c r="G1937" s="3">
        <v>36</v>
      </c>
      <c r="H1937" s="4" t="s">
        <v>28</v>
      </c>
      <c r="I1937">
        <v>56</v>
      </c>
      <c r="J1937">
        <v>0</v>
      </c>
      <c r="K1937">
        <v>0</v>
      </c>
      <c r="L1937" s="3">
        <v>0</v>
      </c>
      <c r="M1937" s="3">
        <v>0</v>
      </c>
      <c r="N1937">
        <v>0</v>
      </c>
      <c r="O1937">
        <v>0</v>
      </c>
      <c r="P1937">
        <v>0</v>
      </c>
      <c r="Q1937">
        <v>2</v>
      </c>
      <c r="R1937" s="3">
        <v>0</v>
      </c>
      <c r="S1937" s="3">
        <v>0</v>
      </c>
      <c r="T1937">
        <v>0</v>
      </c>
      <c r="U1937">
        <v>0</v>
      </c>
      <c r="V1937" s="3">
        <v>0</v>
      </c>
      <c r="W1937" s="3">
        <v>0</v>
      </c>
      <c r="X1937">
        <v>1</v>
      </c>
      <c r="Y1937" t="s">
        <v>1609</v>
      </c>
    </row>
    <row r="1938" spans="1:25" hidden="1" x14ac:dyDescent="0.25">
      <c r="A1938" t="s">
        <v>58</v>
      </c>
      <c r="B1938" t="s">
        <v>144</v>
      </c>
      <c r="C1938" t="s">
        <v>489</v>
      </c>
      <c r="D1938" t="s">
        <v>27</v>
      </c>
      <c r="E1938" s="24">
        <v>45936</v>
      </c>
      <c r="F1938" s="24">
        <v>45936</v>
      </c>
      <c r="G1938" s="3">
        <v>31</v>
      </c>
      <c r="H1938" s="4" t="s">
        <v>28</v>
      </c>
      <c r="I1938">
        <v>60</v>
      </c>
      <c r="J1938">
        <v>33</v>
      </c>
      <c r="K1938">
        <v>0</v>
      </c>
      <c r="L1938" s="3">
        <v>1</v>
      </c>
      <c r="M1938" s="3">
        <v>0</v>
      </c>
      <c r="N1938">
        <v>0</v>
      </c>
      <c r="O1938">
        <v>0</v>
      </c>
      <c r="P1938">
        <v>0</v>
      </c>
      <c r="Q1938">
        <v>0</v>
      </c>
      <c r="R1938" s="3">
        <v>0</v>
      </c>
      <c r="S1938" s="3">
        <v>0</v>
      </c>
      <c r="T1938">
        <v>0</v>
      </c>
      <c r="U1938">
        <v>0</v>
      </c>
      <c r="V1938" s="3">
        <v>0</v>
      </c>
      <c r="W1938" s="3">
        <v>0</v>
      </c>
      <c r="X1938">
        <v>0</v>
      </c>
      <c r="Y1938" t="s">
        <v>1610</v>
      </c>
    </row>
    <row r="1939" spans="1:25" hidden="1" x14ac:dyDescent="0.25">
      <c r="A1939" t="s">
        <v>48</v>
      </c>
      <c r="B1939" t="s">
        <v>106</v>
      </c>
      <c r="C1939" t="s">
        <v>27</v>
      </c>
      <c r="D1939" t="s">
        <v>27</v>
      </c>
      <c r="E1939" s="24">
        <v>45936</v>
      </c>
      <c r="F1939" s="24">
        <v>45936</v>
      </c>
      <c r="G1939" s="3">
        <v>32</v>
      </c>
      <c r="H1939" s="4" t="s">
        <v>1448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1610</v>
      </c>
    </row>
    <row r="1940" spans="1:25" hidden="1" x14ac:dyDescent="0.25">
      <c r="A1940" t="s">
        <v>27</v>
      </c>
      <c r="B1940" t="s">
        <v>182</v>
      </c>
      <c r="C1940" t="s">
        <v>26</v>
      </c>
      <c r="D1940" t="s">
        <v>27</v>
      </c>
      <c r="E1940" s="24">
        <v>45936</v>
      </c>
      <c r="F1940" s="24">
        <v>45936</v>
      </c>
      <c r="G1940" s="3">
        <v>33</v>
      </c>
      <c r="H1940" s="4" t="s">
        <v>1448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1610</v>
      </c>
    </row>
    <row r="1941" spans="1:25" hidden="1" x14ac:dyDescent="0.25">
      <c r="A1941" t="s">
        <v>344</v>
      </c>
      <c r="B1941" t="s">
        <v>184</v>
      </c>
      <c r="C1941" t="s">
        <v>27</v>
      </c>
      <c r="D1941" t="s">
        <v>27</v>
      </c>
      <c r="E1941" s="24">
        <v>45936</v>
      </c>
      <c r="F1941" s="24">
        <v>45936</v>
      </c>
      <c r="G1941" s="3">
        <v>34</v>
      </c>
      <c r="H1941" s="4" t="s">
        <v>1448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1610</v>
      </c>
    </row>
    <row r="1942" spans="1:25" hidden="1" x14ac:dyDescent="0.25">
      <c r="A1942" s="1" t="s">
        <v>25</v>
      </c>
      <c r="B1942" s="1" t="s">
        <v>96</v>
      </c>
      <c r="C1942" s="1" t="s">
        <v>35</v>
      </c>
      <c r="D1942" t="s">
        <v>27</v>
      </c>
      <c r="E1942" s="2">
        <v>45937</v>
      </c>
      <c r="F1942" s="2">
        <v>45937</v>
      </c>
      <c r="G1942" s="3">
        <v>29</v>
      </c>
      <c r="H1942" s="4" t="s">
        <v>28</v>
      </c>
      <c r="I1942">
        <v>49</v>
      </c>
      <c r="J1942">
        <v>0</v>
      </c>
      <c r="K1942">
        <v>0</v>
      </c>
      <c r="L1942" s="3">
        <v>0</v>
      </c>
      <c r="M1942" s="3">
        <v>0</v>
      </c>
      <c r="N1942">
        <v>0</v>
      </c>
      <c r="O1942">
        <v>0</v>
      </c>
      <c r="P1942">
        <v>0</v>
      </c>
      <c r="Q1942">
        <v>0</v>
      </c>
      <c r="R1942" s="3">
        <v>0</v>
      </c>
      <c r="S1942" s="3">
        <v>0</v>
      </c>
      <c r="T1942">
        <v>0</v>
      </c>
      <c r="U1942">
        <v>0</v>
      </c>
      <c r="V1942" s="3">
        <v>0</v>
      </c>
      <c r="W1942" s="3">
        <v>0</v>
      </c>
      <c r="X1942">
        <v>0</v>
      </c>
      <c r="Y1942" t="s">
        <v>1611</v>
      </c>
    </row>
    <row r="1943" spans="1:25" hidden="1" x14ac:dyDescent="0.25">
      <c r="A1943" s="1" t="s">
        <v>56</v>
      </c>
      <c r="B1943" s="1" t="s">
        <v>98</v>
      </c>
      <c r="C1943" s="1" t="s">
        <v>37</v>
      </c>
      <c r="D1943" t="s">
        <v>27</v>
      </c>
      <c r="E1943" s="2">
        <v>45937</v>
      </c>
      <c r="F1943" s="2">
        <v>45937</v>
      </c>
      <c r="G1943" s="3">
        <v>31</v>
      </c>
      <c r="H1943" s="4" t="s">
        <v>28</v>
      </c>
      <c r="I1943">
        <v>35</v>
      </c>
      <c r="J1943">
        <v>0</v>
      </c>
      <c r="K1943">
        <v>0</v>
      </c>
      <c r="L1943" s="3">
        <v>1</v>
      </c>
      <c r="M1943" s="3">
        <v>0</v>
      </c>
      <c r="N1943">
        <v>0</v>
      </c>
      <c r="O1943">
        <v>0</v>
      </c>
      <c r="P1943">
        <v>0</v>
      </c>
      <c r="Q1943">
        <v>10</v>
      </c>
      <c r="R1943" s="3">
        <v>0</v>
      </c>
      <c r="S1943" s="3">
        <v>0</v>
      </c>
      <c r="T1943">
        <v>0</v>
      </c>
      <c r="U1943">
        <v>0</v>
      </c>
      <c r="V1943" s="3">
        <v>0</v>
      </c>
      <c r="W1943" s="3">
        <v>0</v>
      </c>
      <c r="X1943">
        <v>0</v>
      </c>
      <c r="Y1943" t="s">
        <v>1612</v>
      </c>
    </row>
    <row r="1944" spans="1:25" hidden="1" x14ac:dyDescent="0.25">
      <c r="A1944" s="1" t="s">
        <v>29</v>
      </c>
      <c r="B1944" s="1" t="s">
        <v>100</v>
      </c>
      <c r="C1944" s="1" t="s">
        <v>95</v>
      </c>
      <c r="D1944" t="s">
        <v>27</v>
      </c>
      <c r="E1944" s="2">
        <v>45937</v>
      </c>
      <c r="F1944" s="2">
        <v>45937</v>
      </c>
      <c r="G1944" s="3">
        <v>66</v>
      </c>
      <c r="H1944" s="4" t="s">
        <v>28</v>
      </c>
      <c r="I1944">
        <v>51</v>
      </c>
      <c r="J1944">
        <v>0</v>
      </c>
      <c r="K1944">
        <v>0</v>
      </c>
      <c r="L1944" s="3">
        <v>0</v>
      </c>
      <c r="M1944" s="3">
        <v>0</v>
      </c>
      <c r="N1944">
        <v>0</v>
      </c>
      <c r="O1944">
        <v>0</v>
      </c>
      <c r="P1944">
        <v>0</v>
      </c>
      <c r="Q1944">
        <v>1</v>
      </c>
      <c r="R1944" s="3">
        <v>0</v>
      </c>
      <c r="S1944" s="3">
        <v>0</v>
      </c>
      <c r="T1944">
        <v>0</v>
      </c>
      <c r="U1944">
        <v>0</v>
      </c>
      <c r="V1944" s="3">
        <v>0</v>
      </c>
      <c r="W1944" s="3">
        <v>0</v>
      </c>
      <c r="X1944">
        <v>0</v>
      </c>
      <c r="Y1944" t="s">
        <v>1613</v>
      </c>
    </row>
    <row r="1945" spans="1:25" hidden="1" x14ac:dyDescent="0.25">
      <c r="A1945" s="1" t="s">
        <v>31</v>
      </c>
      <c r="B1945" s="1" t="s">
        <v>104</v>
      </c>
      <c r="C1945" s="1" t="s">
        <v>32</v>
      </c>
      <c r="D1945" t="s">
        <v>27</v>
      </c>
      <c r="E1945" s="2">
        <v>45937</v>
      </c>
      <c r="F1945" s="2">
        <v>45937</v>
      </c>
      <c r="G1945" s="3">
        <v>178</v>
      </c>
      <c r="H1945" s="4" t="s">
        <v>28</v>
      </c>
      <c r="I1945">
        <v>74</v>
      </c>
      <c r="J1945">
        <v>0</v>
      </c>
      <c r="K1945">
        <v>0</v>
      </c>
      <c r="L1945" s="3">
        <v>0</v>
      </c>
      <c r="M1945" s="3">
        <v>0</v>
      </c>
      <c r="N1945">
        <v>0</v>
      </c>
      <c r="O1945">
        <v>0</v>
      </c>
      <c r="P1945">
        <v>0</v>
      </c>
      <c r="Q1945">
        <v>39</v>
      </c>
      <c r="R1945" s="3">
        <v>0</v>
      </c>
      <c r="S1945" s="3">
        <v>0</v>
      </c>
      <c r="T1945">
        <v>0</v>
      </c>
      <c r="U1945">
        <v>0</v>
      </c>
      <c r="V1945" s="3">
        <v>0</v>
      </c>
      <c r="W1945" s="3">
        <v>0</v>
      </c>
      <c r="X1945">
        <v>10</v>
      </c>
      <c r="Y1945" t="s">
        <v>1614</v>
      </c>
    </row>
    <row r="1946" spans="1:25" hidden="1" x14ac:dyDescent="0.25">
      <c r="A1946" s="1" t="s">
        <v>38</v>
      </c>
      <c r="B1946" s="1" t="s">
        <v>108</v>
      </c>
      <c r="C1946" s="1" t="s">
        <v>27</v>
      </c>
      <c r="D1946" t="s">
        <v>27</v>
      </c>
      <c r="E1946" s="2">
        <v>45937</v>
      </c>
      <c r="F1946" s="2">
        <v>45937</v>
      </c>
      <c r="G1946" s="3">
        <v>38</v>
      </c>
      <c r="H1946" s="4" t="s">
        <v>28</v>
      </c>
      <c r="I1946">
        <v>41</v>
      </c>
      <c r="J1946">
        <v>0</v>
      </c>
      <c r="K1946">
        <v>0</v>
      </c>
      <c r="L1946" s="3">
        <v>0</v>
      </c>
      <c r="M1946" s="3">
        <v>0</v>
      </c>
      <c r="N1946">
        <v>0</v>
      </c>
      <c r="O1946">
        <v>0</v>
      </c>
      <c r="P1946">
        <v>0</v>
      </c>
      <c r="Q1946">
        <v>41</v>
      </c>
      <c r="R1946" s="3">
        <v>0</v>
      </c>
      <c r="S1946" s="3">
        <v>0</v>
      </c>
      <c r="T1946">
        <v>0</v>
      </c>
      <c r="U1946">
        <v>0</v>
      </c>
      <c r="V1946" s="3">
        <v>0</v>
      </c>
      <c r="W1946" s="3">
        <v>0</v>
      </c>
      <c r="X1946">
        <v>0</v>
      </c>
      <c r="Y1946" t="s">
        <v>1615</v>
      </c>
    </row>
    <row r="1947" spans="1:25" hidden="1" x14ac:dyDescent="0.25">
      <c r="A1947" s="1" t="s">
        <v>40</v>
      </c>
      <c r="B1947" s="1" t="s">
        <v>110</v>
      </c>
      <c r="C1947" s="1" t="s">
        <v>27</v>
      </c>
      <c r="D1947" t="s">
        <v>27</v>
      </c>
      <c r="E1947" s="2">
        <v>45937</v>
      </c>
      <c r="F1947" s="2">
        <v>45937</v>
      </c>
      <c r="G1947" s="3">
        <v>140</v>
      </c>
      <c r="H1947" s="4" t="s">
        <v>28</v>
      </c>
      <c r="I1947">
        <v>70</v>
      </c>
      <c r="J1947">
        <v>0</v>
      </c>
      <c r="K1947">
        <v>0</v>
      </c>
      <c r="L1947" s="3">
        <v>1</v>
      </c>
      <c r="M1947" s="3">
        <v>0</v>
      </c>
      <c r="N1947">
        <v>1</v>
      </c>
      <c r="O1947">
        <v>0</v>
      </c>
      <c r="P1947">
        <v>0</v>
      </c>
      <c r="Q1947">
        <v>0</v>
      </c>
      <c r="R1947" s="3">
        <v>0</v>
      </c>
      <c r="S1947" s="3">
        <v>0</v>
      </c>
      <c r="T1947">
        <v>0</v>
      </c>
      <c r="U1947">
        <v>0</v>
      </c>
      <c r="V1947" s="3">
        <v>0</v>
      </c>
      <c r="W1947" s="3">
        <v>0</v>
      </c>
      <c r="X1947">
        <v>0</v>
      </c>
      <c r="Y1947" t="s">
        <v>1616</v>
      </c>
    </row>
    <row r="1948" spans="1:25" hidden="1" x14ac:dyDescent="0.25">
      <c r="A1948" s="1" t="s">
        <v>36</v>
      </c>
      <c r="B1948" s="1" t="s">
        <v>110</v>
      </c>
      <c r="C1948" s="1" t="s">
        <v>27</v>
      </c>
      <c r="D1948" t="s">
        <v>27</v>
      </c>
      <c r="E1948" s="2">
        <v>45937</v>
      </c>
      <c r="F1948" s="2">
        <v>45937</v>
      </c>
      <c r="G1948" s="3">
        <v>140</v>
      </c>
      <c r="H1948" s="4" t="s">
        <v>28</v>
      </c>
      <c r="I1948">
        <v>70</v>
      </c>
      <c r="J1948">
        <v>0</v>
      </c>
      <c r="K1948">
        <v>0</v>
      </c>
      <c r="L1948" s="3">
        <v>1</v>
      </c>
      <c r="M1948" s="3">
        <v>0</v>
      </c>
      <c r="N1948">
        <v>1</v>
      </c>
      <c r="O1948">
        <v>0</v>
      </c>
      <c r="P1948">
        <v>0</v>
      </c>
      <c r="Q1948">
        <v>0</v>
      </c>
      <c r="R1948" s="3">
        <v>0</v>
      </c>
      <c r="S1948" s="3">
        <v>0</v>
      </c>
      <c r="T1948">
        <v>0</v>
      </c>
      <c r="U1948">
        <v>0</v>
      </c>
      <c r="V1948" s="3">
        <v>0</v>
      </c>
      <c r="W1948" s="3">
        <v>0</v>
      </c>
      <c r="X1948">
        <v>0</v>
      </c>
      <c r="Y1948" t="s">
        <v>1616</v>
      </c>
    </row>
    <row r="1949" spans="1:25" hidden="1" x14ac:dyDescent="0.25">
      <c r="A1949" s="1" t="s">
        <v>41</v>
      </c>
      <c r="B1949" s="1" t="s">
        <v>112</v>
      </c>
      <c r="C1949" s="1" t="s">
        <v>42</v>
      </c>
      <c r="D1949" t="s">
        <v>27</v>
      </c>
      <c r="E1949" s="2">
        <v>45937</v>
      </c>
      <c r="F1949" s="2">
        <v>45937</v>
      </c>
      <c r="G1949" s="3">
        <v>67</v>
      </c>
      <c r="H1949" s="4" t="s">
        <v>28</v>
      </c>
      <c r="I1949">
        <v>46</v>
      </c>
      <c r="J1949">
        <v>0</v>
      </c>
      <c r="K1949">
        <v>0</v>
      </c>
      <c r="L1949" s="3">
        <v>1</v>
      </c>
      <c r="M1949" s="3">
        <v>0</v>
      </c>
      <c r="N1949">
        <v>0</v>
      </c>
      <c r="O1949">
        <v>0</v>
      </c>
      <c r="P1949">
        <v>0</v>
      </c>
      <c r="Q1949">
        <v>4</v>
      </c>
      <c r="R1949" s="3">
        <v>0</v>
      </c>
      <c r="S1949" s="3">
        <v>0</v>
      </c>
      <c r="T1949">
        <v>0</v>
      </c>
      <c r="U1949">
        <v>0</v>
      </c>
      <c r="V1949" s="3">
        <v>0</v>
      </c>
      <c r="W1949" s="3">
        <v>0</v>
      </c>
      <c r="X1949">
        <v>0</v>
      </c>
      <c r="Y1949" t="s">
        <v>1617</v>
      </c>
    </row>
    <row r="1950" spans="1:25" hidden="1" x14ac:dyDescent="0.25">
      <c r="A1950" s="1" t="s">
        <v>27</v>
      </c>
      <c r="B1950" s="1" t="s">
        <v>114</v>
      </c>
      <c r="C1950" s="1" t="s">
        <v>44</v>
      </c>
      <c r="D1950" t="s">
        <v>27</v>
      </c>
      <c r="E1950" s="2">
        <v>45937</v>
      </c>
      <c r="F1950" s="2">
        <v>45937</v>
      </c>
      <c r="G1950" s="3">
        <v>41</v>
      </c>
      <c r="H1950" s="4" t="s">
        <v>28</v>
      </c>
      <c r="I1950">
        <v>59</v>
      </c>
      <c r="J1950">
        <v>0</v>
      </c>
      <c r="K1950">
        <v>0</v>
      </c>
      <c r="L1950" s="3">
        <v>1</v>
      </c>
      <c r="M1950" s="3">
        <v>0</v>
      </c>
      <c r="N1950">
        <v>0</v>
      </c>
      <c r="O1950">
        <v>0</v>
      </c>
      <c r="P1950">
        <v>0</v>
      </c>
      <c r="Q1950">
        <v>0</v>
      </c>
      <c r="R1950" s="3">
        <v>0</v>
      </c>
      <c r="S1950" s="3">
        <v>0</v>
      </c>
      <c r="T1950">
        <v>0</v>
      </c>
      <c r="U1950">
        <v>0</v>
      </c>
      <c r="V1950" s="3">
        <v>0</v>
      </c>
      <c r="W1950" s="3">
        <v>0</v>
      </c>
      <c r="X1950">
        <v>0</v>
      </c>
      <c r="Y1950" t="s">
        <v>1618</v>
      </c>
    </row>
    <row r="1951" spans="1:25" hidden="1" x14ac:dyDescent="0.25">
      <c r="A1951" s="1" t="s">
        <v>43</v>
      </c>
      <c r="B1951" s="1" t="s">
        <v>114</v>
      </c>
      <c r="C1951" s="1" t="s">
        <v>26</v>
      </c>
      <c r="D1951" t="s">
        <v>27</v>
      </c>
      <c r="E1951" s="2">
        <v>45937</v>
      </c>
      <c r="F1951" s="2">
        <v>45937</v>
      </c>
      <c r="G1951" s="3">
        <v>41</v>
      </c>
      <c r="H1951" s="4" t="s">
        <v>28</v>
      </c>
      <c r="I1951">
        <v>61</v>
      </c>
      <c r="J1951">
        <v>0</v>
      </c>
      <c r="K1951">
        <v>0</v>
      </c>
      <c r="L1951" s="3">
        <v>1</v>
      </c>
      <c r="M1951" s="3">
        <v>0</v>
      </c>
      <c r="N1951">
        <v>0</v>
      </c>
      <c r="O1951">
        <v>0</v>
      </c>
      <c r="P1951">
        <v>0</v>
      </c>
      <c r="Q1951">
        <v>0</v>
      </c>
      <c r="R1951" s="3">
        <v>0</v>
      </c>
      <c r="S1951" s="3">
        <v>0</v>
      </c>
      <c r="T1951">
        <v>0</v>
      </c>
      <c r="U1951">
        <v>0</v>
      </c>
      <c r="V1951" s="3">
        <v>0</v>
      </c>
      <c r="W1951" s="3">
        <v>0</v>
      </c>
      <c r="X1951">
        <v>0</v>
      </c>
      <c r="Y1951" t="s">
        <v>1618</v>
      </c>
    </row>
    <row r="1952" spans="1:25" hidden="1" x14ac:dyDescent="0.25">
      <c r="A1952" s="1" t="s">
        <v>45</v>
      </c>
      <c r="B1952" s="1" t="s">
        <v>116</v>
      </c>
      <c r="C1952" s="1" t="s">
        <v>46</v>
      </c>
      <c r="D1952" t="s">
        <v>27</v>
      </c>
      <c r="E1952" s="2">
        <v>45937</v>
      </c>
      <c r="F1952" s="2">
        <v>45937</v>
      </c>
      <c r="G1952" s="3">
        <v>43</v>
      </c>
      <c r="H1952" s="4" t="s">
        <v>28</v>
      </c>
      <c r="I1952">
        <v>33</v>
      </c>
      <c r="J1952">
        <v>0</v>
      </c>
      <c r="K1952">
        <v>0</v>
      </c>
      <c r="L1952" s="3">
        <v>0</v>
      </c>
      <c r="M1952" s="3">
        <v>0</v>
      </c>
      <c r="N1952">
        <v>0</v>
      </c>
      <c r="O1952">
        <v>0</v>
      </c>
      <c r="P1952">
        <v>0</v>
      </c>
      <c r="Q1952">
        <v>0</v>
      </c>
      <c r="R1952" s="3">
        <v>0</v>
      </c>
      <c r="S1952" s="3">
        <v>0</v>
      </c>
      <c r="T1952">
        <v>0</v>
      </c>
      <c r="U1952">
        <v>0</v>
      </c>
      <c r="V1952" s="3">
        <v>0</v>
      </c>
      <c r="W1952" s="3">
        <v>0</v>
      </c>
      <c r="X1952">
        <v>0</v>
      </c>
      <c r="Y1952" t="s">
        <v>1619</v>
      </c>
    </row>
    <row r="1953" spans="1:25" hidden="1" x14ac:dyDescent="0.25">
      <c r="A1953" s="1" t="s">
        <v>47</v>
      </c>
      <c r="B1953" s="1" t="s">
        <v>137</v>
      </c>
      <c r="C1953" s="1" t="s">
        <v>27</v>
      </c>
      <c r="D1953" t="s">
        <v>27</v>
      </c>
      <c r="E1953" s="2">
        <v>45937</v>
      </c>
      <c r="F1953" s="2">
        <v>45937</v>
      </c>
      <c r="G1953" s="3">
        <v>26</v>
      </c>
      <c r="H1953" s="4" t="s">
        <v>28</v>
      </c>
      <c r="I1953">
        <v>52</v>
      </c>
      <c r="J1953">
        <v>0</v>
      </c>
      <c r="K1953">
        <v>0</v>
      </c>
      <c r="L1953" s="3">
        <v>0</v>
      </c>
      <c r="M1953" s="3">
        <v>0</v>
      </c>
      <c r="N1953">
        <v>0</v>
      </c>
      <c r="O1953">
        <v>0</v>
      </c>
      <c r="P1953">
        <v>0</v>
      </c>
      <c r="Q1953">
        <v>2</v>
      </c>
      <c r="R1953" s="3">
        <v>0</v>
      </c>
      <c r="S1953" s="3">
        <v>0</v>
      </c>
      <c r="T1953">
        <v>0</v>
      </c>
      <c r="U1953">
        <v>0</v>
      </c>
      <c r="V1953" s="3">
        <v>0</v>
      </c>
      <c r="W1953" s="3">
        <v>0</v>
      </c>
      <c r="X1953">
        <v>0</v>
      </c>
      <c r="Y1953" t="s">
        <v>1620</v>
      </c>
    </row>
    <row r="1954" spans="1:25" hidden="1" x14ac:dyDescent="0.25">
      <c r="A1954" s="1" t="s">
        <v>34</v>
      </c>
      <c r="B1954" s="1" t="s">
        <v>137</v>
      </c>
      <c r="C1954" s="1" t="s">
        <v>27</v>
      </c>
      <c r="D1954" t="s">
        <v>27</v>
      </c>
      <c r="E1954" s="2">
        <v>45937</v>
      </c>
      <c r="F1954" s="2">
        <v>45937</v>
      </c>
      <c r="G1954" s="3">
        <v>26</v>
      </c>
      <c r="H1954" s="4" t="s">
        <v>28</v>
      </c>
      <c r="I1954">
        <v>52</v>
      </c>
      <c r="J1954">
        <v>0</v>
      </c>
      <c r="K1954">
        <v>0</v>
      </c>
      <c r="L1954" s="3">
        <v>0</v>
      </c>
      <c r="M1954" s="3">
        <v>0</v>
      </c>
      <c r="N1954">
        <v>0</v>
      </c>
      <c r="O1954">
        <v>0</v>
      </c>
      <c r="P1954">
        <v>0</v>
      </c>
      <c r="Q1954">
        <v>2</v>
      </c>
      <c r="R1954" s="3">
        <v>0</v>
      </c>
      <c r="S1954" s="3">
        <v>0</v>
      </c>
      <c r="T1954">
        <v>0</v>
      </c>
      <c r="U1954">
        <v>0</v>
      </c>
      <c r="V1954" s="3">
        <v>0</v>
      </c>
      <c r="W1954" s="3">
        <v>0</v>
      </c>
      <c r="X1954">
        <v>0</v>
      </c>
      <c r="Y1954" t="s">
        <v>1620</v>
      </c>
    </row>
    <row r="1955" spans="1:25" hidden="1" x14ac:dyDescent="0.25">
      <c r="A1955" s="1" t="s">
        <v>49</v>
      </c>
      <c r="B1955" s="1" t="s">
        <v>118</v>
      </c>
      <c r="C1955" s="1" t="s">
        <v>50</v>
      </c>
      <c r="D1955" t="s">
        <v>27</v>
      </c>
      <c r="E1955" s="2">
        <v>45937</v>
      </c>
      <c r="F1955" s="2">
        <v>45937</v>
      </c>
      <c r="G1955" s="3">
        <v>22</v>
      </c>
      <c r="H1955" s="4" t="s">
        <v>28</v>
      </c>
      <c r="I1955">
        <v>37</v>
      </c>
      <c r="J1955">
        <v>0</v>
      </c>
      <c r="K1955">
        <v>0</v>
      </c>
      <c r="L1955" s="3">
        <v>1</v>
      </c>
      <c r="M1955" s="3">
        <v>1</v>
      </c>
      <c r="N1955">
        <v>0</v>
      </c>
      <c r="O1955">
        <v>0</v>
      </c>
      <c r="P1955">
        <v>0</v>
      </c>
      <c r="Q1955">
        <v>21</v>
      </c>
      <c r="R1955" s="3">
        <v>0</v>
      </c>
      <c r="S1955" s="3">
        <v>0</v>
      </c>
      <c r="T1955">
        <v>0</v>
      </c>
      <c r="U1955">
        <v>0</v>
      </c>
      <c r="V1955" s="3">
        <v>0</v>
      </c>
      <c r="W1955" s="3">
        <v>0</v>
      </c>
      <c r="X1955">
        <v>0</v>
      </c>
      <c r="Y1955" t="s">
        <v>1607</v>
      </c>
    </row>
    <row r="1956" spans="1:25" hidden="1" x14ac:dyDescent="0.25">
      <c r="A1956" s="1" t="s">
        <v>54</v>
      </c>
      <c r="B1956" s="1" t="s">
        <v>122</v>
      </c>
      <c r="C1956" s="1" t="s">
        <v>52</v>
      </c>
      <c r="D1956" t="s">
        <v>27</v>
      </c>
      <c r="E1956" s="2">
        <v>45937</v>
      </c>
      <c r="F1956" s="2">
        <v>45937</v>
      </c>
      <c r="G1956" s="3">
        <v>38</v>
      </c>
      <c r="H1956" s="4" t="s">
        <v>28</v>
      </c>
      <c r="I1956">
        <v>48</v>
      </c>
      <c r="J1956">
        <v>0</v>
      </c>
      <c r="K1956">
        <v>0</v>
      </c>
      <c r="L1956" s="3">
        <v>0</v>
      </c>
      <c r="M1956" s="3">
        <v>0</v>
      </c>
      <c r="N1956">
        <v>0</v>
      </c>
      <c r="O1956">
        <v>0</v>
      </c>
      <c r="P1956">
        <v>0</v>
      </c>
      <c r="Q1956">
        <v>2</v>
      </c>
      <c r="R1956" s="3">
        <v>0</v>
      </c>
      <c r="S1956" s="3">
        <v>0</v>
      </c>
      <c r="T1956">
        <v>0</v>
      </c>
      <c r="U1956">
        <v>0</v>
      </c>
      <c r="V1956" s="3">
        <v>0</v>
      </c>
      <c r="W1956" s="3">
        <v>0</v>
      </c>
      <c r="X1956">
        <v>1</v>
      </c>
      <c r="Y1956" t="s">
        <v>1621</v>
      </c>
    </row>
    <row r="1957" spans="1:25" hidden="1" x14ac:dyDescent="0.25">
      <c r="A1957" t="s">
        <v>58</v>
      </c>
      <c r="B1957" s="1" t="s">
        <v>144</v>
      </c>
      <c r="C1957" s="1" t="s">
        <v>489</v>
      </c>
      <c r="D1957" t="s">
        <v>27</v>
      </c>
      <c r="E1957" s="2">
        <v>45937</v>
      </c>
      <c r="F1957" s="2">
        <v>45937</v>
      </c>
      <c r="G1957" s="3">
        <v>20</v>
      </c>
      <c r="H1957" s="4" t="s">
        <v>28</v>
      </c>
      <c r="I1957">
        <v>28</v>
      </c>
      <c r="J1957">
        <v>0</v>
      </c>
      <c r="K1957">
        <v>0</v>
      </c>
      <c r="L1957" s="3">
        <v>0</v>
      </c>
      <c r="M1957" s="3">
        <v>0</v>
      </c>
      <c r="N1957">
        <v>0</v>
      </c>
      <c r="O1957">
        <v>0</v>
      </c>
      <c r="P1957">
        <v>0</v>
      </c>
      <c r="Q1957">
        <v>0</v>
      </c>
      <c r="R1957" s="3">
        <v>0</v>
      </c>
      <c r="S1957" s="3">
        <v>0</v>
      </c>
      <c r="T1957">
        <v>0</v>
      </c>
      <c r="U1957">
        <v>0</v>
      </c>
      <c r="V1957" s="3">
        <v>0</v>
      </c>
      <c r="W1957" s="3">
        <v>0</v>
      </c>
      <c r="X1957">
        <v>0</v>
      </c>
      <c r="Y1957" t="s">
        <v>1622</v>
      </c>
    </row>
    <row r="1958" spans="1:25" hidden="1" x14ac:dyDescent="0.25">
      <c r="A1958" s="1" t="s">
        <v>27</v>
      </c>
      <c r="B1958" s="1" t="s">
        <v>106</v>
      </c>
      <c r="C1958" s="1" t="s">
        <v>57</v>
      </c>
      <c r="D1958" t="s">
        <v>27</v>
      </c>
      <c r="E1958" s="2">
        <v>45937</v>
      </c>
      <c r="F1958" s="2">
        <v>45937</v>
      </c>
      <c r="G1958" s="3">
        <v>21</v>
      </c>
      <c r="H1958" s="4" t="s">
        <v>1395</v>
      </c>
      <c r="I1958">
        <v>0</v>
      </c>
      <c r="J1958">
        <v>0</v>
      </c>
      <c r="K1958">
        <v>0</v>
      </c>
      <c r="L1958" s="3">
        <v>0</v>
      </c>
      <c r="M1958" s="3">
        <v>0</v>
      </c>
      <c r="N1958">
        <v>0</v>
      </c>
      <c r="O1958">
        <v>0</v>
      </c>
      <c r="P1958">
        <v>0</v>
      </c>
      <c r="Q1958">
        <v>0</v>
      </c>
      <c r="R1958" s="3">
        <v>0</v>
      </c>
      <c r="S1958" s="3">
        <v>0</v>
      </c>
      <c r="T1958">
        <v>0</v>
      </c>
      <c r="U1958">
        <v>0</v>
      </c>
      <c r="V1958" s="3">
        <v>0</v>
      </c>
      <c r="W1958" s="3">
        <v>0</v>
      </c>
      <c r="X1958" s="3">
        <v>0</v>
      </c>
      <c r="Y1958" t="s">
        <v>1622</v>
      </c>
    </row>
    <row r="1959" spans="1:25" hidden="1" x14ac:dyDescent="0.25">
      <c r="A1959" t="s">
        <v>33</v>
      </c>
      <c r="B1959" s="1" t="s">
        <v>182</v>
      </c>
      <c r="C1959" s="1" t="s">
        <v>27</v>
      </c>
      <c r="D1959" t="s">
        <v>27</v>
      </c>
      <c r="E1959" s="2">
        <v>45937</v>
      </c>
      <c r="F1959" s="2">
        <v>45937</v>
      </c>
      <c r="G1959" s="3">
        <v>22</v>
      </c>
      <c r="H1959" s="4" t="s">
        <v>28</v>
      </c>
      <c r="I1959">
        <v>30</v>
      </c>
      <c r="J1959">
        <v>0</v>
      </c>
      <c r="K1959">
        <v>0</v>
      </c>
      <c r="L1959" s="3">
        <v>0</v>
      </c>
      <c r="M1959" s="3">
        <v>0</v>
      </c>
      <c r="N1959">
        <v>0</v>
      </c>
      <c r="O1959">
        <v>0</v>
      </c>
      <c r="P1959">
        <v>0</v>
      </c>
      <c r="Q1959">
        <v>0</v>
      </c>
      <c r="R1959" s="3">
        <v>0</v>
      </c>
      <c r="S1959" s="3">
        <v>0</v>
      </c>
      <c r="T1959">
        <v>0</v>
      </c>
      <c r="U1959">
        <v>0</v>
      </c>
      <c r="V1959" s="3">
        <v>0</v>
      </c>
      <c r="W1959" s="3">
        <v>0</v>
      </c>
      <c r="X1959" s="3">
        <v>3</v>
      </c>
      <c r="Y1959" t="s">
        <v>1622</v>
      </c>
    </row>
    <row r="1960" spans="1:25" hidden="1" x14ac:dyDescent="0.25">
      <c r="A1960" s="1" t="s">
        <v>48</v>
      </c>
      <c r="B1960" s="1" t="s">
        <v>184</v>
      </c>
      <c r="C1960" s="1" t="s">
        <v>27</v>
      </c>
      <c r="D1960" t="s">
        <v>27</v>
      </c>
      <c r="E1960" s="2">
        <v>45937</v>
      </c>
      <c r="F1960" s="2">
        <v>45937</v>
      </c>
      <c r="G1960" s="3">
        <v>23</v>
      </c>
      <c r="H1960" s="4" t="s">
        <v>1448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1622</v>
      </c>
    </row>
    <row r="1961" spans="1:25" hidden="1" x14ac:dyDescent="0.25">
      <c r="A1961" s="1" t="s">
        <v>51</v>
      </c>
      <c r="B1961" s="1" t="s">
        <v>186</v>
      </c>
      <c r="C1961" s="1" t="s">
        <v>27</v>
      </c>
      <c r="D1961" t="s">
        <v>27</v>
      </c>
      <c r="E1961" s="2">
        <v>45937</v>
      </c>
      <c r="F1961" s="2">
        <v>45937</v>
      </c>
      <c r="G1961" s="3">
        <v>24</v>
      </c>
      <c r="H1961" s="4" t="s">
        <v>1448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1622</v>
      </c>
    </row>
    <row r="1962" spans="1:25" hidden="1" x14ac:dyDescent="0.25">
      <c r="A1962" t="s">
        <v>27</v>
      </c>
      <c r="B1962" t="s">
        <v>188</v>
      </c>
      <c r="C1962" t="s">
        <v>55</v>
      </c>
      <c r="D1962" t="s">
        <v>27</v>
      </c>
      <c r="E1962" s="2">
        <v>45937</v>
      </c>
      <c r="F1962" s="2">
        <v>45937</v>
      </c>
      <c r="G1962" s="3">
        <v>25</v>
      </c>
      <c r="H1962" t="s">
        <v>1448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1622</v>
      </c>
    </row>
    <row r="1963" spans="1:25" hidden="1" x14ac:dyDescent="0.25">
      <c r="A1963" t="s">
        <v>25</v>
      </c>
      <c r="B1963" t="s">
        <v>96</v>
      </c>
      <c r="C1963" t="s">
        <v>35</v>
      </c>
      <c r="D1963" t="s">
        <v>27</v>
      </c>
      <c r="E1963" s="24">
        <v>45938</v>
      </c>
      <c r="F1963" s="24">
        <v>45938</v>
      </c>
      <c r="G1963" s="3">
        <v>31</v>
      </c>
      <c r="H1963" s="4" t="s">
        <v>28</v>
      </c>
      <c r="I1963">
        <v>25</v>
      </c>
      <c r="J1963">
        <v>0</v>
      </c>
      <c r="K1963">
        <v>0</v>
      </c>
      <c r="L1963" s="3">
        <v>0</v>
      </c>
      <c r="M1963" s="3">
        <v>0</v>
      </c>
      <c r="N1963">
        <v>0</v>
      </c>
      <c r="O1963">
        <v>0</v>
      </c>
      <c r="P1963">
        <v>0</v>
      </c>
      <c r="Q1963">
        <v>0</v>
      </c>
      <c r="R1963" s="3">
        <v>0</v>
      </c>
      <c r="S1963" s="3">
        <v>0</v>
      </c>
      <c r="T1963">
        <v>0</v>
      </c>
      <c r="U1963">
        <v>0</v>
      </c>
      <c r="V1963" s="3">
        <v>0</v>
      </c>
      <c r="W1963" s="3">
        <v>0</v>
      </c>
      <c r="X1963">
        <v>0</v>
      </c>
      <c r="Y1963" t="s">
        <v>1623</v>
      </c>
    </row>
    <row r="1964" spans="1:25" hidden="1" x14ac:dyDescent="0.25">
      <c r="A1964" t="s">
        <v>56</v>
      </c>
      <c r="B1964" t="s">
        <v>98</v>
      </c>
      <c r="C1964" t="s">
        <v>37</v>
      </c>
      <c r="D1964" t="s">
        <v>27</v>
      </c>
      <c r="E1964" s="24">
        <v>45938</v>
      </c>
      <c r="F1964" s="24">
        <v>45938</v>
      </c>
      <c r="G1964" s="3">
        <v>27</v>
      </c>
      <c r="H1964" s="4" t="s">
        <v>28</v>
      </c>
      <c r="I1964">
        <v>42</v>
      </c>
      <c r="J1964">
        <v>0</v>
      </c>
      <c r="K1964">
        <v>0</v>
      </c>
      <c r="L1964" s="3">
        <v>1</v>
      </c>
      <c r="M1964" s="3">
        <v>0</v>
      </c>
      <c r="N1964">
        <v>0</v>
      </c>
      <c r="O1964">
        <v>0</v>
      </c>
      <c r="P1964">
        <v>0</v>
      </c>
      <c r="Q1964">
        <v>10</v>
      </c>
      <c r="R1964" s="3">
        <v>0</v>
      </c>
      <c r="S1964" s="3">
        <v>0</v>
      </c>
      <c r="T1964">
        <v>0</v>
      </c>
      <c r="U1964">
        <v>0</v>
      </c>
      <c r="V1964" s="3">
        <v>0</v>
      </c>
      <c r="W1964" s="3">
        <v>0</v>
      </c>
      <c r="X1964">
        <v>0</v>
      </c>
      <c r="Y1964" t="s">
        <v>1624</v>
      </c>
    </row>
    <row r="1965" spans="1:25" hidden="1" x14ac:dyDescent="0.25">
      <c r="A1965" t="s">
        <v>29</v>
      </c>
      <c r="B1965" t="s">
        <v>100</v>
      </c>
      <c r="C1965" t="s">
        <v>95</v>
      </c>
      <c r="D1965" t="s">
        <v>27</v>
      </c>
      <c r="E1965" s="24">
        <v>45938</v>
      </c>
      <c r="F1965" s="24">
        <v>45938</v>
      </c>
      <c r="G1965" s="3">
        <v>39</v>
      </c>
      <c r="H1965" s="4" t="s">
        <v>28</v>
      </c>
      <c r="I1965">
        <v>44</v>
      </c>
      <c r="J1965">
        <v>42</v>
      </c>
      <c r="K1965">
        <v>0</v>
      </c>
      <c r="L1965" s="3">
        <v>1</v>
      </c>
      <c r="M1965" s="3">
        <v>0</v>
      </c>
      <c r="N1965">
        <v>0</v>
      </c>
      <c r="O1965">
        <v>0</v>
      </c>
      <c r="P1965">
        <v>0</v>
      </c>
      <c r="Q1965">
        <v>14</v>
      </c>
      <c r="R1965" s="3">
        <v>0</v>
      </c>
      <c r="S1965" s="3">
        <v>0</v>
      </c>
      <c r="T1965">
        <v>0</v>
      </c>
      <c r="U1965">
        <v>0</v>
      </c>
      <c r="V1965" s="3">
        <v>0</v>
      </c>
      <c r="W1965" s="3">
        <v>0</v>
      </c>
      <c r="X1965">
        <v>3</v>
      </c>
      <c r="Y1965" t="s">
        <v>1625</v>
      </c>
    </row>
    <row r="1966" spans="1:25" hidden="1" x14ac:dyDescent="0.25">
      <c r="A1966" t="s">
        <v>31</v>
      </c>
      <c r="B1966" t="s">
        <v>104</v>
      </c>
      <c r="C1966" t="s">
        <v>32</v>
      </c>
      <c r="D1966" t="s">
        <v>27</v>
      </c>
      <c r="E1966" s="24">
        <v>45938</v>
      </c>
      <c r="F1966" s="24">
        <v>45938</v>
      </c>
      <c r="G1966" s="3">
        <v>59</v>
      </c>
      <c r="H1966" s="4" t="s">
        <v>28</v>
      </c>
      <c r="I1966">
        <v>101</v>
      </c>
      <c r="J1966">
        <v>0</v>
      </c>
      <c r="K1966">
        <v>0</v>
      </c>
      <c r="L1966" s="3">
        <v>0</v>
      </c>
      <c r="M1966" s="3">
        <v>0</v>
      </c>
      <c r="N1966">
        <v>0</v>
      </c>
      <c r="O1966">
        <v>0</v>
      </c>
      <c r="P1966">
        <v>0</v>
      </c>
      <c r="Q1966">
        <v>34</v>
      </c>
      <c r="R1966" s="3">
        <v>0</v>
      </c>
      <c r="S1966" s="3">
        <v>0</v>
      </c>
      <c r="T1966">
        <v>0</v>
      </c>
      <c r="U1966">
        <v>0</v>
      </c>
      <c r="V1966" s="3">
        <v>0</v>
      </c>
      <c r="W1966" s="3">
        <v>0</v>
      </c>
      <c r="X1966">
        <v>0</v>
      </c>
      <c r="Y1966" t="s">
        <v>1626</v>
      </c>
    </row>
    <row r="1967" spans="1:25" hidden="1" x14ac:dyDescent="0.25">
      <c r="A1967" t="s">
        <v>33</v>
      </c>
      <c r="B1967" t="s">
        <v>106</v>
      </c>
      <c r="C1967" t="s">
        <v>55</v>
      </c>
      <c r="D1967" t="s">
        <v>27</v>
      </c>
      <c r="E1967" s="24">
        <v>45938</v>
      </c>
      <c r="F1967" s="24">
        <v>45938</v>
      </c>
      <c r="G1967" s="3">
        <v>72</v>
      </c>
      <c r="H1967" s="4" t="s">
        <v>28</v>
      </c>
      <c r="I1967">
        <v>45</v>
      </c>
      <c r="J1967">
        <v>42</v>
      </c>
      <c r="K1967">
        <v>0</v>
      </c>
      <c r="L1967" s="3">
        <v>1</v>
      </c>
      <c r="M1967" s="3">
        <v>0</v>
      </c>
      <c r="N1967">
        <v>0</v>
      </c>
      <c r="O1967">
        <v>0</v>
      </c>
      <c r="P1967">
        <v>0</v>
      </c>
      <c r="Q1967">
        <v>20</v>
      </c>
      <c r="R1967" s="3">
        <v>0</v>
      </c>
      <c r="S1967" s="3">
        <v>0</v>
      </c>
      <c r="T1967">
        <v>0</v>
      </c>
      <c r="U1967">
        <v>0</v>
      </c>
      <c r="V1967" s="3">
        <v>0</v>
      </c>
      <c r="W1967" s="3">
        <v>0</v>
      </c>
      <c r="X1967">
        <v>3</v>
      </c>
      <c r="Y1967" t="s">
        <v>1627</v>
      </c>
    </row>
    <row r="1968" spans="1:25" hidden="1" x14ac:dyDescent="0.25">
      <c r="A1968" t="s">
        <v>27</v>
      </c>
      <c r="B1968" t="s">
        <v>106</v>
      </c>
      <c r="C1968" t="s">
        <v>57</v>
      </c>
      <c r="D1968" t="s">
        <v>27</v>
      </c>
      <c r="E1968" s="24">
        <v>45938</v>
      </c>
      <c r="F1968" s="24">
        <v>45938</v>
      </c>
      <c r="G1968" s="3">
        <v>72</v>
      </c>
      <c r="H1968" s="4" t="s">
        <v>28</v>
      </c>
      <c r="I1968">
        <v>46</v>
      </c>
      <c r="J1968">
        <v>0</v>
      </c>
      <c r="K1968">
        <v>0</v>
      </c>
      <c r="L1968" s="3">
        <v>0</v>
      </c>
      <c r="M1968" s="3">
        <v>0</v>
      </c>
      <c r="N1968">
        <v>0</v>
      </c>
      <c r="O1968">
        <v>0</v>
      </c>
      <c r="P1968">
        <v>0</v>
      </c>
      <c r="Q1968">
        <v>0</v>
      </c>
      <c r="R1968" s="3">
        <v>0</v>
      </c>
      <c r="S1968" s="3">
        <v>0</v>
      </c>
      <c r="T1968">
        <v>0</v>
      </c>
      <c r="U1968">
        <v>0</v>
      </c>
      <c r="V1968" s="3">
        <v>0</v>
      </c>
      <c r="W1968" s="3">
        <v>0</v>
      </c>
      <c r="X1968">
        <v>0</v>
      </c>
      <c r="Y1968" t="s">
        <v>1627</v>
      </c>
    </row>
    <row r="1969" spans="1:25" hidden="1" x14ac:dyDescent="0.25">
      <c r="A1969" t="s">
        <v>38</v>
      </c>
      <c r="B1969" t="s">
        <v>108</v>
      </c>
      <c r="C1969" t="s">
        <v>27</v>
      </c>
      <c r="D1969" t="s">
        <v>27</v>
      </c>
      <c r="E1969" s="24">
        <v>45938</v>
      </c>
      <c r="F1969" s="24">
        <v>45938</v>
      </c>
      <c r="G1969" s="3">
        <v>35</v>
      </c>
      <c r="H1969" s="4" t="s">
        <v>28</v>
      </c>
      <c r="I1969">
        <v>40</v>
      </c>
      <c r="J1969">
        <v>0</v>
      </c>
      <c r="K1969">
        <v>0</v>
      </c>
      <c r="L1969" s="3">
        <v>0</v>
      </c>
      <c r="M1969" s="3">
        <v>0</v>
      </c>
      <c r="N1969">
        <v>0</v>
      </c>
      <c r="O1969">
        <v>0</v>
      </c>
      <c r="P1969">
        <v>0</v>
      </c>
      <c r="Q1969">
        <v>40</v>
      </c>
      <c r="R1969" s="3">
        <v>0</v>
      </c>
      <c r="S1969" s="3">
        <v>0</v>
      </c>
      <c r="T1969">
        <v>0</v>
      </c>
      <c r="U1969">
        <v>0</v>
      </c>
      <c r="V1969" s="3">
        <v>0</v>
      </c>
      <c r="W1969" s="3">
        <v>0</v>
      </c>
      <c r="X1969">
        <v>0</v>
      </c>
      <c r="Y1969" t="s">
        <v>1628</v>
      </c>
    </row>
    <row r="1970" spans="1:25" hidden="1" x14ac:dyDescent="0.25">
      <c r="A1970" s="1" t="s">
        <v>40</v>
      </c>
      <c r="B1970" s="1" t="s">
        <v>110</v>
      </c>
      <c r="C1970" s="1" t="s">
        <v>27</v>
      </c>
      <c r="D1970" t="s">
        <v>27</v>
      </c>
      <c r="E1970" s="24">
        <v>45938</v>
      </c>
      <c r="F1970" s="24">
        <v>45938</v>
      </c>
      <c r="G1970" s="3">
        <v>55</v>
      </c>
      <c r="H1970" s="4" t="s">
        <v>28</v>
      </c>
      <c r="I1970">
        <v>74</v>
      </c>
      <c r="J1970">
        <v>0</v>
      </c>
      <c r="K1970">
        <v>0</v>
      </c>
      <c r="L1970" s="3">
        <v>1</v>
      </c>
      <c r="M1970" s="3">
        <v>0</v>
      </c>
      <c r="N1970">
        <v>1</v>
      </c>
      <c r="O1970">
        <v>0</v>
      </c>
      <c r="P1970">
        <v>0</v>
      </c>
      <c r="Q1970">
        <v>0</v>
      </c>
      <c r="R1970" s="3">
        <v>0</v>
      </c>
      <c r="S1970" s="3">
        <v>0</v>
      </c>
      <c r="T1970">
        <v>0</v>
      </c>
      <c r="U1970">
        <v>0</v>
      </c>
      <c r="V1970" s="3">
        <v>0</v>
      </c>
      <c r="W1970" s="3">
        <v>0</v>
      </c>
      <c r="X1970">
        <v>0</v>
      </c>
      <c r="Y1970" t="s">
        <v>1629</v>
      </c>
    </row>
    <row r="1971" spans="1:25" hidden="1" x14ac:dyDescent="0.25">
      <c r="A1971" s="1" t="s">
        <v>36</v>
      </c>
      <c r="B1971" s="1" t="s">
        <v>110</v>
      </c>
      <c r="C1971" s="1" t="s">
        <v>27</v>
      </c>
      <c r="D1971" t="s">
        <v>27</v>
      </c>
      <c r="E1971" s="24">
        <v>45938</v>
      </c>
      <c r="F1971" s="24">
        <v>45938</v>
      </c>
      <c r="G1971" s="3">
        <v>55</v>
      </c>
      <c r="H1971" s="4" t="s">
        <v>28</v>
      </c>
      <c r="I1971">
        <v>74</v>
      </c>
      <c r="J1971">
        <v>0</v>
      </c>
      <c r="K1971">
        <v>0</v>
      </c>
      <c r="L1971" s="3">
        <v>1</v>
      </c>
      <c r="M1971" s="3">
        <v>0</v>
      </c>
      <c r="N1971">
        <v>1</v>
      </c>
      <c r="O1971">
        <v>0</v>
      </c>
      <c r="P1971">
        <v>0</v>
      </c>
      <c r="Q1971">
        <v>0</v>
      </c>
      <c r="R1971" s="3">
        <v>0</v>
      </c>
      <c r="S1971" s="3">
        <v>0</v>
      </c>
      <c r="T1971">
        <v>0</v>
      </c>
      <c r="U1971">
        <v>0</v>
      </c>
      <c r="V1971" s="3">
        <v>0</v>
      </c>
      <c r="W1971" s="3">
        <v>0</v>
      </c>
      <c r="X1971">
        <v>0</v>
      </c>
      <c r="Y1971" t="s">
        <v>1629</v>
      </c>
    </row>
    <row r="1972" spans="1:25" hidden="1" x14ac:dyDescent="0.25">
      <c r="A1972" s="1" t="s">
        <v>41</v>
      </c>
      <c r="B1972" s="1" t="s">
        <v>112</v>
      </c>
      <c r="C1972" s="1" t="s">
        <v>42</v>
      </c>
      <c r="D1972" t="s">
        <v>27</v>
      </c>
      <c r="E1972" s="24">
        <v>45938</v>
      </c>
      <c r="F1972" s="24">
        <v>45938</v>
      </c>
      <c r="G1972" s="3">
        <v>38</v>
      </c>
      <c r="H1972" s="4" t="s">
        <v>28</v>
      </c>
      <c r="I1972">
        <v>40</v>
      </c>
      <c r="J1972">
        <v>0</v>
      </c>
      <c r="K1972">
        <v>0</v>
      </c>
      <c r="L1972" s="3">
        <v>1</v>
      </c>
      <c r="M1972" s="3">
        <v>0</v>
      </c>
      <c r="N1972">
        <v>0</v>
      </c>
      <c r="O1972">
        <v>0</v>
      </c>
      <c r="P1972">
        <v>0</v>
      </c>
      <c r="Q1972">
        <v>0</v>
      </c>
      <c r="R1972" s="3">
        <v>0</v>
      </c>
      <c r="S1972" s="3">
        <v>0</v>
      </c>
      <c r="T1972">
        <v>0</v>
      </c>
      <c r="U1972">
        <v>0</v>
      </c>
      <c r="V1972" s="3">
        <v>0</v>
      </c>
      <c r="W1972" s="3">
        <v>0</v>
      </c>
      <c r="X1972">
        <v>0</v>
      </c>
      <c r="Y1972" t="s">
        <v>1630</v>
      </c>
    </row>
    <row r="1973" spans="1:25" hidden="1" x14ac:dyDescent="0.25">
      <c r="A1973" s="1" t="s">
        <v>43</v>
      </c>
      <c r="B1973" s="1" t="s">
        <v>114</v>
      </c>
      <c r="C1973" s="1" t="s">
        <v>44</v>
      </c>
      <c r="D1973" t="s">
        <v>27</v>
      </c>
      <c r="E1973" s="24">
        <v>45938</v>
      </c>
      <c r="F1973" s="24">
        <v>45938</v>
      </c>
      <c r="G1973" s="3">
        <v>29</v>
      </c>
      <c r="H1973" s="4" t="s">
        <v>28</v>
      </c>
      <c r="I1973">
        <v>46</v>
      </c>
      <c r="J1973">
        <v>0</v>
      </c>
      <c r="K1973">
        <v>0</v>
      </c>
      <c r="L1973" s="3">
        <v>1</v>
      </c>
      <c r="M1973" s="3">
        <v>0</v>
      </c>
      <c r="N1973">
        <v>0</v>
      </c>
      <c r="O1973">
        <v>0</v>
      </c>
      <c r="P1973">
        <v>0</v>
      </c>
      <c r="Q1973">
        <v>0</v>
      </c>
      <c r="R1973" s="3">
        <v>0</v>
      </c>
      <c r="S1973" s="3">
        <v>0</v>
      </c>
      <c r="T1973">
        <v>0</v>
      </c>
      <c r="U1973">
        <v>0</v>
      </c>
      <c r="V1973" s="3">
        <v>0</v>
      </c>
      <c r="W1973" s="3">
        <v>0</v>
      </c>
      <c r="X1973">
        <v>0</v>
      </c>
      <c r="Y1973" t="s">
        <v>1631</v>
      </c>
    </row>
    <row r="1974" spans="1:25" hidden="1" x14ac:dyDescent="0.25">
      <c r="A1974" s="1" t="s">
        <v>45</v>
      </c>
      <c r="B1974" s="1" t="s">
        <v>116</v>
      </c>
      <c r="C1974" s="1" t="s">
        <v>46</v>
      </c>
      <c r="D1974" t="s">
        <v>27</v>
      </c>
      <c r="E1974" s="24">
        <v>45938</v>
      </c>
      <c r="F1974" s="24">
        <v>45938</v>
      </c>
      <c r="G1974" s="3">
        <v>47</v>
      </c>
      <c r="H1974" s="4" t="s">
        <v>28</v>
      </c>
      <c r="I1974">
        <v>78</v>
      </c>
      <c r="J1974">
        <v>0</v>
      </c>
      <c r="K1974">
        <v>0</v>
      </c>
      <c r="L1974" s="3">
        <v>1</v>
      </c>
      <c r="M1974" s="3">
        <v>0</v>
      </c>
      <c r="N1974">
        <v>0</v>
      </c>
      <c r="O1974">
        <v>0</v>
      </c>
      <c r="P1974">
        <v>0</v>
      </c>
      <c r="Q1974">
        <v>0</v>
      </c>
      <c r="R1974" s="3">
        <v>0</v>
      </c>
      <c r="S1974" s="3">
        <v>0</v>
      </c>
      <c r="T1974">
        <v>0</v>
      </c>
      <c r="U1974">
        <v>0</v>
      </c>
      <c r="V1974" s="3">
        <v>0</v>
      </c>
      <c r="W1974" s="3">
        <v>0</v>
      </c>
      <c r="X1974">
        <v>0</v>
      </c>
      <c r="Y1974" t="s">
        <v>1632</v>
      </c>
    </row>
    <row r="1975" spans="1:25" hidden="1" x14ac:dyDescent="0.25">
      <c r="A1975" s="1" t="s">
        <v>47</v>
      </c>
      <c r="B1975" s="1" t="s">
        <v>137</v>
      </c>
      <c r="C1975" s="1" t="s">
        <v>27</v>
      </c>
      <c r="D1975" t="s">
        <v>27</v>
      </c>
      <c r="E1975" s="24">
        <v>45938</v>
      </c>
      <c r="F1975" s="24">
        <v>45938</v>
      </c>
      <c r="G1975" s="3">
        <v>39</v>
      </c>
      <c r="H1975" s="4" t="s">
        <v>28</v>
      </c>
      <c r="I1975">
        <v>60</v>
      </c>
      <c r="J1975">
        <v>42</v>
      </c>
      <c r="K1975">
        <v>0</v>
      </c>
      <c r="L1975" s="3">
        <v>1</v>
      </c>
      <c r="M1975" s="3">
        <v>0</v>
      </c>
      <c r="N1975">
        <v>0</v>
      </c>
      <c r="O1975">
        <v>0</v>
      </c>
      <c r="P1975">
        <v>0</v>
      </c>
      <c r="Q1975">
        <v>25</v>
      </c>
      <c r="R1975" s="3">
        <v>0</v>
      </c>
      <c r="S1975" s="3">
        <v>0</v>
      </c>
      <c r="T1975">
        <v>0</v>
      </c>
      <c r="U1975">
        <v>0</v>
      </c>
      <c r="V1975" s="3">
        <v>0</v>
      </c>
      <c r="W1975" s="3">
        <v>0</v>
      </c>
      <c r="X1975">
        <v>3</v>
      </c>
      <c r="Y1975" t="s">
        <v>1633</v>
      </c>
    </row>
    <row r="1976" spans="1:25" hidden="1" x14ac:dyDescent="0.25">
      <c r="A1976" s="1" t="s">
        <v>34</v>
      </c>
      <c r="B1976" s="1" t="s">
        <v>137</v>
      </c>
      <c r="C1976" s="1" t="s">
        <v>27</v>
      </c>
      <c r="D1976" t="s">
        <v>27</v>
      </c>
      <c r="E1976" s="24">
        <v>45938</v>
      </c>
      <c r="F1976" s="24">
        <v>45938</v>
      </c>
      <c r="G1976" s="3">
        <v>39</v>
      </c>
      <c r="H1976" s="4" t="s">
        <v>28</v>
      </c>
      <c r="I1976">
        <v>60</v>
      </c>
      <c r="J1976">
        <v>42</v>
      </c>
      <c r="K1976">
        <v>0</v>
      </c>
      <c r="L1976" s="3">
        <v>1</v>
      </c>
      <c r="M1976" s="3">
        <v>0</v>
      </c>
      <c r="N1976">
        <v>0</v>
      </c>
      <c r="O1976">
        <v>0</v>
      </c>
      <c r="P1976">
        <v>0</v>
      </c>
      <c r="Q1976">
        <v>25</v>
      </c>
      <c r="R1976" s="3">
        <v>0</v>
      </c>
      <c r="S1976" s="3">
        <v>0</v>
      </c>
      <c r="T1976">
        <v>0</v>
      </c>
      <c r="U1976">
        <v>0</v>
      </c>
      <c r="V1976" s="3">
        <v>0</v>
      </c>
      <c r="W1976" s="3">
        <v>0</v>
      </c>
      <c r="X1976">
        <v>3</v>
      </c>
      <c r="Y1976" t="s">
        <v>1633</v>
      </c>
    </row>
    <row r="1977" spans="1:25" hidden="1" x14ac:dyDescent="0.25">
      <c r="A1977" s="1" t="s">
        <v>49</v>
      </c>
      <c r="B1977" s="1" t="s">
        <v>118</v>
      </c>
      <c r="C1977" s="1" t="s">
        <v>50</v>
      </c>
      <c r="D1977" t="s">
        <v>27</v>
      </c>
      <c r="E1977" s="24">
        <v>45938</v>
      </c>
      <c r="F1977" s="24">
        <v>45938</v>
      </c>
      <c r="G1977" s="3">
        <v>22</v>
      </c>
      <c r="H1977" s="4" t="s">
        <v>28</v>
      </c>
      <c r="I1977">
        <v>57</v>
      </c>
      <c r="J1977">
        <v>0</v>
      </c>
      <c r="K1977">
        <v>0</v>
      </c>
      <c r="L1977" s="3">
        <v>1</v>
      </c>
      <c r="M1977" s="3">
        <v>1</v>
      </c>
      <c r="N1977">
        <v>0</v>
      </c>
      <c r="O1977">
        <v>0</v>
      </c>
      <c r="P1977">
        <v>0</v>
      </c>
      <c r="Q1977">
        <v>21</v>
      </c>
      <c r="R1977" s="3">
        <v>0</v>
      </c>
      <c r="S1977" s="3">
        <v>0</v>
      </c>
      <c r="T1977">
        <v>0</v>
      </c>
      <c r="U1977">
        <v>0</v>
      </c>
      <c r="V1977" s="3">
        <v>0</v>
      </c>
      <c r="W1977" s="3">
        <v>0</v>
      </c>
      <c r="X1977">
        <v>0</v>
      </c>
      <c r="Y1977" t="s">
        <v>1607</v>
      </c>
    </row>
    <row r="1978" spans="1:25" hidden="1" x14ac:dyDescent="0.25">
      <c r="A1978" s="1" t="s">
        <v>51</v>
      </c>
      <c r="B1978" s="1" t="s">
        <v>120</v>
      </c>
      <c r="C1978" s="1" t="s">
        <v>55</v>
      </c>
      <c r="D1978" t="s">
        <v>27</v>
      </c>
      <c r="E1978" s="24">
        <v>45938</v>
      </c>
      <c r="F1978" s="24">
        <v>45938</v>
      </c>
      <c r="G1978" s="3">
        <v>42</v>
      </c>
      <c r="H1978" s="4" t="s">
        <v>28</v>
      </c>
      <c r="I1978">
        <v>62</v>
      </c>
      <c r="J1978">
        <v>0</v>
      </c>
      <c r="K1978">
        <v>0</v>
      </c>
      <c r="L1978" s="3">
        <v>1</v>
      </c>
      <c r="M1978" s="3">
        <v>0</v>
      </c>
      <c r="N1978">
        <v>1</v>
      </c>
      <c r="O1978">
        <v>0</v>
      </c>
      <c r="P1978">
        <v>0</v>
      </c>
      <c r="Q1978">
        <v>0</v>
      </c>
      <c r="R1978" s="3">
        <v>0</v>
      </c>
      <c r="S1978" s="3">
        <v>0</v>
      </c>
      <c r="T1978">
        <v>0</v>
      </c>
      <c r="U1978">
        <v>0</v>
      </c>
      <c r="V1978" s="3">
        <v>0</v>
      </c>
      <c r="W1978" s="3">
        <v>0</v>
      </c>
      <c r="X1978">
        <v>0</v>
      </c>
      <c r="Y1978" t="s">
        <v>1634</v>
      </c>
    </row>
    <row r="1979" spans="1:25" hidden="1" x14ac:dyDescent="0.25">
      <c r="A1979" s="1" t="s">
        <v>54</v>
      </c>
      <c r="B1979" s="1" t="s">
        <v>122</v>
      </c>
      <c r="C1979" s="1" t="s">
        <v>52</v>
      </c>
      <c r="D1979" t="s">
        <v>27</v>
      </c>
      <c r="E1979" s="24">
        <v>45938</v>
      </c>
      <c r="F1979" s="24">
        <v>45938</v>
      </c>
      <c r="G1979" s="3">
        <v>36</v>
      </c>
      <c r="H1979" s="4" t="s">
        <v>28</v>
      </c>
      <c r="I1979">
        <v>19</v>
      </c>
      <c r="J1979">
        <v>0</v>
      </c>
      <c r="K1979">
        <v>0</v>
      </c>
      <c r="L1979" s="3">
        <v>0</v>
      </c>
      <c r="M1979" s="3">
        <v>0</v>
      </c>
      <c r="N1979">
        <v>0</v>
      </c>
      <c r="O1979">
        <v>0</v>
      </c>
      <c r="P1979">
        <v>0</v>
      </c>
      <c r="Q1979">
        <v>2</v>
      </c>
      <c r="R1979" s="3">
        <v>0</v>
      </c>
      <c r="S1979" s="3">
        <v>0</v>
      </c>
      <c r="T1979">
        <v>0</v>
      </c>
      <c r="U1979">
        <v>0</v>
      </c>
      <c r="V1979" s="3">
        <v>0</v>
      </c>
      <c r="W1979" s="3">
        <v>0</v>
      </c>
      <c r="X1979">
        <v>0</v>
      </c>
      <c r="Y1979" t="s">
        <v>1635</v>
      </c>
    </row>
    <row r="1980" spans="1:25" hidden="1" x14ac:dyDescent="0.25">
      <c r="A1980" t="s">
        <v>58</v>
      </c>
      <c r="B1980" s="1" t="s">
        <v>144</v>
      </c>
      <c r="C1980" s="1" t="s">
        <v>489</v>
      </c>
      <c r="D1980" t="s">
        <v>27</v>
      </c>
      <c r="E1980" s="24">
        <v>45938</v>
      </c>
      <c r="F1980" s="24">
        <v>45938</v>
      </c>
      <c r="G1980" s="3">
        <v>40</v>
      </c>
      <c r="H1980" s="4" t="s">
        <v>28</v>
      </c>
      <c r="I1980">
        <v>61</v>
      </c>
      <c r="J1980">
        <v>0</v>
      </c>
      <c r="K1980">
        <v>0</v>
      </c>
      <c r="L1980" s="3">
        <v>1</v>
      </c>
      <c r="M1980" s="3">
        <v>0</v>
      </c>
      <c r="N1980">
        <v>0</v>
      </c>
      <c r="O1980">
        <v>0</v>
      </c>
      <c r="P1980">
        <v>0</v>
      </c>
      <c r="Q1980">
        <v>38</v>
      </c>
      <c r="R1980" s="3">
        <v>0</v>
      </c>
      <c r="S1980" s="3">
        <v>0</v>
      </c>
      <c r="T1980">
        <v>0</v>
      </c>
      <c r="U1980">
        <v>0</v>
      </c>
      <c r="V1980" s="3">
        <v>0</v>
      </c>
      <c r="W1980" s="3">
        <v>0</v>
      </c>
      <c r="X1980">
        <v>0</v>
      </c>
      <c r="Y1980" t="s">
        <v>1636</v>
      </c>
    </row>
    <row r="1981" spans="1:25" hidden="1" x14ac:dyDescent="0.25">
      <c r="A1981" s="1" t="s">
        <v>48</v>
      </c>
      <c r="B1981" s="1" t="s">
        <v>106</v>
      </c>
      <c r="C1981" s="1" t="s">
        <v>27</v>
      </c>
      <c r="D1981" t="s">
        <v>27</v>
      </c>
      <c r="E1981" s="24">
        <v>45938</v>
      </c>
      <c r="F1981" s="24">
        <v>45938</v>
      </c>
      <c r="G1981" s="3">
        <v>41</v>
      </c>
      <c r="H1981" s="4" t="s">
        <v>28</v>
      </c>
      <c r="I1981">
        <v>50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1636</v>
      </c>
    </row>
    <row r="1982" spans="1:25" hidden="1" x14ac:dyDescent="0.25">
      <c r="A1982" s="1" t="s">
        <v>27</v>
      </c>
      <c r="B1982" s="1" t="s">
        <v>182</v>
      </c>
      <c r="C1982" s="1" t="s">
        <v>26</v>
      </c>
      <c r="D1982" t="s">
        <v>27</v>
      </c>
      <c r="E1982" s="24">
        <v>45938</v>
      </c>
      <c r="F1982" s="24">
        <v>45938</v>
      </c>
      <c r="G1982" s="3">
        <v>42</v>
      </c>
      <c r="H1982" s="4" t="s">
        <v>28</v>
      </c>
      <c r="I1982">
        <v>50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1636</v>
      </c>
    </row>
    <row r="1983" spans="1:25" hidden="1" x14ac:dyDescent="0.25">
      <c r="A1983" s="1" t="s">
        <v>25</v>
      </c>
      <c r="B1983" s="1" t="s">
        <v>96</v>
      </c>
      <c r="C1983" s="1" t="s">
        <v>35</v>
      </c>
      <c r="D1983" t="s">
        <v>27</v>
      </c>
      <c r="E1983" s="24">
        <v>45939</v>
      </c>
      <c r="F1983" s="24">
        <v>45939</v>
      </c>
      <c r="G1983" s="3">
        <v>31</v>
      </c>
      <c r="H1983" s="4" t="s">
        <v>28</v>
      </c>
      <c r="I1983">
        <v>24</v>
      </c>
      <c r="J1983">
        <v>0</v>
      </c>
      <c r="K1983">
        <v>0</v>
      </c>
      <c r="L1983" s="3">
        <v>0</v>
      </c>
      <c r="M1983" s="3">
        <v>0</v>
      </c>
      <c r="N1983">
        <v>0</v>
      </c>
      <c r="O1983">
        <v>0</v>
      </c>
      <c r="P1983">
        <v>0</v>
      </c>
      <c r="Q1983">
        <v>0</v>
      </c>
      <c r="R1983" s="3">
        <v>0</v>
      </c>
      <c r="S1983" s="3">
        <v>0</v>
      </c>
      <c r="T1983">
        <v>0</v>
      </c>
      <c r="U1983">
        <v>0</v>
      </c>
      <c r="V1983" s="3">
        <v>0</v>
      </c>
      <c r="W1983" s="3">
        <v>0</v>
      </c>
      <c r="X1983">
        <v>0</v>
      </c>
      <c r="Y1983" t="s">
        <v>1623</v>
      </c>
    </row>
    <row r="1984" spans="1:25" hidden="1" x14ac:dyDescent="0.25">
      <c r="A1984" s="1" t="s">
        <v>56</v>
      </c>
      <c r="B1984" s="1" t="s">
        <v>98</v>
      </c>
      <c r="C1984" s="1" t="s">
        <v>37</v>
      </c>
      <c r="D1984" t="s">
        <v>27</v>
      </c>
      <c r="E1984" s="24">
        <v>45939</v>
      </c>
      <c r="F1984" s="24">
        <v>45939</v>
      </c>
      <c r="G1984" s="3">
        <v>28</v>
      </c>
      <c r="H1984" s="4" t="s">
        <v>28</v>
      </c>
      <c r="I1984">
        <v>36</v>
      </c>
      <c r="J1984">
        <v>0</v>
      </c>
      <c r="K1984">
        <v>0</v>
      </c>
      <c r="L1984" s="3">
        <v>1</v>
      </c>
      <c r="M1984" s="3">
        <v>0</v>
      </c>
      <c r="N1984">
        <v>0</v>
      </c>
      <c r="O1984">
        <v>0</v>
      </c>
      <c r="P1984">
        <v>0</v>
      </c>
      <c r="Q1984">
        <v>10</v>
      </c>
      <c r="R1984" s="3">
        <v>0</v>
      </c>
      <c r="S1984" s="3">
        <v>0</v>
      </c>
      <c r="T1984">
        <v>0</v>
      </c>
      <c r="U1984">
        <v>0</v>
      </c>
      <c r="V1984" s="3">
        <v>0</v>
      </c>
      <c r="W1984" s="3">
        <v>0</v>
      </c>
      <c r="X1984">
        <v>0</v>
      </c>
      <c r="Y1984" t="s">
        <v>1637</v>
      </c>
    </row>
    <row r="1985" spans="1:25" hidden="1" x14ac:dyDescent="0.25">
      <c r="A1985" s="1" t="s">
        <v>29</v>
      </c>
      <c r="B1985" s="1" t="s">
        <v>100</v>
      </c>
      <c r="C1985" s="1" t="s">
        <v>95</v>
      </c>
      <c r="D1985" t="s">
        <v>27</v>
      </c>
      <c r="E1985" s="24">
        <v>45939</v>
      </c>
      <c r="F1985" s="24">
        <v>45939</v>
      </c>
      <c r="G1985" s="3">
        <v>48</v>
      </c>
      <c r="H1985" s="4" t="s">
        <v>28</v>
      </c>
      <c r="I1985">
        <v>25</v>
      </c>
      <c r="J1985">
        <v>0</v>
      </c>
      <c r="K1985">
        <v>0</v>
      </c>
      <c r="L1985" s="3">
        <v>0</v>
      </c>
      <c r="M1985" s="3">
        <v>0</v>
      </c>
      <c r="N1985">
        <v>0</v>
      </c>
      <c r="O1985">
        <v>0</v>
      </c>
      <c r="P1985">
        <v>0</v>
      </c>
      <c r="Q1985">
        <v>7</v>
      </c>
      <c r="R1985" s="3">
        <v>0</v>
      </c>
      <c r="S1985" s="3">
        <v>0</v>
      </c>
      <c r="T1985">
        <v>0</v>
      </c>
      <c r="U1985">
        <v>0</v>
      </c>
      <c r="V1985" s="3">
        <v>0</v>
      </c>
      <c r="W1985" s="3">
        <v>0</v>
      </c>
      <c r="X1985">
        <v>0</v>
      </c>
      <c r="Y1985" t="s">
        <v>1638</v>
      </c>
    </row>
    <row r="1986" spans="1:25" hidden="1" x14ac:dyDescent="0.25">
      <c r="A1986" s="1" t="s">
        <v>31</v>
      </c>
      <c r="B1986" s="1" t="s">
        <v>104</v>
      </c>
      <c r="C1986" s="1" t="s">
        <v>32</v>
      </c>
      <c r="D1986" t="s">
        <v>27</v>
      </c>
      <c r="E1986" s="24">
        <v>45939</v>
      </c>
      <c r="F1986" s="24">
        <v>45939</v>
      </c>
      <c r="G1986" s="3">
        <v>111</v>
      </c>
      <c r="H1986" s="4" t="s">
        <v>28</v>
      </c>
      <c r="I1986">
        <v>78</v>
      </c>
      <c r="J1986">
        <v>0</v>
      </c>
      <c r="K1986">
        <v>0</v>
      </c>
      <c r="L1986" s="3">
        <v>0</v>
      </c>
      <c r="M1986" s="3">
        <v>0</v>
      </c>
      <c r="N1986">
        <v>0</v>
      </c>
      <c r="O1986">
        <v>0</v>
      </c>
      <c r="P1986">
        <v>0</v>
      </c>
      <c r="Q1986">
        <v>30</v>
      </c>
      <c r="R1986" s="3">
        <v>0</v>
      </c>
      <c r="S1986" s="3">
        <v>0</v>
      </c>
      <c r="T1986">
        <v>0</v>
      </c>
      <c r="U1986">
        <v>0</v>
      </c>
      <c r="V1986" s="3">
        <v>0</v>
      </c>
      <c r="W1986" s="3">
        <v>0</v>
      </c>
      <c r="X1986">
        <v>0</v>
      </c>
      <c r="Y1986" t="s">
        <v>1639</v>
      </c>
    </row>
    <row r="1987" spans="1:25" hidden="1" x14ac:dyDescent="0.25">
      <c r="A1987" t="s">
        <v>33</v>
      </c>
      <c r="B1987" s="1" t="s">
        <v>106</v>
      </c>
      <c r="C1987" s="1" t="s">
        <v>57</v>
      </c>
      <c r="D1987" t="s">
        <v>27</v>
      </c>
      <c r="E1987" s="24">
        <v>45939</v>
      </c>
      <c r="F1987" s="24">
        <v>45939</v>
      </c>
      <c r="G1987" s="3">
        <v>25</v>
      </c>
      <c r="H1987" s="4" t="s">
        <v>28</v>
      </c>
      <c r="I1987">
        <v>45</v>
      </c>
      <c r="J1987">
        <v>0</v>
      </c>
      <c r="K1987">
        <v>0</v>
      </c>
      <c r="L1987" s="3">
        <v>0</v>
      </c>
      <c r="M1987" s="3">
        <v>0</v>
      </c>
      <c r="N1987">
        <v>0</v>
      </c>
      <c r="O1987">
        <v>0</v>
      </c>
      <c r="P1987">
        <v>0</v>
      </c>
      <c r="Q1987">
        <v>0</v>
      </c>
      <c r="R1987" s="3">
        <v>0</v>
      </c>
      <c r="S1987" s="3">
        <v>0</v>
      </c>
      <c r="T1987">
        <v>0</v>
      </c>
      <c r="U1987">
        <v>0</v>
      </c>
      <c r="V1987" s="3">
        <v>0</v>
      </c>
      <c r="W1987" s="3">
        <v>0</v>
      </c>
      <c r="X1987">
        <v>0</v>
      </c>
      <c r="Y1987" t="s">
        <v>1640</v>
      </c>
    </row>
    <row r="1988" spans="1:25" hidden="1" x14ac:dyDescent="0.25">
      <c r="A1988" s="1" t="s">
        <v>36</v>
      </c>
      <c r="B1988" s="1" t="s">
        <v>249</v>
      </c>
      <c r="C1988" s="1" t="s">
        <v>26</v>
      </c>
      <c r="D1988" t="s">
        <v>27</v>
      </c>
      <c r="E1988" s="24">
        <v>45939</v>
      </c>
      <c r="F1988" s="24">
        <v>45939</v>
      </c>
      <c r="G1988" s="3">
        <v>47</v>
      </c>
      <c r="H1988" s="4" t="s">
        <v>28</v>
      </c>
      <c r="I1988">
        <v>46</v>
      </c>
      <c r="J1988">
        <v>0</v>
      </c>
      <c r="K1988">
        <v>0</v>
      </c>
      <c r="L1988" s="3">
        <v>1</v>
      </c>
      <c r="M1988" s="3">
        <v>0</v>
      </c>
      <c r="N1988">
        <v>1</v>
      </c>
      <c r="O1988">
        <v>0</v>
      </c>
      <c r="P1988">
        <v>0</v>
      </c>
      <c r="Q1988">
        <v>0</v>
      </c>
      <c r="R1988" s="3">
        <v>0</v>
      </c>
      <c r="S1988" s="3">
        <v>0</v>
      </c>
      <c r="T1988">
        <v>0</v>
      </c>
      <c r="U1988">
        <v>0</v>
      </c>
      <c r="V1988" s="3">
        <v>0</v>
      </c>
      <c r="W1988" s="3">
        <v>0</v>
      </c>
      <c r="X1988">
        <v>0</v>
      </c>
      <c r="Y1988" t="s">
        <v>1641</v>
      </c>
    </row>
    <row r="1989" spans="1:25" hidden="1" x14ac:dyDescent="0.25">
      <c r="A1989" s="1" t="s">
        <v>38</v>
      </c>
      <c r="B1989" s="1" t="s">
        <v>108</v>
      </c>
      <c r="C1989" s="1" t="s">
        <v>27</v>
      </c>
      <c r="D1989" t="s">
        <v>27</v>
      </c>
      <c r="E1989" s="24">
        <v>45939</v>
      </c>
      <c r="F1989" s="24">
        <v>45939</v>
      </c>
      <c r="G1989" s="3">
        <v>39</v>
      </c>
      <c r="H1989" s="4" t="s">
        <v>28</v>
      </c>
      <c r="I1989">
        <v>25</v>
      </c>
      <c r="J1989">
        <v>0</v>
      </c>
      <c r="K1989">
        <v>0</v>
      </c>
      <c r="L1989" s="3">
        <v>0</v>
      </c>
      <c r="M1989" s="3">
        <v>0</v>
      </c>
      <c r="N1989">
        <v>0</v>
      </c>
      <c r="O1989">
        <v>0</v>
      </c>
      <c r="P1989">
        <v>0</v>
      </c>
      <c r="Q1989">
        <v>25</v>
      </c>
      <c r="R1989" s="3">
        <v>0</v>
      </c>
      <c r="S1989" s="3">
        <v>0</v>
      </c>
      <c r="T1989">
        <v>0</v>
      </c>
      <c r="U1989">
        <v>0</v>
      </c>
      <c r="V1989" s="3">
        <v>0</v>
      </c>
      <c r="W1989" s="3">
        <v>0</v>
      </c>
      <c r="X1989">
        <v>0</v>
      </c>
      <c r="Y1989" t="s">
        <v>1642</v>
      </c>
    </row>
    <row r="1990" spans="1:25" hidden="1" x14ac:dyDescent="0.25">
      <c r="A1990" s="1" t="s">
        <v>40</v>
      </c>
      <c r="B1990" s="1" t="s">
        <v>110</v>
      </c>
      <c r="C1990" s="1" t="s">
        <v>489</v>
      </c>
      <c r="D1990" t="s">
        <v>27</v>
      </c>
      <c r="E1990" s="24">
        <v>45939</v>
      </c>
      <c r="F1990" s="24">
        <v>45939</v>
      </c>
      <c r="G1990" s="3">
        <v>52</v>
      </c>
      <c r="H1990" s="4" t="s">
        <v>28</v>
      </c>
      <c r="I1990">
        <v>24</v>
      </c>
      <c r="J1990">
        <v>0</v>
      </c>
      <c r="K1990">
        <v>0</v>
      </c>
      <c r="L1990" s="3">
        <v>0</v>
      </c>
      <c r="M1990" s="3">
        <v>0</v>
      </c>
      <c r="N1990">
        <v>0</v>
      </c>
      <c r="O1990">
        <v>0</v>
      </c>
      <c r="P1990">
        <v>0</v>
      </c>
      <c r="Q1990">
        <v>0</v>
      </c>
      <c r="R1990" s="3">
        <v>0</v>
      </c>
      <c r="S1990" s="3">
        <v>0</v>
      </c>
      <c r="T1990">
        <v>0</v>
      </c>
      <c r="U1990">
        <v>0</v>
      </c>
      <c r="V1990" s="3">
        <v>0</v>
      </c>
      <c r="W1990" s="3">
        <v>0</v>
      </c>
      <c r="X1990">
        <v>0</v>
      </c>
      <c r="Y1990" t="s">
        <v>1643</v>
      </c>
    </row>
    <row r="1991" spans="1:25" hidden="1" x14ac:dyDescent="0.25">
      <c r="A1991" s="1" t="s">
        <v>1454</v>
      </c>
      <c r="B1991" s="1" t="s">
        <v>1455</v>
      </c>
      <c r="C1991" s="1" t="s">
        <v>27</v>
      </c>
      <c r="D1991" t="s">
        <v>27</v>
      </c>
      <c r="E1991" s="24">
        <v>45939</v>
      </c>
      <c r="F1991" s="24">
        <v>45939</v>
      </c>
      <c r="G1991" s="3">
        <v>56</v>
      </c>
      <c r="H1991" s="4" t="s">
        <v>28</v>
      </c>
      <c r="I1991">
        <v>29</v>
      </c>
      <c r="J1991">
        <v>0</v>
      </c>
      <c r="K1991">
        <v>0</v>
      </c>
      <c r="L1991" s="3">
        <v>1</v>
      </c>
      <c r="M1991" s="3">
        <v>0</v>
      </c>
      <c r="N1991">
        <v>0</v>
      </c>
      <c r="O1991">
        <v>0</v>
      </c>
      <c r="P1991">
        <v>0</v>
      </c>
      <c r="Q1991">
        <v>29</v>
      </c>
      <c r="R1991" s="3">
        <v>0</v>
      </c>
      <c r="S1991" s="3">
        <v>0</v>
      </c>
      <c r="T1991">
        <v>0</v>
      </c>
      <c r="U1991">
        <v>0</v>
      </c>
      <c r="V1991" s="3">
        <v>0</v>
      </c>
      <c r="W1991" s="3">
        <v>0</v>
      </c>
      <c r="X1991">
        <v>0</v>
      </c>
      <c r="Y1991" t="s">
        <v>1644</v>
      </c>
    </row>
    <row r="1992" spans="1:25" hidden="1" x14ac:dyDescent="0.25">
      <c r="A1992" s="1" t="s">
        <v>41</v>
      </c>
      <c r="B1992" s="1" t="s">
        <v>112</v>
      </c>
      <c r="C1992" s="1" t="s">
        <v>42</v>
      </c>
      <c r="D1992" t="s">
        <v>27</v>
      </c>
      <c r="E1992" s="24">
        <v>45939</v>
      </c>
      <c r="F1992" s="24">
        <v>45939</v>
      </c>
      <c r="G1992" s="3">
        <v>53</v>
      </c>
      <c r="H1992" s="4" t="s">
        <v>28</v>
      </c>
      <c r="I1992">
        <v>36</v>
      </c>
      <c r="J1992">
        <v>0</v>
      </c>
      <c r="K1992">
        <v>0</v>
      </c>
      <c r="L1992" s="3">
        <v>1</v>
      </c>
      <c r="M1992" s="3">
        <v>0</v>
      </c>
      <c r="N1992">
        <v>0</v>
      </c>
      <c r="O1992">
        <v>0</v>
      </c>
      <c r="P1992">
        <v>0</v>
      </c>
      <c r="Q1992">
        <v>4</v>
      </c>
      <c r="R1992" s="3">
        <v>0</v>
      </c>
      <c r="S1992" s="3">
        <v>0</v>
      </c>
      <c r="T1992">
        <v>0</v>
      </c>
      <c r="U1992">
        <v>0</v>
      </c>
      <c r="V1992" s="3">
        <v>0</v>
      </c>
      <c r="W1992" s="3">
        <v>0</v>
      </c>
      <c r="X1992">
        <v>0</v>
      </c>
      <c r="Y1992" t="s">
        <v>1645</v>
      </c>
    </row>
    <row r="1993" spans="1:25" hidden="1" x14ac:dyDescent="0.25">
      <c r="A1993" s="1" t="s">
        <v>43</v>
      </c>
      <c r="B1993" s="1" t="s">
        <v>114</v>
      </c>
      <c r="C1993" s="1" t="s">
        <v>44</v>
      </c>
      <c r="D1993" t="s">
        <v>27</v>
      </c>
      <c r="E1993" s="24">
        <v>45939</v>
      </c>
      <c r="F1993" s="24">
        <v>45939</v>
      </c>
      <c r="G1993" s="3">
        <v>36</v>
      </c>
      <c r="H1993" s="4" t="s">
        <v>28</v>
      </c>
      <c r="I1993">
        <v>51</v>
      </c>
      <c r="J1993">
        <v>8</v>
      </c>
      <c r="K1993">
        <v>0</v>
      </c>
      <c r="L1993" s="3">
        <v>1</v>
      </c>
      <c r="M1993" s="3">
        <v>0</v>
      </c>
      <c r="N1993">
        <v>0</v>
      </c>
      <c r="O1993">
        <v>0</v>
      </c>
      <c r="P1993">
        <v>0</v>
      </c>
      <c r="Q1993">
        <v>0</v>
      </c>
      <c r="R1993" s="3">
        <v>0</v>
      </c>
      <c r="S1993" s="3">
        <v>0</v>
      </c>
      <c r="T1993">
        <v>0</v>
      </c>
      <c r="U1993">
        <v>0</v>
      </c>
      <c r="V1993" s="3">
        <v>0</v>
      </c>
      <c r="W1993" s="3">
        <v>0</v>
      </c>
      <c r="X1993">
        <v>0</v>
      </c>
      <c r="Y1993" t="s">
        <v>1646</v>
      </c>
    </row>
    <row r="1994" spans="1:25" hidden="1" x14ac:dyDescent="0.25">
      <c r="A1994" s="1" t="s">
        <v>45</v>
      </c>
      <c r="B1994" s="1" t="s">
        <v>116</v>
      </c>
      <c r="C1994" s="1" t="s">
        <v>46</v>
      </c>
      <c r="D1994" t="s">
        <v>27</v>
      </c>
      <c r="E1994" s="24">
        <v>45939</v>
      </c>
      <c r="F1994" s="24">
        <v>45939</v>
      </c>
      <c r="G1994" s="3">
        <v>54</v>
      </c>
      <c r="H1994" s="4" t="s">
        <v>28</v>
      </c>
      <c r="I1994">
        <v>35</v>
      </c>
      <c r="J1994">
        <v>0</v>
      </c>
      <c r="K1994">
        <v>0</v>
      </c>
      <c r="L1994" s="3">
        <v>0</v>
      </c>
      <c r="M1994" s="3">
        <v>0</v>
      </c>
      <c r="N1994">
        <v>0</v>
      </c>
      <c r="O1994">
        <v>0</v>
      </c>
      <c r="P1994">
        <v>0</v>
      </c>
      <c r="Q1994">
        <v>0</v>
      </c>
      <c r="R1994" s="3">
        <v>0</v>
      </c>
      <c r="S1994" s="3">
        <v>0</v>
      </c>
      <c r="T1994">
        <v>0</v>
      </c>
      <c r="U1994">
        <v>0</v>
      </c>
      <c r="V1994" s="3">
        <v>0</v>
      </c>
      <c r="W1994" s="3">
        <v>0</v>
      </c>
      <c r="X1994">
        <v>0</v>
      </c>
      <c r="Y1994" t="s">
        <v>1647</v>
      </c>
    </row>
    <row r="1995" spans="1:25" hidden="1" x14ac:dyDescent="0.25">
      <c r="A1995" s="1" t="s">
        <v>47</v>
      </c>
      <c r="B1995" s="1" t="s">
        <v>137</v>
      </c>
      <c r="C1995" s="1" t="s">
        <v>27</v>
      </c>
      <c r="D1995" t="s">
        <v>27</v>
      </c>
      <c r="E1995" s="24">
        <v>45939</v>
      </c>
      <c r="F1995" s="24">
        <v>45939</v>
      </c>
      <c r="G1995" s="3">
        <v>23</v>
      </c>
      <c r="H1995" s="4" t="s">
        <v>28</v>
      </c>
      <c r="I1995">
        <v>37</v>
      </c>
      <c r="J1995">
        <v>0</v>
      </c>
      <c r="K1995">
        <v>0</v>
      </c>
      <c r="L1995" s="3">
        <v>0</v>
      </c>
      <c r="M1995" s="3">
        <v>0</v>
      </c>
      <c r="N1995">
        <v>0</v>
      </c>
      <c r="O1995">
        <v>0</v>
      </c>
      <c r="P1995">
        <v>0</v>
      </c>
      <c r="Q1995">
        <v>15</v>
      </c>
      <c r="R1995" s="3">
        <v>0</v>
      </c>
      <c r="S1995" s="3">
        <v>0</v>
      </c>
      <c r="T1995">
        <v>0</v>
      </c>
      <c r="U1995">
        <v>0</v>
      </c>
      <c r="V1995" s="3">
        <v>0</v>
      </c>
      <c r="W1995" s="3">
        <v>0</v>
      </c>
      <c r="X1995">
        <v>0</v>
      </c>
      <c r="Y1995" t="s">
        <v>1648</v>
      </c>
    </row>
    <row r="1996" spans="1:25" hidden="1" x14ac:dyDescent="0.25">
      <c r="A1996" s="1" t="s">
        <v>34</v>
      </c>
      <c r="B1996" s="1" t="s">
        <v>137</v>
      </c>
      <c r="C1996" s="1" t="s">
        <v>27</v>
      </c>
      <c r="D1996" t="s">
        <v>27</v>
      </c>
      <c r="E1996" s="24">
        <v>45939</v>
      </c>
      <c r="F1996" s="24">
        <v>45939</v>
      </c>
      <c r="G1996" s="3">
        <v>23</v>
      </c>
      <c r="H1996" s="4" t="s">
        <v>28</v>
      </c>
      <c r="I1996">
        <v>37</v>
      </c>
      <c r="J1996">
        <v>0</v>
      </c>
      <c r="K1996">
        <v>0</v>
      </c>
      <c r="L1996" s="3">
        <v>0</v>
      </c>
      <c r="M1996" s="3">
        <v>0</v>
      </c>
      <c r="N1996">
        <v>0</v>
      </c>
      <c r="O1996">
        <v>0</v>
      </c>
      <c r="P1996">
        <v>0</v>
      </c>
      <c r="Q1996">
        <v>15</v>
      </c>
      <c r="R1996" s="3">
        <v>0</v>
      </c>
      <c r="S1996" s="3">
        <v>0</v>
      </c>
      <c r="T1996">
        <v>0</v>
      </c>
      <c r="U1996">
        <v>0</v>
      </c>
      <c r="V1996" s="3">
        <v>0</v>
      </c>
      <c r="W1996" s="3">
        <v>0</v>
      </c>
      <c r="X1996">
        <v>0</v>
      </c>
      <c r="Y1996" t="s">
        <v>1648</v>
      </c>
    </row>
    <row r="1997" spans="1:25" hidden="1" x14ac:dyDescent="0.25">
      <c r="A1997" t="s">
        <v>58</v>
      </c>
      <c r="B1997" s="1" t="s">
        <v>144</v>
      </c>
      <c r="C1997" s="1" t="s">
        <v>489</v>
      </c>
      <c r="D1997" t="s">
        <v>27</v>
      </c>
      <c r="E1997" s="24">
        <v>45939</v>
      </c>
      <c r="F1997" s="24">
        <v>45939</v>
      </c>
      <c r="G1997" s="3">
        <v>28</v>
      </c>
      <c r="H1997" s="4" t="s">
        <v>1448</v>
      </c>
      <c r="I1997">
        <v>0</v>
      </c>
      <c r="J1997">
        <v>0</v>
      </c>
      <c r="K1997">
        <v>0</v>
      </c>
      <c r="L1997" s="3">
        <v>0</v>
      </c>
      <c r="M1997" s="3">
        <v>0</v>
      </c>
      <c r="N1997">
        <v>0</v>
      </c>
      <c r="O1997">
        <v>0</v>
      </c>
      <c r="P1997">
        <v>0</v>
      </c>
      <c r="Q1997">
        <v>0</v>
      </c>
      <c r="R1997" s="3">
        <v>0</v>
      </c>
      <c r="S1997" s="3">
        <v>0</v>
      </c>
      <c r="T1997">
        <v>0</v>
      </c>
      <c r="U1997">
        <v>0</v>
      </c>
      <c r="V1997" s="3">
        <v>0</v>
      </c>
      <c r="W1997" s="3">
        <v>0</v>
      </c>
      <c r="X1997">
        <v>0</v>
      </c>
      <c r="Y1997" t="s">
        <v>1667</v>
      </c>
    </row>
    <row r="1998" spans="1:25" hidden="1" x14ac:dyDescent="0.25">
      <c r="A1998" s="1" t="s">
        <v>49</v>
      </c>
      <c r="B1998" s="1" t="s">
        <v>118</v>
      </c>
      <c r="C1998" s="1" t="s">
        <v>50</v>
      </c>
      <c r="D1998" t="s">
        <v>27</v>
      </c>
      <c r="E1998" s="24">
        <v>45939</v>
      </c>
      <c r="F1998" s="24">
        <v>45939</v>
      </c>
      <c r="G1998" s="3">
        <v>26</v>
      </c>
      <c r="H1998" s="4" t="s">
        <v>28</v>
      </c>
      <c r="I1998">
        <v>41</v>
      </c>
      <c r="J1998">
        <v>0</v>
      </c>
      <c r="K1998">
        <v>0</v>
      </c>
      <c r="L1998" s="3">
        <v>1</v>
      </c>
      <c r="M1998" s="3">
        <v>1</v>
      </c>
      <c r="N1998">
        <v>0</v>
      </c>
      <c r="O1998">
        <v>1</v>
      </c>
      <c r="P1998">
        <v>0</v>
      </c>
      <c r="Q1998">
        <v>47</v>
      </c>
      <c r="R1998" s="3">
        <v>0</v>
      </c>
      <c r="S1998" s="3">
        <v>0</v>
      </c>
      <c r="T1998">
        <v>0</v>
      </c>
      <c r="U1998">
        <v>0</v>
      </c>
      <c r="V1998" s="3">
        <v>0</v>
      </c>
      <c r="W1998" s="3">
        <v>0</v>
      </c>
      <c r="X1998">
        <v>0</v>
      </c>
      <c r="Y1998" t="s">
        <v>1649</v>
      </c>
    </row>
    <row r="1999" spans="1:25" hidden="1" x14ac:dyDescent="0.25">
      <c r="A1999" s="1" t="s">
        <v>51</v>
      </c>
      <c r="B1999" s="1" t="s">
        <v>120</v>
      </c>
      <c r="C1999" s="1" t="s">
        <v>55</v>
      </c>
      <c r="D1999" t="s">
        <v>27</v>
      </c>
      <c r="E1999" s="24">
        <v>45939</v>
      </c>
      <c r="F1999" s="24">
        <v>45939</v>
      </c>
      <c r="G1999" s="3">
        <v>49</v>
      </c>
      <c r="H1999" s="4" t="s">
        <v>28</v>
      </c>
      <c r="I1999">
        <v>47</v>
      </c>
      <c r="J1999">
        <v>0</v>
      </c>
      <c r="K1999">
        <v>0</v>
      </c>
      <c r="L1999" s="3">
        <v>0</v>
      </c>
      <c r="M1999" s="3">
        <v>0</v>
      </c>
      <c r="N1999">
        <v>1</v>
      </c>
      <c r="O1999">
        <v>0</v>
      </c>
      <c r="P1999">
        <v>0</v>
      </c>
      <c r="Q1999">
        <v>0</v>
      </c>
      <c r="R1999" s="3">
        <v>0</v>
      </c>
      <c r="S1999" s="3">
        <v>0</v>
      </c>
      <c r="T1999">
        <v>0</v>
      </c>
      <c r="U1999">
        <v>0</v>
      </c>
      <c r="V1999" s="3">
        <v>0</v>
      </c>
      <c r="W1999" s="3">
        <v>0</v>
      </c>
      <c r="X1999">
        <v>0</v>
      </c>
      <c r="Y1999" t="s">
        <v>1650</v>
      </c>
    </row>
    <row r="2000" spans="1:25" hidden="1" x14ac:dyDescent="0.25">
      <c r="A2000" s="1" t="s">
        <v>54</v>
      </c>
      <c r="B2000" s="1" t="s">
        <v>122</v>
      </c>
      <c r="C2000" s="1" t="s">
        <v>52</v>
      </c>
      <c r="D2000" t="s">
        <v>27</v>
      </c>
      <c r="E2000" s="24">
        <v>45939</v>
      </c>
      <c r="F2000" s="24">
        <v>45939</v>
      </c>
      <c r="G2000" s="3">
        <v>36</v>
      </c>
      <c r="H2000" s="4" t="s">
        <v>28</v>
      </c>
      <c r="I2000">
        <v>31</v>
      </c>
      <c r="J2000">
        <v>0</v>
      </c>
      <c r="K2000">
        <v>0</v>
      </c>
      <c r="L2000" s="3">
        <v>0</v>
      </c>
      <c r="M2000" s="3">
        <v>0</v>
      </c>
      <c r="N2000">
        <v>0</v>
      </c>
      <c r="O2000">
        <v>0</v>
      </c>
      <c r="P2000">
        <v>0</v>
      </c>
      <c r="Q2000">
        <v>2</v>
      </c>
      <c r="R2000" s="3">
        <v>0</v>
      </c>
      <c r="S2000" s="3">
        <v>0</v>
      </c>
      <c r="T2000">
        <v>0</v>
      </c>
      <c r="U2000">
        <v>0</v>
      </c>
      <c r="V2000" s="3">
        <v>0</v>
      </c>
      <c r="W2000" s="3">
        <v>0</v>
      </c>
      <c r="X2000">
        <v>0</v>
      </c>
      <c r="Y2000" t="s">
        <v>1635</v>
      </c>
    </row>
    <row r="2001" spans="1:25" hidden="1" x14ac:dyDescent="0.25">
      <c r="A2001" s="1" t="s">
        <v>48</v>
      </c>
      <c r="B2001" s="1" t="s">
        <v>123</v>
      </c>
      <c r="C2001" s="1" t="s">
        <v>27</v>
      </c>
      <c r="D2001" t="s">
        <v>27</v>
      </c>
      <c r="E2001" s="24">
        <v>45939</v>
      </c>
      <c r="F2001" s="24">
        <v>45939</v>
      </c>
      <c r="G2001" s="3">
        <v>37</v>
      </c>
      <c r="H2001" s="4" t="s">
        <v>1651</v>
      </c>
      <c r="I2001">
        <v>0</v>
      </c>
      <c r="J2001">
        <v>0</v>
      </c>
      <c r="K2001">
        <v>0</v>
      </c>
      <c r="L2001" s="3">
        <v>0</v>
      </c>
      <c r="M2001" s="3">
        <v>0</v>
      </c>
      <c r="N2001">
        <v>0</v>
      </c>
      <c r="O2001">
        <v>0</v>
      </c>
      <c r="P2001">
        <v>0</v>
      </c>
      <c r="Q2001">
        <v>0</v>
      </c>
      <c r="R2001" s="3">
        <v>0</v>
      </c>
      <c r="S2001" s="3">
        <v>0</v>
      </c>
      <c r="T2001">
        <v>0</v>
      </c>
      <c r="U2001">
        <v>0</v>
      </c>
      <c r="V2001" s="3">
        <v>0</v>
      </c>
      <c r="W2001" s="3">
        <v>0</v>
      </c>
      <c r="X2001" s="3">
        <v>0</v>
      </c>
      <c r="Y2001" t="s">
        <v>1635</v>
      </c>
    </row>
    <row r="2002" spans="1:25" hidden="1" x14ac:dyDescent="0.25">
      <c r="A2002" s="1" t="s">
        <v>25</v>
      </c>
      <c r="B2002" s="1" t="s">
        <v>96</v>
      </c>
      <c r="C2002" s="1" t="s">
        <v>35</v>
      </c>
      <c r="D2002" t="s">
        <v>27</v>
      </c>
      <c r="E2002" s="24">
        <v>45940</v>
      </c>
      <c r="F2002" s="24">
        <v>45940</v>
      </c>
      <c r="G2002" s="3">
        <v>34</v>
      </c>
      <c r="H2002" s="4" t="s">
        <v>28</v>
      </c>
      <c r="I2002">
        <v>35</v>
      </c>
      <c r="J2002">
        <v>0</v>
      </c>
      <c r="K2002">
        <v>0</v>
      </c>
      <c r="L2002" s="3">
        <v>0</v>
      </c>
      <c r="M2002" s="3">
        <v>0</v>
      </c>
      <c r="N2002">
        <v>0</v>
      </c>
      <c r="O2002">
        <v>0</v>
      </c>
      <c r="P2002">
        <v>0</v>
      </c>
      <c r="Q2002">
        <v>0</v>
      </c>
      <c r="R2002" s="3">
        <v>0</v>
      </c>
      <c r="S2002" s="3">
        <v>0</v>
      </c>
      <c r="T2002">
        <v>0</v>
      </c>
      <c r="U2002">
        <v>0</v>
      </c>
      <c r="V2002" s="3">
        <v>0</v>
      </c>
      <c r="W2002" s="3">
        <v>0</v>
      </c>
      <c r="X2002">
        <v>0</v>
      </c>
      <c r="Y2002" t="s">
        <v>1652</v>
      </c>
    </row>
    <row r="2003" spans="1:25" hidden="1" x14ac:dyDescent="0.25">
      <c r="A2003" s="1" t="s">
        <v>56</v>
      </c>
      <c r="B2003" s="1" t="s">
        <v>98</v>
      </c>
      <c r="C2003" s="1" t="s">
        <v>37</v>
      </c>
      <c r="D2003" t="s">
        <v>27</v>
      </c>
      <c r="E2003" s="24">
        <v>45940</v>
      </c>
      <c r="F2003" s="24">
        <v>45940</v>
      </c>
      <c r="G2003" s="3">
        <v>37</v>
      </c>
      <c r="H2003" s="4" t="s">
        <v>28</v>
      </c>
      <c r="I2003">
        <v>92</v>
      </c>
      <c r="J2003">
        <v>0</v>
      </c>
      <c r="K2003">
        <v>0</v>
      </c>
      <c r="L2003" s="3">
        <v>1</v>
      </c>
      <c r="M2003" s="3">
        <v>0</v>
      </c>
      <c r="N2003">
        <v>0</v>
      </c>
      <c r="O2003">
        <v>0</v>
      </c>
      <c r="P2003">
        <v>0</v>
      </c>
      <c r="Q2003">
        <v>10</v>
      </c>
      <c r="R2003" s="3">
        <v>0</v>
      </c>
      <c r="S2003" s="3">
        <v>0</v>
      </c>
      <c r="T2003">
        <v>0</v>
      </c>
      <c r="U2003">
        <v>0</v>
      </c>
      <c r="V2003" s="3">
        <v>0</v>
      </c>
      <c r="W2003" s="3">
        <v>0</v>
      </c>
      <c r="X2003">
        <v>0</v>
      </c>
      <c r="Y2003" t="s">
        <v>1653</v>
      </c>
    </row>
    <row r="2004" spans="1:25" hidden="1" x14ac:dyDescent="0.25">
      <c r="A2004" s="1" t="s">
        <v>29</v>
      </c>
      <c r="B2004" s="1" t="s">
        <v>100</v>
      </c>
      <c r="C2004" s="1" t="s">
        <v>95</v>
      </c>
      <c r="D2004" t="s">
        <v>27</v>
      </c>
      <c r="E2004" s="24">
        <v>45940</v>
      </c>
      <c r="F2004" s="24">
        <v>45940</v>
      </c>
      <c r="G2004" s="3">
        <v>28</v>
      </c>
      <c r="H2004" s="4" t="s">
        <v>28</v>
      </c>
      <c r="I2004">
        <v>66</v>
      </c>
      <c r="J2004">
        <v>0</v>
      </c>
      <c r="K2004">
        <v>0</v>
      </c>
      <c r="L2004" s="3">
        <v>1</v>
      </c>
      <c r="M2004" s="3">
        <v>0</v>
      </c>
      <c r="N2004">
        <v>0</v>
      </c>
      <c r="O2004">
        <v>0</v>
      </c>
      <c r="P2004">
        <v>0</v>
      </c>
      <c r="Q2004">
        <v>2</v>
      </c>
      <c r="R2004" s="3">
        <v>0</v>
      </c>
      <c r="S2004" s="3">
        <v>0</v>
      </c>
      <c r="T2004">
        <v>0</v>
      </c>
      <c r="U2004">
        <v>0</v>
      </c>
      <c r="V2004" s="3">
        <v>0</v>
      </c>
      <c r="W2004" s="3">
        <v>0</v>
      </c>
      <c r="X2004">
        <v>0</v>
      </c>
      <c r="Y2004" t="s">
        <v>1654</v>
      </c>
    </row>
    <row r="2005" spans="1:25" hidden="1" x14ac:dyDescent="0.25">
      <c r="A2005" s="1" t="s">
        <v>31</v>
      </c>
      <c r="B2005" s="1" t="s">
        <v>104</v>
      </c>
      <c r="C2005" s="1" t="s">
        <v>32</v>
      </c>
      <c r="D2005" t="s">
        <v>27</v>
      </c>
      <c r="E2005" s="24">
        <v>45940</v>
      </c>
      <c r="F2005" s="24">
        <v>45940</v>
      </c>
      <c r="G2005" s="3">
        <v>86</v>
      </c>
      <c r="H2005" s="4" t="s">
        <v>28</v>
      </c>
      <c r="I2005">
        <v>81</v>
      </c>
      <c r="J2005">
        <v>0</v>
      </c>
      <c r="K2005">
        <v>0</v>
      </c>
      <c r="L2005" s="3">
        <v>0</v>
      </c>
      <c r="M2005" s="3">
        <v>0</v>
      </c>
      <c r="N2005">
        <v>0</v>
      </c>
      <c r="O2005">
        <v>0</v>
      </c>
      <c r="P2005">
        <v>0</v>
      </c>
      <c r="Q2005">
        <v>34</v>
      </c>
      <c r="R2005" s="3">
        <v>0</v>
      </c>
      <c r="S2005" s="3">
        <v>0</v>
      </c>
      <c r="T2005">
        <v>0</v>
      </c>
      <c r="U2005">
        <v>0</v>
      </c>
      <c r="V2005" s="3">
        <v>0</v>
      </c>
      <c r="W2005" s="3">
        <v>0</v>
      </c>
      <c r="X2005">
        <v>0</v>
      </c>
      <c r="Y2005" t="s">
        <v>1655</v>
      </c>
    </row>
    <row r="2006" spans="1:25" hidden="1" x14ac:dyDescent="0.25">
      <c r="A2006" t="s">
        <v>33</v>
      </c>
      <c r="B2006" s="1" t="s">
        <v>106</v>
      </c>
      <c r="C2006" s="1" t="s">
        <v>57</v>
      </c>
      <c r="D2006" t="s">
        <v>27</v>
      </c>
      <c r="E2006" s="24">
        <v>45940</v>
      </c>
      <c r="F2006" s="24">
        <v>45940</v>
      </c>
      <c r="G2006" s="3">
        <v>32</v>
      </c>
      <c r="H2006" s="4" t="s">
        <v>28</v>
      </c>
      <c r="I2006">
        <v>49</v>
      </c>
      <c r="J2006">
        <v>0</v>
      </c>
      <c r="K2006">
        <v>0</v>
      </c>
      <c r="L2006" s="3">
        <v>0</v>
      </c>
      <c r="M2006" s="3">
        <v>0</v>
      </c>
      <c r="N2006">
        <v>0</v>
      </c>
      <c r="O2006">
        <v>0</v>
      </c>
      <c r="P2006">
        <v>0</v>
      </c>
      <c r="Q2006">
        <v>20</v>
      </c>
      <c r="R2006" s="3">
        <v>0</v>
      </c>
      <c r="S2006" s="3">
        <v>0</v>
      </c>
      <c r="T2006">
        <v>0</v>
      </c>
      <c r="U2006">
        <v>0</v>
      </c>
      <c r="V2006" s="3">
        <v>0</v>
      </c>
      <c r="W2006" s="3">
        <v>0</v>
      </c>
      <c r="X2006">
        <v>0</v>
      </c>
      <c r="Y2006" t="s">
        <v>1656</v>
      </c>
    </row>
    <row r="2007" spans="1:25" hidden="1" x14ac:dyDescent="0.25">
      <c r="A2007" s="1" t="s">
        <v>38</v>
      </c>
      <c r="B2007" s="1" t="s">
        <v>108</v>
      </c>
      <c r="C2007" s="1" t="s">
        <v>27</v>
      </c>
      <c r="D2007" t="s">
        <v>27</v>
      </c>
      <c r="E2007" s="24">
        <v>45940</v>
      </c>
      <c r="F2007" s="24">
        <v>45940</v>
      </c>
      <c r="G2007" s="3">
        <v>62</v>
      </c>
      <c r="H2007" s="4" t="s">
        <v>28</v>
      </c>
      <c r="I2007">
        <v>47</v>
      </c>
      <c r="J2007">
        <v>0</v>
      </c>
      <c r="K2007">
        <v>0</v>
      </c>
      <c r="L2007" s="3">
        <v>0</v>
      </c>
      <c r="M2007" s="3">
        <v>0</v>
      </c>
      <c r="N2007">
        <v>0</v>
      </c>
      <c r="O2007">
        <v>0</v>
      </c>
      <c r="P2007">
        <v>0</v>
      </c>
      <c r="Q2007">
        <v>47</v>
      </c>
      <c r="R2007" s="3">
        <v>0</v>
      </c>
      <c r="S2007" s="3">
        <v>0</v>
      </c>
      <c r="T2007">
        <v>0</v>
      </c>
      <c r="U2007">
        <v>0</v>
      </c>
      <c r="V2007" s="3">
        <v>0</v>
      </c>
      <c r="W2007" s="3">
        <v>0</v>
      </c>
      <c r="X2007">
        <v>0</v>
      </c>
      <c r="Y2007" t="s">
        <v>1657</v>
      </c>
    </row>
    <row r="2008" spans="1:25" hidden="1" x14ac:dyDescent="0.25">
      <c r="A2008" s="1" t="s">
        <v>40</v>
      </c>
      <c r="B2008" s="1" t="s">
        <v>110</v>
      </c>
      <c r="C2008" s="1" t="s">
        <v>27</v>
      </c>
      <c r="D2008" t="s">
        <v>27</v>
      </c>
      <c r="E2008" s="24">
        <v>45940</v>
      </c>
      <c r="F2008" s="24">
        <v>45940</v>
      </c>
      <c r="G2008" s="3">
        <v>128</v>
      </c>
      <c r="H2008" s="4" t="s">
        <v>28</v>
      </c>
      <c r="I2008">
        <v>38</v>
      </c>
      <c r="J2008">
        <v>0</v>
      </c>
      <c r="K2008">
        <v>0</v>
      </c>
      <c r="L2008" s="3">
        <v>1</v>
      </c>
      <c r="M2008" s="3">
        <v>0</v>
      </c>
      <c r="N2008">
        <v>1</v>
      </c>
      <c r="O2008">
        <v>0</v>
      </c>
      <c r="P2008">
        <v>0</v>
      </c>
      <c r="Q2008">
        <v>0</v>
      </c>
      <c r="R2008" s="3">
        <v>0</v>
      </c>
      <c r="S2008" s="3">
        <v>0</v>
      </c>
      <c r="T2008">
        <v>0</v>
      </c>
      <c r="U2008">
        <v>0</v>
      </c>
      <c r="V2008" s="3">
        <v>0</v>
      </c>
      <c r="W2008" s="3">
        <v>0</v>
      </c>
      <c r="X2008">
        <v>0</v>
      </c>
      <c r="Y2008" t="s">
        <v>1658</v>
      </c>
    </row>
    <row r="2009" spans="1:25" hidden="1" x14ac:dyDescent="0.25">
      <c r="A2009" s="1" t="s">
        <v>36</v>
      </c>
      <c r="B2009" s="1" t="s">
        <v>110</v>
      </c>
      <c r="C2009" s="1" t="s">
        <v>27</v>
      </c>
      <c r="D2009" t="s">
        <v>27</v>
      </c>
      <c r="E2009" s="24">
        <v>45940</v>
      </c>
      <c r="F2009" s="24">
        <v>45940</v>
      </c>
      <c r="G2009" s="3">
        <v>135</v>
      </c>
      <c r="H2009" s="4" t="s">
        <v>28</v>
      </c>
      <c r="I2009">
        <v>38</v>
      </c>
      <c r="J2009">
        <v>0</v>
      </c>
      <c r="K2009">
        <v>0</v>
      </c>
      <c r="L2009" s="3">
        <v>1</v>
      </c>
      <c r="M2009" s="3">
        <v>0</v>
      </c>
      <c r="N2009">
        <v>1</v>
      </c>
      <c r="O2009">
        <v>0</v>
      </c>
      <c r="P2009">
        <v>0</v>
      </c>
      <c r="Q2009">
        <v>0</v>
      </c>
      <c r="R2009" s="3">
        <v>0</v>
      </c>
      <c r="S2009" s="3">
        <v>0</v>
      </c>
      <c r="T2009">
        <v>0</v>
      </c>
      <c r="U2009">
        <v>0</v>
      </c>
      <c r="V2009" s="3">
        <v>0</v>
      </c>
      <c r="W2009" s="3">
        <v>0</v>
      </c>
      <c r="X2009">
        <v>0</v>
      </c>
      <c r="Y2009" t="s">
        <v>1659</v>
      </c>
    </row>
    <row r="2010" spans="1:25" hidden="1" x14ac:dyDescent="0.25">
      <c r="A2010" s="1" t="s">
        <v>1454</v>
      </c>
      <c r="B2010" s="1" t="s">
        <v>1455</v>
      </c>
      <c r="C2010" s="1" t="s">
        <v>27</v>
      </c>
      <c r="D2010" t="s">
        <v>27</v>
      </c>
      <c r="E2010" s="24">
        <v>45940</v>
      </c>
      <c r="F2010" s="24">
        <v>45940</v>
      </c>
      <c r="G2010" s="3">
        <v>48</v>
      </c>
      <c r="H2010" s="4" t="s">
        <v>28</v>
      </c>
      <c r="I2010">
        <v>36</v>
      </c>
      <c r="J2010">
        <v>0</v>
      </c>
      <c r="K2010">
        <v>0</v>
      </c>
      <c r="L2010" s="3">
        <v>1</v>
      </c>
      <c r="M2010" s="3">
        <v>0</v>
      </c>
      <c r="N2010">
        <v>0</v>
      </c>
      <c r="O2010">
        <v>0</v>
      </c>
      <c r="P2010">
        <v>0</v>
      </c>
      <c r="Q2010">
        <v>36</v>
      </c>
      <c r="R2010" s="3">
        <v>0</v>
      </c>
      <c r="S2010" s="3">
        <v>0</v>
      </c>
      <c r="T2010">
        <v>0</v>
      </c>
      <c r="U2010">
        <v>0</v>
      </c>
      <c r="V2010" s="3">
        <v>0</v>
      </c>
      <c r="W2010" s="3">
        <v>0</v>
      </c>
      <c r="X2010">
        <v>0</v>
      </c>
      <c r="Y2010" t="s">
        <v>1660</v>
      </c>
    </row>
    <row r="2011" spans="1:25" hidden="1" x14ac:dyDescent="0.25">
      <c r="A2011" s="1" t="s">
        <v>41</v>
      </c>
      <c r="B2011" s="1" t="s">
        <v>112</v>
      </c>
      <c r="C2011" s="1" t="s">
        <v>42</v>
      </c>
      <c r="D2011" t="s">
        <v>27</v>
      </c>
      <c r="E2011" s="24">
        <v>45940</v>
      </c>
      <c r="F2011" s="24">
        <v>45940</v>
      </c>
      <c r="G2011" s="3">
        <v>38</v>
      </c>
      <c r="H2011" s="4" t="s">
        <v>28</v>
      </c>
      <c r="I2011">
        <v>44</v>
      </c>
      <c r="J2011">
        <v>0</v>
      </c>
      <c r="K2011">
        <v>0</v>
      </c>
      <c r="L2011" s="3">
        <v>1</v>
      </c>
      <c r="M2011" s="3">
        <v>0</v>
      </c>
      <c r="N2011">
        <v>0</v>
      </c>
      <c r="O2011">
        <v>0</v>
      </c>
      <c r="P2011">
        <v>0</v>
      </c>
      <c r="Q2011">
        <v>1</v>
      </c>
      <c r="R2011" s="3">
        <v>0</v>
      </c>
      <c r="S2011" s="3">
        <v>0</v>
      </c>
      <c r="T2011">
        <v>0</v>
      </c>
      <c r="U2011">
        <v>0</v>
      </c>
      <c r="V2011" s="3">
        <v>0</v>
      </c>
      <c r="W2011" s="3">
        <v>0</v>
      </c>
      <c r="X2011">
        <v>0</v>
      </c>
      <c r="Y2011" t="s">
        <v>1661</v>
      </c>
    </row>
    <row r="2012" spans="1:25" hidden="1" x14ac:dyDescent="0.25">
      <c r="A2012" s="1" t="s">
        <v>27</v>
      </c>
      <c r="B2012" s="1" t="s">
        <v>112</v>
      </c>
      <c r="C2012" s="1" t="s">
        <v>26</v>
      </c>
      <c r="D2012" t="s">
        <v>27</v>
      </c>
      <c r="E2012" s="24">
        <v>45940</v>
      </c>
      <c r="F2012" s="24">
        <v>45940</v>
      </c>
      <c r="G2012" s="3">
        <v>38</v>
      </c>
      <c r="H2012" s="4" t="s">
        <v>1448</v>
      </c>
      <c r="I2012">
        <v>0</v>
      </c>
      <c r="J2012">
        <v>0</v>
      </c>
      <c r="K2012">
        <v>0</v>
      </c>
      <c r="L2012" s="3">
        <v>0</v>
      </c>
      <c r="M2012" s="3">
        <v>0</v>
      </c>
      <c r="N2012">
        <v>0</v>
      </c>
      <c r="O2012">
        <v>0</v>
      </c>
      <c r="P2012">
        <v>0</v>
      </c>
      <c r="Q2012">
        <v>0</v>
      </c>
      <c r="R2012" s="3">
        <v>0</v>
      </c>
      <c r="S2012" s="3">
        <v>0</v>
      </c>
      <c r="T2012">
        <v>0</v>
      </c>
      <c r="U2012">
        <v>0</v>
      </c>
      <c r="V2012" s="3">
        <v>0</v>
      </c>
      <c r="W2012" s="3">
        <v>0</v>
      </c>
      <c r="X2012">
        <v>0</v>
      </c>
      <c r="Y2012" t="s">
        <v>1661</v>
      </c>
    </row>
    <row r="2013" spans="1:25" hidden="1" x14ac:dyDescent="0.25">
      <c r="A2013" s="1" t="s">
        <v>43</v>
      </c>
      <c r="B2013" s="1" t="s">
        <v>114</v>
      </c>
      <c r="C2013" s="1" t="s">
        <v>44</v>
      </c>
      <c r="D2013" t="s">
        <v>27</v>
      </c>
      <c r="E2013" s="24">
        <v>45940</v>
      </c>
      <c r="F2013" s="24">
        <v>45940</v>
      </c>
      <c r="G2013" s="3">
        <v>28</v>
      </c>
      <c r="H2013" s="4" t="s">
        <v>28</v>
      </c>
      <c r="I2013">
        <v>61</v>
      </c>
      <c r="J2013">
        <v>0</v>
      </c>
      <c r="K2013">
        <v>0</v>
      </c>
      <c r="L2013" s="3">
        <v>1</v>
      </c>
      <c r="M2013" s="3">
        <v>0</v>
      </c>
      <c r="N2013">
        <v>0</v>
      </c>
      <c r="O2013">
        <v>0</v>
      </c>
      <c r="P2013">
        <v>0</v>
      </c>
      <c r="Q2013">
        <v>0</v>
      </c>
      <c r="R2013" s="3">
        <v>0</v>
      </c>
      <c r="S2013" s="3">
        <v>0</v>
      </c>
      <c r="T2013">
        <v>0</v>
      </c>
      <c r="U2013">
        <v>0</v>
      </c>
      <c r="V2013" s="3">
        <v>0</v>
      </c>
      <c r="W2013" s="3">
        <v>0</v>
      </c>
      <c r="X2013">
        <v>0</v>
      </c>
      <c r="Y2013" t="s">
        <v>1662</v>
      </c>
    </row>
    <row r="2014" spans="1:25" hidden="1" x14ac:dyDescent="0.25">
      <c r="A2014" s="1" t="s">
        <v>45</v>
      </c>
      <c r="B2014" s="1" t="s">
        <v>116</v>
      </c>
      <c r="C2014" s="1" t="s">
        <v>46</v>
      </c>
      <c r="D2014" t="s">
        <v>27</v>
      </c>
      <c r="E2014" s="24">
        <v>45940</v>
      </c>
      <c r="F2014" s="24">
        <v>45940</v>
      </c>
      <c r="G2014" s="3">
        <v>57</v>
      </c>
      <c r="H2014" s="4" t="s">
        <v>28</v>
      </c>
      <c r="I2014">
        <v>73</v>
      </c>
      <c r="J2014">
        <v>0</v>
      </c>
      <c r="K2014">
        <v>0</v>
      </c>
      <c r="L2014" s="3">
        <v>1</v>
      </c>
      <c r="M2014" s="3">
        <v>0</v>
      </c>
      <c r="N2014">
        <v>0</v>
      </c>
      <c r="O2014">
        <v>0</v>
      </c>
      <c r="P2014">
        <v>0</v>
      </c>
      <c r="Q2014">
        <v>8</v>
      </c>
      <c r="R2014" s="3">
        <v>0</v>
      </c>
      <c r="S2014" s="3">
        <v>0</v>
      </c>
      <c r="T2014">
        <v>0</v>
      </c>
      <c r="U2014">
        <v>0</v>
      </c>
      <c r="V2014" s="3">
        <v>0</v>
      </c>
      <c r="W2014" s="3">
        <v>0</v>
      </c>
      <c r="X2014">
        <v>0</v>
      </c>
      <c r="Y2014" t="s">
        <v>1663</v>
      </c>
    </row>
    <row r="2015" spans="1:25" hidden="1" x14ac:dyDescent="0.25">
      <c r="A2015" s="1" t="s">
        <v>47</v>
      </c>
      <c r="B2015" s="1" t="s">
        <v>137</v>
      </c>
      <c r="C2015" s="1" t="s">
        <v>27</v>
      </c>
      <c r="D2015" t="s">
        <v>27</v>
      </c>
      <c r="E2015" s="24">
        <v>45940</v>
      </c>
      <c r="F2015" s="24">
        <v>45940</v>
      </c>
      <c r="G2015" s="3">
        <v>47</v>
      </c>
      <c r="H2015" s="4" t="s">
        <v>28</v>
      </c>
      <c r="I2015">
        <v>52</v>
      </c>
      <c r="J2015">
        <v>5</v>
      </c>
      <c r="K2015">
        <v>0</v>
      </c>
      <c r="L2015" s="3">
        <v>0</v>
      </c>
      <c r="M2015" s="3">
        <v>0</v>
      </c>
      <c r="N2015">
        <v>1</v>
      </c>
      <c r="O2015">
        <v>0</v>
      </c>
      <c r="P2015">
        <v>0</v>
      </c>
      <c r="Q2015">
        <v>2</v>
      </c>
      <c r="R2015" s="3">
        <v>0</v>
      </c>
      <c r="S2015" s="3">
        <v>0</v>
      </c>
      <c r="T2015">
        <v>0</v>
      </c>
      <c r="U2015">
        <v>0</v>
      </c>
      <c r="V2015" s="3">
        <v>0</v>
      </c>
      <c r="W2015" s="3">
        <v>0</v>
      </c>
      <c r="X2015">
        <v>3</v>
      </c>
      <c r="Y2015" t="s">
        <v>1664</v>
      </c>
    </row>
    <row r="2016" spans="1:25" hidden="1" x14ac:dyDescent="0.25">
      <c r="A2016" s="1" t="s">
        <v>34</v>
      </c>
      <c r="B2016" s="1" t="s">
        <v>137</v>
      </c>
      <c r="C2016" s="1" t="s">
        <v>27</v>
      </c>
      <c r="D2016" t="s">
        <v>27</v>
      </c>
      <c r="E2016" s="24">
        <v>45940</v>
      </c>
      <c r="F2016" s="24">
        <v>45940</v>
      </c>
      <c r="G2016" s="3">
        <v>47</v>
      </c>
      <c r="H2016" s="4" t="s">
        <v>28</v>
      </c>
      <c r="I2016">
        <v>52</v>
      </c>
      <c r="J2016">
        <v>5</v>
      </c>
      <c r="K2016">
        <v>0</v>
      </c>
      <c r="L2016" s="3">
        <v>0</v>
      </c>
      <c r="M2016" s="3">
        <v>0</v>
      </c>
      <c r="N2016">
        <v>1</v>
      </c>
      <c r="O2016">
        <v>0</v>
      </c>
      <c r="P2016">
        <v>0</v>
      </c>
      <c r="Q2016">
        <v>2</v>
      </c>
      <c r="R2016" s="3">
        <v>0</v>
      </c>
      <c r="S2016" s="3">
        <v>0</v>
      </c>
      <c r="T2016">
        <v>0</v>
      </c>
      <c r="U2016">
        <v>0</v>
      </c>
      <c r="V2016" s="3">
        <v>0</v>
      </c>
      <c r="W2016" s="3">
        <v>0</v>
      </c>
      <c r="X2016">
        <v>3</v>
      </c>
      <c r="Y2016" t="s">
        <v>1664</v>
      </c>
    </row>
    <row r="2017" spans="1:25" hidden="1" x14ac:dyDescent="0.25">
      <c r="A2017" s="1" t="s">
        <v>49</v>
      </c>
      <c r="B2017" s="1" t="s">
        <v>118</v>
      </c>
      <c r="C2017" s="1" t="s">
        <v>50</v>
      </c>
      <c r="D2017" t="s">
        <v>27</v>
      </c>
      <c r="E2017" s="24">
        <v>45940</v>
      </c>
      <c r="F2017" s="24">
        <v>45940</v>
      </c>
      <c r="G2017" s="3">
        <v>49</v>
      </c>
      <c r="H2017" s="4" t="s">
        <v>28</v>
      </c>
      <c r="I2017">
        <v>55</v>
      </c>
      <c r="J2017">
        <v>0</v>
      </c>
      <c r="K2017">
        <v>0</v>
      </c>
      <c r="L2017" s="3">
        <v>1</v>
      </c>
      <c r="M2017" s="3">
        <v>1</v>
      </c>
      <c r="N2017">
        <v>0</v>
      </c>
      <c r="O2017">
        <v>0</v>
      </c>
      <c r="P2017">
        <v>0</v>
      </c>
      <c r="Q2017">
        <v>44</v>
      </c>
      <c r="R2017" s="3">
        <v>0</v>
      </c>
      <c r="S2017" s="3">
        <v>0</v>
      </c>
      <c r="T2017">
        <v>0</v>
      </c>
      <c r="U2017">
        <v>0</v>
      </c>
      <c r="V2017" s="3">
        <v>0</v>
      </c>
      <c r="W2017" s="3">
        <v>0</v>
      </c>
      <c r="X2017">
        <v>0</v>
      </c>
      <c r="Y2017" t="s">
        <v>1665</v>
      </c>
    </row>
    <row r="2018" spans="1:25" hidden="1" x14ac:dyDescent="0.25">
      <c r="A2018" s="1" t="s">
        <v>51</v>
      </c>
      <c r="B2018" s="1" t="s">
        <v>120</v>
      </c>
      <c r="C2018" s="1" t="s">
        <v>55</v>
      </c>
      <c r="D2018" t="s">
        <v>27</v>
      </c>
      <c r="E2018" s="24">
        <v>45940</v>
      </c>
      <c r="F2018" s="24">
        <v>45940</v>
      </c>
      <c r="G2018" s="3">
        <v>55</v>
      </c>
      <c r="H2018" s="4" t="s">
        <v>28</v>
      </c>
      <c r="I2018">
        <v>44</v>
      </c>
      <c r="J2018">
        <v>0</v>
      </c>
      <c r="K2018">
        <v>0</v>
      </c>
      <c r="L2018" s="3">
        <v>1</v>
      </c>
      <c r="M2018" s="3">
        <v>0</v>
      </c>
      <c r="N2018">
        <v>1</v>
      </c>
      <c r="O2018">
        <v>0</v>
      </c>
      <c r="P2018">
        <v>0</v>
      </c>
      <c r="Q2018">
        <v>0</v>
      </c>
      <c r="R2018" s="3">
        <v>0</v>
      </c>
      <c r="S2018" s="3">
        <v>0</v>
      </c>
      <c r="T2018">
        <v>0</v>
      </c>
      <c r="U2018">
        <v>0</v>
      </c>
      <c r="V2018" s="3">
        <v>0</v>
      </c>
      <c r="W2018" s="3">
        <v>0</v>
      </c>
      <c r="X2018">
        <v>0</v>
      </c>
      <c r="Y2018" t="s">
        <v>1666</v>
      </c>
    </row>
    <row r="2019" spans="1:25" hidden="1" x14ac:dyDescent="0.25">
      <c r="A2019" s="1" t="s">
        <v>54</v>
      </c>
      <c r="B2019" s="1" t="s">
        <v>122</v>
      </c>
      <c r="C2019" s="1" t="s">
        <v>52</v>
      </c>
      <c r="D2019" t="s">
        <v>27</v>
      </c>
      <c r="E2019" s="24">
        <v>45940</v>
      </c>
      <c r="F2019" s="24">
        <v>45940</v>
      </c>
      <c r="G2019" s="3">
        <v>36</v>
      </c>
      <c r="H2019" s="4" t="s">
        <v>28</v>
      </c>
      <c r="I2019">
        <v>48</v>
      </c>
      <c r="J2019">
        <v>0</v>
      </c>
      <c r="K2019">
        <v>0</v>
      </c>
      <c r="L2019" s="3">
        <v>0</v>
      </c>
      <c r="M2019" s="3">
        <v>0</v>
      </c>
      <c r="N2019">
        <v>0</v>
      </c>
      <c r="O2019">
        <v>0</v>
      </c>
      <c r="P2019">
        <v>0</v>
      </c>
      <c r="Q2019">
        <v>2</v>
      </c>
      <c r="R2019" s="3">
        <v>0</v>
      </c>
      <c r="S2019" s="3">
        <v>0</v>
      </c>
      <c r="T2019">
        <v>0</v>
      </c>
      <c r="U2019">
        <v>0</v>
      </c>
      <c r="V2019" s="3">
        <v>0</v>
      </c>
      <c r="W2019" s="3">
        <v>0</v>
      </c>
      <c r="X2019">
        <v>0</v>
      </c>
      <c r="Y2019" t="s">
        <v>1635</v>
      </c>
    </row>
    <row r="2020" spans="1:25" hidden="1" x14ac:dyDescent="0.25">
      <c r="A2020" s="1" t="s">
        <v>48</v>
      </c>
      <c r="B2020" s="1" t="s">
        <v>122</v>
      </c>
      <c r="C2020" t="s">
        <v>27</v>
      </c>
      <c r="D2020" t="s">
        <v>27</v>
      </c>
      <c r="E2020" s="24">
        <v>45940</v>
      </c>
      <c r="F2020" s="24">
        <v>45940</v>
      </c>
      <c r="G2020" s="3">
        <v>36</v>
      </c>
      <c r="H2020" s="4" t="s">
        <v>28</v>
      </c>
      <c r="I2020">
        <v>48</v>
      </c>
      <c r="J2020">
        <v>0</v>
      </c>
      <c r="K2020">
        <v>0</v>
      </c>
      <c r="L2020" s="3">
        <v>0</v>
      </c>
      <c r="M2020" s="3">
        <v>0</v>
      </c>
      <c r="N2020">
        <v>0</v>
      </c>
      <c r="O2020">
        <v>0</v>
      </c>
      <c r="P2020">
        <v>0</v>
      </c>
      <c r="Q2020">
        <v>2</v>
      </c>
      <c r="R2020" s="3">
        <v>0</v>
      </c>
      <c r="S2020" s="3">
        <v>0</v>
      </c>
      <c r="T2020">
        <v>0</v>
      </c>
      <c r="U2020">
        <v>0</v>
      </c>
      <c r="V2020" s="3">
        <v>0</v>
      </c>
      <c r="W2020" s="3">
        <v>0</v>
      </c>
      <c r="X2020">
        <v>0</v>
      </c>
      <c r="Y2020" t="s">
        <v>1635</v>
      </c>
    </row>
    <row r="2021" spans="1:25" hidden="1" x14ac:dyDescent="0.25">
      <c r="A2021" t="s">
        <v>58</v>
      </c>
      <c r="B2021" s="1" t="s">
        <v>144</v>
      </c>
      <c r="C2021" s="1" t="s">
        <v>489</v>
      </c>
      <c r="D2021" t="s">
        <v>27</v>
      </c>
      <c r="E2021" s="24">
        <v>45940</v>
      </c>
      <c r="F2021" s="24">
        <v>45940</v>
      </c>
      <c r="G2021" s="3">
        <v>28</v>
      </c>
      <c r="H2021" s="4" t="s">
        <v>28</v>
      </c>
      <c r="I2021">
        <v>71</v>
      </c>
      <c r="J2021">
        <v>0</v>
      </c>
      <c r="K2021">
        <v>0</v>
      </c>
      <c r="L2021" s="3">
        <v>1</v>
      </c>
      <c r="M2021" s="3">
        <v>0</v>
      </c>
      <c r="N2021">
        <v>0</v>
      </c>
      <c r="O2021">
        <v>0</v>
      </c>
      <c r="P2021">
        <v>0</v>
      </c>
      <c r="Q2021">
        <v>0</v>
      </c>
      <c r="R2021" s="3">
        <v>0</v>
      </c>
      <c r="S2021" s="3">
        <v>0</v>
      </c>
      <c r="T2021">
        <v>0</v>
      </c>
      <c r="U2021">
        <v>0</v>
      </c>
      <c r="V2021" s="3">
        <v>0</v>
      </c>
      <c r="W2021" s="3">
        <v>0</v>
      </c>
      <c r="X2021">
        <v>0</v>
      </c>
      <c r="Y2021" t="s">
        <v>1667</v>
      </c>
    </row>
    <row r="2022" spans="1:25" hidden="1" x14ac:dyDescent="0.25">
      <c r="A2022" t="s">
        <v>41</v>
      </c>
      <c r="B2022" t="s">
        <v>112</v>
      </c>
      <c r="C2022" t="s">
        <v>42</v>
      </c>
      <c r="D2022" t="s">
        <v>27</v>
      </c>
      <c r="E2022" s="2">
        <v>45941</v>
      </c>
      <c r="F2022" s="2">
        <v>45941</v>
      </c>
      <c r="G2022" s="3">
        <v>228</v>
      </c>
      <c r="H2022" t="s">
        <v>28</v>
      </c>
      <c r="I2022">
        <v>0</v>
      </c>
      <c r="J2022">
        <v>0</v>
      </c>
      <c r="K2022">
        <v>0</v>
      </c>
      <c r="L2022" s="3">
        <v>0</v>
      </c>
      <c r="M2022" s="3">
        <v>0</v>
      </c>
      <c r="N2022">
        <v>0</v>
      </c>
      <c r="O2022">
        <v>0</v>
      </c>
      <c r="P2022">
        <v>0</v>
      </c>
      <c r="Q2022">
        <v>12</v>
      </c>
      <c r="R2022" s="3">
        <v>1</v>
      </c>
      <c r="S2022" s="3">
        <v>0</v>
      </c>
      <c r="T2022">
        <v>12</v>
      </c>
      <c r="U2022">
        <v>102</v>
      </c>
      <c r="V2022" s="3">
        <v>1</v>
      </c>
      <c r="W2022" s="3">
        <v>0</v>
      </c>
      <c r="X2022">
        <v>4</v>
      </c>
      <c r="Y2022" t="s">
        <v>1668</v>
      </c>
    </row>
    <row r="2023" spans="1:25" hidden="1" x14ac:dyDescent="0.25">
      <c r="A2023" t="s">
        <v>51</v>
      </c>
      <c r="B2023" t="s">
        <v>120</v>
      </c>
      <c r="C2023" t="s">
        <v>55</v>
      </c>
      <c r="D2023" t="s">
        <v>27</v>
      </c>
      <c r="E2023" s="2">
        <v>45941</v>
      </c>
      <c r="F2023" s="2">
        <v>45941</v>
      </c>
      <c r="G2023" s="3">
        <v>120</v>
      </c>
      <c r="H2023" t="s">
        <v>28</v>
      </c>
      <c r="I2023">
        <v>0</v>
      </c>
      <c r="J2023">
        <v>0</v>
      </c>
      <c r="K2023">
        <v>0</v>
      </c>
      <c r="L2023" s="3">
        <v>0</v>
      </c>
      <c r="M2023" s="3">
        <v>0</v>
      </c>
      <c r="N2023">
        <v>0</v>
      </c>
      <c r="O2023">
        <v>1</v>
      </c>
      <c r="P2023">
        <v>0</v>
      </c>
      <c r="Q2023">
        <v>0</v>
      </c>
      <c r="R2023" s="3">
        <v>1</v>
      </c>
      <c r="S2023" s="3">
        <v>0</v>
      </c>
      <c r="T2023">
        <v>15</v>
      </c>
      <c r="U2023">
        <v>61</v>
      </c>
      <c r="V2023" s="3">
        <v>1</v>
      </c>
      <c r="W2023" s="3">
        <v>0</v>
      </c>
      <c r="X2023">
        <v>0</v>
      </c>
      <c r="Y2023" t="s">
        <v>1669</v>
      </c>
    </row>
    <row r="2024" spans="1:25" hidden="1" x14ac:dyDescent="0.25">
      <c r="A2024" t="s">
        <v>33</v>
      </c>
      <c r="B2024" t="s">
        <v>106</v>
      </c>
      <c r="C2024" t="s">
        <v>55</v>
      </c>
      <c r="D2024" t="s">
        <v>27</v>
      </c>
      <c r="E2024" s="2">
        <v>45942</v>
      </c>
      <c r="F2024" s="2">
        <v>45942</v>
      </c>
      <c r="G2024" s="3">
        <v>79</v>
      </c>
      <c r="H2024" t="s">
        <v>28</v>
      </c>
      <c r="I2024">
        <v>0</v>
      </c>
      <c r="J2024">
        <v>0</v>
      </c>
      <c r="K2024">
        <v>0</v>
      </c>
      <c r="L2024" s="3">
        <v>1</v>
      </c>
      <c r="M2024" s="3">
        <v>0</v>
      </c>
      <c r="N2024">
        <v>0</v>
      </c>
      <c r="O2024">
        <v>0</v>
      </c>
      <c r="P2024">
        <v>0</v>
      </c>
      <c r="Q2024">
        <v>0</v>
      </c>
      <c r="R2024" s="3">
        <v>0</v>
      </c>
      <c r="S2024" s="3">
        <v>1</v>
      </c>
      <c r="T2024">
        <v>25</v>
      </c>
      <c r="U2024">
        <v>50</v>
      </c>
      <c r="V2024" s="3">
        <v>0</v>
      </c>
      <c r="W2024" s="3">
        <v>1</v>
      </c>
      <c r="X2024">
        <v>1</v>
      </c>
      <c r="Y2024" t="s">
        <v>1670</v>
      </c>
    </row>
    <row r="2025" spans="1:25" hidden="1" x14ac:dyDescent="0.25">
      <c r="A2025" t="s">
        <v>48</v>
      </c>
      <c r="B2025" t="s">
        <v>106</v>
      </c>
      <c r="C2025" t="s">
        <v>489</v>
      </c>
      <c r="D2025" t="s">
        <v>27</v>
      </c>
      <c r="E2025" s="2">
        <v>45942</v>
      </c>
      <c r="F2025" s="2">
        <v>45942</v>
      </c>
      <c r="G2025" s="3">
        <v>79</v>
      </c>
      <c r="H2025" t="s">
        <v>28</v>
      </c>
      <c r="I2025">
        <v>0</v>
      </c>
      <c r="J2025">
        <v>0</v>
      </c>
      <c r="K2025">
        <v>0</v>
      </c>
      <c r="L2025" s="3">
        <v>1</v>
      </c>
      <c r="M2025" s="3">
        <v>0</v>
      </c>
      <c r="N2025">
        <v>0</v>
      </c>
      <c r="O2025">
        <v>0</v>
      </c>
      <c r="P2025">
        <v>0</v>
      </c>
      <c r="Q2025">
        <v>0</v>
      </c>
      <c r="R2025" s="3">
        <v>0</v>
      </c>
      <c r="S2025" s="3">
        <v>1</v>
      </c>
      <c r="T2025">
        <v>49</v>
      </c>
      <c r="U2025">
        <v>67</v>
      </c>
      <c r="V2025" s="3">
        <v>0</v>
      </c>
      <c r="W2025" s="3">
        <v>1</v>
      </c>
      <c r="X2025">
        <v>1</v>
      </c>
      <c r="Y2025" t="s">
        <v>1670</v>
      </c>
    </row>
    <row r="2026" spans="1:25" hidden="1" x14ac:dyDescent="0.25">
      <c r="A2026" s="1" t="s">
        <v>25</v>
      </c>
      <c r="B2026" s="1" t="s">
        <v>96</v>
      </c>
      <c r="C2026" s="1" t="s">
        <v>35</v>
      </c>
      <c r="D2026" t="s">
        <v>27</v>
      </c>
      <c r="E2026" s="2">
        <v>45943</v>
      </c>
      <c r="F2026" s="2">
        <v>45943</v>
      </c>
      <c r="G2026" s="3">
        <v>36</v>
      </c>
      <c r="H2026" s="4" t="s">
        <v>28</v>
      </c>
      <c r="I2026">
        <v>25</v>
      </c>
      <c r="J2026">
        <v>0</v>
      </c>
      <c r="K2026">
        <v>0</v>
      </c>
      <c r="L2026" s="3">
        <v>0</v>
      </c>
      <c r="M2026" s="3">
        <v>0</v>
      </c>
      <c r="N2026">
        <v>0</v>
      </c>
      <c r="O2026">
        <v>0</v>
      </c>
      <c r="P2026">
        <v>0</v>
      </c>
      <c r="Q2026">
        <v>0</v>
      </c>
      <c r="R2026" s="3">
        <v>0</v>
      </c>
      <c r="S2026" s="3">
        <v>0</v>
      </c>
      <c r="T2026">
        <v>0</v>
      </c>
      <c r="U2026">
        <v>0</v>
      </c>
      <c r="V2026" s="3">
        <v>0</v>
      </c>
      <c r="W2026" s="3">
        <v>0</v>
      </c>
      <c r="X2026">
        <v>0</v>
      </c>
      <c r="Y2026" t="s">
        <v>1671</v>
      </c>
    </row>
    <row r="2027" spans="1:25" hidden="1" x14ac:dyDescent="0.25">
      <c r="A2027" s="1" t="s">
        <v>56</v>
      </c>
      <c r="B2027" s="1" t="s">
        <v>98</v>
      </c>
      <c r="C2027" s="1" t="s">
        <v>37</v>
      </c>
      <c r="D2027" t="s">
        <v>27</v>
      </c>
      <c r="E2027" s="2">
        <v>45943</v>
      </c>
      <c r="F2027" s="2">
        <v>45943</v>
      </c>
      <c r="G2027" s="3">
        <v>31</v>
      </c>
      <c r="H2027" s="4" t="s">
        <v>28</v>
      </c>
      <c r="I2027">
        <v>83</v>
      </c>
      <c r="J2027">
        <v>0</v>
      </c>
      <c r="K2027">
        <v>0</v>
      </c>
      <c r="L2027" s="3">
        <v>1</v>
      </c>
      <c r="M2027" s="3">
        <v>0</v>
      </c>
      <c r="N2027">
        <v>0</v>
      </c>
      <c r="O2027">
        <v>0</v>
      </c>
      <c r="P2027">
        <v>0</v>
      </c>
      <c r="Q2027">
        <v>10</v>
      </c>
      <c r="R2027" s="3">
        <v>0</v>
      </c>
      <c r="S2027" s="3">
        <v>0</v>
      </c>
      <c r="T2027">
        <v>0</v>
      </c>
      <c r="U2027">
        <v>0</v>
      </c>
      <c r="V2027" s="3">
        <v>0</v>
      </c>
      <c r="W2027" s="3">
        <v>0</v>
      </c>
      <c r="X2027">
        <v>0</v>
      </c>
      <c r="Y2027" t="s">
        <v>1672</v>
      </c>
    </row>
    <row r="2028" spans="1:25" hidden="1" x14ac:dyDescent="0.25">
      <c r="A2028" s="1" t="s">
        <v>29</v>
      </c>
      <c r="B2028" s="1" t="s">
        <v>100</v>
      </c>
      <c r="C2028" s="1" t="s">
        <v>95</v>
      </c>
      <c r="D2028" t="s">
        <v>27</v>
      </c>
      <c r="E2028" s="2">
        <v>45943</v>
      </c>
      <c r="F2028" s="2">
        <v>45943</v>
      </c>
      <c r="G2028" s="3">
        <v>54</v>
      </c>
      <c r="H2028" s="4" t="s">
        <v>28</v>
      </c>
      <c r="I2028">
        <v>35</v>
      </c>
      <c r="J2028">
        <v>0</v>
      </c>
      <c r="K2028">
        <v>0</v>
      </c>
      <c r="L2028" s="3">
        <v>1</v>
      </c>
      <c r="M2028" s="3">
        <v>0</v>
      </c>
      <c r="N2028">
        <v>0</v>
      </c>
      <c r="O2028">
        <v>0</v>
      </c>
      <c r="P2028">
        <v>0</v>
      </c>
      <c r="Q2028">
        <v>8</v>
      </c>
      <c r="R2028" s="3">
        <v>0</v>
      </c>
      <c r="S2028" s="3">
        <v>0</v>
      </c>
      <c r="T2028">
        <v>0</v>
      </c>
      <c r="U2028">
        <v>0</v>
      </c>
      <c r="V2028" s="3">
        <v>0</v>
      </c>
      <c r="W2028" s="3">
        <v>0</v>
      </c>
      <c r="X2028">
        <v>0</v>
      </c>
      <c r="Y2028" t="s">
        <v>1673</v>
      </c>
    </row>
    <row r="2029" spans="1:25" hidden="1" x14ac:dyDescent="0.25">
      <c r="A2029" s="1" t="s">
        <v>31</v>
      </c>
      <c r="B2029" s="1" t="s">
        <v>104</v>
      </c>
      <c r="C2029" s="1" t="s">
        <v>32</v>
      </c>
      <c r="D2029" t="s">
        <v>27</v>
      </c>
      <c r="E2029" s="2">
        <v>45943</v>
      </c>
      <c r="F2029" s="2">
        <v>45943</v>
      </c>
      <c r="G2029" s="3">
        <v>83</v>
      </c>
      <c r="H2029" s="4" t="s">
        <v>28</v>
      </c>
      <c r="I2029">
        <v>89</v>
      </c>
      <c r="J2029">
        <v>0</v>
      </c>
      <c r="K2029">
        <v>0</v>
      </c>
      <c r="L2029" s="3">
        <v>0</v>
      </c>
      <c r="M2029" s="3">
        <v>0</v>
      </c>
      <c r="N2029">
        <v>0</v>
      </c>
      <c r="O2029">
        <v>0</v>
      </c>
      <c r="P2029">
        <v>2</v>
      </c>
      <c r="Q2029">
        <v>36</v>
      </c>
      <c r="R2029" s="3">
        <v>0</v>
      </c>
      <c r="S2029" s="3">
        <v>0</v>
      </c>
      <c r="T2029">
        <v>0</v>
      </c>
      <c r="U2029">
        <v>0</v>
      </c>
      <c r="V2029" s="3">
        <v>0</v>
      </c>
      <c r="W2029" s="3">
        <v>0</v>
      </c>
      <c r="X2029">
        <v>1</v>
      </c>
      <c r="Y2029" t="s">
        <v>1674</v>
      </c>
    </row>
    <row r="2030" spans="1:25" hidden="1" x14ac:dyDescent="0.25">
      <c r="A2030" t="s">
        <v>33</v>
      </c>
      <c r="B2030" s="1" t="s">
        <v>106</v>
      </c>
      <c r="C2030" s="1" t="s">
        <v>57</v>
      </c>
      <c r="D2030" t="s">
        <v>27</v>
      </c>
      <c r="E2030" s="2">
        <v>45943</v>
      </c>
      <c r="F2030" s="2">
        <v>45943</v>
      </c>
      <c r="G2030" s="3">
        <v>31</v>
      </c>
      <c r="H2030" s="4" t="s">
        <v>28</v>
      </c>
      <c r="I2030">
        <v>56</v>
      </c>
      <c r="J2030">
        <v>0</v>
      </c>
      <c r="K2030">
        <v>0</v>
      </c>
      <c r="L2030" s="3">
        <v>0</v>
      </c>
      <c r="M2030" s="3">
        <v>0</v>
      </c>
      <c r="N2030">
        <v>0</v>
      </c>
      <c r="O2030">
        <v>0</v>
      </c>
      <c r="P2030">
        <v>0</v>
      </c>
      <c r="Q2030">
        <v>20</v>
      </c>
      <c r="R2030" s="3">
        <v>0</v>
      </c>
      <c r="S2030" s="3">
        <v>0</v>
      </c>
      <c r="T2030">
        <v>0</v>
      </c>
      <c r="U2030">
        <v>0</v>
      </c>
      <c r="V2030" s="3">
        <v>0</v>
      </c>
      <c r="W2030" s="3">
        <v>0</v>
      </c>
      <c r="X2030">
        <v>0</v>
      </c>
      <c r="Y2030" t="s">
        <v>1675</v>
      </c>
    </row>
    <row r="2031" spans="1:25" hidden="1" x14ac:dyDescent="0.25">
      <c r="A2031" s="1" t="s">
        <v>38</v>
      </c>
      <c r="B2031" s="1" t="s">
        <v>108</v>
      </c>
      <c r="C2031" s="1" t="s">
        <v>27</v>
      </c>
      <c r="D2031" t="s">
        <v>27</v>
      </c>
      <c r="E2031" s="2">
        <v>45943</v>
      </c>
      <c r="F2031" s="2">
        <v>45943</v>
      </c>
      <c r="G2031" s="3">
        <v>41</v>
      </c>
      <c r="H2031" s="4" t="s">
        <v>28</v>
      </c>
      <c r="I2031">
        <v>55</v>
      </c>
      <c r="J2031">
        <v>0</v>
      </c>
      <c r="K2031">
        <v>0</v>
      </c>
      <c r="L2031" s="3">
        <v>0</v>
      </c>
      <c r="M2031" s="3">
        <v>0</v>
      </c>
      <c r="N2031">
        <v>0</v>
      </c>
      <c r="O2031">
        <v>0</v>
      </c>
      <c r="P2031">
        <v>0</v>
      </c>
      <c r="Q2031">
        <v>55</v>
      </c>
      <c r="R2031" s="3">
        <v>0</v>
      </c>
      <c r="S2031" s="3">
        <v>0</v>
      </c>
      <c r="T2031">
        <v>0</v>
      </c>
      <c r="U2031">
        <v>0</v>
      </c>
      <c r="V2031" s="3">
        <v>0</v>
      </c>
      <c r="W2031" s="3">
        <v>0</v>
      </c>
      <c r="X2031">
        <v>0</v>
      </c>
      <c r="Y2031" t="s">
        <v>1676</v>
      </c>
    </row>
    <row r="2032" spans="1:25" hidden="1" x14ac:dyDescent="0.25">
      <c r="A2032" s="1" t="s">
        <v>40</v>
      </c>
      <c r="B2032" s="1" t="s">
        <v>110</v>
      </c>
      <c r="C2032" s="1" t="s">
        <v>27</v>
      </c>
      <c r="D2032" t="s">
        <v>27</v>
      </c>
      <c r="E2032" s="2">
        <v>45943</v>
      </c>
      <c r="F2032" s="2">
        <v>45943</v>
      </c>
      <c r="G2032" s="5">
        <v>6464</v>
      </c>
      <c r="H2032" s="4" t="s">
        <v>28</v>
      </c>
      <c r="I2032">
        <v>64</v>
      </c>
      <c r="J2032">
        <v>0</v>
      </c>
      <c r="K2032">
        <v>0</v>
      </c>
      <c r="L2032" s="3">
        <v>1</v>
      </c>
      <c r="M2032" s="3">
        <v>0</v>
      </c>
      <c r="N2032">
        <v>1</v>
      </c>
      <c r="O2032">
        <v>0</v>
      </c>
      <c r="P2032">
        <v>0</v>
      </c>
      <c r="Q2032">
        <v>0</v>
      </c>
      <c r="R2032" s="3">
        <v>0</v>
      </c>
      <c r="S2032" s="3">
        <v>0</v>
      </c>
      <c r="T2032">
        <v>0</v>
      </c>
      <c r="U2032">
        <v>0</v>
      </c>
      <c r="V2032" s="3">
        <v>0</v>
      </c>
      <c r="W2032" s="3">
        <v>0</v>
      </c>
      <c r="X2032">
        <v>0</v>
      </c>
      <c r="Y2032" t="s">
        <v>1677</v>
      </c>
    </row>
    <row r="2033" spans="1:25" hidden="1" x14ac:dyDescent="0.25">
      <c r="A2033" s="1" t="s">
        <v>36</v>
      </c>
      <c r="B2033" s="1" t="s">
        <v>110</v>
      </c>
      <c r="C2033" s="1" t="s">
        <v>27</v>
      </c>
      <c r="D2033" t="s">
        <v>27</v>
      </c>
      <c r="E2033" s="2">
        <v>45943</v>
      </c>
      <c r="F2033" s="2">
        <v>45943</v>
      </c>
      <c r="G2033" s="5">
        <v>6464</v>
      </c>
      <c r="H2033" s="4" t="s">
        <v>28</v>
      </c>
      <c r="I2033">
        <v>64</v>
      </c>
      <c r="J2033">
        <v>0</v>
      </c>
      <c r="K2033">
        <v>0</v>
      </c>
      <c r="L2033" s="3">
        <v>1</v>
      </c>
      <c r="M2033" s="3">
        <v>0</v>
      </c>
      <c r="N2033">
        <v>1</v>
      </c>
      <c r="O2033">
        <v>0</v>
      </c>
      <c r="P2033">
        <v>0</v>
      </c>
      <c r="Q2033">
        <v>0</v>
      </c>
      <c r="R2033" s="3">
        <v>0</v>
      </c>
      <c r="S2033" s="3">
        <v>0</v>
      </c>
      <c r="T2033">
        <v>0</v>
      </c>
      <c r="U2033">
        <v>0</v>
      </c>
      <c r="V2033" s="3">
        <v>0</v>
      </c>
      <c r="W2033" s="3">
        <v>0</v>
      </c>
      <c r="X2033">
        <v>0</v>
      </c>
      <c r="Y2033" t="s">
        <v>1677</v>
      </c>
    </row>
    <row r="2034" spans="1:25" hidden="1" x14ac:dyDescent="0.25">
      <c r="A2034" s="1" t="s">
        <v>41</v>
      </c>
      <c r="B2034" s="1" t="s">
        <v>112</v>
      </c>
      <c r="C2034" s="1" t="s">
        <v>42</v>
      </c>
      <c r="D2034" t="s">
        <v>27</v>
      </c>
      <c r="E2034" s="2">
        <v>45943</v>
      </c>
      <c r="F2034" s="2">
        <v>45943</v>
      </c>
      <c r="G2034" s="3">
        <v>29</v>
      </c>
      <c r="H2034" s="4" t="s">
        <v>28</v>
      </c>
      <c r="I2034">
        <v>43</v>
      </c>
      <c r="J2034">
        <v>0</v>
      </c>
      <c r="K2034">
        <v>0</v>
      </c>
      <c r="L2034" s="3">
        <v>1</v>
      </c>
      <c r="M2034" s="3">
        <v>0</v>
      </c>
      <c r="N2034">
        <v>0</v>
      </c>
      <c r="O2034">
        <v>0</v>
      </c>
      <c r="P2034">
        <v>0</v>
      </c>
      <c r="Q2034">
        <v>4</v>
      </c>
      <c r="R2034" s="3">
        <v>0</v>
      </c>
      <c r="S2034" s="3">
        <v>0</v>
      </c>
      <c r="T2034">
        <v>0</v>
      </c>
      <c r="U2034">
        <v>0</v>
      </c>
      <c r="V2034" s="3">
        <v>0</v>
      </c>
      <c r="W2034" s="3">
        <v>0</v>
      </c>
      <c r="X2034">
        <v>0</v>
      </c>
      <c r="Y2034" t="s">
        <v>1678</v>
      </c>
    </row>
    <row r="2035" spans="1:25" hidden="1" x14ac:dyDescent="0.25">
      <c r="A2035" s="1" t="s">
        <v>43</v>
      </c>
      <c r="B2035" s="1" t="s">
        <v>114</v>
      </c>
      <c r="C2035" s="1" t="s">
        <v>44</v>
      </c>
      <c r="D2035" t="s">
        <v>27</v>
      </c>
      <c r="E2035" s="2">
        <v>45943</v>
      </c>
      <c r="F2035" s="2">
        <v>45943</v>
      </c>
      <c r="G2035" s="3">
        <v>28</v>
      </c>
      <c r="H2035" s="4" t="s">
        <v>28</v>
      </c>
      <c r="I2035">
        <v>61</v>
      </c>
      <c r="J2035">
        <v>0</v>
      </c>
      <c r="K2035">
        <v>0</v>
      </c>
      <c r="L2035" s="3">
        <v>0</v>
      </c>
      <c r="M2035" s="3">
        <v>0</v>
      </c>
      <c r="N2035">
        <v>0</v>
      </c>
      <c r="O2035">
        <v>0</v>
      </c>
      <c r="P2035">
        <v>0</v>
      </c>
      <c r="Q2035">
        <v>0</v>
      </c>
      <c r="R2035" s="3">
        <v>0</v>
      </c>
      <c r="S2035" s="3">
        <v>0</v>
      </c>
      <c r="T2035">
        <v>0</v>
      </c>
      <c r="U2035">
        <v>0</v>
      </c>
      <c r="V2035" s="3">
        <v>0</v>
      </c>
      <c r="W2035" s="3">
        <v>0</v>
      </c>
      <c r="X2035">
        <v>0</v>
      </c>
      <c r="Y2035" t="s">
        <v>1679</v>
      </c>
    </row>
    <row r="2036" spans="1:25" hidden="1" x14ac:dyDescent="0.25">
      <c r="A2036" s="1" t="s">
        <v>45</v>
      </c>
      <c r="B2036" s="1" t="s">
        <v>116</v>
      </c>
      <c r="C2036" s="1" t="s">
        <v>46</v>
      </c>
      <c r="D2036" t="s">
        <v>27</v>
      </c>
      <c r="E2036" s="2">
        <v>45943</v>
      </c>
      <c r="F2036" s="2">
        <v>45943</v>
      </c>
      <c r="G2036" s="3">
        <v>39</v>
      </c>
      <c r="H2036" s="4" t="s">
        <v>28</v>
      </c>
      <c r="I2036">
        <v>56</v>
      </c>
      <c r="J2036">
        <v>0</v>
      </c>
      <c r="K2036">
        <v>0</v>
      </c>
      <c r="L2036" s="3">
        <v>1</v>
      </c>
      <c r="M2036" s="3">
        <v>0</v>
      </c>
      <c r="N2036">
        <v>0</v>
      </c>
      <c r="O2036">
        <v>0</v>
      </c>
      <c r="P2036">
        <v>0</v>
      </c>
      <c r="Q2036">
        <v>0</v>
      </c>
      <c r="R2036" s="3">
        <v>0</v>
      </c>
      <c r="S2036" s="3">
        <v>0</v>
      </c>
      <c r="T2036">
        <v>0</v>
      </c>
      <c r="U2036">
        <v>0</v>
      </c>
      <c r="V2036" s="3">
        <v>0</v>
      </c>
      <c r="W2036" s="3">
        <v>0</v>
      </c>
      <c r="X2036">
        <v>0</v>
      </c>
      <c r="Y2036" t="s">
        <v>1680</v>
      </c>
    </row>
    <row r="2037" spans="1:25" hidden="1" x14ac:dyDescent="0.25">
      <c r="A2037" s="1" t="s">
        <v>47</v>
      </c>
      <c r="B2037" s="1" t="s">
        <v>137</v>
      </c>
      <c r="C2037" s="1" t="s">
        <v>27</v>
      </c>
      <c r="D2037" t="s">
        <v>27</v>
      </c>
      <c r="E2037" s="2">
        <v>45943</v>
      </c>
      <c r="F2037" s="2">
        <v>45943</v>
      </c>
      <c r="G2037" s="3">
        <v>25</v>
      </c>
      <c r="H2037" s="4" t="s">
        <v>28</v>
      </c>
      <c r="I2037">
        <v>49</v>
      </c>
      <c r="J2037">
        <v>12</v>
      </c>
      <c r="K2037">
        <v>0</v>
      </c>
      <c r="L2037" s="3">
        <v>0</v>
      </c>
      <c r="M2037" s="3">
        <v>0</v>
      </c>
      <c r="N2037">
        <v>0</v>
      </c>
      <c r="O2037">
        <v>0</v>
      </c>
      <c r="P2037">
        <v>0</v>
      </c>
      <c r="Q2037">
        <v>2</v>
      </c>
      <c r="R2037" s="3">
        <v>0</v>
      </c>
      <c r="S2037" s="3">
        <v>0</v>
      </c>
      <c r="T2037">
        <v>0</v>
      </c>
      <c r="U2037">
        <v>0</v>
      </c>
      <c r="V2037" s="3">
        <v>0</v>
      </c>
      <c r="W2037" s="3">
        <v>0</v>
      </c>
      <c r="X2037">
        <v>2</v>
      </c>
      <c r="Y2037" t="s">
        <v>1681</v>
      </c>
    </row>
    <row r="2038" spans="1:25" hidden="1" x14ac:dyDescent="0.25">
      <c r="A2038" s="1" t="s">
        <v>34</v>
      </c>
      <c r="B2038" s="1" t="s">
        <v>137</v>
      </c>
      <c r="C2038" s="1" t="s">
        <v>27</v>
      </c>
      <c r="D2038" t="s">
        <v>27</v>
      </c>
      <c r="E2038" s="2">
        <v>45943</v>
      </c>
      <c r="F2038" s="2">
        <v>45943</v>
      </c>
      <c r="G2038" s="3">
        <v>25</v>
      </c>
      <c r="H2038" s="4" t="s">
        <v>28</v>
      </c>
      <c r="I2038">
        <v>49</v>
      </c>
      <c r="J2038">
        <v>12</v>
      </c>
      <c r="K2038">
        <v>0</v>
      </c>
      <c r="L2038" s="3">
        <v>0</v>
      </c>
      <c r="M2038" s="3">
        <v>0</v>
      </c>
      <c r="N2038">
        <v>0</v>
      </c>
      <c r="O2038">
        <v>0</v>
      </c>
      <c r="P2038">
        <v>0</v>
      </c>
      <c r="Q2038">
        <v>2</v>
      </c>
      <c r="R2038" s="3">
        <v>0</v>
      </c>
      <c r="S2038" s="3">
        <v>0</v>
      </c>
      <c r="T2038">
        <v>0</v>
      </c>
      <c r="U2038">
        <v>0</v>
      </c>
      <c r="V2038" s="3">
        <v>0</v>
      </c>
      <c r="W2038" s="3">
        <v>0</v>
      </c>
      <c r="X2038">
        <v>2</v>
      </c>
      <c r="Y2038" t="s">
        <v>1681</v>
      </c>
    </row>
    <row r="2039" spans="1:25" hidden="1" x14ac:dyDescent="0.25">
      <c r="A2039" s="1" t="s">
        <v>49</v>
      </c>
      <c r="B2039" s="1" t="s">
        <v>118</v>
      </c>
      <c r="C2039" s="1" t="s">
        <v>50</v>
      </c>
      <c r="D2039" t="s">
        <v>27</v>
      </c>
      <c r="E2039" s="2">
        <v>45943</v>
      </c>
      <c r="F2039" s="2">
        <v>45943</v>
      </c>
      <c r="G2039" s="3">
        <v>49</v>
      </c>
      <c r="H2039" s="4" t="s">
        <v>28</v>
      </c>
      <c r="I2039">
        <v>35</v>
      </c>
      <c r="J2039">
        <v>0</v>
      </c>
      <c r="K2039">
        <v>0</v>
      </c>
      <c r="L2039" s="3">
        <v>1</v>
      </c>
      <c r="M2039" s="3">
        <v>1</v>
      </c>
      <c r="N2039">
        <v>0</v>
      </c>
      <c r="O2039">
        <v>0</v>
      </c>
      <c r="P2039">
        <v>0</v>
      </c>
      <c r="Q2039">
        <v>44</v>
      </c>
      <c r="R2039" s="3">
        <v>0</v>
      </c>
      <c r="S2039" s="3">
        <v>0</v>
      </c>
      <c r="T2039">
        <v>0</v>
      </c>
      <c r="U2039">
        <v>0</v>
      </c>
      <c r="V2039" s="3">
        <v>0</v>
      </c>
      <c r="W2039" s="3">
        <v>0</v>
      </c>
      <c r="X2039">
        <v>0</v>
      </c>
      <c r="Y2039" t="s">
        <v>1665</v>
      </c>
    </row>
    <row r="2040" spans="1:25" hidden="1" x14ac:dyDescent="0.25">
      <c r="A2040" s="1" t="s">
        <v>51</v>
      </c>
      <c r="B2040" s="1" t="s">
        <v>120</v>
      </c>
      <c r="C2040" s="1" t="s">
        <v>55</v>
      </c>
      <c r="D2040" t="s">
        <v>27</v>
      </c>
      <c r="E2040" s="2">
        <v>45943</v>
      </c>
      <c r="F2040" s="2">
        <v>45943</v>
      </c>
      <c r="G2040" s="3">
        <v>106</v>
      </c>
      <c r="H2040" s="4" t="s">
        <v>28</v>
      </c>
      <c r="I2040">
        <v>42</v>
      </c>
      <c r="J2040">
        <v>10</v>
      </c>
      <c r="K2040">
        <v>0</v>
      </c>
      <c r="L2040" s="3">
        <v>1</v>
      </c>
      <c r="M2040" s="3">
        <v>0</v>
      </c>
      <c r="N2040">
        <v>0</v>
      </c>
      <c r="O2040">
        <v>1</v>
      </c>
      <c r="P2040">
        <v>0</v>
      </c>
      <c r="Q2040">
        <v>0</v>
      </c>
      <c r="R2040" s="3">
        <v>0</v>
      </c>
      <c r="S2040" s="3">
        <v>0</v>
      </c>
      <c r="T2040">
        <v>0</v>
      </c>
      <c r="U2040">
        <v>0</v>
      </c>
      <c r="V2040" s="3">
        <v>0</v>
      </c>
      <c r="W2040" s="3">
        <v>0</v>
      </c>
      <c r="X2040">
        <v>0</v>
      </c>
      <c r="Y2040" t="s">
        <v>1682</v>
      </c>
    </row>
    <row r="2041" spans="1:25" hidden="1" x14ac:dyDescent="0.25">
      <c r="A2041" s="1" t="s">
        <v>54</v>
      </c>
      <c r="B2041" s="1" t="s">
        <v>122</v>
      </c>
      <c r="C2041" s="1" t="s">
        <v>52</v>
      </c>
      <c r="D2041" t="s">
        <v>27</v>
      </c>
      <c r="E2041" s="2">
        <v>45943</v>
      </c>
      <c r="F2041" s="2">
        <v>45943</v>
      </c>
      <c r="G2041" s="3">
        <v>95</v>
      </c>
      <c r="H2041" s="4" t="s">
        <v>28</v>
      </c>
      <c r="I2041">
        <v>39</v>
      </c>
      <c r="J2041">
        <v>0</v>
      </c>
      <c r="K2041">
        <v>0</v>
      </c>
      <c r="L2041" s="3">
        <v>0</v>
      </c>
      <c r="M2041" s="3">
        <v>0</v>
      </c>
      <c r="N2041">
        <v>0</v>
      </c>
      <c r="O2041">
        <v>0</v>
      </c>
      <c r="P2041">
        <v>0</v>
      </c>
      <c r="Q2041">
        <v>2</v>
      </c>
      <c r="R2041" s="3">
        <v>0</v>
      </c>
      <c r="S2041" s="3">
        <v>0</v>
      </c>
      <c r="T2041">
        <v>0</v>
      </c>
      <c r="U2041">
        <v>0</v>
      </c>
      <c r="V2041" s="3">
        <v>0</v>
      </c>
      <c r="W2041" s="3">
        <v>0</v>
      </c>
      <c r="X2041">
        <v>0</v>
      </c>
      <c r="Y2041" t="s">
        <v>1683</v>
      </c>
    </row>
    <row r="2042" spans="1:25" hidden="1" x14ac:dyDescent="0.25">
      <c r="A2042" t="s">
        <v>58</v>
      </c>
      <c r="B2042" s="1" t="s">
        <v>144</v>
      </c>
      <c r="C2042" s="1" t="s">
        <v>489</v>
      </c>
      <c r="D2042" t="s">
        <v>27</v>
      </c>
      <c r="E2042" s="2">
        <v>45943</v>
      </c>
      <c r="F2042" s="2">
        <v>45943</v>
      </c>
      <c r="G2042" s="3">
        <v>42</v>
      </c>
      <c r="H2042" s="4" t="s">
        <v>28</v>
      </c>
      <c r="I2042">
        <v>64</v>
      </c>
      <c r="J2042">
        <v>0</v>
      </c>
      <c r="K2042">
        <v>0</v>
      </c>
      <c r="L2042" s="3">
        <v>1</v>
      </c>
      <c r="M2042" s="3">
        <v>0</v>
      </c>
      <c r="N2042">
        <v>0</v>
      </c>
      <c r="O2042">
        <v>0</v>
      </c>
      <c r="P2042">
        <v>0</v>
      </c>
      <c r="Q2042">
        <v>0</v>
      </c>
      <c r="R2042" s="3">
        <v>0</v>
      </c>
      <c r="S2042" s="3">
        <v>0</v>
      </c>
      <c r="T2042">
        <v>0</v>
      </c>
      <c r="U2042">
        <v>0</v>
      </c>
      <c r="V2042" s="3">
        <v>0</v>
      </c>
      <c r="W2042" s="3">
        <v>0</v>
      </c>
      <c r="X2042">
        <v>0</v>
      </c>
      <c r="Y2042" t="s">
        <v>1684</v>
      </c>
    </row>
    <row r="2043" spans="1:25" hidden="1" x14ac:dyDescent="0.25">
      <c r="A2043" s="1" t="s">
        <v>48</v>
      </c>
      <c r="B2043" s="1" t="s">
        <v>144</v>
      </c>
      <c r="C2043" s="1" t="s">
        <v>26</v>
      </c>
      <c r="D2043" t="s">
        <v>27</v>
      </c>
      <c r="E2043" s="2">
        <v>45943</v>
      </c>
      <c r="F2043" s="2">
        <v>45943</v>
      </c>
      <c r="G2043" s="3">
        <v>42</v>
      </c>
      <c r="H2043" s="4" t="s">
        <v>28</v>
      </c>
      <c r="I2043">
        <v>0</v>
      </c>
      <c r="J2043">
        <v>85</v>
      </c>
      <c r="K2043">
        <v>0</v>
      </c>
      <c r="L2043" s="3">
        <v>1</v>
      </c>
      <c r="M2043" s="3">
        <v>0</v>
      </c>
      <c r="N2043">
        <v>0</v>
      </c>
      <c r="O2043">
        <v>0</v>
      </c>
      <c r="P2043">
        <v>0</v>
      </c>
      <c r="Q2043">
        <v>0</v>
      </c>
      <c r="R2043" s="3">
        <v>0</v>
      </c>
      <c r="S2043" s="3">
        <v>0</v>
      </c>
      <c r="T2043">
        <v>0</v>
      </c>
      <c r="U2043">
        <v>0</v>
      </c>
      <c r="V2043" s="3">
        <v>0</v>
      </c>
      <c r="W2043" s="3">
        <v>0</v>
      </c>
      <c r="X2043">
        <v>2</v>
      </c>
      <c r="Y2043" t="s">
        <v>1684</v>
      </c>
    </row>
    <row r="2044" spans="1:25" hidden="1" x14ac:dyDescent="0.25">
      <c r="A2044" s="1" t="s">
        <v>25</v>
      </c>
      <c r="B2044" s="1" t="s">
        <v>96</v>
      </c>
      <c r="C2044" s="1" t="s">
        <v>35</v>
      </c>
      <c r="D2044" s="1" t="s">
        <v>27</v>
      </c>
      <c r="E2044" s="2">
        <v>45944</v>
      </c>
      <c r="F2044" s="2">
        <v>45944</v>
      </c>
      <c r="G2044" s="3">
        <v>36</v>
      </c>
      <c r="H2044" t="s">
        <v>28</v>
      </c>
      <c r="I2044">
        <v>48</v>
      </c>
      <c r="J2044">
        <v>0</v>
      </c>
      <c r="K2044">
        <v>0</v>
      </c>
      <c r="L2044" s="3">
        <v>0</v>
      </c>
      <c r="M2044" s="3">
        <v>0</v>
      </c>
      <c r="N2044">
        <v>0</v>
      </c>
      <c r="O2044">
        <v>0</v>
      </c>
      <c r="P2044">
        <v>0</v>
      </c>
      <c r="Q2044">
        <v>0</v>
      </c>
      <c r="R2044" s="3">
        <v>0</v>
      </c>
      <c r="S2044" s="3">
        <v>0</v>
      </c>
      <c r="T2044">
        <v>0</v>
      </c>
      <c r="U2044">
        <v>0</v>
      </c>
      <c r="V2044" s="3">
        <v>0</v>
      </c>
      <c r="W2044" s="3">
        <v>0</v>
      </c>
      <c r="X2044">
        <v>0</v>
      </c>
      <c r="Y2044" t="s">
        <v>1671</v>
      </c>
    </row>
    <row r="2045" spans="1:25" hidden="1" x14ac:dyDescent="0.25">
      <c r="A2045" s="1" t="s">
        <v>56</v>
      </c>
      <c r="B2045" s="1" t="s">
        <v>98</v>
      </c>
      <c r="C2045" s="1" t="s">
        <v>57</v>
      </c>
      <c r="D2045" s="1" t="s">
        <v>27</v>
      </c>
      <c r="E2045" s="2">
        <v>45944</v>
      </c>
      <c r="F2045" s="2">
        <v>45944</v>
      </c>
      <c r="G2045" s="3">
        <v>34</v>
      </c>
      <c r="H2045" t="s">
        <v>28</v>
      </c>
      <c r="I2045">
        <v>41</v>
      </c>
      <c r="J2045">
        <v>0</v>
      </c>
      <c r="K2045">
        <v>0</v>
      </c>
      <c r="L2045" s="3">
        <v>1</v>
      </c>
      <c r="M2045" s="3">
        <v>0</v>
      </c>
      <c r="N2045">
        <v>0</v>
      </c>
      <c r="O2045">
        <v>0</v>
      </c>
      <c r="P2045">
        <v>0</v>
      </c>
      <c r="Q2045">
        <v>10</v>
      </c>
      <c r="R2045" s="3">
        <v>0</v>
      </c>
      <c r="S2045" s="3">
        <v>0</v>
      </c>
      <c r="T2045">
        <v>0</v>
      </c>
      <c r="U2045">
        <v>0</v>
      </c>
      <c r="V2045" s="3">
        <v>0</v>
      </c>
      <c r="W2045" s="3">
        <v>0</v>
      </c>
      <c r="X2045">
        <v>0</v>
      </c>
      <c r="Y2045" t="s">
        <v>1685</v>
      </c>
    </row>
    <row r="2046" spans="1:25" hidden="1" x14ac:dyDescent="0.25">
      <c r="A2046" s="1" t="s">
        <v>29</v>
      </c>
      <c r="B2046" s="1" t="s">
        <v>100</v>
      </c>
      <c r="C2046" s="1" t="s">
        <v>95</v>
      </c>
      <c r="D2046" s="1" t="s">
        <v>27</v>
      </c>
      <c r="E2046" s="2">
        <v>45944</v>
      </c>
      <c r="F2046" s="2">
        <v>45944</v>
      </c>
      <c r="G2046" s="3">
        <v>51</v>
      </c>
      <c r="H2046" t="s">
        <v>28</v>
      </c>
      <c r="I2046">
        <v>54</v>
      </c>
      <c r="J2046">
        <v>0</v>
      </c>
      <c r="K2046">
        <v>0</v>
      </c>
      <c r="L2046" s="3">
        <v>0</v>
      </c>
      <c r="M2046" s="3">
        <v>0</v>
      </c>
      <c r="N2046">
        <v>0</v>
      </c>
      <c r="O2046">
        <v>0</v>
      </c>
      <c r="P2046">
        <v>0</v>
      </c>
      <c r="Q2046">
        <v>2</v>
      </c>
      <c r="R2046" s="3">
        <v>0</v>
      </c>
      <c r="S2046" s="3">
        <v>0</v>
      </c>
      <c r="T2046">
        <v>0</v>
      </c>
      <c r="U2046">
        <v>0</v>
      </c>
      <c r="V2046" s="3">
        <v>0</v>
      </c>
      <c r="W2046" s="3">
        <v>0</v>
      </c>
      <c r="X2046">
        <v>0</v>
      </c>
      <c r="Y2046" t="s">
        <v>1686</v>
      </c>
    </row>
    <row r="2047" spans="1:25" hidden="1" x14ac:dyDescent="0.25">
      <c r="A2047" s="1" t="s">
        <v>31</v>
      </c>
      <c r="B2047" s="1" t="s">
        <v>104</v>
      </c>
      <c r="C2047" s="1" t="s">
        <v>32</v>
      </c>
      <c r="D2047" s="1" t="s">
        <v>27</v>
      </c>
      <c r="E2047" s="2">
        <v>45944</v>
      </c>
      <c r="F2047" s="2">
        <v>45944</v>
      </c>
      <c r="G2047" s="3">
        <v>80</v>
      </c>
      <c r="H2047" t="s">
        <v>28</v>
      </c>
      <c r="I2047">
        <v>63</v>
      </c>
      <c r="J2047">
        <v>0</v>
      </c>
      <c r="K2047">
        <v>0</v>
      </c>
      <c r="L2047" s="3">
        <v>0</v>
      </c>
      <c r="M2047" s="3">
        <v>0</v>
      </c>
      <c r="N2047">
        <v>0</v>
      </c>
      <c r="O2047">
        <v>0</v>
      </c>
      <c r="P2047">
        <v>0</v>
      </c>
      <c r="Q2047">
        <v>38</v>
      </c>
      <c r="R2047" s="3">
        <v>0</v>
      </c>
      <c r="S2047" s="3">
        <v>0</v>
      </c>
      <c r="T2047">
        <v>0</v>
      </c>
      <c r="U2047">
        <v>0</v>
      </c>
      <c r="V2047" s="3">
        <v>0</v>
      </c>
      <c r="W2047" s="3">
        <v>0</v>
      </c>
      <c r="X2047">
        <v>3</v>
      </c>
      <c r="Y2047" t="s">
        <v>1687</v>
      </c>
    </row>
    <row r="2048" spans="1:25" hidden="1" x14ac:dyDescent="0.25">
      <c r="A2048" s="1" t="s">
        <v>36</v>
      </c>
      <c r="B2048" s="1" t="s">
        <v>249</v>
      </c>
      <c r="C2048" s="1" t="s">
        <v>26</v>
      </c>
      <c r="D2048" s="1" t="s">
        <v>27</v>
      </c>
      <c r="E2048" s="2">
        <v>45944</v>
      </c>
      <c r="F2048" s="2">
        <v>45944</v>
      </c>
      <c r="G2048" s="3">
        <v>61</v>
      </c>
      <c r="H2048" t="s">
        <v>28</v>
      </c>
      <c r="I2048">
        <v>84</v>
      </c>
      <c r="J2048">
        <v>0</v>
      </c>
      <c r="K2048">
        <v>0</v>
      </c>
      <c r="L2048" s="3">
        <v>1</v>
      </c>
      <c r="M2048" s="3">
        <v>0</v>
      </c>
      <c r="N2048">
        <v>1</v>
      </c>
      <c r="O2048">
        <v>0</v>
      </c>
      <c r="P2048">
        <v>0</v>
      </c>
      <c r="Q2048">
        <v>0</v>
      </c>
      <c r="R2048" s="3">
        <v>0</v>
      </c>
      <c r="S2048" s="3">
        <v>0</v>
      </c>
      <c r="T2048">
        <v>0</v>
      </c>
      <c r="U2048">
        <v>0</v>
      </c>
      <c r="V2048" s="3">
        <v>0</v>
      </c>
      <c r="W2048" s="3">
        <v>0</v>
      </c>
      <c r="X2048">
        <v>0</v>
      </c>
      <c r="Y2048" t="s">
        <v>1688</v>
      </c>
    </row>
    <row r="2049" spans="1:25" hidden="1" x14ac:dyDescent="0.25">
      <c r="A2049" s="1" t="s">
        <v>38</v>
      </c>
      <c r="B2049" s="1" t="s">
        <v>108</v>
      </c>
      <c r="C2049" s="1" t="s">
        <v>27</v>
      </c>
      <c r="D2049" s="1" t="s">
        <v>27</v>
      </c>
      <c r="E2049" s="2">
        <v>45944</v>
      </c>
      <c r="F2049" s="2">
        <v>45944</v>
      </c>
      <c r="G2049" s="3">
        <v>39</v>
      </c>
      <c r="H2049" t="s">
        <v>28</v>
      </c>
      <c r="I2049">
        <v>34</v>
      </c>
      <c r="J2049">
        <v>0</v>
      </c>
      <c r="K2049">
        <v>0</v>
      </c>
      <c r="L2049" s="3">
        <v>0</v>
      </c>
      <c r="M2049" s="3">
        <v>0</v>
      </c>
      <c r="N2049">
        <v>0</v>
      </c>
      <c r="O2049">
        <v>0</v>
      </c>
      <c r="P2049">
        <v>0</v>
      </c>
      <c r="Q2049">
        <v>34</v>
      </c>
      <c r="R2049" s="3">
        <v>0</v>
      </c>
      <c r="S2049" s="3">
        <v>0</v>
      </c>
      <c r="T2049">
        <v>0</v>
      </c>
      <c r="U2049">
        <v>0</v>
      </c>
      <c r="V2049" s="3">
        <v>0</v>
      </c>
      <c r="W2049" s="3">
        <v>0</v>
      </c>
      <c r="X2049">
        <v>0</v>
      </c>
      <c r="Y2049" t="s">
        <v>1689</v>
      </c>
    </row>
    <row r="2050" spans="1:25" hidden="1" x14ac:dyDescent="0.25">
      <c r="A2050" s="1" t="s">
        <v>1454</v>
      </c>
      <c r="B2050" s="1" t="s">
        <v>1455</v>
      </c>
      <c r="C2050" s="1" t="s">
        <v>27</v>
      </c>
      <c r="D2050" s="1" t="s">
        <v>27</v>
      </c>
      <c r="E2050" s="2">
        <v>45944</v>
      </c>
      <c r="F2050" s="2">
        <v>45944</v>
      </c>
      <c r="G2050" s="3">
        <v>33</v>
      </c>
      <c r="H2050" t="s">
        <v>28</v>
      </c>
      <c r="I2050">
        <v>34</v>
      </c>
      <c r="J2050">
        <v>0</v>
      </c>
      <c r="K2050">
        <v>0</v>
      </c>
      <c r="L2050" s="3">
        <v>1</v>
      </c>
      <c r="M2050" s="3">
        <v>0</v>
      </c>
      <c r="N2050">
        <v>0</v>
      </c>
      <c r="O2050">
        <v>0</v>
      </c>
      <c r="P2050">
        <v>0</v>
      </c>
      <c r="Q2050">
        <v>34</v>
      </c>
      <c r="R2050" s="3">
        <v>0</v>
      </c>
      <c r="S2050" s="3">
        <v>0</v>
      </c>
      <c r="T2050">
        <v>0</v>
      </c>
      <c r="U2050">
        <v>0</v>
      </c>
      <c r="V2050" s="3">
        <v>0</v>
      </c>
      <c r="W2050" s="3">
        <v>0</v>
      </c>
      <c r="X2050">
        <v>0</v>
      </c>
      <c r="Y2050" t="s">
        <v>1690</v>
      </c>
    </row>
    <row r="2051" spans="1:25" hidden="1" x14ac:dyDescent="0.25">
      <c r="A2051" s="1" t="s">
        <v>41</v>
      </c>
      <c r="B2051" s="1" t="s">
        <v>112</v>
      </c>
      <c r="C2051" s="1" t="s">
        <v>42</v>
      </c>
      <c r="D2051" s="1" t="s">
        <v>27</v>
      </c>
      <c r="E2051" s="2">
        <v>45944</v>
      </c>
      <c r="F2051" s="2">
        <v>45944</v>
      </c>
      <c r="G2051" s="3">
        <v>33</v>
      </c>
      <c r="H2051" t="s">
        <v>28</v>
      </c>
      <c r="I2051">
        <v>37</v>
      </c>
      <c r="J2051">
        <v>0</v>
      </c>
      <c r="K2051">
        <v>0</v>
      </c>
      <c r="L2051" s="3">
        <v>1</v>
      </c>
      <c r="M2051" s="3">
        <v>0</v>
      </c>
      <c r="N2051">
        <v>0</v>
      </c>
      <c r="O2051">
        <v>0</v>
      </c>
      <c r="P2051">
        <v>0</v>
      </c>
      <c r="Q2051">
        <v>1</v>
      </c>
      <c r="R2051" s="3">
        <v>0</v>
      </c>
      <c r="S2051" s="3">
        <v>0</v>
      </c>
      <c r="T2051">
        <v>0</v>
      </c>
      <c r="U2051">
        <v>0</v>
      </c>
      <c r="V2051" s="3">
        <v>0</v>
      </c>
      <c r="W2051" s="3">
        <v>0</v>
      </c>
      <c r="X2051">
        <v>0</v>
      </c>
      <c r="Y2051" t="s">
        <v>1691</v>
      </c>
    </row>
    <row r="2052" spans="1:25" hidden="1" x14ac:dyDescent="0.25">
      <c r="A2052" s="1" t="s">
        <v>43</v>
      </c>
      <c r="B2052" s="1" t="s">
        <v>114</v>
      </c>
      <c r="C2052" s="1" t="s">
        <v>44</v>
      </c>
      <c r="D2052" s="1" t="s">
        <v>27</v>
      </c>
      <c r="E2052" s="2">
        <v>45944</v>
      </c>
      <c r="F2052" s="2">
        <v>45944</v>
      </c>
      <c r="G2052" s="3">
        <v>33</v>
      </c>
      <c r="H2052" t="s">
        <v>28</v>
      </c>
      <c r="I2052">
        <v>68</v>
      </c>
      <c r="J2052">
        <v>0</v>
      </c>
      <c r="K2052">
        <v>0</v>
      </c>
      <c r="L2052" s="3">
        <v>1</v>
      </c>
      <c r="M2052" s="3">
        <v>0</v>
      </c>
      <c r="N2052">
        <v>0</v>
      </c>
      <c r="O2052">
        <v>0</v>
      </c>
      <c r="P2052">
        <v>0</v>
      </c>
      <c r="Q2052">
        <v>0</v>
      </c>
      <c r="R2052" s="3">
        <v>0</v>
      </c>
      <c r="S2052" s="3">
        <v>0</v>
      </c>
      <c r="T2052">
        <v>0</v>
      </c>
      <c r="U2052">
        <v>0</v>
      </c>
      <c r="V2052" s="3">
        <v>0</v>
      </c>
      <c r="W2052" s="3">
        <v>0</v>
      </c>
      <c r="X2052">
        <v>0</v>
      </c>
      <c r="Y2052" t="s">
        <v>1692</v>
      </c>
    </row>
    <row r="2053" spans="1:25" hidden="1" x14ac:dyDescent="0.25">
      <c r="A2053" s="1" t="s">
        <v>45</v>
      </c>
      <c r="B2053" s="1" t="s">
        <v>116</v>
      </c>
      <c r="C2053" s="1" t="s">
        <v>46</v>
      </c>
      <c r="D2053" s="1" t="s">
        <v>27</v>
      </c>
      <c r="E2053" s="2">
        <v>45944</v>
      </c>
      <c r="F2053" s="2">
        <v>45944</v>
      </c>
      <c r="G2053" s="3">
        <v>38</v>
      </c>
      <c r="H2053" t="s">
        <v>28</v>
      </c>
      <c r="I2053">
        <v>42</v>
      </c>
      <c r="J2053">
        <v>0</v>
      </c>
      <c r="K2053">
        <v>0</v>
      </c>
      <c r="L2053" s="3">
        <v>0</v>
      </c>
      <c r="M2053" s="3">
        <v>0</v>
      </c>
      <c r="N2053">
        <v>0</v>
      </c>
      <c r="O2053">
        <v>0</v>
      </c>
      <c r="P2053">
        <v>0</v>
      </c>
      <c r="Q2053">
        <v>0</v>
      </c>
      <c r="R2053" s="3">
        <v>0</v>
      </c>
      <c r="S2053" s="3">
        <v>0</v>
      </c>
      <c r="T2053">
        <v>0</v>
      </c>
      <c r="U2053">
        <v>0</v>
      </c>
      <c r="V2053" s="3">
        <v>0</v>
      </c>
      <c r="W2053" s="3">
        <v>0</v>
      </c>
      <c r="X2053">
        <v>0</v>
      </c>
      <c r="Y2053" t="s">
        <v>1693</v>
      </c>
    </row>
    <row r="2054" spans="1:25" hidden="1" x14ac:dyDescent="0.25">
      <c r="A2054" s="1" t="s">
        <v>47</v>
      </c>
      <c r="B2054" s="1" t="s">
        <v>137</v>
      </c>
      <c r="C2054" s="1" t="s">
        <v>27</v>
      </c>
      <c r="D2054" s="1" t="s">
        <v>27</v>
      </c>
      <c r="E2054" s="2">
        <v>45944</v>
      </c>
      <c r="F2054" s="2">
        <v>45944</v>
      </c>
      <c r="G2054" s="3">
        <v>24</v>
      </c>
      <c r="H2054" t="s">
        <v>28</v>
      </c>
      <c r="I2054">
        <v>44</v>
      </c>
      <c r="J2054">
        <v>2</v>
      </c>
      <c r="K2054">
        <v>0</v>
      </c>
      <c r="L2054" s="3">
        <v>0</v>
      </c>
      <c r="M2054" s="3">
        <v>0</v>
      </c>
      <c r="N2054">
        <v>0</v>
      </c>
      <c r="O2054">
        <v>0</v>
      </c>
      <c r="P2054">
        <v>0</v>
      </c>
      <c r="Q2054">
        <v>2</v>
      </c>
      <c r="R2054" s="3">
        <v>0</v>
      </c>
      <c r="S2054" s="3">
        <v>0</v>
      </c>
      <c r="T2054">
        <v>0</v>
      </c>
      <c r="U2054">
        <v>0</v>
      </c>
      <c r="V2054" s="3">
        <v>0</v>
      </c>
      <c r="W2054" s="3">
        <v>0</v>
      </c>
      <c r="X2054">
        <v>0</v>
      </c>
      <c r="Y2054" t="s">
        <v>1694</v>
      </c>
    </row>
    <row r="2055" spans="1:25" hidden="1" x14ac:dyDescent="0.25">
      <c r="A2055" s="1" t="s">
        <v>34</v>
      </c>
      <c r="B2055" s="1" t="s">
        <v>137</v>
      </c>
      <c r="C2055" s="1" t="s">
        <v>27</v>
      </c>
      <c r="D2055" s="1" t="s">
        <v>27</v>
      </c>
      <c r="E2055" s="2">
        <v>45944</v>
      </c>
      <c r="F2055" s="2">
        <v>45944</v>
      </c>
      <c r="G2055" s="3">
        <v>24</v>
      </c>
      <c r="H2055" t="s">
        <v>28</v>
      </c>
      <c r="I2055">
        <v>44</v>
      </c>
      <c r="J2055">
        <v>2</v>
      </c>
      <c r="K2055">
        <v>0</v>
      </c>
      <c r="L2055" s="3">
        <v>0</v>
      </c>
      <c r="M2055" s="3">
        <v>0</v>
      </c>
      <c r="N2055">
        <v>0</v>
      </c>
      <c r="O2055">
        <v>0</v>
      </c>
      <c r="P2055">
        <v>0</v>
      </c>
      <c r="Q2055">
        <v>2</v>
      </c>
      <c r="R2055" s="3">
        <v>0</v>
      </c>
      <c r="S2055" s="3">
        <v>0</v>
      </c>
      <c r="T2055">
        <v>0</v>
      </c>
      <c r="U2055">
        <v>0</v>
      </c>
      <c r="V2055" s="3">
        <v>0</v>
      </c>
      <c r="W2055" s="3">
        <v>0</v>
      </c>
      <c r="X2055">
        <v>0</v>
      </c>
      <c r="Y2055" t="s">
        <v>1694</v>
      </c>
    </row>
    <row r="2056" spans="1:25" hidden="1" x14ac:dyDescent="0.25">
      <c r="A2056" s="1" t="s">
        <v>49</v>
      </c>
      <c r="B2056" s="1" t="s">
        <v>118</v>
      </c>
      <c r="C2056" s="1" t="s">
        <v>50</v>
      </c>
      <c r="D2056" s="1" t="s">
        <v>27</v>
      </c>
      <c r="E2056" s="2">
        <v>45944</v>
      </c>
      <c r="F2056" s="2">
        <v>45944</v>
      </c>
      <c r="G2056" s="3">
        <v>63</v>
      </c>
      <c r="H2056" t="s">
        <v>28</v>
      </c>
      <c r="I2056">
        <v>49</v>
      </c>
      <c r="J2056">
        <v>0</v>
      </c>
      <c r="K2056">
        <v>0</v>
      </c>
      <c r="L2056" s="3">
        <v>1</v>
      </c>
      <c r="M2056" s="3">
        <v>1</v>
      </c>
      <c r="N2056">
        <v>0</v>
      </c>
      <c r="O2056">
        <v>1</v>
      </c>
      <c r="P2056">
        <v>0</v>
      </c>
      <c r="Q2056">
        <v>49</v>
      </c>
      <c r="R2056" s="3">
        <v>0</v>
      </c>
      <c r="S2056" s="3">
        <v>0</v>
      </c>
      <c r="T2056">
        <v>0</v>
      </c>
      <c r="U2056">
        <v>0</v>
      </c>
      <c r="V2056" s="3">
        <v>0</v>
      </c>
      <c r="W2056" s="3">
        <v>0</v>
      </c>
      <c r="X2056">
        <v>0</v>
      </c>
      <c r="Y2056" t="s">
        <v>1695</v>
      </c>
    </row>
    <row r="2057" spans="1:25" hidden="1" x14ac:dyDescent="0.25">
      <c r="A2057" s="1" t="s">
        <v>54</v>
      </c>
      <c r="B2057" s="1" t="s">
        <v>149</v>
      </c>
      <c r="C2057" s="1" t="s">
        <v>52</v>
      </c>
      <c r="D2057" s="1" t="s">
        <v>27</v>
      </c>
      <c r="E2057" s="2">
        <v>45944</v>
      </c>
      <c r="F2057" s="2">
        <v>45944</v>
      </c>
      <c r="G2057" s="3">
        <v>54</v>
      </c>
      <c r="H2057" t="s">
        <v>28</v>
      </c>
      <c r="I2057">
        <v>44</v>
      </c>
      <c r="J2057">
        <v>0</v>
      </c>
      <c r="K2057">
        <v>0</v>
      </c>
      <c r="L2057" s="3">
        <v>0</v>
      </c>
      <c r="M2057" s="3">
        <v>0</v>
      </c>
      <c r="N2057">
        <v>0</v>
      </c>
      <c r="O2057">
        <v>0</v>
      </c>
      <c r="P2057">
        <v>0</v>
      </c>
      <c r="Q2057">
        <v>2</v>
      </c>
      <c r="R2057" s="3">
        <v>0</v>
      </c>
      <c r="S2057" s="3">
        <v>0</v>
      </c>
      <c r="T2057">
        <v>0</v>
      </c>
      <c r="U2057">
        <v>0</v>
      </c>
      <c r="V2057" s="3">
        <v>0</v>
      </c>
      <c r="W2057" s="3">
        <v>0</v>
      </c>
      <c r="X2057">
        <v>0</v>
      </c>
      <c r="Y2057" t="s">
        <v>1696</v>
      </c>
    </row>
    <row r="2058" spans="1:25" hidden="1" x14ac:dyDescent="0.25">
      <c r="A2058" t="s">
        <v>58</v>
      </c>
      <c r="B2058" s="1" t="s">
        <v>144</v>
      </c>
      <c r="C2058" s="1" t="s">
        <v>489</v>
      </c>
      <c r="D2058" s="1" t="s">
        <v>27</v>
      </c>
      <c r="E2058" s="2">
        <v>45944</v>
      </c>
      <c r="F2058" s="2">
        <v>45944</v>
      </c>
      <c r="G2058" s="3">
        <v>18</v>
      </c>
      <c r="H2058" t="s">
        <v>28</v>
      </c>
      <c r="I2058">
        <v>38</v>
      </c>
      <c r="J2058">
        <v>0</v>
      </c>
      <c r="K2058">
        <v>0</v>
      </c>
      <c r="L2058" s="3">
        <v>0</v>
      </c>
      <c r="M2058" s="3">
        <v>0</v>
      </c>
      <c r="N2058">
        <v>0</v>
      </c>
      <c r="O2058">
        <v>0</v>
      </c>
      <c r="P2058">
        <v>0</v>
      </c>
      <c r="Q2058">
        <v>0</v>
      </c>
      <c r="R2058" s="3">
        <v>0</v>
      </c>
      <c r="S2058" s="3">
        <v>0</v>
      </c>
      <c r="T2058">
        <v>0</v>
      </c>
      <c r="U2058">
        <v>0</v>
      </c>
      <c r="V2058" s="3">
        <v>0</v>
      </c>
      <c r="W2058" s="3">
        <v>0</v>
      </c>
      <c r="X2058">
        <v>0</v>
      </c>
      <c r="Y2058" t="s">
        <v>1697</v>
      </c>
    </row>
    <row r="2059" spans="1:25" hidden="1" x14ac:dyDescent="0.25">
      <c r="A2059" s="1" t="s">
        <v>51</v>
      </c>
      <c r="B2059" s="1" t="s">
        <v>106</v>
      </c>
      <c r="C2059" s="1" t="s">
        <v>27</v>
      </c>
      <c r="D2059" s="1" t="s">
        <v>27</v>
      </c>
      <c r="E2059" s="2">
        <v>45944</v>
      </c>
      <c r="F2059" s="2">
        <v>45944</v>
      </c>
      <c r="G2059" s="3">
        <v>19</v>
      </c>
      <c r="H2059" t="s">
        <v>1448</v>
      </c>
      <c r="I2059">
        <v>0</v>
      </c>
      <c r="J2059">
        <v>0</v>
      </c>
      <c r="K2059">
        <v>0</v>
      </c>
      <c r="L2059" s="3">
        <v>0</v>
      </c>
      <c r="M2059" s="3">
        <v>0</v>
      </c>
      <c r="N2059">
        <v>0</v>
      </c>
      <c r="O2059">
        <v>0</v>
      </c>
      <c r="P2059">
        <v>0</v>
      </c>
      <c r="Q2059">
        <v>0</v>
      </c>
      <c r="R2059" s="3">
        <v>0</v>
      </c>
      <c r="S2059" s="3">
        <v>0</v>
      </c>
      <c r="T2059">
        <v>0</v>
      </c>
      <c r="U2059">
        <v>0</v>
      </c>
      <c r="V2059" s="3">
        <v>0</v>
      </c>
      <c r="W2059" s="3">
        <v>0</v>
      </c>
      <c r="X2059" s="3">
        <v>0</v>
      </c>
      <c r="Y2059" t="s">
        <v>1697</v>
      </c>
    </row>
    <row r="2060" spans="1:25" hidden="1" x14ac:dyDescent="0.25">
      <c r="A2060" s="1" t="s">
        <v>48</v>
      </c>
      <c r="B2060" s="1" t="s">
        <v>182</v>
      </c>
      <c r="C2060" s="1" t="s">
        <v>27</v>
      </c>
      <c r="D2060" s="1" t="s">
        <v>27</v>
      </c>
      <c r="E2060" s="2">
        <v>45944</v>
      </c>
      <c r="F2060" s="2">
        <v>45944</v>
      </c>
      <c r="G2060" s="3">
        <v>20</v>
      </c>
      <c r="H2060" t="s">
        <v>1448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1697</v>
      </c>
    </row>
    <row r="2061" spans="1:25" hidden="1" x14ac:dyDescent="0.25">
      <c r="A2061" t="s">
        <v>33</v>
      </c>
      <c r="B2061" s="1" t="s">
        <v>184</v>
      </c>
      <c r="C2061" s="1" t="s">
        <v>27</v>
      </c>
      <c r="D2061" s="1" t="s">
        <v>27</v>
      </c>
      <c r="E2061" s="2">
        <v>45944</v>
      </c>
      <c r="F2061" s="2">
        <v>45944</v>
      </c>
      <c r="G2061" s="3">
        <v>21</v>
      </c>
      <c r="H2061" t="s">
        <v>1448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1697</v>
      </c>
    </row>
    <row r="2062" spans="1:25" hidden="1" x14ac:dyDescent="0.25">
      <c r="A2062" s="1" t="s">
        <v>40</v>
      </c>
      <c r="B2062" s="1" t="s">
        <v>186</v>
      </c>
      <c r="C2062" s="1" t="s">
        <v>27</v>
      </c>
      <c r="D2062" s="1" t="s">
        <v>27</v>
      </c>
      <c r="E2062" s="2">
        <v>45944</v>
      </c>
      <c r="F2062" s="2">
        <v>45944</v>
      </c>
      <c r="G2062" s="3">
        <v>22</v>
      </c>
      <c r="H2062" t="s">
        <v>28</v>
      </c>
      <c r="I2062">
        <v>50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1697</v>
      </c>
    </row>
    <row r="2063" spans="1:25" hidden="1" x14ac:dyDescent="0.25">
      <c r="A2063" s="1" t="s">
        <v>27</v>
      </c>
      <c r="B2063" s="1" t="s">
        <v>188</v>
      </c>
      <c r="C2063" s="1" t="s">
        <v>37</v>
      </c>
      <c r="D2063" s="1" t="s">
        <v>27</v>
      </c>
      <c r="E2063" s="2">
        <v>45944</v>
      </c>
      <c r="F2063" s="2">
        <v>45944</v>
      </c>
      <c r="G2063" s="3">
        <v>23</v>
      </c>
      <c r="H2063" t="s">
        <v>1317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1697</v>
      </c>
    </row>
    <row r="2064" spans="1:25" hidden="1" x14ac:dyDescent="0.25">
      <c r="A2064" s="1" t="s">
        <v>27</v>
      </c>
      <c r="B2064" s="1" t="s">
        <v>120</v>
      </c>
      <c r="C2064" s="1" t="s">
        <v>55</v>
      </c>
      <c r="D2064" s="1" t="s">
        <v>27</v>
      </c>
      <c r="E2064" s="2">
        <v>45944</v>
      </c>
      <c r="F2064" s="2">
        <v>45944</v>
      </c>
      <c r="G2064" s="3">
        <v>24</v>
      </c>
      <c r="H2064" t="s">
        <v>1448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1697</v>
      </c>
    </row>
    <row r="2065" spans="1:25" hidden="1" x14ac:dyDescent="0.25">
      <c r="A2065" s="1" t="s">
        <v>25</v>
      </c>
      <c r="B2065" s="1" t="s">
        <v>96</v>
      </c>
      <c r="C2065" s="1" t="s">
        <v>35</v>
      </c>
      <c r="D2065" s="1" t="s">
        <v>27</v>
      </c>
      <c r="E2065" s="2">
        <v>45945</v>
      </c>
      <c r="F2065" s="2">
        <v>45945</v>
      </c>
      <c r="G2065" s="3">
        <v>36</v>
      </c>
      <c r="H2065" s="4" t="s">
        <v>28</v>
      </c>
      <c r="I2065">
        <v>48</v>
      </c>
      <c r="J2065">
        <v>0</v>
      </c>
      <c r="K2065">
        <v>0</v>
      </c>
      <c r="L2065" s="3">
        <v>0</v>
      </c>
      <c r="M2065" s="3">
        <v>0</v>
      </c>
      <c r="N2065">
        <v>0</v>
      </c>
      <c r="O2065">
        <v>0</v>
      </c>
      <c r="P2065">
        <v>0</v>
      </c>
      <c r="Q2065">
        <v>0</v>
      </c>
      <c r="R2065" s="3">
        <v>0</v>
      </c>
      <c r="S2065" s="3">
        <v>0</v>
      </c>
      <c r="T2065">
        <v>0</v>
      </c>
      <c r="U2065">
        <v>0</v>
      </c>
      <c r="V2065" s="3">
        <v>0</v>
      </c>
      <c r="W2065" s="3">
        <v>0</v>
      </c>
      <c r="X2065">
        <v>0</v>
      </c>
      <c r="Y2065" t="s">
        <v>1671</v>
      </c>
    </row>
    <row r="2066" spans="1:25" hidden="1" x14ac:dyDescent="0.25">
      <c r="A2066" s="1" t="s">
        <v>56</v>
      </c>
      <c r="B2066" s="1" t="s">
        <v>98</v>
      </c>
      <c r="C2066" s="1" t="s">
        <v>37</v>
      </c>
      <c r="D2066" t="s">
        <v>27</v>
      </c>
      <c r="E2066" s="2">
        <v>45945</v>
      </c>
      <c r="F2066" s="2">
        <v>45945</v>
      </c>
      <c r="G2066" s="3">
        <v>31</v>
      </c>
      <c r="H2066" s="4" t="s">
        <v>28</v>
      </c>
      <c r="I2066">
        <v>60</v>
      </c>
      <c r="J2066">
        <v>0</v>
      </c>
      <c r="K2066">
        <v>0</v>
      </c>
      <c r="L2066" s="3">
        <v>1</v>
      </c>
      <c r="M2066" s="3">
        <v>0</v>
      </c>
      <c r="N2066">
        <v>0</v>
      </c>
      <c r="O2066">
        <v>0</v>
      </c>
      <c r="P2066">
        <v>0</v>
      </c>
      <c r="Q2066">
        <v>10</v>
      </c>
      <c r="R2066" s="3">
        <v>0</v>
      </c>
      <c r="S2066" s="3">
        <v>0</v>
      </c>
      <c r="T2066">
        <v>0</v>
      </c>
      <c r="U2066">
        <v>0</v>
      </c>
      <c r="V2066" s="3">
        <v>0</v>
      </c>
      <c r="W2066" s="3">
        <v>0</v>
      </c>
      <c r="X2066">
        <v>0</v>
      </c>
      <c r="Y2066" t="s">
        <v>1698</v>
      </c>
    </row>
    <row r="2067" spans="1:25" hidden="1" x14ac:dyDescent="0.25">
      <c r="A2067" s="1" t="s">
        <v>29</v>
      </c>
      <c r="B2067" s="1" t="s">
        <v>100</v>
      </c>
      <c r="C2067" s="1" t="s">
        <v>95</v>
      </c>
      <c r="D2067" t="s">
        <v>27</v>
      </c>
      <c r="E2067" s="2">
        <v>45945</v>
      </c>
      <c r="F2067" s="2">
        <v>45945</v>
      </c>
      <c r="G2067" s="3">
        <v>49</v>
      </c>
      <c r="H2067" s="4" t="s">
        <v>28</v>
      </c>
      <c r="I2067">
        <v>40</v>
      </c>
      <c r="J2067">
        <v>64</v>
      </c>
      <c r="K2067">
        <v>0</v>
      </c>
      <c r="L2067" s="3">
        <v>1</v>
      </c>
      <c r="M2067" s="3">
        <v>0</v>
      </c>
      <c r="N2067">
        <v>0</v>
      </c>
      <c r="O2067">
        <v>0</v>
      </c>
      <c r="P2067">
        <v>0</v>
      </c>
      <c r="Q2067">
        <v>15</v>
      </c>
      <c r="R2067" s="3">
        <v>0</v>
      </c>
      <c r="S2067" s="3">
        <v>0</v>
      </c>
      <c r="T2067">
        <v>0</v>
      </c>
      <c r="U2067">
        <v>0</v>
      </c>
      <c r="V2067" s="3">
        <v>0</v>
      </c>
      <c r="W2067" s="3">
        <v>0</v>
      </c>
      <c r="X2067">
        <v>3</v>
      </c>
      <c r="Y2067" t="s">
        <v>1699</v>
      </c>
    </row>
    <row r="2068" spans="1:25" hidden="1" x14ac:dyDescent="0.25">
      <c r="A2068" s="1" t="s">
        <v>31</v>
      </c>
      <c r="B2068" s="1" t="s">
        <v>104</v>
      </c>
      <c r="C2068" s="1" t="s">
        <v>32</v>
      </c>
      <c r="D2068" t="s">
        <v>27</v>
      </c>
      <c r="E2068" s="2">
        <v>45945</v>
      </c>
      <c r="F2068" s="2">
        <v>45945</v>
      </c>
      <c r="G2068" s="3">
        <v>74</v>
      </c>
      <c r="H2068" s="4" t="s">
        <v>28</v>
      </c>
      <c r="I2068">
        <v>83</v>
      </c>
      <c r="J2068">
        <v>10</v>
      </c>
      <c r="K2068">
        <v>0</v>
      </c>
      <c r="L2068" s="3">
        <v>0</v>
      </c>
      <c r="M2068" s="3">
        <v>0</v>
      </c>
      <c r="N2068">
        <v>0</v>
      </c>
      <c r="O2068">
        <v>0</v>
      </c>
      <c r="P2068">
        <v>0</v>
      </c>
      <c r="Q2068">
        <v>30</v>
      </c>
      <c r="R2068" s="3">
        <v>0</v>
      </c>
      <c r="S2068" s="3">
        <v>0</v>
      </c>
      <c r="T2068">
        <v>0</v>
      </c>
      <c r="U2068">
        <v>0</v>
      </c>
      <c r="V2068" s="3">
        <v>0</v>
      </c>
      <c r="W2068" s="3">
        <v>0</v>
      </c>
      <c r="X2068">
        <v>0</v>
      </c>
      <c r="Y2068" t="s">
        <v>1700</v>
      </c>
    </row>
    <row r="2069" spans="1:25" hidden="1" x14ac:dyDescent="0.25">
      <c r="A2069" t="s">
        <v>33</v>
      </c>
      <c r="B2069" s="1" t="s">
        <v>106</v>
      </c>
      <c r="C2069" s="1" t="s">
        <v>55</v>
      </c>
      <c r="D2069" t="s">
        <v>27</v>
      </c>
      <c r="E2069" s="2">
        <v>45945</v>
      </c>
      <c r="F2069" s="2">
        <v>45945</v>
      </c>
      <c r="G2069" s="3">
        <v>54</v>
      </c>
      <c r="H2069" s="4" t="s">
        <v>28</v>
      </c>
      <c r="I2069">
        <v>52</v>
      </c>
      <c r="J2069">
        <v>64</v>
      </c>
      <c r="K2069">
        <v>0</v>
      </c>
      <c r="L2069" s="3">
        <v>1</v>
      </c>
      <c r="M2069" s="3">
        <v>0</v>
      </c>
      <c r="N2069">
        <v>0</v>
      </c>
      <c r="O2069">
        <v>0</v>
      </c>
      <c r="P2069">
        <v>0</v>
      </c>
      <c r="Q2069">
        <v>20</v>
      </c>
      <c r="R2069" s="3">
        <v>0</v>
      </c>
      <c r="S2069" s="3">
        <v>0</v>
      </c>
      <c r="T2069">
        <v>0</v>
      </c>
      <c r="U2069">
        <v>0</v>
      </c>
      <c r="V2069" s="3">
        <v>0</v>
      </c>
      <c r="W2069" s="3">
        <v>0</v>
      </c>
      <c r="X2069">
        <v>3</v>
      </c>
      <c r="Y2069" t="s">
        <v>1701</v>
      </c>
    </row>
    <row r="2070" spans="1:25" hidden="1" x14ac:dyDescent="0.25">
      <c r="A2070" s="1" t="s">
        <v>36</v>
      </c>
      <c r="B2070" s="1" t="s">
        <v>249</v>
      </c>
      <c r="C2070" s="1" t="s">
        <v>26</v>
      </c>
      <c r="D2070" t="s">
        <v>27</v>
      </c>
      <c r="E2070" s="2">
        <v>45945</v>
      </c>
      <c r="F2070" s="2">
        <v>45945</v>
      </c>
      <c r="G2070" s="3">
        <v>47</v>
      </c>
      <c r="H2070" s="4" t="s">
        <v>28</v>
      </c>
      <c r="I2070">
        <v>93</v>
      </c>
      <c r="J2070">
        <v>0</v>
      </c>
      <c r="K2070">
        <v>0</v>
      </c>
      <c r="L2070" s="3">
        <v>1</v>
      </c>
      <c r="M2070" s="3">
        <v>1</v>
      </c>
      <c r="N2070">
        <v>1</v>
      </c>
      <c r="O2070">
        <v>0</v>
      </c>
      <c r="P2070">
        <v>0</v>
      </c>
      <c r="Q2070">
        <v>0</v>
      </c>
      <c r="R2070" s="3">
        <v>0</v>
      </c>
      <c r="S2070" s="3">
        <v>0</v>
      </c>
      <c r="T2070">
        <v>0</v>
      </c>
      <c r="U2070">
        <v>0</v>
      </c>
      <c r="V2070" s="3">
        <v>0</v>
      </c>
      <c r="W2070" s="3">
        <v>0</v>
      </c>
      <c r="X2070">
        <v>0</v>
      </c>
      <c r="Y2070" t="s">
        <v>1702</v>
      </c>
    </row>
    <row r="2071" spans="1:25" hidden="1" x14ac:dyDescent="0.25">
      <c r="A2071" s="1" t="s">
        <v>38</v>
      </c>
      <c r="B2071" s="1" t="s">
        <v>108</v>
      </c>
      <c r="C2071" s="1" t="s">
        <v>27</v>
      </c>
      <c r="D2071" t="s">
        <v>27</v>
      </c>
      <c r="E2071" s="2">
        <v>45945</v>
      </c>
      <c r="F2071" s="2">
        <v>45945</v>
      </c>
      <c r="G2071" s="3">
        <v>48</v>
      </c>
      <c r="H2071" s="4" t="s">
        <v>28</v>
      </c>
      <c r="I2071">
        <v>55</v>
      </c>
      <c r="J2071">
        <v>0</v>
      </c>
      <c r="K2071">
        <v>0</v>
      </c>
      <c r="L2071" s="3">
        <v>0</v>
      </c>
      <c r="M2071" s="3">
        <v>0</v>
      </c>
      <c r="N2071">
        <v>0</v>
      </c>
      <c r="O2071">
        <v>0</v>
      </c>
      <c r="P2071">
        <v>0</v>
      </c>
      <c r="Q2071">
        <v>55</v>
      </c>
      <c r="R2071" s="3">
        <v>0</v>
      </c>
      <c r="S2071" s="3">
        <v>0</v>
      </c>
      <c r="T2071">
        <v>0</v>
      </c>
      <c r="U2071">
        <v>0</v>
      </c>
      <c r="V2071" s="3">
        <v>0</v>
      </c>
      <c r="W2071" s="3">
        <v>0</v>
      </c>
      <c r="X2071">
        <v>0</v>
      </c>
      <c r="Y2071" t="s">
        <v>1703</v>
      </c>
    </row>
    <row r="2072" spans="1:25" hidden="1" x14ac:dyDescent="0.25">
      <c r="A2072" s="1" t="s">
        <v>1454</v>
      </c>
      <c r="B2072" s="1" t="s">
        <v>1455</v>
      </c>
      <c r="C2072" s="1" t="s">
        <v>27</v>
      </c>
      <c r="D2072" t="s">
        <v>27</v>
      </c>
      <c r="E2072" s="2">
        <v>45945</v>
      </c>
      <c r="F2072" s="2">
        <v>45945</v>
      </c>
      <c r="G2072" s="3">
        <v>38</v>
      </c>
      <c r="H2072" s="4" t="s">
        <v>28</v>
      </c>
      <c r="I2072">
        <v>37</v>
      </c>
      <c r="J2072">
        <v>0</v>
      </c>
      <c r="K2072">
        <v>0</v>
      </c>
      <c r="L2072" s="3">
        <v>1</v>
      </c>
      <c r="M2072" s="3">
        <v>0</v>
      </c>
      <c r="N2072">
        <v>0</v>
      </c>
      <c r="O2072">
        <v>0</v>
      </c>
      <c r="P2072">
        <v>0</v>
      </c>
      <c r="Q2072">
        <v>37</v>
      </c>
      <c r="R2072" s="3">
        <v>0</v>
      </c>
      <c r="S2072" s="3">
        <v>0</v>
      </c>
      <c r="T2072">
        <v>0</v>
      </c>
      <c r="U2072">
        <v>0</v>
      </c>
      <c r="V2072" s="3">
        <v>0</v>
      </c>
      <c r="W2072" s="3">
        <v>0</v>
      </c>
      <c r="X2072">
        <v>0</v>
      </c>
      <c r="Y2072" t="s">
        <v>1704</v>
      </c>
    </row>
    <row r="2073" spans="1:25" hidden="1" x14ac:dyDescent="0.25">
      <c r="A2073" s="1" t="s">
        <v>41</v>
      </c>
      <c r="B2073" s="1" t="s">
        <v>112</v>
      </c>
      <c r="C2073" s="1" t="s">
        <v>42</v>
      </c>
      <c r="D2073" t="s">
        <v>27</v>
      </c>
      <c r="E2073" s="2">
        <v>45945</v>
      </c>
      <c r="F2073" s="2">
        <v>45945</v>
      </c>
      <c r="G2073" s="3">
        <v>88</v>
      </c>
      <c r="H2073" s="4" t="s">
        <v>28</v>
      </c>
      <c r="I2073">
        <v>40</v>
      </c>
      <c r="J2073">
        <v>64</v>
      </c>
      <c r="K2073">
        <v>0</v>
      </c>
      <c r="L2073" s="3">
        <v>1</v>
      </c>
      <c r="M2073" s="3">
        <v>0</v>
      </c>
      <c r="N2073">
        <v>0</v>
      </c>
      <c r="O2073">
        <v>0</v>
      </c>
      <c r="P2073">
        <v>0</v>
      </c>
      <c r="Q2073">
        <v>0</v>
      </c>
      <c r="R2073" s="3">
        <v>0</v>
      </c>
      <c r="S2073" s="3">
        <v>0</v>
      </c>
      <c r="T2073">
        <v>0</v>
      </c>
      <c r="U2073">
        <v>0</v>
      </c>
      <c r="V2073" s="3">
        <v>0</v>
      </c>
      <c r="W2073" s="3">
        <v>0</v>
      </c>
      <c r="X2073">
        <v>3</v>
      </c>
      <c r="Y2073" t="s">
        <v>1705</v>
      </c>
    </row>
    <row r="2074" spans="1:25" hidden="1" x14ac:dyDescent="0.25">
      <c r="A2074" s="1" t="s">
        <v>43</v>
      </c>
      <c r="B2074" s="1" t="s">
        <v>114</v>
      </c>
      <c r="C2074" s="1" t="s">
        <v>44</v>
      </c>
      <c r="D2074" t="s">
        <v>27</v>
      </c>
      <c r="E2074" s="2">
        <v>45945</v>
      </c>
      <c r="F2074" s="2">
        <v>45945</v>
      </c>
      <c r="G2074" s="3">
        <v>28</v>
      </c>
      <c r="H2074" s="4" t="s">
        <v>28</v>
      </c>
      <c r="I2074">
        <v>50</v>
      </c>
      <c r="J2074">
        <v>0</v>
      </c>
      <c r="K2074">
        <v>0</v>
      </c>
      <c r="L2074" s="3">
        <v>0</v>
      </c>
      <c r="M2074" s="3">
        <v>0</v>
      </c>
      <c r="N2074">
        <v>0</v>
      </c>
      <c r="O2074">
        <v>0</v>
      </c>
      <c r="P2074">
        <v>0</v>
      </c>
      <c r="Q2074">
        <v>0</v>
      </c>
      <c r="R2074" s="3">
        <v>0</v>
      </c>
      <c r="S2074" s="3">
        <v>0</v>
      </c>
      <c r="T2074">
        <v>0</v>
      </c>
      <c r="U2074">
        <v>0</v>
      </c>
      <c r="V2074" s="3">
        <v>0</v>
      </c>
      <c r="W2074" s="3">
        <v>0</v>
      </c>
      <c r="X2074">
        <v>0</v>
      </c>
      <c r="Y2074" t="s">
        <v>1706</v>
      </c>
    </row>
    <row r="2075" spans="1:25" hidden="1" x14ac:dyDescent="0.25">
      <c r="A2075" s="1" t="s">
        <v>45</v>
      </c>
      <c r="B2075" s="1" t="s">
        <v>116</v>
      </c>
      <c r="C2075" s="1" t="s">
        <v>46</v>
      </c>
      <c r="D2075" t="s">
        <v>27</v>
      </c>
      <c r="E2075" s="2">
        <v>45945</v>
      </c>
      <c r="F2075" s="2">
        <v>45945</v>
      </c>
      <c r="G2075" s="3">
        <v>48</v>
      </c>
      <c r="H2075" s="4" t="s">
        <v>28</v>
      </c>
      <c r="I2075">
        <v>65</v>
      </c>
      <c r="J2075">
        <v>0</v>
      </c>
      <c r="K2075">
        <v>0</v>
      </c>
      <c r="L2075" s="3">
        <v>1</v>
      </c>
      <c r="M2075" s="3">
        <v>0</v>
      </c>
      <c r="N2075">
        <v>0</v>
      </c>
      <c r="O2075">
        <v>0</v>
      </c>
      <c r="P2075">
        <v>0</v>
      </c>
      <c r="Q2075">
        <v>9</v>
      </c>
      <c r="R2075" s="3">
        <v>0</v>
      </c>
      <c r="S2075" s="3">
        <v>0</v>
      </c>
      <c r="T2075">
        <v>0</v>
      </c>
      <c r="U2075">
        <v>0</v>
      </c>
      <c r="V2075" s="3">
        <v>0</v>
      </c>
      <c r="W2075" s="3">
        <v>0</v>
      </c>
      <c r="X2075">
        <v>0</v>
      </c>
      <c r="Y2075" t="s">
        <v>1707</v>
      </c>
    </row>
    <row r="2076" spans="1:25" hidden="1" x14ac:dyDescent="0.25">
      <c r="A2076" s="1" t="s">
        <v>47</v>
      </c>
      <c r="B2076" s="1" t="s">
        <v>137</v>
      </c>
      <c r="C2076" s="1" t="s">
        <v>27</v>
      </c>
      <c r="D2076" t="s">
        <v>27</v>
      </c>
      <c r="E2076" s="2">
        <v>45945</v>
      </c>
      <c r="F2076" s="2">
        <v>45945</v>
      </c>
      <c r="G2076" s="3">
        <v>67</v>
      </c>
      <c r="H2076" s="4" t="s">
        <v>28</v>
      </c>
      <c r="I2076">
        <v>63</v>
      </c>
      <c r="J2076">
        <v>64</v>
      </c>
      <c r="K2076">
        <v>0</v>
      </c>
      <c r="L2076" s="3">
        <v>1</v>
      </c>
      <c r="M2076" s="3">
        <v>0</v>
      </c>
      <c r="N2076">
        <v>0</v>
      </c>
      <c r="O2076">
        <v>0</v>
      </c>
      <c r="P2076">
        <v>0</v>
      </c>
      <c r="Q2076">
        <v>15</v>
      </c>
      <c r="R2076" s="3">
        <v>0</v>
      </c>
      <c r="S2076" s="3">
        <v>0</v>
      </c>
      <c r="T2076">
        <v>0</v>
      </c>
      <c r="U2076">
        <v>0</v>
      </c>
      <c r="V2076" s="3">
        <v>0</v>
      </c>
      <c r="W2076" s="3">
        <v>0</v>
      </c>
      <c r="X2076">
        <v>3</v>
      </c>
      <c r="Y2076" t="s">
        <v>1708</v>
      </c>
    </row>
    <row r="2077" spans="1:25" hidden="1" x14ac:dyDescent="0.25">
      <c r="A2077" s="1" t="s">
        <v>34</v>
      </c>
      <c r="B2077" s="1" t="s">
        <v>137</v>
      </c>
      <c r="C2077" s="1" t="s">
        <v>27</v>
      </c>
      <c r="D2077" t="s">
        <v>27</v>
      </c>
      <c r="E2077" s="2">
        <v>45945</v>
      </c>
      <c r="F2077" s="2">
        <v>45945</v>
      </c>
      <c r="G2077" s="3">
        <v>67</v>
      </c>
      <c r="H2077" s="4" t="s">
        <v>28</v>
      </c>
      <c r="I2077">
        <v>63</v>
      </c>
      <c r="J2077">
        <v>64</v>
      </c>
      <c r="K2077">
        <v>0</v>
      </c>
      <c r="L2077" s="3">
        <v>1</v>
      </c>
      <c r="M2077" s="3">
        <v>0</v>
      </c>
      <c r="N2077">
        <v>0</v>
      </c>
      <c r="O2077">
        <v>0</v>
      </c>
      <c r="P2077">
        <v>0</v>
      </c>
      <c r="Q2077">
        <v>15</v>
      </c>
      <c r="R2077" s="3">
        <v>0</v>
      </c>
      <c r="S2077" s="3">
        <v>0</v>
      </c>
      <c r="T2077">
        <v>0</v>
      </c>
      <c r="U2077">
        <v>0</v>
      </c>
      <c r="V2077" s="3">
        <v>0</v>
      </c>
      <c r="W2077" s="3">
        <v>0</v>
      </c>
      <c r="X2077">
        <v>3</v>
      </c>
      <c r="Y2077" t="s">
        <v>1708</v>
      </c>
    </row>
    <row r="2078" spans="1:25" hidden="1" x14ac:dyDescent="0.25">
      <c r="A2078" s="1" t="s">
        <v>49</v>
      </c>
      <c r="B2078" s="1" t="s">
        <v>118</v>
      </c>
      <c r="C2078" s="1" t="s">
        <v>50</v>
      </c>
      <c r="D2078" t="s">
        <v>27</v>
      </c>
      <c r="E2078" s="2">
        <v>45945</v>
      </c>
      <c r="F2078" s="2">
        <v>45945</v>
      </c>
      <c r="G2078" s="3">
        <v>30</v>
      </c>
      <c r="H2078" s="4" t="s">
        <v>28</v>
      </c>
      <c r="I2078">
        <v>48</v>
      </c>
      <c r="J2078">
        <v>0</v>
      </c>
      <c r="K2078">
        <v>0</v>
      </c>
      <c r="L2078" s="3">
        <v>1</v>
      </c>
      <c r="M2078" s="3">
        <v>1</v>
      </c>
      <c r="N2078">
        <v>0</v>
      </c>
      <c r="O2078">
        <v>0</v>
      </c>
      <c r="P2078">
        <v>0</v>
      </c>
      <c r="Q2078">
        <v>48</v>
      </c>
      <c r="R2078" s="3">
        <v>0</v>
      </c>
      <c r="S2078" s="3">
        <v>0</v>
      </c>
      <c r="T2078">
        <v>0</v>
      </c>
      <c r="U2078">
        <v>0</v>
      </c>
      <c r="V2078" s="3">
        <v>0</v>
      </c>
      <c r="W2078" s="3">
        <v>0</v>
      </c>
      <c r="X2078">
        <v>0</v>
      </c>
      <c r="Y2078" t="s">
        <v>1709</v>
      </c>
    </row>
    <row r="2079" spans="1:25" hidden="1" x14ac:dyDescent="0.25">
      <c r="A2079" s="1" t="s">
        <v>54</v>
      </c>
      <c r="B2079" s="1" t="s">
        <v>149</v>
      </c>
      <c r="C2079" s="1" t="s">
        <v>52</v>
      </c>
      <c r="D2079" s="1" t="s">
        <v>27</v>
      </c>
      <c r="E2079" s="2">
        <v>45945</v>
      </c>
      <c r="F2079" s="2">
        <v>45945</v>
      </c>
      <c r="G2079" s="3">
        <v>54</v>
      </c>
      <c r="H2079" t="s">
        <v>28</v>
      </c>
      <c r="I2079">
        <v>20</v>
      </c>
      <c r="J2079">
        <v>0</v>
      </c>
      <c r="K2079">
        <v>0</v>
      </c>
      <c r="L2079" s="3">
        <v>0</v>
      </c>
      <c r="M2079" s="3">
        <v>0</v>
      </c>
      <c r="N2079">
        <v>0</v>
      </c>
      <c r="O2079">
        <v>0</v>
      </c>
      <c r="P2079">
        <v>0</v>
      </c>
      <c r="Q2079">
        <v>0</v>
      </c>
      <c r="R2079" s="3">
        <v>0</v>
      </c>
      <c r="S2079" s="3">
        <v>0</v>
      </c>
      <c r="T2079">
        <v>0</v>
      </c>
      <c r="U2079">
        <v>0</v>
      </c>
      <c r="V2079" s="3">
        <v>0</v>
      </c>
      <c r="W2079" s="3">
        <v>0</v>
      </c>
      <c r="X2079">
        <v>0</v>
      </c>
      <c r="Y2079" t="s">
        <v>1696</v>
      </c>
    </row>
    <row r="2080" spans="1:25" hidden="1" x14ac:dyDescent="0.25">
      <c r="A2080" s="1" t="s">
        <v>51</v>
      </c>
      <c r="B2080" s="1" t="s">
        <v>120</v>
      </c>
      <c r="C2080" s="1" t="s">
        <v>57</v>
      </c>
      <c r="D2080" t="s">
        <v>27</v>
      </c>
      <c r="E2080" s="2">
        <v>45945</v>
      </c>
      <c r="F2080" s="2">
        <v>45945</v>
      </c>
      <c r="G2080" s="3">
        <v>56</v>
      </c>
      <c r="H2080" s="4" t="s">
        <v>28</v>
      </c>
      <c r="I2080">
        <v>40</v>
      </c>
      <c r="J2080">
        <v>0</v>
      </c>
      <c r="K2080">
        <v>0</v>
      </c>
      <c r="L2080" s="3">
        <v>1</v>
      </c>
      <c r="M2080" s="3">
        <v>0</v>
      </c>
      <c r="N2080">
        <v>1</v>
      </c>
      <c r="O2080">
        <v>0</v>
      </c>
      <c r="P2080">
        <v>0</v>
      </c>
      <c r="Q2080">
        <v>0</v>
      </c>
      <c r="R2080" s="3">
        <v>0</v>
      </c>
      <c r="S2080" s="3">
        <v>0</v>
      </c>
      <c r="T2080">
        <v>0</v>
      </c>
      <c r="U2080">
        <v>0</v>
      </c>
      <c r="V2080" s="3">
        <v>0</v>
      </c>
      <c r="W2080" s="3">
        <v>0</v>
      </c>
      <c r="X2080">
        <v>0</v>
      </c>
      <c r="Y2080" t="s">
        <v>1710</v>
      </c>
    </row>
    <row r="2081" spans="1:25" hidden="1" x14ac:dyDescent="0.25">
      <c r="A2081" t="s">
        <v>58</v>
      </c>
      <c r="B2081" s="1" t="s">
        <v>144</v>
      </c>
      <c r="C2081" s="1" t="s">
        <v>489</v>
      </c>
      <c r="D2081" t="s">
        <v>27</v>
      </c>
      <c r="E2081" s="2">
        <v>45945</v>
      </c>
      <c r="F2081" s="2">
        <v>45945</v>
      </c>
      <c r="G2081" s="3">
        <v>38</v>
      </c>
      <c r="H2081" s="4" t="s">
        <v>28</v>
      </c>
      <c r="I2081">
        <v>65</v>
      </c>
      <c r="J2081">
        <v>0</v>
      </c>
      <c r="K2081">
        <v>0</v>
      </c>
      <c r="L2081" s="3">
        <v>1</v>
      </c>
      <c r="M2081" s="3">
        <v>0</v>
      </c>
      <c r="N2081">
        <v>0</v>
      </c>
      <c r="O2081">
        <v>0</v>
      </c>
      <c r="P2081">
        <v>0</v>
      </c>
      <c r="Q2081">
        <v>0</v>
      </c>
      <c r="R2081" s="3">
        <v>0</v>
      </c>
      <c r="S2081" s="3">
        <v>0</v>
      </c>
      <c r="T2081">
        <v>0</v>
      </c>
      <c r="U2081">
        <v>0</v>
      </c>
      <c r="V2081" s="3">
        <v>0</v>
      </c>
      <c r="W2081" s="3">
        <v>0</v>
      </c>
      <c r="X2081">
        <v>0</v>
      </c>
      <c r="Y2081" t="s">
        <v>1711</v>
      </c>
    </row>
    <row r="2082" spans="1:25" hidden="1" x14ac:dyDescent="0.25">
      <c r="A2082" s="1" t="s">
        <v>48</v>
      </c>
      <c r="B2082" s="1" t="s">
        <v>106</v>
      </c>
      <c r="C2082" s="1" t="s">
        <v>27</v>
      </c>
      <c r="D2082" t="s">
        <v>27</v>
      </c>
      <c r="E2082" s="2">
        <v>45945</v>
      </c>
      <c r="F2082" s="2">
        <v>45945</v>
      </c>
      <c r="G2082" s="3">
        <v>39</v>
      </c>
      <c r="H2082" s="4" t="s">
        <v>28</v>
      </c>
      <c r="I2082">
        <v>35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1711</v>
      </c>
    </row>
    <row r="2083" spans="1:25" hidden="1" x14ac:dyDescent="0.25">
      <c r="A2083" s="1" t="s">
        <v>40</v>
      </c>
      <c r="B2083" s="1" t="s">
        <v>182</v>
      </c>
      <c r="C2083" s="1" t="s">
        <v>27</v>
      </c>
      <c r="D2083" t="s">
        <v>27</v>
      </c>
      <c r="E2083" s="2">
        <v>45945</v>
      </c>
      <c r="F2083" s="2">
        <v>45945</v>
      </c>
      <c r="G2083" s="3">
        <v>40</v>
      </c>
      <c r="H2083" s="4" t="s">
        <v>28</v>
      </c>
      <c r="I2083">
        <v>35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1711</v>
      </c>
    </row>
    <row r="2084" spans="1:25" hidden="1" x14ac:dyDescent="0.25">
      <c r="A2084" s="1" t="s">
        <v>56</v>
      </c>
      <c r="B2084" s="1" t="s">
        <v>98</v>
      </c>
      <c r="C2084" s="1" t="s">
        <v>37</v>
      </c>
      <c r="D2084" t="s">
        <v>27</v>
      </c>
      <c r="E2084" s="2">
        <v>45946</v>
      </c>
      <c r="F2084" s="2">
        <v>45946</v>
      </c>
      <c r="G2084" s="3">
        <v>33</v>
      </c>
      <c r="H2084" s="4" t="s">
        <v>28</v>
      </c>
      <c r="I2084">
        <v>35</v>
      </c>
      <c r="J2084">
        <v>0</v>
      </c>
      <c r="K2084">
        <v>0</v>
      </c>
      <c r="L2084" s="3">
        <v>1</v>
      </c>
      <c r="M2084" s="3">
        <v>0</v>
      </c>
      <c r="N2084">
        <v>0</v>
      </c>
      <c r="O2084">
        <v>0</v>
      </c>
      <c r="P2084">
        <v>0</v>
      </c>
      <c r="Q2084">
        <v>10</v>
      </c>
      <c r="R2084" s="3">
        <v>0</v>
      </c>
      <c r="S2084" s="3">
        <v>0</v>
      </c>
      <c r="T2084">
        <v>0</v>
      </c>
      <c r="U2084">
        <v>0</v>
      </c>
      <c r="V2084" s="3">
        <v>0</v>
      </c>
      <c r="W2084" s="3">
        <v>0</v>
      </c>
      <c r="X2084">
        <v>0</v>
      </c>
      <c r="Y2084" t="s">
        <v>1712</v>
      </c>
    </row>
    <row r="2085" spans="1:25" hidden="1" x14ac:dyDescent="0.25">
      <c r="A2085" s="1" t="s">
        <v>29</v>
      </c>
      <c r="B2085" s="1" t="s">
        <v>100</v>
      </c>
      <c r="C2085" s="1" t="s">
        <v>95</v>
      </c>
      <c r="D2085" t="s">
        <v>27</v>
      </c>
      <c r="E2085" s="2">
        <v>45946</v>
      </c>
      <c r="F2085" s="2">
        <v>45946</v>
      </c>
      <c r="G2085" s="3">
        <v>36</v>
      </c>
      <c r="H2085" s="4" t="s">
        <v>28</v>
      </c>
      <c r="I2085">
        <v>25</v>
      </c>
      <c r="J2085">
        <v>0</v>
      </c>
      <c r="K2085">
        <v>0</v>
      </c>
      <c r="L2085" s="3">
        <v>0</v>
      </c>
      <c r="M2085" s="3">
        <v>0</v>
      </c>
      <c r="N2085">
        <v>0</v>
      </c>
      <c r="O2085">
        <v>0</v>
      </c>
      <c r="P2085">
        <v>0</v>
      </c>
      <c r="Q2085">
        <v>2</v>
      </c>
      <c r="R2085" s="3">
        <v>0</v>
      </c>
      <c r="S2085" s="3">
        <v>0</v>
      </c>
      <c r="T2085">
        <v>0</v>
      </c>
      <c r="U2085">
        <v>0</v>
      </c>
      <c r="V2085" s="3">
        <v>0</v>
      </c>
      <c r="W2085" s="3">
        <v>0</v>
      </c>
      <c r="X2085">
        <v>0</v>
      </c>
      <c r="Y2085" t="s">
        <v>1713</v>
      </c>
    </row>
    <row r="2086" spans="1:25" hidden="1" x14ac:dyDescent="0.25">
      <c r="A2086" s="1" t="s">
        <v>31</v>
      </c>
      <c r="B2086" s="1" t="s">
        <v>104</v>
      </c>
      <c r="C2086" s="1" t="s">
        <v>32</v>
      </c>
      <c r="D2086" t="s">
        <v>27</v>
      </c>
      <c r="E2086" s="2">
        <v>45946</v>
      </c>
      <c r="F2086" s="2">
        <v>45946</v>
      </c>
      <c r="G2086" s="3">
        <v>47</v>
      </c>
      <c r="H2086" s="4" t="s">
        <v>28</v>
      </c>
      <c r="I2086">
        <v>83</v>
      </c>
      <c r="J2086">
        <v>0</v>
      </c>
      <c r="K2086">
        <v>0</v>
      </c>
      <c r="L2086" s="3">
        <v>0</v>
      </c>
      <c r="M2086" s="3">
        <v>0</v>
      </c>
      <c r="N2086">
        <v>0</v>
      </c>
      <c r="O2086">
        <v>0</v>
      </c>
      <c r="P2086">
        <v>0</v>
      </c>
      <c r="Q2086">
        <v>38</v>
      </c>
      <c r="R2086" s="3">
        <v>0</v>
      </c>
      <c r="S2086" s="3">
        <v>0</v>
      </c>
      <c r="T2086">
        <v>0</v>
      </c>
      <c r="U2086">
        <v>0</v>
      </c>
      <c r="V2086" s="3">
        <v>0</v>
      </c>
      <c r="W2086" s="3">
        <v>0</v>
      </c>
      <c r="X2086">
        <v>0</v>
      </c>
      <c r="Y2086" t="s">
        <v>1714</v>
      </c>
    </row>
    <row r="2087" spans="1:25" hidden="1" x14ac:dyDescent="0.25">
      <c r="A2087" t="s">
        <v>33</v>
      </c>
      <c r="B2087" s="1" t="s">
        <v>106</v>
      </c>
      <c r="C2087" s="1" t="s">
        <v>57</v>
      </c>
      <c r="D2087" t="s">
        <v>27</v>
      </c>
      <c r="E2087" s="2">
        <v>45946</v>
      </c>
      <c r="F2087" s="2">
        <v>45946</v>
      </c>
      <c r="G2087" s="3">
        <v>26</v>
      </c>
      <c r="H2087" s="4" t="s">
        <v>28</v>
      </c>
      <c r="I2087">
        <v>48</v>
      </c>
      <c r="J2087">
        <v>0</v>
      </c>
      <c r="K2087">
        <v>0</v>
      </c>
      <c r="L2087" s="3">
        <v>0</v>
      </c>
      <c r="M2087" s="3">
        <v>0</v>
      </c>
      <c r="N2087">
        <v>0</v>
      </c>
      <c r="O2087">
        <v>0</v>
      </c>
      <c r="P2087">
        <v>0</v>
      </c>
      <c r="Q2087">
        <v>0</v>
      </c>
      <c r="R2087" s="3">
        <v>0</v>
      </c>
      <c r="S2087" s="3">
        <v>0</v>
      </c>
      <c r="T2087">
        <v>0</v>
      </c>
      <c r="U2087">
        <v>0</v>
      </c>
      <c r="V2087" s="3">
        <v>0</v>
      </c>
      <c r="W2087" s="3">
        <v>0</v>
      </c>
      <c r="X2087">
        <v>0</v>
      </c>
      <c r="Y2087" t="s">
        <v>1715</v>
      </c>
    </row>
    <row r="2088" spans="1:25" hidden="1" x14ac:dyDescent="0.25">
      <c r="A2088" s="1" t="s">
        <v>36</v>
      </c>
      <c r="B2088" s="1" t="s">
        <v>249</v>
      </c>
      <c r="C2088" s="1" t="s">
        <v>26</v>
      </c>
      <c r="D2088" t="s">
        <v>27</v>
      </c>
      <c r="E2088" s="2">
        <v>45946</v>
      </c>
      <c r="F2088" s="2">
        <v>45946</v>
      </c>
      <c r="G2088" s="3">
        <v>57</v>
      </c>
      <c r="H2088" s="4" t="s">
        <v>28</v>
      </c>
      <c r="I2088">
        <v>51</v>
      </c>
      <c r="J2088">
        <v>0</v>
      </c>
      <c r="K2088">
        <v>0</v>
      </c>
      <c r="L2088" s="3">
        <v>1</v>
      </c>
      <c r="M2088" s="3">
        <v>0</v>
      </c>
      <c r="N2088">
        <v>1</v>
      </c>
      <c r="O2088">
        <v>0</v>
      </c>
      <c r="P2088">
        <v>0</v>
      </c>
      <c r="Q2088">
        <v>0</v>
      </c>
      <c r="R2088" s="3">
        <v>0</v>
      </c>
      <c r="S2088" s="3">
        <v>0</v>
      </c>
      <c r="T2088">
        <v>0</v>
      </c>
      <c r="U2088">
        <v>0</v>
      </c>
      <c r="V2088" s="3">
        <v>0</v>
      </c>
      <c r="W2088" s="3">
        <v>0</v>
      </c>
      <c r="X2088">
        <v>0</v>
      </c>
      <c r="Y2088" t="s">
        <v>1716</v>
      </c>
    </row>
    <row r="2089" spans="1:25" hidden="1" x14ac:dyDescent="0.25">
      <c r="A2089" s="1" t="s">
        <v>38</v>
      </c>
      <c r="B2089" s="1" t="s">
        <v>108</v>
      </c>
      <c r="C2089" s="1" t="s">
        <v>27</v>
      </c>
      <c r="D2089" t="s">
        <v>27</v>
      </c>
      <c r="E2089" s="2">
        <v>45946</v>
      </c>
      <c r="F2089" s="2">
        <v>45946</v>
      </c>
      <c r="G2089" s="3">
        <v>114</v>
      </c>
      <c r="H2089" s="4" t="s">
        <v>28</v>
      </c>
      <c r="I2089">
        <v>36</v>
      </c>
      <c r="J2089">
        <v>0</v>
      </c>
      <c r="K2089">
        <v>0</v>
      </c>
      <c r="L2089" s="3">
        <v>0</v>
      </c>
      <c r="M2089" s="3">
        <v>0</v>
      </c>
      <c r="N2089">
        <v>0</v>
      </c>
      <c r="O2089">
        <v>0</v>
      </c>
      <c r="P2089">
        <v>0</v>
      </c>
      <c r="Q2089">
        <v>36</v>
      </c>
      <c r="R2089" s="3">
        <v>0</v>
      </c>
      <c r="S2089" s="3">
        <v>0</v>
      </c>
      <c r="T2089">
        <v>0</v>
      </c>
      <c r="U2089">
        <v>0</v>
      </c>
      <c r="V2089" s="3">
        <v>0</v>
      </c>
      <c r="W2089" s="3">
        <v>0</v>
      </c>
      <c r="X2089">
        <v>0</v>
      </c>
      <c r="Y2089" t="s">
        <v>1717</v>
      </c>
    </row>
    <row r="2090" spans="1:25" hidden="1" x14ac:dyDescent="0.25">
      <c r="A2090" s="1" t="s">
        <v>40</v>
      </c>
      <c r="B2090" s="1" t="s">
        <v>110</v>
      </c>
      <c r="C2090" s="1" t="s">
        <v>489</v>
      </c>
      <c r="D2090" t="s">
        <v>27</v>
      </c>
      <c r="E2090" s="2">
        <v>45946</v>
      </c>
      <c r="F2090" s="2">
        <v>45946</v>
      </c>
      <c r="G2090" s="3">
        <v>72</v>
      </c>
      <c r="H2090" s="4" t="s">
        <v>28</v>
      </c>
      <c r="I2090">
        <v>46</v>
      </c>
      <c r="J2090">
        <v>0</v>
      </c>
      <c r="K2090">
        <v>0</v>
      </c>
      <c r="L2090" s="3">
        <v>1</v>
      </c>
      <c r="M2090" s="3">
        <v>0</v>
      </c>
      <c r="N2090">
        <v>0</v>
      </c>
      <c r="O2090">
        <v>0</v>
      </c>
      <c r="P2090">
        <v>0</v>
      </c>
      <c r="Q2090">
        <v>25</v>
      </c>
      <c r="R2090" s="3">
        <v>0</v>
      </c>
      <c r="S2090" s="3">
        <v>0</v>
      </c>
      <c r="T2090">
        <v>0</v>
      </c>
      <c r="U2090">
        <v>0</v>
      </c>
      <c r="V2090" s="3">
        <v>0</v>
      </c>
      <c r="W2090" s="3">
        <v>0</v>
      </c>
      <c r="X2090">
        <v>0</v>
      </c>
      <c r="Y2090" t="s">
        <v>1718</v>
      </c>
    </row>
    <row r="2091" spans="1:25" hidden="1" x14ac:dyDescent="0.25">
      <c r="A2091" s="1" t="s">
        <v>1454</v>
      </c>
      <c r="B2091" s="1" t="s">
        <v>1455</v>
      </c>
      <c r="C2091" s="1" t="s">
        <v>27</v>
      </c>
      <c r="D2091" t="s">
        <v>27</v>
      </c>
      <c r="E2091" s="2">
        <v>45946</v>
      </c>
      <c r="F2091" s="2">
        <v>45946</v>
      </c>
      <c r="G2091" s="3">
        <v>64</v>
      </c>
      <c r="H2091" s="4" t="s">
        <v>28</v>
      </c>
      <c r="I2091">
        <v>31</v>
      </c>
      <c r="J2091">
        <v>0</v>
      </c>
      <c r="K2091">
        <v>0</v>
      </c>
      <c r="L2091" s="3">
        <v>1</v>
      </c>
      <c r="M2091" s="3">
        <v>0</v>
      </c>
      <c r="N2091">
        <v>0</v>
      </c>
      <c r="O2091">
        <v>0</v>
      </c>
      <c r="P2091">
        <v>0</v>
      </c>
      <c r="Q2091">
        <v>31</v>
      </c>
      <c r="R2091" s="3">
        <v>0</v>
      </c>
      <c r="S2091" s="3">
        <v>0</v>
      </c>
      <c r="T2091">
        <v>0</v>
      </c>
      <c r="U2091">
        <v>0</v>
      </c>
      <c r="V2091" s="3">
        <v>0</v>
      </c>
      <c r="W2091" s="3">
        <v>0</v>
      </c>
      <c r="X2091">
        <v>0</v>
      </c>
      <c r="Y2091" t="s">
        <v>1719</v>
      </c>
    </row>
    <row r="2092" spans="1:25" hidden="1" x14ac:dyDescent="0.25">
      <c r="A2092" s="1" t="s">
        <v>41</v>
      </c>
      <c r="B2092" s="1" t="s">
        <v>112</v>
      </c>
      <c r="C2092" s="1" t="s">
        <v>42</v>
      </c>
      <c r="D2092" t="s">
        <v>27</v>
      </c>
      <c r="E2092" s="2">
        <v>45946</v>
      </c>
      <c r="F2092" s="2">
        <v>45946</v>
      </c>
      <c r="G2092" s="3">
        <v>52</v>
      </c>
      <c r="H2092" s="4" t="s">
        <v>28</v>
      </c>
      <c r="I2092">
        <v>34</v>
      </c>
      <c r="J2092">
        <v>0</v>
      </c>
      <c r="K2092">
        <v>0</v>
      </c>
      <c r="L2092" s="3">
        <v>1</v>
      </c>
      <c r="M2092" s="3">
        <v>0</v>
      </c>
      <c r="N2092">
        <v>0</v>
      </c>
      <c r="O2092">
        <v>0</v>
      </c>
      <c r="P2092">
        <v>0</v>
      </c>
      <c r="Q2092">
        <v>4</v>
      </c>
      <c r="R2092" s="3">
        <v>0</v>
      </c>
      <c r="S2092" s="3">
        <v>0</v>
      </c>
      <c r="T2092">
        <v>0</v>
      </c>
      <c r="U2092">
        <v>0</v>
      </c>
      <c r="V2092" s="3">
        <v>0</v>
      </c>
      <c r="W2092" s="3">
        <v>0</v>
      </c>
      <c r="X2092">
        <v>0</v>
      </c>
      <c r="Y2092" t="s">
        <v>1720</v>
      </c>
    </row>
    <row r="2093" spans="1:25" hidden="1" x14ac:dyDescent="0.25">
      <c r="A2093" s="1" t="s">
        <v>43</v>
      </c>
      <c r="B2093" s="1" t="s">
        <v>114</v>
      </c>
      <c r="C2093" s="1" t="s">
        <v>44</v>
      </c>
      <c r="D2093" t="s">
        <v>27</v>
      </c>
      <c r="E2093" s="2">
        <v>45946</v>
      </c>
      <c r="F2093" s="2">
        <v>45946</v>
      </c>
      <c r="G2093" s="3">
        <v>24</v>
      </c>
      <c r="H2093" s="4" t="s">
        <v>28</v>
      </c>
      <c r="I2093">
        <v>55</v>
      </c>
      <c r="J2093">
        <v>0</v>
      </c>
      <c r="K2093">
        <v>0</v>
      </c>
      <c r="L2093" s="3">
        <v>1</v>
      </c>
      <c r="M2093" s="3">
        <v>0</v>
      </c>
      <c r="N2093">
        <v>0</v>
      </c>
      <c r="O2093">
        <v>0</v>
      </c>
      <c r="P2093">
        <v>0</v>
      </c>
      <c r="Q2093">
        <v>0</v>
      </c>
      <c r="R2093" s="3">
        <v>0</v>
      </c>
      <c r="S2093" s="3">
        <v>0</v>
      </c>
      <c r="T2093">
        <v>0</v>
      </c>
      <c r="U2093">
        <v>0</v>
      </c>
      <c r="V2093" s="3">
        <v>0</v>
      </c>
      <c r="W2093" s="3">
        <v>0</v>
      </c>
      <c r="X2093">
        <v>0</v>
      </c>
      <c r="Y2093" t="s">
        <v>1721</v>
      </c>
    </row>
    <row r="2094" spans="1:25" hidden="1" x14ac:dyDescent="0.25">
      <c r="A2094" s="1" t="s">
        <v>45</v>
      </c>
      <c r="B2094" s="1" t="s">
        <v>116</v>
      </c>
      <c r="C2094" s="1" t="s">
        <v>1316</v>
      </c>
      <c r="D2094" t="s">
        <v>27</v>
      </c>
      <c r="E2094" s="2">
        <v>45946</v>
      </c>
      <c r="F2094" s="2">
        <v>45946</v>
      </c>
      <c r="G2094" s="3">
        <v>36</v>
      </c>
      <c r="H2094" s="4" t="s">
        <v>28</v>
      </c>
      <c r="I2094">
        <v>30</v>
      </c>
      <c r="J2094">
        <v>0</v>
      </c>
      <c r="K2094">
        <v>0</v>
      </c>
      <c r="L2094" s="3">
        <v>0</v>
      </c>
      <c r="M2094" s="3">
        <v>0</v>
      </c>
      <c r="N2094">
        <v>0</v>
      </c>
      <c r="O2094">
        <v>0</v>
      </c>
      <c r="P2094">
        <v>0</v>
      </c>
      <c r="Q2094">
        <v>0</v>
      </c>
      <c r="R2094" s="3">
        <v>0</v>
      </c>
      <c r="S2094" s="3">
        <v>0</v>
      </c>
      <c r="T2094">
        <v>0</v>
      </c>
      <c r="U2094">
        <v>0</v>
      </c>
      <c r="V2094" s="3">
        <v>0</v>
      </c>
      <c r="W2094" s="3">
        <v>0</v>
      </c>
      <c r="X2094">
        <v>0</v>
      </c>
      <c r="Y2094" t="s">
        <v>1722</v>
      </c>
    </row>
    <row r="2095" spans="1:25" hidden="1" x14ac:dyDescent="0.25">
      <c r="A2095" s="1" t="s">
        <v>49</v>
      </c>
      <c r="B2095" s="1" t="s">
        <v>118</v>
      </c>
      <c r="C2095" s="1" t="s">
        <v>50</v>
      </c>
      <c r="D2095" t="s">
        <v>27</v>
      </c>
      <c r="E2095" s="2">
        <v>45946</v>
      </c>
      <c r="F2095" s="2">
        <v>45946</v>
      </c>
      <c r="G2095" s="3">
        <v>30</v>
      </c>
      <c r="H2095" s="4" t="s">
        <v>28</v>
      </c>
      <c r="I2095">
        <v>38</v>
      </c>
      <c r="J2095">
        <v>0</v>
      </c>
      <c r="K2095">
        <v>0</v>
      </c>
      <c r="L2095" s="3">
        <v>1</v>
      </c>
      <c r="M2095" s="3">
        <v>1</v>
      </c>
      <c r="N2095">
        <v>0</v>
      </c>
      <c r="O2095">
        <v>0</v>
      </c>
      <c r="P2095">
        <v>0</v>
      </c>
      <c r="Q2095">
        <v>48</v>
      </c>
      <c r="R2095" s="3">
        <v>0</v>
      </c>
      <c r="S2095" s="3">
        <v>0</v>
      </c>
      <c r="T2095">
        <v>0</v>
      </c>
      <c r="U2095">
        <v>0</v>
      </c>
      <c r="V2095" s="3">
        <v>0</v>
      </c>
      <c r="W2095" s="3">
        <v>0</v>
      </c>
      <c r="X2095">
        <v>0</v>
      </c>
      <c r="Y2095" t="s">
        <v>1709</v>
      </c>
    </row>
    <row r="2096" spans="1:25" hidden="1" x14ac:dyDescent="0.25">
      <c r="A2096" s="1" t="s">
        <v>47</v>
      </c>
      <c r="B2096" s="1" t="s">
        <v>137</v>
      </c>
      <c r="C2096" s="1" t="s">
        <v>27</v>
      </c>
      <c r="D2096" t="s">
        <v>27</v>
      </c>
      <c r="E2096" s="2">
        <v>45946</v>
      </c>
      <c r="F2096" s="2">
        <v>45946</v>
      </c>
      <c r="G2096" s="3">
        <v>27</v>
      </c>
      <c r="H2096" s="4" t="s">
        <v>28</v>
      </c>
      <c r="I2096">
        <v>42</v>
      </c>
      <c r="J2096">
        <v>0</v>
      </c>
      <c r="K2096">
        <v>0</v>
      </c>
      <c r="L2096" s="3">
        <v>0</v>
      </c>
      <c r="M2096" s="3">
        <v>0</v>
      </c>
      <c r="N2096">
        <v>0</v>
      </c>
      <c r="O2096">
        <v>0</v>
      </c>
      <c r="P2096">
        <v>0</v>
      </c>
      <c r="Q2096">
        <v>2</v>
      </c>
      <c r="R2096" s="3">
        <v>0</v>
      </c>
      <c r="S2096" s="3">
        <v>0</v>
      </c>
      <c r="T2096">
        <v>0</v>
      </c>
      <c r="U2096">
        <v>0</v>
      </c>
      <c r="V2096" s="3">
        <v>0</v>
      </c>
      <c r="W2096" s="3">
        <v>0</v>
      </c>
      <c r="X2096">
        <v>0</v>
      </c>
      <c r="Y2096" t="s">
        <v>1723</v>
      </c>
    </row>
    <row r="2097" spans="1:25" hidden="1" x14ac:dyDescent="0.25">
      <c r="A2097" s="1" t="s">
        <v>34</v>
      </c>
      <c r="B2097" s="1" t="s">
        <v>137</v>
      </c>
      <c r="C2097" s="1" t="s">
        <v>27</v>
      </c>
      <c r="D2097" t="s">
        <v>27</v>
      </c>
      <c r="E2097" s="2">
        <v>45946</v>
      </c>
      <c r="F2097" s="2">
        <v>45946</v>
      </c>
      <c r="G2097" s="3">
        <v>27</v>
      </c>
      <c r="H2097" s="4" t="s">
        <v>28</v>
      </c>
      <c r="I2097">
        <v>42</v>
      </c>
      <c r="J2097">
        <v>0</v>
      </c>
      <c r="K2097">
        <v>0</v>
      </c>
      <c r="L2097" s="3">
        <v>0</v>
      </c>
      <c r="M2097" s="3">
        <v>0</v>
      </c>
      <c r="N2097">
        <v>0</v>
      </c>
      <c r="O2097">
        <v>0</v>
      </c>
      <c r="P2097">
        <v>0</v>
      </c>
      <c r="Q2097">
        <v>2</v>
      </c>
      <c r="R2097" s="3">
        <v>0</v>
      </c>
      <c r="S2097" s="3">
        <v>0</v>
      </c>
      <c r="T2097">
        <v>0</v>
      </c>
      <c r="U2097">
        <v>0</v>
      </c>
      <c r="V2097" s="3">
        <v>0</v>
      </c>
      <c r="W2097" s="3">
        <v>0</v>
      </c>
      <c r="X2097">
        <v>0</v>
      </c>
      <c r="Y2097" t="s">
        <v>1723</v>
      </c>
    </row>
    <row r="2098" spans="1:25" hidden="1" x14ac:dyDescent="0.25">
      <c r="A2098" s="1" t="s">
        <v>51</v>
      </c>
      <c r="B2098" s="1" t="s">
        <v>120</v>
      </c>
      <c r="C2098" s="1" t="s">
        <v>55</v>
      </c>
      <c r="D2098" t="s">
        <v>27</v>
      </c>
      <c r="E2098" s="2">
        <v>45946</v>
      </c>
      <c r="F2098" s="2">
        <v>45946</v>
      </c>
      <c r="G2098" s="3">
        <v>267</v>
      </c>
      <c r="H2098" s="4" t="s">
        <v>28</v>
      </c>
      <c r="I2098">
        <v>45</v>
      </c>
      <c r="J2098">
        <v>0</v>
      </c>
      <c r="K2098">
        <v>0</v>
      </c>
      <c r="L2098" s="3">
        <v>1</v>
      </c>
      <c r="M2098" s="3">
        <v>0</v>
      </c>
      <c r="N2098">
        <v>1</v>
      </c>
      <c r="O2098">
        <v>0</v>
      </c>
      <c r="P2098">
        <v>0</v>
      </c>
      <c r="Q2098">
        <v>0</v>
      </c>
      <c r="R2098" s="3">
        <v>0</v>
      </c>
      <c r="S2098" s="3">
        <v>0</v>
      </c>
      <c r="T2098">
        <v>0</v>
      </c>
      <c r="U2098">
        <v>0</v>
      </c>
      <c r="V2098" s="3">
        <v>0</v>
      </c>
      <c r="W2098" s="3">
        <v>0</v>
      </c>
      <c r="X2098">
        <v>0</v>
      </c>
      <c r="Y2098" t="s">
        <v>1724</v>
      </c>
    </row>
    <row r="2099" spans="1:25" hidden="1" x14ac:dyDescent="0.25">
      <c r="A2099" s="1" t="s">
        <v>54</v>
      </c>
      <c r="B2099" s="1" t="s">
        <v>122</v>
      </c>
      <c r="C2099" s="1" t="s">
        <v>52</v>
      </c>
      <c r="D2099" t="s">
        <v>27</v>
      </c>
      <c r="E2099" s="2">
        <v>45946</v>
      </c>
      <c r="F2099" s="2">
        <v>45946</v>
      </c>
      <c r="G2099" s="3">
        <v>44</v>
      </c>
      <c r="H2099" s="4" t="s">
        <v>28</v>
      </c>
      <c r="I2099">
        <v>40</v>
      </c>
      <c r="J2099">
        <v>0</v>
      </c>
      <c r="K2099">
        <v>0</v>
      </c>
      <c r="L2099" s="3">
        <v>0</v>
      </c>
      <c r="M2099" s="3">
        <v>0</v>
      </c>
      <c r="N2099">
        <v>0</v>
      </c>
      <c r="O2099">
        <v>0</v>
      </c>
      <c r="P2099">
        <v>0</v>
      </c>
      <c r="Q2099">
        <v>2</v>
      </c>
      <c r="R2099" s="3">
        <v>0</v>
      </c>
      <c r="S2099" s="3">
        <v>0</v>
      </c>
      <c r="T2099">
        <v>0</v>
      </c>
      <c r="U2099">
        <v>0</v>
      </c>
      <c r="V2099" s="3">
        <v>0</v>
      </c>
      <c r="W2099" s="3">
        <v>0</v>
      </c>
      <c r="X2099">
        <v>0</v>
      </c>
      <c r="Y2099" t="s">
        <v>1725</v>
      </c>
    </row>
    <row r="2100" spans="1:25" hidden="1" x14ac:dyDescent="0.25">
      <c r="A2100" s="1" t="s">
        <v>48</v>
      </c>
      <c r="B2100" s="1" t="s">
        <v>149</v>
      </c>
      <c r="C2100" s="1" t="s">
        <v>35</v>
      </c>
      <c r="D2100" t="s">
        <v>27</v>
      </c>
      <c r="E2100" s="2">
        <v>45946</v>
      </c>
      <c r="F2100" s="2">
        <v>45946</v>
      </c>
      <c r="G2100" s="3">
        <v>51</v>
      </c>
      <c r="H2100" s="4" t="s">
        <v>28</v>
      </c>
      <c r="I2100">
        <v>45</v>
      </c>
      <c r="J2100">
        <v>0</v>
      </c>
      <c r="K2100">
        <v>0</v>
      </c>
      <c r="L2100" s="3">
        <v>0</v>
      </c>
      <c r="M2100" s="3">
        <v>0</v>
      </c>
      <c r="N2100">
        <v>0</v>
      </c>
      <c r="O2100">
        <v>0</v>
      </c>
      <c r="P2100">
        <v>0</v>
      </c>
      <c r="Q2100">
        <v>0</v>
      </c>
      <c r="R2100" s="3">
        <v>0</v>
      </c>
      <c r="S2100" s="3">
        <v>0</v>
      </c>
      <c r="T2100">
        <v>0</v>
      </c>
      <c r="U2100">
        <v>0</v>
      </c>
      <c r="V2100" s="3">
        <v>0</v>
      </c>
      <c r="W2100" s="3">
        <v>0</v>
      </c>
      <c r="X2100">
        <v>0</v>
      </c>
      <c r="Y2100" t="s">
        <v>1726</v>
      </c>
    </row>
    <row r="2101" spans="1:25" hidden="1" x14ac:dyDescent="0.25">
      <c r="A2101" s="1" t="s">
        <v>25</v>
      </c>
      <c r="B2101" s="1" t="s">
        <v>739</v>
      </c>
      <c r="C2101" s="1" t="s">
        <v>27</v>
      </c>
      <c r="D2101" t="s">
        <v>27</v>
      </c>
      <c r="E2101" s="2">
        <v>45946</v>
      </c>
      <c r="F2101" s="2">
        <v>45946</v>
      </c>
      <c r="G2101" s="3">
        <v>52</v>
      </c>
      <c r="H2101" s="4" t="s">
        <v>180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1726</v>
      </c>
    </row>
    <row r="2102" spans="1:25" hidden="1" x14ac:dyDescent="0.25">
      <c r="A2102" t="s">
        <v>58</v>
      </c>
      <c r="B2102" s="1" t="s">
        <v>755</v>
      </c>
      <c r="C2102" s="1" t="s">
        <v>27</v>
      </c>
      <c r="D2102" t="s">
        <v>27</v>
      </c>
      <c r="E2102" s="2">
        <v>45946</v>
      </c>
      <c r="F2102" s="2">
        <v>45946</v>
      </c>
      <c r="G2102" s="3">
        <v>53</v>
      </c>
      <c r="H2102" s="4" t="s">
        <v>1448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t="s">
        <v>1726</v>
      </c>
    </row>
    <row r="2103" spans="1:25" hidden="1" x14ac:dyDescent="0.25">
      <c r="A2103" s="1" t="s">
        <v>27</v>
      </c>
      <c r="B2103" s="1" t="s">
        <v>758</v>
      </c>
      <c r="C2103" s="1" t="s">
        <v>46</v>
      </c>
      <c r="D2103" t="s">
        <v>27</v>
      </c>
      <c r="E2103" s="2">
        <v>45946</v>
      </c>
      <c r="F2103" s="2">
        <v>45946</v>
      </c>
      <c r="G2103" s="3">
        <v>54</v>
      </c>
      <c r="H2103" s="4" t="s">
        <v>180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t="s">
        <v>1726</v>
      </c>
    </row>
    <row r="2104" spans="1:25" hidden="1" x14ac:dyDescent="0.25">
      <c r="A2104" s="1" t="s">
        <v>25</v>
      </c>
      <c r="B2104" s="1" t="s">
        <v>96</v>
      </c>
      <c r="C2104" s="1" t="s">
        <v>35</v>
      </c>
      <c r="D2104" s="1" t="s">
        <v>27</v>
      </c>
      <c r="E2104" s="2">
        <v>45947</v>
      </c>
      <c r="F2104" s="2">
        <v>45947</v>
      </c>
      <c r="G2104" s="3">
        <v>36</v>
      </c>
      <c r="H2104" s="4" t="s">
        <v>28</v>
      </c>
      <c r="I2104">
        <v>31</v>
      </c>
      <c r="J2104">
        <v>0</v>
      </c>
      <c r="K2104">
        <v>0</v>
      </c>
      <c r="L2104" s="3">
        <v>0</v>
      </c>
      <c r="M2104" s="3">
        <v>0</v>
      </c>
      <c r="N2104">
        <v>0</v>
      </c>
      <c r="O2104">
        <v>0</v>
      </c>
      <c r="P2104">
        <v>0</v>
      </c>
      <c r="Q2104">
        <v>0</v>
      </c>
      <c r="R2104" s="3">
        <v>0</v>
      </c>
      <c r="S2104" s="3">
        <v>0</v>
      </c>
      <c r="T2104">
        <v>0</v>
      </c>
      <c r="U2104">
        <v>0</v>
      </c>
      <c r="V2104" s="3">
        <v>0</v>
      </c>
      <c r="W2104" s="3">
        <v>0</v>
      </c>
      <c r="X2104">
        <v>0</v>
      </c>
      <c r="Y2104" t="s">
        <v>1671</v>
      </c>
    </row>
    <row r="2105" spans="1:25" hidden="1" x14ac:dyDescent="0.25">
      <c r="A2105" s="1" t="s">
        <v>56</v>
      </c>
      <c r="B2105" s="1" t="s">
        <v>98</v>
      </c>
      <c r="C2105" s="1" t="s">
        <v>37</v>
      </c>
      <c r="D2105" t="s">
        <v>27</v>
      </c>
      <c r="E2105" s="2">
        <v>45947</v>
      </c>
      <c r="F2105" s="2">
        <v>45947</v>
      </c>
      <c r="G2105" s="3">
        <v>27</v>
      </c>
      <c r="H2105" s="4" t="s">
        <v>28</v>
      </c>
      <c r="I2105">
        <v>92</v>
      </c>
      <c r="J2105">
        <v>0</v>
      </c>
      <c r="K2105">
        <v>0</v>
      </c>
      <c r="L2105" s="3">
        <v>1</v>
      </c>
      <c r="M2105" s="3">
        <v>0</v>
      </c>
      <c r="N2105">
        <v>0</v>
      </c>
      <c r="O2105">
        <v>0</v>
      </c>
      <c r="P2105">
        <v>0</v>
      </c>
      <c r="Q2105">
        <v>2</v>
      </c>
      <c r="R2105" s="3">
        <v>0</v>
      </c>
      <c r="S2105" s="3">
        <v>0</v>
      </c>
      <c r="T2105">
        <v>0</v>
      </c>
      <c r="U2105">
        <v>0</v>
      </c>
      <c r="V2105" s="3">
        <v>0</v>
      </c>
      <c r="W2105" s="3">
        <v>0</v>
      </c>
      <c r="X2105">
        <v>0</v>
      </c>
      <c r="Y2105" t="s">
        <v>1727</v>
      </c>
    </row>
    <row r="2106" spans="1:25" hidden="1" x14ac:dyDescent="0.25">
      <c r="A2106" s="1" t="s">
        <v>29</v>
      </c>
      <c r="B2106" s="1" t="s">
        <v>100</v>
      </c>
      <c r="C2106" s="1" t="s">
        <v>95</v>
      </c>
      <c r="D2106" t="s">
        <v>27</v>
      </c>
      <c r="E2106" s="2">
        <v>45947</v>
      </c>
      <c r="F2106" s="2">
        <v>45947</v>
      </c>
      <c r="G2106" s="3">
        <v>55</v>
      </c>
      <c r="H2106" s="4" t="s">
        <v>28</v>
      </c>
      <c r="I2106">
        <v>69</v>
      </c>
      <c r="J2106">
        <v>0</v>
      </c>
      <c r="K2106">
        <v>0</v>
      </c>
      <c r="L2106" s="3">
        <v>1</v>
      </c>
      <c r="M2106" s="3">
        <v>0</v>
      </c>
      <c r="N2106">
        <v>0</v>
      </c>
      <c r="O2106">
        <v>0</v>
      </c>
      <c r="P2106">
        <v>0</v>
      </c>
      <c r="Q2106">
        <v>2</v>
      </c>
      <c r="R2106" s="3">
        <v>0</v>
      </c>
      <c r="S2106" s="3">
        <v>0</v>
      </c>
      <c r="T2106">
        <v>0</v>
      </c>
      <c r="U2106">
        <v>0</v>
      </c>
      <c r="V2106" s="3">
        <v>0</v>
      </c>
      <c r="W2106" s="3">
        <v>0</v>
      </c>
      <c r="X2106">
        <v>0</v>
      </c>
      <c r="Y2106" t="s">
        <v>1728</v>
      </c>
    </row>
    <row r="2107" spans="1:25" hidden="1" x14ac:dyDescent="0.25">
      <c r="A2107" s="1" t="s">
        <v>31</v>
      </c>
      <c r="B2107" s="1" t="s">
        <v>104</v>
      </c>
      <c r="C2107" s="1" t="s">
        <v>32</v>
      </c>
      <c r="D2107" t="s">
        <v>27</v>
      </c>
      <c r="E2107" s="2">
        <v>45947</v>
      </c>
      <c r="F2107" s="2">
        <v>45947</v>
      </c>
      <c r="G2107" s="3">
        <v>65</v>
      </c>
      <c r="H2107" s="4" t="s">
        <v>28</v>
      </c>
      <c r="I2107">
        <v>90</v>
      </c>
      <c r="J2107">
        <v>0</v>
      </c>
      <c r="K2107">
        <v>0</v>
      </c>
      <c r="L2107" s="3">
        <v>0</v>
      </c>
      <c r="M2107" s="3">
        <v>0</v>
      </c>
      <c r="N2107">
        <v>0</v>
      </c>
      <c r="O2107">
        <v>0</v>
      </c>
      <c r="P2107">
        <v>0</v>
      </c>
      <c r="Q2107">
        <v>37</v>
      </c>
      <c r="R2107" s="3">
        <v>0</v>
      </c>
      <c r="S2107" s="3">
        <v>0</v>
      </c>
      <c r="T2107">
        <v>0</v>
      </c>
      <c r="U2107">
        <v>0</v>
      </c>
      <c r="V2107" s="3">
        <v>0</v>
      </c>
      <c r="W2107" s="3">
        <v>0</v>
      </c>
      <c r="X2107">
        <v>0</v>
      </c>
      <c r="Y2107" t="s">
        <v>1729</v>
      </c>
    </row>
    <row r="2108" spans="1:25" hidden="1" x14ac:dyDescent="0.25">
      <c r="A2108" t="s">
        <v>33</v>
      </c>
      <c r="B2108" s="1" t="s">
        <v>106</v>
      </c>
      <c r="C2108" s="1" t="s">
        <v>57</v>
      </c>
      <c r="D2108" t="s">
        <v>27</v>
      </c>
      <c r="E2108" s="2">
        <v>45947</v>
      </c>
      <c r="F2108" s="2">
        <v>45947</v>
      </c>
      <c r="G2108" s="3">
        <v>29</v>
      </c>
      <c r="H2108" s="4" t="s">
        <v>28</v>
      </c>
      <c r="I2108">
        <v>50</v>
      </c>
      <c r="J2108">
        <v>0</v>
      </c>
      <c r="K2108">
        <v>0</v>
      </c>
      <c r="L2108" s="3">
        <v>0</v>
      </c>
      <c r="M2108" s="3">
        <v>0</v>
      </c>
      <c r="N2108">
        <v>0</v>
      </c>
      <c r="O2108">
        <v>0</v>
      </c>
      <c r="P2108">
        <v>0</v>
      </c>
      <c r="Q2108">
        <v>20</v>
      </c>
      <c r="R2108" s="3">
        <v>0</v>
      </c>
      <c r="S2108" s="3">
        <v>0</v>
      </c>
      <c r="T2108">
        <v>0</v>
      </c>
      <c r="U2108">
        <v>0</v>
      </c>
      <c r="V2108" s="3">
        <v>0</v>
      </c>
      <c r="W2108" s="3">
        <v>0</v>
      </c>
      <c r="X2108">
        <v>0</v>
      </c>
      <c r="Y2108" t="s">
        <v>1730</v>
      </c>
    </row>
    <row r="2109" spans="1:25" hidden="1" x14ac:dyDescent="0.25">
      <c r="A2109" s="1" t="s">
        <v>38</v>
      </c>
      <c r="B2109" s="1" t="s">
        <v>108</v>
      </c>
      <c r="C2109" s="1" t="s">
        <v>27</v>
      </c>
      <c r="D2109" t="s">
        <v>27</v>
      </c>
      <c r="E2109" s="2">
        <v>45947</v>
      </c>
      <c r="F2109" s="2">
        <v>45947</v>
      </c>
      <c r="G2109" s="3">
        <v>38</v>
      </c>
      <c r="H2109" s="4" t="s">
        <v>28</v>
      </c>
      <c r="I2109">
        <v>53</v>
      </c>
      <c r="J2109">
        <v>0</v>
      </c>
      <c r="K2109">
        <v>0</v>
      </c>
      <c r="L2109" s="3">
        <v>0</v>
      </c>
      <c r="M2109" s="3">
        <v>0</v>
      </c>
      <c r="N2109">
        <v>0</v>
      </c>
      <c r="O2109">
        <v>0</v>
      </c>
      <c r="P2109">
        <v>0</v>
      </c>
      <c r="Q2109">
        <v>53</v>
      </c>
      <c r="R2109" s="3">
        <v>0</v>
      </c>
      <c r="S2109" s="3">
        <v>0</v>
      </c>
      <c r="T2109">
        <v>0</v>
      </c>
      <c r="U2109">
        <v>0</v>
      </c>
      <c r="V2109" s="3">
        <v>0</v>
      </c>
      <c r="W2109" s="3">
        <v>0</v>
      </c>
      <c r="X2109">
        <v>0</v>
      </c>
      <c r="Y2109" t="s">
        <v>1731</v>
      </c>
    </row>
    <row r="2110" spans="1:25" hidden="1" x14ac:dyDescent="0.25">
      <c r="A2110" s="1" t="s">
        <v>40</v>
      </c>
      <c r="B2110" s="1" t="s">
        <v>110</v>
      </c>
      <c r="C2110" s="1" t="s">
        <v>27</v>
      </c>
      <c r="D2110" t="s">
        <v>27</v>
      </c>
      <c r="E2110" s="2">
        <v>45947</v>
      </c>
      <c r="F2110" s="2">
        <v>45947</v>
      </c>
      <c r="G2110" s="3">
        <v>130</v>
      </c>
      <c r="H2110" s="4" t="s">
        <v>28</v>
      </c>
      <c r="I2110">
        <v>83</v>
      </c>
      <c r="J2110">
        <v>0</v>
      </c>
      <c r="K2110">
        <v>0</v>
      </c>
      <c r="L2110" s="3">
        <v>1</v>
      </c>
      <c r="M2110" s="3">
        <v>0</v>
      </c>
      <c r="N2110">
        <v>1</v>
      </c>
      <c r="O2110">
        <v>0</v>
      </c>
      <c r="P2110">
        <v>0</v>
      </c>
      <c r="Q2110">
        <v>0</v>
      </c>
      <c r="R2110" s="3">
        <v>0</v>
      </c>
      <c r="S2110" s="3">
        <v>0</v>
      </c>
      <c r="T2110">
        <v>0</v>
      </c>
      <c r="U2110">
        <v>0</v>
      </c>
      <c r="V2110" s="3">
        <v>0</v>
      </c>
      <c r="W2110" s="3">
        <v>0</v>
      </c>
      <c r="X2110">
        <v>0</v>
      </c>
      <c r="Y2110" t="s">
        <v>1732</v>
      </c>
    </row>
    <row r="2111" spans="1:25" hidden="1" x14ac:dyDescent="0.25">
      <c r="A2111" s="1" t="s">
        <v>36</v>
      </c>
      <c r="B2111" s="1" t="s">
        <v>110</v>
      </c>
      <c r="C2111" s="1" t="s">
        <v>27</v>
      </c>
      <c r="D2111" t="s">
        <v>27</v>
      </c>
      <c r="E2111" s="2">
        <v>45947</v>
      </c>
      <c r="F2111" s="2">
        <v>45947</v>
      </c>
      <c r="G2111" s="3">
        <v>130</v>
      </c>
      <c r="H2111" s="4" t="s">
        <v>28</v>
      </c>
      <c r="I2111">
        <v>83</v>
      </c>
      <c r="J2111">
        <v>0</v>
      </c>
      <c r="K2111">
        <v>0</v>
      </c>
      <c r="L2111" s="3">
        <v>1</v>
      </c>
      <c r="M2111" s="3">
        <v>0</v>
      </c>
      <c r="N2111">
        <v>1</v>
      </c>
      <c r="O2111">
        <v>0</v>
      </c>
      <c r="P2111">
        <v>0</v>
      </c>
      <c r="Q2111">
        <v>0</v>
      </c>
      <c r="R2111" s="3">
        <v>0</v>
      </c>
      <c r="S2111" s="3">
        <v>0</v>
      </c>
      <c r="T2111">
        <v>0</v>
      </c>
      <c r="U2111">
        <v>0</v>
      </c>
      <c r="V2111" s="3">
        <v>0</v>
      </c>
      <c r="W2111" s="3">
        <v>0</v>
      </c>
      <c r="X2111">
        <v>0</v>
      </c>
      <c r="Y2111" t="s">
        <v>1732</v>
      </c>
    </row>
    <row r="2112" spans="1:25" hidden="1" x14ac:dyDescent="0.25">
      <c r="A2112" s="1" t="s">
        <v>41</v>
      </c>
      <c r="B2112" s="1" t="s">
        <v>112</v>
      </c>
      <c r="C2112" s="1" t="s">
        <v>42</v>
      </c>
      <c r="D2112" t="s">
        <v>27</v>
      </c>
      <c r="E2112" s="2">
        <v>45947</v>
      </c>
      <c r="F2112" s="2">
        <v>45947</v>
      </c>
      <c r="G2112" s="3">
        <v>105</v>
      </c>
      <c r="H2112" s="4" t="s">
        <v>28</v>
      </c>
      <c r="I2112">
        <v>48</v>
      </c>
      <c r="J2112">
        <v>0</v>
      </c>
      <c r="K2112">
        <v>0</v>
      </c>
      <c r="L2112" s="3">
        <v>1</v>
      </c>
      <c r="M2112" s="3">
        <v>0</v>
      </c>
      <c r="N2112">
        <v>0</v>
      </c>
      <c r="O2112">
        <v>0</v>
      </c>
      <c r="P2112">
        <v>0</v>
      </c>
      <c r="Q2112">
        <v>1</v>
      </c>
      <c r="R2112" s="3">
        <v>0</v>
      </c>
      <c r="S2112" s="3">
        <v>0</v>
      </c>
      <c r="T2112">
        <v>0</v>
      </c>
      <c r="U2112">
        <v>0</v>
      </c>
      <c r="V2112" s="3">
        <v>0</v>
      </c>
      <c r="W2112" s="3">
        <v>0</v>
      </c>
      <c r="X2112">
        <v>0</v>
      </c>
      <c r="Y2112" t="s">
        <v>1733</v>
      </c>
    </row>
    <row r="2113" spans="1:25" hidden="1" x14ac:dyDescent="0.25">
      <c r="A2113" s="1" t="s">
        <v>43</v>
      </c>
      <c r="B2113" s="1" t="s">
        <v>114</v>
      </c>
      <c r="C2113" s="1" t="s">
        <v>44</v>
      </c>
      <c r="D2113" t="s">
        <v>27</v>
      </c>
      <c r="E2113" s="2">
        <v>45947</v>
      </c>
      <c r="F2113" s="2">
        <v>45947</v>
      </c>
      <c r="G2113" s="3">
        <v>32</v>
      </c>
      <c r="H2113" s="4" t="s">
        <v>28</v>
      </c>
      <c r="I2113">
        <v>59</v>
      </c>
      <c r="J2113">
        <v>0</v>
      </c>
      <c r="K2113">
        <v>0</v>
      </c>
      <c r="L2113" s="3">
        <v>1</v>
      </c>
      <c r="M2113" s="3">
        <v>0</v>
      </c>
      <c r="N2113">
        <v>0</v>
      </c>
      <c r="O2113">
        <v>0</v>
      </c>
      <c r="P2113">
        <v>0</v>
      </c>
      <c r="Q2113">
        <v>0</v>
      </c>
      <c r="R2113" s="3">
        <v>0</v>
      </c>
      <c r="S2113" s="3">
        <v>0</v>
      </c>
      <c r="T2113">
        <v>0</v>
      </c>
      <c r="U2113">
        <v>0</v>
      </c>
      <c r="V2113" s="3">
        <v>0</v>
      </c>
      <c r="W2113" s="3">
        <v>0</v>
      </c>
      <c r="X2113">
        <v>0</v>
      </c>
      <c r="Y2113" t="s">
        <v>1734</v>
      </c>
    </row>
    <row r="2114" spans="1:25" hidden="1" x14ac:dyDescent="0.25">
      <c r="A2114" s="1" t="s">
        <v>45</v>
      </c>
      <c r="B2114" s="1" t="s">
        <v>116</v>
      </c>
      <c r="C2114" s="1" t="s">
        <v>46</v>
      </c>
      <c r="D2114" t="s">
        <v>27</v>
      </c>
      <c r="E2114" s="2">
        <v>45947</v>
      </c>
      <c r="F2114" s="2">
        <v>45947</v>
      </c>
      <c r="G2114" s="3">
        <v>36</v>
      </c>
      <c r="H2114" s="4" t="s">
        <v>28</v>
      </c>
      <c r="I2114">
        <v>74</v>
      </c>
      <c r="J2114">
        <v>0</v>
      </c>
      <c r="K2114">
        <v>0</v>
      </c>
      <c r="L2114" s="3">
        <v>1</v>
      </c>
      <c r="M2114" s="3">
        <v>0</v>
      </c>
      <c r="N2114">
        <v>0</v>
      </c>
      <c r="O2114">
        <v>0</v>
      </c>
      <c r="P2114">
        <v>0</v>
      </c>
      <c r="Q2114">
        <v>0</v>
      </c>
      <c r="R2114" s="3">
        <v>0</v>
      </c>
      <c r="S2114" s="3">
        <v>0</v>
      </c>
      <c r="T2114">
        <v>0</v>
      </c>
      <c r="U2114">
        <v>0</v>
      </c>
      <c r="V2114" s="3">
        <v>0</v>
      </c>
      <c r="W2114" s="3">
        <v>0</v>
      </c>
      <c r="X2114">
        <v>0</v>
      </c>
      <c r="Y2114" t="s">
        <v>1722</v>
      </c>
    </row>
    <row r="2115" spans="1:25" hidden="1" x14ac:dyDescent="0.25">
      <c r="A2115" s="1" t="s">
        <v>47</v>
      </c>
      <c r="B2115" s="1" t="s">
        <v>137</v>
      </c>
      <c r="C2115" s="1" t="s">
        <v>27</v>
      </c>
      <c r="D2115" t="s">
        <v>27</v>
      </c>
      <c r="E2115" s="2">
        <v>45947</v>
      </c>
      <c r="F2115" s="2">
        <v>45947</v>
      </c>
      <c r="G2115" s="3">
        <v>30</v>
      </c>
      <c r="H2115" s="4" t="s">
        <v>28</v>
      </c>
      <c r="I2115">
        <v>52</v>
      </c>
      <c r="J2115">
        <v>0</v>
      </c>
      <c r="K2115">
        <v>0</v>
      </c>
      <c r="L2115" s="3">
        <v>0</v>
      </c>
      <c r="M2115" s="3">
        <v>0</v>
      </c>
      <c r="N2115">
        <v>0</v>
      </c>
      <c r="O2115">
        <v>0</v>
      </c>
      <c r="P2115">
        <v>0</v>
      </c>
      <c r="Q2115">
        <v>0</v>
      </c>
      <c r="R2115" s="3">
        <v>0</v>
      </c>
      <c r="S2115" s="3">
        <v>0</v>
      </c>
      <c r="T2115">
        <v>0</v>
      </c>
      <c r="U2115">
        <v>0</v>
      </c>
      <c r="V2115" s="3">
        <v>0</v>
      </c>
      <c r="W2115" s="3">
        <v>0</v>
      </c>
      <c r="X2115">
        <v>0</v>
      </c>
      <c r="Y2115" t="s">
        <v>1735</v>
      </c>
    </row>
    <row r="2116" spans="1:25" hidden="1" x14ac:dyDescent="0.25">
      <c r="A2116" s="1" t="s">
        <v>34</v>
      </c>
      <c r="B2116" s="1" t="s">
        <v>137</v>
      </c>
      <c r="C2116" s="1" t="s">
        <v>27</v>
      </c>
      <c r="D2116" t="s">
        <v>27</v>
      </c>
      <c r="E2116" s="2">
        <v>45947</v>
      </c>
      <c r="F2116" s="2">
        <v>45947</v>
      </c>
      <c r="G2116" s="3">
        <v>30</v>
      </c>
      <c r="H2116" s="4" t="s">
        <v>28</v>
      </c>
      <c r="I2116">
        <v>52</v>
      </c>
      <c r="J2116">
        <v>0</v>
      </c>
      <c r="K2116">
        <v>0</v>
      </c>
      <c r="L2116" s="3">
        <v>0</v>
      </c>
      <c r="M2116" s="3">
        <v>0</v>
      </c>
      <c r="N2116">
        <v>0</v>
      </c>
      <c r="O2116">
        <v>0</v>
      </c>
      <c r="P2116">
        <v>0</v>
      </c>
      <c r="Q2116">
        <v>2</v>
      </c>
      <c r="R2116" s="3">
        <v>0</v>
      </c>
      <c r="S2116" s="3">
        <v>0</v>
      </c>
      <c r="T2116">
        <v>0</v>
      </c>
      <c r="U2116">
        <v>0</v>
      </c>
      <c r="V2116" s="3">
        <v>0</v>
      </c>
      <c r="W2116" s="3">
        <v>0</v>
      </c>
      <c r="X2116">
        <v>0</v>
      </c>
      <c r="Y2116" t="s">
        <v>1735</v>
      </c>
    </row>
    <row r="2117" spans="1:25" hidden="1" x14ac:dyDescent="0.25">
      <c r="A2117" s="1" t="s">
        <v>49</v>
      </c>
      <c r="B2117" s="1" t="s">
        <v>118</v>
      </c>
      <c r="C2117" s="1" t="s">
        <v>50</v>
      </c>
      <c r="D2117" t="s">
        <v>27</v>
      </c>
      <c r="E2117" s="2">
        <v>45947</v>
      </c>
      <c r="F2117" s="2">
        <v>45947</v>
      </c>
      <c r="G2117" s="3">
        <v>24</v>
      </c>
      <c r="H2117" s="4" t="s">
        <v>28</v>
      </c>
      <c r="I2117">
        <v>58</v>
      </c>
      <c r="J2117">
        <v>0</v>
      </c>
      <c r="K2117">
        <v>0</v>
      </c>
      <c r="L2117" s="3">
        <v>1</v>
      </c>
      <c r="M2117" s="3">
        <v>1</v>
      </c>
      <c r="N2117">
        <v>0</v>
      </c>
      <c r="O2117">
        <v>0</v>
      </c>
      <c r="P2117">
        <v>0</v>
      </c>
      <c r="Q2117">
        <v>2</v>
      </c>
      <c r="R2117" s="3">
        <v>0</v>
      </c>
      <c r="S2117" s="3">
        <v>0</v>
      </c>
      <c r="T2117">
        <v>0</v>
      </c>
      <c r="U2117">
        <v>0</v>
      </c>
      <c r="V2117" s="3">
        <v>0</v>
      </c>
      <c r="W2117" s="3">
        <v>0</v>
      </c>
      <c r="X2117">
        <v>0</v>
      </c>
      <c r="Y2117" t="s">
        <v>1736</v>
      </c>
    </row>
    <row r="2118" spans="1:25" hidden="1" x14ac:dyDescent="0.25">
      <c r="A2118" s="1" t="s">
        <v>51</v>
      </c>
      <c r="B2118" s="1" t="s">
        <v>120</v>
      </c>
      <c r="C2118" s="1" t="s">
        <v>55</v>
      </c>
      <c r="D2118" t="s">
        <v>27</v>
      </c>
      <c r="E2118" s="2">
        <v>45947</v>
      </c>
      <c r="F2118" s="2">
        <v>45947</v>
      </c>
      <c r="G2118" s="3">
        <v>36</v>
      </c>
      <c r="H2118" s="4" t="s">
        <v>28</v>
      </c>
      <c r="I2118">
        <v>45</v>
      </c>
      <c r="J2118">
        <v>0</v>
      </c>
      <c r="K2118">
        <v>0</v>
      </c>
      <c r="L2118" s="3">
        <v>1</v>
      </c>
      <c r="M2118" s="3">
        <v>0</v>
      </c>
      <c r="N2118">
        <v>1</v>
      </c>
      <c r="O2118">
        <v>0</v>
      </c>
      <c r="P2118">
        <v>0</v>
      </c>
      <c r="Q2118">
        <v>0</v>
      </c>
      <c r="R2118" s="3">
        <v>0</v>
      </c>
      <c r="S2118" s="3">
        <v>0</v>
      </c>
      <c r="T2118">
        <v>0</v>
      </c>
      <c r="U2118">
        <v>0</v>
      </c>
      <c r="V2118" s="3">
        <v>0</v>
      </c>
      <c r="W2118" s="3">
        <v>0</v>
      </c>
      <c r="X2118">
        <v>0</v>
      </c>
      <c r="Y2118" t="s">
        <v>1737</v>
      </c>
    </row>
    <row r="2119" spans="1:25" hidden="1" x14ac:dyDescent="0.25">
      <c r="A2119" s="1" t="s">
        <v>54</v>
      </c>
      <c r="B2119" s="1" t="s">
        <v>122</v>
      </c>
      <c r="C2119" s="1" t="s">
        <v>52</v>
      </c>
      <c r="D2119" t="s">
        <v>27</v>
      </c>
      <c r="E2119" s="2">
        <v>45947</v>
      </c>
      <c r="F2119" s="2">
        <v>45947</v>
      </c>
      <c r="G2119" s="3">
        <v>36</v>
      </c>
      <c r="H2119" s="4" t="s">
        <v>28</v>
      </c>
      <c r="I2119">
        <v>53</v>
      </c>
      <c r="J2119">
        <v>0</v>
      </c>
      <c r="K2119">
        <v>0</v>
      </c>
      <c r="L2119" s="3">
        <v>0</v>
      </c>
      <c r="M2119" s="3">
        <v>0</v>
      </c>
      <c r="N2119">
        <v>0</v>
      </c>
      <c r="O2119">
        <v>0</v>
      </c>
      <c r="P2119">
        <v>0</v>
      </c>
      <c r="Q2119">
        <v>2</v>
      </c>
      <c r="R2119" s="3">
        <v>0</v>
      </c>
      <c r="S2119" s="3">
        <v>0</v>
      </c>
      <c r="T2119">
        <v>0</v>
      </c>
      <c r="U2119">
        <v>0</v>
      </c>
      <c r="V2119" s="3">
        <v>0</v>
      </c>
      <c r="W2119" s="3">
        <v>0</v>
      </c>
      <c r="X2119">
        <v>0</v>
      </c>
      <c r="Y2119" t="s">
        <v>1738</v>
      </c>
    </row>
    <row r="2120" spans="1:25" hidden="1" x14ac:dyDescent="0.25">
      <c r="A2120" t="s">
        <v>58</v>
      </c>
      <c r="B2120" s="1" t="s">
        <v>144</v>
      </c>
      <c r="C2120" s="1" t="s">
        <v>489</v>
      </c>
      <c r="D2120" t="s">
        <v>27</v>
      </c>
      <c r="E2120" s="2">
        <v>45947</v>
      </c>
      <c r="F2120" s="2">
        <v>45947</v>
      </c>
      <c r="G2120" s="3">
        <v>28</v>
      </c>
      <c r="H2120" s="4" t="s">
        <v>28</v>
      </c>
      <c r="I2120">
        <v>69</v>
      </c>
      <c r="J2120">
        <v>0</v>
      </c>
      <c r="K2120">
        <v>0</v>
      </c>
      <c r="L2120" s="3">
        <v>1</v>
      </c>
      <c r="M2120" s="3">
        <v>0</v>
      </c>
      <c r="N2120">
        <v>0</v>
      </c>
      <c r="O2120">
        <v>0</v>
      </c>
      <c r="P2120">
        <v>0</v>
      </c>
      <c r="Q2120">
        <v>0</v>
      </c>
      <c r="R2120" s="3">
        <v>0</v>
      </c>
      <c r="S2120" s="3">
        <v>0</v>
      </c>
      <c r="T2120">
        <v>0</v>
      </c>
      <c r="U2120">
        <v>0</v>
      </c>
      <c r="V2120" s="3">
        <v>0</v>
      </c>
      <c r="W2120" s="3">
        <v>0</v>
      </c>
      <c r="X2120">
        <v>0</v>
      </c>
      <c r="Y2120" t="s">
        <v>1739</v>
      </c>
    </row>
    <row r="2121" spans="1:25" hidden="1" x14ac:dyDescent="0.25">
      <c r="A2121" s="1" t="s">
        <v>48</v>
      </c>
      <c r="B2121" s="1" t="s">
        <v>106</v>
      </c>
      <c r="C2121" s="1" t="s">
        <v>26</v>
      </c>
      <c r="D2121" t="s">
        <v>27</v>
      </c>
      <c r="E2121" s="2">
        <v>45947</v>
      </c>
      <c r="F2121" s="2">
        <v>45947</v>
      </c>
      <c r="G2121" s="3">
        <v>29</v>
      </c>
      <c r="H2121" s="4" t="s">
        <v>959</v>
      </c>
      <c r="I2121">
        <v>0</v>
      </c>
      <c r="J2121">
        <v>0</v>
      </c>
      <c r="K2121">
        <v>0</v>
      </c>
      <c r="L2121" s="3">
        <v>0</v>
      </c>
      <c r="M2121" s="3">
        <v>0</v>
      </c>
      <c r="N2121">
        <v>0</v>
      </c>
      <c r="O2121">
        <v>0</v>
      </c>
      <c r="P2121">
        <v>0</v>
      </c>
      <c r="Q2121">
        <v>0</v>
      </c>
      <c r="R2121" s="3">
        <v>0</v>
      </c>
      <c r="S2121" s="3">
        <v>0</v>
      </c>
      <c r="T2121">
        <v>0</v>
      </c>
      <c r="U2121">
        <v>0</v>
      </c>
      <c r="V2121" s="3">
        <v>0</v>
      </c>
      <c r="W2121" s="3">
        <v>0</v>
      </c>
      <c r="X2121" s="3">
        <v>0</v>
      </c>
      <c r="Y2121" t="s">
        <v>1739</v>
      </c>
    </row>
    <row r="2122" spans="1:25" hidden="1" x14ac:dyDescent="0.25">
      <c r="A2122" t="s">
        <v>41</v>
      </c>
      <c r="B2122" t="s">
        <v>112</v>
      </c>
      <c r="C2122" t="s">
        <v>42</v>
      </c>
      <c r="D2122" t="s">
        <v>27</v>
      </c>
      <c r="E2122" s="2">
        <v>45948</v>
      </c>
      <c r="F2122" s="2">
        <v>45948</v>
      </c>
      <c r="G2122" s="3">
        <v>117</v>
      </c>
      <c r="H2122" t="s">
        <v>28</v>
      </c>
      <c r="I2122">
        <v>0</v>
      </c>
      <c r="J2122">
        <v>0</v>
      </c>
      <c r="K2122">
        <v>0</v>
      </c>
      <c r="L2122" s="3">
        <v>0</v>
      </c>
      <c r="M2122" s="3">
        <v>0</v>
      </c>
      <c r="N2122">
        <v>0</v>
      </c>
      <c r="O2122">
        <v>0</v>
      </c>
      <c r="P2122">
        <v>0</v>
      </c>
      <c r="Q2122">
        <v>10</v>
      </c>
      <c r="R2122" s="3">
        <v>1</v>
      </c>
      <c r="S2122" s="3">
        <v>0</v>
      </c>
      <c r="T2122">
        <v>16</v>
      </c>
      <c r="U2122">
        <v>49</v>
      </c>
      <c r="V2122" s="3">
        <v>1</v>
      </c>
      <c r="W2122" s="3">
        <v>0</v>
      </c>
      <c r="X2122">
        <v>0</v>
      </c>
      <c r="Y2122" t="s">
        <v>1740</v>
      </c>
    </row>
    <row r="2123" spans="1:25" hidden="1" x14ac:dyDescent="0.25">
      <c r="A2123" t="s">
        <v>51</v>
      </c>
      <c r="B2123" t="s">
        <v>120</v>
      </c>
      <c r="C2123" t="s">
        <v>44</v>
      </c>
      <c r="D2123" t="s">
        <v>27</v>
      </c>
      <c r="E2123" s="2">
        <v>45948</v>
      </c>
      <c r="F2123" s="2">
        <v>45948</v>
      </c>
      <c r="G2123" s="3">
        <v>77</v>
      </c>
      <c r="H2123" t="s">
        <v>28</v>
      </c>
      <c r="I2123">
        <v>0</v>
      </c>
      <c r="J2123">
        <v>0</v>
      </c>
      <c r="K2123">
        <v>0</v>
      </c>
      <c r="L2123" s="3">
        <v>0</v>
      </c>
      <c r="M2123" s="3">
        <v>0</v>
      </c>
      <c r="N2123">
        <v>0</v>
      </c>
      <c r="O2123">
        <v>0</v>
      </c>
      <c r="P2123">
        <v>0</v>
      </c>
      <c r="Q2123">
        <v>0</v>
      </c>
      <c r="R2123" s="3">
        <v>1</v>
      </c>
      <c r="S2123" s="3">
        <v>0</v>
      </c>
      <c r="T2123">
        <v>8</v>
      </c>
      <c r="U2123">
        <v>46</v>
      </c>
      <c r="V2123" s="3">
        <v>1</v>
      </c>
      <c r="W2123" s="3">
        <v>0</v>
      </c>
      <c r="X2123">
        <v>0</v>
      </c>
      <c r="Y2123" t="s">
        <v>1741</v>
      </c>
    </row>
    <row r="2124" spans="1:25" hidden="1" x14ac:dyDescent="0.25">
      <c r="A2124" t="s">
        <v>33</v>
      </c>
      <c r="B2124" t="s">
        <v>106</v>
      </c>
      <c r="C2124" t="s">
        <v>55</v>
      </c>
      <c r="D2124" t="s">
        <v>27</v>
      </c>
      <c r="E2124" s="2">
        <v>45949</v>
      </c>
      <c r="F2124" s="2">
        <v>45949</v>
      </c>
      <c r="G2124" s="3">
        <v>276</v>
      </c>
      <c r="H2124" t="s">
        <v>28</v>
      </c>
      <c r="I2124">
        <v>0</v>
      </c>
      <c r="J2124">
        <v>0</v>
      </c>
      <c r="K2124">
        <v>0</v>
      </c>
      <c r="L2124" s="3">
        <v>0</v>
      </c>
      <c r="M2124" s="3">
        <v>0</v>
      </c>
      <c r="N2124">
        <v>0</v>
      </c>
      <c r="O2124">
        <v>0</v>
      </c>
      <c r="P2124">
        <v>0</v>
      </c>
      <c r="Q2124">
        <v>25</v>
      </c>
      <c r="R2124" s="3">
        <v>0</v>
      </c>
      <c r="S2124" s="3">
        <v>1</v>
      </c>
      <c r="T2124">
        <v>32</v>
      </c>
      <c r="U2124">
        <v>59</v>
      </c>
      <c r="V2124" s="3">
        <v>0</v>
      </c>
      <c r="W2124" s="3">
        <v>1</v>
      </c>
      <c r="X2124">
        <v>4</v>
      </c>
      <c r="Y2124" t="s">
        <v>1742</v>
      </c>
    </row>
    <row r="2125" spans="1:25" hidden="1" x14ac:dyDescent="0.25">
      <c r="A2125" t="s">
        <v>54</v>
      </c>
      <c r="B2125" t="s">
        <v>122</v>
      </c>
      <c r="C2125" t="s">
        <v>52</v>
      </c>
      <c r="D2125" t="s">
        <v>27</v>
      </c>
      <c r="E2125" s="2">
        <v>45949</v>
      </c>
      <c r="F2125" s="2">
        <v>45949</v>
      </c>
      <c r="G2125" s="3">
        <v>67</v>
      </c>
      <c r="H2125" t="s">
        <v>28</v>
      </c>
      <c r="I2125">
        <v>0</v>
      </c>
      <c r="J2125">
        <v>0</v>
      </c>
      <c r="K2125">
        <v>0</v>
      </c>
      <c r="L2125" s="3">
        <v>0</v>
      </c>
      <c r="M2125" s="3">
        <v>0</v>
      </c>
      <c r="N2125">
        <v>0</v>
      </c>
      <c r="O2125">
        <v>0</v>
      </c>
      <c r="P2125">
        <v>0</v>
      </c>
      <c r="Q2125">
        <v>0</v>
      </c>
      <c r="R2125" s="3">
        <v>0</v>
      </c>
      <c r="S2125" s="3">
        <v>1</v>
      </c>
      <c r="T2125">
        <v>14</v>
      </c>
      <c r="U2125">
        <v>70</v>
      </c>
      <c r="V2125" s="3">
        <v>0</v>
      </c>
      <c r="W2125" s="3">
        <v>1</v>
      </c>
      <c r="X2125">
        <v>5</v>
      </c>
      <c r="Y2125" t="s">
        <v>1743</v>
      </c>
    </row>
    <row r="2126" spans="1:25" hidden="1" x14ac:dyDescent="0.25">
      <c r="A2126" s="1" t="s">
        <v>25</v>
      </c>
      <c r="B2126" s="1" t="s">
        <v>96</v>
      </c>
      <c r="C2126" s="1" t="s">
        <v>26</v>
      </c>
      <c r="D2126" t="s">
        <v>27</v>
      </c>
      <c r="E2126" s="2">
        <v>45950</v>
      </c>
      <c r="F2126" s="2">
        <v>45950</v>
      </c>
      <c r="G2126" s="3">
        <v>44</v>
      </c>
      <c r="H2126" t="s">
        <v>28</v>
      </c>
      <c r="I2126">
        <v>38</v>
      </c>
      <c r="J2126">
        <v>0</v>
      </c>
      <c r="K2126">
        <v>0</v>
      </c>
      <c r="L2126" s="3">
        <v>0</v>
      </c>
      <c r="M2126" s="3">
        <v>0</v>
      </c>
      <c r="N2126">
        <v>1</v>
      </c>
      <c r="O2126">
        <v>0</v>
      </c>
      <c r="P2126">
        <v>0</v>
      </c>
      <c r="Q2126">
        <v>0</v>
      </c>
      <c r="R2126" s="3">
        <v>0</v>
      </c>
      <c r="S2126" s="3">
        <v>0</v>
      </c>
      <c r="T2126">
        <v>0</v>
      </c>
      <c r="U2126">
        <v>0</v>
      </c>
      <c r="V2126" s="3">
        <v>0</v>
      </c>
      <c r="W2126" s="3">
        <v>0</v>
      </c>
      <c r="X2126">
        <v>0</v>
      </c>
      <c r="Y2126" t="s">
        <v>1744</v>
      </c>
    </row>
    <row r="2127" spans="1:25" hidden="1" x14ac:dyDescent="0.25">
      <c r="A2127" s="1" t="s">
        <v>56</v>
      </c>
      <c r="B2127" s="1" t="s">
        <v>98</v>
      </c>
      <c r="C2127" s="1" t="s">
        <v>37</v>
      </c>
      <c r="D2127" t="s">
        <v>27</v>
      </c>
      <c r="E2127" s="2">
        <v>45950</v>
      </c>
      <c r="F2127" s="2">
        <v>45950</v>
      </c>
      <c r="G2127" s="3">
        <v>29</v>
      </c>
      <c r="H2127" t="s">
        <v>28</v>
      </c>
      <c r="I2127">
        <v>80</v>
      </c>
      <c r="J2127">
        <v>0</v>
      </c>
      <c r="K2127">
        <v>0</v>
      </c>
      <c r="L2127" s="3">
        <v>1</v>
      </c>
      <c r="M2127" s="3">
        <v>0</v>
      </c>
      <c r="N2127">
        <v>0</v>
      </c>
      <c r="O2127">
        <v>0</v>
      </c>
      <c r="P2127">
        <v>0</v>
      </c>
      <c r="Q2127">
        <v>10</v>
      </c>
      <c r="R2127" s="3">
        <v>0</v>
      </c>
      <c r="S2127" s="3">
        <v>0</v>
      </c>
      <c r="T2127">
        <v>0</v>
      </c>
      <c r="U2127">
        <v>0</v>
      </c>
      <c r="V2127" s="3">
        <v>0</v>
      </c>
      <c r="W2127" s="3">
        <v>0</v>
      </c>
      <c r="X2127">
        <v>0</v>
      </c>
      <c r="Y2127" t="s">
        <v>1745</v>
      </c>
    </row>
    <row r="2128" spans="1:25" hidden="1" x14ac:dyDescent="0.25">
      <c r="A2128" s="1" t="s">
        <v>29</v>
      </c>
      <c r="B2128" s="1" t="s">
        <v>100</v>
      </c>
      <c r="C2128" s="1" t="s">
        <v>95</v>
      </c>
      <c r="D2128" t="s">
        <v>27</v>
      </c>
      <c r="E2128" s="2">
        <v>45950</v>
      </c>
      <c r="F2128" s="2">
        <v>45950</v>
      </c>
      <c r="G2128" s="3">
        <v>37</v>
      </c>
      <c r="H2128" t="s">
        <v>28</v>
      </c>
      <c r="I2128">
        <v>32</v>
      </c>
      <c r="J2128">
        <v>0</v>
      </c>
      <c r="K2128">
        <v>0</v>
      </c>
      <c r="L2128" s="3">
        <v>1</v>
      </c>
      <c r="M2128" s="3">
        <v>0</v>
      </c>
      <c r="N2128">
        <v>0</v>
      </c>
      <c r="O2128">
        <v>0</v>
      </c>
      <c r="P2128">
        <v>0</v>
      </c>
      <c r="Q2128">
        <v>5</v>
      </c>
      <c r="R2128" s="3">
        <v>0</v>
      </c>
      <c r="S2128" s="3">
        <v>0</v>
      </c>
      <c r="T2128">
        <v>0</v>
      </c>
      <c r="U2128">
        <v>0</v>
      </c>
      <c r="V2128" s="3">
        <v>0</v>
      </c>
      <c r="W2128" s="3">
        <v>0</v>
      </c>
      <c r="X2128">
        <v>0</v>
      </c>
      <c r="Y2128" t="s">
        <v>1746</v>
      </c>
    </row>
    <row r="2129" spans="1:25" hidden="1" x14ac:dyDescent="0.25">
      <c r="A2129" s="1" t="s">
        <v>31</v>
      </c>
      <c r="B2129" s="1" t="s">
        <v>104</v>
      </c>
      <c r="C2129" s="1" t="s">
        <v>32</v>
      </c>
      <c r="D2129" t="s">
        <v>27</v>
      </c>
      <c r="E2129" s="2">
        <v>45950</v>
      </c>
      <c r="F2129" s="2">
        <v>45950</v>
      </c>
      <c r="G2129" s="3">
        <v>45</v>
      </c>
      <c r="H2129" t="s">
        <v>28</v>
      </c>
      <c r="I2129">
        <v>106</v>
      </c>
      <c r="J2129">
        <v>0</v>
      </c>
      <c r="K2129">
        <v>18</v>
      </c>
      <c r="L2129" s="3">
        <v>0</v>
      </c>
      <c r="M2129" s="3">
        <v>0</v>
      </c>
      <c r="N2129">
        <v>0</v>
      </c>
      <c r="O2129">
        <v>0</v>
      </c>
      <c r="P2129">
        <v>0</v>
      </c>
      <c r="Q2129">
        <v>30</v>
      </c>
      <c r="R2129" s="3">
        <v>0</v>
      </c>
      <c r="S2129" s="3">
        <v>0</v>
      </c>
      <c r="T2129">
        <v>0</v>
      </c>
      <c r="U2129">
        <v>0</v>
      </c>
      <c r="V2129" s="3">
        <v>0</v>
      </c>
      <c r="W2129" s="3">
        <v>0</v>
      </c>
      <c r="X2129">
        <v>0</v>
      </c>
      <c r="Y2129" t="s">
        <v>1747</v>
      </c>
    </row>
    <row r="2130" spans="1:25" hidden="1" x14ac:dyDescent="0.25">
      <c r="A2130" t="s">
        <v>33</v>
      </c>
      <c r="B2130" s="1" t="s">
        <v>106</v>
      </c>
      <c r="C2130" s="1" t="s">
        <v>57</v>
      </c>
      <c r="D2130" t="s">
        <v>27</v>
      </c>
      <c r="E2130" s="2">
        <v>45950</v>
      </c>
      <c r="F2130" s="2">
        <v>45950</v>
      </c>
      <c r="G2130" s="3">
        <v>41</v>
      </c>
      <c r="H2130" t="s">
        <v>28</v>
      </c>
      <c r="I2130">
        <v>65</v>
      </c>
      <c r="J2130">
        <v>0</v>
      </c>
      <c r="K2130">
        <v>0</v>
      </c>
      <c r="L2130" s="3">
        <v>0</v>
      </c>
      <c r="M2130" s="3">
        <v>0</v>
      </c>
      <c r="N2130">
        <v>0</v>
      </c>
      <c r="O2130">
        <v>0</v>
      </c>
      <c r="P2130">
        <v>0</v>
      </c>
      <c r="Q2130">
        <v>20</v>
      </c>
      <c r="R2130" s="3">
        <v>0</v>
      </c>
      <c r="S2130" s="3">
        <v>0</v>
      </c>
      <c r="T2130">
        <v>0</v>
      </c>
      <c r="U2130">
        <v>0</v>
      </c>
      <c r="V2130" s="3">
        <v>0</v>
      </c>
      <c r="W2130" s="3">
        <v>0</v>
      </c>
      <c r="X2130">
        <v>0</v>
      </c>
      <c r="Y2130" t="s">
        <v>1748</v>
      </c>
    </row>
    <row r="2131" spans="1:25" hidden="1" x14ac:dyDescent="0.25">
      <c r="A2131" s="1" t="s">
        <v>38</v>
      </c>
      <c r="B2131" s="1" t="s">
        <v>108</v>
      </c>
      <c r="C2131" s="1" t="s">
        <v>27</v>
      </c>
      <c r="D2131" t="s">
        <v>27</v>
      </c>
      <c r="E2131" s="2">
        <v>45950</v>
      </c>
      <c r="F2131" s="2">
        <v>45950</v>
      </c>
      <c r="G2131" s="3">
        <v>48</v>
      </c>
      <c r="H2131" t="s">
        <v>28</v>
      </c>
      <c r="I2131">
        <v>54</v>
      </c>
      <c r="J2131">
        <v>0</v>
      </c>
      <c r="K2131">
        <v>0</v>
      </c>
      <c r="L2131" s="3">
        <v>0</v>
      </c>
      <c r="M2131" s="3">
        <v>0</v>
      </c>
      <c r="N2131">
        <v>0</v>
      </c>
      <c r="O2131">
        <v>0</v>
      </c>
      <c r="P2131">
        <v>0</v>
      </c>
      <c r="Q2131">
        <v>54</v>
      </c>
      <c r="R2131" s="3">
        <v>0</v>
      </c>
      <c r="S2131" s="3">
        <v>0</v>
      </c>
      <c r="T2131">
        <v>0</v>
      </c>
      <c r="U2131">
        <v>0</v>
      </c>
      <c r="V2131" s="3">
        <v>0</v>
      </c>
      <c r="W2131" s="3">
        <v>0</v>
      </c>
      <c r="X2131">
        <v>0</v>
      </c>
      <c r="Y2131" t="s">
        <v>1749</v>
      </c>
    </row>
    <row r="2132" spans="1:25" hidden="1" x14ac:dyDescent="0.25">
      <c r="A2132" s="1" t="s">
        <v>40</v>
      </c>
      <c r="B2132" s="1" t="s">
        <v>110</v>
      </c>
      <c r="C2132" s="1" t="s">
        <v>40</v>
      </c>
      <c r="D2132" t="s">
        <v>27</v>
      </c>
      <c r="E2132" s="2">
        <v>45950</v>
      </c>
      <c r="F2132" s="2">
        <v>45950</v>
      </c>
      <c r="G2132" s="3">
        <v>37</v>
      </c>
      <c r="H2132" t="s">
        <v>28</v>
      </c>
      <c r="I2132">
        <v>35</v>
      </c>
      <c r="J2132">
        <v>0</v>
      </c>
      <c r="K2132">
        <v>0</v>
      </c>
      <c r="L2132" s="3">
        <v>1</v>
      </c>
      <c r="M2132" s="3">
        <v>0</v>
      </c>
      <c r="N2132">
        <v>1</v>
      </c>
      <c r="O2132">
        <v>0</v>
      </c>
      <c r="P2132">
        <v>0</v>
      </c>
      <c r="Q2132">
        <v>0</v>
      </c>
      <c r="R2132" s="3">
        <v>0</v>
      </c>
      <c r="S2132" s="3">
        <v>0</v>
      </c>
      <c r="T2132">
        <v>0</v>
      </c>
      <c r="U2132">
        <v>0</v>
      </c>
      <c r="V2132" s="3">
        <v>0</v>
      </c>
      <c r="W2132" s="3">
        <v>0</v>
      </c>
      <c r="X2132">
        <v>0</v>
      </c>
      <c r="Y2132" t="s">
        <v>1750</v>
      </c>
    </row>
    <row r="2133" spans="1:25" hidden="1" x14ac:dyDescent="0.25">
      <c r="A2133" s="1" t="s">
        <v>1454</v>
      </c>
      <c r="B2133" s="1" t="s">
        <v>1455</v>
      </c>
      <c r="C2133" s="1" t="s">
        <v>27</v>
      </c>
      <c r="D2133" t="s">
        <v>27</v>
      </c>
      <c r="E2133" s="2">
        <v>45950</v>
      </c>
      <c r="F2133" s="2">
        <v>45950</v>
      </c>
      <c r="G2133" s="3">
        <v>42</v>
      </c>
      <c r="H2133" t="s">
        <v>28</v>
      </c>
      <c r="I2133">
        <v>40</v>
      </c>
      <c r="J2133">
        <v>0</v>
      </c>
      <c r="K2133">
        <v>0</v>
      </c>
      <c r="L2133" s="3">
        <v>1</v>
      </c>
      <c r="M2133" s="3">
        <v>0</v>
      </c>
      <c r="N2133">
        <v>0</v>
      </c>
      <c r="O2133">
        <v>0</v>
      </c>
      <c r="P2133">
        <v>0</v>
      </c>
      <c r="Q2133">
        <v>40</v>
      </c>
      <c r="R2133" s="3">
        <v>0</v>
      </c>
      <c r="S2133" s="3">
        <v>0</v>
      </c>
      <c r="T2133">
        <v>0</v>
      </c>
      <c r="U2133">
        <v>0</v>
      </c>
      <c r="V2133" s="3">
        <v>0</v>
      </c>
      <c r="W2133" s="3">
        <v>0</v>
      </c>
      <c r="X2133">
        <v>0</v>
      </c>
      <c r="Y2133" t="s">
        <v>1751</v>
      </c>
    </row>
    <row r="2134" spans="1:25" hidden="1" x14ac:dyDescent="0.25">
      <c r="A2134" s="1" t="s">
        <v>41</v>
      </c>
      <c r="B2134" s="1" t="s">
        <v>112</v>
      </c>
      <c r="C2134" s="1" t="s">
        <v>42</v>
      </c>
      <c r="D2134" t="s">
        <v>27</v>
      </c>
      <c r="E2134" s="2">
        <v>45950</v>
      </c>
      <c r="F2134" s="2">
        <v>45950</v>
      </c>
      <c r="G2134" s="3">
        <v>66</v>
      </c>
      <c r="H2134" t="s">
        <v>28</v>
      </c>
      <c r="I2134">
        <v>40</v>
      </c>
      <c r="J2134">
        <v>8</v>
      </c>
      <c r="K2134">
        <v>0</v>
      </c>
      <c r="L2134" s="3">
        <v>1</v>
      </c>
      <c r="M2134" s="3">
        <v>0</v>
      </c>
      <c r="N2134">
        <v>0</v>
      </c>
      <c r="O2134">
        <v>0</v>
      </c>
      <c r="P2134">
        <v>0</v>
      </c>
      <c r="Q2134">
        <v>4</v>
      </c>
      <c r="R2134" s="3">
        <v>0</v>
      </c>
      <c r="S2134" s="3">
        <v>0</v>
      </c>
      <c r="T2134">
        <v>0</v>
      </c>
      <c r="U2134">
        <v>0</v>
      </c>
      <c r="V2134" s="3">
        <v>0</v>
      </c>
      <c r="W2134" s="3">
        <v>0</v>
      </c>
      <c r="X2134">
        <v>0</v>
      </c>
      <c r="Y2134" t="s">
        <v>1752</v>
      </c>
    </row>
    <row r="2135" spans="1:25" hidden="1" x14ac:dyDescent="0.25">
      <c r="A2135" s="1" t="s">
        <v>43</v>
      </c>
      <c r="B2135" s="1" t="s">
        <v>114</v>
      </c>
      <c r="C2135" s="1" t="s">
        <v>44</v>
      </c>
      <c r="D2135" t="s">
        <v>27</v>
      </c>
      <c r="E2135" s="2">
        <v>45950</v>
      </c>
      <c r="F2135" s="2">
        <v>45950</v>
      </c>
      <c r="G2135" s="3">
        <v>25</v>
      </c>
      <c r="H2135" t="s">
        <v>28</v>
      </c>
      <c r="I2135">
        <v>61</v>
      </c>
      <c r="J2135">
        <v>0</v>
      </c>
      <c r="K2135">
        <v>0</v>
      </c>
      <c r="L2135" s="3">
        <v>1</v>
      </c>
      <c r="M2135" s="3">
        <v>0</v>
      </c>
      <c r="N2135">
        <v>0</v>
      </c>
      <c r="O2135">
        <v>0</v>
      </c>
      <c r="P2135">
        <v>0</v>
      </c>
      <c r="Q2135">
        <v>0</v>
      </c>
      <c r="R2135" s="3">
        <v>0</v>
      </c>
      <c r="S2135" s="3">
        <v>0</v>
      </c>
      <c r="T2135">
        <v>0</v>
      </c>
      <c r="U2135">
        <v>0</v>
      </c>
      <c r="V2135" s="3">
        <v>0</v>
      </c>
      <c r="W2135" s="3">
        <v>0</v>
      </c>
      <c r="X2135">
        <v>0</v>
      </c>
      <c r="Y2135" t="s">
        <v>1753</v>
      </c>
    </row>
    <row r="2136" spans="1:25" hidden="1" x14ac:dyDescent="0.25">
      <c r="A2136" s="1" t="s">
        <v>36</v>
      </c>
      <c r="B2136" s="1" t="s">
        <v>116</v>
      </c>
      <c r="C2136" s="1" t="s">
        <v>46</v>
      </c>
      <c r="D2136" t="s">
        <v>27</v>
      </c>
      <c r="E2136" s="2">
        <v>45950</v>
      </c>
      <c r="F2136" s="2">
        <v>45950</v>
      </c>
      <c r="G2136" s="25">
        <v>237223</v>
      </c>
      <c r="H2136" t="s">
        <v>28</v>
      </c>
      <c r="I2136">
        <v>69</v>
      </c>
      <c r="J2136">
        <v>0</v>
      </c>
      <c r="K2136">
        <v>0</v>
      </c>
      <c r="L2136" s="3">
        <v>1</v>
      </c>
      <c r="M2136" s="3">
        <v>0</v>
      </c>
      <c r="N2136">
        <v>0</v>
      </c>
      <c r="O2136">
        <v>0</v>
      </c>
      <c r="P2136">
        <v>0</v>
      </c>
      <c r="Q2136">
        <v>12</v>
      </c>
      <c r="R2136" s="3">
        <v>0</v>
      </c>
      <c r="S2136" s="3">
        <v>0</v>
      </c>
      <c r="T2136">
        <v>0</v>
      </c>
      <c r="U2136">
        <v>0</v>
      </c>
      <c r="V2136" s="3">
        <v>0</v>
      </c>
      <c r="W2136" s="3">
        <v>0</v>
      </c>
      <c r="X2136">
        <v>0</v>
      </c>
      <c r="Y2136" t="s">
        <v>1754</v>
      </c>
    </row>
    <row r="2137" spans="1:25" hidden="1" x14ac:dyDescent="0.25">
      <c r="A2137" s="1" t="s">
        <v>47</v>
      </c>
      <c r="B2137" s="1" t="s">
        <v>137</v>
      </c>
      <c r="C2137" s="1" t="s">
        <v>27</v>
      </c>
      <c r="D2137" t="s">
        <v>27</v>
      </c>
      <c r="E2137" s="2">
        <v>45950</v>
      </c>
      <c r="F2137" s="2">
        <v>45950</v>
      </c>
      <c r="G2137" s="3">
        <v>33</v>
      </c>
      <c r="H2137" t="s">
        <v>28</v>
      </c>
      <c r="I2137">
        <v>49</v>
      </c>
      <c r="J2137">
        <v>0</v>
      </c>
      <c r="K2137">
        <v>0</v>
      </c>
      <c r="L2137" s="3">
        <v>0</v>
      </c>
      <c r="M2137" s="3">
        <v>0</v>
      </c>
      <c r="N2137">
        <v>0</v>
      </c>
      <c r="O2137">
        <v>0</v>
      </c>
      <c r="P2137">
        <v>0</v>
      </c>
      <c r="Q2137">
        <v>20</v>
      </c>
      <c r="R2137" s="3">
        <v>0</v>
      </c>
      <c r="S2137" s="3">
        <v>0</v>
      </c>
      <c r="T2137">
        <v>0</v>
      </c>
      <c r="U2137">
        <v>0</v>
      </c>
      <c r="V2137" s="3">
        <v>0</v>
      </c>
      <c r="W2137" s="3">
        <v>0</v>
      </c>
      <c r="X2137">
        <v>6</v>
      </c>
      <c r="Y2137" t="s">
        <v>1755</v>
      </c>
    </row>
    <row r="2138" spans="1:25" hidden="1" x14ac:dyDescent="0.25">
      <c r="A2138" s="1" t="s">
        <v>34</v>
      </c>
      <c r="B2138" s="1" t="s">
        <v>137</v>
      </c>
      <c r="C2138" s="1" t="s">
        <v>27</v>
      </c>
      <c r="D2138" t="s">
        <v>27</v>
      </c>
      <c r="E2138" s="2">
        <v>45950</v>
      </c>
      <c r="F2138" s="2">
        <v>45950</v>
      </c>
      <c r="G2138" s="3">
        <v>33</v>
      </c>
      <c r="H2138" t="s">
        <v>28</v>
      </c>
      <c r="I2138">
        <v>49</v>
      </c>
      <c r="J2138">
        <v>0</v>
      </c>
      <c r="K2138">
        <v>0</v>
      </c>
      <c r="L2138" s="3">
        <v>0</v>
      </c>
      <c r="M2138" s="3">
        <v>0</v>
      </c>
      <c r="N2138">
        <v>0</v>
      </c>
      <c r="O2138">
        <v>0</v>
      </c>
      <c r="P2138">
        <v>0</v>
      </c>
      <c r="Q2138">
        <v>20</v>
      </c>
      <c r="R2138" s="3">
        <v>0</v>
      </c>
      <c r="S2138" s="3">
        <v>0</v>
      </c>
      <c r="T2138">
        <v>0</v>
      </c>
      <c r="U2138">
        <v>0</v>
      </c>
      <c r="V2138" s="3">
        <v>0</v>
      </c>
      <c r="W2138" s="3">
        <v>0</v>
      </c>
      <c r="X2138">
        <v>6</v>
      </c>
      <c r="Y2138" t="s">
        <v>1755</v>
      </c>
    </row>
    <row r="2139" spans="1:25" hidden="1" x14ac:dyDescent="0.25">
      <c r="A2139" s="1" t="s">
        <v>49</v>
      </c>
      <c r="B2139" s="1" t="s">
        <v>118</v>
      </c>
      <c r="C2139" s="1" t="s">
        <v>50</v>
      </c>
      <c r="D2139" t="s">
        <v>27</v>
      </c>
      <c r="E2139" s="2">
        <v>45950</v>
      </c>
      <c r="F2139" s="2">
        <v>45950</v>
      </c>
      <c r="G2139" s="3">
        <v>26</v>
      </c>
      <c r="H2139" t="s">
        <v>28</v>
      </c>
      <c r="I2139">
        <v>37</v>
      </c>
      <c r="J2139">
        <v>0</v>
      </c>
      <c r="K2139">
        <v>0</v>
      </c>
      <c r="L2139" s="3">
        <v>1</v>
      </c>
      <c r="M2139" s="3">
        <v>1</v>
      </c>
      <c r="N2139">
        <v>0</v>
      </c>
      <c r="O2139">
        <v>0</v>
      </c>
      <c r="P2139">
        <v>0</v>
      </c>
      <c r="Q2139">
        <v>21</v>
      </c>
      <c r="R2139" s="3">
        <v>0</v>
      </c>
      <c r="S2139" s="3">
        <v>0</v>
      </c>
      <c r="T2139">
        <v>0</v>
      </c>
      <c r="U2139">
        <v>0</v>
      </c>
      <c r="V2139" s="3">
        <v>0</v>
      </c>
      <c r="W2139" s="3">
        <v>0</v>
      </c>
      <c r="X2139">
        <v>0</v>
      </c>
      <c r="Y2139" t="s">
        <v>1756</v>
      </c>
    </row>
    <row r="2140" spans="1:25" hidden="1" x14ac:dyDescent="0.25">
      <c r="A2140" s="1" t="s">
        <v>51</v>
      </c>
      <c r="B2140" s="1" t="s">
        <v>120</v>
      </c>
      <c r="C2140" s="1" t="s">
        <v>55</v>
      </c>
      <c r="D2140" t="s">
        <v>27</v>
      </c>
      <c r="E2140" s="2">
        <v>45950</v>
      </c>
      <c r="F2140" s="2">
        <v>45950</v>
      </c>
      <c r="G2140" s="3">
        <v>139</v>
      </c>
      <c r="H2140" t="s">
        <v>28</v>
      </c>
      <c r="I2140">
        <v>43</v>
      </c>
      <c r="J2140">
        <v>0</v>
      </c>
      <c r="K2140">
        <v>0</v>
      </c>
      <c r="L2140" s="3">
        <v>1</v>
      </c>
      <c r="M2140" s="3">
        <v>0</v>
      </c>
      <c r="N2140">
        <v>1</v>
      </c>
      <c r="O2140">
        <v>0</v>
      </c>
      <c r="P2140">
        <v>0</v>
      </c>
      <c r="Q2140">
        <v>0</v>
      </c>
      <c r="R2140" s="3">
        <v>0</v>
      </c>
      <c r="S2140" s="3">
        <v>0</v>
      </c>
      <c r="T2140">
        <v>0</v>
      </c>
      <c r="U2140">
        <v>0</v>
      </c>
      <c r="V2140" s="3">
        <v>0</v>
      </c>
      <c r="W2140" s="3">
        <v>0</v>
      </c>
      <c r="X2140">
        <v>0</v>
      </c>
      <c r="Y2140" t="s">
        <v>1757</v>
      </c>
    </row>
    <row r="2141" spans="1:25" hidden="1" x14ac:dyDescent="0.25">
      <c r="A2141" s="1" t="s">
        <v>54</v>
      </c>
      <c r="B2141" s="1" t="s">
        <v>122</v>
      </c>
      <c r="C2141" s="1" t="s">
        <v>52</v>
      </c>
      <c r="D2141" t="s">
        <v>27</v>
      </c>
      <c r="E2141" s="2">
        <v>45950</v>
      </c>
      <c r="F2141" s="2">
        <v>45950</v>
      </c>
      <c r="G2141" s="3">
        <v>36</v>
      </c>
      <c r="H2141" t="s">
        <v>28</v>
      </c>
      <c r="I2141">
        <v>51</v>
      </c>
      <c r="J2141">
        <v>0</v>
      </c>
      <c r="K2141">
        <v>0</v>
      </c>
      <c r="L2141" s="3">
        <v>0</v>
      </c>
      <c r="M2141" s="3">
        <v>0</v>
      </c>
      <c r="N2141">
        <v>0</v>
      </c>
      <c r="O2141">
        <v>0</v>
      </c>
      <c r="P2141">
        <v>0</v>
      </c>
      <c r="Q2141">
        <v>2</v>
      </c>
      <c r="R2141" s="3">
        <v>0</v>
      </c>
      <c r="S2141" s="3">
        <v>0</v>
      </c>
      <c r="T2141">
        <v>0</v>
      </c>
      <c r="U2141">
        <v>0</v>
      </c>
      <c r="V2141" s="3">
        <v>0</v>
      </c>
      <c r="W2141" s="3">
        <v>0</v>
      </c>
      <c r="X2141">
        <v>0</v>
      </c>
      <c r="Y2141" t="s">
        <v>1758</v>
      </c>
    </row>
    <row r="2142" spans="1:25" hidden="1" x14ac:dyDescent="0.25">
      <c r="A2142" s="1" t="s">
        <v>48</v>
      </c>
      <c r="B2142" s="1" t="s">
        <v>149</v>
      </c>
      <c r="C2142" s="1" t="s">
        <v>35</v>
      </c>
      <c r="D2142" t="s">
        <v>27</v>
      </c>
      <c r="E2142" s="2">
        <v>45950</v>
      </c>
      <c r="F2142" s="2">
        <v>45950</v>
      </c>
      <c r="G2142" s="3">
        <v>71</v>
      </c>
      <c r="H2142" t="s">
        <v>28</v>
      </c>
      <c r="I2142">
        <v>38</v>
      </c>
      <c r="J2142">
        <v>0</v>
      </c>
      <c r="K2142">
        <v>0</v>
      </c>
      <c r="L2142" s="3">
        <v>0</v>
      </c>
      <c r="M2142" s="3">
        <v>0</v>
      </c>
      <c r="N2142">
        <v>0</v>
      </c>
      <c r="O2142">
        <v>0</v>
      </c>
      <c r="P2142">
        <v>0</v>
      </c>
      <c r="Q2142">
        <v>14</v>
      </c>
      <c r="R2142" s="3">
        <v>0</v>
      </c>
      <c r="S2142" s="3">
        <v>0</v>
      </c>
      <c r="T2142">
        <v>0</v>
      </c>
      <c r="U2142">
        <v>0</v>
      </c>
      <c r="V2142" s="3">
        <v>0</v>
      </c>
      <c r="W2142" s="3">
        <v>0</v>
      </c>
      <c r="X2142">
        <v>2</v>
      </c>
      <c r="Y2142" t="s">
        <v>1759</v>
      </c>
    </row>
    <row r="2143" spans="1:25" hidden="1" x14ac:dyDescent="0.25">
      <c r="A2143" t="s">
        <v>58</v>
      </c>
      <c r="B2143" s="1" t="s">
        <v>144</v>
      </c>
      <c r="C2143" s="1" t="s">
        <v>489</v>
      </c>
      <c r="D2143" t="s">
        <v>27</v>
      </c>
      <c r="E2143" s="2">
        <v>45950</v>
      </c>
      <c r="F2143" s="2">
        <v>45950</v>
      </c>
      <c r="G2143" s="3">
        <v>73</v>
      </c>
      <c r="H2143" t="s">
        <v>28</v>
      </c>
      <c r="I2143">
        <v>64</v>
      </c>
      <c r="J2143">
        <v>50</v>
      </c>
      <c r="K2143">
        <v>0</v>
      </c>
      <c r="L2143" s="3">
        <v>1</v>
      </c>
      <c r="M2143" s="3">
        <v>1</v>
      </c>
      <c r="N2143">
        <v>0</v>
      </c>
      <c r="O2143">
        <v>0</v>
      </c>
      <c r="P2143">
        <v>0</v>
      </c>
      <c r="Q2143">
        <v>0</v>
      </c>
      <c r="R2143" s="3">
        <v>0</v>
      </c>
      <c r="S2143" s="3">
        <v>0</v>
      </c>
      <c r="T2143">
        <v>0</v>
      </c>
      <c r="U2143">
        <v>0</v>
      </c>
      <c r="V2143" s="3">
        <v>0</v>
      </c>
      <c r="W2143" s="3">
        <v>0</v>
      </c>
      <c r="X2143">
        <v>0</v>
      </c>
      <c r="Y2143" t="s">
        <v>1760</v>
      </c>
    </row>
    <row r="2144" spans="1:25" hidden="1" x14ac:dyDescent="0.25">
      <c r="A2144" s="1" t="s">
        <v>45</v>
      </c>
      <c r="B2144" s="1" t="s">
        <v>106</v>
      </c>
      <c r="C2144" s="1" t="s">
        <v>27</v>
      </c>
      <c r="D2144" t="s">
        <v>27</v>
      </c>
      <c r="E2144" s="2">
        <v>45950</v>
      </c>
      <c r="F2144" s="2">
        <v>45950</v>
      </c>
      <c r="G2144" s="3">
        <v>74</v>
      </c>
      <c r="H2144" t="s">
        <v>1761</v>
      </c>
      <c r="I2144">
        <v>0</v>
      </c>
      <c r="J2144">
        <v>0</v>
      </c>
      <c r="K2144">
        <v>0</v>
      </c>
      <c r="L2144" s="3">
        <v>0</v>
      </c>
      <c r="M2144" s="3">
        <v>0</v>
      </c>
      <c r="N2144">
        <v>0</v>
      </c>
      <c r="O2144">
        <v>0</v>
      </c>
      <c r="P2144">
        <v>0</v>
      </c>
      <c r="Q2144">
        <v>0</v>
      </c>
      <c r="R2144" s="3">
        <v>0</v>
      </c>
      <c r="S2144" s="3">
        <v>0</v>
      </c>
      <c r="T2144">
        <v>0</v>
      </c>
      <c r="U2144">
        <v>0</v>
      </c>
      <c r="V2144" s="3">
        <v>0</v>
      </c>
      <c r="W2144" s="3">
        <v>0</v>
      </c>
      <c r="X2144" s="3">
        <v>0</v>
      </c>
    </row>
    <row r="2145" spans="1:25" hidden="1" x14ac:dyDescent="0.25">
      <c r="A2145" s="1" t="s">
        <v>25</v>
      </c>
      <c r="B2145" s="1" t="s">
        <v>96</v>
      </c>
      <c r="C2145" s="1" t="s">
        <v>26</v>
      </c>
      <c r="D2145" t="s">
        <v>27</v>
      </c>
      <c r="E2145" s="2">
        <v>45951</v>
      </c>
      <c r="F2145" s="2">
        <v>45951</v>
      </c>
      <c r="G2145" s="3">
        <v>44</v>
      </c>
      <c r="H2145" s="4" t="s">
        <v>28</v>
      </c>
      <c r="I2145">
        <v>38</v>
      </c>
      <c r="J2145">
        <v>0</v>
      </c>
      <c r="K2145">
        <v>0</v>
      </c>
      <c r="L2145" s="3">
        <v>0</v>
      </c>
      <c r="M2145" s="3">
        <v>0</v>
      </c>
      <c r="N2145">
        <v>1</v>
      </c>
      <c r="O2145">
        <v>0</v>
      </c>
      <c r="P2145">
        <v>0</v>
      </c>
      <c r="Q2145">
        <v>0</v>
      </c>
      <c r="R2145" s="3">
        <v>0</v>
      </c>
      <c r="S2145" s="3">
        <v>0</v>
      </c>
      <c r="T2145">
        <v>0</v>
      </c>
      <c r="U2145">
        <v>0</v>
      </c>
      <c r="V2145" s="3">
        <v>0</v>
      </c>
      <c r="W2145" s="3">
        <v>0</v>
      </c>
      <c r="X2145">
        <v>0</v>
      </c>
      <c r="Y2145" t="s">
        <v>1744</v>
      </c>
    </row>
    <row r="2146" spans="1:25" hidden="1" x14ac:dyDescent="0.25">
      <c r="A2146" s="1" t="s">
        <v>29</v>
      </c>
      <c r="B2146" s="1" t="s">
        <v>100</v>
      </c>
      <c r="C2146" s="1" t="s">
        <v>95</v>
      </c>
      <c r="D2146" t="s">
        <v>27</v>
      </c>
      <c r="E2146" s="2">
        <v>45951</v>
      </c>
      <c r="F2146" s="2">
        <v>45951</v>
      </c>
      <c r="G2146" s="3">
        <v>43</v>
      </c>
      <c r="H2146" s="4" t="s">
        <v>28</v>
      </c>
      <c r="I2146">
        <v>50</v>
      </c>
      <c r="J2146">
        <v>0</v>
      </c>
      <c r="K2146">
        <v>0</v>
      </c>
      <c r="L2146" s="3">
        <v>0</v>
      </c>
      <c r="M2146" s="3">
        <v>0</v>
      </c>
      <c r="N2146">
        <v>0</v>
      </c>
      <c r="O2146">
        <v>0</v>
      </c>
      <c r="P2146">
        <v>0</v>
      </c>
      <c r="Q2146">
        <v>15</v>
      </c>
      <c r="R2146" s="3">
        <v>0</v>
      </c>
      <c r="S2146" s="3">
        <v>0</v>
      </c>
      <c r="T2146">
        <v>0</v>
      </c>
      <c r="U2146">
        <v>0</v>
      </c>
      <c r="V2146" s="3">
        <v>0</v>
      </c>
      <c r="W2146" s="3">
        <v>0</v>
      </c>
      <c r="X2146">
        <v>0</v>
      </c>
      <c r="Y2146" t="s">
        <v>1762</v>
      </c>
    </row>
    <row r="2147" spans="1:25" hidden="1" x14ac:dyDescent="0.25">
      <c r="A2147" s="1" t="s">
        <v>31</v>
      </c>
      <c r="B2147" s="1" t="s">
        <v>104</v>
      </c>
      <c r="C2147" s="1" t="s">
        <v>32</v>
      </c>
      <c r="D2147" t="s">
        <v>27</v>
      </c>
      <c r="E2147" s="2">
        <v>45951</v>
      </c>
      <c r="F2147" s="2">
        <v>45951</v>
      </c>
      <c r="G2147" s="3">
        <v>68</v>
      </c>
      <c r="H2147" s="4" t="s">
        <v>28</v>
      </c>
      <c r="I2147">
        <v>58</v>
      </c>
      <c r="J2147">
        <v>0</v>
      </c>
      <c r="K2147">
        <v>0</v>
      </c>
      <c r="L2147" s="3">
        <v>1</v>
      </c>
      <c r="M2147" s="3">
        <v>0</v>
      </c>
      <c r="N2147">
        <v>0</v>
      </c>
      <c r="O2147">
        <v>0</v>
      </c>
      <c r="P2147">
        <v>0</v>
      </c>
      <c r="Q2147">
        <v>39</v>
      </c>
      <c r="R2147" s="3">
        <v>0</v>
      </c>
      <c r="S2147" s="3">
        <v>0</v>
      </c>
      <c r="T2147">
        <v>0</v>
      </c>
      <c r="U2147">
        <v>0</v>
      </c>
      <c r="V2147" s="3">
        <v>0</v>
      </c>
      <c r="W2147" s="3">
        <v>0</v>
      </c>
      <c r="X2147">
        <v>3</v>
      </c>
      <c r="Y2147" t="s">
        <v>1763</v>
      </c>
    </row>
    <row r="2148" spans="1:25" hidden="1" x14ac:dyDescent="0.25">
      <c r="A2148" t="s">
        <v>33</v>
      </c>
      <c r="B2148" s="1" t="s">
        <v>106</v>
      </c>
      <c r="C2148" s="1" t="s">
        <v>37</v>
      </c>
      <c r="D2148" t="s">
        <v>27</v>
      </c>
      <c r="E2148" s="2">
        <v>45951</v>
      </c>
      <c r="F2148" s="2">
        <v>45951</v>
      </c>
      <c r="G2148" s="3">
        <v>26</v>
      </c>
      <c r="H2148" s="4" t="s">
        <v>28</v>
      </c>
      <c r="I2148">
        <v>37</v>
      </c>
      <c r="J2148">
        <v>0</v>
      </c>
      <c r="K2148">
        <v>0</v>
      </c>
      <c r="L2148" s="3">
        <v>0</v>
      </c>
      <c r="M2148" s="3">
        <v>0</v>
      </c>
      <c r="N2148">
        <v>0</v>
      </c>
      <c r="O2148">
        <v>0</v>
      </c>
      <c r="P2148">
        <v>0</v>
      </c>
      <c r="Q2148">
        <v>0</v>
      </c>
      <c r="R2148" s="3">
        <v>0</v>
      </c>
      <c r="S2148" s="3">
        <v>0</v>
      </c>
      <c r="T2148">
        <v>0</v>
      </c>
      <c r="U2148">
        <v>0</v>
      </c>
      <c r="V2148" s="3">
        <v>0</v>
      </c>
      <c r="W2148" s="3">
        <v>0</v>
      </c>
      <c r="X2148">
        <v>0</v>
      </c>
      <c r="Y2148" t="s">
        <v>1764</v>
      </c>
    </row>
    <row r="2149" spans="1:25" hidden="1" x14ac:dyDescent="0.25">
      <c r="A2149" s="1" t="s">
        <v>38</v>
      </c>
      <c r="B2149" s="1" t="s">
        <v>108</v>
      </c>
      <c r="C2149" s="1" t="s">
        <v>27</v>
      </c>
      <c r="D2149" t="s">
        <v>27</v>
      </c>
      <c r="E2149" s="2">
        <v>45951</v>
      </c>
      <c r="F2149" s="2">
        <v>45951</v>
      </c>
      <c r="G2149" s="3">
        <v>36</v>
      </c>
      <c r="H2149" s="4" t="s">
        <v>28</v>
      </c>
      <c r="I2149">
        <v>36</v>
      </c>
      <c r="J2149">
        <v>0</v>
      </c>
      <c r="K2149">
        <v>0</v>
      </c>
      <c r="L2149" s="3">
        <v>0</v>
      </c>
      <c r="M2149" s="3">
        <v>0</v>
      </c>
      <c r="N2149">
        <v>0</v>
      </c>
      <c r="O2149">
        <v>0</v>
      </c>
      <c r="P2149">
        <v>0</v>
      </c>
      <c r="Q2149">
        <v>36</v>
      </c>
      <c r="R2149" s="3">
        <v>0</v>
      </c>
      <c r="S2149" s="3">
        <v>0</v>
      </c>
      <c r="T2149">
        <v>0</v>
      </c>
      <c r="U2149">
        <v>0</v>
      </c>
      <c r="V2149" s="3">
        <v>0</v>
      </c>
      <c r="W2149" s="3">
        <v>0</v>
      </c>
      <c r="X2149">
        <v>0</v>
      </c>
      <c r="Y2149" t="s">
        <v>1765</v>
      </c>
    </row>
    <row r="2150" spans="1:25" hidden="1" x14ac:dyDescent="0.25">
      <c r="A2150" s="1" t="s">
        <v>47</v>
      </c>
      <c r="B2150" s="1" t="s">
        <v>137</v>
      </c>
      <c r="C2150" s="1" t="s">
        <v>27</v>
      </c>
      <c r="D2150" t="s">
        <v>27</v>
      </c>
      <c r="E2150" s="2">
        <v>45951</v>
      </c>
      <c r="F2150" s="2">
        <v>45951</v>
      </c>
      <c r="G2150" s="3">
        <v>33</v>
      </c>
      <c r="H2150" s="4" t="s">
        <v>28</v>
      </c>
      <c r="I2150">
        <v>49</v>
      </c>
      <c r="J2150">
        <v>0</v>
      </c>
      <c r="K2150">
        <v>0</v>
      </c>
      <c r="L2150" s="3">
        <v>0</v>
      </c>
      <c r="M2150" s="3">
        <v>0</v>
      </c>
      <c r="N2150">
        <v>0</v>
      </c>
      <c r="O2150">
        <v>0</v>
      </c>
      <c r="P2150">
        <v>0</v>
      </c>
      <c r="Q2150">
        <v>20</v>
      </c>
      <c r="R2150" s="3">
        <v>0</v>
      </c>
      <c r="S2150" s="3">
        <v>0</v>
      </c>
      <c r="T2150">
        <v>0</v>
      </c>
      <c r="U2150">
        <v>0</v>
      </c>
      <c r="V2150" s="3">
        <v>0</v>
      </c>
      <c r="W2150" s="3">
        <v>0</v>
      </c>
      <c r="X2150">
        <v>6</v>
      </c>
      <c r="Y2150" t="s">
        <v>1755</v>
      </c>
    </row>
    <row r="2151" spans="1:25" hidden="1" x14ac:dyDescent="0.25">
      <c r="A2151" s="1" t="s">
        <v>34</v>
      </c>
      <c r="B2151" s="1" t="s">
        <v>137</v>
      </c>
      <c r="C2151" s="1" t="s">
        <v>27</v>
      </c>
      <c r="D2151" t="s">
        <v>27</v>
      </c>
      <c r="E2151" s="2">
        <v>45951</v>
      </c>
      <c r="F2151" s="2">
        <v>45951</v>
      </c>
      <c r="G2151" s="3">
        <v>33</v>
      </c>
      <c r="H2151" s="4" t="s">
        <v>28</v>
      </c>
      <c r="I2151">
        <v>49</v>
      </c>
      <c r="J2151">
        <v>0</v>
      </c>
      <c r="K2151">
        <v>0</v>
      </c>
      <c r="L2151" s="3">
        <v>0</v>
      </c>
      <c r="M2151" s="3">
        <v>0</v>
      </c>
      <c r="N2151">
        <v>0</v>
      </c>
      <c r="O2151">
        <v>0</v>
      </c>
      <c r="P2151">
        <v>0</v>
      </c>
      <c r="Q2151">
        <v>20</v>
      </c>
      <c r="R2151" s="3">
        <v>0</v>
      </c>
      <c r="S2151" s="3">
        <v>0</v>
      </c>
      <c r="T2151">
        <v>0</v>
      </c>
      <c r="U2151">
        <v>0</v>
      </c>
      <c r="V2151" s="3">
        <v>0</v>
      </c>
      <c r="W2151" s="3">
        <v>0</v>
      </c>
      <c r="X2151">
        <v>6</v>
      </c>
      <c r="Y2151" t="s">
        <v>1755</v>
      </c>
    </row>
    <row r="2152" spans="1:25" hidden="1" x14ac:dyDescent="0.25">
      <c r="A2152" s="1" t="s">
        <v>40</v>
      </c>
      <c r="B2152" s="1" t="s">
        <v>110</v>
      </c>
      <c r="C2152" s="1" t="s">
        <v>27</v>
      </c>
      <c r="D2152" t="s">
        <v>27</v>
      </c>
      <c r="E2152" s="2">
        <v>45951</v>
      </c>
      <c r="F2152" s="2">
        <v>45951</v>
      </c>
      <c r="G2152" s="3">
        <v>112</v>
      </c>
      <c r="H2152" s="4" t="s">
        <v>28</v>
      </c>
      <c r="I2152">
        <v>44</v>
      </c>
      <c r="J2152">
        <v>0</v>
      </c>
      <c r="K2152">
        <v>0</v>
      </c>
      <c r="L2152" s="3">
        <v>1</v>
      </c>
      <c r="M2152" s="3">
        <v>0</v>
      </c>
      <c r="N2152">
        <v>1</v>
      </c>
      <c r="O2152">
        <v>0</v>
      </c>
      <c r="P2152">
        <v>0</v>
      </c>
      <c r="Q2152">
        <v>0</v>
      </c>
      <c r="R2152" s="3">
        <v>0</v>
      </c>
      <c r="S2152" s="3">
        <v>0</v>
      </c>
      <c r="T2152">
        <v>0</v>
      </c>
      <c r="U2152">
        <v>0</v>
      </c>
      <c r="V2152" s="3">
        <v>0</v>
      </c>
      <c r="W2152" s="3">
        <v>0</v>
      </c>
      <c r="X2152">
        <v>0</v>
      </c>
      <c r="Y2152" t="s">
        <v>1766</v>
      </c>
    </row>
    <row r="2153" spans="1:25" hidden="1" x14ac:dyDescent="0.25">
      <c r="A2153" s="1" t="s">
        <v>36</v>
      </c>
      <c r="B2153" s="1" t="s">
        <v>110</v>
      </c>
      <c r="C2153" s="1" t="s">
        <v>27</v>
      </c>
      <c r="D2153" t="s">
        <v>27</v>
      </c>
      <c r="E2153" s="2">
        <v>45951</v>
      </c>
      <c r="F2153" s="2">
        <v>45951</v>
      </c>
      <c r="G2153" s="3">
        <v>112</v>
      </c>
      <c r="H2153" s="4" t="s">
        <v>28</v>
      </c>
      <c r="I2153">
        <v>44</v>
      </c>
      <c r="J2153">
        <v>0</v>
      </c>
      <c r="K2153">
        <v>0</v>
      </c>
      <c r="L2153" s="3">
        <v>1</v>
      </c>
      <c r="M2153" s="3">
        <v>0</v>
      </c>
      <c r="N2153">
        <v>1</v>
      </c>
      <c r="O2153">
        <v>0</v>
      </c>
      <c r="P2153">
        <v>0</v>
      </c>
      <c r="Q2153">
        <v>0</v>
      </c>
      <c r="R2153" s="3">
        <v>0</v>
      </c>
      <c r="S2153" s="3">
        <v>0</v>
      </c>
      <c r="T2153">
        <v>0</v>
      </c>
      <c r="U2153">
        <v>0</v>
      </c>
      <c r="V2153" s="3">
        <v>0</v>
      </c>
      <c r="W2153" s="3">
        <v>0</v>
      </c>
      <c r="X2153">
        <v>0</v>
      </c>
      <c r="Y2153" t="s">
        <v>1766</v>
      </c>
    </row>
    <row r="2154" spans="1:25" hidden="1" x14ac:dyDescent="0.25">
      <c r="A2154" s="1" t="s">
        <v>1454</v>
      </c>
      <c r="B2154" s="1" t="s">
        <v>1455</v>
      </c>
      <c r="C2154" s="1" t="s">
        <v>27</v>
      </c>
      <c r="D2154" t="s">
        <v>27</v>
      </c>
      <c r="E2154" s="2">
        <v>45951</v>
      </c>
      <c r="F2154" s="2">
        <v>45951</v>
      </c>
      <c r="G2154" s="3">
        <v>45</v>
      </c>
      <c r="H2154" s="4" t="s">
        <v>28</v>
      </c>
      <c r="I2154">
        <v>33</v>
      </c>
      <c r="J2154">
        <v>0</v>
      </c>
      <c r="K2154">
        <v>0</v>
      </c>
      <c r="L2154" s="3">
        <v>1</v>
      </c>
      <c r="M2154" s="3">
        <v>0</v>
      </c>
      <c r="N2154">
        <v>0</v>
      </c>
      <c r="O2154">
        <v>0</v>
      </c>
      <c r="P2154">
        <v>0</v>
      </c>
      <c r="Q2154">
        <v>33</v>
      </c>
      <c r="R2154" s="3">
        <v>0</v>
      </c>
      <c r="S2154" s="3">
        <v>0</v>
      </c>
      <c r="T2154">
        <v>0</v>
      </c>
      <c r="U2154">
        <v>0</v>
      </c>
      <c r="V2154" s="3">
        <v>0</v>
      </c>
      <c r="W2154" s="3">
        <v>0</v>
      </c>
      <c r="X2154">
        <v>0</v>
      </c>
      <c r="Y2154" t="s">
        <v>1767</v>
      </c>
    </row>
    <row r="2155" spans="1:25" hidden="1" x14ac:dyDescent="0.25">
      <c r="A2155" s="1" t="s">
        <v>41</v>
      </c>
      <c r="B2155" s="1" t="s">
        <v>112</v>
      </c>
      <c r="C2155" s="1" t="s">
        <v>42</v>
      </c>
      <c r="D2155" t="s">
        <v>27</v>
      </c>
      <c r="E2155" s="2">
        <v>45951</v>
      </c>
      <c r="F2155" s="2">
        <v>45951</v>
      </c>
      <c r="G2155" s="3">
        <v>51</v>
      </c>
      <c r="H2155" s="4" t="s">
        <v>28</v>
      </c>
      <c r="I2155">
        <v>42</v>
      </c>
      <c r="J2155">
        <v>0</v>
      </c>
      <c r="K2155">
        <v>0</v>
      </c>
      <c r="L2155" s="3">
        <v>1</v>
      </c>
      <c r="M2155" s="3">
        <v>0</v>
      </c>
      <c r="N2155">
        <v>0</v>
      </c>
      <c r="O2155">
        <v>0</v>
      </c>
      <c r="P2155">
        <v>0</v>
      </c>
      <c r="Q2155">
        <v>1</v>
      </c>
      <c r="R2155" s="3">
        <v>0</v>
      </c>
      <c r="S2155" s="3">
        <v>0</v>
      </c>
      <c r="T2155">
        <v>0</v>
      </c>
      <c r="U2155">
        <v>0</v>
      </c>
      <c r="V2155" s="3">
        <v>0</v>
      </c>
      <c r="W2155" s="3">
        <v>0</v>
      </c>
      <c r="X2155">
        <v>0</v>
      </c>
      <c r="Y2155" t="s">
        <v>1768</v>
      </c>
    </row>
    <row r="2156" spans="1:25" hidden="1" x14ac:dyDescent="0.25">
      <c r="A2156" s="1" t="s">
        <v>43</v>
      </c>
      <c r="B2156" s="1" t="s">
        <v>114</v>
      </c>
      <c r="C2156" s="1" t="s">
        <v>44</v>
      </c>
      <c r="D2156" t="s">
        <v>27</v>
      </c>
      <c r="E2156" s="2">
        <v>45951</v>
      </c>
      <c r="F2156" s="2">
        <v>45951</v>
      </c>
      <c r="G2156" s="3">
        <v>27</v>
      </c>
      <c r="H2156" s="4" t="s">
        <v>28</v>
      </c>
      <c r="I2156">
        <v>63</v>
      </c>
      <c r="J2156">
        <v>0</v>
      </c>
      <c r="K2156">
        <v>0</v>
      </c>
      <c r="L2156" s="3">
        <v>1</v>
      </c>
      <c r="M2156" s="3">
        <v>0</v>
      </c>
      <c r="N2156">
        <v>0</v>
      </c>
      <c r="O2156">
        <v>0</v>
      </c>
      <c r="P2156">
        <v>0</v>
      </c>
      <c r="Q2156">
        <v>0</v>
      </c>
      <c r="R2156" s="3">
        <v>0</v>
      </c>
      <c r="S2156" s="3">
        <v>0</v>
      </c>
      <c r="T2156">
        <v>0</v>
      </c>
      <c r="U2156">
        <v>0</v>
      </c>
      <c r="V2156" s="3">
        <v>0</v>
      </c>
      <c r="W2156" s="3">
        <v>0</v>
      </c>
      <c r="X2156">
        <v>0</v>
      </c>
      <c r="Y2156" t="s">
        <v>1769</v>
      </c>
    </row>
    <row r="2157" spans="1:25" hidden="1" x14ac:dyDescent="0.25">
      <c r="A2157" s="1" t="s">
        <v>49</v>
      </c>
      <c r="B2157" s="1" t="s">
        <v>118</v>
      </c>
      <c r="C2157" s="1" t="s">
        <v>50</v>
      </c>
      <c r="D2157" t="s">
        <v>27</v>
      </c>
      <c r="E2157" s="2">
        <v>45951</v>
      </c>
      <c r="F2157" s="2">
        <v>45951</v>
      </c>
      <c r="G2157" s="3">
        <v>29</v>
      </c>
      <c r="H2157" s="4" t="s">
        <v>28</v>
      </c>
      <c r="I2157">
        <v>50</v>
      </c>
      <c r="J2157">
        <v>0</v>
      </c>
      <c r="K2157">
        <v>0</v>
      </c>
      <c r="L2157" s="3">
        <v>1</v>
      </c>
      <c r="M2157" s="3">
        <v>1</v>
      </c>
      <c r="N2157">
        <v>0</v>
      </c>
      <c r="O2157">
        <v>1</v>
      </c>
      <c r="P2157">
        <v>0</v>
      </c>
      <c r="Q2157">
        <v>50</v>
      </c>
      <c r="R2157" s="3">
        <v>0</v>
      </c>
      <c r="S2157" s="3">
        <v>0</v>
      </c>
      <c r="T2157">
        <v>0</v>
      </c>
      <c r="U2157">
        <v>0</v>
      </c>
      <c r="V2157" s="3">
        <v>0</v>
      </c>
      <c r="W2157" s="3">
        <v>0</v>
      </c>
      <c r="X2157">
        <v>0</v>
      </c>
      <c r="Y2157" t="s">
        <v>1770</v>
      </c>
    </row>
    <row r="2158" spans="1:25" hidden="1" x14ac:dyDescent="0.25">
      <c r="A2158" s="1" t="s">
        <v>45</v>
      </c>
      <c r="B2158" s="1" t="s">
        <v>116</v>
      </c>
      <c r="C2158" s="1" t="s">
        <v>46</v>
      </c>
      <c r="D2158" t="s">
        <v>27</v>
      </c>
      <c r="E2158" s="2">
        <v>45951</v>
      </c>
      <c r="F2158" s="2">
        <v>45951</v>
      </c>
      <c r="G2158" s="3">
        <v>36</v>
      </c>
      <c r="H2158" s="4" t="s">
        <v>28</v>
      </c>
      <c r="I2158">
        <v>74</v>
      </c>
      <c r="J2158">
        <v>0</v>
      </c>
      <c r="K2158">
        <v>0</v>
      </c>
      <c r="L2158" s="3">
        <v>1</v>
      </c>
      <c r="M2158" s="3">
        <v>0</v>
      </c>
      <c r="N2158">
        <v>0</v>
      </c>
      <c r="O2158">
        <v>0</v>
      </c>
      <c r="P2158">
        <v>0</v>
      </c>
      <c r="Q2158">
        <v>0</v>
      </c>
      <c r="R2158" s="3">
        <v>0</v>
      </c>
      <c r="S2158" s="3">
        <v>0</v>
      </c>
      <c r="T2158">
        <v>0</v>
      </c>
      <c r="U2158">
        <v>0</v>
      </c>
      <c r="V2158" s="3">
        <v>0</v>
      </c>
      <c r="W2158" s="3">
        <v>0</v>
      </c>
      <c r="X2158">
        <v>0</v>
      </c>
      <c r="Y2158" t="s">
        <v>1722</v>
      </c>
    </row>
    <row r="2159" spans="1:25" hidden="1" x14ac:dyDescent="0.25">
      <c r="A2159" s="1" t="s">
        <v>54</v>
      </c>
      <c r="B2159" s="1" t="s">
        <v>122</v>
      </c>
      <c r="C2159" s="1" t="s">
        <v>52</v>
      </c>
      <c r="D2159" t="s">
        <v>27</v>
      </c>
      <c r="E2159" s="2">
        <v>45951</v>
      </c>
      <c r="F2159" s="2">
        <v>45951</v>
      </c>
      <c r="G2159" s="3">
        <v>36</v>
      </c>
      <c r="H2159" s="4" t="s">
        <v>28</v>
      </c>
      <c r="I2159">
        <v>53</v>
      </c>
      <c r="J2159">
        <v>0</v>
      </c>
      <c r="K2159">
        <v>0</v>
      </c>
      <c r="L2159" s="3">
        <v>0</v>
      </c>
      <c r="M2159" s="3">
        <v>0</v>
      </c>
      <c r="N2159">
        <v>0</v>
      </c>
      <c r="O2159">
        <v>0</v>
      </c>
      <c r="P2159">
        <v>0</v>
      </c>
      <c r="Q2159">
        <v>2</v>
      </c>
      <c r="R2159" s="3">
        <v>0</v>
      </c>
      <c r="S2159" s="3">
        <v>0</v>
      </c>
      <c r="T2159">
        <v>0</v>
      </c>
      <c r="U2159">
        <v>0</v>
      </c>
      <c r="V2159" s="3">
        <v>0</v>
      </c>
      <c r="W2159" s="3">
        <v>0</v>
      </c>
      <c r="X2159">
        <v>0</v>
      </c>
      <c r="Y2159" t="s">
        <v>1738</v>
      </c>
    </row>
    <row r="2160" spans="1:25" hidden="1" x14ac:dyDescent="0.25">
      <c r="A2160" s="1" t="s">
        <v>48</v>
      </c>
      <c r="B2160" s="1" t="s">
        <v>149</v>
      </c>
      <c r="C2160" s="1" t="s">
        <v>35</v>
      </c>
      <c r="D2160" t="s">
        <v>27</v>
      </c>
      <c r="E2160" s="2">
        <v>45951</v>
      </c>
      <c r="F2160" s="2">
        <v>45951</v>
      </c>
      <c r="G2160" s="3">
        <v>71</v>
      </c>
      <c r="H2160" s="4" t="s">
        <v>28</v>
      </c>
      <c r="I2160">
        <v>38</v>
      </c>
      <c r="J2160">
        <v>0</v>
      </c>
      <c r="K2160">
        <v>0</v>
      </c>
      <c r="L2160" s="3">
        <v>0</v>
      </c>
      <c r="M2160" s="3">
        <v>0</v>
      </c>
      <c r="N2160">
        <v>0</v>
      </c>
      <c r="O2160">
        <v>0</v>
      </c>
      <c r="P2160">
        <v>0</v>
      </c>
      <c r="Q2160">
        <v>14</v>
      </c>
      <c r="R2160" s="3">
        <v>0</v>
      </c>
      <c r="S2160" s="3">
        <v>0</v>
      </c>
      <c r="T2160">
        <v>0</v>
      </c>
      <c r="U2160">
        <v>0</v>
      </c>
      <c r="V2160" s="3">
        <v>0</v>
      </c>
      <c r="W2160" s="3">
        <v>0</v>
      </c>
      <c r="X2160">
        <v>2</v>
      </c>
      <c r="Y2160" t="s">
        <v>1759</v>
      </c>
    </row>
    <row r="2161" spans="1:26" hidden="1" x14ac:dyDescent="0.25">
      <c r="A2161" t="s">
        <v>58</v>
      </c>
      <c r="B2161" s="1" t="s">
        <v>144</v>
      </c>
      <c r="C2161" s="1" t="s">
        <v>489</v>
      </c>
      <c r="D2161" t="s">
        <v>27</v>
      </c>
      <c r="E2161" s="2">
        <v>45951</v>
      </c>
      <c r="F2161" s="2">
        <v>45951</v>
      </c>
      <c r="G2161" s="3">
        <v>21</v>
      </c>
      <c r="H2161" s="4" t="s">
        <v>28</v>
      </c>
      <c r="I2161">
        <v>30</v>
      </c>
      <c r="J2161">
        <v>0</v>
      </c>
      <c r="K2161">
        <v>0</v>
      </c>
      <c r="L2161" s="3">
        <v>1</v>
      </c>
      <c r="M2161" s="3">
        <v>0</v>
      </c>
      <c r="N2161">
        <v>0</v>
      </c>
      <c r="O2161">
        <v>0</v>
      </c>
      <c r="P2161">
        <v>2</v>
      </c>
      <c r="Q2161">
        <v>21</v>
      </c>
      <c r="R2161" s="3">
        <v>0</v>
      </c>
      <c r="S2161" s="3">
        <v>0</v>
      </c>
      <c r="T2161">
        <v>0</v>
      </c>
      <c r="U2161">
        <v>0</v>
      </c>
      <c r="V2161" s="3">
        <v>0</v>
      </c>
      <c r="W2161" s="3">
        <v>0</v>
      </c>
      <c r="X2161">
        <v>0</v>
      </c>
      <c r="Y2161" t="s">
        <v>1771</v>
      </c>
    </row>
    <row r="2162" spans="1:26" hidden="1" x14ac:dyDescent="0.25">
      <c r="A2162" s="1" t="s">
        <v>51</v>
      </c>
      <c r="B2162" s="1" t="s">
        <v>106</v>
      </c>
      <c r="C2162" s="1" t="s">
        <v>27</v>
      </c>
      <c r="D2162" t="s">
        <v>27</v>
      </c>
      <c r="E2162" s="2">
        <v>45951</v>
      </c>
      <c r="F2162" s="2">
        <v>45951</v>
      </c>
      <c r="G2162" s="3">
        <v>21</v>
      </c>
      <c r="H2162" s="4" t="s">
        <v>1448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1771</v>
      </c>
    </row>
    <row r="2163" spans="1:26" hidden="1" x14ac:dyDescent="0.25">
      <c r="A2163" s="1" t="s">
        <v>27</v>
      </c>
      <c r="B2163" s="1" t="s">
        <v>182</v>
      </c>
      <c r="C2163" s="1" t="s">
        <v>55</v>
      </c>
      <c r="D2163" t="s">
        <v>27</v>
      </c>
      <c r="E2163" s="2">
        <v>45951</v>
      </c>
      <c r="F2163" s="2">
        <v>45951</v>
      </c>
      <c r="G2163" s="3">
        <v>21</v>
      </c>
      <c r="H2163" s="4" t="s">
        <v>1448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1771</v>
      </c>
    </row>
    <row r="2164" spans="1:26" hidden="1" x14ac:dyDescent="0.25">
      <c r="A2164" s="1" t="s">
        <v>27</v>
      </c>
      <c r="B2164" s="1" t="s">
        <v>184</v>
      </c>
      <c r="C2164" s="1" t="s">
        <v>57</v>
      </c>
      <c r="D2164" t="s">
        <v>27</v>
      </c>
      <c r="E2164" s="2">
        <v>45951</v>
      </c>
      <c r="F2164" s="2">
        <v>45951</v>
      </c>
      <c r="G2164" s="3">
        <v>21</v>
      </c>
      <c r="H2164" s="4" t="s">
        <v>1448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1771</v>
      </c>
    </row>
    <row r="2165" spans="1:26" hidden="1" x14ac:dyDescent="0.25">
      <c r="A2165" s="1" t="s">
        <v>27</v>
      </c>
      <c r="B2165" s="1" t="s">
        <v>186</v>
      </c>
      <c r="C2165" s="1" t="s">
        <v>489</v>
      </c>
      <c r="D2165" t="s">
        <v>27</v>
      </c>
      <c r="E2165" s="2">
        <v>45951</v>
      </c>
      <c r="F2165" s="2">
        <v>45951</v>
      </c>
      <c r="G2165" s="3">
        <v>21</v>
      </c>
      <c r="H2165" s="4" t="s">
        <v>1448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1771</v>
      </c>
    </row>
    <row r="2166" spans="1:26" hidden="1" x14ac:dyDescent="0.25">
      <c r="A2166" s="1" t="s">
        <v>56</v>
      </c>
      <c r="B2166" s="1" t="s">
        <v>98</v>
      </c>
      <c r="C2166" t="s">
        <v>27</v>
      </c>
      <c r="D2166" t="s">
        <v>27</v>
      </c>
      <c r="E2166" s="2">
        <v>45951</v>
      </c>
      <c r="F2166" s="2">
        <v>45951</v>
      </c>
      <c r="G2166" s="3">
        <v>29</v>
      </c>
      <c r="H2166" t="s">
        <v>1317</v>
      </c>
      <c r="I2166">
        <v>0</v>
      </c>
      <c r="J2166">
        <v>0</v>
      </c>
      <c r="K2166">
        <v>0</v>
      </c>
      <c r="L2166" s="3">
        <v>0</v>
      </c>
      <c r="M2166" s="3">
        <v>0</v>
      </c>
      <c r="N2166">
        <v>0</v>
      </c>
      <c r="O2166">
        <v>0</v>
      </c>
      <c r="P2166">
        <v>0</v>
      </c>
      <c r="Q2166">
        <v>0</v>
      </c>
      <c r="R2166" s="3">
        <v>0</v>
      </c>
      <c r="S2166" s="3">
        <v>0</v>
      </c>
      <c r="T2166">
        <v>0</v>
      </c>
      <c r="U2166">
        <v>0</v>
      </c>
      <c r="V2166" s="3">
        <v>0</v>
      </c>
      <c r="W2166" s="3">
        <v>0</v>
      </c>
      <c r="X2166">
        <v>0</v>
      </c>
      <c r="Y2166" t="s">
        <v>1745</v>
      </c>
    </row>
    <row r="2167" spans="1:26" hidden="1" x14ac:dyDescent="0.25">
      <c r="A2167" t="s">
        <v>58</v>
      </c>
      <c r="B2167" s="1" t="s">
        <v>188</v>
      </c>
      <c r="C2167" s="1" t="s">
        <v>27</v>
      </c>
      <c r="D2167" t="s">
        <v>27</v>
      </c>
      <c r="E2167" s="2">
        <v>45951</v>
      </c>
      <c r="F2167" s="2">
        <v>45951</v>
      </c>
      <c r="G2167" s="3">
        <v>21</v>
      </c>
      <c r="H2167" s="4" t="s">
        <v>1448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1771</v>
      </c>
    </row>
    <row r="2168" spans="1:26" hidden="1" x14ac:dyDescent="0.25">
      <c r="A2168" t="s">
        <v>25</v>
      </c>
      <c r="B2168" t="s">
        <v>96</v>
      </c>
      <c r="C2168" t="s">
        <v>26</v>
      </c>
      <c r="D2168" t="s">
        <v>27</v>
      </c>
      <c r="E2168" s="2">
        <v>45952</v>
      </c>
      <c r="F2168" s="2">
        <v>45952</v>
      </c>
      <c r="G2168" s="3">
        <v>61</v>
      </c>
      <c r="H2168" s="4" t="s">
        <v>28</v>
      </c>
      <c r="I2168" s="28">
        <f>37+11</f>
        <v>48</v>
      </c>
      <c r="J2168">
        <v>0</v>
      </c>
      <c r="K2168">
        <v>0</v>
      </c>
      <c r="L2168" s="37">
        <v>1</v>
      </c>
      <c r="M2168" s="37">
        <v>0</v>
      </c>
      <c r="N2168" s="37">
        <v>1</v>
      </c>
      <c r="O2168" s="37">
        <v>0</v>
      </c>
      <c r="P2168" s="37">
        <v>0</v>
      </c>
      <c r="Q2168" s="37">
        <v>0</v>
      </c>
      <c r="R2168" s="37">
        <v>0</v>
      </c>
      <c r="S2168" s="37">
        <v>0</v>
      </c>
      <c r="T2168" s="37">
        <v>0</v>
      </c>
      <c r="U2168" s="37">
        <v>0</v>
      </c>
      <c r="V2168" s="37">
        <v>0</v>
      </c>
      <c r="W2168" s="37">
        <v>0</v>
      </c>
      <c r="X2168" s="37">
        <v>0</v>
      </c>
      <c r="Y2168" t="s">
        <v>1772</v>
      </c>
      <c r="Z2168" t="s">
        <v>1772</v>
      </c>
    </row>
    <row r="2169" spans="1:26" hidden="1" x14ac:dyDescent="0.25">
      <c r="A2169" t="s">
        <v>56</v>
      </c>
      <c r="B2169" t="s">
        <v>98</v>
      </c>
      <c r="C2169" t="s">
        <v>37</v>
      </c>
      <c r="D2169" t="s">
        <v>27</v>
      </c>
      <c r="E2169" s="2">
        <v>45952</v>
      </c>
      <c r="F2169" s="2">
        <v>45952</v>
      </c>
      <c r="G2169" s="3">
        <v>64</v>
      </c>
      <c r="H2169" s="4" t="s">
        <v>28</v>
      </c>
      <c r="I2169" s="28">
        <v>62</v>
      </c>
      <c r="J2169" s="1">
        <v>0</v>
      </c>
      <c r="K2169" s="1">
        <v>0</v>
      </c>
      <c r="L2169" s="38">
        <v>1</v>
      </c>
      <c r="M2169" s="38">
        <v>0</v>
      </c>
      <c r="N2169" s="38">
        <v>0</v>
      </c>
      <c r="O2169" s="38">
        <v>0</v>
      </c>
      <c r="P2169" s="38">
        <v>0</v>
      </c>
      <c r="Q2169" s="37">
        <v>10</v>
      </c>
      <c r="R2169" s="37">
        <v>0</v>
      </c>
      <c r="S2169" s="37">
        <v>0</v>
      </c>
      <c r="T2169" s="37">
        <v>0</v>
      </c>
      <c r="U2169" s="37">
        <v>0</v>
      </c>
      <c r="V2169" s="37">
        <v>0</v>
      </c>
      <c r="W2169" s="37">
        <v>0</v>
      </c>
      <c r="X2169" s="37">
        <v>0</v>
      </c>
      <c r="Y2169" t="s">
        <v>1772</v>
      </c>
      <c r="Z2169" t="s">
        <v>1772</v>
      </c>
    </row>
    <row r="2170" spans="1:26" hidden="1" x14ac:dyDescent="0.25">
      <c r="A2170" t="s">
        <v>29</v>
      </c>
      <c r="B2170" t="s">
        <v>100</v>
      </c>
      <c r="C2170" t="s">
        <v>95</v>
      </c>
      <c r="D2170" t="s">
        <v>27</v>
      </c>
      <c r="E2170" s="2">
        <v>45952</v>
      </c>
      <c r="F2170" s="2">
        <v>45952</v>
      </c>
      <c r="G2170" s="3">
        <v>37</v>
      </c>
      <c r="H2170" s="4" t="s">
        <v>28</v>
      </c>
      <c r="I2170" s="28">
        <f>35+4</f>
        <v>39</v>
      </c>
      <c r="J2170" s="1">
        <v>43</v>
      </c>
      <c r="K2170" s="1">
        <v>0</v>
      </c>
      <c r="L2170" s="38">
        <v>1</v>
      </c>
      <c r="M2170" s="38">
        <v>0</v>
      </c>
      <c r="N2170" s="38">
        <v>0</v>
      </c>
      <c r="O2170" s="38">
        <v>0</v>
      </c>
      <c r="P2170" s="38">
        <v>0</v>
      </c>
      <c r="Q2170" s="37">
        <v>15</v>
      </c>
      <c r="R2170" s="37">
        <v>0</v>
      </c>
      <c r="S2170" s="37">
        <v>0</v>
      </c>
      <c r="T2170" s="37">
        <v>0</v>
      </c>
      <c r="U2170" s="37">
        <v>0</v>
      </c>
      <c r="V2170" s="37">
        <v>0</v>
      </c>
      <c r="W2170" s="37">
        <v>0</v>
      </c>
      <c r="X2170" s="37">
        <v>0</v>
      </c>
      <c r="Y2170" t="s">
        <v>1772</v>
      </c>
      <c r="Z2170" t="s">
        <v>1772</v>
      </c>
    </row>
    <row r="2171" spans="1:26" hidden="1" x14ac:dyDescent="0.25">
      <c r="A2171" t="s">
        <v>31</v>
      </c>
      <c r="B2171" t="s">
        <v>104</v>
      </c>
      <c r="C2171" t="s">
        <v>32</v>
      </c>
      <c r="D2171" t="s">
        <v>27</v>
      </c>
      <c r="E2171" s="2">
        <v>45952</v>
      </c>
      <c r="F2171" s="2">
        <v>45952</v>
      </c>
      <c r="G2171" s="3">
        <v>33</v>
      </c>
      <c r="H2171" s="4" t="s">
        <v>28</v>
      </c>
      <c r="I2171" s="28">
        <f>75+2</f>
        <v>77</v>
      </c>
      <c r="J2171">
        <v>0</v>
      </c>
      <c r="K2171">
        <v>0</v>
      </c>
      <c r="L2171" s="37">
        <v>1</v>
      </c>
      <c r="M2171" s="37">
        <v>0</v>
      </c>
      <c r="N2171" s="37">
        <v>0</v>
      </c>
      <c r="O2171" s="37">
        <v>0</v>
      </c>
      <c r="P2171" s="37">
        <v>0</v>
      </c>
      <c r="Q2171" s="37">
        <v>30</v>
      </c>
      <c r="R2171" s="37">
        <v>0</v>
      </c>
      <c r="S2171" s="37">
        <v>0</v>
      </c>
      <c r="T2171" s="37">
        <v>0</v>
      </c>
      <c r="U2171" s="37">
        <v>0</v>
      </c>
      <c r="V2171" s="37">
        <v>0</v>
      </c>
      <c r="W2171" s="37">
        <v>0</v>
      </c>
      <c r="X2171" s="37">
        <v>0</v>
      </c>
      <c r="Y2171" t="s">
        <v>1772</v>
      </c>
      <c r="Z2171" t="s">
        <v>1772</v>
      </c>
    </row>
    <row r="2172" spans="1:26" hidden="1" x14ac:dyDescent="0.25">
      <c r="A2172" t="s">
        <v>33</v>
      </c>
      <c r="B2172" t="s">
        <v>106</v>
      </c>
      <c r="C2172" t="s">
        <v>57</v>
      </c>
      <c r="D2172" t="s">
        <v>27</v>
      </c>
      <c r="E2172" s="2">
        <v>45952</v>
      </c>
      <c r="F2172" s="2">
        <v>45952</v>
      </c>
      <c r="G2172" s="3">
        <v>30</v>
      </c>
      <c r="H2172" s="4" t="s">
        <v>28</v>
      </c>
      <c r="I2172" s="28">
        <f>52+1</f>
        <v>53</v>
      </c>
      <c r="J2172">
        <v>0</v>
      </c>
      <c r="K2172">
        <v>0</v>
      </c>
      <c r="L2172" s="37">
        <v>0</v>
      </c>
      <c r="M2172" s="37">
        <v>0</v>
      </c>
      <c r="N2172" s="37">
        <v>0</v>
      </c>
      <c r="O2172" s="37">
        <v>0</v>
      </c>
      <c r="P2172" s="37">
        <v>0</v>
      </c>
      <c r="Q2172" s="37">
        <v>20</v>
      </c>
      <c r="R2172" s="37">
        <v>0</v>
      </c>
      <c r="S2172" s="37">
        <v>0</v>
      </c>
      <c r="T2172" s="37">
        <v>0</v>
      </c>
      <c r="U2172" s="37">
        <v>0</v>
      </c>
      <c r="V2172" s="37">
        <v>0</v>
      </c>
      <c r="W2172" s="37">
        <v>0</v>
      </c>
      <c r="X2172" s="37">
        <v>0</v>
      </c>
      <c r="Y2172" t="s">
        <v>1772</v>
      </c>
      <c r="Z2172" t="s">
        <v>1772</v>
      </c>
    </row>
    <row r="2173" spans="1:26" hidden="1" x14ac:dyDescent="0.25">
      <c r="A2173" t="s">
        <v>36</v>
      </c>
      <c r="B2173" t="s">
        <v>249</v>
      </c>
      <c r="C2173" t="s">
        <v>46</v>
      </c>
      <c r="D2173" t="s">
        <v>27</v>
      </c>
      <c r="E2173" s="2">
        <v>45952</v>
      </c>
      <c r="F2173" s="2">
        <v>45952</v>
      </c>
      <c r="G2173" s="26">
        <v>53354</v>
      </c>
      <c r="H2173" t="s">
        <v>28</v>
      </c>
      <c r="I2173" s="28">
        <v>55</v>
      </c>
      <c r="J2173">
        <v>0</v>
      </c>
      <c r="K2173">
        <v>0</v>
      </c>
      <c r="L2173" s="37">
        <v>1</v>
      </c>
      <c r="M2173" s="37">
        <v>0</v>
      </c>
      <c r="N2173" s="37">
        <v>0</v>
      </c>
      <c r="O2173" s="37">
        <v>0</v>
      </c>
      <c r="P2173" s="37">
        <v>0</v>
      </c>
      <c r="Q2173" s="37">
        <v>0</v>
      </c>
      <c r="R2173" s="37">
        <v>0</v>
      </c>
      <c r="S2173" s="37">
        <v>0</v>
      </c>
      <c r="T2173" s="37">
        <v>0</v>
      </c>
      <c r="U2173" s="37">
        <v>0</v>
      </c>
      <c r="V2173" s="37">
        <v>0</v>
      </c>
      <c r="W2173" s="37">
        <v>0</v>
      </c>
      <c r="X2173" s="37">
        <v>0</v>
      </c>
      <c r="Y2173" t="s">
        <v>1772</v>
      </c>
      <c r="Z2173" t="s">
        <v>1772</v>
      </c>
    </row>
    <row r="2174" spans="1:26" hidden="1" x14ac:dyDescent="0.25">
      <c r="A2174" t="s">
        <v>38</v>
      </c>
      <c r="B2174" t="s">
        <v>108</v>
      </c>
      <c r="C2174" t="s">
        <v>27</v>
      </c>
      <c r="D2174" t="s">
        <v>27</v>
      </c>
      <c r="E2174" s="2">
        <v>45952</v>
      </c>
      <c r="F2174" s="2">
        <v>45952</v>
      </c>
      <c r="G2174" s="3">
        <v>44</v>
      </c>
      <c r="H2174" s="4" t="s">
        <v>28</v>
      </c>
      <c r="I2174" s="28">
        <v>52</v>
      </c>
      <c r="J2174">
        <v>0</v>
      </c>
      <c r="K2174">
        <v>0</v>
      </c>
      <c r="L2174" s="37">
        <v>0</v>
      </c>
      <c r="M2174" s="37">
        <v>0</v>
      </c>
      <c r="N2174" s="37">
        <v>0</v>
      </c>
      <c r="O2174" s="37">
        <v>0</v>
      </c>
      <c r="P2174" s="37">
        <v>0</v>
      </c>
      <c r="Q2174" s="37">
        <v>56</v>
      </c>
      <c r="R2174" s="37">
        <v>0</v>
      </c>
      <c r="S2174" s="37">
        <v>0</v>
      </c>
      <c r="T2174" s="37">
        <v>0</v>
      </c>
      <c r="U2174" s="37">
        <v>0</v>
      </c>
      <c r="V2174" s="37">
        <v>0</v>
      </c>
      <c r="W2174" s="37">
        <v>0</v>
      </c>
      <c r="X2174" s="37">
        <v>0</v>
      </c>
      <c r="Y2174" t="s">
        <v>1772</v>
      </c>
      <c r="Z2174" t="s">
        <v>1772</v>
      </c>
    </row>
    <row r="2175" spans="1:26" hidden="1" x14ac:dyDescent="0.25">
      <c r="A2175" s="1" t="s">
        <v>40</v>
      </c>
      <c r="B2175" t="s">
        <v>110</v>
      </c>
      <c r="C2175" t="s">
        <v>27</v>
      </c>
      <c r="D2175" t="s">
        <v>27</v>
      </c>
      <c r="E2175" s="2">
        <v>45952</v>
      </c>
      <c r="F2175" s="2">
        <v>45952</v>
      </c>
      <c r="G2175" s="3">
        <v>97</v>
      </c>
      <c r="H2175" s="4" t="s">
        <v>28</v>
      </c>
      <c r="I2175" s="28">
        <v>45</v>
      </c>
      <c r="J2175">
        <v>0</v>
      </c>
      <c r="K2175">
        <v>0</v>
      </c>
      <c r="L2175" s="37">
        <v>1</v>
      </c>
      <c r="M2175" s="37">
        <v>0</v>
      </c>
      <c r="N2175" s="37">
        <v>1</v>
      </c>
      <c r="O2175" s="37">
        <v>0</v>
      </c>
      <c r="P2175" s="37">
        <v>0</v>
      </c>
      <c r="Q2175" s="37">
        <v>0</v>
      </c>
      <c r="R2175" s="37">
        <v>0</v>
      </c>
      <c r="S2175" s="37">
        <v>0</v>
      </c>
      <c r="T2175" s="37">
        <v>0</v>
      </c>
      <c r="U2175" s="37">
        <v>0</v>
      </c>
      <c r="V2175" s="37">
        <v>0</v>
      </c>
      <c r="W2175" s="37">
        <v>0</v>
      </c>
      <c r="X2175" s="37">
        <v>0</v>
      </c>
      <c r="Y2175" t="s">
        <v>1772</v>
      </c>
      <c r="Z2175" t="s">
        <v>1772</v>
      </c>
    </row>
    <row r="2176" spans="1:26" hidden="1" x14ac:dyDescent="0.25">
      <c r="A2176" s="1" t="s">
        <v>36</v>
      </c>
      <c r="B2176" t="s">
        <v>110</v>
      </c>
      <c r="C2176" t="s">
        <v>27</v>
      </c>
      <c r="D2176" t="s">
        <v>27</v>
      </c>
      <c r="E2176" s="2">
        <v>45952</v>
      </c>
      <c r="F2176" s="2">
        <v>45952</v>
      </c>
      <c r="G2176" s="3">
        <v>97</v>
      </c>
      <c r="H2176" s="4" t="s">
        <v>28</v>
      </c>
      <c r="I2176" s="28">
        <v>45</v>
      </c>
      <c r="J2176">
        <v>0</v>
      </c>
      <c r="K2176">
        <v>0</v>
      </c>
      <c r="L2176" s="37">
        <v>1</v>
      </c>
      <c r="M2176" s="37">
        <v>0</v>
      </c>
      <c r="N2176" s="37">
        <v>1</v>
      </c>
      <c r="O2176" s="37">
        <v>0</v>
      </c>
      <c r="P2176" s="37">
        <v>0</v>
      </c>
      <c r="Q2176" s="37">
        <v>0</v>
      </c>
      <c r="R2176" s="37">
        <v>0</v>
      </c>
      <c r="S2176" s="37">
        <v>0</v>
      </c>
      <c r="T2176" s="37">
        <v>0</v>
      </c>
      <c r="U2176" s="37">
        <v>0</v>
      </c>
      <c r="V2176" s="37">
        <v>0</v>
      </c>
      <c r="W2176" s="37">
        <v>0</v>
      </c>
      <c r="X2176" s="37">
        <v>0</v>
      </c>
      <c r="Y2176" t="s">
        <v>1772</v>
      </c>
      <c r="Z2176" t="s">
        <v>1772</v>
      </c>
    </row>
    <row r="2177" spans="1:26" hidden="1" x14ac:dyDescent="0.25">
      <c r="A2177" s="1" t="s">
        <v>1454</v>
      </c>
      <c r="B2177" t="s">
        <v>1455</v>
      </c>
      <c r="C2177" t="s">
        <v>27</v>
      </c>
      <c r="D2177" t="s">
        <v>27</v>
      </c>
      <c r="E2177" s="2">
        <v>45952</v>
      </c>
      <c r="F2177" s="2">
        <v>45952</v>
      </c>
      <c r="G2177" s="3">
        <v>40</v>
      </c>
      <c r="H2177" t="s">
        <v>28</v>
      </c>
      <c r="I2177" s="28">
        <v>47</v>
      </c>
      <c r="J2177">
        <v>0</v>
      </c>
      <c r="K2177">
        <v>0</v>
      </c>
      <c r="L2177" s="37">
        <v>1</v>
      </c>
      <c r="M2177" s="37">
        <v>0</v>
      </c>
      <c r="N2177" s="37">
        <v>0</v>
      </c>
      <c r="O2177" s="37">
        <v>0</v>
      </c>
      <c r="P2177" s="37">
        <v>0</v>
      </c>
      <c r="Q2177" s="37">
        <v>47</v>
      </c>
      <c r="R2177" s="37">
        <v>0</v>
      </c>
      <c r="S2177" s="37">
        <v>0</v>
      </c>
      <c r="T2177" s="37">
        <v>0</v>
      </c>
      <c r="U2177" s="37">
        <v>0</v>
      </c>
      <c r="V2177" s="37">
        <v>0</v>
      </c>
      <c r="W2177" s="37">
        <v>0</v>
      </c>
      <c r="X2177" s="37">
        <v>0</v>
      </c>
      <c r="Y2177" t="s">
        <v>1772</v>
      </c>
      <c r="Z2177" t="s">
        <v>1772</v>
      </c>
    </row>
    <row r="2178" spans="1:26" hidden="1" x14ac:dyDescent="0.25">
      <c r="A2178" s="1" t="s">
        <v>41</v>
      </c>
      <c r="B2178" t="s">
        <v>112</v>
      </c>
      <c r="C2178" t="s">
        <v>42</v>
      </c>
      <c r="D2178" t="s">
        <v>27</v>
      </c>
      <c r="E2178" s="2">
        <v>45952</v>
      </c>
      <c r="F2178" s="2">
        <v>45952</v>
      </c>
      <c r="G2178" s="3">
        <v>84</v>
      </c>
      <c r="H2178" s="4" t="s">
        <v>28</v>
      </c>
      <c r="I2178" s="28">
        <f>38+3</f>
        <v>41</v>
      </c>
      <c r="J2178">
        <v>71</v>
      </c>
      <c r="K2178">
        <v>0</v>
      </c>
      <c r="L2178" s="37">
        <v>1</v>
      </c>
      <c r="M2178" s="37">
        <v>0</v>
      </c>
      <c r="N2178" s="37">
        <v>0</v>
      </c>
      <c r="O2178" s="37">
        <v>0</v>
      </c>
      <c r="P2178" s="37">
        <v>0</v>
      </c>
      <c r="Q2178" s="37">
        <v>0</v>
      </c>
      <c r="R2178" s="37">
        <v>0</v>
      </c>
      <c r="S2178" s="37">
        <v>0</v>
      </c>
      <c r="T2178" s="37">
        <v>0</v>
      </c>
      <c r="U2178" s="37">
        <v>0</v>
      </c>
      <c r="V2178" s="37">
        <v>0</v>
      </c>
      <c r="W2178" s="37">
        <v>0</v>
      </c>
      <c r="X2178" s="37">
        <v>7</v>
      </c>
      <c r="Y2178" t="s">
        <v>1772</v>
      </c>
      <c r="Z2178" t="s">
        <v>1772</v>
      </c>
    </row>
    <row r="2179" spans="1:26" hidden="1" x14ac:dyDescent="0.25">
      <c r="A2179" s="1" t="s">
        <v>43</v>
      </c>
      <c r="B2179" t="s">
        <v>114</v>
      </c>
      <c r="C2179" t="s">
        <v>44</v>
      </c>
      <c r="D2179" t="s">
        <v>27</v>
      </c>
      <c r="E2179" s="2">
        <v>45952</v>
      </c>
      <c r="F2179" s="2">
        <v>45952</v>
      </c>
      <c r="G2179" s="3">
        <v>53</v>
      </c>
      <c r="H2179" s="4" t="s">
        <v>28</v>
      </c>
      <c r="I2179" s="28">
        <v>49</v>
      </c>
      <c r="J2179">
        <v>0</v>
      </c>
      <c r="K2179">
        <v>0</v>
      </c>
      <c r="L2179" s="37">
        <v>0</v>
      </c>
      <c r="M2179" s="37">
        <v>0</v>
      </c>
      <c r="N2179" s="37">
        <v>0</v>
      </c>
      <c r="O2179" s="37">
        <v>0</v>
      </c>
      <c r="P2179" s="37">
        <v>0</v>
      </c>
      <c r="Q2179" s="37">
        <v>0</v>
      </c>
      <c r="R2179" s="37">
        <v>0</v>
      </c>
      <c r="S2179" s="37">
        <v>0</v>
      </c>
      <c r="T2179" s="37">
        <v>0</v>
      </c>
      <c r="U2179" s="37">
        <v>0</v>
      </c>
      <c r="V2179" s="37">
        <v>0</v>
      </c>
      <c r="W2179" s="37">
        <v>0</v>
      </c>
      <c r="X2179" s="37">
        <v>0</v>
      </c>
      <c r="Y2179" t="s">
        <v>1772</v>
      </c>
      <c r="Z2179" t="s">
        <v>1772</v>
      </c>
    </row>
    <row r="2180" spans="1:26" hidden="1" x14ac:dyDescent="0.25">
      <c r="A2180" s="1" t="s">
        <v>45</v>
      </c>
      <c r="B2180" t="s">
        <v>116</v>
      </c>
      <c r="C2180" t="s">
        <v>46</v>
      </c>
      <c r="D2180" t="s">
        <v>27</v>
      </c>
      <c r="E2180" s="2">
        <v>45952</v>
      </c>
      <c r="F2180" s="2">
        <v>45952</v>
      </c>
      <c r="G2180" s="3">
        <v>61</v>
      </c>
      <c r="H2180" s="4" t="s">
        <v>28</v>
      </c>
      <c r="I2180" s="28">
        <f>41+30</f>
        <v>71</v>
      </c>
      <c r="J2180">
        <v>0</v>
      </c>
      <c r="K2180">
        <v>0</v>
      </c>
      <c r="L2180" s="37">
        <v>1</v>
      </c>
      <c r="M2180" s="37">
        <v>0</v>
      </c>
      <c r="N2180" s="37">
        <v>0</v>
      </c>
      <c r="O2180" s="37">
        <v>0</v>
      </c>
      <c r="P2180" s="37">
        <v>0</v>
      </c>
      <c r="Q2180" s="37">
        <v>9</v>
      </c>
      <c r="R2180" s="37">
        <v>0</v>
      </c>
      <c r="S2180" s="37">
        <v>0</v>
      </c>
      <c r="T2180" s="37">
        <v>0</v>
      </c>
      <c r="U2180" s="37">
        <v>0</v>
      </c>
      <c r="V2180" s="37">
        <v>0</v>
      </c>
      <c r="W2180" s="37">
        <v>0</v>
      </c>
      <c r="X2180" s="37">
        <v>0</v>
      </c>
      <c r="Y2180" t="s">
        <v>1772</v>
      </c>
      <c r="Z2180" t="s">
        <v>1772</v>
      </c>
    </row>
    <row r="2181" spans="1:26" hidden="1" x14ac:dyDescent="0.25">
      <c r="A2181" s="1" t="s">
        <v>47</v>
      </c>
      <c r="B2181" t="s">
        <v>137</v>
      </c>
      <c r="C2181" t="s">
        <v>27</v>
      </c>
      <c r="D2181" t="s">
        <v>27</v>
      </c>
      <c r="E2181" s="2">
        <v>45952</v>
      </c>
      <c r="F2181" s="2">
        <v>45952</v>
      </c>
      <c r="G2181" s="3">
        <v>36</v>
      </c>
      <c r="H2181" s="4" t="s">
        <v>28</v>
      </c>
      <c r="I2181" s="28">
        <v>50</v>
      </c>
      <c r="J2181">
        <v>50</v>
      </c>
      <c r="K2181">
        <v>0</v>
      </c>
      <c r="L2181" s="37">
        <v>1</v>
      </c>
      <c r="M2181" s="37">
        <v>0</v>
      </c>
      <c r="N2181" s="37">
        <v>0</v>
      </c>
      <c r="O2181" s="37">
        <v>0</v>
      </c>
      <c r="P2181" s="37">
        <v>0</v>
      </c>
      <c r="Q2181" s="37">
        <v>15</v>
      </c>
      <c r="R2181" s="37">
        <v>0</v>
      </c>
      <c r="S2181" s="37">
        <v>0</v>
      </c>
      <c r="T2181" s="37">
        <v>0</v>
      </c>
      <c r="U2181" s="37">
        <v>0</v>
      </c>
      <c r="V2181" s="37">
        <v>0</v>
      </c>
      <c r="W2181" s="37">
        <v>0</v>
      </c>
      <c r="X2181" s="37">
        <v>3</v>
      </c>
      <c r="Y2181" t="s">
        <v>1772</v>
      </c>
      <c r="Z2181" t="s">
        <v>1772</v>
      </c>
    </row>
    <row r="2182" spans="1:26" hidden="1" x14ac:dyDescent="0.25">
      <c r="A2182" s="1" t="s">
        <v>34</v>
      </c>
      <c r="B2182" t="s">
        <v>137</v>
      </c>
      <c r="C2182" t="s">
        <v>27</v>
      </c>
      <c r="D2182" t="s">
        <v>27</v>
      </c>
      <c r="E2182" s="2">
        <v>45952</v>
      </c>
      <c r="F2182" s="2">
        <v>45952</v>
      </c>
      <c r="G2182" s="3">
        <v>36</v>
      </c>
      <c r="H2182" s="4" t="s">
        <v>28</v>
      </c>
      <c r="I2182" s="28">
        <v>50</v>
      </c>
      <c r="J2182">
        <v>50</v>
      </c>
      <c r="K2182">
        <v>0</v>
      </c>
      <c r="L2182" s="37">
        <v>1</v>
      </c>
      <c r="M2182" s="37">
        <v>0</v>
      </c>
      <c r="N2182" s="37">
        <v>0</v>
      </c>
      <c r="O2182" s="37">
        <v>0</v>
      </c>
      <c r="P2182" s="37">
        <v>0</v>
      </c>
      <c r="Q2182" s="37">
        <v>15</v>
      </c>
      <c r="R2182" s="37">
        <v>0</v>
      </c>
      <c r="S2182" s="37">
        <v>0</v>
      </c>
      <c r="T2182" s="37">
        <v>0</v>
      </c>
      <c r="U2182" s="37">
        <v>0</v>
      </c>
      <c r="V2182" s="37">
        <v>0</v>
      </c>
      <c r="W2182" s="37">
        <v>0</v>
      </c>
      <c r="X2182" s="37">
        <v>3</v>
      </c>
      <c r="Y2182" t="s">
        <v>1772</v>
      </c>
      <c r="Z2182" t="s">
        <v>1772</v>
      </c>
    </row>
    <row r="2183" spans="1:26" hidden="1" x14ac:dyDescent="0.25">
      <c r="A2183" t="s">
        <v>49</v>
      </c>
      <c r="B2183" t="s">
        <v>118</v>
      </c>
      <c r="C2183" t="s">
        <v>50</v>
      </c>
      <c r="D2183" t="s">
        <v>27</v>
      </c>
      <c r="E2183" s="2">
        <v>45952</v>
      </c>
      <c r="F2183" s="2">
        <v>45952</v>
      </c>
      <c r="G2183" s="3">
        <v>27</v>
      </c>
      <c r="H2183" s="4" t="s">
        <v>28</v>
      </c>
      <c r="I2183" s="28">
        <f>42+17</f>
        <v>59</v>
      </c>
      <c r="J2183">
        <v>0</v>
      </c>
      <c r="K2183">
        <v>0</v>
      </c>
      <c r="L2183" s="37">
        <v>1</v>
      </c>
      <c r="M2183" s="37">
        <v>1</v>
      </c>
      <c r="N2183" s="37">
        <v>0</v>
      </c>
      <c r="O2183" s="37">
        <v>0</v>
      </c>
      <c r="P2183" s="37">
        <v>0</v>
      </c>
      <c r="Q2183" s="37">
        <v>47</v>
      </c>
      <c r="R2183" s="37">
        <v>0</v>
      </c>
      <c r="S2183" s="37">
        <v>0</v>
      </c>
      <c r="T2183" s="37">
        <v>0</v>
      </c>
      <c r="U2183" s="37">
        <v>0</v>
      </c>
      <c r="V2183" s="37">
        <v>0</v>
      </c>
      <c r="W2183" s="37">
        <v>0</v>
      </c>
      <c r="X2183" s="37">
        <v>0</v>
      </c>
      <c r="Y2183" t="s">
        <v>1772</v>
      </c>
      <c r="Z2183" t="s">
        <v>1772</v>
      </c>
    </row>
    <row r="2184" spans="1:26" hidden="1" x14ac:dyDescent="0.25">
      <c r="A2184" t="s">
        <v>51</v>
      </c>
      <c r="B2184" t="s">
        <v>120</v>
      </c>
      <c r="C2184" t="s">
        <v>55</v>
      </c>
      <c r="D2184" t="s">
        <v>27</v>
      </c>
      <c r="E2184" s="2">
        <v>45952</v>
      </c>
      <c r="F2184" s="2">
        <v>45952</v>
      </c>
      <c r="G2184" s="3">
        <v>65</v>
      </c>
      <c r="H2184" s="4" t="s">
        <v>28</v>
      </c>
      <c r="I2184" s="28">
        <f>39+7</f>
        <v>46</v>
      </c>
      <c r="J2184">
        <v>0</v>
      </c>
      <c r="K2184">
        <v>0</v>
      </c>
      <c r="L2184" s="37">
        <v>5</v>
      </c>
      <c r="M2184" s="37">
        <v>0</v>
      </c>
      <c r="N2184" s="37">
        <v>1</v>
      </c>
      <c r="O2184" s="37">
        <v>0</v>
      </c>
      <c r="P2184" s="37">
        <v>0</v>
      </c>
      <c r="Q2184" s="37">
        <v>0</v>
      </c>
      <c r="R2184" s="37">
        <v>0</v>
      </c>
      <c r="S2184" s="37">
        <v>0</v>
      </c>
      <c r="T2184" s="37">
        <v>0</v>
      </c>
      <c r="U2184" s="37">
        <v>0</v>
      </c>
      <c r="V2184" s="37">
        <v>0</v>
      </c>
      <c r="W2184" s="37">
        <v>0</v>
      </c>
      <c r="X2184" s="37">
        <v>0</v>
      </c>
      <c r="Y2184" t="s">
        <v>1772</v>
      </c>
      <c r="Z2184" t="s">
        <v>1772</v>
      </c>
    </row>
    <row r="2185" spans="1:26" hidden="1" x14ac:dyDescent="0.25">
      <c r="A2185" t="s">
        <v>54</v>
      </c>
      <c r="B2185" t="s">
        <v>122</v>
      </c>
      <c r="C2185" t="s">
        <v>52</v>
      </c>
      <c r="D2185" t="s">
        <v>27</v>
      </c>
      <c r="E2185" s="2">
        <v>45952</v>
      </c>
      <c r="F2185" s="2">
        <v>45952</v>
      </c>
      <c r="G2185" s="3">
        <v>38</v>
      </c>
      <c r="H2185" s="4" t="s">
        <v>28</v>
      </c>
      <c r="I2185" s="28">
        <f>24+1</f>
        <v>25</v>
      </c>
      <c r="J2185">
        <v>0</v>
      </c>
      <c r="K2185">
        <v>0</v>
      </c>
      <c r="L2185" s="37">
        <v>0</v>
      </c>
      <c r="M2185" s="37">
        <v>0</v>
      </c>
      <c r="N2185" s="37">
        <v>0</v>
      </c>
      <c r="O2185" s="37">
        <v>0</v>
      </c>
      <c r="P2185" s="37">
        <v>0</v>
      </c>
      <c r="Q2185" s="37">
        <v>2</v>
      </c>
      <c r="R2185" s="37">
        <v>0</v>
      </c>
      <c r="S2185" s="37">
        <v>0</v>
      </c>
      <c r="T2185" s="37">
        <v>0</v>
      </c>
      <c r="U2185" s="37">
        <v>0</v>
      </c>
      <c r="V2185" s="37">
        <v>0</v>
      </c>
      <c r="W2185" s="37">
        <v>0</v>
      </c>
      <c r="X2185" s="37">
        <v>0</v>
      </c>
      <c r="Y2185" t="s">
        <v>1772</v>
      </c>
      <c r="Z2185" t="s">
        <v>1772</v>
      </c>
    </row>
    <row r="2186" spans="1:26" hidden="1" x14ac:dyDescent="0.25">
      <c r="A2186" t="s">
        <v>48</v>
      </c>
      <c r="B2186" t="s">
        <v>149</v>
      </c>
      <c r="C2186" t="s">
        <v>35</v>
      </c>
      <c r="D2186" t="s">
        <v>27</v>
      </c>
      <c r="E2186" s="2">
        <v>45952</v>
      </c>
      <c r="F2186" s="2">
        <v>45952</v>
      </c>
      <c r="G2186" s="3">
        <v>468</v>
      </c>
      <c r="H2186" t="s">
        <v>28</v>
      </c>
      <c r="I2186" s="28">
        <v>40</v>
      </c>
      <c r="J2186">
        <v>0</v>
      </c>
      <c r="K2186">
        <v>0</v>
      </c>
      <c r="L2186" s="37">
        <v>0</v>
      </c>
      <c r="M2186" s="37">
        <v>0</v>
      </c>
      <c r="N2186" s="37">
        <v>0</v>
      </c>
      <c r="O2186" s="37">
        <v>0</v>
      </c>
      <c r="P2186" s="37">
        <v>0</v>
      </c>
      <c r="Q2186" s="37">
        <v>0</v>
      </c>
      <c r="R2186" s="37">
        <v>0</v>
      </c>
      <c r="S2186" s="37">
        <v>0</v>
      </c>
      <c r="T2186" s="37">
        <v>0</v>
      </c>
      <c r="U2186" s="37">
        <v>0</v>
      </c>
      <c r="V2186" s="37">
        <v>0</v>
      </c>
      <c r="W2186" s="37">
        <v>0</v>
      </c>
      <c r="X2186" s="37">
        <v>0</v>
      </c>
      <c r="Y2186" t="s">
        <v>1772</v>
      </c>
      <c r="Z2186" t="s">
        <v>1772</v>
      </c>
    </row>
    <row r="2187" spans="1:26" hidden="1" x14ac:dyDescent="0.25">
      <c r="A2187" t="s">
        <v>58</v>
      </c>
      <c r="B2187" t="s">
        <v>144</v>
      </c>
      <c r="C2187" t="s">
        <v>489</v>
      </c>
      <c r="D2187" t="s">
        <v>27</v>
      </c>
      <c r="E2187" s="2">
        <v>45952</v>
      </c>
      <c r="F2187" s="2">
        <v>45952</v>
      </c>
      <c r="G2187" s="3">
        <v>32</v>
      </c>
      <c r="H2187" s="4" t="s">
        <v>28</v>
      </c>
      <c r="I2187" s="28">
        <f>38+23</f>
        <v>61</v>
      </c>
      <c r="J2187">
        <v>0</v>
      </c>
      <c r="K2187">
        <v>0</v>
      </c>
      <c r="L2187" s="37">
        <v>1</v>
      </c>
      <c r="M2187" s="37">
        <v>0</v>
      </c>
      <c r="N2187" s="37">
        <v>0</v>
      </c>
      <c r="O2187" s="37">
        <v>0</v>
      </c>
      <c r="P2187" s="37">
        <v>0</v>
      </c>
      <c r="Q2187" s="37">
        <v>35</v>
      </c>
      <c r="R2187" s="37">
        <v>0</v>
      </c>
      <c r="S2187" s="37">
        <v>0</v>
      </c>
      <c r="T2187" s="37">
        <v>0</v>
      </c>
      <c r="U2187" s="37">
        <v>0</v>
      </c>
      <c r="V2187" s="37">
        <v>0</v>
      </c>
      <c r="W2187" s="37">
        <v>0</v>
      </c>
      <c r="X2187" s="37">
        <v>0</v>
      </c>
      <c r="Y2187" t="s">
        <v>1772</v>
      </c>
      <c r="Z2187" t="s">
        <v>1772</v>
      </c>
    </row>
    <row r="2188" spans="1:26" hidden="1" x14ac:dyDescent="0.25">
      <c r="A2188" s="1" t="s">
        <v>344</v>
      </c>
      <c r="B2188" t="s">
        <v>144</v>
      </c>
      <c r="C2188" t="s">
        <v>27</v>
      </c>
      <c r="D2188" t="s">
        <v>27</v>
      </c>
      <c r="E2188" s="2">
        <v>45952</v>
      </c>
      <c r="F2188" s="2">
        <v>45952</v>
      </c>
      <c r="G2188" s="3">
        <v>32</v>
      </c>
      <c r="H2188" s="4" t="s">
        <v>248</v>
      </c>
      <c r="I2188" s="2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1772</v>
      </c>
      <c r="Z2188" t="s">
        <v>1772</v>
      </c>
    </row>
    <row r="2189" spans="1:26" hidden="1" x14ac:dyDescent="0.25">
      <c r="A2189" t="s">
        <v>25</v>
      </c>
      <c r="B2189" t="s">
        <v>96</v>
      </c>
      <c r="C2189" t="s">
        <v>26</v>
      </c>
      <c r="D2189" t="s">
        <v>27</v>
      </c>
      <c r="E2189" s="2">
        <v>45953</v>
      </c>
      <c r="F2189" s="2">
        <v>45953</v>
      </c>
      <c r="G2189" s="3">
        <v>86</v>
      </c>
      <c r="H2189" s="4" t="s">
        <v>28</v>
      </c>
      <c r="I2189" s="27">
        <f>45+10</f>
        <v>55</v>
      </c>
      <c r="J2189" s="37">
        <v>0</v>
      </c>
      <c r="K2189">
        <v>0</v>
      </c>
      <c r="L2189" s="37">
        <v>1</v>
      </c>
      <c r="M2189" s="37">
        <v>0</v>
      </c>
      <c r="N2189" s="37">
        <v>1</v>
      </c>
      <c r="O2189" s="37">
        <v>0</v>
      </c>
      <c r="P2189">
        <v>0</v>
      </c>
      <c r="Q2189">
        <v>0</v>
      </c>
      <c r="R2189" s="37">
        <v>0</v>
      </c>
      <c r="S2189" s="37">
        <v>0</v>
      </c>
      <c r="T2189">
        <v>0</v>
      </c>
      <c r="U2189">
        <v>0</v>
      </c>
      <c r="V2189" s="37">
        <v>0</v>
      </c>
      <c r="W2189" s="37">
        <v>0</v>
      </c>
      <c r="X2189">
        <v>0</v>
      </c>
      <c r="Y2189" t="s">
        <v>1772</v>
      </c>
    </row>
    <row r="2190" spans="1:26" hidden="1" x14ac:dyDescent="0.25">
      <c r="A2190" s="1" t="s">
        <v>56</v>
      </c>
      <c r="B2190" s="1" t="s">
        <v>98</v>
      </c>
      <c r="C2190" s="1" t="s">
        <v>37</v>
      </c>
      <c r="D2190" t="s">
        <v>27</v>
      </c>
      <c r="E2190" s="2">
        <v>45953</v>
      </c>
      <c r="F2190" s="2">
        <v>45953</v>
      </c>
      <c r="G2190" s="3">
        <v>30</v>
      </c>
      <c r="H2190" s="4" t="s">
        <v>28</v>
      </c>
      <c r="I2190" s="27">
        <f>36+2</f>
        <v>38</v>
      </c>
      <c r="J2190" s="37">
        <v>0</v>
      </c>
      <c r="K2190">
        <v>0</v>
      </c>
      <c r="L2190" s="37">
        <v>1</v>
      </c>
      <c r="M2190" s="37">
        <v>0</v>
      </c>
      <c r="N2190" s="37">
        <v>0</v>
      </c>
      <c r="O2190">
        <v>0</v>
      </c>
      <c r="P2190">
        <v>0</v>
      </c>
      <c r="Q2190">
        <v>10</v>
      </c>
      <c r="R2190" s="37">
        <v>0</v>
      </c>
      <c r="S2190" s="37">
        <v>0</v>
      </c>
      <c r="T2190">
        <v>0</v>
      </c>
      <c r="U2190">
        <v>0</v>
      </c>
      <c r="V2190" s="37">
        <v>0</v>
      </c>
      <c r="W2190" s="37">
        <v>0</v>
      </c>
      <c r="X2190">
        <v>0</v>
      </c>
      <c r="Y2190" t="s">
        <v>1773</v>
      </c>
    </row>
    <row r="2191" spans="1:26" hidden="1" x14ac:dyDescent="0.25">
      <c r="A2191" s="1" t="s">
        <v>29</v>
      </c>
      <c r="B2191" s="1" t="s">
        <v>100</v>
      </c>
      <c r="C2191" s="1" t="s">
        <v>95</v>
      </c>
      <c r="D2191" t="s">
        <v>27</v>
      </c>
      <c r="E2191" s="2">
        <v>45953</v>
      </c>
      <c r="F2191" s="2">
        <v>45953</v>
      </c>
      <c r="G2191" s="3">
        <v>53</v>
      </c>
      <c r="H2191" s="4" t="s">
        <v>28</v>
      </c>
      <c r="I2191" s="27">
        <f>21+5</f>
        <v>26</v>
      </c>
      <c r="J2191" s="37">
        <v>0</v>
      </c>
      <c r="K2191">
        <v>0</v>
      </c>
      <c r="L2191" s="37">
        <v>0</v>
      </c>
      <c r="M2191" s="37">
        <v>0</v>
      </c>
      <c r="N2191" s="37">
        <v>0</v>
      </c>
      <c r="O2191">
        <v>0</v>
      </c>
      <c r="P2191">
        <v>0</v>
      </c>
      <c r="Q2191">
        <v>12</v>
      </c>
      <c r="R2191" s="37">
        <v>0</v>
      </c>
      <c r="S2191" s="37">
        <v>0</v>
      </c>
      <c r="T2191">
        <v>0</v>
      </c>
      <c r="U2191">
        <v>0</v>
      </c>
      <c r="V2191" s="37">
        <v>0</v>
      </c>
      <c r="W2191" s="37">
        <v>0</v>
      </c>
      <c r="X2191">
        <v>0</v>
      </c>
      <c r="Y2191" t="s">
        <v>1774</v>
      </c>
    </row>
    <row r="2192" spans="1:26" hidden="1" x14ac:dyDescent="0.25">
      <c r="A2192" s="1" t="s">
        <v>31</v>
      </c>
      <c r="B2192" s="1" t="s">
        <v>104</v>
      </c>
      <c r="C2192" s="1" t="s">
        <v>32</v>
      </c>
      <c r="D2192" t="s">
        <v>27</v>
      </c>
      <c r="E2192" s="2">
        <v>45953</v>
      </c>
      <c r="F2192" s="2">
        <v>45953</v>
      </c>
      <c r="G2192" s="3">
        <v>40</v>
      </c>
      <c r="H2192" s="4" t="s">
        <v>28</v>
      </c>
      <c r="I2192" s="27">
        <f>66+4</f>
        <v>70</v>
      </c>
      <c r="J2192" s="37">
        <v>0</v>
      </c>
      <c r="K2192">
        <v>0</v>
      </c>
      <c r="L2192" s="37">
        <v>1</v>
      </c>
      <c r="M2192" s="37">
        <v>0</v>
      </c>
      <c r="N2192" s="37">
        <v>0</v>
      </c>
      <c r="O2192">
        <v>0</v>
      </c>
      <c r="P2192">
        <v>0</v>
      </c>
      <c r="Q2192">
        <v>30</v>
      </c>
      <c r="R2192" s="37">
        <v>0</v>
      </c>
      <c r="S2192" s="37">
        <v>0</v>
      </c>
      <c r="T2192">
        <v>0</v>
      </c>
      <c r="U2192">
        <v>0</v>
      </c>
      <c r="V2192" s="37">
        <v>0</v>
      </c>
      <c r="W2192" s="37">
        <v>0</v>
      </c>
      <c r="X2192">
        <v>0</v>
      </c>
      <c r="Y2192" t="s">
        <v>1775</v>
      </c>
    </row>
    <row r="2193" spans="1:25" hidden="1" x14ac:dyDescent="0.25">
      <c r="A2193" s="1" t="s">
        <v>33</v>
      </c>
      <c r="B2193" s="1" t="s">
        <v>106</v>
      </c>
      <c r="C2193" s="1" t="s">
        <v>57</v>
      </c>
      <c r="D2193" t="s">
        <v>27</v>
      </c>
      <c r="E2193" s="2">
        <v>45953</v>
      </c>
      <c r="F2193" s="2">
        <v>45953</v>
      </c>
      <c r="G2193" s="3">
        <v>27</v>
      </c>
      <c r="H2193" s="4" t="s">
        <v>28</v>
      </c>
      <c r="I2193" s="27">
        <f>43+3</f>
        <v>46</v>
      </c>
      <c r="J2193" s="37">
        <v>0</v>
      </c>
      <c r="K2193">
        <v>0</v>
      </c>
      <c r="L2193" s="37">
        <v>0</v>
      </c>
      <c r="M2193" s="37">
        <v>0</v>
      </c>
      <c r="N2193" s="37">
        <v>0</v>
      </c>
      <c r="O2193">
        <v>0</v>
      </c>
      <c r="P2193">
        <v>0</v>
      </c>
      <c r="Q2193">
        <v>0</v>
      </c>
      <c r="R2193" s="37">
        <v>0</v>
      </c>
      <c r="S2193" s="37">
        <v>0</v>
      </c>
      <c r="T2193">
        <v>0</v>
      </c>
      <c r="U2193">
        <v>0</v>
      </c>
      <c r="V2193" s="37">
        <v>0</v>
      </c>
      <c r="W2193" s="37">
        <v>0</v>
      </c>
      <c r="X2193">
        <v>0</v>
      </c>
      <c r="Y2193" t="s">
        <v>1776</v>
      </c>
    </row>
    <row r="2194" spans="1:25" hidden="1" x14ac:dyDescent="0.25">
      <c r="A2194" s="1" t="s">
        <v>38</v>
      </c>
      <c r="B2194" s="1" t="s">
        <v>108</v>
      </c>
      <c r="C2194" s="1" t="s">
        <v>27</v>
      </c>
      <c r="D2194" t="s">
        <v>27</v>
      </c>
      <c r="E2194" s="2">
        <v>45953</v>
      </c>
      <c r="F2194" s="2">
        <v>45953</v>
      </c>
      <c r="G2194" s="3">
        <v>35</v>
      </c>
      <c r="H2194" s="4" t="s">
        <v>28</v>
      </c>
      <c r="I2194" s="27">
        <v>38</v>
      </c>
      <c r="J2194" s="37">
        <v>0</v>
      </c>
      <c r="K2194">
        <v>0</v>
      </c>
      <c r="L2194" s="37">
        <v>0</v>
      </c>
      <c r="M2194" s="37">
        <v>0</v>
      </c>
      <c r="N2194" s="37">
        <v>0</v>
      </c>
      <c r="O2194" s="37">
        <v>0</v>
      </c>
      <c r="P2194">
        <v>0</v>
      </c>
      <c r="Q2194">
        <v>46</v>
      </c>
      <c r="R2194" s="37">
        <v>0</v>
      </c>
      <c r="S2194" s="37">
        <v>0</v>
      </c>
      <c r="T2194">
        <v>0</v>
      </c>
      <c r="U2194">
        <v>0</v>
      </c>
      <c r="V2194" s="37">
        <v>0</v>
      </c>
      <c r="W2194" s="37">
        <v>0</v>
      </c>
      <c r="X2194">
        <v>0</v>
      </c>
      <c r="Y2194" t="s">
        <v>1777</v>
      </c>
    </row>
    <row r="2195" spans="1:25" hidden="1" x14ac:dyDescent="0.25">
      <c r="A2195" s="1" t="s">
        <v>40</v>
      </c>
      <c r="B2195" s="1" t="s">
        <v>110</v>
      </c>
      <c r="C2195" s="1" t="s">
        <v>27</v>
      </c>
      <c r="D2195" t="s">
        <v>27</v>
      </c>
      <c r="E2195" s="2">
        <v>45953</v>
      </c>
      <c r="F2195" s="2">
        <v>45953</v>
      </c>
      <c r="G2195" s="3">
        <v>146</v>
      </c>
      <c r="H2195" s="4" t="s">
        <v>28</v>
      </c>
      <c r="I2195" s="27">
        <f>29+11</f>
        <v>40</v>
      </c>
      <c r="J2195" s="37">
        <v>0</v>
      </c>
      <c r="K2195">
        <v>0</v>
      </c>
      <c r="L2195" s="37">
        <v>1</v>
      </c>
      <c r="M2195" s="37">
        <v>0</v>
      </c>
      <c r="N2195" s="37">
        <v>1</v>
      </c>
      <c r="O2195">
        <v>0</v>
      </c>
      <c r="P2195">
        <v>0</v>
      </c>
      <c r="Q2195">
        <v>0</v>
      </c>
      <c r="R2195" s="37">
        <v>0</v>
      </c>
      <c r="S2195" s="37">
        <v>0</v>
      </c>
      <c r="T2195">
        <v>0</v>
      </c>
      <c r="U2195">
        <v>0</v>
      </c>
      <c r="V2195" s="37">
        <v>0</v>
      </c>
      <c r="W2195" s="37">
        <v>0</v>
      </c>
      <c r="X2195">
        <v>0</v>
      </c>
      <c r="Y2195" t="s">
        <v>1778</v>
      </c>
    </row>
    <row r="2196" spans="1:25" hidden="1" x14ac:dyDescent="0.25">
      <c r="A2196" s="1" t="s">
        <v>36</v>
      </c>
      <c r="B2196" s="1" t="s">
        <v>110</v>
      </c>
      <c r="C2196" s="1" t="s">
        <v>27</v>
      </c>
      <c r="D2196" t="s">
        <v>27</v>
      </c>
      <c r="E2196" s="2">
        <v>45953</v>
      </c>
      <c r="F2196" s="2">
        <v>45953</v>
      </c>
      <c r="G2196" s="3">
        <v>146</v>
      </c>
      <c r="H2196" s="4" t="s">
        <v>28</v>
      </c>
      <c r="I2196" s="27">
        <f>29+11</f>
        <v>40</v>
      </c>
      <c r="J2196" s="37">
        <v>0</v>
      </c>
      <c r="K2196">
        <v>0</v>
      </c>
      <c r="L2196" s="37">
        <v>1</v>
      </c>
      <c r="M2196" s="37">
        <v>0</v>
      </c>
      <c r="N2196" s="37">
        <v>1</v>
      </c>
      <c r="O2196">
        <v>0</v>
      </c>
      <c r="P2196">
        <v>0</v>
      </c>
      <c r="Q2196">
        <v>0</v>
      </c>
      <c r="R2196" s="37">
        <v>0</v>
      </c>
      <c r="S2196" s="37">
        <v>0</v>
      </c>
      <c r="T2196">
        <v>0</v>
      </c>
      <c r="U2196">
        <v>0</v>
      </c>
      <c r="V2196" s="37">
        <v>0</v>
      </c>
      <c r="W2196" s="37">
        <v>0</v>
      </c>
      <c r="X2196">
        <v>0</v>
      </c>
      <c r="Y2196" t="s">
        <v>1778</v>
      </c>
    </row>
    <row r="2197" spans="1:25" hidden="1" x14ac:dyDescent="0.25">
      <c r="A2197" s="1" t="s">
        <v>1454</v>
      </c>
      <c r="B2197" s="1" t="s">
        <v>1455</v>
      </c>
      <c r="C2197" s="1" t="s">
        <v>27</v>
      </c>
      <c r="D2197" t="s">
        <v>27</v>
      </c>
      <c r="E2197" s="2">
        <v>45953</v>
      </c>
      <c r="F2197" s="2">
        <v>45953</v>
      </c>
      <c r="G2197" s="3">
        <v>38</v>
      </c>
      <c r="H2197" t="s">
        <v>28</v>
      </c>
      <c r="I2197" s="27">
        <v>25</v>
      </c>
      <c r="J2197" s="37">
        <v>0</v>
      </c>
      <c r="K2197">
        <v>0</v>
      </c>
      <c r="L2197" s="37">
        <v>1</v>
      </c>
      <c r="M2197" s="37">
        <v>0</v>
      </c>
      <c r="N2197" s="37">
        <v>0</v>
      </c>
      <c r="O2197">
        <v>0</v>
      </c>
      <c r="P2197">
        <v>0</v>
      </c>
      <c r="Q2197">
        <v>25</v>
      </c>
      <c r="R2197" s="37">
        <v>0</v>
      </c>
      <c r="S2197" s="37">
        <v>0</v>
      </c>
      <c r="T2197">
        <v>0</v>
      </c>
      <c r="U2197">
        <v>0</v>
      </c>
      <c r="V2197" s="37">
        <v>0</v>
      </c>
      <c r="W2197" s="37">
        <v>0</v>
      </c>
      <c r="X2197">
        <v>0</v>
      </c>
      <c r="Y2197" t="s">
        <v>1779</v>
      </c>
    </row>
    <row r="2198" spans="1:25" hidden="1" x14ac:dyDescent="0.25">
      <c r="A2198" s="1" t="s">
        <v>41</v>
      </c>
      <c r="B2198" s="1" t="s">
        <v>112</v>
      </c>
      <c r="C2198" s="1" t="s">
        <v>42</v>
      </c>
      <c r="D2198" t="s">
        <v>27</v>
      </c>
      <c r="E2198" s="2">
        <v>45953</v>
      </c>
      <c r="F2198" s="2">
        <v>45953</v>
      </c>
      <c r="G2198" s="3">
        <v>34</v>
      </c>
      <c r="H2198" s="4" t="s">
        <v>28</v>
      </c>
      <c r="I2198" s="27">
        <f>33+2</f>
        <v>35</v>
      </c>
      <c r="J2198" s="37">
        <v>0</v>
      </c>
      <c r="K2198">
        <v>0</v>
      </c>
      <c r="L2198" s="37">
        <v>1</v>
      </c>
      <c r="M2198" s="37">
        <v>0</v>
      </c>
      <c r="N2198" s="37">
        <v>0</v>
      </c>
      <c r="O2198">
        <v>0</v>
      </c>
      <c r="P2198">
        <v>0</v>
      </c>
      <c r="Q2198">
        <v>4</v>
      </c>
      <c r="R2198" s="37">
        <v>0</v>
      </c>
      <c r="S2198" s="37">
        <v>0</v>
      </c>
      <c r="T2198">
        <v>0</v>
      </c>
      <c r="U2198">
        <v>0</v>
      </c>
      <c r="V2198" s="37">
        <v>0</v>
      </c>
      <c r="W2198" s="37">
        <v>0</v>
      </c>
      <c r="X2198">
        <v>0</v>
      </c>
      <c r="Y2198" t="s">
        <v>1780</v>
      </c>
    </row>
    <row r="2199" spans="1:25" hidden="1" x14ac:dyDescent="0.25">
      <c r="A2199" s="1" t="s">
        <v>43</v>
      </c>
      <c r="B2199" s="1" t="s">
        <v>114</v>
      </c>
      <c r="C2199" s="1" t="s">
        <v>44</v>
      </c>
      <c r="D2199" t="s">
        <v>27</v>
      </c>
      <c r="E2199" s="2">
        <v>45953</v>
      </c>
      <c r="F2199" s="2">
        <v>45953</v>
      </c>
      <c r="G2199" s="3">
        <v>26</v>
      </c>
      <c r="H2199" s="4" t="s">
        <v>28</v>
      </c>
      <c r="I2199" s="27">
        <v>53</v>
      </c>
      <c r="J2199" s="37">
        <v>0</v>
      </c>
      <c r="K2199">
        <v>0</v>
      </c>
      <c r="L2199" s="37">
        <v>1</v>
      </c>
      <c r="M2199" s="37">
        <v>0</v>
      </c>
      <c r="N2199" s="37">
        <v>0</v>
      </c>
      <c r="O2199">
        <v>0</v>
      </c>
      <c r="P2199">
        <v>0</v>
      </c>
      <c r="Q2199">
        <v>0</v>
      </c>
      <c r="R2199" s="37">
        <v>0</v>
      </c>
      <c r="S2199" s="37">
        <v>0</v>
      </c>
      <c r="T2199">
        <v>0</v>
      </c>
      <c r="U2199">
        <v>0</v>
      </c>
      <c r="V2199" s="37">
        <v>0</v>
      </c>
      <c r="W2199" s="37">
        <v>0</v>
      </c>
      <c r="X2199">
        <v>0</v>
      </c>
      <c r="Y2199" t="s">
        <v>1781</v>
      </c>
    </row>
    <row r="2200" spans="1:25" hidden="1" x14ac:dyDescent="0.25">
      <c r="A2200" s="1" t="s">
        <v>47</v>
      </c>
      <c r="B2200" s="1" t="s">
        <v>137</v>
      </c>
      <c r="C2200" s="1" t="s">
        <v>27</v>
      </c>
      <c r="D2200" t="s">
        <v>27</v>
      </c>
      <c r="E2200" s="2">
        <v>45953</v>
      </c>
      <c r="F2200" s="2">
        <v>45953</v>
      </c>
      <c r="G2200" s="3">
        <v>30</v>
      </c>
      <c r="H2200" s="4" t="s">
        <v>28</v>
      </c>
      <c r="I2200" s="27">
        <v>38</v>
      </c>
      <c r="J2200" s="37">
        <v>0</v>
      </c>
      <c r="K2200">
        <v>0</v>
      </c>
      <c r="L2200" s="37">
        <v>1</v>
      </c>
      <c r="M2200" s="37">
        <v>0</v>
      </c>
      <c r="N2200" s="37">
        <v>1</v>
      </c>
      <c r="O2200">
        <v>0</v>
      </c>
      <c r="P2200">
        <v>0</v>
      </c>
      <c r="Q2200">
        <v>15</v>
      </c>
      <c r="R2200" s="37">
        <v>0</v>
      </c>
      <c r="S2200" s="37">
        <v>0</v>
      </c>
      <c r="T2200">
        <v>0</v>
      </c>
      <c r="U2200">
        <v>0</v>
      </c>
      <c r="V2200" s="37">
        <v>0</v>
      </c>
      <c r="W2200" s="37">
        <v>0</v>
      </c>
      <c r="X2200">
        <v>0</v>
      </c>
      <c r="Y2200" t="s">
        <v>1782</v>
      </c>
    </row>
    <row r="2201" spans="1:25" hidden="1" x14ac:dyDescent="0.25">
      <c r="A2201" s="1" t="s">
        <v>34</v>
      </c>
      <c r="B2201" s="1" t="s">
        <v>137</v>
      </c>
      <c r="C2201" s="1" t="s">
        <v>27</v>
      </c>
      <c r="D2201" t="s">
        <v>27</v>
      </c>
      <c r="E2201" s="2">
        <v>45953</v>
      </c>
      <c r="F2201" s="2">
        <v>45953</v>
      </c>
      <c r="G2201" s="3">
        <v>30</v>
      </c>
      <c r="H2201" s="4" t="s">
        <v>28</v>
      </c>
      <c r="I2201" s="27">
        <v>38</v>
      </c>
      <c r="J2201" s="37">
        <v>0</v>
      </c>
      <c r="K2201">
        <v>0</v>
      </c>
      <c r="L2201" s="37">
        <v>1</v>
      </c>
      <c r="M2201" s="37">
        <v>0</v>
      </c>
      <c r="N2201" s="37">
        <v>1</v>
      </c>
      <c r="O2201">
        <v>0</v>
      </c>
      <c r="P2201">
        <v>0</v>
      </c>
      <c r="Q2201">
        <v>15</v>
      </c>
      <c r="R2201" s="37">
        <v>0</v>
      </c>
      <c r="S2201" s="37">
        <v>0</v>
      </c>
      <c r="T2201">
        <v>0</v>
      </c>
      <c r="U2201">
        <v>0</v>
      </c>
      <c r="V2201" s="37">
        <v>0</v>
      </c>
      <c r="W2201" s="37">
        <v>0</v>
      </c>
      <c r="X2201">
        <v>0</v>
      </c>
      <c r="Y2201" t="s">
        <v>1782</v>
      </c>
    </row>
    <row r="2202" spans="1:25" hidden="1" x14ac:dyDescent="0.25">
      <c r="A2202" s="1" t="s">
        <v>49</v>
      </c>
      <c r="B2202" s="1" t="s">
        <v>118</v>
      </c>
      <c r="C2202" s="1" t="s">
        <v>50</v>
      </c>
      <c r="D2202" t="s">
        <v>27</v>
      </c>
      <c r="E2202" s="2">
        <v>45953</v>
      </c>
      <c r="F2202" s="2">
        <v>45953</v>
      </c>
      <c r="G2202" s="3">
        <v>69</v>
      </c>
      <c r="H2202" s="4" t="s">
        <v>28</v>
      </c>
      <c r="I2202" s="27">
        <f>38+2</f>
        <v>40</v>
      </c>
      <c r="J2202" s="37">
        <v>0</v>
      </c>
      <c r="K2202">
        <v>0</v>
      </c>
      <c r="L2202" s="37">
        <v>1</v>
      </c>
      <c r="M2202" s="37">
        <v>1</v>
      </c>
      <c r="N2202" s="37">
        <v>0</v>
      </c>
      <c r="O2202">
        <v>1</v>
      </c>
      <c r="P2202">
        <v>0</v>
      </c>
      <c r="Q2202">
        <v>49</v>
      </c>
      <c r="R2202" s="37">
        <v>0</v>
      </c>
      <c r="S2202" s="37">
        <v>0</v>
      </c>
      <c r="T2202">
        <v>0</v>
      </c>
      <c r="U2202">
        <v>0</v>
      </c>
      <c r="V2202" s="37">
        <v>0</v>
      </c>
      <c r="W2202" s="37">
        <v>0</v>
      </c>
      <c r="X2202">
        <v>0</v>
      </c>
      <c r="Y2202" t="s">
        <v>1783</v>
      </c>
    </row>
    <row r="2203" spans="1:25" hidden="1" x14ac:dyDescent="0.25">
      <c r="A2203" s="15" t="s">
        <v>51</v>
      </c>
      <c r="B2203" s="15" t="s">
        <v>120</v>
      </c>
      <c r="C2203" s="15" t="s">
        <v>55</v>
      </c>
      <c r="D2203" s="4" t="s">
        <v>27</v>
      </c>
      <c r="E2203" s="29">
        <v>45953</v>
      </c>
      <c r="F2203" s="29">
        <v>45953</v>
      </c>
      <c r="G2203" s="30">
        <v>46</v>
      </c>
      <c r="H2203" s="4" t="s">
        <v>28</v>
      </c>
      <c r="I2203" s="31">
        <v>42</v>
      </c>
      <c r="J2203" s="39">
        <v>0</v>
      </c>
      <c r="K2203" s="4">
        <v>0</v>
      </c>
      <c r="L2203" s="39">
        <v>1</v>
      </c>
      <c r="M2203" s="39">
        <v>0</v>
      </c>
      <c r="N2203" s="39">
        <v>1</v>
      </c>
      <c r="O2203" s="4">
        <v>0</v>
      </c>
      <c r="P2203" s="4">
        <v>0</v>
      </c>
      <c r="Q2203" s="4">
        <v>0</v>
      </c>
      <c r="R2203" s="39">
        <v>0</v>
      </c>
      <c r="S2203" s="39">
        <v>0</v>
      </c>
      <c r="T2203" s="4">
        <v>0</v>
      </c>
      <c r="U2203" s="4">
        <v>0</v>
      </c>
      <c r="V2203" s="39">
        <v>0</v>
      </c>
      <c r="W2203" s="39">
        <v>0</v>
      </c>
      <c r="X2203" s="4">
        <v>0</v>
      </c>
      <c r="Y2203" s="4" t="s">
        <v>1784</v>
      </c>
    </row>
    <row r="2204" spans="1:25" hidden="1" x14ac:dyDescent="0.25">
      <c r="A2204" s="1" t="s">
        <v>48</v>
      </c>
      <c r="B2204" s="1" t="s">
        <v>149</v>
      </c>
      <c r="C2204" s="1" t="s">
        <v>35</v>
      </c>
      <c r="D2204" t="s">
        <v>27</v>
      </c>
      <c r="E2204" s="2">
        <v>45953</v>
      </c>
      <c r="F2204" s="2">
        <v>45953</v>
      </c>
      <c r="G2204" s="3">
        <v>54</v>
      </c>
      <c r="H2204" t="s">
        <v>28</v>
      </c>
      <c r="I2204" s="27">
        <v>55</v>
      </c>
      <c r="J2204" s="37">
        <v>0</v>
      </c>
      <c r="K2204">
        <v>0</v>
      </c>
      <c r="L2204" s="37">
        <v>0</v>
      </c>
      <c r="M2204" s="37">
        <v>0</v>
      </c>
      <c r="N2204" s="37">
        <v>0</v>
      </c>
      <c r="O2204">
        <v>0</v>
      </c>
      <c r="P2204">
        <v>0</v>
      </c>
      <c r="Q2204">
        <v>0</v>
      </c>
      <c r="R2204" s="37">
        <v>0</v>
      </c>
      <c r="S2204" s="37">
        <v>0</v>
      </c>
      <c r="T2204">
        <v>0</v>
      </c>
      <c r="U2204">
        <v>0</v>
      </c>
      <c r="V2204" s="37">
        <v>0</v>
      </c>
      <c r="W2204" s="37">
        <v>0</v>
      </c>
      <c r="X2204">
        <v>0</v>
      </c>
      <c r="Y2204" t="s">
        <v>1785</v>
      </c>
    </row>
    <row r="2205" spans="1:25" hidden="1" x14ac:dyDescent="0.25">
      <c r="A2205" s="1" t="s">
        <v>58</v>
      </c>
      <c r="B2205" s="1" t="s">
        <v>144</v>
      </c>
      <c r="C2205" s="1" t="s">
        <v>46</v>
      </c>
      <c r="D2205" t="s">
        <v>27</v>
      </c>
      <c r="E2205" s="2">
        <v>45953</v>
      </c>
      <c r="F2205" s="2">
        <v>45953</v>
      </c>
      <c r="G2205" s="3">
        <v>125</v>
      </c>
      <c r="H2205" s="4" t="s">
        <v>28</v>
      </c>
      <c r="I2205" s="27">
        <v>28</v>
      </c>
      <c r="J2205" s="37">
        <v>0</v>
      </c>
      <c r="K2205">
        <v>0</v>
      </c>
      <c r="L2205" s="37">
        <v>1</v>
      </c>
      <c r="M2205" s="37">
        <v>0</v>
      </c>
      <c r="N2205" s="37">
        <v>0</v>
      </c>
      <c r="O2205">
        <v>0</v>
      </c>
      <c r="P2205">
        <v>0</v>
      </c>
      <c r="Q2205">
        <v>25</v>
      </c>
      <c r="R2205" s="37">
        <v>1</v>
      </c>
      <c r="S2205" s="37">
        <v>0</v>
      </c>
      <c r="T2205">
        <v>0</v>
      </c>
      <c r="U2205">
        <v>0</v>
      </c>
      <c r="V2205" s="37">
        <v>0</v>
      </c>
      <c r="W2205" s="37">
        <v>0</v>
      </c>
      <c r="X2205">
        <v>0</v>
      </c>
      <c r="Y2205" t="s">
        <v>1786</v>
      </c>
    </row>
    <row r="2206" spans="1:25" hidden="1" x14ac:dyDescent="0.25">
      <c r="A2206" t="s">
        <v>25</v>
      </c>
      <c r="B2206" t="s">
        <v>96</v>
      </c>
      <c r="C2206" t="s">
        <v>26</v>
      </c>
      <c r="D2206" t="s">
        <v>27</v>
      </c>
      <c r="E2206" s="2">
        <v>45954</v>
      </c>
      <c r="F2206" s="2">
        <v>45954</v>
      </c>
      <c r="G2206" s="3">
        <v>63</v>
      </c>
      <c r="H2206" s="4" t="s">
        <v>28</v>
      </c>
      <c r="I2206" s="33">
        <v>38</v>
      </c>
      <c r="J2206">
        <v>0</v>
      </c>
      <c r="K2206">
        <v>0</v>
      </c>
      <c r="L2206" s="37">
        <v>1</v>
      </c>
      <c r="M2206" s="37">
        <v>0</v>
      </c>
      <c r="N2206" s="37">
        <v>1</v>
      </c>
      <c r="O2206" s="37">
        <v>0</v>
      </c>
      <c r="P2206" s="37">
        <v>0</v>
      </c>
      <c r="Q2206" s="37">
        <v>0</v>
      </c>
      <c r="R2206" s="37">
        <v>0</v>
      </c>
      <c r="S2206" s="37">
        <v>0</v>
      </c>
      <c r="T2206" s="37">
        <v>0</v>
      </c>
      <c r="U2206" s="37">
        <v>0</v>
      </c>
      <c r="V2206" s="37">
        <v>0</v>
      </c>
      <c r="W2206" s="37">
        <v>0</v>
      </c>
      <c r="X2206" s="37">
        <v>0</v>
      </c>
      <c r="Y2206" t="s">
        <v>1787</v>
      </c>
    </row>
    <row r="2207" spans="1:25" hidden="1" x14ac:dyDescent="0.25">
      <c r="A2207" t="s">
        <v>56</v>
      </c>
      <c r="B2207" t="s">
        <v>98</v>
      </c>
      <c r="C2207" t="s">
        <v>37</v>
      </c>
      <c r="D2207" t="s">
        <v>27</v>
      </c>
      <c r="E2207" s="2">
        <v>45954</v>
      </c>
      <c r="F2207" s="2">
        <v>45954</v>
      </c>
      <c r="G2207" s="3">
        <v>29</v>
      </c>
      <c r="H2207" s="4" t="s">
        <v>28</v>
      </c>
      <c r="I2207" s="33">
        <v>82</v>
      </c>
      <c r="J2207">
        <v>0</v>
      </c>
      <c r="K2207">
        <v>0</v>
      </c>
      <c r="L2207" s="37">
        <v>1</v>
      </c>
      <c r="M2207" s="37">
        <v>0</v>
      </c>
      <c r="N2207" s="37">
        <v>0</v>
      </c>
      <c r="O2207" s="37">
        <v>0</v>
      </c>
      <c r="P2207" s="37">
        <v>0</v>
      </c>
      <c r="Q2207" s="37">
        <v>10</v>
      </c>
      <c r="R2207" s="37">
        <v>0</v>
      </c>
      <c r="S2207" s="37">
        <v>0</v>
      </c>
      <c r="T2207" s="37">
        <v>0</v>
      </c>
      <c r="U2207" s="37">
        <v>0</v>
      </c>
      <c r="V2207" s="37">
        <v>0</v>
      </c>
      <c r="W2207" s="37">
        <v>0</v>
      </c>
      <c r="X2207" s="37">
        <v>0</v>
      </c>
      <c r="Y2207" t="s">
        <v>1788</v>
      </c>
    </row>
    <row r="2208" spans="1:25" hidden="1" x14ac:dyDescent="0.25">
      <c r="A2208" t="s">
        <v>29</v>
      </c>
      <c r="B2208" t="s">
        <v>100</v>
      </c>
      <c r="C2208" t="s">
        <v>95</v>
      </c>
      <c r="D2208" t="s">
        <v>27</v>
      </c>
      <c r="E2208" s="2">
        <v>45954</v>
      </c>
      <c r="F2208" s="2">
        <v>45954</v>
      </c>
      <c r="G2208" s="3">
        <v>31</v>
      </c>
      <c r="H2208" s="4" t="s">
        <v>28</v>
      </c>
      <c r="I2208" s="33">
        <f>69+1</f>
        <v>70</v>
      </c>
      <c r="J2208">
        <v>0</v>
      </c>
      <c r="K2208">
        <v>0</v>
      </c>
      <c r="L2208" s="37">
        <v>1</v>
      </c>
      <c r="M2208" s="37">
        <v>0</v>
      </c>
      <c r="N2208" s="37">
        <v>0</v>
      </c>
      <c r="O2208" s="37">
        <v>0</v>
      </c>
      <c r="P2208" s="37">
        <v>0</v>
      </c>
      <c r="Q2208" s="37">
        <v>15</v>
      </c>
      <c r="R2208" s="37">
        <v>0</v>
      </c>
      <c r="S2208" s="37">
        <v>0</v>
      </c>
      <c r="T2208" s="37">
        <v>0</v>
      </c>
      <c r="U2208" s="37">
        <v>0</v>
      </c>
      <c r="V2208" s="37">
        <v>0</v>
      </c>
      <c r="W2208" s="37">
        <v>0</v>
      </c>
      <c r="X2208" s="37">
        <v>0</v>
      </c>
      <c r="Y2208" t="s">
        <v>1789</v>
      </c>
    </row>
    <row r="2209" spans="1:26" hidden="1" x14ac:dyDescent="0.25">
      <c r="A2209" t="s">
        <v>31</v>
      </c>
      <c r="B2209" t="s">
        <v>104</v>
      </c>
      <c r="C2209" t="s">
        <v>32</v>
      </c>
      <c r="D2209" t="s">
        <v>27</v>
      </c>
      <c r="E2209" s="2">
        <v>45954</v>
      </c>
      <c r="F2209" s="2">
        <v>45954</v>
      </c>
      <c r="G2209" s="3">
        <v>36</v>
      </c>
      <c r="H2209" s="4" t="s">
        <v>28</v>
      </c>
      <c r="I2209" s="33">
        <v>80</v>
      </c>
      <c r="J2209">
        <v>0</v>
      </c>
      <c r="K2209">
        <v>0</v>
      </c>
      <c r="L2209" s="37">
        <v>1</v>
      </c>
      <c r="M2209" s="37">
        <v>0</v>
      </c>
      <c r="N2209" s="37">
        <v>0</v>
      </c>
      <c r="O2209" s="37">
        <v>0</v>
      </c>
      <c r="P2209" s="37">
        <v>0</v>
      </c>
      <c r="Q2209" s="37">
        <v>38</v>
      </c>
      <c r="R2209" s="37">
        <v>0</v>
      </c>
      <c r="S2209" s="37">
        <v>0</v>
      </c>
      <c r="T2209" s="37">
        <v>0</v>
      </c>
      <c r="U2209" s="37">
        <v>0</v>
      </c>
      <c r="V2209" s="37">
        <v>0</v>
      </c>
      <c r="W2209" s="37">
        <v>0</v>
      </c>
      <c r="X2209" s="37">
        <v>1</v>
      </c>
      <c r="Y2209" t="s">
        <v>1790</v>
      </c>
    </row>
    <row r="2210" spans="1:26" hidden="1" x14ac:dyDescent="0.25">
      <c r="A2210" t="s">
        <v>33</v>
      </c>
      <c r="B2210" t="s">
        <v>106</v>
      </c>
      <c r="C2210" t="s">
        <v>57</v>
      </c>
      <c r="D2210" t="s">
        <v>27</v>
      </c>
      <c r="E2210" s="2">
        <v>45954</v>
      </c>
      <c r="F2210" s="2">
        <v>45954</v>
      </c>
      <c r="G2210" s="3">
        <v>27</v>
      </c>
      <c r="H2210" s="4" t="s">
        <v>28</v>
      </c>
      <c r="I2210" s="33">
        <f>52+2</f>
        <v>54</v>
      </c>
      <c r="J2210">
        <v>0</v>
      </c>
      <c r="K2210">
        <v>0</v>
      </c>
      <c r="L2210" s="37">
        <v>0</v>
      </c>
      <c r="M2210" s="37">
        <v>0</v>
      </c>
      <c r="N2210" s="37">
        <v>0</v>
      </c>
      <c r="O2210" s="37">
        <v>0</v>
      </c>
      <c r="P2210" s="37">
        <v>0</v>
      </c>
      <c r="Q2210" s="37">
        <v>20</v>
      </c>
      <c r="R2210" s="37">
        <v>0</v>
      </c>
      <c r="S2210" s="37">
        <v>0</v>
      </c>
      <c r="T2210" s="37">
        <v>0</v>
      </c>
      <c r="U2210" s="37">
        <v>0</v>
      </c>
      <c r="V2210" s="37">
        <v>0</v>
      </c>
      <c r="W2210" s="37">
        <v>0</v>
      </c>
      <c r="X2210" s="37">
        <v>0</v>
      </c>
      <c r="Y2210" t="s">
        <v>1791</v>
      </c>
    </row>
    <row r="2211" spans="1:26" hidden="1" x14ac:dyDescent="0.25">
      <c r="A2211" t="s">
        <v>38</v>
      </c>
      <c r="B2211" t="s">
        <v>108</v>
      </c>
      <c r="C2211" t="s">
        <v>27</v>
      </c>
      <c r="D2211" t="s">
        <v>27</v>
      </c>
      <c r="E2211" s="2">
        <v>45954</v>
      </c>
      <c r="F2211" s="2">
        <v>45954</v>
      </c>
      <c r="G2211" s="3">
        <v>53</v>
      </c>
      <c r="H2211" s="4" t="s">
        <v>28</v>
      </c>
      <c r="I2211" s="34">
        <v>56</v>
      </c>
      <c r="J2211">
        <v>0</v>
      </c>
      <c r="K2211">
        <v>0</v>
      </c>
      <c r="L2211" s="37">
        <v>0</v>
      </c>
      <c r="M2211" s="37">
        <v>0</v>
      </c>
      <c r="N2211" s="37">
        <v>0</v>
      </c>
      <c r="O2211" s="37">
        <v>0</v>
      </c>
      <c r="P2211" s="37">
        <v>0</v>
      </c>
      <c r="Q2211" s="37">
        <v>56</v>
      </c>
      <c r="R2211" s="37">
        <v>0</v>
      </c>
      <c r="S2211" s="37">
        <v>0</v>
      </c>
      <c r="T2211" s="37">
        <v>0</v>
      </c>
      <c r="U2211" s="37">
        <v>0</v>
      </c>
      <c r="V2211" s="37">
        <v>0</v>
      </c>
      <c r="W2211" s="37">
        <v>0</v>
      </c>
      <c r="X2211" s="37">
        <v>0</v>
      </c>
      <c r="Y2211" t="s">
        <v>1792</v>
      </c>
    </row>
    <row r="2212" spans="1:26" hidden="1" x14ac:dyDescent="0.25">
      <c r="A2212" s="1" t="s">
        <v>40</v>
      </c>
      <c r="B2212" t="s">
        <v>110</v>
      </c>
      <c r="C2212" t="s">
        <v>27</v>
      </c>
      <c r="D2212" t="s">
        <v>27</v>
      </c>
      <c r="E2212" s="2">
        <v>45954</v>
      </c>
      <c r="F2212" s="2">
        <v>45954</v>
      </c>
      <c r="G2212" s="3">
        <v>36</v>
      </c>
      <c r="H2212" s="4" t="s">
        <v>28</v>
      </c>
      <c r="I2212" s="33">
        <f>32+1</f>
        <v>33</v>
      </c>
      <c r="J2212">
        <v>0</v>
      </c>
      <c r="K2212">
        <v>0</v>
      </c>
      <c r="L2212" s="37">
        <v>1</v>
      </c>
      <c r="M2212" s="37">
        <v>0</v>
      </c>
      <c r="N2212" s="37">
        <v>1</v>
      </c>
      <c r="O2212" s="37">
        <v>0</v>
      </c>
      <c r="P2212" s="37">
        <v>0</v>
      </c>
      <c r="Q2212" s="37">
        <v>0</v>
      </c>
      <c r="R2212" s="37">
        <v>0</v>
      </c>
      <c r="S2212" s="37">
        <v>0</v>
      </c>
      <c r="T2212" s="37">
        <v>0</v>
      </c>
      <c r="U2212" s="37">
        <v>0</v>
      </c>
      <c r="V2212" s="37">
        <v>0</v>
      </c>
      <c r="W2212" s="37">
        <v>0</v>
      </c>
      <c r="X2212" s="37">
        <v>0</v>
      </c>
      <c r="Y2212" t="s">
        <v>1793</v>
      </c>
    </row>
    <row r="2213" spans="1:26" hidden="1" x14ac:dyDescent="0.25">
      <c r="A2213" s="1" t="s">
        <v>36</v>
      </c>
      <c r="B2213" t="s">
        <v>110</v>
      </c>
      <c r="C2213" t="s">
        <v>27</v>
      </c>
      <c r="D2213" t="s">
        <v>27</v>
      </c>
      <c r="E2213" s="2">
        <v>45954</v>
      </c>
      <c r="F2213" s="2">
        <v>45954</v>
      </c>
      <c r="G2213" s="3">
        <v>36</v>
      </c>
      <c r="H2213" s="4" t="s">
        <v>28</v>
      </c>
      <c r="I2213" s="33">
        <v>33</v>
      </c>
      <c r="J2213">
        <v>0</v>
      </c>
      <c r="K2213">
        <v>0</v>
      </c>
      <c r="L2213" s="37">
        <v>1</v>
      </c>
      <c r="M2213" s="37">
        <v>0</v>
      </c>
      <c r="N2213" s="37">
        <v>1</v>
      </c>
      <c r="O2213" s="37">
        <v>0</v>
      </c>
      <c r="P2213" s="37">
        <v>0</v>
      </c>
      <c r="Q2213" s="37">
        <v>0</v>
      </c>
      <c r="R2213" s="37">
        <v>0</v>
      </c>
      <c r="S2213" s="37">
        <v>0</v>
      </c>
      <c r="T2213" s="37">
        <v>0</v>
      </c>
      <c r="U2213" s="37">
        <v>0</v>
      </c>
      <c r="V2213" s="37">
        <v>0</v>
      </c>
      <c r="W2213" s="37">
        <v>0</v>
      </c>
      <c r="X2213" s="37">
        <v>0</v>
      </c>
      <c r="Y2213" t="s">
        <v>1793</v>
      </c>
    </row>
    <row r="2214" spans="1:26" hidden="1" x14ac:dyDescent="0.25">
      <c r="A2214" s="1" t="s">
        <v>1454</v>
      </c>
      <c r="B2214" t="s">
        <v>1455</v>
      </c>
      <c r="C2214" t="s">
        <v>27</v>
      </c>
      <c r="D2214" t="s">
        <v>27</v>
      </c>
      <c r="E2214" s="2">
        <v>45954</v>
      </c>
      <c r="F2214" s="2">
        <v>45954</v>
      </c>
      <c r="G2214" s="3">
        <v>86</v>
      </c>
      <c r="H2214" t="s">
        <v>28</v>
      </c>
      <c r="I2214" s="34">
        <v>50</v>
      </c>
      <c r="J2214">
        <v>0</v>
      </c>
      <c r="K2214">
        <v>0</v>
      </c>
      <c r="L2214" s="37">
        <v>1</v>
      </c>
      <c r="M2214" s="37">
        <v>0</v>
      </c>
      <c r="N2214" s="37">
        <v>0</v>
      </c>
      <c r="O2214" s="37">
        <v>0</v>
      </c>
      <c r="P2214" s="37">
        <v>0</v>
      </c>
      <c r="Q2214" s="37">
        <v>50</v>
      </c>
      <c r="R2214" s="37">
        <v>0</v>
      </c>
      <c r="S2214" s="37">
        <v>0</v>
      </c>
      <c r="T2214" s="37">
        <v>0</v>
      </c>
      <c r="U2214" s="37">
        <v>0</v>
      </c>
      <c r="V2214" s="37">
        <v>0</v>
      </c>
      <c r="W2214" s="37">
        <v>0</v>
      </c>
      <c r="X2214" s="37">
        <v>0</v>
      </c>
      <c r="Y2214" t="s">
        <v>1794</v>
      </c>
    </row>
    <row r="2215" spans="1:26" hidden="1" x14ac:dyDescent="0.25">
      <c r="A2215" s="1" t="s">
        <v>41</v>
      </c>
      <c r="B2215" t="s">
        <v>112</v>
      </c>
      <c r="C2215" t="s">
        <v>42</v>
      </c>
      <c r="D2215" t="s">
        <v>27</v>
      </c>
      <c r="E2215" s="2">
        <v>45954</v>
      </c>
      <c r="F2215" s="2">
        <v>45954</v>
      </c>
      <c r="G2215" s="3">
        <v>96</v>
      </c>
      <c r="H2215" s="4" t="s">
        <v>28</v>
      </c>
      <c r="I2215" s="33">
        <f>36+8</f>
        <v>44</v>
      </c>
      <c r="J2215">
        <v>0</v>
      </c>
      <c r="K2215">
        <v>0</v>
      </c>
      <c r="L2215" s="37">
        <v>1</v>
      </c>
      <c r="M2215" s="37">
        <v>0</v>
      </c>
      <c r="N2215" s="37">
        <v>0</v>
      </c>
      <c r="O2215" s="37">
        <v>0</v>
      </c>
      <c r="P2215" s="37">
        <v>0</v>
      </c>
      <c r="Q2215" s="37">
        <v>1</v>
      </c>
      <c r="R2215" s="37">
        <v>0</v>
      </c>
      <c r="S2215" s="37">
        <v>0</v>
      </c>
      <c r="T2215" s="37">
        <v>0</v>
      </c>
      <c r="U2215" s="37">
        <v>0</v>
      </c>
      <c r="V2215" s="37">
        <v>0</v>
      </c>
      <c r="W2215" s="37">
        <v>0</v>
      </c>
      <c r="X2215" s="37">
        <v>0</v>
      </c>
      <c r="Y2215" t="s">
        <v>1795</v>
      </c>
    </row>
    <row r="2216" spans="1:26" hidden="1" x14ac:dyDescent="0.25">
      <c r="A2216" s="1" t="s">
        <v>43</v>
      </c>
      <c r="B2216" t="s">
        <v>114</v>
      </c>
      <c r="C2216" t="s">
        <v>44</v>
      </c>
      <c r="D2216" t="s">
        <v>27</v>
      </c>
      <c r="E2216" s="2">
        <v>45954</v>
      </c>
      <c r="F2216" s="2">
        <v>45954</v>
      </c>
      <c r="G2216" s="3">
        <v>27</v>
      </c>
      <c r="H2216" s="4" t="s">
        <v>28</v>
      </c>
      <c r="I2216" s="33">
        <v>55</v>
      </c>
      <c r="J2216">
        <v>0</v>
      </c>
      <c r="K2216">
        <v>0</v>
      </c>
      <c r="L2216" s="37">
        <v>0</v>
      </c>
      <c r="M2216" s="37">
        <v>0</v>
      </c>
      <c r="N2216" s="37">
        <v>0</v>
      </c>
      <c r="O2216" s="37">
        <v>0</v>
      </c>
      <c r="P2216" s="37">
        <v>0</v>
      </c>
      <c r="Q2216" s="37">
        <v>0</v>
      </c>
      <c r="R2216" s="37">
        <v>0</v>
      </c>
      <c r="S2216" s="37">
        <v>0</v>
      </c>
      <c r="T2216" s="37">
        <v>0</v>
      </c>
      <c r="U2216" s="37">
        <v>0</v>
      </c>
      <c r="V2216" s="37">
        <v>0</v>
      </c>
      <c r="W2216" s="37">
        <v>0</v>
      </c>
      <c r="X2216" s="37">
        <v>0</v>
      </c>
      <c r="Y2216" t="s">
        <v>1796</v>
      </c>
    </row>
    <row r="2217" spans="1:26" hidden="1" x14ac:dyDescent="0.25">
      <c r="A2217" s="1" t="s">
        <v>45</v>
      </c>
      <c r="B2217" t="s">
        <v>116</v>
      </c>
      <c r="C2217" t="s">
        <v>46</v>
      </c>
      <c r="D2217" t="s">
        <v>27</v>
      </c>
      <c r="E2217" s="2">
        <v>45953</v>
      </c>
      <c r="F2217" s="2">
        <v>45953</v>
      </c>
      <c r="G2217" s="3">
        <v>61</v>
      </c>
      <c r="H2217" s="4" t="s">
        <v>1448</v>
      </c>
      <c r="I2217" s="28">
        <v>0</v>
      </c>
      <c r="J2217">
        <v>0</v>
      </c>
      <c r="K2217">
        <v>0</v>
      </c>
      <c r="L2217" s="37">
        <v>0</v>
      </c>
      <c r="M2217" s="37">
        <v>0</v>
      </c>
      <c r="N2217" s="37">
        <v>0</v>
      </c>
      <c r="O2217" s="37">
        <v>0</v>
      </c>
      <c r="P2217" s="37">
        <v>0</v>
      </c>
      <c r="Q2217" s="37">
        <v>0</v>
      </c>
      <c r="R2217" s="37">
        <v>0</v>
      </c>
      <c r="S2217" s="37">
        <v>0</v>
      </c>
      <c r="T2217" s="37">
        <v>0</v>
      </c>
      <c r="U2217" s="37">
        <v>0</v>
      </c>
      <c r="V2217" s="37">
        <v>0</v>
      </c>
      <c r="W2217" s="37">
        <v>0</v>
      </c>
      <c r="X2217" s="37">
        <v>0</v>
      </c>
      <c r="Y2217" t="s">
        <v>1772</v>
      </c>
      <c r="Z2217" t="s">
        <v>1772</v>
      </c>
    </row>
    <row r="2218" spans="1:26" hidden="1" x14ac:dyDescent="0.25">
      <c r="A2218" s="1" t="s">
        <v>45</v>
      </c>
      <c r="B2218" t="s">
        <v>116</v>
      </c>
      <c r="C2218" t="s">
        <v>27</v>
      </c>
      <c r="D2218" t="s">
        <v>27</v>
      </c>
      <c r="E2218" s="2">
        <v>45954</v>
      </c>
      <c r="F2218" s="2">
        <v>45954</v>
      </c>
      <c r="G2218" s="3">
        <v>61</v>
      </c>
      <c r="H2218" s="4" t="s">
        <v>28</v>
      </c>
      <c r="I2218" s="33">
        <f>46+32</f>
        <v>78</v>
      </c>
      <c r="J2218">
        <v>0</v>
      </c>
      <c r="K2218">
        <v>0</v>
      </c>
      <c r="L2218" s="37">
        <v>1</v>
      </c>
      <c r="M2218" s="37">
        <v>0</v>
      </c>
      <c r="N2218" s="37">
        <v>0</v>
      </c>
      <c r="O2218" s="37">
        <v>0</v>
      </c>
      <c r="P2218" s="37">
        <v>0</v>
      </c>
      <c r="Q2218" s="37">
        <v>9</v>
      </c>
      <c r="R2218" s="37">
        <v>0</v>
      </c>
      <c r="S2218" s="37">
        <v>0</v>
      </c>
      <c r="T2218" s="37">
        <v>0</v>
      </c>
      <c r="U2218" s="37">
        <v>0</v>
      </c>
      <c r="V2218" s="37">
        <v>0</v>
      </c>
      <c r="W2218" s="37">
        <v>0</v>
      </c>
      <c r="X2218" s="37">
        <v>0</v>
      </c>
      <c r="Y2218" t="s">
        <v>1797</v>
      </c>
    </row>
    <row r="2219" spans="1:26" hidden="1" x14ac:dyDescent="0.25">
      <c r="A2219" s="1" t="s">
        <v>47</v>
      </c>
      <c r="B2219" t="s">
        <v>137</v>
      </c>
      <c r="C2219" t="s">
        <v>27</v>
      </c>
      <c r="D2219" t="s">
        <v>27</v>
      </c>
      <c r="E2219" s="2">
        <v>45954</v>
      </c>
      <c r="F2219" s="2">
        <v>45954</v>
      </c>
      <c r="G2219" s="3">
        <v>40</v>
      </c>
      <c r="H2219" s="4" t="s">
        <v>28</v>
      </c>
      <c r="I2219" s="33">
        <v>52</v>
      </c>
      <c r="J2219">
        <v>0</v>
      </c>
      <c r="K2219">
        <v>0</v>
      </c>
      <c r="L2219" s="37">
        <v>1</v>
      </c>
      <c r="M2219" s="37">
        <v>0</v>
      </c>
      <c r="N2219" s="37">
        <v>1</v>
      </c>
      <c r="O2219" s="37">
        <v>0</v>
      </c>
      <c r="P2219" s="37">
        <v>0</v>
      </c>
      <c r="Q2219" s="37">
        <v>15</v>
      </c>
      <c r="R2219" s="37">
        <v>0</v>
      </c>
      <c r="S2219" s="37">
        <v>0</v>
      </c>
      <c r="T2219" s="37">
        <v>0</v>
      </c>
      <c r="U2219" s="37">
        <v>0</v>
      </c>
      <c r="V2219" s="37">
        <v>0</v>
      </c>
      <c r="W2219" s="37">
        <v>0</v>
      </c>
      <c r="X2219" s="37">
        <v>0</v>
      </c>
      <c r="Y2219" t="s">
        <v>1798</v>
      </c>
    </row>
    <row r="2220" spans="1:26" hidden="1" x14ac:dyDescent="0.25">
      <c r="A2220" s="1" t="s">
        <v>34</v>
      </c>
      <c r="B2220" t="s">
        <v>137</v>
      </c>
      <c r="C2220" t="s">
        <v>34</v>
      </c>
      <c r="D2220" t="s">
        <v>27</v>
      </c>
      <c r="E2220" s="2">
        <v>45954</v>
      </c>
      <c r="F2220" s="2">
        <v>45954</v>
      </c>
      <c r="G2220" s="3">
        <v>40</v>
      </c>
      <c r="H2220" s="4" t="s">
        <v>28</v>
      </c>
      <c r="I2220" s="33">
        <v>52</v>
      </c>
      <c r="J2220">
        <v>0</v>
      </c>
      <c r="K2220">
        <v>0</v>
      </c>
      <c r="L2220" s="37">
        <v>1</v>
      </c>
      <c r="M2220" s="37">
        <v>0</v>
      </c>
      <c r="N2220" s="37">
        <v>1</v>
      </c>
      <c r="O2220" s="37">
        <v>0</v>
      </c>
      <c r="P2220" s="37">
        <v>0</v>
      </c>
      <c r="Q2220" s="37">
        <v>15</v>
      </c>
      <c r="R2220" s="37">
        <v>0</v>
      </c>
      <c r="S2220" s="37">
        <v>0</v>
      </c>
      <c r="T2220" s="37">
        <v>0</v>
      </c>
      <c r="U2220" s="37">
        <v>0</v>
      </c>
      <c r="V2220" s="37">
        <v>0</v>
      </c>
      <c r="W2220" s="37">
        <v>0</v>
      </c>
      <c r="X2220" s="37">
        <v>0</v>
      </c>
      <c r="Y2220" t="s">
        <v>1798</v>
      </c>
    </row>
    <row r="2221" spans="1:26" hidden="1" x14ac:dyDescent="0.25">
      <c r="A2221" s="1" t="s">
        <v>49</v>
      </c>
      <c r="B2221" t="s">
        <v>118</v>
      </c>
      <c r="C2221" t="s">
        <v>50</v>
      </c>
      <c r="D2221" t="s">
        <v>27</v>
      </c>
      <c r="E2221" s="2">
        <v>45954</v>
      </c>
      <c r="F2221" s="2">
        <v>45954</v>
      </c>
      <c r="G2221" s="3">
        <v>25</v>
      </c>
      <c r="H2221" s="4" t="s">
        <v>28</v>
      </c>
      <c r="I2221" s="33">
        <f>38+17</f>
        <v>55</v>
      </c>
      <c r="J2221">
        <v>0</v>
      </c>
      <c r="K2221">
        <v>0</v>
      </c>
      <c r="L2221" s="37">
        <v>1</v>
      </c>
      <c r="M2221" s="37">
        <v>1</v>
      </c>
      <c r="N2221" s="37">
        <v>0</v>
      </c>
      <c r="O2221" s="37">
        <v>0</v>
      </c>
      <c r="P2221" s="37">
        <v>0</v>
      </c>
      <c r="Q2221" s="37">
        <v>43</v>
      </c>
      <c r="R2221" s="37">
        <v>0</v>
      </c>
      <c r="S2221" s="37">
        <v>0</v>
      </c>
      <c r="T2221" s="37">
        <v>0</v>
      </c>
      <c r="U2221" s="37">
        <v>0</v>
      </c>
      <c r="V2221" s="37">
        <v>0</v>
      </c>
      <c r="W2221" s="37">
        <v>0</v>
      </c>
      <c r="X2221" s="37">
        <v>0</v>
      </c>
      <c r="Y2221" t="s">
        <v>1799</v>
      </c>
    </row>
    <row r="2222" spans="1:26" hidden="1" x14ac:dyDescent="0.25">
      <c r="A2222" t="s">
        <v>51</v>
      </c>
      <c r="B2222" t="s">
        <v>120</v>
      </c>
      <c r="C2222" t="s">
        <v>55</v>
      </c>
      <c r="D2222" t="s">
        <v>27</v>
      </c>
      <c r="E2222" s="2">
        <v>45954</v>
      </c>
      <c r="F2222" s="2">
        <v>45954</v>
      </c>
      <c r="G2222" s="3">
        <v>67</v>
      </c>
      <c r="H2222" s="4" t="s">
        <v>28</v>
      </c>
      <c r="I2222" s="33">
        <f>40+7</f>
        <v>47</v>
      </c>
      <c r="J2222">
        <v>0</v>
      </c>
      <c r="K2222">
        <v>0</v>
      </c>
      <c r="L2222" s="37">
        <v>1</v>
      </c>
      <c r="M2222" s="37">
        <v>0</v>
      </c>
      <c r="N2222" s="37">
        <v>1</v>
      </c>
      <c r="O2222" s="37">
        <v>0</v>
      </c>
      <c r="P2222" s="37">
        <v>0</v>
      </c>
      <c r="Q2222" s="37">
        <v>0</v>
      </c>
      <c r="R2222" s="37">
        <v>0</v>
      </c>
      <c r="S2222" s="37">
        <v>0</v>
      </c>
      <c r="T2222" s="37">
        <v>0</v>
      </c>
      <c r="U2222" s="37">
        <v>0</v>
      </c>
      <c r="V2222" s="37">
        <v>0</v>
      </c>
      <c r="W2222" s="37">
        <v>0</v>
      </c>
      <c r="X2222" s="37">
        <v>0</v>
      </c>
      <c r="Y2222" t="s">
        <v>1800</v>
      </c>
    </row>
    <row r="2223" spans="1:26" hidden="1" x14ac:dyDescent="0.25">
      <c r="A2223" t="s">
        <v>54</v>
      </c>
      <c r="B2223" t="s">
        <v>122</v>
      </c>
      <c r="C2223" t="s">
        <v>52</v>
      </c>
      <c r="D2223" t="s">
        <v>27</v>
      </c>
      <c r="E2223" s="2">
        <v>45953</v>
      </c>
      <c r="F2223" s="2">
        <v>45953</v>
      </c>
      <c r="G2223" s="3">
        <v>38</v>
      </c>
      <c r="H2223" s="4" t="s">
        <v>28</v>
      </c>
      <c r="I2223" s="28">
        <v>37</v>
      </c>
      <c r="J2223">
        <v>0</v>
      </c>
      <c r="K2223">
        <v>0</v>
      </c>
      <c r="L2223" s="37">
        <v>0</v>
      </c>
      <c r="M2223" s="37">
        <v>0</v>
      </c>
      <c r="N2223" s="37">
        <v>0</v>
      </c>
      <c r="O2223" s="37">
        <v>0</v>
      </c>
      <c r="P2223" s="37">
        <v>0</v>
      </c>
      <c r="Q2223" s="37">
        <v>2</v>
      </c>
      <c r="R2223" s="37">
        <v>0</v>
      </c>
      <c r="S2223" s="37">
        <v>0</v>
      </c>
      <c r="T2223" s="37">
        <v>0</v>
      </c>
      <c r="U2223" s="37">
        <v>0</v>
      </c>
      <c r="V2223" s="37">
        <v>0</v>
      </c>
      <c r="W2223" s="37">
        <v>0</v>
      </c>
      <c r="X2223" s="37">
        <v>0</v>
      </c>
      <c r="Y2223" t="s">
        <v>1772</v>
      </c>
      <c r="Z2223" t="s">
        <v>1772</v>
      </c>
    </row>
    <row r="2224" spans="1:26" hidden="1" x14ac:dyDescent="0.25">
      <c r="A2224" t="s">
        <v>54</v>
      </c>
      <c r="B2224" t="s">
        <v>122</v>
      </c>
      <c r="C2224" t="s">
        <v>52</v>
      </c>
      <c r="D2224" t="s">
        <v>27</v>
      </c>
      <c r="E2224" s="2">
        <v>45954</v>
      </c>
      <c r="F2224" s="2">
        <v>45954</v>
      </c>
      <c r="G2224" s="3">
        <v>40</v>
      </c>
      <c r="H2224" s="4" t="s">
        <v>28</v>
      </c>
      <c r="I2224" s="33">
        <f>53+1</f>
        <v>54</v>
      </c>
      <c r="J2224">
        <v>0</v>
      </c>
      <c r="K2224">
        <v>0</v>
      </c>
      <c r="L2224" s="37">
        <v>0</v>
      </c>
      <c r="M2224" s="37">
        <v>0</v>
      </c>
      <c r="N2224" s="37">
        <v>0</v>
      </c>
      <c r="O2224" s="37">
        <v>0</v>
      </c>
      <c r="P2224" s="37">
        <v>0</v>
      </c>
      <c r="Q2224" s="37">
        <v>2</v>
      </c>
      <c r="R2224" s="37">
        <v>0</v>
      </c>
      <c r="S2224" s="37">
        <v>0</v>
      </c>
      <c r="T2224" s="37">
        <v>0</v>
      </c>
      <c r="U2224" s="37">
        <v>0</v>
      </c>
      <c r="V2224" s="37">
        <v>0</v>
      </c>
      <c r="W2224" s="37">
        <v>0</v>
      </c>
      <c r="X2224" s="37">
        <v>0</v>
      </c>
      <c r="Y2224" t="s">
        <v>1801</v>
      </c>
    </row>
    <row r="2225" spans="1:26" hidden="1" x14ac:dyDescent="0.25">
      <c r="A2225" t="s">
        <v>58</v>
      </c>
      <c r="B2225" t="s">
        <v>144</v>
      </c>
      <c r="C2225" t="s">
        <v>489</v>
      </c>
      <c r="D2225" t="s">
        <v>27</v>
      </c>
      <c r="E2225" s="2">
        <v>45954</v>
      </c>
      <c r="F2225" s="2">
        <v>45954</v>
      </c>
      <c r="G2225" s="3">
        <v>22</v>
      </c>
      <c r="H2225" s="4" t="s">
        <v>28</v>
      </c>
      <c r="I2225" s="33">
        <f>42+23</f>
        <v>65</v>
      </c>
      <c r="J2225">
        <v>0</v>
      </c>
      <c r="K2225">
        <v>0</v>
      </c>
      <c r="L2225" s="37">
        <v>1</v>
      </c>
      <c r="M2225" s="37">
        <v>0</v>
      </c>
      <c r="N2225" s="37">
        <v>0</v>
      </c>
      <c r="O2225" s="37">
        <v>0</v>
      </c>
      <c r="P2225" s="37">
        <v>0</v>
      </c>
      <c r="Q2225" s="37">
        <v>45</v>
      </c>
      <c r="R2225" s="37">
        <v>0</v>
      </c>
      <c r="S2225" s="37">
        <v>0</v>
      </c>
      <c r="T2225" s="37">
        <v>0</v>
      </c>
      <c r="U2225" s="37">
        <v>0</v>
      </c>
      <c r="V2225" s="37">
        <v>0</v>
      </c>
      <c r="W2225" s="37">
        <v>0</v>
      </c>
      <c r="X2225" s="37">
        <v>0</v>
      </c>
      <c r="Y2225" t="s">
        <v>1802</v>
      </c>
    </row>
    <row r="2226" spans="1:26" hidden="1" x14ac:dyDescent="0.25">
      <c r="A2226" t="s">
        <v>41</v>
      </c>
      <c r="B2226" t="s">
        <v>112</v>
      </c>
      <c r="C2226" t="s">
        <v>42</v>
      </c>
      <c r="D2226" t="s">
        <v>27</v>
      </c>
      <c r="E2226" s="2">
        <v>45955</v>
      </c>
      <c r="F2226" s="2">
        <v>45955</v>
      </c>
      <c r="G2226" s="3">
        <v>42</v>
      </c>
      <c r="H2226" t="s">
        <v>28</v>
      </c>
      <c r="I2226" s="28">
        <v>0</v>
      </c>
      <c r="J2226">
        <v>0</v>
      </c>
      <c r="K2226">
        <v>0</v>
      </c>
      <c r="L2226" s="3">
        <v>0</v>
      </c>
      <c r="M2226" s="3">
        <v>0</v>
      </c>
      <c r="N2226">
        <v>1</v>
      </c>
      <c r="O2226">
        <v>0</v>
      </c>
      <c r="P2226">
        <v>0</v>
      </c>
      <c r="Q2226">
        <v>5</v>
      </c>
      <c r="R2226" s="3">
        <v>1</v>
      </c>
      <c r="S2226" s="3">
        <v>0</v>
      </c>
      <c r="T2226">
        <v>12</v>
      </c>
      <c r="U2226">
        <v>66</v>
      </c>
      <c r="V2226" s="3">
        <v>1</v>
      </c>
      <c r="W2226" s="3">
        <v>0</v>
      </c>
      <c r="X2226">
        <v>0</v>
      </c>
      <c r="Y2226" t="s">
        <v>1803</v>
      </c>
    </row>
    <row r="2227" spans="1:26" hidden="1" x14ac:dyDescent="0.25">
      <c r="A2227" t="s">
        <v>54</v>
      </c>
      <c r="B2227" t="s">
        <v>122</v>
      </c>
      <c r="C2227" t="s">
        <v>52</v>
      </c>
      <c r="D2227" t="s">
        <v>27</v>
      </c>
      <c r="E2227" s="2">
        <v>45955</v>
      </c>
      <c r="F2227" s="2">
        <v>45955</v>
      </c>
      <c r="G2227" s="3">
        <v>81</v>
      </c>
      <c r="H2227" t="s">
        <v>28</v>
      </c>
      <c r="I2227" s="28">
        <v>0</v>
      </c>
      <c r="J2227">
        <v>0</v>
      </c>
      <c r="K2227">
        <v>0</v>
      </c>
      <c r="L2227" s="3">
        <v>0</v>
      </c>
      <c r="M2227" s="3">
        <v>0</v>
      </c>
      <c r="N2227">
        <v>0</v>
      </c>
      <c r="O2227">
        <v>0</v>
      </c>
      <c r="P2227">
        <v>0</v>
      </c>
      <c r="Q2227">
        <v>0</v>
      </c>
      <c r="R2227" s="3">
        <v>1</v>
      </c>
      <c r="S2227" s="3">
        <v>0</v>
      </c>
      <c r="T2227">
        <v>0</v>
      </c>
      <c r="U2227">
        <v>91</v>
      </c>
      <c r="V2227" s="3">
        <v>1</v>
      </c>
      <c r="W2227" s="3">
        <v>0</v>
      </c>
      <c r="X2227">
        <v>0</v>
      </c>
      <c r="Y2227" t="s">
        <v>1804</v>
      </c>
    </row>
    <row r="2228" spans="1:26" hidden="1" x14ac:dyDescent="0.25">
      <c r="A2228" t="s">
        <v>25</v>
      </c>
      <c r="B2228" t="s">
        <v>96</v>
      </c>
      <c r="C2228" t="s">
        <v>26</v>
      </c>
      <c r="D2228" t="s">
        <v>27</v>
      </c>
      <c r="E2228" s="2">
        <v>45957</v>
      </c>
      <c r="F2228" s="2">
        <v>45957</v>
      </c>
      <c r="G2228" s="3">
        <v>56</v>
      </c>
      <c r="H2228" s="4" t="s">
        <v>28</v>
      </c>
      <c r="I2228" s="28">
        <f>10+30</f>
        <v>40</v>
      </c>
      <c r="J2228">
        <v>0</v>
      </c>
      <c r="K2228">
        <v>0</v>
      </c>
      <c r="L2228" s="3">
        <v>1</v>
      </c>
      <c r="M2228" s="3">
        <v>0</v>
      </c>
      <c r="N2228">
        <v>1</v>
      </c>
      <c r="O2228">
        <v>0</v>
      </c>
      <c r="P2228">
        <v>0</v>
      </c>
      <c r="Q2228">
        <v>0</v>
      </c>
      <c r="R2228" s="3">
        <v>0</v>
      </c>
      <c r="S2228" s="3">
        <v>0</v>
      </c>
      <c r="T2228">
        <v>0</v>
      </c>
      <c r="U2228">
        <v>0</v>
      </c>
      <c r="V2228" s="3">
        <v>0</v>
      </c>
      <c r="W2228" s="3">
        <v>0</v>
      </c>
      <c r="X2228">
        <v>0</v>
      </c>
      <c r="Y2228" t="s">
        <v>1805</v>
      </c>
    </row>
    <row r="2229" spans="1:26" hidden="1" x14ac:dyDescent="0.25">
      <c r="A2229" t="s">
        <v>56</v>
      </c>
      <c r="B2229" t="s">
        <v>98</v>
      </c>
      <c r="C2229" t="s">
        <v>37</v>
      </c>
      <c r="D2229" t="s">
        <v>27</v>
      </c>
      <c r="E2229" s="2">
        <v>45957</v>
      </c>
      <c r="F2229" s="2">
        <v>45957</v>
      </c>
      <c r="G2229" s="3">
        <v>32</v>
      </c>
      <c r="H2229" s="4" t="s">
        <v>28</v>
      </c>
      <c r="I2229" s="28">
        <f>63+2</f>
        <v>65</v>
      </c>
      <c r="J2229">
        <v>0</v>
      </c>
      <c r="K2229">
        <v>0</v>
      </c>
      <c r="L2229" s="3">
        <v>1</v>
      </c>
      <c r="M2229" s="3">
        <v>0</v>
      </c>
      <c r="N2229">
        <v>0</v>
      </c>
      <c r="O2229">
        <v>0</v>
      </c>
      <c r="P2229">
        <v>0</v>
      </c>
      <c r="Q2229">
        <v>10</v>
      </c>
      <c r="R2229" s="3">
        <v>0</v>
      </c>
      <c r="S2229" s="3">
        <v>0</v>
      </c>
      <c r="T2229">
        <v>0</v>
      </c>
      <c r="U2229">
        <v>0</v>
      </c>
      <c r="V2229" s="3">
        <v>0</v>
      </c>
      <c r="W2229" s="3">
        <v>0</v>
      </c>
      <c r="X2229">
        <v>0</v>
      </c>
      <c r="Y2229" t="s">
        <v>1806</v>
      </c>
    </row>
    <row r="2230" spans="1:26" hidden="1" x14ac:dyDescent="0.25">
      <c r="A2230" t="s">
        <v>29</v>
      </c>
      <c r="B2230" t="s">
        <v>100</v>
      </c>
      <c r="C2230" t="s">
        <v>95</v>
      </c>
      <c r="D2230" t="s">
        <v>27</v>
      </c>
      <c r="E2230" s="2">
        <v>45957</v>
      </c>
      <c r="F2230" s="2">
        <v>45957</v>
      </c>
      <c r="G2230" s="3">
        <v>26</v>
      </c>
      <c r="H2230" s="4" t="s">
        <v>28</v>
      </c>
      <c r="I2230" s="28">
        <f>33+1</f>
        <v>34</v>
      </c>
      <c r="J2230">
        <v>0</v>
      </c>
      <c r="K2230">
        <v>0</v>
      </c>
      <c r="L2230" s="3">
        <v>1</v>
      </c>
      <c r="M2230" s="3">
        <v>0</v>
      </c>
      <c r="N2230">
        <v>0</v>
      </c>
      <c r="O2230">
        <v>0</v>
      </c>
      <c r="P2230">
        <v>0</v>
      </c>
      <c r="Q2230">
        <v>7</v>
      </c>
      <c r="R2230" s="3">
        <v>0</v>
      </c>
      <c r="S2230" s="3">
        <v>0</v>
      </c>
      <c r="T2230">
        <v>0</v>
      </c>
      <c r="U2230">
        <v>0</v>
      </c>
      <c r="V2230" s="3">
        <v>0</v>
      </c>
      <c r="W2230" s="3">
        <v>0</v>
      </c>
      <c r="X2230">
        <v>0</v>
      </c>
      <c r="Y2230" t="s">
        <v>1807</v>
      </c>
    </row>
    <row r="2231" spans="1:26" hidden="1" x14ac:dyDescent="0.25">
      <c r="A2231" s="1" t="s">
        <v>344</v>
      </c>
      <c r="B2231" t="s">
        <v>144</v>
      </c>
      <c r="C2231" t="s">
        <v>27</v>
      </c>
      <c r="D2231" t="s">
        <v>27</v>
      </c>
      <c r="E2231" s="2">
        <v>45953</v>
      </c>
      <c r="F2231" s="2">
        <v>45953</v>
      </c>
      <c r="G2231" s="3">
        <v>32</v>
      </c>
      <c r="H2231" s="4" t="s">
        <v>248</v>
      </c>
      <c r="I2231" s="28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1772</v>
      </c>
      <c r="Z2231" t="s">
        <v>1772</v>
      </c>
    </row>
    <row r="2232" spans="1:26" hidden="1" x14ac:dyDescent="0.25">
      <c r="A2232" t="s">
        <v>31</v>
      </c>
      <c r="B2232" t="s">
        <v>104</v>
      </c>
      <c r="C2232" t="s">
        <v>32</v>
      </c>
      <c r="D2232" t="s">
        <v>27</v>
      </c>
      <c r="E2232" s="2">
        <v>45957</v>
      </c>
      <c r="F2232" s="2">
        <v>45957</v>
      </c>
      <c r="G2232" s="3">
        <v>61</v>
      </c>
      <c r="H2232" s="4" t="s">
        <v>28</v>
      </c>
      <c r="I2232" s="28">
        <v>89</v>
      </c>
      <c r="J2232">
        <v>0</v>
      </c>
      <c r="K2232">
        <v>0</v>
      </c>
      <c r="L2232" s="3">
        <v>1</v>
      </c>
      <c r="M2232" s="3">
        <v>0</v>
      </c>
      <c r="N2232">
        <v>0</v>
      </c>
      <c r="O2232">
        <v>0</v>
      </c>
      <c r="P2232">
        <v>0</v>
      </c>
      <c r="Q2232">
        <v>30</v>
      </c>
      <c r="R2232" s="3">
        <v>0</v>
      </c>
      <c r="S2232" s="3">
        <v>0</v>
      </c>
      <c r="T2232">
        <v>0</v>
      </c>
      <c r="U2232">
        <v>0</v>
      </c>
      <c r="V2232" s="3">
        <v>0</v>
      </c>
      <c r="W2232" s="3">
        <v>0</v>
      </c>
      <c r="X2232">
        <v>0</v>
      </c>
      <c r="Y2232" t="s">
        <v>1808</v>
      </c>
    </row>
    <row r="2233" spans="1:26" hidden="1" x14ac:dyDescent="0.25">
      <c r="A2233" t="s">
        <v>33</v>
      </c>
      <c r="B2233" t="s">
        <v>106</v>
      </c>
      <c r="C2233" t="s">
        <v>55</v>
      </c>
      <c r="D2233" t="s">
        <v>27</v>
      </c>
      <c r="E2233" s="2">
        <v>45956</v>
      </c>
      <c r="F2233" s="2">
        <v>45956</v>
      </c>
      <c r="G2233" s="3">
        <v>42</v>
      </c>
      <c r="H2233" s="4" t="s">
        <v>28</v>
      </c>
      <c r="I2233" s="28">
        <v>0</v>
      </c>
      <c r="J2233">
        <v>0</v>
      </c>
      <c r="K2233">
        <v>0</v>
      </c>
      <c r="L2233" s="3">
        <v>0</v>
      </c>
      <c r="M2233" s="3">
        <v>0</v>
      </c>
      <c r="N2233">
        <v>0</v>
      </c>
      <c r="O2233">
        <v>0</v>
      </c>
      <c r="P2233">
        <v>0</v>
      </c>
      <c r="Q2233">
        <v>0</v>
      </c>
      <c r="R2233" s="3">
        <v>0</v>
      </c>
      <c r="S2233" s="3">
        <v>1</v>
      </c>
      <c r="T2233">
        <v>37</v>
      </c>
      <c r="U2233">
        <v>118</v>
      </c>
      <c r="V2233" s="3">
        <v>0</v>
      </c>
      <c r="W2233" s="3">
        <v>1</v>
      </c>
      <c r="X2233">
        <v>13</v>
      </c>
      <c r="Y2233" t="s">
        <v>1809</v>
      </c>
    </row>
    <row r="2234" spans="1:26" hidden="1" x14ac:dyDescent="0.25">
      <c r="A2234" t="s">
        <v>38</v>
      </c>
      <c r="B2234" t="s">
        <v>108</v>
      </c>
      <c r="C2234" t="s">
        <v>27</v>
      </c>
      <c r="D2234" t="s">
        <v>27</v>
      </c>
      <c r="E2234" s="2">
        <v>45957</v>
      </c>
      <c r="F2234" s="2">
        <v>45957</v>
      </c>
      <c r="G2234" s="3">
        <v>34</v>
      </c>
      <c r="H2234" s="4" t="s">
        <v>28</v>
      </c>
      <c r="I2234" s="28">
        <v>56</v>
      </c>
      <c r="J2234">
        <v>0</v>
      </c>
      <c r="K2234">
        <v>0</v>
      </c>
      <c r="L2234" s="3">
        <v>0</v>
      </c>
      <c r="M2234" s="3">
        <v>0</v>
      </c>
      <c r="N2234">
        <v>0</v>
      </c>
      <c r="O2234">
        <v>0</v>
      </c>
      <c r="P2234">
        <v>0</v>
      </c>
      <c r="Q2234">
        <v>56</v>
      </c>
      <c r="R2234" s="3">
        <v>0</v>
      </c>
      <c r="S2234" s="3">
        <v>0</v>
      </c>
      <c r="T2234">
        <v>0</v>
      </c>
      <c r="U2234">
        <v>0</v>
      </c>
      <c r="V2234" s="3">
        <v>0</v>
      </c>
      <c r="W2234" s="3">
        <v>0</v>
      </c>
      <c r="X2234">
        <v>0</v>
      </c>
      <c r="Y2234" t="s">
        <v>1810</v>
      </c>
    </row>
    <row r="2235" spans="1:26" hidden="1" x14ac:dyDescent="0.25">
      <c r="A2235" s="1" t="s">
        <v>40</v>
      </c>
      <c r="B2235" t="s">
        <v>110</v>
      </c>
      <c r="C2235" t="s">
        <v>27</v>
      </c>
      <c r="D2235" t="s">
        <v>27</v>
      </c>
      <c r="E2235" s="2">
        <v>45957</v>
      </c>
      <c r="F2235" s="2">
        <v>45957</v>
      </c>
      <c r="G2235" s="3">
        <v>176</v>
      </c>
      <c r="H2235" s="4" t="s">
        <v>28</v>
      </c>
      <c r="I2235" s="28">
        <f>54+1</f>
        <v>55</v>
      </c>
      <c r="J2235">
        <v>37</v>
      </c>
      <c r="K2235">
        <v>0</v>
      </c>
      <c r="L2235" s="3">
        <v>1</v>
      </c>
      <c r="M2235" s="3">
        <v>0</v>
      </c>
      <c r="N2235">
        <v>1</v>
      </c>
      <c r="O2235">
        <v>0</v>
      </c>
      <c r="P2235">
        <v>0</v>
      </c>
      <c r="Q2235">
        <v>0</v>
      </c>
      <c r="R2235" s="3">
        <v>0</v>
      </c>
      <c r="S2235" s="3">
        <v>0</v>
      </c>
      <c r="T2235">
        <v>0</v>
      </c>
      <c r="U2235">
        <v>0</v>
      </c>
      <c r="V2235" s="3">
        <v>0</v>
      </c>
      <c r="W2235" s="3">
        <v>0</v>
      </c>
      <c r="X2235">
        <v>0</v>
      </c>
      <c r="Y2235" t="s">
        <v>1811</v>
      </c>
    </row>
    <row r="2236" spans="1:26" hidden="1" x14ac:dyDescent="0.25">
      <c r="A2236" s="1" t="s">
        <v>36</v>
      </c>
      <c r="B2236" t="s">
        <v>110</v>
      </c>
      <c r="C2236" t="s">
        <v>27</v>
      </c>
      <c r="D2236" t="s">
        <v>27</v>
      </c>
      <c r="E2236" s="2">
        <v>45957</v>
      </c>
      <c r="F2236" s="2">
        <v>45957</v>
      </c>
      <c r="G2236" s="3">
        <v>176</v>
      </c>
      <c r="H2236" s="4" t="s">
        <v>28</v>
      </c>
      <c r="I2236" s="28">
        <f>54+1</f>
        <v>55</v>
      </c>
      <c r="J2236">
        <v>37</v>
      </c>
      <c r="K2236">
        <v>0</v>
      </c>
      <c r="L2236" s="3">
        <v>1</v>
      </c>
      <c r="M2236" s="3">
        <v>0</v>
      </c>
      <c r="N2236">
        <v>1</v>
      </c>
      <c r="O2236">
        <v>0</v>
      </c>
      <c r="P2236">
        <v>0</v>
      </c>
      <c r="Q2236">
        <v>0</v>
      </c>
      <c r="R2236" s="3">
        <v>0</v>
      </c>
      <c r="S2236" s="3">
        <v>0</v>
      </c>
      <c r="T2236">
        <v>0</v>
      </c>
      <c r="U2236">
        <v>0</v>
      </c>
      <c r="V2236" s="3">
        <v>0</v>
      </c>
      <c r="W2236" s="3">
        <v>0</v>
      </c>
      <c r="X2236">
        <v>0</v>
      </c>
      <c r="Y2236" t="s">
        <v>1811</v>
      </c>
    </row>
    <row r="2237" spans="1:26" hidden="1" x14ac:dyDescent="0.25">
      <c r="A2237" s="1" t="s">
        <v>1454</v>
      </c>
      <c r="B2237" t="s">
        <v>1455</v>
      </c>
      <c r="C2237" t="s">
        <v>27</v>
      </c>
      <c r="D2237" t="s">
        <v>27</v>
      </c>
      <c r="E2237" s="2">
        <v>45957</v>
      </c>
      <c r="F2237" s="2">
        <v>45957</v>
      </c>
      <c r="G2237" s="3">
        <v>42</v>
      </c>
      <c r="H2237" t="s">
        <v>28</v>
      </c>
      <c r="I2237" s="28">
        <v>50</v>
      </c>
      <c r="J2237">
        <v>0</v>
      </c>
      <c r="K2237">
        <v>0</v>
      </c>
      <c r="L2237" s="3">
        <v>1</v>
      </c>
      <c r="M2237" s="3">
        <v>0</v>
      </c>
      <c r="N2237">
        <v>0</v>
      </c>
      <c r="O2237">
        <v>0</v>
      </c>
      <c r="P2237">
        <v>0</v>
      </c>
      <c r="Q2237">
        <v>50</v>
      </c>
      <c r="R2237" s="3">
        <v>0</v>
      </c>
      <c r="S2237" s="3">
        <v>0</v>
      </c>
      <c r="T2237">
        <v>0</v>
      </c>
      <c r="U2237">
        <v>0</v>
      </c>
      <c r="V2237" s="3">
        <v>0</v>
      </c>
      <c r="W2237" s="3">
        <v>0</v>
      </c>
      <c r="X2237">
        <v>0</v>
      </c>
      <c r="Y2237" t="s">
        <v>1812</v>
      </c>
    </row>
    <row r="2238" spans="1:26" hidden="1" x14ac:dyDescent="0.25">
      <c r="A2238" s="1" t="s">
        <v>43</v>
      </c>
      <c r="B2238" t="s">
        <v>114</v>
      </c>
      <c r="C2238" t="s">
        <v>44</v>
      </c>
      <c r="D2238" t="s">
        <v>27</v>
      </c>
      <c r="E2238" s="2">
        <v>45957</v>
      </c>
      <c r="F2238" s="2">
        <v>45957</v>
      </c>
      <c r="G2238" s="3">
        <v>33</v>
      </c>
      <c r="H2238" s="4" t="s">
        <v>28</v>
      </c>
      <c r="I2238" s="28">
        <v>58</v>
      </c>
      <c r="J2238">
        <v>0</v>
      </c>
      <c r="K2238">
        <v>0</v>
      </c>
      <c r="L2238" s="3">
        <v>0</v>
      </c>
      <c r="M2238" s="3">
        <v>0</v>
      </c>
      <c r="N2238">
        <v>0</v>
      </c>
      <c r="O2238">
        <v>0</v>
      </c>
      <c r="P2238">
        <v>0</v>
      </c>
      <c r="Q2238">
        <v>0</v>
      </c>
      <c r="R2238" s="3">
        <v>0</v>
      </c>
      <c r="S2238" s="3">
        <v>0</v>
      </c>
      <c r="T2238">
        <v>0</v>
      </c>
      <c r="U2238">
        <v>0</v>
      </c>
      <c r="V2238" s="3">
        <v>0</v>
      </c>
      <c r="W2238" s="3">
        <v>0</v>
      </c>
      <c r="X2238">
        <v>0</v>
      </c>
      <c r="Y2238" t="s">
        <v>1813</v>
      </c>
    </row>
    <row r="2239" spans="1:26" hidden="1" x14ac:dyDescent="0.25">
      <c r="A2239" s="1" t="s">
        <v>45</v>
      </c>
      <c r="B2239" t="s">
        <v>116</v>
      </c>
      <c r="C2239" t="s">
        <v>46</v>
      </c>
      <c r="D2239" t="s">
        <v>27</v>
      </c>
      <c r="E2239" s="2">
        <v>45957</v>
      </c>
      <c r="F2239" s="2">
        <v>45957</v>
      </c>
      <c r="G2239" s="3">
        <v>62</v>
      </c>
      <c r="H2239" s="4" t="s">
        <v>28</v>
      </c>
      <c r="I2239" s="28">
        <f>40+27</f>
        <v>67</v>
      </c>
      <c r="J2239">
        <v>0</v>
      </c>
      <c r="K2239">
        <v>0</v>
      </c>
      <c r="L2239" s="3">
        <v>1</v>
      </c>
      <c r="M2239" s="3">
        <v>0</v>
      </c>
      <c r="N2239">
        <v>0</v>
      </c>
      <c r="O2239">
        <v>0</v>
      </c>
      <c r="P2239">
        <v>0</v>
      </c>
      <c r="Q2239">
        <v>8</v>
      </c>
      <c r="R2239" s="3">
        <v>0</v>
      </c>
      <c r="S2239" s="3">
        <v>0</v>
      </c>
      <c r="T2239">
        <v>0</v>
      </c>
      <c r="U2239">
        <v>0</v>
      </c>
      <c r="V2239" s="3">
        <v>0</v>
      </c>
      <c r="W2239" s="3">
        <v>0</v>
      </c>
      <c r="X2239">
        <v>0</v>
      </c>
      <c r="Y2239" t="s">
        <v>1814</v>
      </c>
    </row>
    <row r="2240" spans="1:26" hidden="1" x14ac:dyDescent="0.25">
      <c r="A2240" s="1" t="s">
        <v>47</v>
      </c>
      <c r="B2240" t="s">
        <v>137</v>
      </c>
      <c r="C2240" t="s">
        <v>27</v>
      </c>
      <c r="D2240" t="s">
        <v>27</v>
      </c>
      <c r="E2240" s="2">
        <v>45957</v>
      </c>
      <c r="F2240" s="2">
        <v>45957</v>
      </c>
      <c r="G2240" s="3">
        <v>28</v>
      </c>
      <c r="H2240" s="4" t="s">
        <v>28</v>
      </c>
      <c r="I2240" s="28">
        <v>46</v>
      </c>
      <c r="J2240">
        <v>3</v>
      </c>
      <c r="K2240">
        <v>0</v>
      </c>
      <c r="L2240" s="3">
        <v>1</v>
      </c>
      <c r="M2240" s="3">
        <v>0</v>
      </c>
      <c r="N2240">
        <v>0</v>
      </c>
      <c r="O2240">
        <v>0</v>
      </c>
      <c r="P2240">
        <v>0</v>
      </c>
      <c r="Q2240">
        <v>16</v>
      </c>
      <c r="R2240" s="3">
        <v>0</v>
      </c>
      <c r="S2240" s="3">
        <v>0</v>
      </c>
      <c r="T2240">
        <v>0</v>
      </c>
      <c r="U2240">
        <v>0</v>
      </c>
      <c r="V2240" s="3">
        <v>0</v>
      </c>
      <c r="W2240" s="3">
        <v>0</v>
      </c>
      <c r="X2240">
        <v>0</v>
      </c>
      <c r="Y2240" t="s">
        <v>1815</v>
      </c>
    </row>
    <row r="2241" spans="1:25" hidden="1" x14ac:dyDescent="0.25">
      <c r="A2241" s="1" t="s">
        <v>34</v>
      </c>
      <c r="B2241" t="s">
        <v>137</v>
      </c>
      <c r="C2241" t="s">
        <v>27</v>
      </c>
      <c r="D2241" t="s">
        <v>27</v>
      </c>
      <c r="E2241" s="2">
        <v>45957</v>
      </c>
      <c r="F2241" s="2">
        <v>45957</v>
      </c>
      <c r="G2241" s="3">
        <v>28</v>
      </c>
      <c r="H2241" s="4" t="s">
        <v>28</v>
      </c>
      <c r="I2241" s="28">
        <v>46</v>
      </c>
      <c r="J2241">
        <v>3</v>
      </c>
      <c r="K2241">
        <v>0</v>
      </c>
      <c r="L2241" s="3">
        <v>1</v>
      </c>
      <c r="M2241" s="3">
        <v>0</v>
      </c>
      <c r="N2241">
        <v>0</v>
      </c>
      <c r="O2241">
        <v>0</v>
      </c>
      <c r="P2241">
        <v>0</v>
      </c>
      <c r="Q2241">
        <v>16</v>
      </c>
      <c r="R2241" s="3">
        <v>0</v>
      </c>
      <c r="S2241" s="3">
        <v>0</v>
      </c>
      <c r="T2241">
        <v>0</v>
      </c>
      <c r="U2241">
        <v>0</v>
      </c>
      <c r="V2241" s="3">
        <v>0</v>
      </c>
      <c r="W2241" s="3">
        <v>0</v>
      </c>
      <c r="X2241">
        <v>0</v>
      </c>
      <c r="Y2241" t="s">
        <v>1815</v>
      </c>
    </row>
    <row r="2242" spans="1:25" hidden="1" x14ac:dyDescent="0.25">
      <c r="A2242" t="s">
        <v>49</v>
      </c>
      <c r="B2242" t="s">
        <v>118</v>
      </c>
      <c r="C2242" t="s">
        <v>50</v>
      </c>
      <c r="D2242" t="s">
        <v>27</v>
      </c>
      <c r="E2242" s="2">
        <v>45957</v>
      </c>
      <c r="F2242" s="2">
        <v>45957</v>
      </c>
      <c r="G2242" s="3">
        <v>25</v>
      </c>
      <c r="H2242" s="4" t="s">
        <v>28</v>
      </c>
      <c r="I2242" s="28">
        <f>16+17</f>
        <v>33</v>
      </c>
      <c r="J2242">
        <v>0</v>
      </c>
      <c r="K2242">
        <v>0</v>
      </c>
      <c r="L2242" s="3">
        <v>1</v>
      </c>
      <c r="M2242" s="3">
        <v>1</v>
      </c>
      <c r="N2242">
        <v>0</v>
      </c>
      <c r="O2242">
        <v>0</v>
      </c>
      <c r="P2242">
        <v>0</v>
      </c>
      <c r="Q2242">
        <v>21</v>
      </c>
      <c r="R2242" s="3">
        <v>0</v>
      </c>
      <c r="S2242" s="3">
        <v>0</v>
      </c>
      <c r="T2242">
        <v>0</v>
      </c>
      <c r="U2242">
        <v>0</v>
      </c>
      <c r="V2242" s="3">
        <v>0</v>
      </c>
      <c r="W2242" s="3">
        <v>0</v>
      </c>
      <c r="X2242">
        <v>0</v>
      </c>
      <c r="Y2242" t="s">
        <v>1816</v>
      </c>
    </row>
    <row r="2243" spans="1:25" hidden="1" x14ac:dyDescent="0.25">
      <c r="A2243" t="s">
        <v>51</v>
      </c>
      <c r="B2243" t="s">
        <v>120</v>
      </c>
      <c r="C2243" t="s">
        <v>55</v>
      </c>
      <c r="D2243" t="s">
        <v>27</v>
      </c>
      <c r="E2243" s="2">
        <v>45957</v>
      </c>
      <c r="F2243" s="2">
        <v>45957</v>
      </c>
      <c r="G2243" s="3">
        <v>86</v>
      </c>
      <c r="H2243" s="4" t="s">
        <v>28</v>
      </c>
      <c r="I2243" s="28">
        <v>51</v>
      </c>
      <c r="J2243">
        <v>0</v>
      </c>
      <c r="K2243">
        <v>0</v>
      </c>
      <c r="L2243" s="3">
        <v>1</v>
      </c>
      <c r="M2243" s="3">
        <v>0</v>
      </c>
      <c r="N2243">
        <v>1</v>
      </c>
      <c r="O2243">
        <v>0</v>
      </c>
      <c r="P2243">
        <v>0</v>
      </c>
      <c r="Q2243">
        <v>0</v>
      </c>
      <c r="R2243" s="3">
        <v>0</v>
      </c>
      <c r="S2243" s="3">
        <v>0</v>
      </c>
      <c r="T2243">
        <v>0</v>
      </c>
      <c r="U2243">
        <v>0</v>
      </c>
      <c r="V2243" s="3">
        <v>0</v>
      </c>
      <c r="W2243" s="3">
        <v>0</v>
      </c>
      <c r="X2243">
        <v>0</v>
      </c>
      <c r="Y2243" t="s">
        <v>1817</v>
      </c>
    </row>
    <row r="2244" spans="1:25" hidden="1" x14ac:dyDescent="0.25">
      <c r="A2244" t="s">
        <v>54</v>
      </c>
      <c r="B2244" t="s">
        <v>122</v>
      </c>
      <c r="C2244" t="s">
        <v>52</v>
      </c>
      <c r="D2244" t="s">
        <v>27</v>
      </c>
      <c r="E2244" s="2">
        <v>45957</v>
      </c>
      <c r="F2244" s="2">
        <v>45957</v>
      </c>
      <c r="G2244" s="3">
        <v>35</v>
      </c>
      <c r="H2244" s="4" t="s">
        <v>28</v>
      </c>
      <c r="I2244" s="28">
        <f>48+1</f>
        <v>49</v>
      </c>
      <c r="J2244">
        <v>0</v>
      </c>
      <c r="K2244">
        <v>0</v>
      </c>
      <c r="L2244" s="3">
        <v>0</v>
      </c>
      <c r="M2244" s="3">
        <v>0</v>
      </c>
      <c r="N2244">
        <v>0</v>
      </c>
      <c r="O2244">
        <v>0</v>
      </c>
      <c r="P2244">
        <v>0</v>
      </c>
      <c r="Q2244">
        <v>2</v>
      </c>
      <c r="R2244" s="3">
        <v>0</v>
      </c>
      <c r="S2244" s="3">
        <v>0</v>
      </c>
      <c r="T2244">
        <v>0</v>
      </c>
      <c r="U2244">
        <v>0</v>
      </c>
      <c r="V2244" s="3">
        <v>0</v>
      </c>
      <c r="W2244" s="3">
        <v>0</v>
      </c>
      <c r="X2244">
        <v>0</v>
      </c>
      <c r="Y2244" t="s">
        <v>1818</v>
      </c>
    </row>
    <row r="2245" spans="1:25" hidden="1" x14ac:dyDescent="0.25">
      <c r="A2245" t="s">
        <v>58</v>
      </c>
      <c r="B2245" t="s">
        <v>144</v>
      </c>
      <c r="C2245" t="s">
        <v>489</v>
      </c>
      <c r="D2245" t="s">
        <v>27</v>
      </c>
      <c r="E2245" s="2">
        <v>45957</v>
      </c>
      <c r="F2245" s="2">
        <v>45957</v>
      </c>
      <c r="G2245" s="3">
        <v>23</v>
      </c>
      <c r="H2245" s="4" t="s">
        <v>28</v>
      </c>
      <c r="I2245" s="28">
        <f>34+23</f>
        <v>57</v>
      </c>
      <c r="J2245">
        <v>0</v>
      </c>
      <c r="K2245">
        <v>0</v>
      </c>
      <c r="L2245" s="3">
        <v>1</v>
      </c>
      <c r="M2245" s="3">
        <v>0</v>
      </c>
      <c r="N2245">
        <v>0</v>
      </c>
      <c r="O2245">
        <v>0</v>
      </c>
      <c r="P2245">
        <v>0</v>
      </c>
      <c r="Q2245">
        <v>40</v>
      </c>
      <c r="R2245" s="3">
        <v>0</v>
      </c>
      <c r="S2245" s="3">
        <v>0</v>
      </c>
      <c r="T2245">
        <v>0</v>
      </c>
      <c r="U2245">
        <v>0</v>
      </c>
      <c r="V2245" s="3">
        <v>0</v>
      </c>
      <c r="W2245" s="3">
        <v>0</v>
      </c>
      <c r="X2245">
        <v>0</v>
      </c>
      <c r="Y2245" t="s">
        <v>1819</v>
      </c>
    </row>
    <row r="2246" spans="1:25" hidden="1" x14ac:dyDescent="0.25">
      <c r="A2246" t="s">
        <v>25</v>
      </c>
      <c r="B2246" t="s">
        <v>96</v>
      </c>
      <c r="C2246" t="s">
        <v>26</v>
      </c>
      <c r="D2246" t="s">
        <v>27</v>
      </c>
      <c r="E2246" s="2">
        <v>45958</v>
      </c>
      <c r="F2246" s="2">
        <v>45958</v>
      </c>
      <c r="G2246" s="3">
        <v>41</v>
      </c>
      <c r="H2246" s="4" t="s">
        <v>28</v>
      </c>
      <c r="I2246" s="28">
        <f>32+26</f>
        <v>58</v>
      </c>
      <c r="J2246">
        <v>0</v>
      </c>
      <c r="K2246">
        <v>0</v>
      </c>
      <c r="L2246" s="3">
        <v>1</v>
      </c>
      <c r="M2246" s="3">
        <v>0</v>
      </c>
      <c r="N2246">
        <v>1</v>
      </c>
      <c r="O2246">
        <v>0</v>
      </c>
      <c r="P2246">
        <v>0</v>
      </c>
      <c r="Q2246">
        <v>0</v>
      </c>
      <c r="R2246" s="3">
        <v>0</v>
      </c>
      <c r="S2246" s="3">
        <v>0</v>
      </c>
      <c r="T2246">
        <v>0</v>
      </c>
      <c r="U2246">
        <v>0</v>
      </c>
      <c r="V2246" s="3">
        <v>0</v>
      </c>
      <c r="W2246" s="3">
        <v>0</v>
      </c>
      <c r="X2246">
        <v>0</v>
      </c>
      <c r="Y2246" t="s">
        <v>1820</v>
      </c>
    </row>
    <row r="2247" spans="1:25" hidden="1" x14ac:dyDescent="0.25">
      <c r="A2247" t="s">
        <v>56</v>
      </c>
      <c r="B2247" t="s">
        <v>98</v>
      </c>
      <c r="C2247" t="s">
        <v>37</v>
      </c>
      <c r="D2247" t="s">
        <v>27</v>
      </c>
      <c r="E2247" s="2">
        <v>45958</v>
      </c>
      <c r="F2247" s="2">
        <v>45958</v>
      </c>
      <c r="G2247" s="3">
        <v>28</v>
      </c>
      <c r="H2247" s="4" t="s">
        <v>28</v>
      </c>
      <c r="I2247" s="28">
        <v>30</v>
      </c>
      <c r="J2247">
        <v>0</v>
      </c>
      <c r="K2247">
        <v>0</v>
      </c>
      <c r="L2247" s="3">
        <v>1</v>
      </c>
      <c r="M2247" s="3">
        <v>0</v>
      </c>
      <c r="N2247">
        <v>0</v>
      </c>
      <c r="O2247">
        <v>0</v>
      </c>
      <c r="P2247">
        <v>0</v>
      </c>
      <c r="Q2247">
        <v>10</v>
      </c>
      <c r="R2247" s="3">
        <v>0</v>
      </c>
      <c r="S2247" s="3">
        <v>0</v>
      </c>
      <c r="T2247">
        <v>0</v>
      </c>
      <c r="U2247">
        <v>0</v>
      </c>
      <c r="V2247" s="3">
        <v>0</v>
      </c>
      <c r="W2247" s="3">
        <v>0</v>
      </c>
      <c r="X2247">
        <v>0</v>
      </c>
      <c r="Y2247" t="s">
        <v>1821</v>
      </c>
    </row>
    <row r="2248" spans="1:25" hidden="1" x14ac:dyDescent="0.25">
      <c r="A2248" t="s">
        <v>29</v>
      </c>
      <c r="B2248" t="s">
        <v>100</v>
      </c>
      <c r="C2248" t="s">
        <v>95</v>
      </c>
      <c r="D2248" t="s">
        <v>27</v>
      </c>
      <c r="E2248" s="2">
        <v>45958</v>
      </c>
      <c r="F2248" s="2">
        <v>45958</v>
      </c>
      <c r="G2248" s="3">
        <v>31</v>
      </c>
      <c r="H2248" s="4" t="s">
        <v>28</v>
      </c>
      <c r="I2248" s="28">
        <f>41+3</f>
        <v>44</v>
      </c>
      <c r="J2248">
        <v>0</v>
      </c>
      <c r="K2248">
        <v>0</v>
      </c>
      <c r="L2248" s="3">
        <v>0</v>
      </c>
      <c r="M2248" s="3">
        <v>0</v>
      </c>
      <c r="N2248">
        <v>0</v>
      </c>
      <c r="O2248">
        <v>0</v>
      </c>
      <c r="P2248">
        <v>0</v>
      </c>
      <c r="Q2248">
        <v>20</v>
      </c>
      <c r="R2248" s="3">
        <v>0</v>
      </c>
      <c r="S2248" s="3">
        <v>0</v>
      </c>
      <c r="T2248">
        <v>0</v>
      </c>
      <c r="U2248">
        <v>0</v>
      </c>
      <c r="V2248" s="3">
        <v>0</v>
      </c>
      <c r="W2248" s="3">
        <v>0</v>
      </c>
      <c r="X2248">
        <v>0</v>
      </c>
      <c r="Y2248" t="s">
        <v>1822</v>
      </c>
    </row>
    <row r="2249" spans="1:25" hidden="1" x14ac:dyDescent="0.25">
      <c r="A2249" t="s">
        <v>31</v>
      </c>
      <c r="B2249" t="s">
        <v>104</v>
      </c>
      <c r="C2249" t="s">
        <v>32</v>
      </c>
      <c r="D2249" t="s">
        <v>27</v>
      </c>
      <c r="E2249" s="2">
        <v>45958</v>
      </c>
      <c r="F2249" s="2">
        <v>45958</v>
      </c>
      <c r="G2249" s="3">
        <v>61</v>
      </c>
      <c r="H2249" s="4" t="s">
        <v>28</v>
      </c>
      <c r="I2249" s="28">
        <f>45+4</f>
        <v>49</v>
      </c>
      <c r="J2249">
        <v>0</v>
      </c>
      <c r="K2249">
        <v>0</v>
      </c>
      <c r="L2249" s="3">
        <v>1</v>
      </c>
      <c r="M2249" s="3">
        <v>0</v>
      </c>
      <c r="N2249">
        <v>0</v>
      </c>
      <c r="O2249">
        <v>0</v>
      </c>
      <c r="P2249">
        <v>0</v>
      </c>
      <c r="Q2249">
        <v>30</v>
      </c>
      <c r="R2249" s="3">
        <v>0</v>
      </c>
      <c r="S2249" s="3">
        <v>0</v>
      </c>
      <c r="T2249">
        <v>0</v>
      </c>
      <c r="U2249">
        <v>0</v>
      </c>
      <c r="V2249" s="3">
        <v>0</v>
      </c>
      <c r="W2249" s="3">
        <v>0</v>
      </c>
      <c r="X2249">
        <v>0</v>
      </c>
      <c r="Y2249" t="s">
        <v>1824</v>
      </c>
    </row>
    <row r="2250" spans="1:25" hidden="1" x14ac:dyDescent="0.25">
      <c r="A2250" s="1" t="s">
        <v>40</v>
      </c>
      <c r="B2250" t="s">
        <v>110</v>
      </c>
      <c r="C2250" t="s">
        <v>27</v>
      </c>
      <c r="D2250" t="s">
        <v>27</v>
      </c>
      <c r="E2250" s="2">
        <v>45958</v>
      </c>
      <c r="F2250" s="2">
        <v>45958</v>
      </c>
      <c r="G2250" s="3">
        <v>152</v>
      </c>
      <c r="H2250" s="4" t="s">
        <v>28</v>
      </c>
      <c r="I2250" s="28">
        <f>29+11</f>
        <v>40</v>
      </c>
      <c r="J2250">
        <v>32</v>
      </c>
      <c r="K2250">
        <v>0</v>
      </c>
      <c r="L2250" s="3">
        <v>1</v>
      </c>
      <c r="M2250" s="3">
        <v>0</v>
      </c>
      <c r="N2250">
        <v>1</v>
      </c>
      <c r="O2250">
        <v>0</v>
      </c>
      <c r="P2250">
        <v>0</v>
      </c>
      <c r="Q2250">
        <v>0</v>
      </c>
      <c r="R2250" s="3">
        <v>0</v>
      </c>
      <c r="S2250" s="3">
        <v>0</v>
      </c>
      <c r="T2250">
        <v>0</v>
      </c>
      <c r="U2250">
        <v>0</v>
      </c>
      <c r="V2250" s="3">
        <v>0</v>
      </c>
      <c r="W2250" s="3">
        <v>0</v>
      </c>
      <c r="X2250">
        <v>1</v>
      </c>
      <c r="Y2250" t="s">
        <v>1825</v>
      </c>
    </row>
    <row r="2251" spans="1:25" hidden="1" x14ac:dyDescent="0.25">
      <c r="A2251" s="1" t="s">
        <v>36</v>
      </c>
      <c r="B2251" t="s">
        <v>110</v>
      </c>
      <c r="C2251" t="s">
        <v>27</v>
      </c>
      <c r="D2251" t="s">
        <v>27</v>
      </c>
      <c r="E2251" s="2">
        <v>45958</v>
      </c>
      <c r="F2251" s="2">
        <v>45958</v>
      </c>
      <c r="G2251" s="3">
        <v>152</v>
      </c>
      <c r="H2251" s="4" t="s">
        <v>28</v>
      </c>
      <c r="I2251" s="28">
        <f>29+11</f>
        <v>40</v>
      </c>
      <c r="J2251">
        <v>32</v>
      </c>
      <c r="K2251">
        <v>0</v>
      </c>
      <c r="L2251" s="3">
        <v>1</v>
      </c>
      <c r="M2251" s="3">
        <v>0</v>
      </c>
      <c r="N2251">
        <v>1</v>
      </c>
      <c r="O2251">
        <v>0</v>
      </c>
      <c r="P2251">
        <v>0</v>
      </c>
      <c r="Q2251">
        <v>0</v>
      </c>
      <c r="R2251" s="3">
        <v>0</v>
      </c>
      <c r="S2251" s="3">
        <v>0</v>
      </c>
      <c r="T2251">
        <v>0</v>
      </c>
      <c r="U2251">
        <v>0</v>
      </c>
      <c r="V2251" s="3">
        <v>0</v>
      </c>
      <c r="W2251" s="3">
        <v>0</v>
      </c>
      <c r="X2251">
        <v>1</v>
      </c>
      <c r="Y2251" t="s">
        <v>1825</v>
      </c>
    </row>
    <row r="2252" spans="1:25" hidden="1" x14ac:dyDescent="0.25">
      <c r="A2252" s="1" t="s">
        <v>1454</v>
      </c>
      <c r="B2252" t="s">
        <v>1455</v>
      </c>
      <c r="C2252" t="s">
        <v>27</v>
      </c>
      <c r="D2252" t="s">
        <v>27</v>
      </c>
      <c r="E2252" s="2">
        <v>45958</v>
      </c>
      <c r="F2252" s="2">
        <v>45958</v>
      </c>
      <c r="G2252" s="3">
        <v>36</v>
      </c>
      <c r="H2252" t="s">
        <v>28</v>
      </c>
      <c r="I2252" s="28" t="s">
        <v>1823</v>
      </c>
      <c r="J2252">
        <v>0</v>
      </c>
      <c r="K2252">
        <v>0</v>
      </c>
      <c r="L2252" s="3">
        <v>1</v>
      </c>
      <c r="M2252" s="3">
        <v>0</v>
      </c>
      <c r="N2252">
        <v>0</v>
      </c>
      <c r="O2252">
        <v>0</v>
      </c>
      <c r="P2252">
        <v>0</v>
      </c>
      <c r="Q2252">
        <v>30</v>
      </c>
      <c r="R2252" s="3">
        <v>0</v>
      </c>
      <c r="S2252" s="3">
        <v>0</v>
      </c>
      <c r="T2252">
        <v>0</v>
      </c>
      <c r="U2252">
        <v>0</v>
      </c>
      <c r="V2252" s="3">
        <v>0</v>
      </c>
      <c r="W2252" s="3">
        <v>0</v>
      </c>
      <c r="X2252">
        <v>0</v>
      </c>
      <c r="Y2252" t="s">
        <v>1826</v>
      </c>
    </row>
    <row r="2253" spans="1:25" hidden="1" x14ac:dyDescent="0.25">
      <c r="A2253" s="1" t="s">
        <v>41</v>
      </c>
      <c r="B2253" t="s">
        <v>112</v>
      </c>
      <c r="C2253" t="s">
        <v>42</v>
      </c>
      <c r="D2253" t="s">
        <v>27</v>
      </c>
      <c r="E2253" s="2">
        <v>45957</v>
      </c>
      <c r="F2253" s="2">
        <v>45957</v>
      </c>
      <c r="G2253" s="3">
        <v>30</v>
      </c>
      <c r="H2253" s="4" t="s">
        <v>28</v>
      </c>
      <c r="I2253" s="28">
        <v>36</v>
      </c>
      <c r="J2253">
        <v>0</v>
      </c>
      <c r="K2253">
        <v>0</v>
      </c>
      <c r="L2253" s="3">
        <v>1</v>
      </c>
      <c r="M2253" s="3">
        <v>0</v>
      </c>
      <c r="N2253">
        <v>0</v>
      </c>
      <c r="O2253">
        <v>0</v>
      </c>
      <c r="P2253">
        <v>0</v>
      </c>
      <c r="Q2253">
        <v>1</v>
      </c>
      <c r="R2253" s="3">
        <v>0</v>
      </c>
      <c r="S2253" s="3">
        <v>0</v>
      </c>
      <c r="T2253">
        <v>0</v>
      </c>
      <c r="U2253">
        <v>0</v>
      </c>
      <c r="V2253" s="3">
        <v>0</v>
      </c>
      <c r="W2253" s="3">
        <v>0</v>
      </c>
      <c r="X2253">
        <v>0</v>
      </c>
      <c r="Y2253" t="s">
        <v>1827</v>
      </c>
    </row>
    <row r="2254" spans="1:25" hidden="1" x14ac:dyDescent="0.25">
      <c r="A2254" s="1" t="s">
        <v>43</v>
      </c>
      <c r="B2254" t="s">
        <v>114</v>
      </c>
      <c r="C2254" t="s">
        <v>44</v>
      </c>
      <c r="D2254" t="s">
        <v>27</v>
      </c>
      <c r="E2254" s="2">
        <v>45958</v>
      </c>
      <c r="F2254" s="2">
        <v>45958</v>
      </c>
      <c r="G2254" s="3">
        <v>31</v>
      </c>
      <c r="H2254" s="4" t="s">
        <v>28</v>
      </c>
      <c r="I2254" s="28">
        <v>64</v>
      </c>
      <c r="J2254">
        <v>0</v>
      </c>
      <c r="K2254">
        <v>0</v>
      </c>
      <c r="L2254" s="3">
        <v>1</v>
      </c>
      <c r="M2254" s="3">
        <v>0</v>
      </c>
      <c r="N2254">
        <v>0</v>
      </c>
      <c r="O2254">
        <v>0</v>
      </c>
      <c r="P2254">
        <v>0</v>
      </c>
      <c r="Q2254">
        <v>0</v>
      </c>
      <c r="R2254" s="3">
        <v>0</v>
      </c>
      <c r="S2254" s="3">
        <v>0</v>
      </c>
      <c r="T2254">
        <v>0</v>
      </c>
      <c r="U2254">
        <v>0</v>
      </c>
      <c r="V2254" s="3">
        <v>0</v>
      </c>
      <c r="W2254" s="3">
        <v>0</v>
      </c>
      <c r="X2254">
        <v>0</v>
      </c>
      <c r="Y2254" t="s">
        <v>1828</v>
      </c>
    </row>
    <row r="2255" spans="1:25" hidden="1" x14ac:dyDescent="0.25">
      <c r="A2255" s="1" t="s">
        <v>45</v>
      </c>
      <c r="B2255" t="s">
        <v>116</v>
      </c>
      <c r="C2255" t="s">
        <v>46</v>
      </c>
      <c r="D2255" t="s">
        <v>27</v>
      </c>
      <c r="E2255" s="2">
        <v>45958</v>
      </c>
      <c r="F2255" s="2">
        <v>45958</v>
      </c>
      <c r="G2255" s="3">
        <v>39</v>
      </c>
      <c r="H2255" s="4" t="s">
        <v>28</v>
      </c>
      <c r="I2255" s="28">
        <f>25+4</f>
        <v>29</v>
      </c>
      <c r="J2255">
        <v>0</v>
      </c>
      <c r="K2255">
        <v>0</v>
      </c>
      <c r="L2255" s="3">
        <v>0</v>
      </c>
      <c r="M2255" s="3">
        <v>0</v>
      </c>
      <c r="N2255">
        <v>0</v>
      </c>
      <c r="O2255">
        <v>0</v>
      </c>
      <c r="P2255">
        <v>0</v>
      </c>
      <c r="Q2255">
        <v>0</v>
      </c>
      <c r="R2255" s="3">
        <v>0</v>
      </c>
      <c r="S2255" s="3">
        <v>0</v>
      </c>
      <c r="T2255">
        <v>0</v>
      </c>
      <c r="U2255">
        <v>0</v>
      </c>
      <c r="V2255" s="3">
        <v>0</v>
      </c>
      <c r="W2255" s="3">
        <v>0</v>
      </c>
      <c r="X2255">
        <v>0</v>
      </c>
      <c r="Y2255" t="s">
        <v>1829</v>
      </c>
    </row>
    <row r="2256" spans="1:25" hidden="1" x14ac:dyDescent="0.25">
      <c r="A2256" s="1" t="s">
        <v>47</v>
      </c>
      <c r="B2256" t="s">
        <v>137</v>
      </c>
      <c r="C2256" t="s">
        <v>27</v>
      </c>
      <c r="D2256" t="s">
        <v>27</v>
      </c>
      <c r="E2256" s="2">
        <v>45958</v>
      </c>
      <c r="F2256" s="2">
        <v>45958</v>
      </c>
      <c r="G2256" s="3">
        <v>33</v>
      </c>
      <c r="H2256" s="4" t="s">
        <v>28</v>
      </c>
      <c r="I2256" s="28">
        <v>36</v>
      </c>
      <c r="J2256">
        <v>0</v>
      </c>
      <c r="K2256">
        <v>0</v>
      </c>
      <c r="L2256" s="3">
        <v>1</v>
      </c>
      <c r="M2256" s="3">
        <v>0</v>
      </c>
      <c r="N2256">
        <v>0</v>
      </c>
      <c r="O2256">
        <v>0</v>
      </c>
      <c r="P2256">
        <v>0</v>
      </c>
      <c r="Q2256">
        <v>10</v>
      </c>
      <c r="R2256" s="3">
        <v>0</v>
      </c>
      <c r="S2256" s="3">
        <v>0</v>
      </c>
      <c r="T2256">
        <v>0</v>
      </c>
      <c r="U2256">
        <v>0</v>
      </c>
      <c r="V2256" s="3">
        <v>0</v>
      </c>
      <c r="W2256" s="3">
        <v>0</v>
      </c>
      <c r="X2256">
        <v>0</v>
      </c>
      <c r="Y2256" t="s">
        <v>1830</v>
      </c>
    </row>
    <row r="2257" spans="1:26" hidden="1" x14ac:dyDescent="0.25">
      <c r="A2257" s="1" t="s">
        <v>34</v>
      </c>
      <c r="B2257" t="s">
        <v>137</v>
      </c>
      <c r="C2257" t="s">
        <v>27</v>
      </c>
      <c r="D2257" t="s">
        <v>27</v>
      </c>
      <c r="E2257" s="2">
        <v>45958</v>
      </c>
      <c r="F2257" s="2">
        <v>45958</v>
      </c>
      <c r="G2257" s="3">
        <v>33</v>
      </c>
      <c r="H2257" s="4" t="s">
        <v>28</v>
      </c>
      <c r="I2257" s="28">
        <v>36</v>
      </c>
      <c r="J2257">
        <v>0</v>
      </c>
      <c r="K2257">
        <v>0</v>
      </c>
      <c r="L2257" s="3">
        <v>1</v>
      </c>
      <c r="M2257" s="3">
        <v>0</v>
      </c>
      <c r="N2257">
        <v>0</v>
      </c>
      <c r="O2257">
        <v>0</v>
      </c>
      <c r="P2257">
        <v>0</v>
      </c>
      <c r="Q2257">
        <v>10</v>
      </c>
      <c r="R2257" s="3">
        <v>0</v>
      </c>
      <c r="S2257" s="3">
        <v>0</v>
      </c>
      <c r="T2257">
        <v>0</v>
      </c>
      <c r="U2257">
        <v>0</v>
      </c>
      <c r="V2257" s="3">
        <v>0</v>
      </c>
      <c r="W2257" s="3">
        <v>0</v>
      </c>
      <c r="X2257">
        <v>0</v>
      </c>
      <c r="Y2257" t="s">
        <v>1830</v>
      </c>
    </row>
    <row r="2258" spans="1:26" hidden="1" x14ac:dyDescent="0.25">
      <c r="A2258" s="1" t="s">
        <v>49</v>
      </c>
      <c r="B2258" t="s">
        <v>118</v>
      </c>
      <c r="C2258" t="s">
        <v>50</v>
      </c>
      <c r="D2258" t="s">
        <v>27</v>
      </c>
      <c r="E2258" s="2">
        <v>45958</v>
      </c>
      <c r="F2258" s="2">
        <v>45958</v>
      </c>
      <c r="G2258" s="3">
        <v>24</v>
      </c>
      <c r="H2258" s="4" t="s">
        <v>28</v>
      </c>
      <c r="I2258" s="28">
        <f>41+2</f>
        <v>43</v>
      </c>
      <c r="J2258">
        <v>0</v>
      </c>
      <c r="K2258">
        <v>0</v>
      </c>
      <c r="L2258" s="3">
        <v>1</v>
      </c>
      <c r="M2258" s="3">
        <v>1</v>
      </c>
      <c r="N2258">
        <v>0</v>
      </c>
      <c r="O2258">
        <v>1</v>
      </c>
      <c r="P2258">
        <v>0</v>
      </c>
      <c r="Q2258">
        <v>48</v>
      </c>
      <c r="R2258" s="3">
        <v>0</v>
      </c>
      <c r="S2258" s="3">
        <v>0</v>
      </c>
      <c r="T2258">
        <v>0</v>
      </c>
      <c r="U2258">
        <v>0</v>
      </c>
      <c r="V2258" s="3">
        <v>0</v>
      </c>
      <c r="W2258" s="3">
        <v>0</v>
      </c>
      <c r="X2258">
        <v>0</v>
      </c>
      <c r="Y2258" t="s">
        <v>1831</v>
      </c>
    </row>
    <row r="2259" spans="1:26" hidden="1" x14ac:dyDescent="0.25">
      <c r="A2259" t="s">
        <v>51</v>
      </c>
      <c r="B2259" t="s">
        <v>120</v>
      </c>
      <c r="C2259" t="s">
        <v>48</v>
      </c>
      <c r="D2259" t="s">
        <v>27</v>
      </c>
      <c r="E2259" s="2">
        <v>45958</v>
      </c>
      <c r="F2259" s="2">
        <v>45958</v>
      </c>
      <c r="G2259" s="3">
        <v>110</v>
      </c>
      <c r="H2259" s="4" t="s">
        <v>28</v>
      </c>
      <c r="I2259" s="28">
        <v>30</v>
      </c>
      <c r="J2259">
        <v>0</v>
      </c>
      <c r="K2259">
        <v>0</v>
      </c>
      <c r="L2259" s="3">
        <v>0</v>
      </c>
      <c r="M2259" s="3">
        <v>0</v>
      </c>
      <c r="N2259">
        <v>0</v>
      </c>
      <c r="O2259">
        <v>0</v>
      </c>
      <c r="P2259">
        <v>0</v>
      </c>
      <c r="Q2259">
        <v>0</v>
      </c>
      <c r="R2259" s="3">
        <v>0</v>
      </c>
      <c r="S2259" s="3">
        <v>0</v>
      </c>
      <c r="T2259">
        <v>0</v>
      </c>
      <c r="U2259">
        <v>0</v>
      </c>
      <c r="V2259" s="3">
        <v>0</v>
      </c>
      <c r="W2259" s="3">
        <v>0</v>
      </c>
      <c r="X2259">
        <v>0</v>
      </c>
      <c r="Y2259" t="s">
        <v>1832</v>
      </c>
    </row>
    <row r="2260" spans="1:26" hidden="1" x14ac:dyDescent="0.25">
      <c r="A2260" t="s">
        <v>54</v>
      </c>
      <c r="B2260" t="s">
        <v>122</v>
      </c>
      <c r="C2260" t="s">
        <v>52</v>
      </c>
      <c r="D2260" t="s">
        <v>27</v>
      </c>
      <c r="E2260" s="2">
        <v>45958</v>
      </c>
      <c r="F2260" s="2">
        <v>45958</v>
      </c>
      <c r="G2260" s="3">
        <v>36</v>
      </c>
      <c r="H2260" s="4" t="s">
        <v>28</v>
      </c>
      <c r="I2260" s="28">
        <f>52+3</f>
        <v>55</v>
      </c>
      <c r="J2260">
        <v>0</v>
      </c>
      <c r="K2260">
        <v>0</v>
      </c>
      <c r="L2260" s="3">
        <v>0</v>
      </c>
      <c r="M2260" s="3">
        <v>0</v>
      </c>
      <c r="N2260">
        <v>0</v>
      </c>
      <c r="O2260">
        <v>0</v>
      </c>
      <c r="P2260">
        <v>0</v>
      </c>
      <c r="Q2260">
        <v>2</v>
      </c>
      <c r="R2260" s="3">
        <v>0</v>
      </c>
      <c r="S2260" s="3">
        <v>0</v>
      </c>
      <c r="T2260">
        <v>0</v>
      </c>
      <c r="U2260">
        <v>0</v>
      </c>
      <c r="V2260" s="3">
        <v>0</v>
      </c>
      <c r="W2260" s="3">
        <v>0</v>
      </c>
      <c r="X2260">
        <v>0</v>
      </c>
      <c r="Y2260" t="s">
        <v>1833</v>
      </c>
    </row>
    <row r="2261" spans="1:26" hidden="1" x14ac:dyDescent="0.25">
      <c r="A2261" t="s">
        <v>58</v>
      </c>
      <c r="B2261" t="s">
        <v>144</v>
      </c>
      <c r="C2261" t="s">
        <v>489</v>
      </c>
      <c r="D2261" t="s">
        <v>27</v>
      </c>
      <c r="E2261" s="2">
        <v>45958</v>
      </c>
      <c r="F2261" s="2">
        <v>45958</v>
      </c>
      <c r="G2261" s="3">
        <v>33</v>
      </c>
      <c r="H2261" s="4" t="s">
        <v>28</v>
      </c>
      <c r="I2261" s="28">
        <f>29+2</f>
        <v>31</v>
      </c>
      <c r="J2261">
        <v>0</v>
      </c>
      <c r="K2261">
        <v>0</v>
      </c>
      <c r="L2261" s="3">
        <v>1</v>
      </c>
      <c r="M2261" s="3">
        <v>0</v>
      </c>
      <c r="N2261">
        <v>0</v>
      </c>
      <c r="O2261">
        <v>0</v>
      </c>
      <c r="P2261">
        <v>0</v>
      </c>
      <c r="Q2261">
        <v>18</v>
      </c>
      <c r="R2261" s="3">
        <v>0</v>
      </c>
      <c r="S2261" s="3">
        <v>0</v>
      </c>
      <c r="T2261">
        <v>0</v>
      </c>
      <c r="U2261">
        <v>0</v>
      </c>
      <c r="V2261" s="3">
        <v>0</v>
      </c>
      <c r="W2261" s="3">
        <v>0</v>
      </c>
      <c r="X2261">
        <v>0</v>
      </c>
      <c r="Y2261" t="s">
        <v>1834</v>
      </c>
    </row>
    <row r="2262" spans="1:26" hidden="1" x14ac:dyDescent="0.25">
      <c r="A2262" t="s">
        <v>25</v>
      </c>
      <c r="B2262" t="s">
        <v>96</v>
      </c>
      <c r="C2262" t="s">
        <v>26</v>
      </c>
      <c r="D2262" t="s">
        <v>27</v>
      </c>
      <c r="E2262" s="2">
        <v>45959</v>
      </c>
      <c r="F2262" s="2">
        <v>45959</v>
      </c>
      <c r="G2262" s="3">
        <v>38</v>
      </c>
      <c r="H2262" s="4" t="s">
        <v>28</v>
      </c>
      <c r="I2262" s="28">
        <f>46+11</f>
        <v>57</v>
      </c>
      <c r="J2262">
        <v>0</v>
      </c>
      <c r="K2262">
        <v>0</v>
      </c>
      <c r="L2262" s="3">
        <v>1</v>
      </c>
      <c r="M2262" s="3">
        <v>0</v>
      </c>
      <c r="N2262">
        <v>1</v>
      </c>
      <c r="O2262">
        <v>0</v>
      </c>
      <c r="P2262">
        <v>0</v>
      </c>
      <c r="Q2262">
        <v>0</v>
      </c>
      <c r="R2262" s="3">
        <v>0</v>
      </c>
      <c r="S2262" s="3">
        <v>0</v>
      </c>
      <c r="T2262">
        <v>0</v>
      </c>
      <c r="U2262">
        <v>0</v>
      </c>
      <c r="V2262" s="3">
        <v>0</v>
      </c>
      <c r="W2262" s="3">
        <v>0</v>
      </c>
      <c r="X2262">
        <v>0</v>
      </c>
      <c r="Y2262" t="s">
        <v>1835</v>
      </c>
    </row>
    <row r="2263" spans="1:26" hidden="1" x14ac:dyDescent="0.25">
      <c r="A2263" t="s">
        <v>56</v>
      </c>
      <c r="B2263" t="s">
        <v>98</v>
      </c>
      <c r="C2263" t="s">
        <v>37</v>
      </c>
      <c r="D2263" t="s">
        <v>27</v>
      </c>
      <c r="E2263" s="2">
        <v>45959</v>
      </c>
      <c r="F2263" s="2">
        <v>45959</v>
      </c>
      <c r="G2263" s="3">
        <v>52</v>
      </c>
      <c r="H2263" s="4" t="s">
        <v>28</v>
      </c>
      <c r="I2263" s="28">
        <v>63</v>
      </c>
      <c r="J2263">
        <v>0</v>
      </c>
      <c r="K2263">
        <v>0</v>
      </c>
      <c r="L2263" s="3">
        <v>1</v>
      </c>
      <c r="M2263" s="3">
        <v>0</v>
      </c>
      <c r="N2263">
        <v>0</v>
      </c>
      <c r="O2263">
        <v>0</v>
      </c>
      <c r="P2263">
        <v>0</v>
      </c>
      <c r="Q2263">
        <v>10</v>
      </c>
      <c r="R2263" s="3">
        <v>0</v>
      </c>
      <c r="S2263" s="3">
        <v>0</v>
      </c>
      <c r="T2263">
        <v>0</v>
      </c>
      <c r="U2263">
        <v>0</v>
      </c>
      <c r="V2263" s="3">
        <v>0</v>
      </c>
      <c r="W2263" s="3">
        <v>0</v>
      </c>
      <c r="X2263">
        <v>0</v>
      </c>
      <c r="Y2263" t="s">
        <v>1836</v>
      </c>
    </row>
    <row r="2264" spans="1:26" hidden="1" x14ac:dyDescent="0.25">
      <c r="A2264" t="s">
        <v>29</v>
      </c>
      <c r="B2264" t="s">
        <v>100</v>
      </c>
      <c r="C2264" t="s">
        <v>95</v>
      </c>
      <c r="D2264" t="s">
        <v>27</v>
      </c>
      <c r="E2264" s="2">
        <v>45959</v>
      </c>
      <c r="F2264" s="2">
        <v>45959</v>
      </c>
      <c r="G2264" s="3">
        <v>31</v>
      </c>
      <c r="H2264" s="4" t="s">
        <v>28</v>
      </c>
      <c r="I2264" s="28">
        <f>36+4</f>
        <v>40</v>
      </c>
      <c r="J2264">
        <v>0</v>
      </c>
      <c r="K2264">
        <v>0</v>
      </c>
      <c r="L2264" s="3">
        <v>1</v>
      </c>
      <c r="M2264" s="3">
        <v>0</v>
      </c>
      <c r="N2264">
        <v>0</v>
      </c>
      <c r="O2264">
        <v>0</v>
      </c>
      <c r="P2264">
        <v>0</v>
      </c>
      <c r="Q2264">
        <v>8</v>
      </c>
      <c r="R2264" s="3">
        <v>0</v>
      </c>
      <c r="S2264" s="3">
        <v>0</v>
      </c>
      <c r="T2264">
        <v>0</v>
      </c>
      <c r="U2264">
        <v>0</v>
      </c>
      <c r="V2264" s="3">
        <v>0</v>
      </c>
      <c r="W2264" s="3">
        <v>0</v>
      </c>
      <c r="X2264">
        <v>0</v>
      </c>
      <c r="Y2264" t="s">
        <v>1837</v>
      </c>
    </row>
    <row r="2265" spans="1:26" hidden="1" x14ac:dyDescent="0.25">
      <c r="A2265" s="1" t="s">
        <v>344</v>
      </c>
      <c r="B2265" t="s">
        <v>144</v>
      </c>
      <c r="C2265" t="s">
        <v>27</v>
      </c>
      <c r="D2265" t="s">
        <v>27</v>
      </c>
      <c r="E2265" s="2">
        <v>45954</v>
      </c>
      <c r="F2265" s="2">
        <v>45954</v>
      </c>
      <c r="G2265" s="3">
        <v>32</v>
      </c>
      <c r="H2265" s="4" t="s">
        <v>180</v>
      </c>
      <c r="I2265" s="28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1772</v>
      </c>
      <c r="Z2265" t="s">
        <v>1772</v>
      </c>
    </row>
    <row r="2266" spans="1:26" hidden="1" x14ac:dyDescent="0.25">
      <c r="A2266" t="s">
        <v>31</v>
      </c>
      <c r="B2266" t="s">
        <v>104</v>
      </c>
      <c r="C2266" t="s">
        <v>32</v>
      </c>
      <c r="D2266" t="s">
        <v>27</v>
      </c>
      <c r="E2266" s="2">
        <v>45959</v>
      </c>
      <c r="F2266" s="2">
        <v>45959</v>
      </c>
      <c r="G2266" s="3">
        <v>61</v>
      </c>
      <c r="H2266" s="4" t="s">
        <v>28</v>
      </c>
      <c r="I2266" s="28">
        <f>91+2</f>
        <v>93</v>
      </c>
      <c r="J2266">
        <v>25</v>
      </c>
      <c r="K2266">
        <v>0</v>
      </c>
      <c r="L2266" s="3">
        <v>1</v>
      </c>
      <c r="M2266" s="3">
        <v>0</v>
      </c>
      <c r="N2266">
        <v>0</v>
      </c>
      <c r="O2266">
        <v>0</v>
      </c>
      <c r="P2266">
        <v>0</v>
      </c>
      <c r="Q2266">
        <v>34</v>
      </c>
      <c r="R2266" s="3">
        <v>0</v>
      </c>
      <c r="S2266" s="3">
        <v>0</v>
      </c>
      <c r="T2266">
        <v>0</v>
      </c>
      <c r="U2266">
        <v>0</v>
      </c>
      <c r="V2266" s="3">
        <v>0</v>
      </c>
      <c r="W2266" s="3">
        <v>0</v>
      </c>
      <c r="X2266">
        <v>1</v>
      </c>
      <c r="Y2266" t="s">
        <v>1838</v>
      </c>
    </row>
    <row r="2267" spans="1:26" hidden="1" x14ac:dyDescent="0.25">
      <c r="A2267" t="s">
        <v>33</v>
      </c>
      <c r="B2267" t="s">
        <v>106</v>
      </c>
      <c r="C2267" t="s">
        <v>57</v>
      </c>
      <c r="D2267" t="s">
        <v>27</v>
      </c>
      <c r="E2267" s="2">
        <v>45957</v>
      </c>
      <c r="F2267" s="2">
        <v>45957</v>
      </c>
      <c r="G2267" s="3">
        <v>42</v>
      </c>
      <c r="H2267" s="4" t="s">
        <v>28</v>
      </c>
      <c r="I2267" s="28">
        <f>64+3</f>
        <v>67</v>
      </c>
      <c r="J2267">
        <v>0</v>
      </c>
      <c r="K2267">
        <v>0</v>
      </c>
      <c r="L2267" s="3">
        <v>0</v>
      </c>
      <c r="M2267" s="3">
        <v>0</v>
      </c>
      <c r="N2267">
        <v>0</v>
      </c>
      <c r="O2267">
        <v>0</v>
      </c>
      <c r="P2267">
        <v>0</v>
      </c>
      <c r="Q2267">
        <v>20</v>
      </c>
      <c r="R2267" s="3">
        <v>0</v>
      </c>
      <c r="S2267" s="3">
        <v>0</v>
      </c>
      <c r="T2267">
        <v>0</v>
      </c>
      <c r="U2267">
        <v>0</v>
      </c>
      <c r="V2267" s="3">
        <v>0</v>
      </c>
      <c r="W2267" s="3">
        <v>0</v>
      </c>
      <c r="X2267">
        <v>0</v>
      </c>
      <c r="Y2267" t="s">
        <v>1809</v>
      </c>
    </row>
    <row r="2268" spans="1:26" hidden="1" x14ac:dyDescent="0.25">
      <c r="A2268" t="s">
        <v>33</v>
      </c>
      <c r="B2268" t="s">
        <v>106</v>
      </c>
      <c r="C2268" t="s">
        <v>57</v>
      </c>
      <c r="D2268" t="s">
        <v>27</v>
      </c>
      <c r="E2268" s="2">
        <v>45959</v>
      </c>
      <c r="F2268" s="2">
        <v>45959</v>
      </c>
      <c r="G2268" s="5">
        <v>3871</v>
      </c>
      <c r="H2268" s="4" t="s">
        <v>28</v>
      </c>
      <c r="I2268" s="28">
        <f>49+1</f>
        <v>50</v>
      </c>
      <c r="J2268">
        <v>0</v>
      </c>
      <c r="K2268">
        <v>0</v>
      </c>
      <c r="L2268" s="3">
        <v>0</v>
      </c>
      <c r="M2268" s="3">
        <v>0</v>
      </c>
      <c r="N2268">
        <v>0</v>
      </c>
      <c r="O2268">
        <v>0</v>
      </c>
      <c r="P2268">
        <v>0</v>
      </c>
      <c r="Q2268">
        <v>20</v>
      </c>
      <c r="R2268" s="3">
        <v>0</v>
      </c>
      <c r="S2268" s="3">
        <v>0</v>
      </c>
      <c r="T2268">
        <v>0</v>
      </c>
      <c r="U2268">
        <v>0</v>
      </c>
      <c r="V2268" s="3">
        <v>0</v>
      </c>
      <c r="W2268" s="3">
        <v>0</v>
      </c>
      <c r="X2268">
        <v>0</v>
      </c>
      <c r="Y2268" t="s">
        <v>1839</v>
      </c>
    </row>
    <row r="2269" spans="1:26" hidden="1" x14ac:dyDescent="0.25">
      <c r="A2269" s="1" t="s">
        <v>38</v>
      </c>
      <c r="B2269" t="s">
        <v>108</v>
      </c>
      <c r="C2269" t="s">
        <v>27</v>
      </c>
      <c r="D2269" t="s">
        <v>27</v>
      </c>
      <c r="E2269" s="2">
        <v>45959</v>
      </c>
      <c r="F2269" s="2">
        <v>45959</v>
      </c>
      <c r="G2269" s="3">
        <v>44</v>
      </c>
      <c r="H2269" s="4" t="s">
        <v>28</v>
      </c>
      <c r="I2269" s="28">
        <v>41</v>
      </c>
      <c r="J2269">
        <v>0</v>
      </c>
      <c r="K2269">
        <v>0</v>
      </c>
      <c r="L2269" s="3">
        <v>0</v>
      </c>
      <c r="M2269" s="3">
        <v>0</v>
      </c>
      <c r="N2269">
        <v>0</v>
      </c>
      <c r="O2269">
        <v>0</v>
      </c>
      <c r="P2269">
        <v>0</v>
      </c>
      <c r="Q2269">
        <v>56</v>
      </c>
      <c r="R2269" s="3">
        <v>0</v>
      </c>
      <c r="S2269" s="3">
        <v>0</v>
      </c>
      <c r="T2269">
        <v>0</v>
      </c>
      <c r="U2269">
        <v>0</v>
      </c>
      <c r="V2269" s="3">
        <v>0</v>
      </c>
      <c r="W2269" s="3">
        <v>0</v>
      </c>
      <c r="X2269">
        <v>0</v>
      </c>
      <c r="Y2269" t="s">
        <v>1840</v>
      </c>
    </row>
    <row r="2270" spans="1:26" hidden="1" x14ac:dyDescent="0.25">
      <c r="A2270" s="1" t="s">
        <v>40</v>
      </c>
      <c r="B2270" t="s">
        <v>110</v>
      </c>
      <c r="C2270" t="s">
        <v>27</v>
      </c>
      <c r="D2270" t="s">
        <v>27</v>
      </c>
      <c r="E2270" s="2">
        <v>45959</v>
      </c>
      <c r="F2270" s="2">
        <v>45959</v>
      </c>
      <c r="G2270" s="3">
        <v>133</v>
      </c>
      <c r="H2270" s="4" t="s">
        <v>28</v>
      </c>
      <c r="I2270" s="28">
        <v>68</v>
      </c>
      <c r="J2270">
        <v>0</v>
      </c>
      <c r="K2270">
        <v>0</v>
      </c>
      <c r="L2270" s="3">
        <v>1</v>
      </c>
      <c r="M2270" s="3">
        <v>0</v>
      </c>
      <c r="N2270">
        <v>1</v>
      </c>
      <c r="O2270">
        <v>0</v>
      </c>
      <c r="P2270">
        <v>0</v>
      </c>
      <c r="Q2270">
        <v>0</v>
      </c>
      <c r="R2270" s="3">
        <v>0</v>
      </c>
      <c r="S2270" s="3">
        <v>0</v>
      </c>
      <c r="T2270">
        <v>0</v>
      </c>
      <c r="U2270">
        <v>0</v>
      </c>
      <c r="V2270" s="3">
        <v>0</v>
      </c>
      <c r="W2270" s="3">
        <v>0</v>
      </c>
      <c r="X2270">
        <v>0</v>
      </c>
      <c r="Y2270" t="s">
        <v>1841</v>
      </c>
    </row>
    <row r="2271" spans="1:26" hidden="1" x14ac:dyDescent="0.25">
      <c r="A2271" s="1" t="s">
        <v>36</v>
      </c>
      <c r="B2271" t="s">
        <v>110</v>
      </c>
      <c r="C2271" t="s">
        <v>27</v>
      </c>
      <c r="D2271" t="s">
        <v>27</v>
      </c>
      <c r="E2271" s="2">
        <v>45959</v>
      </c>
      <c r="F2271" s="2">
        <v>45959</v>
      </c>
      <c r="G2271" s="3">
        <v>133</v>
      </c>
      <c r="H2271" s="4" t="s">
        <v>28</v>
      </c>
      <c r="I2271" s="28">
        <v>68</v>
      </c>
      <c r="J2271">
        <v>0</v>
      </c>
      <c r="K2271">
        <v>0</v>
      </c>
      <c r="L2271" s="3">
        <v>1</v>
      </c>
      <c r="M2271" s="3">
        <v>0</v>
      </c>
      <c r="N2271">
        <v>1</v>
      </c>
      <c r="O2271">
        <v>0</v>
      </c>
      <c r="P2271">
        <v>0</v>
      </c>
      <c r="Q2271">
        <v>0</v>
      </c>
      <c r="R2271" s="3">
        <v>0</v>
      </c>
      <c r="S2271" s="3">
        <v>0</v>
      </c>
      <c r="T2271">
        <v>0</v>
      </c>
      <c r="U2271">
        <v>0</v>
      </c>
      <c r="V2271" s="3">
        <v>0</v>
      </c>
      <c r="W2271" s="3">
        <v>0</v>
      </c>
      <c r="X2271">
        <v>0</v>
      </c>
      <c r="Y2271" t="s">
        <v>1841</v>
      </c>
    </row>
    <row r="2272" spans="1:26" hidden="1" x14ac:dyDescent="0.25">
      <c r="A2272" s="1" t="s">
        <v>1454</v>
      </c>
      <c r="B2272" t="s">
        <v>1455</v>
      </c>
      <c r="C2272" t="s">
        <v>27</v>
      </c>
      <c r="D2272" t="s">
        <v>27</v>
      </c>
      <c r="E2272" s="2">
        <v>45959</v>
      </c>
      <c r="F2272" s="2">
        <v>45959</v>
      </c>
      <c r="G2272" s="3">
        <v>33</v>
      </c>
      <c r="H2272" t="s">
        <v>28</v>
      </c>
      <c r="I2272" s="28">
        <v>51</v>
      </c>
      <c r="J2272">
        <v>0</v>
      </c>
      <c r="K2272">
        <v>0</v>
      </c>
      <c r="L2272" s="3">
        <v>1</v>
      </c>
      <c r="M2272" s="3">
        <v>0</v>
      </c>
      <c r="N2272">
        <v>0</v>
      </c>
      <c r="O2272">
        <v>0</v>
      </c>
      <c r="P2272">
        <v>0</v>
      </c>
      <c r="Q2272">
        <v>51</v>
      </c>
      <c r="R2272" s="3">
        <v>0</v>
      </c>
      <c r="S2272" s="3">
        <v>0</v>
      </c>
      <c r="T2272">
        <v>0</v>
      </c>
      <c r="U2272">
        <v>0</v>
      </c>
      <c r="V2272" s="3">
        <v>0</v>
      </c>
      <c r="W2272" s="3">
        <v>0</v>
      </c>
      <c r="X2272">
        <v>0</v>
      </c>
      <c r="Y2272" t="s">
        <v>1842</v>
      </c>
    </row>
    <row r="2273" spans="1:25" hidden="1" x14ac:dyDescent="0.25">
      <c r="A2273" s="1" t="s">
        <v>41</v>
      </c>
      <c r="B2273" t="s">
        <v>112</v>
      </c>
      <c r="C2273" t="s">
        <v>42</v>
      </c>
      <c r="D2273" t="s">
        <v>27</v>
      </c>
      <c r="E2273" s="2">
        <v>45958</v>
      </c>
      <c r="F2273" s="2">
        <v>45958</v>
      </c>
      <c r="G2273" s="3">
        <v>30</v>
      </c>
      <c r="H2273" s="4" t="s">
        <v>28</v>
      </c>
      <c r="I2273" s="28">
        <f>22+8</f>
        <v>30</v>
      </c>
      <c r="J2273">
        <v>0</v>
      </c>
      <c r="K2273">
        <v>0</v>
      </c>
      <c r="L2273" s="3">
        <v>1</v>
      </c>
      <c r="M2273" s="3">
        <v>0</v>
      </c>
      <c r="N2273">
        <v>0</v>
      </c>
      <c r="O2273">
        <v>0</v>
      </c>
      <c r="P2273">
        <v>0</v>
      </c>
      <c r="Q2273">
        <v>1</v>
      </c>
      <c r="R2273" s="3">
        <v>0</v>
      </c>
      <c r="S2273" s="3">
        <v>0</v>
      </c>
      <c r="T2273">
        <v>0</v>
      </c>
      <c r="U2273">
        <v>0</v>
      </c>
      <c r="V2273" s="3">
        <v>0</v>
      </c>
      <c r="W2273" s="3">
        <v>0</v>
      </c>
      <c r="X2273">
        <v>0</v>
      </c>
      <c r="Y2273" t="s">
        <v>1827</v>
      </c>
    </row>
    <row r="2274" spans="1:25" hidden="1" x14ac:dyDescent="0.25">
      <c r="A2274" s="1" t="s">
        <v>43</v>
      </c>
      <c r="B2274" t="s">
        <v>114</v>
      </c>
      <c r="C2274" t="s">
        <v>1843</v>
      </c>
      <c r="D2274" t="s">
        <v>27</v>
      </c>
      <c r="E2274" s="2">
        <v>45959</v>
      </c>
      <c r="F2274" s="2">
        <v>45959</v>
      </c>
      <c r="G2274" s="3">
        <v>56</v>
      </c>
      <c r="H2274" s="4" t="s">
        <v>28</v>
      </c>
      <c r="I2274" s="28">
        <v>38</v>
      </c>
      <c r="J2274">
        <v>0</v>
      </c>
      <c r="K2274">
        <v>0</v>
      </c>
      <c r="L2274" s="3">
        <v>0</v>
      </c>
      <c r="M2274" s="3">
        <v>0</v>
      </c>
      <c r="N2274">
        <v>0</v>
      </c>
      <c r="O2274">
        <v>0</v>
      </c>
      <c r="P2274">
        <v>0</v>
      </c>
      <c r="Q2274">
        <v>0</v>
      </c>
      <c r="R2274" s="3">
        <v>0</v>
      </c>
      <c r="S2274" s="3">
        <v>0</v>
      </c>
      <c r="T2274">
        <v>0</v>
      </c>
      <c r="U2274">
        <v>0</v>
      </c>
      <c r="V2274" s="3">
        <v>0</v>
      </c>
      <c r="W2274" s="3">
        <v>0</v>
      </c>
      <c r="X2274">
        <v>0</v>
      </c>
      <c r="Y2274" t="s">
        <v>1844</v>
      </c>
    </row>
    <row r="2275" spans="1:25" hidden="1" x14ac:dyDescent="0.25">
      <c r="A2275" s="1" t="s">
        <v>45</v>
      </c>
      <c r="B2275" t="s">
        <v>116</v>
      </c>
      <c r="C2275" t="s">
        <v>46</v>
      </c>
      <c r="D2275" t="s">
        <v>27</v>
      </c>
      <c r="E2275" s="2">
        <v>45959</v>
      </c>
      <c r="F2275" s="2">
        <v>45959</v>
      </c>
      <c r="G2275" s="3">
        <v>45</v>
      </c>
      <c r="H2275" s="4" t="s">
        <v>28</v>
      </c>
      <c r="I2275" s="28">
        <f>44+30</f>
        <v>74</v>
      </c>
      <c r="J2275">
        <v>0</v>
      </c>
      <c r="K2275">
        <v>0</v>
      </c>
      <c r="L2275" s="3">
        <v>1</v>
      </c>
      <c r="M2275" s="3">
        <v>0</v>
      </c>
      <c r="N2275">
        <v>0</v>
      </c>
      <c r="O2275">
        <v>0</v>
      </c>
      <c r="P2275">
        <v>0</v>
      </c>
      <c r="Q2275">
        <v>12</v>
      </c>
      <c r="R2275" s="3">
        <v>0</v>
      </c>
      <c r="S2275" s="3">
        <v>0</v>
      </c>
      <c r="T2275">
        <v>0</v>
      </c>
      <c r="U2275">
        <v>0</v>
      </c>
      <c r="V2275" s="3">
        <v>0</v>
      </c>
      <c r="W2275" s="3">
        <v>0</v>
      </c>
      <c r="X2275">
        <v>0</v>
      </c>
      <c r="Y2275" t="s">
        <v>1845</v>
      </c>
    </row>
    <row r="2276" spans="1:25" hidden="1" x14ac:dyDescent="0.25">
      <c r="A2276" s="1" t="s">
        <v>47</v>
      </c>
      <c r="B2276" t="s">
        <v>137</v>
      </c>
      <c r="C2276" t="s">
        <v>27</v>
      </c>
      <c r="D2276" t="s">
        <v>27</v>
      </c>
      <c r="E2276" s="2">
        <v>45959</v>
      </c>
      <c r="F2276" s="2">
        <v>45959</v>
      </c>
      <c r="G2276" s="3">
        <v>48</v>
      </c>
      <c r="H2276" s="4" t="s">
        <v>28</v>
      </c>
      <c r="I2276" s="28">
        <v>61</v>
      </c>
      <c r="J2276">
        <v>0</v>
      </c>
      <c r="K2276">
        <v>0</v>
      </c>
      <c r="L2276" s="3">
        <v>1</v>
      </c>
      <c r="M2276" s="3">
        <v>0</v>
      </c>
      <c r="N2276">
        <v>0</v>
      </c>
      <c r="O2276">
        <v>0</v>
      </c>
      <c r="P2276">
        <v>0</v>
      </c>
      <c r="Q2276">
        <v>15</v>
      </c>
      <c r="R2276" s="3">
        <v>0</v>
      </c>
      <c r="S2276" s="3">
        <v>0</v>
      </c>
      <c r="T2276">
        <v>0</v>
      </c>
      <c r="U2276">
        <v>0</v>
      </c>
      <c r="V2276" s="3">
        <v>0</v>
      </c>
      <c r="W2276" s="3">
        <v>0</v>
      </c>
      <c r="X2276">
        <v>0</v>
      </c>
      <c r="Y2276" t="s">
        <v>1846</v>
      </c>
    </row>
    <row r="2277" spans="1:25" hidden="1" x14ac:dyDescent="0.25">
      <c r="A2277" s="1" t="s">
        <v>34</v>
      </c>
      <c r="B2277" t="s">
        <v>137</v>
      </c>
      <c r="C2277" t="s">
        <v>27</v>
      </c>
      <c r="D2277" t="s">
        <v>27</v>
      </c>
      <c r="E2277" s="2">
        <v>45959</v>
      </c>
      <c r="F2277" s="2">
        <v>45959</v>
      </c>
      <c r="G2277" s="3">
        <v>48</v>
      </c>
      <c r="H2277" s="4" t="s">
        <v>28</v>
      </c>
      <c r="I2277" s="28">
        <v>61</v>
      </c>
      <c r="J2277">
        <v>0</v>
      </c>
      <c r="K2277">
        <v>0</v>
      </c>
      <c r="L2277" s="3">
        <v>1</v>
      </c>
      <c r="M2277" s="3">
        <v>0</v>
      </c>
      <c r="N2277">
        <v>0</v>
      </c>
      <c r="O2277">
        <v>0</v>
      </c>
      <c r="P2277">
        <v>0</v>
      </c>
      <c r="Q2277">
        <v>15</v>
      </c>
      <c r="R2277" s="3">
        <v>0</v>
      </c>
      <c r="S2277" s="3">
        <v>0</v>
      </c>
      <c r="T2277">
        <v>0</v>
      </c>
      <c r="U2277">
        <v>0</v>
      </c>
      <c r="V2277" s="3">
        <v>0</v>
      </c>
      <c r="W2277" s="3">
        <v>0</v>
      </c>
      <c r="X2277">
        <v>0</v>
      </c>
      <c r="Y2277" t="s">
        <v>1846</v>
      </c>
    </row>
    <row r="2278" spans="1:25" hidden="1" x14ac:dyDescent="0.25">
      <c r="A2278" s="1" t="s">
        <v>49</v>
      </c>
      <c r="B2278" t="s">
        <v>118</v>
      </c>
      <c r="C2278" t="s">
        <v>50</v>
      </c>
      <c r="D2278" t="s">
        <v>27</v>
      </c>
      <c r="E2278" s="2">
        <v>45959</v>
      </c>
      <c r="F2278" s="2">
        <v>45959</v>
      </c>
      <c r="G2278" s="3">
        <v>25</v>
      </c>
      <c r="H2278" s="4" t="s">
        <v>28</v>
      </c>
      <c r="I2278" s="28">
        <f>39+17</f>
        <v>56</v>
      </c>
      <c r="J2278">
        <v>0</v>
      </c>
      <c r="K2278">
        <v>0</v>
      </c>
      <c r="L2278" s="3">
        <v>1</v>
      </c>
      <c r="M2278" s="3">
        <v>1</v>
      </c>
      <c r="N2278">
        <v>0</v>
      </c>
      <c r="O2278">
        <v>0</v>
      </c>
      <c r="P2278">
        <v>0</v>
      </c>
      <c r="Q2278">
        <v>44</v>
      </c>
      <c r="R2278" s="3">
        <v>0</v>
      </c>
      <c r="S2278" s="3">
        <v>0</v>
      </c>
      <c r="T2278">
        <v>0</v>
      </c>
      <c r="U2278">
        <v>0</v>
      </c>
      <c r="V2278" s="3">
        <v>0</v>
      </c>
      <c r="W2278" s="3">
        <v>0</v>
      </c>
      <c r="X2278">
        <v>0</v>
      </c>
      <c r="Y2278" t="s">
        <v>1847</v>
      </c>
    </row>
    <row r="2279" spans="1:25" hidden="1" x14ac:dyDescent="0.25">
      <c r="A2279" t="s">
        <v>51</v>
      </c>
      <c r="B2279" t="s">
        <v>120</v>
      </c>
      <c r="C2279" t="s">
        <v>55</v>
      </c>
      <c r="D2279" t="s">
        <v>27</v>
      </c>
      <c r="E2279" s="2">
        <v>45959</v>
      </c>
      <c r="F2279" s="2">
        <v>45959</v>
      </c>
      <c r="G2279" s="3">
        <v>74</v>
      </c>
      <c r="H2279" s="4" t="s">
        <v>28</v>
      </c>
      <c r="I2279" s="28">
        <f>56+7</f>
        <v>63</v>
      </c>
      <c r="J2279">
        <v>0</v>
      </c>
      <c r="K2279">
        <v>0</v>
      </c>
      <c r="L2279" s="3">
        <v>1</v>
      </c>
      <c r="M2279" s="3">
        <v>0</v>
      </c>
      <c r="N2279">
        <v>1</v>
      </c>
      <c r="O2279">
        <v>0</v>
      </c>
      <c r="P2279">
        <v>0</v>
      </c>
      <c r="Q2279">
        <v>0</v>
      </c>
      <c r="R2279" s="3">
        <v>0</v>
      </c>
      <c r="S2279" s="3">
        <v>0</v>
      </c>
      <c r="T2279">
        <v>0</v>
      </c>
      <c r="U2279">
        <v>0</v>
      </c>
      <c r="V2279" s="3">
        <v>0</v>
      </c>
      <c r="W2279" s="3">
        <v>0</v>
      </c>
      <c r="X2279">
        <v>0</v>
      </c>
      <c r="Y2279" t="s">
        <v>1848</v>
      </c>
    </row>
    <row r="2280" spans="1:25" hidden="1" x14ac:dyDescent="0.25">
      <c r="A2280" t="s">
        <v>54</v>
      </c>
      <c r="B2280" t="s">
        <v>122</v>
      </c>
      <c r="C2280" t="s">
        <v>52</v>
      </c>
      <c r="D2280" t="s">
        <v>27</v>
      </c>
      <c r="E2280" s="2">
        <v>45959</v>
      </c>
      <c r="F2280" s="2">
        <v>45959</v>
      </c>
      <c r="G2280" s="3">
        <v>35</v>
      </c>
      <c r="H2280" s="4" t="s">
        <v>28</v>
      </c>
      <c r="I2280" s="28">
        <f>26+1</f>
        <v>27</v>
      </c>
      <c r="J2280">
        <v>0</v>
      </c>
      <c r="K2280">
        <v>0</v>
      </c>
      <c r="L2280" s="3">
        <v>0</v>
      </c>
      <c r="M2280" s="3">
        <v>0</v>
      </c>
      <c r="N2280">
        <v>0</v>
      </c>
      <c r="O2280">
        <v>0</v>
      </c>
      <c r="P2280">
        <v>0</v>
      </c>
      <c r="Q2280">
        <v>2</v>
      </c>
      <c r="R2280" s="3">
        <v>0</v>
      </c>
      <c r="S2280" s="3">
        <v>0</v>
      </c>
      <c r="T2280">
        <v>0</v>
      </c>
      <c r="U2280">
        <v>0</v>
      </c>
      <c r="V2280" s="3">
        <v>0</v>
      </c>
      <c r="W2280" s="3">
        <v>0</v>
      </c>
      <c r="X2280">
        <v>0</v>
      </c>
      <c r="Y2280" t="s">
        <v>1849</v>
      </c>
    </row>
    <row r="2281" spans="1:25" hidden="1" x14ac:dyDescent="0.25">
      <c r="A2281" t="s">
        <v>58</v>
      </c>
      <c r="B2281" t="s">
        <v>144</v>
      </c>
      <c r="C2281" t="s">
        <v>489</v>
      </c>
      <c r="D2281" t="s">
        <v>27</v>
      </c>
      <c r="E2281" s="2">
        <v>45959</v>
      </c>
      <c r="F2281" s="2">
        <v>45959</v>
      </c>
      <c r="G2281" s="3">
        <v>22</v>
      </c>
      <c r="H2281" s="4" t="s">
        <v>28</v>
      </c>
      <c r="I2281" s="28">
        <f>33+23</f>
        <v>56</v>
      </c>
      <c r="J2281">
        <v>0</v>
      </c>
      <c r="K2281">
        <v>0</v>
      </c>
      <c r="L2281" s="3">
        <v>1</v>
      </c>
      <c r="M2281" s="3">
        <v>0</v>
      </c>
      <c r="N2281">
        <v>0</v>
      </c>
      <c r="O2281">
        <v>0</v>
      </c>
      <c r="P2281">
        <v>0</v>
      </c>
      <c r="Q2281">
        <v>38</v>
      </c>
      <c r="R2281" s="3">
        <v>0</v>
      </c>
      <c r="S2281" s="3">
        <v>0</v>
      </c>
      <c r="T2281">
        <v>0</v>
      </c>
      <c r="U2281">
        <v>0</v>
      </c>
      <c r="V2281" s="3">
        <v>0</v>
      </c>
      <c r="W2281" s="3">
        <v>0</v>
      </c>
      <c r="X2281">
        <v>0</v>
      </c>
      <c r="Y2281" t="s">
        <v>1850</v>
      </c>
    </row>
    <row r="2282" spans="1:25" hidden="1" x14ac:dyDescent="0.25">
      <c r="A2282" t="s">
        <v>25</v>
      </c>
      <c r="B2282" t="s">
        <v>96</v>
      </c>
      <c r="C2282" t="s">
        <v>26</v>
      </c>
      <c r="D2282" t="s">
        <v>27</v>
      </c>
      <c r="E2282" s="2">
        <v>45960</v>
      </c>
      <c r="F2282" s="2">
        <v>45960</v>
      </c>
      <c r="G2282" s="3">
        <v>39</v>
      </c>
      <c r="H2282" t="s">
        <v>28</v>
      </c>
      <c r="I2282" s="28">
        <v>50</v>
      </c>
      <c r="J2282">
        <v>0</v>
      </c>
      <c r="K2282">
        <v>0</v>
      </c>
      <c r="L2282" s="3">
        <v>1</v>
      </c>
      <c r="M2282" s="3">
        <v>0</v>
      </c>
      <c r="N2282">
        <v>1</v>
      </c>
      <c r="O2282">
        <v>0</v>
      </c>
      <c r="P2282">
        <v>0</v>
      </c>
      <c r="Q2282">
        <v>0</v>
      </c>
      <c r="R2282" s="3">
        <v>0</v>
      </c>
      <c r="S2282" s="3">
        <v>0</v>
      </c>
      <c r="T2282">
        <v>0</v>
      </c>
      <c r="U2282">
        <v>0</v>
      </c>
      <c r="V2282" s="3">
        <v>0</v>
      </c>
      <c r="W2282" s="3">
        <v>0</v>
      </c>
      <c r="X2282">
        <v>0</v>
      </c>
      <c r="Y2282" t="s">
        <v>1851</v>
      </c>
    </row>
    <row r="2283" spans="1:25" hidden="1" x14ac:dyDescent="0.25">
      <c r="A2283" t="s">
        <v>56</v>
      </c>
      <c r="B2283" t="s">
        <v>98</v>
      </c>
      <c r="C2283" t="s">
        <v>37</v>
      </c>
      <c r="D2283" t="s">
        <v>27</v>
      </c>
      <c r="E2283" s="2">
        <v>45960</v>
      </c>
      <c r="F2283" s="2">
        <v>45960</v>
      </c>
      <c r="G2283" s="3">
        <v>27</v>
      </c>
      <c r="H2283" t="s">
        <v>28</v>
      </c>
      <c r="I2283" s="28">
        <v>40</v>
      </c>
      <c r="J2283">
        <v>0</v>
      </c>
      <c r="K2283">
        <v>0</v>
      </c>
      <c r="L2283" s="3">
        <v>1</v>
      </c>
      <c r="M2283" s="3">
        <v>0</v>
      </c>
      <c r="N2283">
        <v>0</v>
      </c>
      <c r="O2283">
        <v>0</v>
      </c>
      <c r="P2283">
        <v>0</v>
      </c>
      <c r="Q2283">
        <v>10</v>
      </c>
      <c r="R2283" s="3">
        <v>0</v>
      </c>
      <c r="S2283" s="3">
        <v>0</v>
      </c>
      <c r="T2283">
        <v>0</v>
      </c>
      <c r="U2283">
        <v>0</v>
      </c>
      <c r="V2283" s="3">
        <v>0</v>
      </c>
      <c r="W2283" s="3">
        <v>0</v>
      </c>
      <c r="X2283">
        <v>0</v>
      </c>
      <c r="Y2283" t="s">
        <v>1852</v>
      </c>
    </row>
    <row r="2284" spans="1:25" hidden="1" x14ac:dyDescent="0.25">
      <c r="A2284" t="s">
        <v>29</v>
      </c>
      <c r="B2284" t="s">
        <v>100</v>
      </c>
      <c r="C2284" t="s">
        <v>489</v>
      </c>
      <c r="D2284" t="s">
        <v>27</v>
      </c>
      <c r="E2284" s="2">
        <v>45960</v>
      </c>
      <c r="F2284" s="2">
        <v>45960</v>
      </c>
      <c r="G2284" s="3">
        <v>26</v>
      </c>
      <c r="H2284" t="s">
        <v>28</v>
      </c>
      <c r="I2284" s="28">
        <v>55</v>
      </c>
      <c r="J2284">
        <v>0</v>
      </c>
      <c r="K2284">
        <v>0</v>
      </c>
      <c r="L2284" s="3">
        <v>0</v>
      </c>
      <c r="M2284" s="3">
        <v>0</v>
      </c>
      <c r="N2284">
        <v>0</v>
      </c>
      <c r="O2284">
        <v>0</v>
      </c>
      <c r="P2284">
        <v>0</v>
      </c>
      <c r="Q2284">
        <v>35</v>
      </c>
      <c r="R2284" s="3">
        <v>0</v>
      </c>
      <c r="S2284" s="3">
        <v>0</v>
      </c>
      <c r="T2284">
        <v>0</v>
      </c>
      <c r="U2284">
        <v>0</v>
      </c>
      <c r="V2284" s="3">
        <v>0</v>
      </c>
      <c r="W2284" s="3">
        <v>0</v>
      </c>
      <c r="X2284">
        <v>1</v>
      </c>
      <c r="Y2284" t="s">
        <v>1853</v>
      </c>
    </row>
    <row r="2285" spans="1:25" hidden="1" x14ac:dyDescent="0.25">
      <c r="A2285" t="s">
        <v>31</v>
      </c>
      <c r="B2285" t="s">
        <v>104</v>
      </c>
      <c r="C2285" t="s">
        <v>32</v>
      </c>
      <c r="D2285" t="s">
        <v>27</v>
      </c>
      <c r="E2285" s="2">
        <v>45960</v>
      </c>
      <c r="F2285" s="2">
        <v>45960</v>
      </c>
      <c r="G2285" s="3">
        <v>53</v>
      </c>
      <c r="H2285" t="s">
        <v>28</v>
      </c>
      <c r="I2285" s="28">
        <v>72</v>
      </c>
      <c r="J2285">
        <v>0</v>
      </c>
      <c r="K2285">
        <v>0</v>
      </c>
      <c r="L2285" s="3">
        <v>1</v>
      </c>
      <c r="M2285" s="3">
        <v>0</v>
      </c>
      <c r="N2285">
        <v>0</v>
      </c>
      <c r="O2285">
        <v>0</v>
      </c>
      <c r="P2285">
        <v>0</v>
      </c>
      <c r="Q2285">
        <v>34</v>
      </c>
      <c r="R2285" s="3">
        <v>0</v>
      </c>
      <c r="S2285" s="3">
        <v>0</v>
      </c>
      <c r="T2285">
        <v>0</v>
      </c>
      <c r="U2285">
        <v>0</v>
      </c>
      <c r="V2285" s="3">
        <v>0</v>
      </c>
      <c r="W2285" s="3">
        <v>0</v>
      </c>
      <c r="X2285">
        <v>2</v>
      </c>
      <c r="Y2285" t="s">
        <v>1854</v>
      </c>
    </row>
    <row r="2286" spans="1:25" hidden="1" x14ac:dyDescent="0.25">
      <c r="A2286" t="s">
        <v>27</v>
      </c>
      <c r="B2286" t="s">
        <v>106</v>
      </c>
      <c r="C2286" t="s">
        <v>57</v>
      </c>
      <c r="D2286" t="s">
        <v>27</v>
      </c>
      <c r="E2286" s="2">
        <v>45960</v>
      </c>
      <c r="F2286" s="2">
        <v>45960</v>
      </c>
      <c r="G2286" s="3">
        <v>35</v>
      </c>
      <c r="H2286" t="s">
        <v>28</v>
      </c>
      <c r="I2286" s="28">
        <v>45</v>
      </c>
      <c r="J2286">
        <v>0</v>
      </c>
      <c r="K2286">
        <v>0</v>
      </c>
      <c r="L2286" s="3">
        <v>0</v>
      </c>
      <c r="M2286" s="3">
        <v>0</v>
      </c>
      <c r="N2286">
        <v>0</v>
      </c>
      <c r="O2286">
        <v>0</v>
      </c>
      <c r="P2286">
        <v>0</v>
      </c>
      <c r="Q2286">
        <v>0</v>
      </c>
      <c r="R2286" s="3">
        <v>0</v>
      </c>
      <c r="S2286" s="3">
        <v>0</v>
      </c>
      <c r="T2286">
        <v>0</v>
      </c>
      <c r="U2286">
        <v>0</v>
      </c>
      <c r="V2286" s="3">
        <v>0</v>
      </c>
      <c r="W2286" s="3">
        <v>0</v>
      </c>
      <c r="X2286">
        <v>3</v>
      </c>
      <c r="Y2286" t="s">
        <v>1855</v>
      </c>
    </row>
    <row r="2287" spans="1:25" hidden="1" x14ac:dyDescent="0.25">
      <c r="A2287" t="s">
        <v>33</v>
      </c>
      <c r="B2287" t="s">
        <v>106</v>
      </c>
      <c r="C2287" t="s">
        <v>27</v>
      </c>
      <c r="D2287" t="s">
        <v>27</v>
      </c>
      <c r="E2287" s="2">
        <v>45960</v>
      </c>
      <c r="F2287" s="2">
        <v>45960</v>
      </c>
      <c r="G2287" s="3">
        <v>35</v>
      </c>
      <c r="H2287" t="s">
        <v>28</v>
      </c>
      <c r="I2287" s="28">
        <v>45</v>
      </c>
      <c r="J2287">
        <v>0</v>
      </c>
      <c r="K2287">
        <v>0</v>
      </c>
      <c r="L2287" s="3">
        <v>0</v>
      </c>
      <c r="M2287" s="3">
        <v>1</v>
      </c>
      <c r="N2287">
        <v>0</v>
      </c>
      <c r="O2287">
        <v>0</v>
      </c>
      <c r="P2287">
        <v>0</v>
      </c>
      <c r="Q2287">
        <v>0</v>
      </c>
      <c r="R2287" s="3">
        <v>0</v>
      </c>
      <c r="S2287" s="3">
        <v>0</v>
      </c>
      <c r="T2287">
        <v>0</v>
      </c>
      <c r="U2287">
        <v>0</v>
      </c>
      <c r="V2287" s="3">
        <v>0</v>
      </c>
      <c r="W2287" s="3">
        <v>0</v>
      </c>
      <c r="X2287">
        <v>3</v>
      </c>
      <c r="Y2287" t="s">
        <v>1855</v>
      </c>
    </row>
    <row r="2288" spans="1:25" hidden="1" x14ac:dyDescent="0.25">
      <c r="A2288" t="s">
        <v>38</v>
      </c>
      <c r="B2288" t="s">
        <v>108</v>
      </c>
      <c r="C2288" t="s">
        <v>27</v>
      </c>
      <c r="D2288" t="s">
        <v>27</v>
      </c>
      <c r="E2288" s="2">
        <v>45960</v>
      </c>
      <c r="F2288" s="2">
        <v>45960</v>
      </c>
      <c r="G2288" s="3">
        <v>35</v>
      </c>
      <c r="H2288" t="s">
        <v>28</v>
      </c>
      <c r="I2288" s="28">
        <v>75</v>
      </c>
      <c r="J2288">
        <v>0</v>
      </c>
      <c r="K2288">
        <v>0</v>
      </c>
      <c r="L2288" s="3">
        <v>0</v>
      </c>
      <c r="M2288" s="3">
        <v>0</v>
      </c>
      <c r="N2288">
        <v>0</v>
      </c>
      <c r="O2288">
        <v>0</v>
      </c>
      <c r="P2288">
        <v>0</v>
      </c>
      <c r="Q2288">
        <v>75</v>
      </c>
      <c r="R2288" s="3">
        <v>0</v>
      </c>
      <c r="S2288" s="3">
        <v>0</v>
      </c>
      <c r="T2288">
        <v>0</v>
      </c>
      <c r="U2288">
        <v>0</v>
      </c>
      <c r="V2288" s="3">
        <v>0</v>
      </c>
      <c r="W2288" s="3">
        <v>0</v>
      </c>
      <c r="X2288">
        <v>0</v>
      </c>
      <c r="Y2288" t="s">
        <v>1856</v>
      </c>
    </row>
    <row r="2289" spans="1:25" hidden="1" x14ac:dyDescent="0.25">
      <c r="A2289" t="s">
        <v>40</v>
      </c>
      <c r="B2289" t="s">
        <v>110</v>
      </c>
      <c r="C2289" t="s">
        <v>36</v>
      </c>
      <c r="D2289" t="s">
        <v>27</v>
      </c>
      <c r="E2289" s="2">
        <v>45960</v>
      </c>
      <c r="F2289" s="2">
        <v>45960</v>
      </c>
      <c r="G2289" s="3">
        <v>34</v>
      </c>
      <c r="H2289" t="s">
        <v>28</v>
      </c>
      <c r="I2289" s="28">
        <v>42</v>
      </c>
      <c r="J2289">
        <v>0</v>
      </c>
      <c r="K2289">
        <v>0</v>
      </c>
      <c r="L2289" s="3">
        <v>1</v>
      </c>
      <c r="M2289" s="3">
        <v>0</v>
      </c>
      <c r="N2289">
        <v>1</v>
      </c>
      <c r="O2289">
        <v>0</v>
      </c>
      <c r="P2289">
        <v>0</v>
      </c>
      <c r="Q2289">
        <v>0</v>
      </c>
      <c r="R2289" s="3">
        <v>0</v>
      </c>
      <c r="S2289" s="3">
        <v>0</v>
      </c>
      <c r="T2289">
        <v>0</v>
      </c>
      <c r="U2289">
        <v>0</v>
      </c>
      <c r="V2289" s="3">
        <v>0</v>
      </c>
      <c r="W2289" s="3">
        <v>0</v>
      </c>
      <c r="X2289">
        <v>0</v>
      </c>
      <c r="Y2289" t="s">
        <v>1857</v>
      </c>
    </row>
    <row r="2290" spans="1:25" hidden="1" x14ac:dyDescent="0.25">
      <c r="A2290" t="s">
        <v>1454</v>
      </c>
      <c r="B2290" t="s">
        <v>1455</v>
      </c>
      <c r="C2290" t="s">
        <v>27</v>
      </c>
      <c r="D2290" t="s">
        <v>27</v>
      </c>
      <c r="E2290" s="2">
        <v>45960</v>
      </c>
      <c r="F2290" s="2">
        <v>45960</v>
      </c>
      <c r="G2290" s="3">
        <v>33</v>
      </c>
      <c r="H2290" t="s">
        <v>28</v>
      </c>
      <c r="I2290" s="28">
        <v>32</v>
      </c>
      <c r="J2290">
        <v>0</v>
      </c>
      <c r="K2290">
        <v>0</v>
      </c>
      <c r="L2290" s="3">
        <v>1</v>
      </c>
      <c r="M2290" s="3">
        <v>0</v>
      </c>
      <c r="N2290">
        <v>0</v>
      </c>
      <c r="O2290">
        <v>0</v>
      </c>
      <c r="P2290">
        <v>0</v>
      </c>
      <c r="Q2290">
        <v>32</v>
      </c>
      <c r="R2290" s="3">
        <v>0</v>
      </c>
      <c r="S2290" s="3">
        <v>0</v>
      </c>
      <c r="T2290">
        <v>0</v>
      </c>
      <c r="U2290">
        <v>0</v>
      </c>
      <c r="V2290" s="3">
        <v>0</v>
      </c>
      <c r="W2290" s="3">
        <v>0</v>
      </c>
      <c r="X2290">
        <v>0</v>
      </c>
      <c r="Y2290" t="s">
        <v>1858</v>
      </c>
    </row>
    <row r="2291" spans="1:25" hidden="1" x14ac:dyDescent="0.25">
      <c r="A2291" s="1" t="s">
        <v>41</v>
      </c>
      <c r="B2291" t="s">
        <v>112</v>
      </c>
      <c r="C2291" t="s">
        <v>42</v>
      </c>
      <c r="D2291" t="s">
        <v>27</v>
      </c>
      <c r="E2291" s="2">
        <v>45959</v>
      </c>
      <c r="F2291" s="2">
        <v>45959</v>
      </c>
      <c r="G2291" s="3">
        <v>30</v>
      </c>
      <c r="H2291" s="4" t="s">
        <v>28</v>
      </c>
      <c r="I2291" s="28">
        <v>36</v>
      </c>
      <c r="J2291">
        <v>0</v>
      </c>
      <c r="K2291">
        <v>0</v>
      </c>
      <c r="L2291" s="3">
        <v>1</v>
      </c>
      <c r="M2291" s="3">
        <v>0</v>
      </c>
      <c r="N2291">
        <v>0</v>
      </c>
      <c r="O2291">
        <v>0</v>
      </c>
      <c r="P2291">
        <v>0</v>
      </c>
      <c r="Q2291">
        <v>1</v>
      </c>
      <c r="R2291" s="3">
        <v>0</v>
      </c>
      <c r="S2291" s="3">
        <v>0</v>
      </c>
      <c r="T2291">
        <v>0</v>
      </c>
      <c r="U2291">
        <v>0</v>
      </c>
      <c r="V2291" s="3">
        <v>0</v>
      </c>
      <c r="W2291" s="3">
        <v>0</v>
      </c>
      <c r="X2291">
        <v>0</v>
      </c>
      <c r="Y2291" t="s">
        <v>1827</v>
      </c>
    </row>
    <row r="2292" spans="1:25" hidden="1" x14ac:dyDescent="0.25">
      <c r="A2292" t="s">
        <v>41</v>
      </c>
      <c r="B2292" t="s">
        <v>112</v>
      </c>
      <c r="C2292" t="s">
        <v>42</v>
      </c>
      <c r="D2292" t="s">
        <v>27</v>
      </c>
      <c r="E2292" s="2">
        <v>45960</v>
      </c>
      <c r="F2292" s="2">
        <v>45960</v>
      </c>
      <c r="G2292" s="3">
        <v>40</v>
      </c>
      <c r="H2292" t="s">
        <v>28</v>
      </c>
      <c r="I2292" s="28">
        <v>42</v>
      </c>
      <c r="J2292">
        <v>0</v>
      </c>
      <c r="K2292">
        <v>0</v>
      </c>
      <c r="L2292" s="3">
        <v>1</v>
      </c>
      <c r="M2292" s="3">
        <v>0</v>
      </c>
      <c r="N2292">
        <v>0</v>
      </c>
      <c r="O2292">
        <v>0</v>
      </c>
      <c r="P2292">
        <v>0</v>
      </c>
      <c r="Q2292">
        <v>0</v>
      </c>
      <c r="R2292" s="3">
        <v>0</v>
      </c>
      <c r="S2292" s="3">
        <v>0</v>
      </c>
      <c r="T2292">
        <v>0</v>
      </c>
      <c r="U2292">
        <v>0</v>
      </c>
      <c r="V2292" s="3">
        <v>0</v>
      </c>
      <c r="W2292" s="3">
        <v>0</v>
      </c>
      <c r="X2292">
        <v>0</v>
      </c>
      <c r="Y2292" t="s">
        <v>1859</v>
      </c>
    </row>
    <row r="2293" spans="1:25" hidden="1" x14ac:dyDescent="0.25">
      <c r="A2293" t="s">
        <v>43</v>
      </c>
      <c r="B2293" t="s">
        <v>114</v>
      </c>
      <c r="C2293" t="s">
        <v>44</v>
      </c>
      <c r="D2293" t="s">
        <v>27</v>
      </c>
      <c r="E2293" s="2">
        <v>45960</v>
      </c>
      <c r="F2293" s="2">
        <v>45960</v>
      </c>
      <c r="G2293" s="3">
        <v>20</v>
      </c>
      <c r="H2293" t="s">
        <v>28</v>
      </c>
      <c r="I2293" s="28">
        <v>57</v>
      </c>
      <c r="J2293">
        <v>0</v>
      </c>
      <c r="K2293">
        <v>0</v>
      </c>
      <c r="L2293" s="3">
        <v>1</v>
      </c>
      <c r="M2293" s="3">
        <v>0</v>
      </c>
      <c r="N2293">
        <v>0</v>
      </c>
      <c r="O2293">
        <v>0</v>
      </c>
      <c r="P2293">
        <v>0</v>
      </c>
      <c r="Q2293">
        <v>0</v>
      </c>
      <c r="R2293" s="3">
        <v>0</v>
      </c>
      <c r="S2293" s="3">
        <v>0</v>
      </c>
      <c r="T2293">
        <v>0</v>
      </c>
      <c r="U2293">
        <v>0</v>
      </c>
      <c r="V2293" s="3">
        <v>0</v>
      </c>
      <c r="W2293" s="3">
        <v>0</v>
      </c>
      <c r="X2293">
        <v>0</v>
      </c>
      <c r="Y2293" t="s">
        <v>1860</v>
      </c>
    </row>
    <row r="2294" spans="1:25" hidden="1" x14ac:dyDescent="0.25">
      <c r="A2294" t="s">
        <v>45</v>
      </c>
      <c r="B2294" t="s">
        <v>116</v>
      </c>
      <c r="C2294" t="s">
        <v>46</v>
      </c>
      <c r="D2294" t="s">
        <v>27</v>
      </c>
      <c r="E2294" s="2">
        <v>45960</v>
      </c>
      <c r="F2294" s="2">
        <v>45960</v>
      </c>
      <c r="G2294" s="3">
        <v>86</v>
      </c>
      <c r="H2294" t="s">
        <v>28</v>
      </c>
      <c r="I2294" s="28">
        <v>36</v>
      </c>
      <c r="J2294">
        <v>0</v>
      </c>
      <c r="K2294">
        <v>0</v>
      </c>
      <c r="L2294" s="3">
        <v>0</v>
      </c>
      <c r="M2294" s="3">
        <v>0</v>
      </c>
      <c r="N2294">
        <v>0</v>
      </c>
      <c r="O2294">
        <v>0</v>
      </c>
      <c r="P2294">
        <v>0</v>
      </c>
      <c r="Q2294">
        <v>7</v>
      </c>
      <c r="R2294" s="3">
        <v>0</v>
      </c>
      <c r="S2294" s="3">
        <v>0</v>
      </c>
      <c r="T2294">
        <v>0</v>
      </c>
      <c r="U2294">
        <v>0</v>
      </c>
      <c r="V2294" s="3">
        <v>0</v>
      </c>
      <c r="W2294" s="3">
        <v>0</v>
      </c>
      <c r="X2294">
        <v>0</v>
      </c>
      <c r="Y2294" t="s">
        <v>1861</v>
      </c>
    </row>
    <row r="2295" spans="1:25" hidden="1" x14ac:dyDescent="0.25">
      <c r="A2295" t="s">
        <v>47</v>
      </c>
      <c r="B2295" t="s">
        <v>137</v>
      </c>
      <c r="C2295" t="s">
        <v>34</v>
      </c>
      <c r="D2295" t="s">
        <v>27</v>
      </c>
      <c r="E2295" s="2">
        <v>45960</v>
      </c>
      <c r="F2295" s="2">
        <v>45960</v>
      </c>
      <c r="G2295" s="3">
        <v>29</v>
      </c>
      <c r="H2295" t="s">
        <v>28</v>
      </c>
      <c r="I2295" s="28">
        <v>48</v>
      </c>
      <c r="J2295">
        <v>0</v>
      </c>
      <c r="K2295">
        <v>0</v>
      </c>
      <c r="L2295" s="3">
        <v>1</v>
      </c>
      <c r="M2295" s="3">
        <v>0</v>
      </c>
      <c r="N2295">
        <v>1</v>
      </c>
      <c r="O2295">
        <v>0</v>
      </c>
      <c r="P2295">
        <v>0</v>
      </c>
      <c r="Q2295">
        <v>10</v>
      </c>
      <c r="R2295" s="3">
        <v>0</v>
      </c>
      <c r="S2295" s="3">
        <v>0</v>
      </c>
      <c r="T2295">
        <v>0</v>
      </c>
      <c r="U2295">
        <v>0</v>
      </c>
      <c r="V2295" s="3">
        <v>0</v>
      </c>
      <c r="W2295" s="3">
        <v>0</v>
      </c>
      <c r="X2295">
        <v>0</v>
      </c>
      <c r="Y2295" t="s">
        <v>1862</v>
      </c>
    </row>
    <row r="2296" spans="1:25" hidden="1" x14ac:dyDescent="0.25">
      <c r="A2296" t="s">
        <v>49</v>
      </c>
      <c r="B2296" t="s">
        <v>118</v>
      </c>
      <c r="C2296" t="s">
        <v>50</v>
      </c>
      <c r="D2296" t="s">
        <v>27</v>
      </c>
      <c r="E2296" s="2">
        <v>45960</v>
      </c>
      <c r="F2296" s="2">
        <v>45960</v>
      </c>
      <c r="G2296" s="3">
        <v>24</v>
      </c>
      <c r="H2296" t="s">
        <v>28</v>
      </c>
      <c r="I2296" s="28">
        <v>58</v>
      </c>
      <c r="J2296">
        <v>0</v>
      </c>
      <c r="K2296">
        <v>0</v>
      </c>
      <c r="L2296" s="3">
        <v>1</v>
      </c>
      <c r="M2296" s="3">
        <v>1</v>
      </c>
      <c r="N2296">
        <v>0</v>
      </c>
      <c r="O2296">
        <v>1</v>
      </c>
      <c r="P2296">
        <v>0</v>
      </c>
      <c r="Q2296">
        <v>58</v>
      </c>
      <c r="R2296" s="3">
        <v>0</v>
      </c>
      <c r="S2296" s="3">
        <v>0</v>
      </c>
      <c r="T2296">
        <v>0</v>
      </c>
      <c r="U2296">
        <v>0</v>
      </c>
      <c r="V2296" s="3">
        <v>0</v>
      </c>
      <c r="W2296" s="3">
        <v>0</v>
      </c>
      <c r="X2296">
        <v>0</v>
      </c>
      <c r="Y2296" t="s">
        <v>1863</v>
      </c>
    </row>
    <row r="2297" spans="1:25" hidden="1" x14ac:dyDescent="0.25">
      <c r="A2297" t="s">
        <v>51</v>
      </c>
      <c r="B2297" t="s">
        <v>120</v>
      </c>
      <c r="C2297" t="s">
        <v>55</v>
      </c>
      <c r="D2297" t="s">
        <v>27</v>
      </c>
      <c r="E2297" s="2">
        <v>45960</v>
      </c>
      <c r="F2297" s="2">
        <v>45960</v>
      </c>
      <c r="G2297" s="3">
        <v>66</v>
      </c>
      <c r="H2297" t="s">
        <v>28</v>
      </c>
      <c r="I2297" s="28">
        <v>45</v>
      </c>
      <c r="J2297">
        <v>0</v>
      </c>
      <c r="K2297">
        <v>0</v>
      </c>
      <c r="L2297" s="3">
        <v>1</v>
      </c>
      <c r="M2297" s="3">
        <v>0</v>
      </c>
      <c r="N2297">
        <v>1</v>
      </c>
      <c r="O2297">
        <v>0</v>
      </c>
      <c r="P2297">
        <v>0</v>
      </c>
      <c r="Q2297">
        <v>0</v>
      </c>
      <c r="R2297" s="3">
        <v>0</v>
      </c>
      <c r="S2297" s="3">
        <v>0</v>
      </c>
      <c r="T2297">
        <v>0</v>
      </c>
      <c r="U2297">
        <v>0</v>
      </c>
      <c r="V2297" s="3">
        <v>0</v>
      </c>
      <c r="W2297" s="3">
        <v>0</v>
      </c>
      <c r="X2297">
        <v>0</v>
      </c>
      <c r="Y2297" t="s">
        <v>1864</v>
      </c>
    </row>
    <row r="2298" spans="1:25" hidden="1" x14ac:dyDescent="0.25">
      <c r="A2298" t="s">
        <v>54</v>
      </c>
      <c r="B2298" t="s">
        <v>122</v>
      </c>
      <c r="C2298" t="s">
        <v>52</v>
      </c>
      <c r="D2298" t="s">
        <v>27</v>
      </c>
      <c r="E2298" s="2">
        <v>45960</v>
      </c>
      <c r="F2298" s="2">
        <v>45960</v>
      </c>
      <c r="G2298" s="3">
        <v>43</v>
      </c>
      <c r="H2298" t="s">
        <v>28</v>
      </c>
      <c r="I2298" s="28">
        <v>44</v>
      </c>
      <c r="J2298">
        <v>0</v>
      </c>
      <c r="K2298">
        <v>0</v>
      </c>
      <c r="L2298" s="3">
        <v>0</v>
      </c>
      <c r="M2298" s="3">
        <v>0</v>
      </c>
      <c r="N2298">
        <v>0</v>
      </c>
      <c r="O2298">
        <v>0</v>
      </c>
      <c r="P2298">
        <v>0</v>
      </c>
      <c r="Q2298">
        <v>2</v>
      </c>
      <c r="R2298" s="3">
        <v>0</v>
      </c>
      <c r="S2298" s="3">
        <v>0</v>
      </c>
      <c r="T2298">
        <v>0</v>
      </c>
      <c r="U2298">
        <v>0</v>
      </c>
      <c r="V2298" s="3">
        <v>0</v>
      </c>
      <c r="W2298" s="3">
        <v>0</v>
      </c>
      <c r="X2298">
        <v>0</v>
      </c>
      <c r="Y2298" t="s">
        <v>1865</v>
      </c>
    </row>
    <row r="2299" spans="1:25" hidden="1" x14ac:dyDescent="0.25">
      <c r="A2299" t="s">
        <v>33</v>
      </c>
      <c r="B2299" t="s">
        <v>106</v>
      </c>
      <c r="C2299" t="s">
        <v>55</v>
      </c>
      <c r="D2299" t="s">
        <v>27</v>
      </c>
      <c r="E2299" s="2">
        <v>45961</v>
      </c>
      <c r="F2299" s="2">
        <v>45961</v>
      </c>
      <c r="G2299" s="3">
        <v>279</v>
      </c>
      <c r="H2299" t="s">
        <v>28</v>
      </c>
      <c r="I2299" s="28">
        <v>0</v>
      </c>
      <c r="J2299">
        <v>0</v>
      </c>
      <c r="K2299">
        <v>0</v>
      </c>
      <c r="L2299" s="3">
        <v>0</v>
      </c>
      <c r="M2299" s="3">
        <v>0</v>
      </c>
      <c r="N2299">
        <v>0</v>
      </c>
      <c r="O2299">
        <v>0</v>
      </c>
      <c r="P2299">
        <v>0</v>
      </c>
      <c r="Q2299">
        <v>0</v>
      </c>
      <c r="R2299" s="3">
        <v>0</v>
      </c>
      <c r="S2299" s="3">
        <v>1</v>
      </c>
      <c r="T2299">
        <v>39</v>
      </c>
      <c r="U2299">
        <v>39</v>
      </c>
      <c r="V2299" s="3">
        <v>0</v>
      </c>
      <c r="W2299" s="3">
        <v>1</v>
      </c>
      <c r="X2299">
        <v>13</v>
      </c>
      <c r="Y2299" t="s">
        <v>1866</v>
      </c>
    </row>
    <row r="2300" spans="1:25" hidden="1" x14ac:dyDescent="0.25">
      <c r="A2300" t="s">
        <v>41</v>
      </c>
      <c r="B2300" t="s">
        <v>112</v>
      </c>
      <c r="C2300" t="s">
        <v>42</v>
      </c>
      <c r="D2300" t="s">
        <v>27</v>
      </c>
      <c r="E2300" s="2">
        <v>45961</v>
      </c>
      <c r="F2300" s="2">
        <v>45961</v>
      </c>
      <c r="G2300" s="3">
        <v>37</v>
      </c>
      <c r="H2300" t="s">
        <v>28</v>
      </c>
      <c r="I2300" s="28">
        <v>0</v>
      </c>
      <c r="J2300">
        <v>0</v>
      </c>
      <c r="K2300">
        <v>0</v>
      </c>
      <c r="L2300" s="3">
        <v>0</v>
      </c>
      <c r="M2300" s="3">
        <v>0</v>
      </c>
      <c r="N2300">
        <v>0</v>
      </c>
      <c r="O2300">
        <v>0</v>
      </c>
      <c r="P2300">
        <v>0</v>
      </c>
      <c r="Q2300">
        <v>0</v>
      </c>
      <c r="R2300" s="3">
        <v>0</v>
      </c>
      <c r="S2300" s="3">
        <v>1</v>
      </c>
      <c r="T2300">
        <v>0</v>
      </c>
      <c r="U2300">
        <v>0</v>
      </c>
      <c r="V2300" s="3">
        <v>0</v>
      </c>
      <c r="W2300" s="3">
        <v>1</v>
      </c>
      <c r="X2300">
        <v>2</v>
      </c>
      <c r="Y2300" t="s">
        <v>1867</v>
      </c>
    </row>
    <row r="2301" spans="1:25" hidden="1" x14ac:dyDescent="0.25">
      <c r="A2301" t="s">
        <v>54</v>
      </c>
      <c r="B2301" t="s">
        <v>122</v>
      </c>
      <c r="C2301" t="s">
        <v>52</v>
      </c>
      <c r="D2301" t="s">
        <v>27</v>
      </c>
      <c r="E2301" s="2">
        <v>45961</v>
      </c>
      <c r="F2301" s="2">
        <v>45961</v>
      </c>
      <c r="G2301" s="3">
        <v>72</v>
      </c>
      <c r="H2301" t="s">
        <v>28</v>
      </c>
      <c r="I2301" s="28">
        <v>0</v>
      </c>
      <c r="J2301">
        <v>0</v>
      </c>
      <c r="K2301">
        <v>0</v>
      </c>
      <c r="L2301" s="3">
        <v>0</v>
      </c>
      <c r="M2301" s="3">
        <v>0</v>
      </c>
      <c r="N2301">
        <v>0</v>
      </c>
      <c r="O2301">
        <v>0</v>
      </c>
      <c r="P2301">
        <v>0</v>
      </c>
      <c r="Q2301">
        <v>0</v>
      </c>
      <c r="R2301" s="3">
        <v>0</v>
      </c>
      <c r="S2301" s="3">
        <v>1</v>
      </c>
      <c r="T2301">
        <v>34</v>
      </c>
      <c r="U2301">
        <v>40</v>
      </c>
      <c r="V2301" s="3">
        <v>0</v>
      </c>
      <c r="W2301" s="3">
        <v>1</v>
      </c>
      <c r="X2301">
        <v>0</v>
      </c>
      <c r="Y2301" t="s">
        <v>1868</v>
      </c>
    </row>
    <row r="2302" spans="1:25" hidden="1" x14ac:dyDescent="0.25">
      <c r="A2302" t="s">
        <v>41</v>
      </c>
      <c r="B2302" t="s">
        <v>112</v>
      </c>
      <c r="C2302" t="s">
        <v>42</v>
      </c>
      <c r="D2302" t="s">
        <v>27</v>
      </c>
      <c r="E2302" s="2">
        <v>45963</v>
      </c>
      <c r="F2302" s="2">
        <v>45963</v>
      </c>
      <c r="G2302" s="3">
        <v>166</v>
      </c>
      <c r="H2302" t="s">
        <v>28</v>
      </c>
      <c r="I2302" s="28">
        <v>0</v>
      </c>
      <c r="J2302">
        <v>0</v>
      </c>
      <c r="K2302">
        <v>0</v>
      </c>
      <c r="L2302" s="3">
        <v>0</v>
      </c>
      <c r="M2302" s="3">
        <v>0</v>
      </c>
      <c r="N2302">
        <v>1</v>
      </c>
      <c r="O2302">
        <v>0</v>
      </c>
      <c r="P2302">
        <v>0</v>
      </c>
      <c r="Q2302">
        <v>99</v>
      </c>
      <c r="R2302" s="3">
        <v>0</v>
      </c>
      <c r="S2302" s="3">
        <v>1</v>
      </c>
      <c r="T2302">
        <v>59</v>
      </c>
      <c r="U2302">
        <v>195</v>
      </c>
      <c r="V2302" s="3">
        <v>0</v>
      </c>
      <c r="W2302" s="3">
        <v>1</v>
      </c>
      <c r="X2302">
        <v>3</v>
      </c>
      <c r="Y2302" t="s">
        <v>1869</v>
      </c>
    </row>
    <row r="2303" spans="1:25" hidden="1" x14ac:dyDescent="0.25">
      <c r="A2303" t="s">
        <v>41</v>
      </c>
      <c r="B2303" t="s">
        <v>112</v>
      </c>
      <c r="C2303" t="s">
        <v>42</v>
      </c>
      <c r="D2303" t="s">
        <v>27</v>
      </c>
      <c r="E2303" s="2">
        <v>45962</v>
      </c>
      <c r="F2303" s="2">
        <v>45962</v>
      </c>
      <c r="G2303" s="3">
        <v>166</v>
      </c>
      <c r="H2303" t="s">
        <v>28</v>
      </c>
      <c r="I2303" s="28">
        <v>0</v>
      </c>
      <c r="J2303">
        <v>0</v>
      </c>
      <c r="K2303">
        <v>0</v>
      </c>
      <c r="L2303" s="3">
        <v>0</v>
      </c>
      <c r="M2303" s="3">
        <v>0</v>
      </c>
      <c r="N2303">
        <v>0</v>
      </c>
      <c r="O2303">
        <v>0</v>
      </c>
      <c r="P2303">
        <v>0</v>
      </c>
      <c r="Q2303">
        <v>99</v>
      </c>
      <c r="R2303" s="3">
        <v>0</v>
      </c>
      <c r="S2303" s="3">
        <v>1</v>
      </c>
      <c r="T2303">
        <v>99</v>
      </c>
      <c r="U2303">
        <v>23</v>
      </c>
      <c r="V2303" s="3">
        <v>0</v>
      </c>
      <c r="W2303" s="3">
        <v>1</v>
      </c>
      <c r="X2303">
        <v>3</v>
      </c>
      <c r="Y2303" t="s">
        <v>1869</v>
      </c>
    </row>
    <row r="2304" spans="1:25" hidden="1" x14ac:dyDescent="0.25">
      <c r="A2304" t="s">
        <v>51</v>
      </c>
      <c r="B2304" t="s">
        <v>120</v>
      </c>
      <c r="C2304" t="s">
        <v>55</v>
      </c>
      <c r="D2304" t="s">
        <v>27</v>
      </c>
      <c r="E2304" s="2">
        <v>45962</v>
      </c>
      <c r="F2304" s="2">
        <v>45962</v>
      </c>
      <c r="G2304" s="3">
        <v>77</v>
      </c>
      <c r="H2304" t="s">
        <v>28</v>
      </c>
      <c r="I2304" s="28">
        <v>0</v>
      </c>
      <c r="J2304">
        <v>0</v>
      </c>
      <c r="K2304">
        <v>0</v>
      </c>
      <c r="L2304" s="3">
        <v>1</v>
      </c>
      <c r="M2304" s="3">
        <v>0</v>
      </c>
      <c r="N2304">
        <v>0</v>
      </c>
      <c r="O2304">
        <v>0</v>
      </c>
      <c r="P2304">
        <v>0</v>
      </c>
      <c r="Q2304">
        <v>0</v>
      </c>
      <c r="R2304" s="3">
        <v>0</v>
      </c>
      <c r="S2304" s="3">
        <v>1</v>
      </c>
      <c r="T2304">
        <v>13</v>
      </c>
      <c r="U2304">
        <v>93</v>
      </c>
      <c r="V2304" s="3">
        <v>0</v>
      </c>
      <c r="W2304" s="3">
        <v>1</v>
      </c>
      <c r="X2304">
        <v>14</v>
      </c>
      <c r="Y2304" t="s">
        <v>1870</v>
      </c>
    </row>
    <row r="2305" spans="1:26" hidden="1" x14ac:dyDescent="0.25">
      <c r="A2305" t="s">
        <v>33</v>
      </c>
      <c r="B2305" t="s">
        <v>106</v>
      </c>
      <c r="C2305" t="s">
        <v>55</v>
      </c>
      <c r="D2305" t="s">
        <v>27</v>
      </c>
      <c r="E2305" s="2">
        <v>45963</v>
      </c>
      <c r="F2305" s="2">
        <v>45963</v>
      </c>
      <c r="G2305" s="3">
        <v>268</v>
      </c>
      <c r="H2305" t="s">
        <v>28</v>
      </c>
      <c r="I2305" s="28">
        <v>0</v>
      </c>
      <c r="J2305">
        <v>0</v>
      </c>
      <c r="K2305">
        <v>0</v>
      </c>
      <c r="L2305" s="3">
        <v>0</v>
      </c>
      <c r="M2305" s="3">
        <v>0</v>
      </c>
      <c r="N2305">
        <v>1</v>
      </c>
      <c r="O2305">
        <v>0</v>
      </c>
      <c r="P2305">
        <v>0</v>
      </c>
      <c r="Q2305">
        <v>31</v>
      </c>
      <c r="R2305" s="3">
        <v>0</v>
      </c>
      <c r="S2305" s="3">
        <v>1</v>
      </c>
      <c r="T2305">
        <v>35</v>
      </c>
      <c r="U2305">
        <v>155</v>
      </c>
      <c r="V2305" s="3">
        <v>0</v>
      </c>
      <c r="W2305" s="3">
        <v>1</v>
      </c>
      <c r="X2305">
        <v>13</v>
      </c>
      <c r="Y2305" t="s">
        <v>1871</v>
      </c>
    </row>
    <row r="2306" spans="1:26" hidden="1" x14ac:dyDescent="0.25">
      <c r="A2306" s="1" t="s">
        <v>25</v>
      </c>
      <c r="B2306" s="1" t="s">
        <v>96</v>
      </c>
      <c r="C2306" s="1" t="s">
        <v>26</v>
      </c>
      <c r="D2306" t="s">
        <v>27</v>
      </c>
      <c r="E2306" s="2">
        <v>45964</v>
      </c>
      <c r="F2306" s="2">
        <v>45964</v>
      </c>
      <c r="G2306" s="3">
        <v>73</v>
      </c>
      <c r="H2306" s="4" t="s">
        <v>28</v>
      </c>
      <c r="I2306" s="28">
        <v>45</v>
      </c>
      <c r="J2306">
        <v>36</v>
      </c>
      <c r="K2306">
        <v>0</v>
      </c>
      <c r="L2306" s="3">
        <v>1</v>
      </c>
      <c r="M2306" s="3">
        <v>0</v>
      </c>
      <c r="N2306">
        <v>1</v>
      </c>
      <c r="O2306">
        <v>0</v>
      </c>
      <c r="P2306">
        <v>0</v>
      </c>
      <c r="Q2306">
        <v>0</v>
      </c>
      <c r="R2306" s="3">
        <v>0</v>
      </c>
      <c r="S2306" s="3">
        <v>0</v>
      </c>
      <c r="T2306">
        <v>0</v>
      </c>
      <c r="U2306">
        <v>0</v>
      </c>
      <c r="V2306" s="3">
        <v>0</v>
      </c>
      <c r="W2306" s="3">
        <v>0</v>
      </c>
      <c r="X2306">
        <v>0</v>
      </c>
      <c r="Y2306" t="s">
        <v>1872</v>
      </c>
    </row>
    <row r="2307" spans="1:26" hidden="1" x14ac:dyDescent="0.25">
      <c r="A2307" s="1" t="s">
        <v>56</v>
      </c>
      <c r="B2307" s="1" t="s">
        <v>98</v>
      </c>
      <c r="C2307" s="1" t="s">
        <v>37</v>
      </c>
      <c r="D2307" t="s">
        <v>27</v>
      </c>
      <c r="E2307" s="2">
        <v>45964</v>
      </c>
      <c r="F2307" s="2">
        <v>45964</v>
      </c>
      <c r="G2307" s="3">
        <v>31</v>
      </c>
      <c r="H2307" s="4" t="s">
        <v>28</v>
      </c>
      <c r="I2307" s="28">
        <v>85</v>
      </c>
      <c r="J2307">
        <v>0</v>
      </c>
      <c r="K2307">
        <v>0</v>
      </c>
      <c r="L2307" s="3">
        <v>1</v>
      </c>
      <c r="M2307" s="3">
        <v>0</v>
      </c>
      <c r="N2307">
        <v>0</v>
      </c>
      <c r="O2307">
        <v>0</v>
      </c>
      <c r="P2307">
        <v>0</v>
      </c>
      <c r="Q2307">
        <v>10</v>
      </c>
      <c r="R2307" s="3">
        <v>0</v>
      </c>
      <c r="S2307" s="3">
        <v>0</v>
      </c>
      <c r="T2307">
        <v>0</v>
      </c>
      <c r="U2307">
        <v>0</v>
      </c>
      <c r="V2307" s="3">
        <v>0</v>
      </c>
      <c r="W2307" s="3">
        <v>0</v>
      </c>
      <c r="X2307">
        <v>0</v>
      </c>
      <c r="Y2307" t="s">
        <v>1873</v>
      </c>
    </row>
    <row r="2308" spans="1:26" hidden="1" x14ac:dyDescent="0.25">
      <c r="A2308" s="1" t="s">
        <v>344</v>
      </c>
      <c r="B2308" t="s">
        <v>144</v>
      </c>
      <c r="C2308" s="1" t="s">
        <v>35</v>
      </c>
      <c r="D2308" t="s">
        <v>27</v>
      </c>
      <c r="E2308" s="2">
        <v>45957</v>
      </c>
      <c r="F2308" s="2">
        <v>45957</v>
      </c>
      <c r="G2308" s="3">
        <v>32</v>
      </c>
      <c r="H2308" s="4" t="s">
        <v>28</v>
      </c>
      <c r="I2308" s="28">
        <v>28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1772</v>
      </c>
      <c r="Z2308" t="s">
        <v>1772</v>
      </c>
    </row>
    <row r="2309" spans="1:26" hidden="1" x14ac:dyDescent="0.25">
      <c r="A2309" s="1" t="s">
        <v>31</v>
      </c>
      <c r="B2309" s="1" t="s">
        <v>104</v>
      </c>
      <c r="C2309" s="1" t="s">
        <v>32</v>
      </c>
      <c r="D2309" t="s">
        <v>27</v>
      </c>
      <c r="E2309" s="2">
        <v>45964</v>
      </c>
      <c r="F2309" s="2">
        <v>45964</v>
      </c>
      <c r="G2309" s="3">
        <v>68</v>
      </c>
      <c r="H2309" s="4" t="s">
        <v>28</v>
      </c>
      <c r="I2309" s="28">
        <v>91</v>
      </c>
      <c r="J2309">
        <v>0</v>
      </c>
      <c r="K2309">
        <v>0</v>
      </c>
      <c r="L2309" s="3">
        <v>1</v>
      </c>
      <c r="M2309" s="3">
        <v>0</v>
      </c>
      <c r="N2309">
        <v>0</v>
      </c>
      <c r="O2309">
        <v>0</v>
      </c>
      <c r="P2309">
        <v>0</v>
      </c>
      <c r="Q2309">
        <v>34</v>
      </c>
      <c r="R2309" s="3">
        <v>0</v>
      </c>
      <c r="S2309" s="3">
        <v>0</v>
      </c>
      <c r="T2309">
        <v>0</v>
      </c>
      <c r="U2309">
        <v>0</v>
      </c>
      <c r="V2309" s="3">
        <v>0</v>
      </c>
      <c r="W2309" s="3">
        <v>0</v>
      </c>
      <c r="X2309">
        <v>7</v>
      </c>
      <c r="Y2309" t="s">
        <v>1874</v>
      </c>
    </row>
    <row r="2310" spans="1:26" hidden="1" x14ac:dyDescent="0.25">
      <c r="A2310" s="1" t="s">
        <v>33</v>
      </c>
      <c r="B2310" s="1" t="s">
        <v>106</v>
      </c>
      <c r="C2310" s="1" t="s">
        <v>57</v>
      </c>
      <c r="D2310" t="s">
        <v>27</v>
      </c>
      <c r="E2310" s="2">
        <v>45964</v>
      </c>
      <c r="F2310" s="2">
        <v>45964</v>
      </c>
      <c r="G2310" s="3">
        <v>702</v>
      </c>
      <c r="H2310" s="4" t="s">
        <v>28</v>
      </c>
      <c r="I2310" s="28">
        <v>55</v>
      </c>
      <c r="J2310">
        <v>0</v>
      </c>
      <c r="K2310">
        <v>0</v>
      </c>
      <c r="L2310" s="3">
        <v>0</v>
      </c>
      <c r="M2310" s="3">
        <v>0</v>
      </c>
      <c r="N2310">
        <v>0</v>
      </c>
      <c r="O2310">
        <v>0</v>
      </c>
      <c r="P2310">
        <v>0</v>
      </c>
      <c r="Q2310">
        <v>20</v>
      </c>
      <c r="R2310" s="3">
        <v>0</v>
      </c>
      <c r="S2310" s="3">
        <v>0</v>
      </c>
      <c r="T2310">
        <v>0</v>
      </c>
      <c r="U2310">
        <v>0</v>
      </c>
      <c r="V2310" s="3">
        <v>0</v>
      </c>
      <c r="W2310" s="3">
        <v>0</v>
      </c>
      <c r="X2310">
        <v>0</v>
      </c>
      <c r="Y2310" t="s">
        <v>1875</v>
      </c>
    </row>
    <row r="2311" spans="1:26" hidden="1" x14ac:dyDescent="0.25">
      <c r="A2311" s="1" t="s">
        <v>40</v>
      </c>
      <c r="B2311" s="1" t="s">
        <v>110</v>
      </c>
      <c r="C2311" s="1" t="s">
        <v>27</v>
      </c>
      <c r="D2311" t="s">
        <v>27</v>
      </c>
      <c r="E2311" s="2">
        <v>45964</v>
      </c>
      <c r="F2311" s="2">
        <v>45964</v>
      </c>
      <c r="G2311" s="3">
        <v>123</v>
      </c>
      <c r="H2311" s="4" t="s">
        <v>28</v>
      </c>
      <c r="I2311" s="28">
        <v>58</v>
      </c>
      <c r="J2311">
        <v>85</v>
      </c>
      <c r="K2311">
        <v>0</v>
      </c>
      <c r="L2311" s="3">
        <v>1</v>
      </c>
      <c r="M2311" s="3">
        <v>0</v>
      </c>
      <c r="N2311">
        <v>1</v>
      </c>
      <c r="O2311">
        <v>0</v>
      </c>
      <c r="P2311">
        <v>0</v>
      </c>
      <c r="Q2311">
        <v>0</v>
      </c>
      <c r="R2311" s="3">
        <v>0</v>
      </c>
      <c r="S2311" s="3">
        <v>0</v>
      </c>
      <c r="T2311">
        <v>2</v>
      </c>
      <c r="U2311">
        <v>0</v>
      </c>
      <c r="V2311" s="3">
        <v>0</v>
      </c>
      <c r="W2311" s="3">
        <v>0</v>
      </c>
      <c r="X2311">
        <v>5</v>
      </c>
      <c r="Y2311" t="s">
        <v>1876</v>
      </c>
    </row>
    <row r="2312" spans="1:26" hidden="1" x14ac:dyDescent="0.25">
      <c r="A2312" s="1" t="s">
        <v>36</v>
      </c>
      <c r="B2312" s="1" t="s">
        <v>110</v>
      </c>
      <c r="C2312" s="1" t="s">
        <v>27</v>
      </c>
      <c r="D2312" t="s">
        <v>27</v>
      </c>
      <c r="E2312" s="2">
        <v>45964</v>
      </c>
      <c r="F2312" s="2">
        <v>45964</v>
      </c>
      <c r="G2312" s="3">
        <v>123</v>
      </c>
      <c r="H2312" s="4" t="s">
        <v>28</v>
      </c>
      <c r="I2312" s="28">
        <v>58</v>
      </c>
      <c r="J2312">
        <v>85</v>
      </c>
      <c r="K2312">
        <v>0</v>
      </c>
      <c r="L2312" s="3">
        <v>1</v>
      </c>
      <c r="M2312" s="3">
        <v>0</v>
      </c>
      <c r="N2312">
        <v>1</v>
      </c>
      <c r="O2312">
        <v>0</v>
      </c>
      <c r="P2312">
        <v>0</v>
      </c>
      <c r="Q2312">
        <v>0</v>
      </c>
      <c r="R2312" s="3">
        <v>0</v>
      </c>
      <c r="S2312" s="3">
        <v>0</v>
      </c>
      <c r="T2312">
        <v>2</v>
      </c>
      <c r="U2312">
        <v>0</v>
      </c>
      <c r="V2312" s="3">
        <v>0</v>
      </c>
      <c r="W2312" s="3">
        <v>0</v>
      </c>
      <c r="X2312">
        <v>5</v>
      </c>
      <c r="Y2312" t="s">
        <v>1876</v>
      </c>
    </row>
    <row r="2313" spans="1:26" hidden="1" x14ac:dyDescent="0.25">
      <c r="A2313" s="1" t="s">
        <v>1454</v>
      </c>
      <c r="B2313" s="1" t="s">
        <v>1455</v>
      </c>
      <c r="C2313" s="1" t="s">
        <v>27</v>
      </c>
      <c r="D2313" t="s">
        <v>27</v>
      </c>
      <c r="E2313" s="2">
        <v>45964</v>
      </c>
      <c r="F2313" s="2">
        <v>45964</v>
      </c>
      <c r="G2313" s="3">
        <v>95</v>
      </c>
      <c r="H2313" s="4" t="s">
        <v>28</v>
      </c>
      <c r="I2313" s="28">
        <v>52</v>
      </c>
      <c r="J2313">
        <v>0</v>
      </c>
      <c r="K2313">
        <v>0</v>
      </c>
      <c r="L2313" s="3">
        <v>1</v>
      </c>
      <c r="M2313" s="3">
        <v>0</v>
      </c>
      <c r="N2313">
        <v>0</v>
      </c>
      <c r="O2313">
        <v>0</v>
      </c>
      <c r="P2313">
        <v>0</v>
      </c>
      <c r="Q2313">
        <v>52</v>
      </c>
      <c r="R2313" s="3">
        <v>0</v>
      </c>
      <c r="S2313" s="3">
        <v>0</v>
      </c>
      <c r="T2313">
        <v>0</v>
      </c>
      <c r="U2313">
        <v>0</v>
      </c>
      <c r="V2313" s="3">
        <v>0</v>
      </c>
      <c r="W2313" s="3">
        <v>0</v>
      </c>
      <c r="X2313">
        <v>0</v>
      </c>
      <c r="Y2313" t="s">
        <v>1877</v>
      </c>
    </row>
    <row r="2314" spans="1:26" hidden="1" x14ac:dyDescent="0.25">
      <c r="A2314" s="1" t="s">
        <v>43</v>
      </c>
      <c r="B2314" s="1" t="s">
        <v>114</v>
      </c>
      <c r="C2314" s="1" t="s">
        <v>44</v>
      </c>
      <c r="D2314" t="s">
        <v>27</v>
      </c>
      <c r="E2314" s="2">
        <v>45964</v>
      </c>
      <c r="F2314" s="2">
        <v>45964</v>
      </c>
      <c r="G2314" s="3">
        <v>27</v>
      </c>
      <c r="H2314" s="4" t="s">
        <v>28</v>
      </c>
      <c r="I2314" s="28">
        <v>57</v>
      </c>
      <c r="J2314">
        <v>8</v>
      </c>
      <c r="K2314">
        <v>0</v>
      </c>
      <c r="L2314" s="3">
        <v>0</v>
      </c>
      <c r="M2314" s="3">
        <v>0</v>
      </c>
      <c r="N2314">
        <v>0</v>
      </c>
      <c r="O2314">
        <v>0</v>
      </c>
      <c r="P2314">
        <v>0</v>
      </c>
      <c r="Q2314">
        <v>0</v>
      </c>
      <c r="R2314" s="3">
        <v>0</v>
      </c>
      <c r="S2314" s="3">
        <v>0</v>
      </c>
      <c r="T2314">
        <v>0</v>
      </c>
      <c r="U2314">
        <v>0</v>
      </c>
      <c r="V2314" s="3">
        <v>0</v>
      </c>
      <c r="W2314" s="3">
        <v>0</v>
      </c>
      <c r="X2314">
        <v>0</v>
      </c>
      <c r="Y2314" t="s">
        <v>1878</v>
      </c>
    </row>
    <row r="2315" spans="1:26" hidden="1" x14ac:dyDescent="0.25">
      <c r="A2315" s="1" t="s">
        <v>45</v>
      </c>
      <c r="B2315" s="1" t="s">
        <v>116</v>
      </c>
      <c r="C2315" s="1" t="s">
        <v>46</v>
      </c>
      <c r="D2315" t="s">
        <v>27</v>
      </c>
      <c r="E2315" s="2">
        <v>45964</v>
      </c>
      <c r="F2315" s="2">
        <v>45964</v>
      </c>
      <c r="G2315" s="3">
        <v>66</v>
      </c>
      <c r="H2315" s="4" t="s">
        <v>28</v>
      </c>
      <c r="I2315" s="28">
        <v>68</v>
      </c>
      <c r="J2315">
        <v>0</v>
      </c>
      <c r="K2315">
        <v>0</v>
      </c>
      <c r="L2315" s="3">
        <v>1</v>
      </c>
      <c r="M2315" s="3">
        <v>0</v>
      </c>
      <c r="N2315">
        <v>0</v>
      </c>
      <c r="O2315">
        <v>0</v>
      </c>
      <c r="P2315">
        <v>0</v>
      </c>
      <c r="Q2315">
        <v>12</v>
      </c>
      <c r="R2315" s="3">
        <v>0</v>
      </c>
      <c r="S2315" s="3">
        <v>0</v>
      </c>
      <c r="T2315">
        <v>0</v>
      </c>
      <c r="U2315">
        <v>0</v>
      </c>
      <c r="V2315" s="3">
        <v>0</v>
      </c>
      <c r="W2315" s="3">
        <v>0</v>
      </c>
      <c r="X2315">
        <v>0</v>
      </c>
      <c r="Y2315" t="s">
        <v>1879</v>
      </c>
    </row>
    <row r="2316" spans="1:26" hidden="1" x14ac:dyDescent="0.25">
      <c r="A2316" s="1" t="s">
        <v>41</v>
      </c>
      <c r="B2316" s="1" t="s">
        <v>112</v>
      </c>
      <c r="C2316" s="1" t="s">
        <v>42</v>
      </c>
      <c r="D2316" t="s">
        <v>27</v>
      </c>
      <c r="E2316" s="2">
        <v>45964</v>
      </c>
      <c r="F2316" s="2">
        <v>45964</v>
      </c>
      <c r="G2316" s="3">
        <v>40</v>
      </c>
      <c r="H2316" s="4" t="s">
        <v>28</v>
      </c>
      <c r="I2316" s="28">
        <v>42</v>
      </c>
      <c r="J2316">
        <v>50</v>
      </c>
      <c r="K2316">
        <v>0</v>
      </c>
      <c r="L2316" s="3">
        <v>1</v>
      </c>
      <c r="M2316" s="3">
        <v>0</v>
      </c>
      <c r="N2316">
        <v>0</v>
      </c>
      <c r="O2316">
        <v>0</v>
      </c>
      <c r="P2316">
        <v>0</v>
      </c>
      <c r="Q2316">
        <v>0</v>
      </c>
      <c r="R2316" s="3">
        <v>0</v>
      </c>
      <c r="S2316" s="3">
        <v>0</v>
      </c>
      <c r="T2316">
        <v>0</v>
      </c>
      <c r="U2316">
        <v>0</v>
      </c>
      <c r="V2316" s="3">
        <v>0</v>
      </c>
      <c r="W2316" s="3">
        <v>0</v>
      </c>
      <c r="X2316">
        <v>5</v>
      </c>
      <c r="Y2316" t="s">
        <v>1859</v>
      </c>
    </row>
    <row r="2317" spans="1:26" hidden="1" x14ac:dyDescent="0.25">
      <c r="A2317" s="1" t="s">
        <v>47</v>
      </c>
      <c r="B2317" s="1" t="s">
        <v>137</v>
      </c>
      <c r="C2317" s="1" t="s">
        <v>27</v>
      </c>
      <c r="D2317" t="s">
        <v>27</v>
      </c>
      <c r="E2317" s="2">
        <v>45964</v>
      </c>
      <c r="F2317" s="2">
        <v>45964</v>
      </c>
      <c r="G2317" s="3">
        <v>45</v>
      </c>
      <c r="H2317" s="4" t="s">
        <v>28</v>
      </c>
      <c r="I2317" s="28">
        <v>45</v>
      </c>
      <c r="J2317">
        <v>0</v>
      </c>
      <c r="K2317">
        <v>0</v>
      </c>
      <c r="L2317" s="3">
        <v>1</v>
      </c>
      <c r="M2317" s="3">
        <v>0</v>
      </c>
      <c r="N2317">
        <v>0</v>
      </c>
      <c r="O2317">
        <v>0</v>
      </c>
      <c r="P2317">
        <v>3</v>
      </c>
      <c r="Q2317">
        <v>10</v>
      </c>
      <c r="R2317" s="3">
        <v>0</v>
      </c>
      <c r="S2317" s="3">
        <v>0</v>
      </c>
      <c r="T2317">
        <v>0</v>
      </c>
      <c r="U2317">
        <v>0</v>
      </c>
      <c r="V2317" s="3">
        <v>0</v>
      </c>
      <c r="W2317" s="3">
        <v>0</v>
      </c>
      <c r="X2317">
        <v>0</v>
      </c>
      <c r="Y2317" t="s">
        <v>1880</v>
      </c>
    </row>
    <row r="2318" spans="1:26" hidden="1" x14ac:dyDescent="0.25">
      <c r="A2318" s="1" t="s">
        <v>34</v>
      </c>
      <c r="B2318" s="1" t="s">
        <v>137</v>
      </c>
      <c r="C2318" s="1" t="s">
        <v>27</v>
      </c>
      <c r="D2318" t="s">
        <v>27</v>
      </c>
      <c r="E2318" s="2">
        <v>45964</v>
      </c>
      <c r="F2318" s="2">
        <v>45964</v>
      </c>
      <c r="G2318" s="3">
        <v>45</v>
      </c>
      <c r="H2318" s="4" t="s">
        <v>28</v>
      </c>
      <c r="I2318" s="28">
        <v>45</v>
      </c>
      <c r="J2318">
        <v>0</v>
      </c>
      <c r="K2318">
        <v>0</v>
      </c>
      <c r="L2318" s="3">
        <v>1</v>
      </c>
      <c r="M2318" s="3">
        <v>0</v>
      </c>
      <c r="N2318">
        <v>0</v>
      </c>
      <c r="O2318">
        <v>0</v>
      </c>
      <c r="P2318">
        <v>3</v>
      </c>
      <c r="Q2318">
        <v>10</v>
      </c>
      <c r="R2318" s="3">
        <v>0</v>
      </c>
      <c r="S2318" s="3">
        <v>0</v>
      </c>
      <c r="T2318">
        <v>0</v>
      </c>
      <c r="U2318">
        <v>0</v>
      </c>
      <c r="V2318" s="3">
        <v>0</v>
      </c>
      <c r="W2318" s="3">
        <v>0</v>
      </c>
      <c r="X2318">
        <v>0</v>
      </c>
      <c r="Y2318" t="s">
        <v>1880</v>
      </c>
    </row>
    <row r="2319" spans="1:26" hidden="1" x14ac:dyDescent="0.25">
      <c r="A2319" s="1" t="s">
        <v>51</v>
      </c>
      <c r="B2319" s="1" t="s">
        <v>120</v>
      </c>
      <c r="C2319" s="1" t="s">
        <v>55</v>
      </c>
      <c r="D2319" t="s">
        <v>27</v>
      </c>
      <c r="E2319" s="2">
        <v>45964</v>
      </c>
      <c r="F2319" s="2">
        <v>45964</v>
      </c>
      <c r="G2319" s="3">
        <v>87</v>
      </c>
      <c r="H2319" s="4" t="s">
        <v>28</v>
      </c>
      <c r="I2319" s="28">
        <v>42</v>
      </c>
      <c r="J2319">
        <v>0</v>
      </c>
      <c r="K2319">
        <v>0</v>
      </c>
      <c r="L2319" s="3">
        <v>1</v>
      </c>
      <c r="M2319" s="3">
        <v>0</v>
      </c>
      <c r="N2319">
        <v>1</v>
      </c>
      <c r="O2319">
        <v>0</v>
      </c>
      <c r="P2319">
        <v>0</v>
      </c>
      <c r="Q2319">
        <v>0</v>
      </c>
      <c r="R2319" s="3">
        <v>0</v>
      </c>
      <c r="S2319" s="3">
        <v>0</v>
      </c>
      <c r="T2319">
        <v>0</v>
      </c>
      <c r="U2319">
        <v>0</v>
      </c>
      <c r="V2319" s="3">
        <v>0</v>
      </c>
      <c r="W2319" s="3">
        <v>0</v>
      </c>
      <c r="X2319">
        <v>0</v>
      </c>
      <c r="Y2319" t="s">
        <v>1881</v>
      </c>
    </row>
    <row r="2320" spans="1:26" hidden="1" x14ac:dyDescent="0.25">
      <c r="A2320" s="1" t="s">
        <v>54</v>
      </c>
      <c r="B2320" s="1" t="s">
        <v>122</v>
      </c>
      <c r="C2320" s="1" t="s">
        <v>972</v>
      </c>
      <c r="D2320" t="s">
        <v>27</v>
      </c>
      <c r="E2320" s="2">
        <v>45964</v>
      </c>
      <c r="F2320" s="2">
        <v>45964</v>
      </c>
      <c r="G2320" s="3">
        <v>34</v>
      </c>
      <c r="H2320" s="4" t="s">
        <v>28</v>
      </c>
      <c r="I2320" s="28">
        <v>44</v>
      </c>
      <c r="J2320">
        <v>0</v>
      </c>
      <c r="K2320">
        <v>0</v>
      </c>
      <c r="L2320" s="3">
        <v>0</v>
      </c>
      <c r="M2320" s="3">
        <v>0</v>
      </c>
      <c r="N2320">
        <v>0</v>
      </c>
      <c r="O2320">
        <v>0</v>
      </c>
      <c r="P2320">
        <v>0</v>
      </c>
      <c r="Q2320">
        <v>2</v>
      </c>
      <c r="R2320" s="3">
        <v>0</v>
      </c>
      <c r="S2320" s="3">
        <v>0</v>
      </c>
      <c r="T2320">
        <v>0</v>
      </c>
      <c r="U2320">
        <v>0</v>
      </c>
      <c r="V2320" s="3">
        <v>0</v>
      </c>
      <c r="W2320" s="3">
        <v>0</v>
      </c>
      <c r="X2320">
        <v>0</v>
      </c>
      <c r="Y2320" t="s">
        <v>1882</v>
      </c>
    </row>
    <row r="2321" spans="1:26" hidden="1" x14ac:dyDescent="0.25">
      <c r="A2321" s="1" t="s">
        <v>972</v>
      </c>
      <c r="B2321" s="1" t="s">
        <v>122</v>
      </c>
      <c r="C2321" s="1" t="s">
        <v>27</v>
      </c>
      <c r="D2321" t="s">
        <v>27</v>
      </c>
      <c r="E2321" s="2">
        <v>45964</v>
      </c>
      <c r="F2321" s="2">
        <v>45964</v>
      </c>
      <c r="G2321" s="3">
        <v>34</v>
      </c>
      <c r="H2321" s="4" t="s">
        <v>28</v>
      </c>
      <c r="I2321" s="28">
        <v>44</v>
      </c>
      <c r="J2321">
        <v>0</v>
      </c>
      <c r="K2321">
        <v>0</v>
      </c>
      <c r="L2321" s="3">
        <v>0</v>
      </c>
      <c r="M2321" s="3">
        <v>0</v>
      </c>
      <c r="N2321">
        <v>0</v>
      </c>
      <c r="O2321">
        <v>0</v>
      </c>
      <c r="P2321">
        <v>0</v>
      </c>
      <c r="Q2321">
        <v>2</v>
      </c>
      <c r="R2321" s="3">
        <v>0</v>
      </c>
      <c r="S2321" s="3">
        <v>0</v>
      </c>
      <c r="T2321">
        <v>0</v>
      </c>
      <c r="U2321">
        <v>0</v>
      </c>
      <c r="V2321" s="3">
        <v>0</v>
      </c>
      <c r="W2321" s="3">
        <v>0</v>
      </c>
      <c r="X2321">
        <v>0</v>
      </c>
      <c r="Y2321" t="s">
        <v>1882</v>
      </c>
    </row>
    <row r="2322" spans="1:26" hidden="1" x14ac:dyDescent="0.25">
      <c r="A2322" s="1" t="s">
        <v>49</v>
      </c>
      <c r="B2322" s="1" t="s">
        <v>118</v>
      </c>
      <c r="C2322" s="1" t="s">
        <v>50</v>
      </c>
      <c r="D2322" t="s">
        <v>27</v>
      </c>
      <c r="E2322" s="2">
        <v>45964</v>
      </c>
      <c r="F2322" s="2">
        <v>45964</v>
      </c>
      <c r="G2322" s="3">
        <v>24</v>
      </c>
      <c r="H2322" s="4" t="s">
        <v>28</v>
      </c>
      <c r="I2322" s="28">
        <f>41+2</f>
        <v>43</v>
      </c>
      <c r="J2322">
        <v>0</v>
      </c>
      <c r="K2322">
        <v>0</v>
      </c>
      <c r="L2322" s="3">
        <v>1</v>
      </c>
      <c r="M2322" s="3">
        <v>1</v>
      </c>
      <c r="N2322">
        <v>0</v>
      </c>
      <c r="O2322">
        <v>1</v>
      </c>
      <c r="P2322">
        <v>0</v>
      </c>
      <c r="Q2322">
        <v>48</v>
      </c>
      <c r="R2322" s="3">
        <v>0</v>
      </c>
      <c r="S2322" s="3">
        <v>0</v>
      </c>
      <c r="T2322">
        <v>0</v>
      </c>
      <c r="U2322">
        <v>0</v>
      </c>
      <c r="V2322" s="3">
        <v>0</v>
      </c>
      <c r="W2322" s="3">
        <v>0</v>
      </c>
      <c r="X2322">
        <v>0</v>
      </c>
      <c r="Y2322" t="s">
        <v>1831</v>
      </c>
    </row>
    <row r="2323" spans="1:26" hidden="1" x14ac:dyDescent="0.25">
      <c r="A2323" t="s">
        <v>58</v>
      </c>
      <c r="B2323" t="s">
        <v>144</v>
      </c>
      <c r="C2323" t="s">
        <v>489</v>
      </c>
      <c r="D2323" t="s">
        <v>27</v>
      </c>
      <c r="E2323" s="2">
        <v>45960</v>
      </c>
      <c r="F2323" s="2">
        <v>45960</v>
      </c>
      <c r="G2323" s="3">
        <v>22</v>
      </c>
      <c r="H2323" s="4" t="s">
        <v>1255</v>
      </c>
      <c r="I2323" s="28">
        <v>0</v>
      </c>
      <c r="J2323">
        <v>0</v>
      </c>
      <c r="K2323">
        <v>0</v>
      </c>
      <c r="L2323" s="3">
        <v>0</v>
      </c>
      <c r="M2323" s="3">
        <v>0</v>
      </c>
      <c r="N2323">
        <v>0</v>
      </c>
      <c r="O2323">
        <v>0</v>
      </c>
      <c r="P2323">
        <v>0</v>
      </c>
      <c r="Q2323">
        <v>0</v>
      </c>
      <c r="R2323" s="3">
        <v>0</v>
      </c>
      <c r="S2323" s="3">
        <v>0</v>
      </c>
      <c r="T2323">
        <v>0</v>
      </c>
      <c r="U2323">
        <v>0</v>
      </c>
      <c r="V2323" s="3">
        <v>0</v>
      </c>
      <c r="W2323" s="3">
        <v>0</v>
      </c>
      <c r="X2323">
        <v>0</v>
      </c>
      <c r="Y2323" t="s">
        <v>1850</v>
      </c>
    </row>
    <row r="2324" spans="1:26" hidden="1" x14ac:dyDescent="0.25">
      <c r="A2324" s="1" t="s">
        <v>58</v>
      </c>
      <c r="B2324" s="1" t="s">
        <v>144</v>
      </c>
      <c r="C2324" s="1" t="s">
        <v>489</v>
      </c>
      <c r="D2324" t="s">
        <v>27</v>
      </c>
      <c r="E2324" s="2">
        <v>45964</v>
      </c>
      <c r="F2324" s="2">
        <v>45964</v>
      </c>
      <c r="G2324" s="3">
        <v>37</v>
      </c>
      <c r="H2324" s="4" t="s">
        <v>28</v>
      </c>
      <c r="I2324" s="28">
        <v>63</v>
      </c>
      <c r="J2324">
        <v>27</v>
      </c>
      <c r="K2324">
        <v>0</v>
      </c>
      <c r="L2324" s="3">
        <v>1</v>
      </c>
      <c r="M2324" s="3">
        <v>0</v>
      </c>
      <c r="N2324">
        <v>0</v>
      </c>
      <c r="O2324">
        <v>0</v>
      </c>
      <c r="P2324">
        <v>0</v>
      </c>
      <c r="Q2324">
        <v>30</v>
      </c>
      <c r="R2324" s="3">
        <v>0</v>
      </c>
      <c r="S2324" s="3">
        <v>0</v>
      </c>
      <c r="T2324">
        <v>0</v>
      </c>
      <c r="U2324">
        <v>0</v>
      </c>
      <c r="V2324" s="3">
        <v>0</v>
      </c>
      <c r="W2324" s="3">
        <v>0</v>
      </c>
      <c r="X2324">
        <v>0</v>
      </c>
      <c r="Y2324" t="s">
        <v>1883</v>
      </c>
    </row>
    <row r="2325" spans="1:26" hidden="1" x14ac:dyDescent="0.25">
      <c r="A2325" s="1" t="s">
        <v>48</v>
      </c>
      <c r="B2325" s="1" t="s">
        <v>149</v>
      </c>
      <c r="C2325" s="1" t="s">
        <v>35</v>
      </c>
      <c r="D2325" t="s">
        <v>27</v>
      </c>
      <c r="E2325" s="2">
        <v>45954</v>
      </c>
      <c r="F2325" s="2">
        <v>45954</v>
      </c>
      <c r="G2325" s="3">
        <v>54</v>
      </c>
      <c r="H2325" t="s">
        <v>28</v>
      </c>
      <c r="I2325" s="27">
        <v>33</v>
      </c>
      <c r="J2325" s="37">
        <v>0</v>
      </c>
      <c r="K2325">
        <v>0</v>
      </c>
      <c r="L2325" s="37">
        <v>0</v>
      </c>
      <c r="M2325" s="37">
        <v>0</v>
      </c>
      <c r="N2325" s="37">
        <v>0</v>
      </c>
      <c r="O2325">
        <v>0</v>
      </c>
      <c r="P2325">
        <v>0</v>
      </c>
      <c r="Q2325">
        <v>0</v>
      </c>
      <c r="R2325" s="37">
        <v>0</v>
      </c>
      <c r="S2325" s="37">
        <v>0</v>
      </c>
      <c r="T2325">
        <v>0</v>
      </c>
      <c r="U2325">
        <v>0</v>
      </c>
      <c r="V2325" s="37">
        <v>0</v>
      </c>
      <c r="W2325" s="37">
        <v>0</v>
      </c>
      <c r="X2325">
        <v>0</v>
      </c>
      <c r="Y2325" t="s">
        <v>1785</v>
      </c>
    </row>
    <row r="2326" spans="1:26" hidden="1" x14ac:dyDescent="0.25">
      <c r="A2326" s="1" t="s">
        <v>48</v>
      </c>
      <c r="B2326" s="1" t="s">
        <v>149</v>
      </c>
      <c r="C2326" s="1" t="s">
        <v>44</v>
      </c>
      <c r="D2326" t="s">
        <v>27</v>
      </c>
      <c r="E2326" s="2">
        <v>45956</v>
      </c>
      <c r="F2326" s="2">
        <v>45956</v>
      </c>
      <c r="G2326" s="3">
        <v>54</v>
      </c>
      <c r="H2326" t="s">
        <v>28</v>
      </c>
      <c r="I2326" s="27">
        <v>0</v>
      </c>
      <c r="J2326" s="37">
        <v>0</v>
      </c>
      <c r="K2326">
        <v>0</v>
      </c>
      <c r="L2326" s="37">
        <v>0</v>
      </c>
      <c r="M2326" s="37">
        <v>0</v>
      </c>
      <c r="N2326" s="37">
        <v>0</v>
      </c>
      <c r="O2326">
        <v>0</v>
      </c>
      <c r="P2326">
        <v>0</v>
      </c>
      <c r="Q2326">
        <v>0</v>
      </c>
      <c r="R2326" s="37">
        <v>0</v>
      </c>
      <c r="S2326" s="37">
        <v>1</v>
      </c>
      <c r="T2326">
        <v>49</v>
      </c>
      <c r="U2326">
        <v>27</v>
      </c>
      <c r="V2326" s="37">
        <v>0</v>
      </c>
      <c r="W2326" s="37">
        <v>1</v>
      </c>
      <c r="X2326">
        <v>0</v>
      </c>
      <c r="Y2326" t="s">
        <v>1785</v>
      </c>
    </row>
    <row r="2327" spans="1:26" hidden="1" x14ac:dyDescent="0.25">
      <c r="A2327" s="1" t="s">
        <v>48</v>
      </c>
      <c r="B2327" s="1" t="s">
        <v>149</v>
      </c>
      <c r="C2327" s="1" t="s">
        <v>35</v>
      </c>
      <c r="D2327" t="s">
        <v>27</v>
      </c>
      <c r="E2327" s="2">
        <v>45957</v>
      </c>
      <c r="F2327" s="2">
        <v>45957</v>
      </c>
      <c r="G2327" s="3">
        <v>54</v>
      </c>
      <c r="H2327" t="s">
        <v>28</v>
      </c>
      <c r="I2327" s="27">
        <v>28</v>
      </c>
      <c r="J2327" s="37">
        <v>0</v>
      </c>
      <c r="K2327">
        <v>0</v>
      </c>
      <c r="L2327" s="37">
        <v>0</v>
      </c>
      <c r="M2327" s="37">
        <v>0</v>
      </c>
      <c r="N2327" s="37">
        <v>0</v>
      </c>
      <c r="O2327">
        <v>0</v>
      </c>
      <c r="P2327">
        <v>0</v>
      </c>
      <c r="Q2327">
        <v>0</v>
      </c>
      <c r="R2327" s="37">
        <v>0</v>
      </c>
      <c r="S2327" s="37">
        <v>0</v>
      </c>
      <c r="T2327">
        <v>0</v>
      </c>
      <c r="U2327">
        <v>0</v>
      </c>
      <c r="V2327" s="37">
        <v>0</v>
      </c>
      <c r="W2327" s="37">
        <v>0</v>
      </c>
      <c r="X2327">
        <v>0</v>
      </c>
      <c r="Y2327" t="s">
        <v>1785</v>
      </c>
    </row>
    <row r="2328" spans="1:26" hidden="1" x14ac:dyDescent="0.25">
      <c r="A2328" t="s">
        <v>27</v>
      </c>
      <c r="B2328" s="1" t="s">
        <v>182</v>
      </c>
      <c r="C2328" t="s">
        <v>52</v>
      </c>
      <c r="D2328" t="s">
        <v>27</v>
      </c>
      <c r="E2328" s="2">
        <v>45964</v>
      </c>
      <c r="F2328" s="2">
        <v>45964</v>
      </c>
      <c r="G2328" s="3">
        <v>37</v>
      </c>
      <c r="H2328" s="4" t="s">
        <v>28</v>
      </c>
      <c r="I2328" s="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1883</v>
      </c>
    </row>
    <row r="2329" spans="1:26" hidden="1" x14ac:dyDescent="0.25">
      <c r="A2329" s="1" t="s">
        <v>25</v>
      </c>
      <c r="B2329" s="1" t="s">
        <v>96</v>
      </c>
      <c r="C2329" s="1" t="s">
        <v>26</v>
      </c>
      <c r="D2329" s="1" t="s">
        <v>27</v>
      </c>
      <c r="E2329" s="10">
        <v>45965</v>
      </c>
      <c r="F2329" s="2">
        <v>45965</v>
      </c>
      <c r="G2329" s="3">
        <v>36</v>
      </c>
      <c r="H2329" s="4" t="s">
        <v>28</v>
      </c>
      <c r="I2329" s="28">
        <v>53</v>
      </c>
      <c r="J2329">
        <v>0</v>
      </c>
      <c r="K2329">
        <v>0</v>
      </c>
      <c r="L2329" s="3">
        <v>1</v>
      </c>
      <c r="M2329" s="3">
        <v>0</v>
      </c>
      <c r="N2329">
        <v>1</v>
      </c>
      <c r="O2329">
        <v>0</v>
      </c>
      <c r="P2329">
        <v>0</v>
      </c>
      <c r="Q2329">
        <v>0</v>
      </c>
      <c r="R2329" s="3">
        <v>0</v>
      </c>
      <c r="S2329" s="3">
        <v>0</v>
      </c>
      <c r="T2329">
        <v>0</v>
      </c>
      <c r="U2329">
        <v>0</v>
      </c>
      <c r="V2329" s="3">
        <v>0</v>
      </c>
      <c r="W2329" s="3">
        <v>0</v>
      </c>
      <c r="X2329">
        <v>0</v>
      </c>
      <c r="Y2329" t="s">
        <v>1884</v>
      </c>
    </row>
    <row r="2330" spans="1:26" hidden="1" x14ac:dyDescent="0.25">
      <c r="A2330" s="1" t="s">
        <v>56</v>
      </c>
      <c r="B2330" s="1" t="s">
        <v>98</v>
      </c>
      <c r="C2330" s="1" t="s">
        <v>37</v>
      </c>
      <c r="D2330" s="1" t="s">
        <v>27</v>
      </c>
      <c r="E2330" s="10">
        <v>45965</v>
      </c>
      <c r="F2330" s="2">
        <v>45965</v>
      </c>
      <c r="G2330" s="3">
        <v>38</v>
      </c>
      <c r="H2330" s="4" t="s">
        <v>28</v>
      </c>
      <c r="I2330" s="28">
        <v>35</v>
      </c>
      <c r="J2330">
        <v>0</v>
      </c>
      <c r="K2330">
        <v>0</v>
      </c>
      <c r="L2330" s="3">
        <v>1</v>
      </c>
      <c r="M2330" s="3">
        <v>0</v>
      </c>
      <c r="N2330">
        <v>0</v>
      </c>
      <c r="O2330">
        <v>0</v>
      </c>
      <c r="P2330">
        <v>0</v>
      </c>
      <c r="Q2330">
        <v>10</v>
      </c>
      <c r="R2330" s="3">
        <v>0</v>
      </c>
      <c r="S2330" s="3">
        <v>0</v>
      </c>
      <c r="T2330">
        <v>0</v>
      </c>
      <c r="U2330">
        <v>0</v>
      </c>
      <c r="V2330" s="3">
        <v>0</v>
      </c>
      <c r="W2330" s="3">
        <v>0</v>
      </c>
      <c r="X2330">
        <v>0</v>
      </c>
      <c r="Y2330" t="s">
        <v>1885</v>
      </c>
    </row>
    <row r="2331" spans="1:26" hidden="1" x14ac:dyDescent="0.25">
      <c r="A2331" t="s">
        <v>27</v>
      </c>
      <c r="B2331" t="s">
        <v>100</v>
      </c>
      <c r="C2331" t="s">
        <v>95</v>
      </c>
      <c r="D2331" t="s">
        <v>27</v>
      </c>
      <c r="E2331" s="2">
        <v>45960</v>
      </c>
      <c r="F2331" s="2">
        <v>45960</v>
      </c>
      <c r="G2331" s="3">
        <v>31</v>
      </c>
      <c r="H2331" s="4" t="s">
        <v>28</v>
      </c>
      <c r="I2331" s="28">
        <v>55</v>
      </c>
      <c r="J2331">
        <v>0</v>
      </c>
      <c r="K2331">
        <v>0</v>
      </c>
      <c r="L2331" s="3">
        <v>0</v>
      </c>
      <c r="M2331" s="3">
        <v>0</v>
      </c>
      <c r="N2331">
        <v>0</v>
      </c>
      <c r="O2331">
        <v>0</v>
      </c>
      <c r="P2331">
        <v>0</v>
      </c>
      <c r="Q2331">
        <v>8</v>
      </c>
      <c r="R2331" s="3">
        <v>0</v>
      </c>
      <c r="S2331" s="3">
        <v>0</v>
      </c>
      <c r="T2331">
        <v>0</v>
      </c>
      <c r="U2331">
        <v>0</v>
      </c>
      <c r="V2331" s="3">
        <v>0</v>
      </c>
      <c r="W2331" s="3">
        <v>0</v>
      </c>
      <c r="X2331">
        <v>0</v>
      </c>
      <c r="Y2331" t="s">
        <v>1837</v>
      </c>
    </row>
    <row r="2332" spans="1:26" hidden="1" x14ac:dyDescent="0.25">
      <c r="A2332" s="1" t="s">
        <v>29</v>
      </c>
      <c r="B2332" s="1" t="s">
        <v>100</v>
      </c>
      <c r="C2332" s="1" t="s">
        <v>95</v>
      </c>
      <c r="D2332" s="1" t="s">
        <v>27</v>
      </c>
      <c r="E2332" s="10">
        <v>45964</v>
      </c>
      <c r="F2332" s="2">
        <v>45964</v>
      </c>
      <c r="G2332" s="3">
        <v>27</v>
      </c>
      <c r="H2332" s="4" t="s">
        <v>28</v>
      </c>
      <c r="I2332" s="28">
        <v>31</v>
      </c>
      <c r="J2332">
        <v>0</v>
      </c>
      <c r="K2332">
        <v>0</v>
      </c>
      <c r="L2332" s="3">
        <v>1</v>
      </c>
      <c r="M2332" s="3">
        <v>0</v>
      </c>
      <c r="N2332">
        <v>0</v>
      </c>
      <c r="O2332">
        <v>0</v>
      </c>
      <c r="P2332">
        <v>0</v>
      </c>
      <c r="Q2332">
        <v>15</v>
      </c>
      <c r="R2332" s="3">
        <v>0</v>
      </c>
      <c r="S2332" s="3">
        <v>0</v>
      </c>
      <c r="T2332">
        <v>0</v>
      </c>
      <c r="U2332">
        <v>0</v>
      </c>
      <c r="V2332" s="3">
        <v>0</v>
      </c>
      <c r="W2332" s="3">
        <v>0</v>
      </c>
      <c r="X2332">
        <v>0</v>
      </c>
      <c r="Y2332" t="s">
        <v>1886</v>
      </c>
    </row>
    <row r="2333" spans="1:26" hidden="1" x14ac:dyDescent="0.25">
      <c r="A2333" s="1" t="s">
        <v>344</v>
      </c>
      <c r="B2333" t="s">
        <v>144</v>
      </c>
      <c r="C2333" s="1" t="s">
        <v>35</v>
      </c>
      <c r="D2333" t="s">
        <v>27</v>
      </c>
      <c r="E2333" s="2">
        <v>45958</v>
      </c>
      <c r="F2333" s="2">
        <v>45958</v>
      </c>
      <c r="G2333" s="3">
        <v>32</v>
      </c>
      <c r="H2333" s="4" t="s">
        <v>28</v>
      </c>
      <c r="I2333" s="28">
        <v>43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1772</v>
      </c>
      <c r="Z2333" t="s">
        <v>1772</v>
      </c>
    </row>
    <row r="2334" spans="1:26" hidden="1" x14ac:dyDescent="0.25">
      <c r="A2334" s="1" t="s">
        <v>31</v>
      </c>
      <c r="B2334" s="1" t="s">
        <v>104</v>
      </c>
      <c r="C2334" s="1" t="s">
        <v>32</v>
      </c>
      <c r="D2334" s="1" t="s">
        <v>27</v>
      </c>
      <c r="E2334" s="10">
        <v>45965</v>
      </c>
      <c r="F2334" s="2">
        <v>45965</v>
      </c>
      <c r="G2334" s="3">
        <v>125</v>
      </c>
      <c r="H2334" s="4" t="s">
        <v>28</v>
      </c>
      <c r="I2334" s="28">
        <v>60</v>
      </c>
      <c r="J2334">
        <v>0</v>
      </c>
      <c r="K2334">
        <v>4</v>
      </c>
      <c r="L2334" s="3">
        <v>1</v>
      </c>
      <c r="M2334" s="3">
        <v>0</v>
      </c>
      <c r="N2334">
        <v>0</v>
      </c>
      <c r="O2334">
        <v>0</v>
      </c>
      <c r="P2334">
        <v>0</v>
      </c>
      <c r="Q2334">
        <v>34</v>
      </c>
      <c r="R2334" s="3">
        <v>0</v>
      </c>
      <c r="S2334" s="3">
        <v>0</v>
      </c>
      <c r="T2334">
        <v>0</v>
      </c>
      <c r="U2334">
        <v>0</v>
      </c>
      <c r="V2334" s="3">
        <v>0</v>
      </c>
      <c r="W2334" s="3">
        <v>0</v>
      </c>
      <c r="X2334">
        <v>7</v>
      </c>
      <c r="Y2334" t="s">
        <v>1888</v>
      </c>
    </row>
    <row r="2335" spans="1:26" hidden="1" x14ac:dyDescent="0.25">
      <c r="A2335" s="1" t="s">
        <v>38</v>
      </c>
      <c r="B2335" s="1" t="s">
        <v>108</v>
      </c>
      <c r="C2335" s="1" t="s">
        <v>27</v>
      </c>
      <c r="D2335" s="1" t="s">
        <v>27</v>
      </c>
      <c r="E2335" s="10">
        <v>45965</v>
      </c>
      <c r="F2335" s="2">
        <v>45965</v>
      </c>
      <c r="G2335" s="3">
        <v>45</v>
      </c>
      <c r="H2335" s="4" t="s">
        <v>28</v>
      </c>
      <c r="I2335" s="28">
        <v>45</v>
      </c>
      <c r="J2335">
        <v>0</v>
      </c>
      <c r="K2335">
        <v>0</v>
      </c>
      <c r="L2335" s="3">
        <v>0</v>
      </c>
      <c r="M2335" s="3">
        <v>0</v>
      </c>
      <c r="N2335">
        <v>0</v>
      </c>
      <c r="O2335">
        <v>0</v>
      </c>
      <c r="P2335">
        <v>0</v>
      </c>
      <c r="Q2335">
        <v>45</v>
      </c>
      <c r="R2335" s="3">
        <v>0</v>
      </c>
      <c r="S2335" s="3">
        <v>0</v>
      </c>
      <c r="T2335">
        <v>0</v>
      </c>
      <c r="U2335">
        <v>0</v>
      </c>
      <c r="V2335" s="3">
        <v>0</v>
      </c>
      <c r="W2335" s="3">
        <v>0</v>
      </c>
      <c r="X2335">
        <v>0</v>
      </c>
      <c r="Y2335" t="s">
        <v>1889</v>
      </c>
    </row>
    <row r="2336" spans="1:26" hidden="1" x14ac:dyDescent="0.25">
      <c r="A2336" s="1" t="s">
        <v>40</v>
      </c>
      <c r="B2336" s="1" t="s">
        <v>110</v>
      </c>
      <c r="C2336" s="1" t="s">
        <v>27</v>
      </c>
      <c r="D2336" s="1" t="s">
        <v>27</v>
      </c>
      <c r="E2336" s="10">
        <v>45965</v>
      </c>
      <c r="F2336" s="2">
        <v>45965</v>
      </c>
      <c r="G2336" s="3">
        <v>85</v>
      </c>
      <c r="H2336" s="4" t="s">
        <v>28</v>
      </c>
      <c r="I2336" s="28">
        <v>45</v>
      </c>
      <c r="J2336">
        <v>0</v>
      </c>
      <c r="K2336">
        <v>0</v>
      </c>
      <c r="L2336" s="3">
        <v>1</v>
      </c>
      <c r="M2336" s="3">
        <v>0</v>
      </c>
      <c r="N2336">
        <v>1</v>
      </c>
      <c r="O2336">
        <v>0</v>
      </c>
      <c r="P2336">
        <v>0</v>
      </c>
      <c r="Q2336">
        <v>0</v>
      </c>
      <c r="R2336" s="3">
        <v>0</v>
      </c>
      <c r="S2336" s="3">
        <v>0</v>
      </c>
      <c r="T2336">
        <v>0</v>
      </c>
      <c r="U2336">
        <v>0</v>
      </c>
      <c r="V2336" s="3">
        <v>0</v>
      </c>
      <c r="W2336" s="3">
        <v>0</v>
      </c>
      <c r="X2336">
        <v>0</v>
      </c>
      <c r="Y2336" t="s">
        <v>1890</v>
      </c>
    </row>
    <row r="2337" spans="1:25" hidden="1" x14ac:dyDescent="0.25">
      <c r="A2337" s="1" t="s">
        <v>36</v>
      </c>
      <c r="B2337" s="1" t="s">
        <v>110</v>
      </c>
      <c r="C2337" s="1" t="s">
        <v>27</v>
      </c>
      <c r="D2337" s="1" t="s">
        <v>27</v>
      </c>
      <c r="E2337" s="10">
        <v>45965</v>
      </c>
      <c r="F2337" s="2">
        <v>45965</v>
      </c>
      <c r="G2337" s="3">
        <v>85</v>
      </c>
      <c r="H2337" s="4" t="s">
        <v>28</v>
      </c>
      <c r="I2337" s="28">
        <v>45</v>
      </c>
      <c r="J2337">
        <v>0</v>
      </c>
      <c r="K2337">
        <v>0</v>
      </c>
      <c r="L2337" s="3">
        <v>1</v>
      </c>
      <c r="M2337" s="3">
        <v>0</v>
      </c>
      <c r="N2337">
        <v>1</v>
      </c>
      <c r="O2337">
        <v>0</v>
      </c>
      <c r="P2337">
        <v>0</v>
      </c>
      <c r="Q2337">
        <v>0</v>
      </c>
      <c r="R2337" s="3">
        <v>0</v>
      </c>
      <c r="S2337" s="3">
        <v>0</v>
      </c>
      <c r="T2337">
        <v>0</v>
      </c>
      <c r="U2337">
        <v>0</v>
      </c>
      <c r="V2337" s="3">
        <v>0</v>
      </c>
      <c r="W2337" s="3">
        <v>0</v>
      </c>
      <c r="X2337">
        <v>0</v>
      </c>
      <c r="Y2337" t="s">
        <v>1890</v>
      </c>
    </row>
    <row r="2338" spans="1:25" hidden="1" x14ac:dyDescent="0.25">
      <c r="A2338" s="1" t="s">
        <v>1454</v>
      </c>
      <c r="B2338" s="1" t="s">
        <v>1455</v>
      </c>
      <c r="C2338" s="1" t="s">
        <v>27</v>
      </c>
      <c r="D2338" s="1" t="s">
        <v>27</v>
      </c>
      <c r="E2338" s="10">
        <v>45965</v>
      </c>
      <c r="F2338" s="2">
        <v>45965</v>
      </c>
      <c r="G2338" s="3">
        <v>53</v>
      </c>
      <c r="H2338" s="4" t="s">
        <v>28</v>
      </c>
      <c r="I2338" s="28">
        <v>34</v>
      </c>
      <c r="J2338">
        <v>0</v>
      </c>
      <c r="K2338">
        <v>0</v>
      </c>
      <c r="L2338" s="3">
        <v>1</v>
      </c>
      <c r="M2338" s="3">
        <v>0</v>
      </c>
      <c r="N2338">
        <v>0</v>
      </c>
      <c r="O2338">
        <v>0</v>
      </c>
      <c r="P2338">
        <v>0</v>
      </c>
      <c r="Q2338">
        <v>34</v>
      </c>
      <c r="R2338" s="3">
        <v>0</v>
      </c>
      <c r="S2338" s="3">
        <v>0</v>
      </c>
      <c r="T2338">
        <v>0</v>
      </c>
      <c r="U2338">
        <v>0</v>
      </c>
      <c r="V2338" s="3">
        <v>0</v>
      </c>
      <c r="W2338" s="3">
        <v>0</v>
      </c>
      <c r="X2338">
        <v>0</v>
      </c>
      <c r="Y2338" t="s">
        <v>1891</v>
      </c>
    </row>
    <row r="2339" spans="1:25" hidden="1" x14ac:dyDescent="0.25">
      <c r="A2339" s="1" t="s">
        <v>41</v>
      </c>
      <c r="B2339" s="1" t="s">
        <v>112</v>
      </c>
      <c r="C2339" s="1" t="s">
        <v>42</v>
      </c>
      <c r="D2339" s="1" t="s">
        <v>27</v>
      </c>
      <c r="E2339" s="10">
        <v>45965</v>
      </c>
      <c r="F2339" s="2">
        <v>45965</v>
      </c>
      <c r="G2339" s="3">
        <v>36</v>
      </c>
      <c r="H2339" s="4" t="s">
        <v>28</v>
      </c>
      <c r="I2339" s="28">
        <v>70</v>
      </c>
      <c r="J2339">
        <v>0</v>
      </c>
      <c r="K2339">
        <v>0</v>
      </c>
      <c r="L2339" s="3">
        <v>1</v>
      </c>
      <c r="M2339" s="3">
        <v>0</v>
      </c>
      <c r="N2339">
        <v>0</v>
      </c>
      <c r="O2339">
        <v>0</v>
      </c>
      <c r="P2339">
        <v>0</v>
      </c>
      <c r="Q2339">
        <v>4</v>
      </c>
      <c r="R2339" s="3">
        <v>0</v>
      </c>
      <c r="S2339" s="3">
        <v>0</v>
      </c>
      <c r="T2339">
        <v>0</v>
      </c>
      <c r="U2339">
        <v>0</v>
      </c>
      <c r="V2339" s="3">
        <v>0</v>
      </c>
      <c r="W2339" s="3">
        <v>0</v>
      </c>
      <c r="X2339">
        <v>0</v>
      </c>
      <c r="Y2339" t="s">
        <v>1892</v>
      </c>
    </row>
    <row r="2340" spans="1:25" hidden="1" x14ac:dyDescent="0.25">
      <c r="A2340" s="1" t="s">
        <v>43</v>
      </c>
      <c r="B2340" s="1" t="s">
        <v>114</v>
      </c>
      <c r="C2340" s="1" t="s">
        <v>44</v>
      </c>
      <c r="D2340" s="1" t="s">
        <v>27</v>
      </c>
      <c r="E2340" s="10">
        <v>45965</v>
      </c>
      <c r="F2340" s="2">
        <v>45965</v>
      </c>
      <c r="G2340" s="3">
        <v>26</v>
      </c>
      <c r="H2340" s="4" t="s">
        <v>28</v>
      </c>
      <c r="I2340" s="28">
        <v>70</v>
      </c>
      <c r="J2340">
        <v>0</v>
      </c>
      <c r="K2340">
        <v>0</v>
      </c>
      <c r="L2340" s="3">
        <v>1</v>
      </c>
      <c r="M2340" s="3">
        <v>0</v>
      </c>
      <c r="N2340">
        <v>0</v>
      </c>
      <c r="O2340">
        <v>0</v>
      </c>
      <c r="P2340">
        <v>0</v>
      </c>
      <c r="Q2340">
        <v>0</v>
      </c>
      <c r="R2340" s="3">
        <v>0</v>
      </c>
      <c r="S2340" s="3">
        <v>0</v>
      </c>
      <c r="T2340">
        <v>0</v>
      </c>
      <c r="U2340">
        <v>0</v>
      </c>
      <c r="V2340" s="3">
        <v>0</v>
      </c>
      <c r="W2340" s="3">
        <v>0</v>
      </c>
      <c r="X2340">
        <v>0</v>
      </c>
      <c r="Y2340" t="s">
        <v>1893</v>
      </c>
    </row>
    <row r="2341" spans="1:25" hidden="1" x14ac:dyDescent="0.25">
      <c r="A2341" s="1" t="s">
        <v>45</v>
      </c>
      <c r="B2341" s="1" t="s">
        <v>116</v>
      </c>
      <c r="C2341" s="1" t="s">
        <v>46</v>
      </c>
      <c r="D2341" s="1" t="s">
        <v>27</v>
      </c>
      <c r="E2341" s="10">
        <v>45965</v>
      </c>
      <c r="F2341" s="2">
        <v>45965</v>
      </c>
      <c r="G2341" s="3">
        <v>160</v>
      </c>
      <c r="H2341" s="4" t="s">
        <v>28</v>
      </c>
      <c r="I2341" s="28">
        <v>30</v>
      </c>
      <c r="J2341">
        <v>0</v>
      </c>
      <c r="K2341">
        <v>0</v>
      </c>
      <c r="L2341" s="3">
        <v>1</v>
      </c>
      <c r="M2341" s="3">
        <v>0</v>
      </c>
      <c r="N2341">
        <v>0</v>
      </c>
      <c r="O2341">
        <v>0</v>
      </c>
      <c r="P2341">
        <v>0</v>
      </c>
      <c r="Q2341">
        <v>0</v>
      </c>
      <c r="R2341" s="3">
        <v>0</v>
      </c>
      <c r="S2341" s="3">
        <v>0</v>
      </c>
      <c r="T2341">
        <v>0</v>
      </c>
      <c r="U2341">
        <v>0</v>
      </c>
      <c r="V2341" s="3">
        <v>0</v>
      </c>
      <c r="W2341" s="3">
        <v>0</v>
      </c>
      <c r="X2341">
        <v>1</v>
      </c>
      <c r="Y2341" t="s">
        <v>1894</v>
      </c>
    </row>
    <row r="2342" spans="1:25" hidden="1" x14ac:dyDescent="0.25">
      <c r="A2342" s="1" t="s">
        <v>47</v>
      </c>
      <c r="B2342" s="1" t="s">
        <v>137</v>
      </c>
      <c r="C2342" s="1" t="s">
        <v>27</v>
      </c>
      <c r="D2342" s="1" t="s">
        <v>27</v>
      </c>
      <c r="E2342" s="10">
        <v>45965</v>
      </c>
      <c r="F2342" s="2">
        <v>45965</v>
      </c>
      <c r="G2342" s="3">
        <v>20</v>
      </c>
      <c r="H2342" s="4" t="s">
        <v>28</v>
      </c>
      <c r="I2342" s="28">
        <v>56</v>
      </c>
      <c r="J2342">
        <v>0</v>
      </c>
      <c r="K2342">
        <v>0</v>
      </c>
      <c r="L2342" s="3">
        <v>1</v>
      </c>
      <c r="M2342" s="3">
        <v>0</v>
      </c>
      <c r="N2342">
        <v>0</v>
      </c>
      <c r="O2342">
        <v>0</v>
      </c>
      <c r="P2342">
        <v>0</v>
      </c>
      <c r="Q2342">
        <v>10</v>
      </c>
      <c r="R2342" s="3">
        <v>0</v>
      </c>
      <c r="S2342" s="3">
        <v>0</v>
      </c>
      <c r="T2342">
        <v>0</v>
      </c>
      <c r="U2342">
        <v>0</v>
      </c>
      <c r="V2342" s="3">
        <v>0</v>
      </c>
      <c r="W2342" s="3">
        <v>0</v>
      </c>
      <c r="X2342">
        <v>0</v>
      </c>
      <c r="Y2342" t="s">
        <v>1895</v>
      </c>
    </row>
    <row r="2343" spans="1:25" hidden="1" x14ac:dyDescent="0.25">
      <c r="A2343" s="1" t="s">
        <v>34</v>
      </c>
      <c r="B2343" s="1" t="s">
        <v>137</v>
      </c>
      <c r="C2343" s="1" t="s">
        <v>27</v>
      </c>
      <c r="D2343" s="1" t="s">
        <v>27</v>
      </c>
      <c r="E2343" s="10">
        <v>45965</v>
      </c>
      <c r="F2343" s="2">
        <v>45965</v>
      </c>
      <c r="G2343" s="3">
        <v>20</v>
      </c>
      <c r="H2343" s="4" t="s">
        <v>28</v>
      </c>
      <c r="I2343" s="28">
        <v>56</v>
      </c>
      <c r="J2343">
        <v>0</v>
      </c>
      <c r="K2343">
        <v>0</v>
      </c>
      <c r="L2343" s="3">
        <v>1</v>
      </c>
      <c r="M2343" s="3">
        <v>0</v>
      </c>
      <c r="N2343">
        <v>0</v>
      </c>
      <c r="O2343">
        <v>0</v>
      </c>
      <c r="P2343">
        <v>0</v>
      </c>
      <c r="Q2343">
        <v>10</v>
      </c>
      <c r="R2343" s="3">
        <v>0</v>
      </c>
      <c r="S2343" s="3">
        <v>0</v>
      </c>
      <c r="T2343">
        <v>0</v>
      </c>
      <c r="U2343">
        <v>0</v>
      </c>
      <c r="V2343" s="3">
        <v>0</v>
      </c>
      <c r="W2343" s="3">
        <v>0</v>
      </c>
      <c r="X2343">
        <v>0</v>
      </c>
      <c r="Y2343" t="s">
        <v>1895</v>
      </c>
    </row>
    <row r="2344" spans="1:25" hidden="1" x14ac:dyDescent="0.25">
      <c r="A2344" s="1" t="s">
        <v>49</v>
      </c>
      <c r="B2344" s="1" t="s">
        <v>118</v>
      </c>
      <c r="C2344" s="1" t="s">
        <v>50</v>
      </c>
      <c r="D2344" s="1" t="s">
        <v>27</v>
      </c>
      <c r="E2344" s="10">
        <v>45965</v>
      </c>
      <c r="F2344" s="2">
        <v>45965</v>
      </c>
      <c r="G2344" s="3">
        <v>24</v>
      </c>
      <c r="H2344" s="4" t="s">
        <v>28</v>
      </c>
      <c r="I2344" s="28">
        <f>41+2</f>
        <v>43</v>
      </c>
      <c r="J2344">
        <v>0</v>
      </c>
      <c r="K2344">
        <v>0</v>
      </c>
      <c r="L2344" s="3">
        <v>1</v>
      </c>
      <c r="M2344" s="3">
        <v>1</v>
      </c>
      <c r="N2344">
        <v>0</v>
      </c>
      <c r="O2344">
        <v>1</v>
      </c>
      <c r="P2344">
        <v>0</v>
      </c>
      <c r="Q2344">
        <v>48</v>
      </c>
      <c r="R2344" s="3">
        <v>0</v>
      </c>
      <c r="S2344" s="3">
        <v>0</v>
      </c>
      <c r="T2344">
        <v>0</v>
      </c>
      <c r="U2344">
        <v>0</v>
      </c>
      <c r="V2344" s="3">
        <v>0</v>
      </c>
      <c r="W2344" s="3">
        <v>0</v>
      </c>
      <c r="X2344">
        <v>0</v>
      </c>
      <c r="Y2344" t="s">
        <v>1831</v>
      </c>
    </row>
    <row r="2345" spans="1:25" hidden="1" x14ac:dyDescent="0.25">
      <c r="A2345" s="1" t="s">
        <v>54</v>
      </c>
      <c r="B2345" s="1" t="s">
        <v>122</v>
      </c>
      <c r="C2345" t="s">
        <v>52</v>
      </c>
      <c r="D2345" s="1" t="s">
        <v>27</v>
      </c>
      <c r="E2345" s="10">
        <v>45965</v>
      </c>
      <c r="F2345" s="2">
        <v>45965</v>
      </c>
      <c r="G2345" s="3">
        <v>33</v>
      </c>
      <c r="H2345" s="4" t="s">
        <v>28</v>
      </c>
      <c r="I2345" s="28">
        <v>49</v>
      </c>
      <c r="J2345">
        <v>0</v>
      </c>
      <c r="K2345">
        <v>0</v>
      </c>
      <c r="L2345" s="3">
        <v>0</v>
      </c>
      <c r="M2345" s="3">
        <v>0</v>
      </c>
      <c r="N2345">
        <v>0</v>
      </c>
      <c r="O2345">
        <v>0</v>
      </c>
      <c r="P2345">
        <v>0</v>
      </c>
      <c r="Q2345">
        <v>2</v>
      </c>
      <c r="R2345" s="3">
        <v>0</v>
      </c>
      <c r="S2345" s="3">
        <v>0</v>
      </c>
      <c r="T2345">
        <v>0</v>
      </c>
      <c r="U2345">
        <v>0</v>
      </c>
      <c r="V2345" s="3">
        <v>0</v>
      </c>
      <c r="W2345" s="3">
        <v>0</v>
      </c>
      <c r="X2345">
        <v>0</v>
      </c>
      <c r="Y2345" t="s">
        <v>1896</v>
      </c>
    </row>
    <row r="2346" spans="1:25" hidden="1" x14ac:dyDescent="0.25">
      <c r="A2346" s="1" t="s">
        <v>58</v>
      </c>
      <c r="B2346" s="1" t="s">
        <v>144</v>
      </c>
      <c r="C2346" s="1" t="s">
        <v>489</v>
      </c>
      <c r="D2346" s="1" t="s">
        <v>27</v>
      </c>
      <c r="E2346" s="10">
        <v>45965</v>
      </c>
      <c r="F2346" s="2">
        <v>45965</v>
      </c>
      <c r="G2346" s="3">
        <v>25</v>
      </c>
      <c r="H2346" s="4" t="s">
        <v>28</v>
      </c>
      <c r="I2346" s="28">
        <v>32</v>
      </c>
      <c r="J2346">
        <v>0</v>
      </c>
      <c r="K2346">
        <v>0</v>
      </c>
      <c r="L2346" s="3">
        <v>1</v>
      </c>
      <c r="M2346" s="3">
        <v>0</v>
      </c>
      <c r="N2346">
        <v>0</v>
      </c>
      <c r="O2346">
        <v>0</v>
      </c>
      <c r="P2346">
        <v>0</v>
      </c>
      <c r="Q2346">
        <v>21</v>
      </c>
      <c r="R2346" s="3">
        <v>0</v>
      </c>
      <c r="S2346" s="3">
        <v>0</v>
      </c>
      <c r="T2346">
        <v>0</v>
      </c>
      <c r="U2346">
        <v>0</v>
      </c>
      <c r="V2346" s="3">
        <v>0</v>
      </c>
      <c r="W2346" s="3">
        <v>0</v>
      </c>
      <c r="X2346">
        <v>0</v>
      </c>
      <c r="Y2346" t="s">
        <v>1897</v>
      </c>
    </row>
    <row r="2347" spans="1:25" hidden="1" x14ac:dyDescent="0.25">
      <c r="A2347" s="1" t="s">
        <v>454</v>
      </c>
      <c r="B2347" s="1" t="s">
        <v>106</v>
      </c>
      <c r="C2347" s="1" t="s">
        <v>27</v>
      </c>
      <c r="D2347" s="1" t="s">
        <v>27</v>
      </c>
      <c r="E2347" s="10">
        <v>45965</v>
      </c>
      <c r="F2347" s="2">
        <v>45965</v>
      </c>
      <c r="G2347" s="3">
        <v>25</v>
      </c>
      <c r="H2347" s="4" t="s">
        <v>1317</v>
      </c>
      <c r="I2347" s="28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1897</v>
      </c>
    </row>
    <row r="2348" spans="1:25" hidden="1" x14ac:dyDescent="0.25">
      <c r="A2348" s="1" t="s">
        <v>51</v>
      </c>
      <c r="B2348" s="1" t="s">
        <v>182</v>
      </c>
      <c r="C2348" s="1" t="s">
        <v>27</v>
      </c>
      <c r="D2348" s="1" t="s">
        <v>27</v>
      </c>
      <c r="E2348" s="10">
        <v>45965</v>
      </c>
      <c r="F2348" s="2">
        <v>45965</v>
      </c>
      <c r="G2348" s="3">
        <v>25</v>
      </c>
      <c r="H2348" s="4" t="s">
        <v>1153</v>
      </c>
      <c r="I2348" s="2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1897</v>
      </c>
    </row>
    <row r="2349" spans="1:25" hidden="1" x14ac:dyDescent="0.25">
      <c r="A2349" s="1" t="s">
        <v>27</v>
      </c>
      <c r="B2349" s="1" t="s">
        <v>184</v>
      </c>
      <c r="C2349" s="1" t="s">
        <v>55</v>
      </c>
      <c r="D2349" s="1" t="s">
        <v>27</v>
      </c>
      <c r="E2349" s="10">
        <v>45965</v>
      </c>
      <c r="F2349" s="2">
        <v>45965</v>
      </c>
      <c r="G2349" s="3">
        <v>25</v>
      </c>
      <c r="H2349" s="4" t="s">
        <v>1153</v>
      </c>
      <c r="I2349" s="28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1897</v>
      </c>
    </row>
    <row r="2350" spans="1:25" hidden="1" x14ac:dyDescent="0.25">
      <c r="A2350" s="1" t="s">
        <v>27</v>
      </c>
      <c r="B2350" s="1" t="s">
        <v>186</v>
      </c>
      <c r="C2350" s="1" t="s">
        <v>57</v>
      </c>
      <c r="D2350" s="1" t="s">
        <v>27</v>
      </c>
      <c r="E2350" s="10">
        <v>45965</v>
      </c>
      <c r="F2350" s="2">
        <v>45965</v>
      </c>
      <c r="G2350" s="3">
        <v>25</v>
      </c>
      <c r="H2350" s="4" t="s">
        <v>1448</v>
      </c>
      <c r="I2350" s="28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 t="s">
        <v>1897</v>
      </c>
    </row>
    <row r="2351" spans="1:25" hidden="1" x14ac:dyDescent="0.25">
      <c r="A2351" s="1" t="s">
        <v>41</v>
      </c>
      <c r="B2351" s="1" t="s">
        <v>188</v>
      </c>
      <c r="C2351" s="1" t="s">
        <v>27</v>
      </c>
      <c r="D2351" s="1" t="s">
        <v>27</v>
      </c>
      <c r="E2351" s="10">
        <v>45965</v>
      </c>
      <c r="F2351" s="2">
        <v>45965</v>
      </c>
      <c r="G2351" s="3">
        <v>25</v>
      </c>
      <c r="H2351" s="4" t="s">
        <v>1317</v>
      </c>
      <c r="I2351" s="28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1897</v>
      </c>
    </row>
    <row r="2352" spans="1:25" hidden="1" x14ac:dyDescent="0.25">
      <c r="A2352" s="1" t="s">
        <v>25</v>
      </c>
      <c r="B2352" s="1" t="s">
        <v>96</v>
      </c>
      <c r="C2352" s="1" t="s">
        <v>26</v>
      </c>
      <c r="D2352" s="1" t="s">
        <v>27</v>
      </c>
      <c r="E2352" s="2">
        <v>45966</v>
      </c>
      <c r="F2352" s="2">
        <v>45966</v>
      </c>
      <c r="G2352" s="3">
        <v>53</v>
      </c>
      <c r="H2352" s="4" t="s">
        <v>28</v>
      </c>
      <c r="I2352" s="28">
        <v>78</v>
      </c>
      <c r="J2352">
        <v>0</v>
      </c>
      <c r="K2352">
        <v>0</v>
      </c>
      <c r="L2352" s="3">
        <v>0</v>
      </c>
      <c r="M2352" s="3">
        <v>0</v>
      </c>
      <c r="N2352">
        <v>1</v>
      </c>
      <c r="O2352">
        <v>0</v>
      </c>
      <c r="P2352">
        <v>0</v>
      </c>
      <c r="Q2352">
        <v>0</v>
      </c>
      <c r="R2352" s="3">
        <v>0</v>
      </c>
      <c r="S2352" s="3">
        <v>0</v>
      </c>
      <c r="T2352">
        <v>0</v>
      </c>
      <c r="U2352">
        <v>0</v>
      </c>
      <c r="V2352" s="3">
        <v>0</v>
      </c>
      <c r="W2352" s="3">
        <v>0</v>
      </c>
      <c r="X2352">
        <v>0</v>
      </c>
      <c r="Y2352" t="s">
        <v>1898</v>
      </c>
    </row>
    <row r="2353" spans="1:26" hidden="1" x14ac:dyDescent="0.25">
      <c r="A2353" s="1" t="s">
        <v>344</v>
      </c>
      <c r="B2353" t="s">
        <v>144</v>
      </c>
      <c r="C2353" s="1" t="s">
        <v>35</v>
      </c>
      <c r="D2353" t="s">
        <v>27</v>
      </c>
      <c r="E2353" s="2">
        <v>45959</v>
      </c>
      <c r="F2353" s="2">
        <v>45959</v>
      </c>
      <c r="G2353" s="3">
        <v>32</v>
      </c>
      <c r="H2353" s="4" t="s">
        <v>28</v>
      </c>
      <c r="I2353" s="28">
        <v>32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1772</v>
      </c>
      <c r="Z2353" t="s">
        <v>1772</v>
      </c>
    </row>
    <row r="2354" spans="1:26" hidden="1" x14ac:dyDescent="0.25">
      <c r="A2354" s="1" t="s">
        <v>56</v>
      </c>
      <c r="B2354" s="1" t="s">
        <v>98</v>
      </c>
      <c r="C2354" s="1" t="s">
        <v>37</v>
      </c>
      <c r="D2354" s="1" t="s">
        <v>27</v>
      </c>
      <c r="E2354" s="2">
        <v>45966</v>
      </c>
      <c r="F2354" s="2">
        <v>45966</v>
      </c>
      <c r="G2354" s="3">
        <v>27</v>
      </c>
      <c r="H2354" s="4" t="s">
        <v>28</v>
      </c>
      <c r="I2354" s="28">
        <v>62</v>
      </c>
      <c r="J2354">
        <v>0</v>
      </c>
      <c r="K2354">
        <v>0</v>
      </c>
      <c r="L2354" s="3">
        <v>1</v>
      </c>
      <c r="M2354" s="3">
        <v>0</v>
      </c>
      <c r="N2354">
        <v>0</v>
      </c>
      <c r="O2354">
        <v>0</v>
      </c>
      <c r="P2354">
        <v>0</v>
      </c>
      <c r="Q2354">
        <v>10</v>
      </c>
      <c r="R2354" s="3">
        <v>0</v>
      </c>
      <c r="S2354" s="3">
        <v>0</v>
      </c>
      <c r="T2354">
        <v>0</v>
      </c>
      <c r="U2354">
        <v>0</v>
      </c>
      <c r="V2354" s="3">
        <v>0</v>
      </c>
      <c r="W2354" s="3">
        <v>0</v>
      </c>
      <c r="X2354">
        <v>0</v>
      </c>
      <c r="Y2354" t="s">
        <v>1899</v>
      </c>
    </row>
    <row r="2355" spans="1:26" hidden="1" x14ac:dyDescent="0.25">
      <c r="A2355" s="1" t="s">
        <v>31</v>
      </c>
      <c r="B2355" s="1" t="s">
        <v>104</v>
      </c>
      <c r="C2355" s="1" t="s">
        <v>32</v>
      </c>
      <c r="D2355" s="1" t="s">
        <v>27</v>
      </c>
      <c r="E2355" s="2">
        <v>45966</v>
      </c>
      <c r="F2355" s="2">
        <v>45966</v>
      </c>
      <c r="G2355" s="3">
        <v>40</v>
      </c>
      <c r="H2355" s="4" t="s">
        <v>28</v>
      </c>
      <c r="I2355" s="28">
        <v>92</v>
      </c>
      <c r="J2355">
        <v>0</v>
      </c>
      <c r="K2355">
        <v>0</v>
      </c>
      <c r="L2355" s="3">
        <v>1</v>
      </c>
      <c r="M2355" s="3">
        <v>0</v>
      </c>
      <c r="N2355">
        <v>0</v>
      </c>
      <c r="O2355">
        <v>0</v>
      </c>
      <c r="P2355">
        <v>3</v>
      </c>
      <c r="Q2355">
        <v>34</v>
      </c>
      <c r="R2355" s="3">
        <v>0</v>
      </c>
      <c r="S2355" s="3">
        <v>0</v>
      </c>
      <c r="T2355">
        <v>0</v>
      </c>
      <c r="U2355">
        <v>0</v>
      </c>
      <c r="V2355" s="3">
        <v>0</v>
      </c>
      <c r="W2355" s="3">
        <v>0</v>
      </c>
      <c r="X2355">
        <v>7</v>
      </c>
      <c r="Y2355" t="s">
        <v>1900</v>
      </c>
    </row>
    <row r="2356" spans="1:26" hidden="1" x14ac:dyDescent="0.25">
      <c r="A2356" s="1" t="s">
        <v>33</v>
      </c>
      <c r="B2356" s="1" t="s">
        <v>106</v>
      </c>
      <c r="C2356" s="1" t="s">
        <v>57</v>
      </c>
      <c r="D2356" s="1" t="s">
        <v>27</v>
      </c>
      <c r="E2356" s="2">
        <v>45966</v>
      </c>
      <c r="F2356" s="2">
        <v>45966</v>
      </c>
      <c r="G2356" s="3">
        <v>26</v>
      </c>
      <c r="H2356" s="4" t="s">
        <v>28</v>
      </c>
      <c r="I2356" s="28">
        <v>50</v>
      </c>
      <c r="J2356">
        <v>0</v>
      </c>
      <c r="K2356">
        <v>0</v>
      </c>
      <c r="L2356" s="3">
        <v>0</v>
      </c>
      <c r="M2356" s="3">
        <v>0</v>
      </c>
      <c r="N2356">
        <v>0</v>
      </c>
      <c r="O2356">
        <v>0</v>
      </c>
      <c r="P2356">
        <v>0</v>
      </c>
      <c r="Q2356">
        <v>20</v>
      </c>
      <c r="R2356" s="3">
        <v>0</v>
      </c>
      <c r="S2356" s="3">
        <v>0</v>
      </c>
      <c r="T2356">
        <v>0</v>
      </c>
      <c r="U2356">
        <v>0</v>
      </c>
      <c r="V2356" s="3">
        <v>0</v>
      </c>
      <c r="W2356" s="3">
        <v>0</v>
      </c>
      <c r="X2356">
        <v>0</v>
      </c>
      <c r="Y2356" t="s">
        <v>1901</v>
      </c>
    </row>
    <row r="2357" spans="1:26" hidden="1" x14ac:dyDescent="0.25">
      <c r="A2357" s="1" t="s">
        <v>38</v>
      </c>
      <c r="B2357" s="1" t="s">
        <v>108</v>
      </c>
      <c r="C2357" s="1" t="s">
        <v>27</v>
      </c>
      <c r="D2357" s="1" t="s">
        <v>27</v>
      </c>
      <c r="E2357" s="2">
        <v>45966</v>
      </c>
      <c r="F2357" s="2">
        <v>45966</v>
      </c>
      <c r="G2357" s="3">
        <v>40</v>
      </c>
      <c r="H2357" s="4" t="s">
        <v>28</v>
      </c>
      <c r="I2357" s="28">
        <v>59</v>
      </c>
      <c r="J2357">
        <v>0</v>
      </c>
      <c r="K2357">
        <v>0</v>
      </c>
      <c r="L2357" s="3">
        <v>0</v>
      </c>
      <c r="M2357" s="3">
        <v>0</v>
      </c>
      <c r="N2357">
        <v>0</v>
      </c>
      <c r="O2357">
        <v>0</v>
      </c>
      <c r="P2357">
        <v>0</v>
      </c>
      <c r="Q2357">
        <v>59</v>
      </c>
      <c r="R2357" s="3">
        <v>0</v>
      </c>
      <c r="S2357" s="3">
        <v>0</v>
      </c>
      <c r="T2357">
        <v>0</v>
      </c>
      <c r="U2357">
        <v>0</v>
      </c>
      <c r="V2357" s="3">
        <v>0</v>
      </c>
      <c r="W2357" s="3">
        <v>0</v>
      </c>
      <c r="X2357">
        <v>0</v>
      </c>
      <c r="Y2357" t="s">
        <v>1902</v>
      </c>
    </row>
    <row r="2358" spans="1:26" hidden="1" x14ac:dyDescent="0.25">
      <c r="A2358" s="1" t="s">
        <v>40</v>
      </c>
      <c r="B2358" s="1" t="s">
        <v>110</v>
      </c>
      <c r="C2358" s="1" t="s">
        <v>27</v>
      </c>
      <c r="D2358" s="1" t="s">
        <v>27</v>
      </c>
      <c r="E2358" s="2">
        <v>45966</v>
      </c>
      <c r="F2358" s="2">
        <v>45966</v>
      </c>
      <c r="G2358" s="3">
        <v>195</v>
      </c>
      <c r="H2358" s="4" t="s">
        <v>28</v>
      </c>
      <c r="I2358" s="28">
        <v>75</v>
      </c>
      <c r="J2358">
        <v>0</v>
      </c>
      <c r="K2358">
        <v>0</v>
      </c>
      <c r="L2358" s="3">
        <v>1</v>
      </c>
      <c r="M2358" s="3">
        <v>0</v>
      </c>
      <c r="N2358">
        <v>1</v>
      </c>
      <c r="O2358">
        <v>0</v>
      </c>
      <c r="P2358">
        <v>0</v>
      </c>
      <c r="Q2358">
        <v>0</v>
      </c>
      <c r="R2358" s="3">
        <v>0</v>
      </c>
      <c r="S2358" s="3">
        <v>0</v>
      </c>
      <c r="T2358">
        <v>0</v>
      </c>
      <c r="U2358">
        <v>0</v>
      </c>
      <c r="V2358" s="3">
        <v>0</v>
      </c>
      <c r="W2358" s="3">
        <v>0</v>
      </c>
      <c r="X2358">
        <v>0</v>
      </c>
      <c r="Y2358" t="s">
        <v>1903</v>
      </c>
    </row>
    <row r="2359" spans="1:26" hidden="1" x14ac:dyDescent="0.25">
      <c r="A2359" s="1" t="s">
        <v>36</v>
      </c>
      <c r="B2359" s="1" t="s">
        <v>110</v>
      </c>
      <c r="C2359" s="1" t="s">
        <v>27</v>
      </c>
      <c r="D2359" s="1" t="s">
        <v>27</v>
      </c>
      <c r="E2359" s="2">
        <v>45966</v>
      </c>
      <c r="F2359" s="2">
        <v>45966</v>
      </c>
      <c r="G2359" s="3">
        <v>195</v>
      </c>
      <c r="H2359" s="4" t="s">
        <v>28</v>
      </c>
      <c r="I2359" s="28">
        <v>75</v>
      </c>
      <c r="J2359">
        <v>0</v>
      </c>
      <c r="K2359">
        <v>0</v>
      </c>
      <c r="L2359" s="3">
        <v>1</v>
      </c>
      <c r="M2359" s="3">
        <v>0</v>
      </c>
      <c r="N2359">
        <v>1</v>
      </c>
      <c r="O2359">
        <v>0</v>
      </c>
      <c r="P2359">
        <v>0</v>
      </c>
      <c r="Q2359">
        <v>0</v>
      </c>
      <c r="R2359" s="3">
        <v>0</v>
      </c>
      <c r="S2359" s="3">
        <v>0</v>
      </c>
      <c r="T2359">
        <v>0</v>
      </c>
      <c r="U2359">
        <v>0</v>
      </c>
      <c r="V2359" s="3">
        <v>0</v>
      </c>
      <c r="W2359" s="3">
        <v>0</v>
      </c>
      <c r="X2359">
        <v>0</v>
      </c>
      <c r="Y2359" t="s">
        <v>1903</v>
      </c>
    </row>
    <row r="2360" spans="1:26" hidden="1" x14ac:dyDescent="0.25">
      <c r="A2360" s="1" t="s">
        <v>41</v>
      </c>
      <c r="B2360" s="1" t="s">
        <v>112</v>
      </c>
      <c r="C2360" s="1" t="s">
        <v>42</v>
      </c>
      <c r="D2360" s="1" t="s">
        <v>27</v>
      </c>
      <c r="E2360" s="2">
        <v>45966</v>
      </c>
      <c r="F2360" s="2">
        <v>45966</v>
      </c>
      <c r="G2360" s="3">
        <v>30</v>
      </c>
      <c r="H2360" s="4" t="s">
        <v>28</v>
      </c>
      <c r="I2360" s="28">
        <v>52</v>
      </c>
      <c r="J2360">
        <v>0</v>
      </c>
      <c r="K2360">
        <v>0</v>
      </c>
      <c r="L2360" s="3">
        <v>1</v>
      </c>
      <c r="M2360" s="3">
        <v>0</v>
      </c>
      <c r="N2360">
        <v>0</v>
      </c>
      <c r="O2360">
        <v>0</v>
      </c>
      <c r="P2360">
        <v>0</v>
      </c>
      <c r="Q2360">
        <v>0</v>
      </c>
      <c r="R2360" s="3">
        <v>0</v>
      </c>
      <c r="S2360" s="3">
        <v>0</v>
      </c>
      <c r="T2360">
        <v>0</v>
      </c>
      <c r="U2360">
        <v>0</v>
      </c>
      <c r="V2360" s="3">
        <v>0</v>
      </c>
      <c r="W2360" s="3">
        <v>0</v>
      </c>
      <c r="X2360">
        <v>0</v>
      </c>
      <c r="Y2360" t="s">
        <v>1904</v>
      </c>
    </row>
    <row r="2361" spans="1:26" hidden="1" x14ac:dyDescent="0.25">
      <c r="A2361" s="1" t="s">
        <v>43</v>
      </c>
      <c r="B2361" s="1" t="s">
        <v>114</v>
      </c>
      <c r="C2361" s="1" t="s">
        <v>44</v>
      </c>
      <c r="D2361" s="1" t="s">
        <v>27</v>
      </c>
      <c r="E2361" s="2">
        <v>45966</v>
      </c>
      <c r="F2361" s="2">
        <v>45966</v>
      </c>
      <c r="G2361" s="3">
        <v>26</v>
      </c>
      <c r="H2361" s="4" t="s">
        <v>28</v>
      </c>
      <c r="I2361" s="28">
        <v>49</v>
      </c>
      <c r="J2361">
        <v>0</v>
      </c>
      <c r="K2361">
        <v>0</v>
      </c>
      <c r="L2361" s="3">
        <v>0</v>
      </c>
      <c r="M2361" s="3">
        <v>0</v>
      </c>
      <c r="N2361">
        <v>0</v>
      </c>
      <c r="O2361">
        <v>0</v>
      </c>
      <c r="P2361">
        <v>0</v>
      </c>
      <c r="Q2361">
        <v>0</v>
      </c>
      <c r="R2361" s="3">
        <v>0</v>
      </c>
      <c r="S2361" s="3">
        <v>0</v>
      </c>
      <c r="T2361">
        <v>0</v>
      </c>
      <c r="U2361">
        <v>0</v>
      </c>
      <c r="V2361" s="3">
        <v>0</v>
      </c>
      <c r="W2361" s="3">
        <v>0</v>
      </c>
      <c r="X2361">
        <v>0</v>
      </c>
      <c r="Y2361" t="s">
        <v>1905</v>
      </c>
    </row>
    <row r="2362" spans="1:26" hidden="1" x14ac:dyDescent="0.25">
      <c r="A2362" s="1" t="s">
        <v>45</v>
      </c>
      <c r="B2362" s="1" t="s">
        <v>116</v>
      </c>
      <c r="C2362" s="1" t="s">
        <v>46</v>
      </c>
      <c r="D2362" s="1" t="s">
        <v>27</v>
      </c>
      <c r="E2362" s="2">
        <v>45966</v>
      </c>
      <c r="F2362" s="2">
        <v>45966</v>
      </c>
      <c r="G2362" s="3">
        <v>62</v>
      </c>
      <c r="H2362" s="4" t="s">
        <v>28</v>
      </c>
      <c r="I2362" s="28">
        <v>71</v>
      </c>
      <c r="J2362">
        <v>0</v>
      </c>
      <c r="K2362">
        <v>0</v>
      </c>
      <c r="L2362" s="3">
        <v>1</v>
      </c>
      <c r="M2362" s="3">
        <v>0</v>
      </c>
      <c r="N2362">
        <v>0</v>
      </c>
      <c r="O2362">
        <v>0</v>
      </c>
      <c r="P2362">
        <v>0</v>
      </c>
      <c r="Q2362">
        <v>12</v>
      </c>
      <c r="R2362" s="3">
        <v>0</v>
      </c>
      <c r="S2362" s="3">
        <v>0</v>
      </c>
      <c r="T2362">
        <v>0</v>
      </c>
      <c r="U2362">
        <v>0</v>
      </c>
      <c r="V2362" s="3">
        <v>0</v>
      </c>
      <c r="W2362" s="3">
        <v>0</v>
      </c>
      <c r="X2362">
        <v>1</v>
      </c>
      <c r="Y2362" t="s">
        <v>1906</v>
      </c>
    </row>
    <row r="2363" spans="1:26" hidden="1" x14ac:dyDescent="0.25">
      <c r="A2363" s="1" t="s">
        <v>47</v>
      </c>
      <c r="B2363" s="1" t="s">
        <v>137</v>
      </c>
      <c r="C2363" s="1" t="s">
        <v>27</v>
      </c>
      <c r="D2363" s="1" t="s">
        <v>27</v>
      </c>
      <c r="E2363" s="2">
        <v>45966</v>
      </c>
      <c r="F2363" s="2">
        <v>45966</v>
      </c>
      <c r="G2363" s="3">
        <v>69</v>
      </c>
      <c r="H2363" s="4" t="s">
        <v>28</v>
      </c>
      <c r="I2363" s="28">
        <v>60</v>
      </c>
      <c r="J2363">
        <v>8</v>
      </c>
      <c r="K2363">
        <v>0</v>
      </c>
      <c r="L2363" s="3">
        <v>1</v>
      </c>
      <c r="M2363" s="3">
        <v>0</v>
      </c>
      <c r="N2363">
        <v>0</v>
      </c>
      <c r="O2363">
        <v>0</v>
      </c>
      <c r="P2363">
        <v>0</v>
      </c>
      <c r="Q2363">
        <v>15</v>
      </c>
      <c r="R2363" s="3">
        <v>0</v>
      </c>
      <c r="S2363" s="3">
        <v>0</v>
      </c>
      <c r="T2363">
        <v>0</v>
      </c>
      <c r="U2363">
        <v>0</v>
      </c>
      <c r="V2363" s="3">
        <v>0</v>
      </c>
      <c r="W2363" s="3">
        <v>0</v>
      </c>
      <c r="X2363">
        <v>0</v>
      </c>
      <c r="Y2363" t="s">
        <v>1907</v>
      </c>
    </row>
    <row r="2364" spans="1:26" hidden="1" x14ac:dyDescent="0.25">
      <c r="A2364" s="1" t="s">
        <v>34</v>
      </c>
      <c r="B2364" s="1" t="s">
        <v>137</v>
      </c>
      <c r="C2364" s="1" t="s">
        <v>27</v>
      </c>
      <c r="D2364" s="1" t="s">
        <v>27</v>
      </c>
      <c r="E2364" s="2">
        <v>45966</v>
      </c>
      <c r="F2364" s="2">
        <v>45966</v>
      </c>
      <c r="G2364" s="3">
        <v>69</v>
      </c>
      <c r="H2364" s="4" t="s">
        <v>28</v>
      </c>
      <c r="I2364" s="28">
        <v>60</v>
      </c>
      <c r="J2364">
        <v>8</v>
      </c>
      <c r="K2364">
        <v>0</v>
      </c>
      <c r="L2364" s="3">
        <v>1</v>
      </c>
      <c r="M2364" s="3">
        <v>0</v>
      </c>
      <c r="N2364">
        <v>0</v>
      </c>
      <c r="O2364">
        <v>0</v>
      </c>
      <c r="P2364">
        <v>0</v>
      </c>
      <c r="Q2364">
        <v>15</v>
      </c>
      <c r="R2364" s="3">
        <v>0</v>
      </c>
      <c r="S2364" s="3">
        <v>0</v>
      </c>
      <c r="T2364">
        <v>0</v>
      </c>
      <c r="U2364">
        <v>0</v>
      </c>
      <c r="V2364" s="3">
        <v>0</v>
      </c>
      <c r="W2364" s="3">
        <v>0</v>
      </c>
      <c r="X2364">
        <v>0</v>
      </c>
      <c r="Y2364" t="s">
        <v>1907</v>
      </c>
    </row>
    <row r="2365" spans="1:26" hidden="1" x14ac:dyDescent="0.25">
      <c r="A2365" s="1" t="s">
        <v>49</v>
      </c>
      <c r="B2365" s="1" t="s">
        <v>118</v>
      </c>
      <c r="C2365" s="1" t="s">
        <v>50</v>
      </c>
      <c r="D2365" s="1" t="s">
        <v>27</v>
      </c>
      <c r="E2365" s="2">
        <v>45966</v>
      </c>
      <c r="F2365" s="2">
        <v>45966</v>
      </c>
      <c r="G2365" s="3">
        <v>33</v>
      </c>
      <c r="H2365" s="4" t="s">
        <v>28</v>
      </c>
      <c r="I2365" s="28">
        <v>84</v>
      </c>
      <c r="J2365">
        <v>0</v>
      </c>
      <c r="K2365">
        <v>0</v>
      </c>
      <c r="L2365" s="3">
        <v>1</v>
      </c>
      <c r="M2365" s="3">
        <v>1</v>
      </c>
      <c r="N2365">
        <v>0</v>
      </c>
      <c r="O2365">
        <v>0</v>
      </c>
      <c r="P2365">
        <v>0</v>
      </c>
      <c r="Q2365">
        <v>84</v>
      </c>
      <c r="R2365" s="3">
        <v>0</v>
      </c>
      <c r="S2365" s="3">
        <v>0</v>
      </c>
      <c r="T2365">
        <v>0</v>
      </c>
      <c r="U2365">
        <v>0</v>
      </c>
      <c r="V2365" s="3">
        <v>0</v>
      </c>
      <c r="W2365" s="3">
        <v>0</v>
      </c>
      <c r="X2365">
        <v>0</v>
      </c>
      <c r="Y2365" t="s">
        <v>1908</v>
      </c>
    </row>
    <row r="2366" spans="1:26" hidden="1" x14ac:dyDescent="0.25">
      <c r="A2366" s="1" t="s">
        <v>51</v>
      </c>
      <c r="B2366" s="1" t="s">
        <v>120</v>
      </c>
      <c r="C2366" s="1" t="s">
        <v>55</v>
      </c>
      <c r="D2366" s="1" t="s">
        <v>27</v>
      </c>
      <c r="E2366" s="2">
        <v>45966</v>
      </c>
      <c r="F2366" s="2">
        <v>45966</v>
      </c>
      <c r="G2366" s="3">
        <v>66</v>
      </c>
      <c r="H2366" s="4" t="s">
        <v>28</v>
      </c>
      <c r="I2366" s="28">
        <v>47</v>
      </c>
      <c r="J2366">
        <v>0</v>
      </c>
      <c r="K2366">
        <v>0</v>
      </c>
      <c r="L2366" s="3">
        <v>1</v>
      </c>
      <c r="M2366" s="3">
        <v>0</v>
      </c>
      <c r="N2366">
        <v>1</v>
      </c>
      <c r="O2366">
        <v>0</v>
      </c>
      <c r="P2366">
        <v>0</v>
      </c>
      <c r="Q2366">
        <v>0</v>
      </c>
      <c r="R2366" s="3">
        <v>0</v>
      </c>
      <c r="S2366" s="3">
        <v>0</v>
      </c>
      <c r="T2366">
        <v>0</v>
      </c>
      <c r="U2366">
        <v>0</v>
      </c>
      <c r="V2366" s="3">
        <v>0</v>
      </c>
      <c r="W2366" s="3">
        <v>0</v>
      </c>
      <c r="X2366">
        <v>0</v>
      </c>
      <c r="Y2366" t="s">
        <v>1909</v>
      </c>
    </row>
    <row r="2367" spans="1:26" hidden="1" x14ac:dyDescent="0.25">
      <c r="A2367" s="1" t="s">
        <v>54</v>
      </c>
      <c r="B2367" s="1" t="s">
        <v>122</v>
      </c>
      <c r="C2367" t="s">
        <v>52</v>
      </c>
      <c r="D2367" s="1" t="s">
        <v>27</v>
      </c>
      <c r="E2367" s="2">
        <v>45966</v>
      </c>
      <c r="F2367" s="2">
        <v>45966</v>
      </c>
      <c r="G2367" s="3">
        <v>33</v>
      </c>
      <c r="H2367" s="4" t="s">
        <v>28</v>
      </c>
      <c r="I2367" s="28">
        <v>35</v>
      </c>
      <c r="J2367">
        <v>0</v>
      </c>
      <c r="K2367">
        <v>0</v>
      </c>
      <c r="L2367" s="3">
        <v>0</v>
      </c>
      <c r="M2367" s="3">
        <v>0</v>
      </c>
      <c r="N2367">
        <v>0</v>
      </c>
      <c r="O2367">
        <v>0</v>
      </c>
      <c r="P2367">
        <v>0</v>
      </c>
      <c r="Q2367">
        <v>2</v>
      </c>
      <c r="R2367" s="3">
        <v>0</v>
      </c>
      <c r="S2367" s="3">
        <v>0</v>
      </c>
      <c r="T2367">
        <v>0</v>
      </c>
      <c r="U2367">
        <v>0</v>
      </c>
      <c r="V2367" s="3">
        <v>0</v>
      </c>
      <c r="W2367" s="3">
        <v>0</v>
      </c>
      <c r="X2367">
        <v>0</v>
      </c>
      <c r="Y2367" t="s">
        <v>1896</v>
      </c>
    </row>
    <row r="2368" spans="1:26" hidden="1" x14ac:dyDescent="0.25">
      <c r="A2368" s="1" t="s">
        <v>48</v>
      </c>
      <c r="B2368" s="1" t="s">
        <v>106</v>
      </c>
      <c r="C2368" t="s">
        <v>27</v>
      </c>
      <c r="D2368" t="s">
        <v>27</v>
      </c>
      <c r="E2368" s="2">
        <v>45959</v>
      </c>
      <c r="F2368" s="2">
        <v>45959</v>
      </c>
      <c r="G2368" s="3">
        <v>37</v>
      </c>
      <c r="H2368" t="s">
        <v>28</v>
      </c>
      <c r="I2368" s="28">
        <v>30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1883</v>
      </c>
    </row>
    <row r="2369" spans="1:26" hidden="1" x14ac:dyDescent="0.25">
      <c r="A2369" s="1" t="s">
        <v>48</v>
      </c>
      <c r="B2369" s="1" t="s">
        <v>106</v>
      </c>
      <c r="C2369" t="s">
        <v>27</v>
      </c>
      <c r="D2369" t="s">
        <v>27</v>
      </c>
      <c r="E2369" s="2">
        <v>45960</v>
      </c>
      <c r="F2369" s="2">
        <v>45960</v>
      </c>
      <c r="G2369" s="3">
        <v>37</v>
      </c>
      <c r="H2369" t="s">
        <v>28</v>
      </c>
      <c r="I2369" s="28">
        <v>30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1883</v>
      </c>
    </row>
    <row r="2370" spans="1:26" hidden="1" x14ac:dyDescent="0.25">
      <c r="A2370" s="1" t="s">
        <v>48</v>
      </c>
      <c r="B2370" s="1" t="s">
        <v>149</v>
      </c>
      <c r="C2370" t="s">
        <v>27</v>
      </c>
      <c r="D2370" s="1" t="s">
        <v>27</v>
      </c>
      <c r="E2370" s="2">
        <v>45964</v>
      </c>
      <c r="F2370" s="2">
        <v>45964</v>
      </c>
      <c r="G2370" s="3">
        <v>43</v>
      </c>
      <c r="H2370" s="4" t="s">
        <v>28</v>
      </c>
      <c r="I2370" s="28">
        <v>35</v>
      </c>
      <c r="J2370">
        <v>0</v>
      </c>
      <c r="K2370">
        <v>0</v>
      </c>
      <c r="L2370" s="3">
        <v>0</v>
      </c>
      <c r="M2370" s="3">
        <v>0</v>
      </c>
      <c r="N2370">
        <v>0</v>
      </c>
      <c r="O2370">
        <v>0</v>
      </c>
      <c r="P2370">
        <v>0</v>
      </c>
      <c r="Q2370">
        <v>0</v>
      </c>
      <c r="R2370" s="3">
        <v>0</v>
      </c>
      <c r="S2370" s="3">
        <v>0</v>
      </c>
      <c r="T2370">
        <v>0</v>
      </c>
      <c r="U2370">
        <v>0</v>
      </c>
      <c r="V2370" s="3">
        <v>0</v>
      </c>
      <c r="W2370" s="3">
        <v>0</v>
      </c>
      <c r="X2370">
        <v>0</v>
      </c>
      <c r="Y2370" t="s">
        <v>1910</v>
      </c>
    </row>
    <row r="2371" spans="1:26" hidden="1" x14ac:dyDescent="0.25">
      <c r="A2371" s="1" t="s">
        <v>58</v>
      </c>
      <c r="B2371" s="1" t="s">
        <v>144</v>
      </c>
      <c r="C2371" s="1" t="s">
        <v>489</v>
      </c>
      <c r="D2371" s="1" t="s">
        <v>27</v>
      </c>
      <c r="E2371" s="2">
        <v>45966</v>
      </c>
      <c r="F2371" s="2">
        <v>45966</v>
      </c>
      <c r="G2371" s="3">
        <v>29</v>
      </c>
      <c r="H2371" s="4" t="s">
        <v>28</v>
      </c>
      <c r="I2371" s="28">
        <v>62</v>
      </c>
      <c r="J2371">
        <v>0</v>
      </c>
      <c r="K2371">
        <v>0</v>
      </c>
      <c r="L2371" s="3">
        <v>1</v>
      </c>
      <c r="M2371" s="3">
        <v>0</v>
      </c>
      <c r="N2371">
        <v>0</v>
      </c>
      <c r="O2371">
        <v>0</v>
      </c>
      <c r="P2371">
        <v>0</v>
      </c>
      <c r="Q2371">
        <v>35</v>
      </c>
      <c r="R2371" s="3">
        <v>0</v>
      </c>
      <c r="S2371" s="3">
        <v>0</v>
      </c>
      <c r="T2371">
        <v>0</v>
      </c>
      <c r="U2371">
        <v>0</v>
      </c>
      <c r="V2371" s="3">
        <v>0</v>
      </c>
      <c r="W2371" s="3">
        <v>0</v>
      </c>
      <c r="X2371">
        <v>0</v>
      </c>
      <c r="Y2371" t="s">
        <v>1911</v>
      </c>
    </row>
    <row r="2372" spans="1:26" hidden="1" x14ac:dyDescent="0.25">
      <c r="A2372" s="1" t="s">
        <v>29</v>
      </c>
      <c r="B2372" s="1" t="s">
        <v>100</v>
      </c>
      <c r="C2372" s="1" t="s">
        <v>95</v>
      </c>
      <c r="D2372" s="1" t="s">
        <v>27</v>
      </c>
      <c r="E2372" s="10">
        <v>45965</v>
      </c>
      <c r="F2372" s="2">
        <v>45965</v>
      </c>
      <c r="G2372" s="3">
        <v>27</v>
      </c>
      <c r="H2372" s="4" t="s">
        <v>28</v>
      </c>
      <c r="I2372" s="28">
        <v>51</v>
      </c>
      <c r="J2372">
        <v>0</v>
      </c>
      <c r="K2372">
        <v>0</v>
      </c>
      <c r="L2372" s="3">
        <v>0</v>
      </c>
      <c r="M2372" s="3">
        <v>0</v>
      </c>
      <c r="N2372">
        <v>0</v>
      </c>
      <c r="O2372">
        <v>0</v>
      </c>
      <c r="P2372">
        <v>0</v>
      </c>
      <c r="Q2372">
        <v>15</v>
      </c>
      <c r="R2372" s="3">
        <v>0</v>
      </c>
      <c r="S2372" s="3">
        <v>0</v>
      </c>
      <c r="T2372">
        <v>0</v>
      </c>
      <c r="U2372">
        <v>0</v>
      </c>
      <c r="V2372" s="3">
        <v>0</v>
      </c>
      <c r="W2372" s="3">
        <v>0</v>
      </c>
      <c r="X2372">
        <v>0</v>
      </c>
      <c r="Y2372" t="s">
        <v>1886</v>
      </c>
    </row>
    <row r="2373" spans="1:26" hidden="1" x14ac:dyDescent="0.25">
      <c r="A2373" s="1" t="s">
        <v>29</v>
      </c>
      <c r="B2373" s="1" t="s">
        <v>106</v>
      </c>
      <c r="C2373" s="1" t="s">
        <v>27</v>
      </c>
      <c r="D2373" s="1" t="s">
        <v>27</v>
      </c>
      <c r="E2373" s="2">
        <v>45966</v>
      </c>
      <c r="F2373" s="2">
        <v>45966</v>
      </c>
      <c r="G2373" s="3">
        <v>29</v>
      </c>
      <c r="H2373" s="4" t="s">
        <v>1912</v>
      </c>
      <c r="I2373" s="28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1911</v>
      </c>
    </row>
    <row r="2374" spans="1:26" hidden="1" x14ac:dyDescent="0.25">
      <c r="A2374" s="1" t="s">
        <v>344</v>
      </c>
      <c r="B2374" t="s">
        <v>144</v>
      </c>
      <c r="C2374" s="1" t="s">
        <v>35</v>
      </c>
      <c r="D2374" t="s">
        <v>27</v>
      </c>
      <c r="E2374" s="2">
        <v>45960</v>
      </c>
      <c r="F2374" s="2">
        <v>45960</v>
      </c>
      <c r="G2374" s="3">
        <v>32</v>
      </c>
      <c r="H2374" s="4" t="s">
        <v>28</v>
      </c>
      <c r="I2374" s="28">
        <v>47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1772</v>
      </c>
      <c r="Z2374" t="s">
        <v>1772</v>
      </c>
    </row>
    <row r="2375" spans="1:26" hidden="1" x14ac:dyDescent="0.25">
      <c r="A2375" s="1" t="s">
        <v>344</v>
      </c>
      <c r="B2375" s="1" t="s">
        <v>102</v>
      </c>
      <c r="C2375" s="1" t="s">
        <v>35</v>
      </c>
      <c r="D2375" s="1" t="s">
        <v>27</v>
      </c>
      <c r="E2375" s="2">
        <v>45964</v>
      </c>
      <c r="F2375" s="2">
        <v>45964</v>
      </c>
      <c r="G2375" s="3">
        <v>29</v>
      </c>
      <c r="H2375" s="4" t="s">
        <v>28</v>
      </c>
      <c r="I2375" s="28">
        <v>34</v>
      </c>
      <c r="J2375">
        <v>0</v>
      </c>
      <c r="K2375">
        <v>0</v>
      </c>
      <c r="L2375" s="3">
        <v>0</v>
      </c>
      <c r="M2375" s="3">
        <v>0</v>
      </c>
      <c r="N2375">
        <v>0</v>
      </c>
      <c r="O2375">
        <v>0</v>
      </c>
      <c r="P2375">
        <v>0</v>
      </c>
      <c r="Q2375">
        <v>0</v>
      </c>
      <c r="R2375" s="3">
        <v>0</v>
      </c>
      <c r="S2375" s="3">
        <v>0</v>
      </c>
      <c r="T2375">
        <v>0</v>
      </c>
      <c r="U2375">
        <v>0</v>
      </c>
      <c r="V2375" s="3">
        <v>0</v>
      </c>
      <c r="W2375" s="3">
        <v>0</v>
      </c>
      <c r="X2375">
        <v>0</v>
      </c>
      <c r="Y2375" t="s">
        <v>1887</v>
      </c>
    </row>
    <row r="2376" spans="1:26" hidden="1" x14ac:dyDescent="0.25">
      <c r="A2376" s="1" t="s">
        <v>31</v>
      </c>
      <c r="B2376" s="1" t="s">
        <v>104</v>
      </c>
      <c r="C2376" s="1" t="s">
        <v>32</v>
      </c>
      <c r="D2376" s="1" t="s">
        <v>27</v>
      </c>
      <c r="E2376" s="2">
        <v>45967</v>
      </c>
      <c r="F2376" s="2">
        <v>45967</v>
      </c>
      <c r="G2376" s="3">
        <v>107</v>
      </c>
      <c r="H2376" s="4" t="s">
        <v>28</v>
      </c>
      <c r="I2376" s="28">
        <v>173</v>
      </c>
      <c r="J2376">
        <v>0</v>
      </c>
      <c r="K2376">
        <v>0</v>
      </c>
      <c r="L2376" s="3">
        <v>1</v>
      </c>
      <c r="M2376" s="3">
        <v>1</v>
      </c>
      <c r="N2376">
        <v>0</v>
      </c>
      <c r="O2376">
        <v>0</v>
      </c>
      <c r="P2376">
        <v>0</v>
      </c>
      <c r="Q2376">
        <v>35</v>
      </c>
      <c r="R2376" s="3">
        <v>0</v>
      </c>
      <c r="S2376" s="3">
        <v>0</v>
      </c>
      <c r="T2376">
        <v>0</v>
      </c>
      <c r="U2376">
        <v>0</v>
      </c>
      <c r="V2376" s="3">
        <v>0</v>
      </c>
      <c r="W2376" s="3">
        <v>0</v>
      </c>
      <c r="X2376">
        <v>11</v>
      </c>
      <c r="Y2376" t="s">
        <v>1913</v>
      </c>
    </row>
    <row r="2377" spans="1:26" hidden="1" x14ac:dyDescent="0.25">
      <c r="A2377" s="1" t="s">
        <v>33</v>
      </c>
      <c r="B2377" s="1" t="s">
        <v>106</v>
      </c>
      <c r="C2377" s="1" t="s">
        <v>57</v>
      </c>
      <c r="D2377" s="1" t="s">
        <v>27</v>
      </c>
      <c r="E2377" s="2">
        <v>45967</v>
      </c>
      <c r="F2377" s="2">
        <v>45967</v>
      </c>
      <c r="G2377" s="3">
        <v>26</v>
      </c>
      <c r="H2377" s="4" t="s">
        <v>28</v>
      </c>
      <c r="I2377" s="28">
        <v>45</v>
      </c>
      <c r="J2377">
        <v>0</v>
      </c>
      <c r="K2377">
        <v>0</v>
      </c>
      <c r="L2377" s="3">
        <v>0</v>
      </c>
      <c r="M2377" s="3">
        <v>0</v>
      </c>
      <c r="N2377">
        <v>0</v>
      </c>
      <c r="O2377">
        <v>0</v>
      </c>
      <c r="P2377">
        <v>0</v>
      </c>
      <c r="Q2377">
        <v>0</v>
      </c>
      <c r="R2377" s="3">
        <v>0</v>
      </c>
      <c r="S2377" s="3">
        <v>0</v>
      </c>
      <c r="T2377">
        <v>0</v>
      </c>
      <c r="U2377">
        <v>0</v>
      </c>
      <c r="V2377" s="3">
        <v>0</v>
      </c>
      <c r="W2377" s="3">
        <v>0</v>
      </c>
      <c r="X2377">
        <v>0</v>
      </c>
      <c r="Y2377" t="s">
        <v>1914</v>
      </c>
    </row>
    <row r="2378" spans="1:26" hidden="1" x14ac:dyDescent="0.25">
      <c r="A2378" s="1" t="s">
        <v>972</v>
      </c>
      <c r="B2378" s="1" t="s">
        <v>1915</v>
      </c>
      <c r="C2378" s="1" t="s">
        <v>26</v>
      </c>
      <c r="D2378" s="1" t="s">
        <v>27</v>
      </c>
      <c r="E2378" s="2">
        <v>45967</v>
      </c>
      <c r="F2378" s="2">
        <v>45967</v>
      </c>
      <c r="G2378" s="3">
        <v>40</v>
      </c>
      <c r="H2378" s="4" t="s">
        <v>28</v>
      </c>
      <c r="I2378" s="28">
        <v>50</v>
      </c>
      <c r="J2378">
        <v>0</v>
      </c>
      <c r="K2378">
        <v>0</v>
      </c>
      <c r="L2378" s="3">
        <v>1</v>
      </c>
      <c r="M2378" s="3">
        <v>0</v>
      </c>
      <c r="N2378">
        <v>1</v>
      </c>
      <c r="O2378">
        <v>0</v>
      </c>
      <c r="P2378">
        <v>0</v>
      </c>
      <c r="Q2378">
        <v>0</v>
      </c>
      <c r="R2378" s="3">
        <v>0</v>
      </c>
      <c r="S2378" s="3">
        <v>0</v>
      </c>
      <c r="T2378">
        <v>0</v>
      </c>
      <c r="U2378">
        <v>0</v>
      </c>
      <c r="V2378" s="3">
        <v>0</v>
      </c>
      <c r="W2378" s="3">
        <v>0</v>
      </c>
      <c r="X2378">
        <v>0</v>
      </c>
      <c r="Y2378" t="s">
        <v>1916</v>
      </c>
    </row>
    <row r="2379" spans="1:26" hidden="1" x14ac:dyDescent="0.25">
      <c r="A2379" s="1" t="s">
        <v>47</v>
      </c>
      <c r="B2379" s="1" t="s">
        <v>137</v>
      </c>
      <c r="C2379" s="1" t="s">
        <v>27</v>
      </c>
      <c r="D2379" s="1" t="s">
        <v>27</v>
      </c>
      <c r="E2379" s="2">
        <v>45967</v>
      </c>
      <c r="F2379" s="2">
        <v>45967</v>
      </c>
      <c r="G2379" s="3">
        <v>69</v>
      </c>
      <c r="H2379" s="4" t="s">
        <v>28</v>
      </c>
      <c r="I2379" s="28">
        <v>60</v>
      </c>
      <c r="J2379">
        <v>8</v>
      </c>
      <c r="K2379">
        <v>0</v>
      </c>
      <c r="L2379" s="3">
        <v>1</v>
      </c>
      <c r="M2379" s="3">
        <v>0</v>
      </c>
      <c r="N2379">
        <v>0</v>
      </c>
      <c r="O2379">
        <v>0</v>
      </c>
      <c r="P2379">
        <v>0</v>
      </c>
      <c r="Q2379">
        <v>15</v>
      </c>
      <c r="R2379" s="3">
        <v>0</v>
      </c>
      <c r="S2379" s="3">
        <v>0</v>
      </c>
      <c r="T2379">
        <v>0</v>
      </c>
      <c r="U2379">
        <v>0</v>
      </c>
      <c r="V2379" s="3">
        <v>0</v>
      </c>
      <c r="W2379" s="3">
        <v>0</v>
      </c>
      <c r="X2379">
        <v>0</v>
      </c>
      <c r="Y2379" t="s">
        <v>1907</v>
      </c>
    </row>
    <row r="2380" spans="1:26" hidden="1" x14ac:dyDescent="0.25">
      <c r="A2380" s="1" t="s">
        <v>34</v>
      </c>
      <c r="B2380" s="1" t="s">
        <v>137</v>
      </c>
      <c r="C2380" s="1" t="s">
        <v>27</v>
      </c>
      <c r="D2380" s="1" t="s">
        <v>27</v>
      </c>
      <c r="E2380" s="2">
        <v>45967</v>
      </c>
      <c r="F2380" s="2">
        <v>45966</v>
      </c>
      <c r="G2380" s="3">
        <v>69</v>
      </c>
      <c r="H2380" s="4" t="s">
        <v>28</v>
      </c>
      <c r="I2380" s="28">
        <v>60</v>
      </c>
      <c r="J2380">
        <v>8</v>
      </c>
      <c r="K2380">
        <v>0</v>
      </c>
      <c r="L2380" s="3">
        <v>1</v>
      </c>
      <c r="M2380" s="3">
        <v>0</v>
      </c>
      <c r="N2380">
        <v>0</v>
      </c>
      <c r="O2380">
        <v>0</v>
      </c>
      <c r="P2380">
        <v>0</v>
      </c>
      <c r="Q2380">
        <v>15</v>
      </c>
      <c r="R2380" s="3">
        <v>0</v>
      </c>
      <c r="S2380" s="3">
        <v>0</v>
      </c>
      <c r="T2380">
        <v>0</v>
      </c>
      <c r="U2380">
        <v>0</v>
      </c>
      <c r="V2380" s="3">
        <v>0</v>
      </c>
      <c r="W2380" s="3">
        <v>0</v>
      </c>
      <c r="X2380">
        <v>0</v>
      </c>
      <c r="Y2380" t="s">
        <v>1907</v>
      </c>
    </row>
    <row r="2381" spans="1:26" hidden="1" x14ac:dyDescent="0.25">
      <c r="A2381" s="1" t="s">
        <v>38</v>
      </c>
      <c r="B2381" s="1" t="s">
        <v>108</v>
      </c>
      <c r="C2381" s="1" t="s">
        <v>27</v>
      </c>
      <c r="D2381" s="1" t="s">
        <v>27</v>
      </c>
      <c r="E2381" s="2">
        <v>45967</v>
      </c>
      <c r="F2381" s="2">
        <v>45967</v>
      </c>
      <c r="G2381" s="3">
        <v>31</v>
      </c>
      <c r="H2381" s="4" t="s">
        <v>28</v>
      </c>
      <c r="I2381" s="28">
        <v>44</v>
      </c>
      <c r="J2381">
        <v>0</v>
      </c>
      <c r="K2381">
        <v>0</v>
      </c>
      <c r="L2381" s="3">
        <v>0</v>
      </c>
      <c r="M2381" s="3">
        <v>0</v>
      </c>
      <c r="N2381">
        <v>0</v>
      </c>
      <c r="O2381">
        <v>0</v>
      </c>
      <c r="P2381">
        <v>0</v>
      </c>
      <c r="Q2381">
        <v>44</v>
      </c>
      <c r="R2381" s="3">
        <v>0</v>
      </c>
      <c r="S2381" s="3">
        <v>0</v>
      </c>
      <c r="T2381">
        <v>0</v>
      </c>
      <c r="U2381">
        <v>0</v>
      </c>
      <c r="V2381" s="3">
        <v>0</v>
      </c>
      <c r="W2381" s="3">
        <v>0</v>
      </c>
      <c r="X2381">
        <v>0</v>
      </c>
      <c r="Y2381" t="s">
        <v>1917</v>
      </c>
    </row>
    <row r="2382" spans="1:26" hidden="1" x14ac:dyDescent="0.25">
      <c r="A2382" s="1" t="s">
        <v>40</v>
      </c>
      <c r="B2382" s="1" t="s">
        <v>110</v>
      </c>
      <c r="C2382" s="1" t="s">
        <v>27</v>
      </c>
      <c r="D2382" s="1" t="s">
        <v>27</v>
      </c>
      <c r="E2382" s="2">
        <v>45967</v>
      </c>
      <c r="F2382" s="2">
        <v>45967</v>
      </c>
      <c r="G2382" s="3">
        <v>82</v>
      </c>
      <c r="H2382" s="4" t="s">
        <v>28</v>
      </c>
      <c r="I2382" s="28">
        <v>46</v>
      </c>
      <c r="J2382">
        <v>0</v>
      </c>
      <c r="K2382">
        <v>0</v>
      </c>
      <c r="L2382" s="3">
        <v>1</v>
      </c>
      <c r="M2382" s="3">
        <v>0</v>
      </c>
      <c r="N2382">
        <v>0</v>
      </c>
      <c r="O2382">
        <v>0</v>
      </c>
      <c r="P2382">
        <v>0</v>
      </c>
      <c r="Q2382">
        <v>0</v>
      </c>
      <c r="R2382" s="3">
        <v>0</v>
      </c>
      <c r="S2382" s="3">
        <v>0</v>
      </c>
      <c r="T2382">
        <v>0</v>
      </c>
      <c r="U2382">
        <v>0</v>
      </c>
      <c r="V2382" s="3">
        <v>0</v>
      </c>
      <c r="W2382" s="3">
        <v>0</v>
      </c>
      <c r="X2382">
        <v>0</v>
      </c>
      <c r="Y2382" t="s">
        <v>1918</v>
      </c>
    </row>
    <row r="2383" spans="1:26" hidden="1" x14ac:dyDescent="0.25">
      <c r="A2383" s="1" t="s">
        <v>36</v>
      </c>
      <c r="B2383" s="1" t="s">
        <v>110</v>
      </c>
      <c r="C2383" s="1" t="s">
        <v>27</v>
      </c>
      <c r="D2383" s="1" t="s">
        <v>27</v>
      </c>
      <c r="E2383" s="2">
        <v>45967</v>
      </c>
      <c r="F2383" s="2">
        <v>45967</v>
      </c>
      <c r="G2383" s="3">
        <v>82</v>
      </c>
      <c r="H2383" s="4" t="s">
        <v>28</v>
      </c>
      <c r="I2383" s="28">
        <v>46</v>
      </c>
      <c r="J2383">
        <v>0</v>
      </c>
      <c r="K2383">
        <v>0</v>
      </c>
      <c r="L2383" s="3">
        <v>1</v>
      </c>
      <c r="M2383" s="3">
        <v>0</v>
      </c>
      <c r="N2383">
        <v>0</v>
      </c>
      <c r="O2383">
        <v>0</v>
      </c>
      <c r="P2383">
        <v>0</v>
      </c>
      <c r="Q2383">
        <v>0</v>
      </c>
      <c r="R2383" s="3">
        <v>0</v>
      </c>
      <c r="S2383" s="3">
        <v>0</v>
      </c>
      <c r="T2383">
        <v>0</v>
      </c>
      <c r="U2383">
        <v>0</v>
      </c>
      <c r="V2383" s="3">
        <v>0</v>
      </c>
      <c r="W2383" s="3">
        <v>0</v>
      </c>
      <c r="X2383">
        <v>0</v>
      </c>
      <c r="Y2383" t="s">
        <v>1918</v>
      </c>
    </row>
    <row r="2384" spans="1:26" hidden="1" x14ac:dyDescent="0.25">
      <c r="A2384" s="1" t="s">
        <v>1454</v>
      </c>
      <c r="B2384" s="1" t="s">
        <v>1455</v>
      </c>
      <c r="C2384" s="1" t="s">
        <v>27</v>
      </c>
      <c r="D2384" s="1" t="s">
        <v>27</v>
      </c>
      <c r="E2384" s="2">
        <v>45967</v>
      </c>
      <c r="F2384" s="2">
        <v>45967</v>
      </c>
      <c r="G2384" s="3">
        <v>36</v>
      </c>
      <c r="H2384" s="4" t="s">
        <v>28</v>
      </c>
      <c r="I2384" s="28">
        <v>33</v>
      </c>
      <c r="J2384">
        <v>0</v>
      </c>
      <c r="K2384">
        <v>0</v>
      </c>
      <c r="L2384" s="3">
        <v>1</v>
      </c>
      <c r="M2384" s="3">
        <v>0</v>
      </c>
      <c r="N2384">
        <v>0</v>
      </c>
      <c r="O2384">
        <v>0</v>
      </c>
      <c r="P2384">
        <v>0</v>
      </c>
      <c r="Q2384">
        <v>33</v>
      </c>
      <c r="R2384" s="3">
        <v>0</v>
      </c>
      <c r="S2384" s="3">
        <v>0</v>
      </c>
      <c r="T2384">
        <v>0</v>
      </c>
      <c r="U2384">
        <v>0</v>
      </c>
      <c r="V2384" s="3">
        <v>0</v>
      </c>
      <c r="W2384" s="3">
        <v>0</v>
      </c>
      <c r="X2384">
        <v>0</v>
      </c>
      <c r="Y2384" t="s">
        <v>1919</v>
      </c>
    </row>
    <row r="2385" spans="1:25" hidden="1" x14ac:dyDescent="0.25">
      <c r="A2385" s="1" t="s">
        <v>41</v>
      </c>
      <c r="B2385" s="1" t="s">
        <v>112</v>
      </c>
      <c r="C2385" s="1" t="s">
        <v>42</v>
      </c>
      <c r="D2385" s="1" t="s">
        <v>27</v>
      </c>
      <c r="E2385" s="2">
        <v>45967</v>
      </c>
      <c r="F2385" s="2">
        <v>45967</v>
      </c>
      <c r="G2385" s="3">
        <v>30</v>
      </c>
      <c r="H2385" s="4" t="s">
        <v>28</v>
      </c>
      <c r="I2385" s="28">
        <v>40</v>
      </c>
      <c r="J2385">
        <v>0</v>
      </c>
      <c r="K2385">
        <v>0</v>
      </c>
      <c r="L2385" s="3">
        <v>1</v>
      </c>
      <c r="M2385" s="3">
        <v>0</v>
      </c>
      <c r="N2385">
        <v>0</v>
      </c>
      <c r="O2385">
        <v>0</v>
      </c>
      <c r="P2385">
        <v>0</v>
      </c>
      <c r="Q2385">
        <v>4</v>
      </c>
      <c r="R2385" s="3">
        <v>0</v>
      </c>
      <c r="S2385" s="3">
        <v>0</v>
      </c>
      <c r="T2385">
        <v>0</v>
      </c>
      <c r="U2385">
        <v>0</v>
      </c>
      <c r="V2385" s="3">
        <v>0</v>
      </c>
      <c r="W2385" s="3">
        <v>0</v>
      </c>
      <c r="X2385">
        <v>0</v>
      </c>
      <c r="Y2385" t="s">
        <v>1920</v>
      </c>
    </row>
    <row r="2386" spans="1:25" hidden="1" x14ac:dyDescent="0.25">
      <c r="A2386" s="1" t="s">
        <v>43</v>
      </c>
      <c r="B2386" s="1" t="s">
        <v>114</v>
      </c>
      <c r="C2386" s="1" t="s">
        <v>44</v>
      </c>
      <c r="D2386" s="1" t="s">
        <v>27</v>
      </c>
      <c r="E2386" s="2">
        <v>45967</v>
      </c>
      <c r="F2386" s="2">
        <v>45967</v>
      </c>
      <c r="G2386" s="3">
        <v>25</v>
      </c>
      <c r="H2386" s="4" t="s">
        <v>28</v>
      </c>
      <c r="I2386" s="28">
        <v>64</v>
      </c>
      <c r="J2386">
        <v>0</v>
      </c>
      <c r="K2386">
        <v>0</v>
      </c>
      <c r="L2386" s="3">
        <v>1</v>
      </c>
      <c r="M2386" s="3">
        <v>0</v>
      </c>
      <c r="N2386">
        <v>0</v>
      </c>
      <c r="O2386">
        <v>0</v>
      </c>
      <c r="P2386">
        <v>0</v>
      </c>
      <c r="Q2386">
        <v>0</v>
      </c>
      <c r="R2386" s="3">
        <v>0</v>
      </c>
      <c r="S2386" s="3">
        <v>0</v>
      </c>
      <c r="T2386">
        <v>0</v>
      </c>
      <c r="U2386">
        <v>0</v>
      </c>
      <c r="V2386" s="3">
        <v>0</v>
      </c>
      <c r="W2386" s="3">
        <v>0</v>
      </c>
      <c r="X2386">
        <v>0</v>
      </c>
      <c r="Y2386" t="s">
        <v>1921</v>
      </c>
    </row>
    <row r="2387" spans="1:25" hidden="1" x14ac:dyDescent="0.25">
      <c r="A2387" s="1" t="s">
        <v>45</v>
      </c>
      <c r="B2387" s="1" t="s">
        <v>116</v>
      </c>
      <c r="C2387" s="1" t="s">
        <v>46</v>
      </c>
      <c r="D2387" s="1" t="s">
        <v>27</v>
      </c>
      <c r="E2387" s="2">
        <v>45967</v>
      </c>
      <c r="F2387" s="2">
        <v>45967</v>
      </c>
      <c r="G2387" s="3">
        <v>75</v>
      </c>
      <c r="H2387" s="4" t="s">
        <v>28</v>
      </c>
      <c r="I2387" s="28">
        <v>41</v>
      </c>
      <c r="J2387">
        <v>0</v>
      </c>
      <c r="K2387">
        <v>0</v>
      </c>
      <c r="L2387" s="3">
        <v>1</v>
      </c>
      <c r="M2387" s="3">
        <v>0</v>
      </c>
      <c r="N2387">
        <v>0</v>
      </c>
      <c r="O2387">
        <v>0</v>
      </c>
      <c r="P2387">
        <v>2</v>
      </c>
      <c r="Q2387">
        <v>4</v>
      </c>
      <c r="R2387" s="3">
        <v>0</v>
      </c>
      <c r="S2387" s="3">
        <v>0</v>
      </c>
      <c r="T2387">
        <v>0</v>
      </c>
      <c r="U2387">
        <v>0</v>
      </c>
      <c r="V2387" s="3">
        <v>0</v>
      </c>
      <c r="W2387" s="3">
        <v>0</v>
      </c>
      <c r="X2387">
        <v>1</v>
      </c>
      <c r="Y2387" t="s">
        <v>1922</v>
      </c>
    </row>
    <row r="2388" spans="1:25" hidden="1" x14ac:dyDescent="0.25">
      <c r="A2388" s="1" t="s">
        <v>49</v>
      </c>
      <c r="B2388" s="1" t="s">
        <v>118</v>
      </c>
      <c r="C2388" s="1" t="s">
        <v>50</v>
      </c>
      <c r="D2388" s="1" t="s">
        <v>27</v>
      </c>
      <c r="E2388" s="2">
        <v>45967</v>
      </c>
      <c r="F2388" s="2">
        <v>45967</v>
      </c>
      <c r="G2388" s="3">
        <v>104</v>
      </c>
      <c r="H2388" s="4" t="s">
        <v>28</v>
      </c>
      <c r="I2388" s="28">
        <v>95</v>
      </c>
      <c r="J2388">
        <v>0</v>
      </c>
      <c r="K2388">
        <v>0</v>
      </c>
      <c r="L2388" s="3">
        <v>1</v>
      </c>
      <c r="M2388" s="3">
        <v>1</v>
      </c>
      <c r="N2388">
        <v>0</v>
      </c>
      <c r="O2388">
        <v>1</v>
      </c>
      <c r="P2388">
        <v>0</v>
      </c>
      <c r="Q2388">
        <v>95</v>
      </c>
      <c r="R2388" s="3">
        <v>0</v>
      </c>
      <c r="S2388" s="3">
        <v>0</v>
      </c>
      <c r="T2388">
        <v>0</v>
      </c>
      <c r="U2388">
        <v>0</v>
      </c>
      <c r="V2388" s="3">
        <v>0</v>
      </c>
      <c r="W2388" s="3">
        <v>0</v>
      </c>
      <c r="X2388">
        <v>0</v>
      </c>
      <c r="Y2388" t="s">
        <v>1923</v>
      </c>
    </row>
    <row r="2389" spans="1:25" hidden="1" x14ac:dyDescent="0.25">
      <c r="A2389" s="1" t="s">
        <v>51</v>
      </c>
      <c r="B2389" s="1" t="s">
        <v>120</v>
      </c>
      <c r="C2389" s="1" t="s">
        <v>55</v>
      </c>
      <c r="D2389" s="1" t="s">
        <v>27</v>
      </c>
      <c r="E2389" s="2">
        <v>45967</v>
      </c>
      <c r="F2389" s="2">
        <v>45967</v>
      </c>
      <c r="G2389" s="3">
        <v>64</v>
      </c>
      <c r="H2389" s="4" t="s">
        <v>28</v>
      </c>
      <c r="I2389" s="28">
        <v>47</v>
      </c>
      <c r="J2389">
        <v>0</v>
      </c>
      <c r="K2389">
        <v>0</v>
      </c>
      <c r="L2389" s="3">
        <v>1</v>
      </c>
      <c r="M2389" s="3">
        <v>0</v>
      </c>
      <c r="N2389">
        <v>1</v>
      </c>
      <c r="O2389">
        <v>0</v>
      </c>
      <c r="P2389">
        <v>0</v>
      </c>
      <c r="Q2389">
        <v>0</v>
      </c>
      <c r="R2389" s="3">
        <v>0</v>
      </c>
      <c r="S2389" s="3">
        <v>0</v>
      </c>
      <c r="T2389">
        <v>0</v>
      </c>
      <c r="U2389">
        <v>0</v>
      </c>
      <c r="V2389" s="3">
        <v>0</v>
      </c>
      <c r="W2389" s="3">
        <v>0</v>
      </c>
      <c r="X2389">
        <v>0</v>
      </c>
      <c r="Y2389" t="s">
        <v>1924</v>
      </c>
    </row>
    <row r="2390" spans="1:25" hidden="1" x14ac:dyDescent="0.25">
      <c r="A2390" s="1" t="s">
        <v>54</v>
      </c>
      <c r="B2390" s="1" t="s">
        <v>122</v>
      </c>
      <c r="C2390" t="s">
        <v>52</v>
      </c>
      <c r="D2390" s="1" t="s">
        <v>27</v>
      </c>
      <c r="E2390" s="2">
        <v>45967</v>
      </c>
      <c r="F2390" s="2">
        <v>45967</v>
      </c>
      <c r="G2390" s="3">
        <v>33</v>
      </c>
      <c r="H2390" s="4" t="s">
        <v>28</v>
      </c>
      <c r="I2390" s="28">
        <v>40</v>
      </c>
      <c r="J2390">
        <v>0</v>
      </c>
      <c r="K2390">
        <v>0</v>
      </c>
      <c r="L2390" s="3">
        <v>0</v>
      </c>
      <c r="M2390" s="3">
        <v>0</v>
      </c>
      <c r="N2390">
        <v>0</v>
      </c>
      <c r="O2390">
        <v>0</v>
      </c>
      <c r="P2390">
        <v>0</v>
      </c>
      <c r="Q2390">
        <v>2</v>
      </c>
      <c r="R2390" s="3">
        <v>0</v>
      </c>
      <c r="S2390" s="3">
        <v>0</v>
      </c>
      <c r="T2390">
        <v>0</v>
      </c>
      <c r="U2390">
        <v>0</v>
      </c>
      <c r="V2390" s="3">
        <v>0</v>
      </c>
      <c r="W2390" s="3">
        <v>0</v>
      </c>
      <c r="X2390">
        <v>0</v>
      </c>
      <c r="Y2390" t="s">
        <v>1896</v>
      </c>
    </row>
    <row r="2391" spans="1:25" hidden="1" x14ac:dyDescent="0.25">
      <c r="A2391" s="1" t="s">
        <v>48</v>
      </c>
      <c r="B2391" s="1" t="s">
        <v>149</v>
      </c>
      <c r="C2391" s="1" t="s">
        <v>42</v>
      </c>
      <c r="D2391" s="1" t="s">
        <v>27</v>
      </c>
      <c r="E2391" s="2">
        <v>45965</v>
      </c>
      <c r="F2391" s="2">
        <v>45965</v>
      </c>
      <c r="G2391" s="3">
        <v>43</v>
      </c>
      <c r="H2391" s="4" t="s">
        <v>28</v>
      </c>
      <c r="I2391" s="28">
        <v>40</v>
      </c>
      <c r="J2391">
        <v>0</v>
      </c>
      <c r="K2391">
        <v>0</v>
      </c>
      <c r="L2391" s="3">
        <v>1</v>
      </c>
      <c r="M2391" s="3">
        <v>0</v>
      </c>
      <c r="N2391">
        <v>0</v>
      </c>
      <c r="O2391">
        <v>0</v>
      </c>
      <c r="P2391">
        <v>0</v>
      </c>
      <c r="Q2391">
        <v>0</v>
      </c>
      <c r="R2391" s="3">
        <v>0</v>
      </c>
      <c r="S2391" s="3">
        <v>0</v>
      </c>
      <c r="T2391">
        <v>0</v>
      </c>
      <c r="U2391">
        <v>0</v>
      </c>
      <c r="V2391" s="3">
        <v>0</v>
      </c>
      <c r="W2391" s="3">
        <v>0</v>
      </c>
      <c r="X2391">
        <v>0</v>
      </c>
      <c r="Y2391" t="s">
        <v>1910</v>
      </c>
    </row>
    <row r="2392" spans="1:25" hidden="1" x14ac:dyDescent="0.25">
      <c r="A2392" s="1" t="s">
        <v>48</v>
      </c>
      <c r="B2392" s="1" t="s">
        <v>149</v>
      </c>
      <c r="C2392" s="1" t="s">
        <v>95</v>
      </c>
      <c r="D2392" s="1" t="s">
        <v>27</v>
      </c>
      <c r="E2392" s="2">
        <v>45966</v>
      </c>
      <c r="F2392" s="2">
        <v>45966</v>
      </c>
      <c r="G2392" s="3">
        <v>36</v>
      </c>
      <c r="H2392" s="4" t="s">
        <v>28</v>
      </c>
      <c r="I2392" s="28">
        <v>21</v>
      </c>
      <c r="J2392">
        <v>0</v>
      </c>
      <c r="K2392">
        <v>0</v>
      </c>
      <c r="L2392" s="3">
        <v>1</v>
      </c>
      <c r="M2392" s="3">
        <v>0</v>
      </c>
      <c r="N2392">
        <v>0</v>
      </c>
      <c r="O2392">
        <v>0</v>
      </c>
      <c r="P2392">
        <v>0</v>
      </c>
      <c r="Q2392">
        <v>0</v>
      </c>
      <c r="R2392" s="3">
        <v>0</v>
      </c>
      <c r="S2392" s="3">
        <v>0</v>
      </c>
      <c r="T2392">
        <v>0</v>
      </c>
      <c r="U2392">
        <v>0</v>
      </c>
      <c r="V2392" s="3">
        <v>0</v>
      </c>
      <c r="W2392" s="3">
        <v>0</v>
      </c>
      <c r="X2392">
        <v>0</v>
      </c>
      <c r="Y2392" t="s">
        <v>1925</v>
      </c>
    </row>
    <row r="2393" spans="1:25" hidden="1" x14ac:dyDescent="0.25">
      <c r="A2393" s="1" t="s">
        <v>58</v>
      </c>
      <c r="B2393" s="1" t="s">
        <v>144</v>
      </c>
      <c r="C2393" s="1" t="s">
        <v>37</v>
      </c>
      <c r="D2393" s="35" t="s">
        <v>27</v>
      </c>
      <c r="E2393" s="2">
        <v>45967</v>
      </c>
      <c r="F2393" s="2">
        <v>45967</v>
      </c>
      <c r="G2393" s="3">
        <v>32</v>
      </c>
      <c r="H2393" s="4" t="s">
        <v>28</v>
      </c>
      <c r="I2393" s="28">
        <v>40</v>
      </c>
      <c r="J2393">
        <v>0</v>
      </c>
      <c r="K2393">
        <v>0</v>
      </c>
      <c r="L2393" s="3">
        <v>1</v>
      </c>
      <c r="M2393" s="3">
        <v>0</v>
      </c>
      <c r="N2393">
        <v>0</v>
      </c>
      <c r="O2393">
        <v>0</v>
      </c>
      <c r="P2393">
        <v>0</v>
      </c>
      <c r="Q2393">
        <v>0</v>
      </c>
      <c r="R2393" s="3">
        <v>0</v>
      </c>
      <c r="S2393" s="3">
        <v>0</v>
      </c>
      <c r="T2393">
        <v>0</v>
      </c>
      <c r="U2393">
        <v>0</v>
      </c>
      <c r="V2393" s="3">
        <v>0</v>
      </c>
      <c r="W2393" s="3">
        <v>0</v>
      </c>
      <c r="X2393">
        <v>0</v>
      </c>
      <c r="Y2393" t="s">
        <v>1926</v>
      </c>
    </row>
    <row r="2394" spans="1:25" hidden="1" x14ac:dyDescent="0.25">
      <c r="A2394" s="1" t="s">
        <v>438</v>
      </c>
      <c r="B2394" s="1" t="s">
        <v>106</v>
      </c>
      <c r="C2394" s="35" t="s">
        <v>27</v>
      </c>
      <c r="D2394" s="35" t="s">
        <v>27</v>
      </c>
      <c r="E2394" s="2">
        <v>45967</v>
      </c>
      <c r="F2394" s="2">
        <v>45967</v>
      </c>
      <c r="G2394" s="3">
        <v>33</v>
      </c>
      <c r="H2394" s="4" t="s">
        <v>1317</v>
      </c>
      <c r="I2394" s="28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1926</v>
      </c>
    </row>
    <row r="2395" spans="1:25" hidden="1" x14ac:dyDescent="0.25">
      <c r="A2395" s="1" t="s">
        <v>29</v>
      </c>
      <c r="B2395" s="1" t="s">
        <v>182</v>
      </c>
      <c r="C2395" s="35" t="s">
        <v>27</v>
      </c>
      <c r="D2395" s="35" t="s">
        <v>27</v>
      </c>
      <c r="E2395" s="2">
        <v>45967</v>
      </c>
      <c r="F2395" s="2">
        <v>45967</v>
      </c>
      <c r="G2395" s="3">
        <v>34</v>
      </c>
      <c r="H2395" s="4" t="s">
        <v>1317</v>
      </c>
      <c r="I2395" s="28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1926</v>
      </c>
    </row>
    <row r="2396" spans="1:25" hidden="1" x14ac:dyDescent="0.25">
      <c r="A2396" s="1" t="s">
        <v>25</v>
      </c>
      <c r="B2396" s="1" t="s">
        <v>184</v>
      </c>
      <c r="C2396" s="35" t="s">
        <v>27</v>
      </c>
      <c r="D2396" s="35" t="s">
        <v>27</v>
      </c>
      <c r="E2396" s="2">
        <v>45967</v>
      </c>
      <c r="F2396" s="2">
        <v>45967</v>
      </c>
      <c r="G2396" s="3">
        <v>35</v>
      </c>
      <c r="H2396" s="4" t="s">
        <v>763</v>
      </c>
      <c r="I2396" s="28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 t="s">
        <v>1926</v>
      </c>
    </row>
    <row r="2397" spans="1:25" hidden="1" x14ac:dyDescent="0.25">
      <c r="A2397" s="35" t="s">
        <v>27</v>
      </c>
      <c r="B2397" s="1" t="s">
        <v>186</v>
      </c>
      <c r="C2397" s="1" t="s">
        <v>489</v>
      </c>
      <c r="D2397" s="35" t="s">
        <v>27</v>
      </c>
      <c r="E2397" s="2">
        <v>45967</v>
      </c>
      <c r="F2397" s="2">
        <v>45967</v>
      </c>
      <c r="G2397" s="3">
        <v>36</v>
      </c>
      <c r="H2397" s="4" t="s">
        <v>1317</v>
      </c>
      <c r="I2397" s="28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1926</v>
      </c>
    </row>
    <row r="2398" spans="1:25" hidden="1" x14ac:dyDescent="0.25">
      <c r="A2398" s="1" t="s">
        <v>25</v>
      </c>
      <c r="B2398" s="1" t="s">
        <v>96</v>
      </c>
      <c r="C2398" s="1" t="s">
        <v>26</v>
      </c>
      <c r="D2398" s="1" t="s">
        <v>27</v>
      </c>
      <c r="E2398" s="2">
        <v>45968</v>
      </c>
      <c r="F2398" s="2">
        <v>45968</v>
      </c>
      <c r="G2398" s="3">
        <v>45</v>
      </c>
      <c r="H2398" s="4" t="s">
        <v>28</v>
      </c>
      <c r="I2398" s="28">
        <v>76</v>
      </c>
      <c r="J2398">
        <v>0</v>
      </c>
      <c r="K2398">
        <v>0</v>
      </c>
      <c r="L2398" s="3">
        <v>1</v>
      </c>
      <c r="M2398" s="3">
        <v>0</v>
      </c>
      <c r="N2398">
        <v>1</v>
      </c>
      <c r="O2398">
        <v>0</v>
      </c>
      <c r="P2398">
        <v>0</v>
      </c>
      <c r="Q2398">
        <v>0</v>
      </c>
      <c r="R2398" s="3">
        <v>0</v>
      </c>
      <c r="S2398" s="3">
        <v>0</v>
      </c>
      <c r="T2398">
        <v>0</v>
      </c>
      <c r="U2398">
        <v>0</v>
      </c>
      <c r="V2398" s="3">
        <v>0</v>
      </c>
      <c r="W2398" s="3">
        <v>0</v>
      </c>
      <c r="X2398">
        <v>0</v>
      </c>
      <c r="Y2398" t="s">
        <v>1927</v>
      </c>
    </row>
    <row r="2399" spans="1:25" hidden="1" x14ac:dyDescent="0.25">
      <c r="A2399" s="1" t="s">
        <v>56</v>
      </c>
      <c r="B2399" s="1" t="s">
        <v>98</v>
      </c>
      <c r="C2399" s="1" t="s">
        <v>37</v>
      </c>
      <c r="D2399" s="1" t="s">
        <v>27</v>
      </c>
      <c r="E2399" s="2">
        <v>45968</v>
      </c>
      <c r="F2399" s="2">
        <v>45968</v>
      </c>
      <c r="G2399" s="3">
        <v>35</v>
      </c>
      <c r="H2399" s="4" t="s">
        <v>28</v>
      </c>
      <c r="I2399" s="28">
        <v>90</v>
      </c>
      <c r="J2399">
        <v>0</v>
      </c>
      <c r="K2399">
        <v>0</v>
      </c>
      <c r="L2399" s="3">
        <v>1</v>
      </c>
      <c r="M2399" s="3">
        <v>0</v>
      </c>
      <c r="N2399">
        <v>0</v>
      </c>
      <c r="O2399">
        <v>0</v>
      </c>
      <c r="P2399">
        <v>0</v>
      </c>
      <c r="Q2399">
        <v>10</v>
      </c>
      <c r="R2399" s="3">
        <v>0</v>
      </c>
      <c r="S2399" s="3">
        <v>0</v>
      </c>
      <c r="T2399">
        <v>0</v>
      </c>
      <c r="U2399">
        <v>0</v>
      </c>
      <c r="V2399" s="3">
        <v>0</v>
      </c>
      <c r="W2399" s="3">
        <v>0</v>
      </c>
      <c r="X2399">
        <v>0</v>
      </c>
      <c r="Y2399" t="s">
        <v>1928</v>
      </c>
    </row>
    <row r="2400" spans="1:25" hidden="1" x14ac:dyDescent="0.25">
      <c r="A2400" s="1" t="s">
        <v>344</v>
      </c>
      <c r="B2400" s="1" t="s">
        <v>102</v>
      </c>
      <c r="C2400" s="1" t="s">
        <v>35</v>
      </c>
      <c r="D2400" s="1" t="s">
        <v>27</v>
      </c>
      <c r="E2400" s="2">
        <v>45965</v>
      </c>
      <c r="F2400" s="2">
        <v>45965</v>
      </c>
      <c r="G2400" s="3">
        <v>29</v>
      </c>
      <c r="H2400" s="4" t="s">
        <v>28</v>
      </c>
      <c r="I2400" s="28">
        <v>56</v>
      </c>
      <c r="J2400">
        <v>0</v>
      </c>
      <c r="K2400">
        <v>0</v>
      </c>
      <c r="L2400" s="3">
        <v>0</v>
      </c>
      <c r="M2400" s="3">
        <v>0</v>
      </c>
      <c r="N2400">
        <v>0</v>
      </c>
      <c r="O2400">
        <v>0</v>
      </c>
      <c r="P2400">
        <v>0</v>
      </c>
      <c r="Q2400">
        <v>0</v>
      </c>
      <c r="R2400" s="3">
        <v>0</v>
      </c>
      <c r="S2400" s="3">
        <v>0</v>
      </c>
      <c r="T2400">
        <v>0</v>
      </c>
      <c r="U2400">
        <v>0</v>
      </c>
      <c r="V2400" s="3">
        <v>0</v>
      </c>
      <c r="W2400" s="3">
        <v>0</v>
      </c>
      <c r="X2400">
        <v>0</v>
      </c>
      <c r="Y2400" t="s">
        <v>1887</v>
      </c>
    </row>
    <row r="2401" spans="1:25" hidden="1" x14ac:dyDescent="0.25">
      <c r="A2401" s="1" t="s">
        <v>31</v>
      </c>
      <c r="B2401" s="1" t="s">
        <v>104</v>
      </c>
      <c r="C2401" s="1" t="s">
        <v>32</v>
      </c>
      <c r="D2401" s="1" t="s">
        <v>27</v>
      </c>
      <c r="E2401" s="2">
        <v>45968</v>
      </c>
      <c r="F2401" s="2">
        <v>45968</v>
      </c>
      <c r="G2401" s="3">
        <v>43</v>
      </c>
      <c r="H2401" s="4" t="s">
        <v>28</v>
      </c>
      <c r="I2401" s="28">
        <v>80</v>
      </c>
      <c r="J2401">
        <v>0</v>
      </c>
      <c r="K2401">
        <v>0</v>
      </c>
      <c r="L2401" s="3">
        <v>1</v>
      </c>
      <c r="M2401" s="3">
        <v>0</v>
      </c>
      <c r="N2401">
        <v>0</v>
      </c>
      <c r="O2401">
        <v>0</v>
      </c>
      <c r="P2401">
        <v>0</v>
      </c>
      <c r="Q2401">
        <v>35</v>
      </c>
      <c r="R2401" s="3">
        <v>0</v>
      </c>
      <c r="S2401" s="3">
        <v>0</v>
      </c>
      <c r="T2401">
        <v>0</v>
      </c>
      <c r="U2401">
        <v>0</v>
      </c>
      <c r="V2401" s="3">
        <v>0</v>
      </c>
      <c r="W2401" s="3">
        <v>0</v>
      </c>
      <c r="X2401">
        <v>7</v>
      </c>
      <c r="Y2401" t="s">
        <v>1929</v>
      </c>
    </row>
    <row r="2402" spans="1:25" hidden="1" x14ac:dyDescent="0.25">
      <c r="A2402" s="1" t="s">
        <v>33</v>
      </c>
      <c r="B2402" s="1" t="s">
        <v>106</v>
      </c>
      <c r="C2402" s="1" t="s">
        <v>57</v>
      </c>
      <c r="D2402" s="1" t="s">
        <v>27</v>
      </c>
      <c r="E2402" s="2">
        <v>45968</v>
      </c>
      <c r="F2402" s="2">
        <v>45968</v>
      </c>
      <c r="G2402" s="3">
        <v>29</v>
      </c>
      <c r="H2402" s="4" t="s">
        <v>28</v>
      </c>
      <c r="I2402" s="28">
        <v>53</v>
      </c>
      <c r="J2402">
        <v>0</v>
      </c>
      <c r="K2402">
        <v>0</v>
      </c>
      <c r="L2402" s="3">
        <v>0</v>
      </c>
      <c r="M2402" s="3">
        <v>0</v>
      </c>
      <c r="N2402">
        <v>0</v>
      </c>
      <c r="O2402">
        <v>0</v>
      </c>
      <c r="P2402">
        <v>0</v>
      </c>
      <c r="Q2402">
        <v>20</v>
      </c>
      <c r="R2402" s="3">
        <v>0</v>
      </c>
      <c r="S2402" s="3">
        <v>0</v>
      </c>
      <c r="T2402">
        <v>0</v>
      </c>
      <c r="U2402">
        <v>0</v>
      </c>
      <c r="V2402" s="3">
        <v>0</v>
      </c>
      <c r="W2402" s="3">
        <v>0</v>
      </c>
      <c r="X2402">
        <v>0</v>
      </c>
      <c r="Y2402" t="s">
        <v>1930</v>
      </c>
    </row>
    <row r="2403" spans="1:25" hidden="1" x14ac:dyDescent="0.25">
      <c r="A2403" s="1" t="s">
        <v>38</v>
      </c>
      <c r="B2403" s="1" t="s">
        <v>108</v>
      </c>
      <c r="C2403" s="1" t="s">
        <v>27</v>
      </c>
      <c r="D2403" s="1" t="s">
        <v>27</v>
      </c>
      <c r="E2403" s="2">
        <v>45968</v>
      </c>
      <c r="F2403" s="2">
        <v>45968</v>
      </c>
      <c r="G2403" s="3">
        <v>40</v>
      </c>
      <c r="H2403" s="4" t="s">
        <v>28</v>
      </c>
      <c r="I2403" s="28">
        <v>58</v>
      </c>
      <c r="J2403">
        <v>0</v>
      </c>
      <c r="K2403">
        <v>0</v>
      </c>
      <c r="L2403" s="3">
        <v>0</v>
      </c>
      <c r="M2403" s="3">
        <v>0</v>
      </c>
      <c r="N2403">
        <v>0</v>
      </c>
      <c r="O2403">
        <v>0</v>
      </c>
      <c r="P2403">
        <v>0</v>
      </c>
      <c r="Q2403">
        <v>58</v>
      </c>
      <c r="R2403" s="3">
        <v>0</v>
      </c>
      <c r="S2403" s="3">
        <v>0</v>
      </c>
      <c r="T2403">
        <v>0</v>
      </c>
      <c r="U2403">
        <v>0</v>
      </c>
      <c r="V2403" s="3">
        <v>0</v>
      </c>
      <c r="W2403" s="3">
        <v>0</v>
      </c>
      <c r="X2403">
        <v>0</v>
      </c>
      <c r="Y2403" t="s">
        <v>1931</v>
      </c>
    </row>
    <row r="2404" spans="1:25" hidden="1" x14ac:dyDescent="0.25">
      <c r="A2404" s="1" t="s">
        <v>47</v>
      </c>
      <c r="B2404" s="1" t="s">
        <v>137</v>
      </c>
      <c r="C2404" s="1" t="s">
        <v>27</v>
      </c>
      <c r="D2404" s="1" t="s">
        <v>27</v>
      </c>
      <c r="E2404" s="2">
        <v>45968</v>
      </c>
      <c r="F2404" s="2">
        <v>45968</v>
      </c>
      <c r="G2404" s="3">
        <v>69</v>
      </c>
      <c r="H2404" s="4" t="s">
        <v>28</v>
      </c>
      <c r="I2404" s="28">
        <v>60</v>
      </c>
      <c r="J2404">
        <v>8</v>
      </c>
      <c r="K2404">
        <v>0</v>
      </c>
      <c r="L2404" s="3">
        <v>1</v>
      </c>
      <c r="M2404" s="3">
        <v>0</v>
      </c>
      <c r="N2404">
        <v>0</v>
      </c>
      <c r="O2404">
        <v>0</v>
      </c>
      <c r="P2404">
        <v>0</v>
      </c>
      <c r="Q2404">
        <v>15</v>
      </c>
      <c r="R2404" s="3">
        <v>0</v>
      </c>
      <c r="S2404" s="3">
        <v>0</v>
      </c>
      <c r="T2404">
        <v>0</v>
      </c>
      <c r="U2404">
        <v>0</v>
      </c>
      <c r="V2404" s="3">
        <v>0</v>
      </c>
      <c r="W2404" s="3">
        <v>0</v>
      </c>
      <c r="X2404">
        <v>0</v>
      </c>
      <c r="Y2404" t="s">
        <v>1907</v>
      </c>
    </row>
    <row r="2405" spans="1:25" hidden="1" x14ac:dyDescent="0.25">
      <c r="A2405" s="1" t="s">
        <v>34</v>
      </c>
      <c r="B2405" s="1" t="s">
        <v>137</v>
      </c>
      <c r="C2405" s="1" t="s">
        <v>27</v>
      </c>
      <c r="D2405" s="1" t="s">
        <v>27</v>
      </c>
      <c r="E2405" s="2">
        <v>45968</v>
      </c>
      <c r="F2405" s="2">
        <v>45968</v>
      </c>
      <c r="G2405" s="3">
        <v>69</v>
      </c>
      <c r="H2405" s="4" t="s">
        <v>28</v>
      </c>
      <c r="I2405" s="28">
        <v>60</v>
      </c>
      <c r="J2405">
        <v>8</v>
      </c>
      <c r="K2405">
        <v>0</v>
      </c>
      <c r="L2405" s="3">
        <v>1</v>
      </c>
      <c r="M2405" s="3">
        <v>0</v>
      </c>
      <c r="N2405">
        <v>0</v>
      </c>
      <c r="O2405">
        <v>0</v>
      </c>
      <c r="P2405">
        <v>0</v>
      </c>
      <c r="Q2405">
        <v>15</v>
      </c>
      <c r="R2405" s="3">
        <v>0</v>
      </c>
      <c r="S2405" s="3">
        <v>0</v>
      </c>
      <c r="T2405">
        <v>0</v>
      </c>
      <c r="U2405">
        <v>0</v>
      </c>
      <c r="V2405" s="3">
        <v>0</v>
      </c>
      <c r="W2405" s="3">
        <v>0</v>
      </c>
      <c r="X2405">
        <v>0</v>
      </c>
      <c r="Y2405" t="s">
        <v>1907</v>
      </c>
    </row>
    <row r="2406" spans="1:25" hidden="1" x14ac:dyDescent="0.25">
      <c r="A2406" s="1" t="s">
        <v>40</v>
      </c>
      <c r="B2406" s="1" t="s">
        <v>110</v>
      </c>
      <c r="C2406" s="1" t="s">
        <v>27</v>
      </c>
      <c r="D2406" s="1" t="s">
        <v>27</v>
      </c>
      <c r="E2406" s="2">
        <v>45968</v>
      </c>
      <c r="F2406" s="2">
        <v>45968</v>
      </c>
      <c r="G2406" s="3">
        <v>107</v>
      </c>
      <c r="H2406" s="4" t="s">
        <v>28</v>
      </c>
      <c r="I2406" s="28">
        <v>66</v>
      </c>
      <c r="J2406">
        <v>0</v>
      </c>
      <c r="K2406">
        <v>0</v>
      </c>
      <c r="L2406" s="3">
        <v>1</v>
      </c>
      <c r="M2406" s="3">
        <v>0</v>
      </c>
      <c r="N2406">
        <v>1</v>
      </c>
      <c r="O2406">
        <v>0</v>
      </c>
      <c r="P2406">
        <v>0</v>
      </c>
      <c r="Q2406">
        <v>0</v>
      </c>
      <c r="R2406" s="3">
        <v>0</v>
      </c>
      <c r="S2406" s="3">
        <v>0</v>
      </c>
      <c r="T2406">
        <v>0</v>
      </c>
      <c r="U2406">
        <v>0</v>
      </c>
      <c r="V2406" s="3">
        <v>0</v>
      </c>
      <c r="W2406" s="3">
        <v>0</v>
      </c>
      <c r="X2406">
        <v>0</v>
      </c>
      <c r="Y2406" t="s">
        <v>1932</v>
      </c>
    </row>
    <row r="2407" spans="1:25" hidden="1" x14ac:dyDescent="0.25">
      <c r="A2407" s="1" t="s">
        <v>36</v>
      </c>
      <c r="B2407" s="1" t="s">
        <v>110</v>
      </c>
      <c r="C2407" s="1" t="s">
        <v>27</v>
      </c>
      <c r="D2407" s="1" t="s">
        <v>27</v>
      </c>
      <c r="E2407" s="2">
        <v>45968</v>
      </c>
      <c r="F2407" s="2">
        <v>45968</v>
      </c>
      <c r="G2407" s="3">
        <v>107</v>
      </c>
      <c r="H2407" s="4" t="s">
        <v>28</v>
      </c>
      <c r="I2407" s="28">
        <v>66</v>
      </c>
      <c r="J2407">
        <v>0</v>
      </c>
      <c r="K2407">
        <v>0</v>
      </c>
      <c r="L2407" s="3">
        <v>1</v>
      </c>
      <c r="M2407" s="3">
        <v>0</v>
      </c>
      <c r="N2407">
        <v>1</v>
      </c>
      <c r="O2407">
        <v>0</v>
      </c>
      <c r="P2407">
        <v>0</v>
      </c>
      <c r="Q2407">
        <v>0</v>
      </c>
      <c r="R2407" s="3">
        <v>0</v>
      </c>
      <c r="S2407" s="3">
        <v>0</v>
      </c>
      <c r="T2407">
        <v>0</v>
      </c>
      <c r="U2407">
        <v>0</v>
      </c>
      <c r="V2407" s="3">
        <v>0</v>
      </c>
      <c r="W2407" s="3">
        <v>0</v>
      </c>
      <c r="X2407">
        <v>0</v>
      </c>
      <c r="Y2407" t="s">
        <v>1932</v>
      </c>
    </row>
    <row r="2408" spans="1:25" hidden="1" x14ac:dyDescent="0.25">
      <c r="A2408" s="1" t="s">
        <v>1454</v>
      </c>
      <c r="B2408" s="1" t="s">
        <v>1455</v>
      </c>
      <c r="C2408" s="1" t="s">
        <v>27</v>
      </c>
      <c r="D2408" s="1" t="s">
        <v>27</v>
      </c>
      <c r="E2408" s="2">
        <v>45968</v>
      </c>
      <c r="F2408" s="2">
        <v>45968</v>
      </c>
      <c r="G2408" s="3">
        <v>40</v>
      </c>
      <c r="H2408" s="4" t="s">
        <v>28</v>
      </c>
      <c r="I2408" s="28">
        <v>42</v>
      </c>
      <c r="J2408">
        <v>0</v>
      </c>
      <c r="K2408">
        <v>0</v>
      </c>
      <c r="L2408" s="3">
        <v>1</v>
      </c>
      <c r="M2408" s="3">
        <v>0</v>
      </c>
      <c r="N2408">
        <v>0</v>
      </c>
      <c r="O2408">
        <v>0</v>
      </c>
      <c r="P2408">
        <v>0</v>
      </c>
      <c r="Q2408">
        <v>42</v>
      </c>
      <c r="R2408" s="3">
        <v>0</v>
      </c>
      <c r="S2408" s="3">
        <v>0</v>
      </c>
      <c r="T2408">
        <v>0</v>
      </c>
      <c r="U2408">
        <v>0</v>
      </c>
      <c r="V2408" s="3">
        <v>0</v>
      </c>
      <c r="W2408" s="3">
        <v>0</v>
      </c>
      <c r="X2408">
        <v>0</v>
      </c>
      <c r="Y2408" t="s">
        <v>1933</v>
      </c>
    </row>
    <row r="2409" spans="1:25" hidden="1" x14ac:dyDescent="0.25">
      <c r="A2409" s="1" t="s">
        <v>41</v>
      </c>
      <c r="B2409" s="1" t="s">
        <v>112</v>
      </c>
      <c r="C2409" s="1" t="s">
        <v>42</v>
      </c>
      <c r="D2409" s="1" t="s">
        <v>27</v>
      </c>
      <c r="E2409" s="2">
        <v>45968</v>
      </c>
      <c r="F2409" s="2">
        <v>45968</v>
      </c>
      <c r="G2409" s="3">
        <v>42</v>
      </c>
      <c r="H2409" s="4" t="s">
        <v>28</v>
      </c>
      <c r="I2409" s="28">
        <v>55</v>
      </c>
      <c r="J2409">
        <v>0</v>
      </c>
      <c r="K2409">
        <v>0</v>
      </c>
      <c r="L2409" s="3">
        <v>1</v>
      </c>
      <c r="M2409" s="3">
        <v>0</v>
      </c>
      <c r="N2409">
        <v>0</v>
      </c>
      <c r="O2409">
        <v>0</v>
      </c>
      <c r="P2409">
        <v>0</v>
      </c>
      <c r="Q2409">
        <v>1</v>
      </c>
      <c r="R2409" s="3">
        <v>0</v>
      </c>
      <c r="S2409" s="3">
        <v>0</v>
      </c>
      <c r="T2409">
        <v>0</v>
      </c>
      <c r="U2409">
        <v>0</v>
      </c>
      <c r="V2409" s="3">
        <v>0</v>
      </c>
      <c r="W2409" s="3">
        <v>0</v>
      </c>
      <c r="X2409">
        <v>0</v>
      </c>
      <c r="Y2409" t="s">
        <v>1934</v>
      </c>
    </row>
    <row r="2410" spans="1:25" hidden="1" x14ac:dyDescent="0.25">
      <c r="A2410" s="1" t="s">
        <v>43</v>
      </c>
      <c r="B2410" s="1" t="s">
        <v>114</v>
      </c>
      <c r="C2410" s="1" t="s">
        <v>44</v>
      </c>
      <c r="D2410" s="1" t="s">
        <v>27</v>
      </c>
      <c r="E2410" s="2">
        <v>45968</v>
      </c>
      <c r="F2410" s="2">
        <v>45968</v>
      </c>
      <c r="G2410" s="3">
        <v>22</v>
      </c>
      <c r="H2410" s="4" t="s">
        <v>28</v>
      </c>
      <c r="I2410" s="28">
        <v>60</v>
      </c>
      <c r="J2410">
        <v>0</v>
      </c>
      <c r="K2410">
        <v>0</v>
      </c>
      <c r="L2410" s="3">
        <v>0</v>
      </c>
      <c r="M2410" s="3">
        <v>0</v>
      </c>
      <c r="N2410">
        <v>0</v>
      </c>
      <c r="O2410">
        <v>0</v>
      </c>
      <c r="P2410">
        <v>0</v>
      </c>
      <c r="Q2410">
        <v>0</v>
      </c>
      <c r="R2410" s="3">
        <v>0</v>
      </c>
      <c r="S2410" s="3">
        <v>0</v>
      </c>
      <c r="T2410">
        <v>0</v>
      </c>
      <c r="U2410">
        <v>0</v>
      </c>
      <c r="V2410" s="3">
        <v>0</v>
      </c>
      <c r="W2410" s="3">
        <v>0</v>
      </c>
      <c r="X2410">
        <v>0</v>
      </c>
      <c r="Y2410" t="s">
        <v>1935</v>
      </c>
    </row>
    <row r="2411" spans="1:25" hidden="1" x14ac:dyDescent="0.25">
      <c r="A2411" s="1" t="s">
        <v>45</v>
      </c>
      <c r="B2411" s="1" t="s">
        <v>116</v>
      </c>
      <c r="C2411" s="1" t="s">
        <v>46</v>
      </c>
      <c r="D2411" s="1" t="s">
        <v>27</v>
      </c>
      <c r="E2411" s="2">
        <v>45968</v>
      </c>
      <c r="F2411" s="2">
        <v>45968</v>
      </c>
      <c r="G2411" s="3">
        <v>82</v>
      </c>
      <c r="H2411" s="4" t="s">
        <v>28</v>
      </c>
      <c r="I2411" s="28">
        <v>72</v>
      </c>
      <c r="J2411">
        <v>0</v>
      </c>
      <c r="K2411">
        <v>0</v>
      </c>
      <c r="L2411" s="3">
        <v>1</v>
      </c>
      <c r="M2411" s="3">
        <v>0</v>
      </c>
      <c r="N2411">
        <v>0</v>
      </c>
      <c r="O2411">
        <v>0</v>
      </c>
      <c r="P2411">
        <v>0</v>
      </c>
      <c r="Q2411">
        <v>8</v>
      </c>
      <c r="R2411" s="3">
        <v>0</v>
      </c>
      <c r="S2411" s="3">
        <v>0</v>
      </c>
      <c r="T2411">
        <v>0</v>
      </c>
      <c r="U2411">
        <v>0</v>
      </c>
      <c r="V2411" s="3">
        <v>0</v>
      </c>
      <c r="W2411" s="3">
        <v>0</v>
      </c>
      <c r="X2411">
        <v>1</v>
      </c>
      <c r="Y2411" t="s">
        <v>1936</v>
      </c>
    </row>
    <row r="2412" spans="1:25" hidden="1" x14ac:dyDescent="0.25">
      <c r="A2412" s="1" t="s">
        <v>49</v>
      </c>
      <c r="B2412" s="1" t="s">
        <v>118</v>
      </c>
      <c r="C2412" s="1" t="s">
        <v>50</v>
      </c>
      <c r="D2412" s="1" t="s">
        <v>27</v>
      </c>
      <c r="E2412" s="2">
        <v>45968</v>
      </c>
      <c r="F2412" s="2">
        <v>45968</v>
      </c>
      <c r="G2412" s="3">
        <v>28</v>
      </c>
      <c r="H2412" s="4" t="s">
        <v>28</v>
      </c>
      <c r="I2412" s="28">
        <v>41</v>
      </c>
      <c r="J2412">
        <v>0</v>
      </c>
      <c r="K2412">
        <v>0</v>
      </c>
      <c r="L2412" s="3">
        <v>0</v>
      </c>
      <c r="M2412" s="3">
        <v>1</v>
      </c>
      <c r="N2412">
        <v>0</v>
      </c>
      <c r="O2412">
        <v>0</v>
      </c>
      <c r="P2412">
        <v>0</v>
      </c>
      <c r="Q2412">
        <v>41</v>
      </c>
      <c r="R2412" s="3">
        <v>0</v>
      </c>
      <c r="S2412" s="3">
        <v>0</v>
      </c>
      <c r="T2412">
        <v>0</v>
      </c>
      <c r="U2412">
        <v>0</v>
      </c>
      <c r="V2412" s="3">
        <v>0</v>
      </c>
      <c r="W2412" s="3">
        <v>0</v>
      </c>
      <c r="X2412">
        <v>0</v>
      </c>
      <c r="Y2412" t="s">
        <v>1937</v>
      </c>
    </row>
    <row r="2413" spans="1:25" hidden="1" x14ac:dyDescent="0.25">
      <c r="A2413" s="1" t="s">
        <v>51</v>
      </c>
      <c r="B2413" s="1" t="s">
        <v>120</v>
      </c>
      <c r="C2413" s="1" t="s">
        <v>55</v>
      </c>
      <c r="D2413" s="1" t="s">
        <v>27</v>
      </c>
      <c r="E2413" s="2">
        <v>45968</v>
      </c>
      <c r="F2413" s="2">
        <v>45968</v>
      </c>
      <c r="G2413" s="3">
        <v>65</v>
      </c>
      <c r="H2413" s="4" t="s">
        <v>28</v>
      </c>
      <c r="I2413" s="28">
        <v>46</v>
      </c>
      <c r="J2413">
        <v>0</v>
      </c>
      <c r="K2413">
        <v>0</v>
      </c>
      <c r="L2413" s="3">
        <v>1</v>
      </c>
      <c r="M2413" s="3">
        <v>0</v>
      </c>
      <c r="N2413">
        <v>1</v>
      </c>
      <c r="O2413">
        <v>0</v>
      </c>
      <c r="P2413">
        <v>0</v>
      </c>
      <c r="Q2413">
        <v>0</v>
      </c>
      <c r="R2413" s="3">
        <v>0</v>
      </c>
      <c r="S2413" s="3">
        <v>0</v>
      </c>
      <c r="T2413">
        <v>0</v>
      </c>
      <c r="U2413">
        <v>0</v>
      </c>
      <c r="V2413" s="3">
        <v>0</v>
      </c>
      <c r="W2413" s="3">
        <v>0</v>
      </c>
      <c r="X2413">
        <v>0</v>
      </c>
      <c r="Y2413" t="s">
        <v>1938</v>
      </c>
    </row>
    <row r="2414" spans="1:25" hidden="1" x14ac:dyDescent="0.25">
      <c r="A2414" s="1" t="s">
        <v>54</v>
      </c>
      <c r="B2414" s="1" t="s">
        <v>122</v>
      </c>
      <c r="C2414" t="s">
        <v>52</v>
      </c>
      <c r="D2414" s="1" t="s">
        <v>27</v>
      </c>
      <c r="E2414" s="2">
        <v>45968</v>
      </c>
      <c r="F2414" s="2">
        <v>45968</v>
      </c>
      <c r="G2414" s="3">
        <v>36</v>
      </c>
      <c r="H2414" s="4" t="s">
        <v>28</v>
      </c>
      <c r="I2414" s="28">
        <v>55</v>
      </c>
      <c r="J2414">
        <v>0</v>
      </c>
      <c r="K2414">
        <v>0</v>
      </c>
      <c r="L2414" s="3">
        <v>0</v>
      </c>
      <c r="M2414" s="3">
        <v>0</v>
      </c>
      <c r="N2414">
        <v>0</v>
      </c>
      <c r="O2414">
        <v>0</v>
      </c>
      <c r="P2414">
        <v>0</v>
      </c>
      <c r="Q2414">
        <v>2</v>
      </c>
      <c r="R2414" s="3">
        <v>0</v>
      </c>
      <c r="S2414" s="3">
        <v>0</v>
      </c>
      <c r="T2414">
        <v>0</v>
      </c>
      <c r="U2414">
        <v>0</v>
      </c>
      <c r="V2414" s="3">
        <v>0</v>
      </c>
      <c r="W2414" s="3">
        <v>0</v>
      </c>
      <c r="X2414">
        <v>0</v>
      </c>
      <c r="Y2414" t="s">
        <v>1939</v>
      </c>
    </row>
    <row r="2415" spans="1:25" hidden="1" x14ac:dyDescent="0.25">
      <c r="A2415" s="1" t="s">
        <v>48</v>
      </c>
      <c r="B2415" s="1" t="s">
        <v>149</v>
      </c>
      <c r="C2415" s="1" t="s">
        <v>95</v>
      </c>
      <c r="D2415" s="1" t="s">
        <v>27</v>
      </c>
      <c r="E2415" s="2">
        <v>45967</v>
      </c>
      <c r="F2415" s="2">
        <v>45967</v>
      </c>
      <c r="G2415" s="3">
        <v>36</v>
      </c>
      <c r="H2415" s="4" t="s">
        <v>28</v>
      </c>
      <c r="I2415" s="28">
        <v>18</v>
      </c>
      <c r="J2415">
        <v>0</v>
      </c>
      <c r="K2415">
        <v>0</v>
      </c>
      <c r="L2415" s="3">
        <v>0</v>
      </c>
      <c r="M2415" s="3">
        <v>0</v>
      </c>
      <c r="N2415">
        <v>0</v>
      </c>
      <c r="O2415">
        <v>0</v>
      </c>
      <c r="P2415">
        <v>0</v>
      </c>
      <c r="Q2415">
        <v>0</v>
      </c>
      <c r="R2415" s="3">
        <v>0</v>
      </c>
      <c r="S2415" s="3">
        <v>0</v>
      </c>
      <c r="T2415">
        <v>0</v>
      </c>
      <c r="U2415">
        <v>0</v>
      </c>
      <c r="V2415" s="3">
        <v>0</v>
      </c>
      <c r="W2415" s="3">
        <v>0</v>
      </c>
      <c r="X2415">
        <v>0</v>
      </c>
      <c r="Y2415" t="s">
        <v>1925</v>
      </c>
    </row>
    <row r="2416" spans="1:25" hidden="1" x14ac:dyDescent="0.25">
      <c r="A2416" s="1" t="s">
        <v>48</v>
      </c>
      <c r="B2416" s="1" t="s">
        <v>149</v>
      </c>
      <c r="C2416" s="1" t="s">
        <v>95</v>
      </c>
      <c r="D2416" s="1" t="s">
        <v>27</v>
      </c>
      <c r="E2416" s="2">
        <v>45968</v>
      </c>
      <c r="F2416" s="2">
        <v>45968</v>
      </c>
      <c r="G2416" s="3">
        <v>26</v>
      </c>
      <c r="H2416" s="4" t="s">
        <v>28</v>
      </c>
      <c r="I2416" s="28">
        <v>51</v>
      </c>
      <c r="J2416">
        <v>0</v>
      </c>
      <c r="K2416">
        <v>0</v>
      </c>
      <c r="L2416" s="3">
        <v>1</v>
      </c>
      <c r="M2416" s="3">
        <v>0</v>
      </c>
      <c r="N2416">
        <v>0</v>
      </c>
      <c r="O2416">
        <v>0</v>
      </c>
      <c r="P2416">
        <v>0</v>
      </c>
      <c r="Q2416">
        <v>0</v>
      </c>
      <c r="R2416" s="3">
        <v>0</v>
      </c>
      <c r="S2416" s="3">
        <v>0</v>
      </c>
      <c r="T2416">
        <v>0</v>
      </c>
      <c r="U2416">
        <v>0</v>
      </c>
      <c r="V2416" s="3">
        <v>0</v>
      </c>
      <c r="W2416" s="3">
        <v>0</v>
      </c>
      <c r="X2416">
        <v>0</v>
      </c>
      <c r="Y2416" t="s">
        <v>1940</v>
      </c>
    </row>
    <row r="2417" spans="1:25" hidden="1" x14ac:dyDescent="0.25">
      <c r="A2417" s="1" t="s">
        <v>58</v>
      </c>
      <c r="B2417" s="1" t="s">
        <v>144</v>
      </c>
      <c r="C2417" s="1" t="s">
        <v>489</v>
      </c>
      <c r="D2417" s="1" t="s">
        <v>27</v>
      </c>
      <c r="E2417" s="2">
        <v>45968</v>
      </c>
      <c r="F2417" s="2">
        <v>45968</v>
      </c>
      <c r="G2417" s="3">
        <v>23</v>
      </c>
      <c r="H2417" s="4" t="s">
        <v>28</v>
      </c>
      <c r="I2417" s="28">
        <v>95</v>
      </c>
      <c r="J2417">
        <v>0</v>
      </c>
      <c r="K2417">
        <v>0</v>
      </c>
      <c r="L2417" s="3">
        <v>1</v>
      </c>
      <c r="M2417" s="3">
        <v>0</v>
      </c>
      <c r="N2417">
        <v>0</v>
      </c>
      <c r="O2417">
        <v>0</v>
      </c>
      <c r="P2417">
        <v>0</v>
      </c>
      <c r="Q2417">
        <v>45</v>
      </c>
      <c r="R2417" s="3">
        <v>0</v>
      </c>
      <c r="S2417" s="3">
        <v>0</v>
      </c>
      <c r="T2417">
        <v>0</v>
      </c>
      <c r="U2417">
        <v>0</v>
      </c>
      <c r="V2417" s="3">
        <v>0</v>
      </c>
      <c r="W2417" s="3">
        <v>0</v>
      </c>
      <c r="X2417">
        <v>0</v>
      </c>
      <c r="Y2417" t="s">
        <v>1941</v>
      </c>
    </row>
    <row r="2418" spans="1:25" hidden="1" x14ac:dyDescent="0.25">
      <c r="A2418" s="1" t="s">
        <v>29</v>
      </c>
      <c r="B2418" s="1" t="s">
        <v>106</v>
      </c>
      <c r="C2418" s="1" t="s">
        <v>27</v>
      </c>
      <c r="D2418" s="1" t="s">
        <v>27</v>
      </c>
      <c r="E2418" s="2">
        <v>45968</v>
      </c>
      <c r="F2418" s="2">
        <v>45968</v>
      </c>
      <c r="G2418" s="3">
        <v>24</v>
      </c>
      <c r="H2418" s="4" t="s">
        <v>180</v>
      </c>
      <c r="I2418" s="28">
        <v>0</v>
      </c>
      <c r="J2418">
        <v>0</v>
      </c>
      <c r="K2418">
        <v>0</v>
      </c>
      <c r="L2418" s="3">
        <v>1</v>
      </c>
      <c r="M2418" s="3">
        <v>0</v>
      </c>
      <c r="N2418">
        <v>0</v>
      </c>
      <c r="O2418">
        <v>0</v>
      </c>
      <c r="P2418">
        <v>0</v>
      </c>
      <c r="Q2418">
        <v>0</v>
      </c>
      <c r="R2418" s="3">
        <v>0</v>
      </c>
      <c r="S2418" s="3">
        <v>0</v>
      </c>
      <c r="T2418">
        <v>0</v>
      </c>
      <c r="U2418">
        <v>0</v>
      </c>
      <c r="V2418" s="3">
        <v>0</v>
      </c>
      <c r="W2418" s="3">
        <v>0</v>
      </c>
      <c r="X2418" s="3">
        <v>0</v>
      </c>
      <c r="Y2418" t="s">
        <v>1941</v>
      </c>
    </row>
    <row r="2419" spans="1:25" hidden="1" x14ac:dyDescent="0.25">
      <c r="A2419" t="s">
        <v>41</v>
      </c>
      <c r="B2419" t="s">
        <v>112</v>
      </c>
      <c r="C2419" t="s">
        <v>42</v>
      </c>
      <c r="D2419" t="s">
        <v>27</v>
      </c>
      <c r="E2419" s="2">
        <v>45969</v>
      </c>
      <c r="F2419" s="2">
        <v>45969</v>
      </c>
      <c r="G2419" s="3">
        <v>72</v>
      </c>
      <c r="H2419" t="s">
        <v>28</v>
      </c>
      <c r="I2419" s="28">
        <v>0</v>
      </c>
      <c r="J2419">
        <v>0</v>
      </c>
      <c r="K2419">
        <v>0</v>
      </c>
      <c r="L2419" s="3">
        <v>0</v>
      </c>
      <c r="M2419" s="3">
        <v>0</v>
      </c>
      <c r="N2419">
        <v>0</v>
      </c>
      <c r="O2419">
        <v>0</v>
      </c>
      <c r="P2419">
        <v>0</v>
      </c>
      <c r="Q2419">
        <v>70</v>
      </c>
      <c r="R2419" s="3">
        <v>1</v>
      </c>
      <c r="S2419" s="3">
        <v>0</v>
      </c>
      <c r="T2419">
        <v>130</v>
      </c>
      <c r="U2419">
        <v>15</v>
      </c>
      <c r="V2419" s="3">
        <v>1</v>
      </c>
      <c r="W2419" s="3">
        <v>0</v>
      </c>
      <c r="X2419">
        <v>10</v>
      </c>
      <c r="Y2419" t="s">
        <v>1942</v>
      </c>
    </row>
    <row r="2420" spans="1:25" hidden="1" x14ac:dyDescent="0.25">
      <c r="A2420" t="s">
        <v>51</v>
      </c>
      <c r="B2420" t="s">
        <v>120</v>
      </c>
      <c r="C2420" t="s">
        <v>489</v>
      </c>
      <c r="D2420" t="s">
        <v>27</v>
      </c>
      <c r="E2420" s="2">
        <v>45969</v>
      </c>
      <c r="F2420" s="2">
        <v>45969</v>
      </c>
      <c r="G2420" s="3">
        <v>134</v>
      </c>
      <c r="H2420" t="s">
        <v>28</v>
      </c>
      <c r="I2420" s="28">
        <v>0</v>
      </c>
      <c r="J2420">
        <v>0</v>
      </c>
      <c r="K2420">
        <v>0</v>
      </c>
      <c r="L2420" s="3">
        <v>0</v>
      </c>
      <c r="M2420" s="3">
        <v>0</v>
      </c>
      <c r="N2420">
        <v>0</v>
      </c>
      <c r="O2420">
        <v>0</v>
      </c>
      <c r="P2420">
        <v>0</v>
      </c>
      <c r="Q2420">
        <v>6</v>
      </c>
      <c r="R2420" s="3">
        <v>1</v>
      </c>
      <c r="S2420" s="3">
        <v>0</v>
      </c>
      <c r="T2420">
        <v>100</v>
      </c>
      <c r="U2420">
        <v>51</v>
      </c>
      <c r="V2420" s="3">
        <v>1</v>
      </c>
      <c r="W2420" s="3">
        <v>0</v>
      </c>
      <c r="X2420">
        <v>2000</v>
      </c>
      <c r="Y2420" t="s">
        <v>1943</v>
      </c>
    </row>
    <row r="2421" spans="1:25" hidden="1" x14ac:dyDescent="0.25">
      <c r="A2421" t="s">
        <v>33</v>
      </c>
      <c r="B2421" t="s">
        <v>106</v>
      </c>
      <c r="C2421" t="s">
        <v>55</v>
      </c>
      <c r="D2421" t="s">
        <v>27</v>
      </c>
      <c r="E2421" s="2">
        <v>45970</v>
      </c>
      <c r="F2421" s="2">
        <v>45970</v>
      </c>
      <c r="G2421" s="3">
        <v>306</v>
      </c>
      <c r="H2421" t="s">
        <v>28</v>
      </c>
      <c r="I2421" s="28">
        <v>0</v>
      </c>
      <c r="J2421">
        <v>0</v>
      </c>
      <c r="K2421">
        <v>0</v>
      </c>
      <c r="L2421" s="3">
        <v>0</v>
      </c>
      <c r="M2421" s="3">
        <v>0</v>
      </c>
      <c r="N2421">
        <v>0</v>
      </c>
      <c r="O2421">
        <v>0</v>
      </c>
      <c r="P2421">
        <v>0</v>
      </c>
      <c r="Q2421">
        <v>0</v>
      </c>
      <c r="R2421" s="3">
        <v>0</v>
      </c>
      <c r="S2421" s="3">
        <v>1</v>
      </c>
      <c r="T2421">
        <v>48</v>
      </c>
      <c r="U2421">
        <v>78</v>
      </c>
      <c r="V2421" s="3">
        <v>0</v>
      </c>
      <c r="W2421" s="3">
        <v>1</v>
      </c>
      <c r="X2421">
        <v>10</v>
      </c>
      <c r="Y2421" t="s">
        <v>1944</v>
      </c>
    </row>
    <row r="2422" spans="1:25" hidden="1" x14ac:dyDescent="0.25">
      <c r="A2422" t="s">
        <v>54</v>
      </c>
      <c r="B2422" t="s">
        <v>122</v>
      </c>
      <c r="C2422" t="s">
        <v>52</v>
      </c>
      <c r="D2422" t="s">
        <v>27</v>
      </c>
      <c r="E2422" s="2">
        <v>45970</v>
      </c>
      <c r="F2422" s="2">
        <v>45970</v>
      </c>
      <c r="G2422" s="3">
        <v>77</v>
      </c>
      <c r="H2422" t="s">
        <v>28</v>
      </c>
      <c r="I2422" s="28">
        <v>0</v>
      </c>
      <c r="J2422">
        <v>0</v>
      </c>
      <c r="K2422">
        <v>0</v>
      </c>
      <c r="L2422" s="3">
        <v>0</v>
      </c>
      <c r="M2422" s="3">
        <v>0</v>
      </c>
      <c r="N2422">
        <v>0</v>
      </c>
      <c r="O2422">
        <v>0</v>
      </c>
      <c r="P2422">
        <v>0</v>
      </c>
      <c r="Q2422">
        <v>0</v>
      </c>
      <c r="R2422" s="3">
        <v>0</v>
      </c>
      <c r="S2422" s="3">
        <v>1</v>
      </c>
      <c r="T2422">
        <v>35</v>
      </c>
      <c r="U2422">
        <v>70</v>
      </c>
      <c r="V2422" s="3">
        <v>0</v>
      </c>
      <c r="W2422" s="3">
        <v>1</v>
      </c>
      <c r="X2422">
        <v>4</v>
      </c>
      <c r="Y2422" t="s">
        <v>1945</v>
      </c>
    </row>
    <row r="2423" spans="1:25" hidden="1" x14ac:dyDescent="0.25">
      <c r="A2423" s="1" t="s">
        <v>25</v>
      </c>
      <c r="B2423" s="1" t="s">
        <v>96</v>
      </c>
      <c r="C2423" s="1" t="s">
        <v>26</v>
      </c>
      <c r="D2423" s="1" t="s">
        <v>27</v>
      </c>
      <c r="E2423" s="10">
        <v>45971</v>
      </c>
      <c r="F2423" s="2">
        <v>45971</v>
      </c>
      <c r="G2423" s="3">
        <v>36</v>
      </c>
      <c r="H2423" s="4" t="s">
        <v>28</v>
      </c>
      <c r="I2423" s="28">
        <v>62</v>
      </c>
      <c r="J2423">
        <v>0</v>
      </c>
      <c r="K2423">
        <v>0</v>
      </c>
      <c r="L2423" s="3">
        <v>1</v>
      </c>
      <c r="M2423" s="3">
        <v>0</v>
      </c>
      <c r="N2423">
        <v>1</v>
      </c>
      <c r="O2423">
        <v>0</v>
      </c>
      <c r="P2423">
        <v>0</v>
      </c>
      <c r="Q2423">
        <v>0</v>
      </c>
      <c r="R2423" s="3">
        <v>0</v>
      </c>
      <c r="S2423" s="3">
        <v>0</v>
      </c>
      <c r="T2423">
        <v>0</v>
      </c>
      <c r="U2423">
        <v>0</v>
      </c>
      <c r="V2423" s="3">
        <v>0</v>
      </c>
      <c r="W2423" s="3">
        <v>0</v>
      </c>
      <c r="X2423">
        <v>0</v>
      </c>
      <c r="Y2423" t="s">
        <v>1946</v>
      </c>
    </row>
    <row r="2424" spans="1:25" hidden="1" x14ac:dyDescent="0.25">
      <c r="A2424" s="1" t="s">
        <v>56</v>
      </c>
      <c r="B2424" s="1" t="s">
        <v>98</v>
      </c>
      <c r="C2424" s="1" t="s">
        <v>37</v>
      </c>
      <c r="D2424" s="1" t="s">
        <v>27</v>
      </c>
      <c r="E2424" s="10">
        <v>45971</v>
      </c>
      <c r="F2424" s="2">
        <v>45971</v>
      </c>
      <c r="G2424" s="3">
        <v>27</v>
      </c>
      <c r="H2424" s="4" t="s">
        <v>28</v>
      </c>
      <c r="I2424" s="28">
        <v>86</v>
      </c>
      <c r="J2424">
        <v>0</v>
      </c>
      <c r="K2424">
        <v>0</v>
      </c>
      <c r="L2424" s="3">
        <v>1</v>
      </c>
      <c r="M2424" s="3">
        <v>0</v>
      </c>
      <c r="N2424">
        <v>0</v>
      </c>
      <c r="O2424">
        <v>0</v>
      </c>
      <c r="P2424">
        <v>0</v>
      </c>
      <c r="Q2424">
        <v>10</v>
      </c>
      <c r="R2424" s="3">
        <v>0</v>
      </c>
      <c r="S2424" s="3">
        <v>0</v>
      </c>
      <c r="T2424">
        <v>0</v>
      </c>
      <c r="U2424">
        <v>0</v>
      </c>
      <c r="V2424" s="3">
        <v>0</v>
      </c>
      <c r="W2424" s="3">
        <v>0</v>
      </c>
      <c r="X2424">
        <v>0</v>
      </c>
      <c r="Y2424" t="s">
        <v>1947</v>
      </c>
    </row>
    <row r="2425" spans="1:25" hidden="1" x14ac:dyDescent="0.25">
      <c r="A2425" s="1" t="s">
        <v>29</v>
      </c>
      <c r="B2425" s="1" t="s">
        <v>100</v>
      </c>
      <c r="C2425" s="1" t="s">
        <v>95</v>
      </c>
      <c r="D2425" s="1" t="s">
        <v>27</v>
      </c>
      <c r="E2425" s="10">
        <v>45971</v>
      </c>
      <c r="F2425" s="2">
        <v>45971</v>
      </c>
      <c r="G2425" s="3">
        <v>41</v>
      </c>
      <c r="H2425" s="4" t="s">
        <v>28</v>
      </c>
      <c r="I2425" s="28">
        <v>40</v>
      </c>
      <c r="J2425">
        <v>0</v>
      </c>
      <c r="K2425">
        <v>0</v>
      </c>
      <c r="L2425" s="3">
        <v>1</v>
      </c>
      <c r="M2425" s="3">
        <v>0</v>
      </c>
      <c r="N2425">
        <v>0</v>
      </c>
      <c r="O2425">
        <v>0</v>
      </c>
      <c r="P2425">
        <v>0</v>
      </c>
      <c r="Q2425">
        <v>15</v>
      </c>
      <c r="R2425" s="3">
        <v>0</v>
      </c>
      <c r="S2425" s="3">
        <v>0</v>
      </c>
      <c r="T2425">
        <v>0</v>
      </c>
      <c r="U2425">
        <v>0</v>
      </c>
      <c r="V2425" s="3">
        <v>0</v>
      </c>
      <c r="W2425" s="3">
        <v>0</v>
      </c>
      <c r="X2425">
        <v>1</v>
      </c>
      <c r="Y2425" t="s">
        <v>1948</v>
      </c>
    </row>
    <row r="2426" spans="1:25" hidden="1" x14ac:dyDescent="0.25">
      <c r="A2426" s="1" t="s">
        <v>344</v>
      </c>
      <c r="B2426" s="1" t="s">
        <v>102</v>
      </c>
      <c r="C2426" s="1" t="s">
        <v>35</v>
      </c>
      <c r="D2426" s="1" t="s">
        <v>27</v>
      </c>
      <c r="E2426" s="2">
        <v>45966</v>
      </c>
      <c r="F2426" s="2">
        <v>45966</v>
      </c>
      <c r="G2426" s="3">
        <v>29</v>
      </c>
      <c r="H2426" s="4" t="s">
        <v>28</v>
      </c>
      <c r="I2426" s="28">
        <v>23</v>
      </c>
      <c r="J2426">
        <v>0</v>
      </c>
      <c r="K2426">
        <v>0</v>
      </c>
      <c r="L2426" s="3">
        <v>0</v>
      </c>
      <c r="M2426" s="3">
        <v>0</v>
      </c>
      <c r="N2426">
        <v>0</v>
      </c>
      <c r="O2426">
        <v>0</v>
      </c>
      <c r="P2426">
        <v>0</v>
      </c>
      <c r="Q2426">
        <v>0</v>
      </c>
      <c r="R2426" s="3">
        <v>0</v>
      </c>
      <c r="S2426" s="3">
        <v>0</v>
      </c>
      <c r="T2426">
        <v>0</v>
      </c>
      <c r="U2426">
        <v>0</v>
      </c>
      <c r="V2426" s="3">
        <v>0</v>
      </c>
      <c r="W2426" s="3">
        <v>0</v>
      </c>
      <c r="X2426">
        <v>0</v>
      </c>
      <c r="Y2426" t="s">
        <v>1887</v>
      </c>
    </row>
    <row r="2427" spans="1:25" hidden="1" x14ac:dyDescent="0.25">
      <c r="A2427" s="1" t="s">
        <v>344</v>
      </c>
      <c r="B2427" s="1" t="s">
        <v>102</v>
      </c>
      <c r="C2427" s="1" t="s">
        <v>35</v>
      </c>
      <c r="D2427" s="1" t="s">
        <v>27</v>
      </c>
      <c r="E2427" s="2">
        <v>45967</v>
      </c>
      <c r="F2427" s="2">
        <v>45967</v>
      </c>
      <c r="G2427" s="3">
        <v>29</v>
      </c>
      <c r="H2427" s="4" t="s">
        <v>28</v>
      </c>
      <c r="I2427" s="28">
        <v>54</v>
      </c>
      <c r="J2427">
        <v>0</v>
      </c>
      <c r="K2427">
        <v>0</v>
      </c>
      <c r="L2427" s="3">
        <v>0</v>
      </c>
      <c r="M2427" s="3">
        <v>0</v>
      </c>
      <c r="N2427">
        <v>0</v>
      </c>
      <c r="O2427">
        <v>0</v>
      </c>
      <c r="P2427">
        <v>0</v>
      </c>
      <c r="Q2427">
        <v>0</v>
      </c>
      <c r="R2427" s="3">
        <v>0</v>
      </c>
      <c r="S2427" s="3">
        <v>0</v>
      </c>
      <c r="T2427">
        <v>0</v>
      </c>
      <c r="U2427">
        <v>0</v>
      </c>
      <c r="V2427" s="3">
        <v>0</v>
      </c>
      <c r="W2427" s="3">
        <v>0</v>
      </c>
      <c r="X2427">
        <v>0</v>
      </c>
      <c r="Y2427" t="s">
        <v>1887</v>
      </c>
    </row>
    <row r="2428" spans="1:25" hidden="1" x14ac:dyDescent="0.25">
      <c r="A2428" s="1" t="s">
        <v>344</v>
      </c>
      <c r="B2428" s="1" t="s">
        <v>102</v>
      </c>
      <c r="C2428" s="1" t="s">
        <v>35</v>
      </c>
      <c r="D2428" s="1" t="s">
        <v>27</v>
      </c>
      <c r="E2428" s="2">
        <v>45968</v>
      </c>
      <c r="F2428" s="2">
        <v>45968</v>
      </c>
      <c r="G2428" s="3">
        <v>29</v>
      </c>
      <c r="H2428" s="4" t="s">
        <v>28</v>
      </c>
      <c r="I2428" s="28">
        <v>37</v>
      </c>
      <c r="J2428">
        <v>0</v>
      </c>
      <c r="K2428">
        <v>0</v>
      </c>
      <c r="L2428" s="3">
        <v>0</v>
      </c>
      <c r="M2428" s="3">
        <v>0</v>
      </c>
      <c r="N2428">
        <v>0</v>
      </c>
      <c r="O2428">
        <v>0</v>
      </c>
      <c r="P2428">
        <v>0</v>
      </c>
      <c r="Q2428">
        <v>0</v>
      </c>
      <c r="R2428" s="3">
        <v>0</v>
      </c>
      <c r="S2428" s="3">
        <v>0</v>
      </c>
      <c r="T2428">
        <v>0</v>
      </c>
      <c r="U2428">
        <v>0</v>
      </c>
      <c r="V2428" s="3">
        <v>0</v>
      </c>
      <c r="W2428" s="3">
        <v>0</v>
      </c>
      <c r="X2428">
        <v>0</v>
      </c>
      <c r="Y2428" t="s">
        <v>1887</v>
      </c>
    </row>
    <row r="2429" spans="1:25" hidden="1" x14ac:dyDescent="0.25">
      <c r="A2429" s="1" t="s">
        <v>344</v>
      </c>
      <c r="B2429" s="1" t="s">
        <v>102</v>
      </c>
      <c r="C2429" s="1" t="s">
        <v>35</v>
      </c>
      <c r="D2429" s="1" t="s">
        <v>27</v>
      </c>
      <c r="E2429" s="10">
        <v>45971</v>
      </c>
      <c r="F2429" s="2">
        <v>45971</v>
      </c>
      <c r="G2429" s="3">
        <v>29</v>
      </c>
      <c r="H2429" s="4" t="s">
        <v>28</v>
      </c>
      <c r="I2429" s="28">
        <v>33</v>
      </c>
      <c r="J2429">
        <v>0</v>
      </c>
      <c r="K2429">
        <v>0</v>
      </c>
      <c r="L2429" s="3">
        <v>0</v>
      </c>
      <c r="M2429" s="3">
        <v>0</v>
      </c>
      <c r="N2429">
        <v>0</v>
      </c>
      <c r="O2429">
        <v>0</v>
      </c>
      <c r="P2429">
        <v>0</v>
      </c>
      <c r="Q2429">
        <v>0</v>
      </c>
      <c r="R2429" s="3">
        <v>0</v>
      </c>
      <c r="S2429" s="3">
        <v>0</v>
      </c>
      <c r="T2429">
        <v>0</v>
      </c>
      <c r="U2429">
        <v>0</v>
      </c>
      <c r="V2429" s="3">
        <v>0</v>
      </c>
      <c r="W2429" s="3">
        <v>0</v>
      </c>
      <c r="X2429">
        <v>0</v>
      </c>
      <c r="Y2429" t="s">
        <v>1887</v>
      </c>
    </row>
    <row r="2430" spans="1:25" hidden="1" x14ac:dyDescent="0.25">
      <c r="A2430" s="1" t="s">
        <v>31</v>
      </c>
      <c r="B2430" s="1" t="s">
        <v>104</v>
      </c>
      <c r="C2430" s="1" t="s">
        <v>32</v>
      </c>
      <c r="D2430" s="1" t="s">
        <v>27</v>
      </c>
      <c r="E2430" s="10">
        <v>45971</v>
      </c>
      <c r="F2430" s="2">
        <v>45971</v>
      </c>
      <c r="G2430" s="3">
        <v>52</v>
      </c>
      <c r="H2430" s="4" t="s">
        <v>28</v>
      </c>
      <c r="I2430" s="28">
        <v>98</v>
      </c>
      <c r="J2430">
        <v>0</v>
      </c>
      <c r="K2430">
        <v>0</v>
      </c>
      <c r="L2430" s="3">
        <v>1</v>
      </c>
      <c r="M2430" s="3">
        <v>0</v>
      </c>
      <c r="N2430">
        <v>0</v>
      </c>
      <c r="O2430">
        <v>0</v>
      </c>
      <c r="P2430">
        <v>0</v>
      </c>
      <c r="Q2430">
        <v>38</v>
      </c>
      <c r="R2430" s="3">
        <v>0</v>
      </c>
      <c r="S2430" s="3">
        <v>0</v>
      </c>
      <c r="T2430">
        <v>0</v>
      </c>
      <c r="U2430">
        <v>0</v>
      </c>
      <c r="V2430" s="3">
        <v>0</v>
      </c>
      <c r="W2430" s="3">
        <v>0</v>
      </c>
      <c r="X2430">
        <v>8</v>
      </c>
      <c r="Y2430" t="s">
        <v>1949</v>
      </c>
    </row>
    <row r="2431" spans="1:25" hidden="1" x14ac:dyDescent="0.25">
      <c r="A2431" s="1" t="s">
        <v>33</v>
      </c>
      <c r="B2431" s="1" t="s">
        <v>106</v>
      </c>
      <c r="C2431" s="1" t="s">
        <v>57</v>
      </c>
      <c r="D2431" s="1" t="s">
        <v>27</v>
      </c>
      <c r="E2431" s="10">
        <v>45971</v>
      </c>
      <c r="F2431" s="2">
        <v>45971</v>
      </c>
      <c r="G2431" s="3">
        <v>28</v>
      </c>
      <c r="H2431" s="4" t="s">
        <v>28</v>
      </c>
      <c r="I2431" s="28">
        <v>65</v>
      </c>
      <c r="J2431">
        <v>0</v>
      </c>
      <c r="K2431">
        <v>0</v>
      </c>
      <c r="L2431" s="3">
        <v>0</v>
      </c>
      <c r="M2431" s="3">
        <v>0</v>
      </c>
      <c r="N2431">
        <v>0</v>
      </c>
      <c r="O2431">
        <v>0</v>
      </c>
      <c r="P2431">
        <v>0</v>
      </c>
      <c r="Q2431">
        <v>20</v>
      </c>
      <c r="R2431" s="3">
        <v>0</v>
      </c>
      <c r="S2431" s="3">
        <v>0</v>
      </c>
      <c r="T2431">
        <v>0</v>
      </c>
      <c r="U2431">
        <v>0</v>
      </c>
      <c r="V2431" s="3">
        <v>0</v>
      </c>
      <c r="W2431" s="3">
        <v>0</v>
      </c>
      <c r="X2431">
        <v>0</v>
      </c>
      <c r="Y2431" t="s">
        <v>1950</v>
      </c>
    </row>
    <row r="2432" spans="1:25" hidden="1" x14ac:dyDescent="0.25">
      <c r="A2432" s="1" t="s">
        <v>38</v>
      </c>
      <c r="B2432" s="1" t="s">
        <v>108</v>
      </c>
      <c r="C2432" s="1" t="s">
        <v>27</v>
      </c>
      <c r="D2432" s="1" t="s">
        <v>27</v>
      </c>
      <c r="E2432" s="10">
        <v>45971</v>
      </c>
      <c r="F2432" s="2">
        <v>45971</v>
      </c>
      <c r="G2432" s="3">
        <v>36</v>
      </c>
      <c r="H2432" s="4" t="s">
        <v>28</v>
      </c>
      <c r="I2432" s="28">
        <v>57</v>
      </c>
      <c r="J2432">
        <v>0</v>
      </c>
      <c r="K2432">
        <v>0</v>
      </c>
      <c r="L2432" s="3">
        <v>0</v>
      </c>
      <c r="M2432" s="3">
        <v>0</v>
      </c>
      <c r="N2432">
        <v>0</v>
      </c>
      <c r="O2432">
        <v>0</v>
      </c>
      <c r="P2432">
        <v>0</v>
      </c>
      <c r="Q2432">
        <v>57</v>
      </c>
      <c r="R2432" s="3">
        <v>0</v>
      </c>
      <c r="S2432" s="3">
        <v>0</v>
      </c>
      <c r="T2432">
        <v>0</v>
      </c>
      <c r="U2432">
        <v>0</v>
      </c>
      <c r="V2432" s="3">
        <v>0</v>
      </c>
      <c r="W2432" s="3">
        <v>0</v>
      </c>
      <c r="X2432">
        <v>0</v>
      </c>
      <c r="Y2432" t="s">
        <v>1951</v>
      </c>
    </row>
    <row r="2433" spans="1:25" hidden="1" x14ac:dyDescent="0.25">
      <c r="A2433" s="1" t="s">
        <v>40</v>
      </c>
      <c r="B2433" s="1" t="s">
        <v>110</v>
      </c>
      <c r="C2433" s="1" t="s">
        <v>27</v>
      </c>
      <c r="D2433" s="1" t="s">
        <v>27</v>
      </c>
      <c r="E2433" s="10">
        <v>45971</v>
      </c>
      <c r="F2433" s="2">
        <v>45971</v>
      </c>
      <c r="G2433" s="3">
        <v>84</v>
      </c>
      <c r="H2433" s="4" t="s">
        <v>28</v>
      </c>
      <c r="I2433" s="28">
        <v>65</v>
      </c>
      <c r="J2433">
        <v>0</v>
      </c>
      <c r="K2433">
        <v>0</v>
      </c>
      <c r="L2433" s="3">
        <v>1</v>
      </c>
      <c r="M2433" s="3">
        <v>0</v>
      </c>
      <c r="N2433">
        <v>1</v>
      </c>
      <c r="O2433">
        <v>0</v>
      </c>
      <c r="P2433">
        <v>0</v>
      </c>
      <c r="Q2433">
        <v>0</v>
      </c>
      <c r="R2433" s="3">
        <v>0</v>
      </c>
      <c r="S2433" s="3">
        <v>0</v>
      </c>
      <c r="T2433">
        <v>0</v>
      </c>
      <c r="U2433">
        <v>0</v>
      </c>
      <c r="V2433" s="3">
        <v>0</v>
      </c>
      <c r="W2433" s="3">
        <v>0</v>
      </c>
      <c r="X2433">
        <v>0</v>
      </c>
      <c r="Y2433" t="s">
        <v>1952</v>
      </c>
    </row>
    <row r="2434" spans="1:25" hidden="1" x14ac:dyDescent="0.25">
      <c r="A2434" s="1" t="s">
        <v>1454</v>
      </c>
      <c r="B2434" s="1" t="s">
        <v>1455</v>
      </c>
      <c r="C2434" s="1" t="s">
        <v>27</v>
      </c>
      <c r="D2434" s="1" t="s">
        <v>27</v>
      </c>
      <c r="E2434" s="10">
        <v>45971</v>
      </c>
      <c r="F2434" s="2">
        <v>45971</v>
      </c>
      <c r="G2434" s="3">
        <v>55</v>
      </c>
      <c r="H2434" s="4" t="s">
        <v>28</v>
      </c>
      <c r="I2434" s="28">
        <v>48</v>
      </c>
      <c r="J2434">
        <v>0</v>
      </c>
      <c r="K2434">
        <v>0</v>
      </c>
      <c r="L2434" s="3">
        <v>1</v>
      </c>
      <c r="M2434" s="3">
        <v>0</v>
      </c>
      <c r="N2434">
        <v>0</v>
      </c>
      <c r="O2434">
        <v>0</v>
      </c>
      <c r="P2434">
        <v>0</v>
      </c>
      <c r="Q2434">
        <v>48</v>
      </c>
      <c r="R2434" s="3">
        <v>0</v>
      </c>
      <c r="S2434" s="3">
        <v>0</v>
      </c>
      <c r="T2434">
        <v>0</v>
      </c>
      <c r="U2434">
        <v>0</v>
      </c>
      <c r="V2434" s="3">
        <v>0</v>
      </c>
      <c r="W2434" s="3">
        <v>0</v>
      </c>
      <c r="X2434">
        <v>0</v>
      </c>
      <c r="Y2434" t="s">
        <v>1953</v>
      </c>
    </row>
    <row r="2435" spans="1:25" hidden="1" x14ac:dyDescent="0.25">
      <c r="A2435" s="1" t="s">
        <v>41</v>
      </c>
      <c r="B2435" s="1" t="s">
        <v>112</v>
      </c>
      <c r="C2435" s="1" t="s">
        <v>42</v>
      </c>
      <c r="D2435" s="1" t="s">
        <v>27</v>
      </c>
      <c r="E2435" s="10">
        <v>45971</v>
      </c>
      <c r="F2435" s="2">
        <v>45971</v>
      </c>
      <c r="G2435" s="3">
        <v>72</v>
      </c>
      <c r="H2435" s="4" t="s">
        <v>28</v>
      </c>
      <c r="I2435" s="28">
        <v>45</v>
      </c>
      <c r="J2435">
        <v>30</v>
      </c>
      <c r="K2435">
        <v>0</v>
      </c>
      <c r="L2435" s="3">
        <v>1</v>
      </c>
      <c r="M2435" s="3">
        <v>0</v>
      </c>
      <c r="N2435">
        <v>0</v>
      </c>
      <c r="O2435">
        <v>0</v>
      </c>
      <c r="P2435">
        <v>0</v>
      </c>
      <c r="Q2435">
        <v>4</v>
      </c>
      <c r="R2435" s="3">
        <v>0</v>
      </c>
      <c r="S2435" s="3">
        <v>0</v>
      </c>
      <c r="T2435">
        <v>0</v>
      </c>
      <c r="U2435">
        <v>0</v>
      </c>
      <c r="V2435" s="3">
        <v>0</v>
      </c>
      <c r="W2435" s="3">
        <v>0</v>
      </c>
      <c r="X2435">
        <v>3</v>
      </c>
      <c r="Y2435" t="s">
        <v>1954</v>
      </c>
    </row>
    <row r="2436" spans="1:25" hidden="1" x14ac:dyDescent="0.25">
      <c r="A2436" s="1" t="s">
        <v>43</v>
      </c>
      <c r="B2436" s="1" t="s">
        <v>114</v>
      </c>
      <c r="C2436" s="1" t="s">
        <v>44</v>
      </c>
      <c r="D2436" s="1" t="s">
        <v>27</v>
      </c>
      <c r="E2436" s="10">
        <v>45971</v>
      </c>
      <c r="F2436" s="2">
        <v>45971</v>
      </c>
      <c r="G2436" s="3">
        <v>33</v>
      </c>
      <c r="H2436" s="4" t="s">
        <v>28</v>
      </c>
      <c r="I2436" s="28">
        <v>59</v>
      </c>
      <c r="J2436">
        <v>0</v>
      </c>
      <c r="K2436">
        <v>0</v>
      </c>
      <c r="L2436" s="3">
        <v>0</v>
      </c>
      <c r="M2436" s="3">
        <v>0</v>
      </c>
      <c r="N2436">
        <v>0</v>
      </c>
      <c r="O2436">
        <v>0</v>
      </c>
      <c r="P2436">
        <v>0</v>
      </c>
      <c r="Q2436">
        <v>0</v>
      </c>
      <c r="R2436" s="3">
        <v>0</v>
      </c>
      <c r="S2436" s="3">
        <v>0</v>
      </c>
      <c r="T2436">
        <v>0</v>
      </c>
      <c r="U2436">
        <v>0</v>
      </c>
      <c r="V2436" s="3">
        <v>0</v>
      </c>
      <c r="W2436" s="3">
        <v>0</v>
      </c>
      <c r="X2436">
        <v>0</v>
      </c>
      <c r="Y2436" t="s">
        <v>1955</v>
      </c>
    </row>
    <row r="2437" spans="1:25" hidden="1" x14ac:dyDescent="0.25">
      <c r="A2437" s="1" t="s">
        <v>45</v>
      </c>
      <c r="B2437" s="1" t="s">
        <v>116</v>
      </c>
      <c r="C2437" s="1" t="s">
        <v>1316</v>
      </c>
      <c r="D2437" s="1" t="s">
        <v>27</v>
      </c>
      <c r="E2437" s="10">
        <v>45971</v>
      </c>
      <c r="F2437" s="2">
        <v>45971</v>
      </c>
      <c r="G2437" s="3">
        <v>66</v>
      </c>
      <c r="H2437" s="4" t="s">
        <v>28</v>
      </c>
      <c r="I2437" s="28">
        <v>52</v>
      </c>
      <c r="J2437">
        <v>2</v>
      </c>
      <c r="K2437">
        <v>0</v>
      </c>
      <c r="L2437" s="3">
        <v>1</v>
      </c>
      <c r="M2437" s="3">
        <v>0</v>
      </c>
      <c r="N2437">
        <v>0</v>
      </c>
      <c r="O2437">
        <v>0</v>
      </c>
      <c r="P2437">
        <v>0</v>
      </c>
      <c r="Q2437">
        <v>9</v>
      </c>
      <c r="R2437" s="3">
        <v>0</v>
      </c>
      <c r="S2437" s="3">
        <v>0</v>
      </c>
      <c r="T2437">
        <v>0</v>
      </c>
      <c r="U2437">
        <v>0</v>
      </c>
      <c r="V2437" s="3">
        <v>0</v>
      </c>
      <c r="W2437" s="3">
        <v>0</v>
      </c>
      <c r="X2437">
        <v>0</v>
      </c>
      <c r="Y2437" t="s">
        <v>1956</v>
      </c>
    </row>
    <row r="2438" spans="1:25" hidden="1" x14ac:dyDescent="0.25">
      <c r="A2438" s="1" t="s">
        <v>47</v>
      </c>
      <c r="B2438" s="1" t="s">
        <v>137</v>
      </c>
      <c r="C2438" s="1" t="s">
        <v>48</v>
      </c>
      <c r="D2438" s="1" t="s">
        <v>27</v>
      </c>
      <c r="E2438" s="10">
        <v>45971</v>
      </c>
      <c r="F2438" s="2">
        <v>45971</v>
      </c>
      <c r="G2438" s="3">
        <v>74</v>
      </c>
      <c r="H2438" s="4" t="s">
        <v>28</v>
      </c>
      <c r="I2438" s="28">
        <v>47</v>
      </c>
      <c r="J2438">
        <v>29</v>
      </c>
      <c r="K2438">
        <v>0</v>
      </c>
      <c r="L2438" s="3">
        <v>1</v>
      </c>
      <c r="M2438" s="3">
        <v>0</v>
      </c>
      <c r="N2438">
        <v>0</v>
      </c>
      <c r="O2438">
        <v>0</v>
      </c>
      <c r="P2438">
        <v>0</v>
      </c>
      <c r="Q2438">
        <v>6</v>
      </c>
      <c r="R2438" s="3">
        <v>0</v>
      </c>
      <c r="S2438" s="3">
        <v>0</v>
      </c>
      <c r="T2438">
        <v>0</v>
      </c>
      <c r="U2438">
        <v>0</v>
      </c>
      <c r="V2438" s="3">
        <v>0</v>
      </c>
      <c r="W2438" s="3">
        <v>0</v>
      </c>
      <c r="X2438">
        <v>0</v>
      </c>
      <c r="Y2438" t="s">
        <v>1957</v>
      </c>
    </row>
    <row r="2439" spans="1:25" hidden="1" x14ac:dyDescent="0.25">
      <c r="A2439" s="1" t="s">
        <v>49</v>
      </c>
      <c r="B2439" s="1" t="s">
        <v>118</v>
      </c>
      <c r="C2439" s="1" t="s">
        <v>50</v>
      </c>
      <c r="D2439" s="1" t="s">
        <v>27</v>
      </c>
      <c r="E2439" s="10">
        <v>45971</v>
      </c>
      <c r="F2439" s="2">
        <v>45971</v>
      </c>
      <c r="G2439" s="3">
        <v>39</v>
      </c>
      <c r="H2439" s="4" t="s">
        <v>28</v>
      </c>
      <c r="I2439" s="28">
        <v>25</v>
      </c>
      <c r="J2439">
        <v>0</v>
      </c>
      <c r="K2439">
        <v>0</v>
      </c>
      <c r="L2439" s="3">
        <v>1</v>
      </c>
      <c r="M2439" s="3">
        <v>1</v>
      </c>
      <c r="N2439">
        <v>0</v>
      </c>
      <c r="O2439">
        <v>0</v>
      </c>
      <c r="P2439">
        <v>0</v>
      </c>
      <c r="Q2439">
        <v>25</v>
      </c>
      <c r="R2439" s="3">
        <v>0</v>
      </c>
      <c r="S2439" s="3">
        <v>0</v>
      </c>
      <c r="T2439">
        <v>0</v>
      </c>
      <c r="U2439">
        <v>0</v>
      </c>
      <c r="V2439" s="3">
        <v>0</v>
      </c>
      <c r="W2439" s="3">
        <v>0</v>
      </c>
      <c r="X2439">
        <v>0</v>
      </c>
      <c r="Y2439" t="s">
        <v>1958</v>
      </c>
    </row>
    <row r="2440" spans="1:25" hidden="1" x14ac:dyDescent="0.25">
      <c r="A2440" s="1" t="s">
        <v>51</v>
      </c>
      <c r="B2440" s="1" t="s">
        <v>120</v>
      </c>
      <c r="C2440" s="1" t="s">
        <v>597</v>
      </c>
      <c r="D2440" s="1" t="s">
        <v>27</v>
      </c>
      <c r="E2440" s="10">
        <v>45971</v>
      </c>
      <c r="F2440" s="2">
        <v>45971</v>
      </c>
      <c r="G2440" s="3">
        <v>84</v>
      </c>
      <c r="H2440" s="4" t="s">
        <v>28</v>
      </c>
      <c r="I2440" s="28">
        <v>45</v>
      </c>
      <c r="J2440">
        <v>0</v>
      </c>
      <c r="K2440">
        <v>0</v>
      </c>
      <c r="L2440" s="3">
        <v>1</v>
      </c>
      <c r="M2440" s="3">
        <v>0</v>
      </c>
      <c r="N2440">
        <v>1</v>
      </c>
      <c r="O2440">
        <v>0</v>
      </c>
      <c r="P2440">
        <v>0</v>
      </c>
      <c r="Q2440">
        <v>0</v>
      </c>
      <c r="R2440" s="3">
        <v>0</v>
      </c>
      <c r="S2440" s="3">
        <v>0</v>
      </c>
      <c r="T2440">
        <v>0</v>
      </c>
      <c r="U2440">
        <v>0</v>
      </c>
      <c r="V2440" s="3">
        <v>0</v>
      </c>
      <c r="W2440" s="3">
        <v>0</v>
      </c>
      <c r="X2440">
        <v>0</v>
      </c>
      <c r="Y2440" t="s">
        <v>1959</v>
      </c>
    </row>
    <row r="2441" spans="1:25" hidden="1" x14ac:dyDescent="0.25">
      <c r="A2441" s="1" t="s">
        <v>54</v>
      </c>
      <c r="B2441" s="1" t="s">
        <v>122</v>
      </c>
      <c r="C2441" t="s">
        <v>52</v>
      </c>
      <c r="D2441" s="1" t="s">
        <v>27</v>
      </c>
      <c r="E2441" s="10">
        <v>45971</v>
      </c>
      <c r="F2441" s="2">
        <v>45971</v>
      </c>
      <c r="G2441" s="3">
        <v>44</v>
      </c>
      <c r="H2441" s="4" t="s">
        <v>28</v>
      </c>
      <c r="I2441" s="28">
        <v>46</v>
      </c>
      <c r="J2441">
        <v>0</v>
      </c>
      <c r="K2441">
        <v>0</v>
      </c>
      <c r="L2441" s="3">
        <v>0</v>
      </c>
      <c r="M2441" s="3">
        <v>0</v>
      </c>
      <c r="N2441">
        <v>0</v>
      </c>
      <c r="O2441">
        <v>0</v>
      </c>
      <c r="P2441">
        <v>0</v>
      </c>
      <c r="Q2441">
        <v>2</v>
      </c>
      <c r="R2441" s="3">
        <v>0</v>
      </c>
      <c r="S2441" s="3">
        <v>0</v>
      </c>
      <c r="T2441">
        <v>0</v>
      </c>
      <c r="U2441">
        <v>0</v>
      </c>
      <c r="V2441" s="3">
        <v>0</v>
      </c>
      <c r="W2441" s="3">
        <v>0</v>
      </c>
      <c r="X2441">
        <v>0</v>
      </c>
      <c r="Y2441" t="s">
        <v>1960</v>
      </c>
    </row>
    <row r="2442" spans="1:25" hidden="1" x14ac:dyDescent="0.25">
      <c r="A2442" s="1" t="s">
        <v>58</v>
      </c>
      <c r="B2442" s="1" t="s">
        <v>144</v>
      </c>
      <c r="C2442" s="1" t="s">
        <v>489</v>
      </c>
      <c r="D2442" s="1" t="s">
        <v>27</v>
      </c>
      <c r="E2442" s="10">
        <v>45971</v>
      </c>
      <c r="F2442" s="2">
        <v>45971</v>
      </c>
      <c r="G2442" s="3">
        <v>38</v>
      </c>
      <c r="H2442" s="4" t="s">
        <v>28</v>
      </c>
      <c r="I2442" s="28">
        <v>66</v>
      </c>
      <c r="J2442">
        <v>1</v>
      </c>
      <c r="K2442">
        <v>2</v>
      </c>
      <c r="L2442" s="3">
        <v>1</v>
      </c>
      <c r="M2442" s="3">
        <v>0</v>
      </c>
      <c r="N2442">
        <v>0</v>
      </c>
      <c r="O2442">
        <v>0</v>
      </c>
      <c r="P2442">
        <v>0</v>
      </c>
      <c r="Q2442">
        <v>45</v>
      </c>
      <c r="R2442" s="3">
        <v>0</v>
      </c>
      <c r="S2442" s="3">
        <v>0</v>
      </c>
      <c r="T2442">
        <v>0</v>
      </c>
      <c r="U2442">
        <v>0</v>
      </c>
      <c r="V2442" s="3">
        <v>0</v>
      </c>
      <c r="W2442" s="3">
        <v>0</v>
      </c>
      <c r="X2442">
        <v>1</v>
      </c>
      <c r="Y2442" t="s">
        <v>1961</v>
      </c>
    </row>
    <row r="2443" spans="1:25" hidden="1" x14ac:dyDescent="0.25">
      <c r="A2443" s="1" t="s">
        <v>27</v>
      </c>
      <c r="B2443" s="1" t="s">
        <v>106</v>
      </c>
      <c r="C2443" s="1" t="s">
        <v>46</v>
      </c>
      <c r="D2443" s="1" t="s">
        <v>27</v>
      </c>
      <c r="E2443" s="10">
        <v>45971</v>
      </c>
      <c r="F2443" s="2">
        <v>45971</v>
      </c>
      <c r="G2443" s="3">
        <v>39</v>
      </c>
      <c r="H2443" s="4" t="s">
        <v>1975</v>
      </c>
      <c r="I2443" s="28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1961</v>
      </c>
    </row>
    <row r="2444" spans="1:25" hidden="1" x14ac:dyDescent="0.25">
      <c r="A2444" s="1" t="s">
        <v>34</v>
      </c>
      <c r="B2444" s="1" t="s">
        <v>182</v>
      </c>
      <c r="C2444" s="1" t="s">
        <v>27</v>
      </c>
      <c r="D2444" s="1" t="s">
        <v>27</v>
      </c>
      <c r="E2444" s="10">
        <v>45971</v>
      </c>
      <c r="F2444" s="2">
        <v>45971</v>
      </c>
      <c r="G2444" s="3">
        <v>40</v>
      </c>
      <c r="H2444" s="4" t="s">
        <v>1448</v>
      </c>
      <c r="I2444" s="28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1961</v>
      </c>
    </row>
    <row r="2445" spans="1:25" hidden="1" x14ac:dyDescent="0.25">
      <c r="A2445" t="s">
        <v>27</v>
      </c>
      <c r="B2445" t="s">
        <v>184</v>
      </c>
      <c r="C2445" t="s">
        <v>55</v>
      </c>
      <c r="D2445" t="s">
        <v>27</v>
      </c>
      <c r="E2445" s="2">
        <v>45971</v>
      </c>
      <c r="F2445" s="2">
        <v>45971</v>
      </c>
      <c r="G2445" s="3">
        <v>41</v>
      </c>
      <c r="H2445" s="4" t="s">
        <v>1448</v>
      </c>
      <c r="I2445" s="28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1961</v>
      </c>
    </row>
    <row r="2446" spans="1:25" hidden="1" x14ac:dyDescent="0.25">
      <c r="A2446" t="s">
        <v>25</v>
      </c>
      <c r="B2446" t="s">
        <v>96</v>
      </c>
      <c r="C2446" t="s">
        <v>26</v>
      </c>
      <c r="D2446" t="s">
        <v>27</v>
      </c>
      <c r="E2446" s="2">
        <v>45972</v>
      </c>
      <c r="F2446" s="2">
        <v>45972</v>
      </c>
      <c r="G2446" s="3">
        <v>40</v>
      </c>
      <c r="H2446" s="4" t="s">
        <v>28</v>
      </c>
      <c r="I2446" s="28">
        <v>59</v>
      </c>
      <c r="J2446">
        <v>0</v>
      </c>
      <c r="K2446">
        <v>0</v>
      </c>
      <c r="L2446" s="3">
        <v>1</v>
      </c>
      <c r="M2446" s="3">
        <v>0</v>
      </c>
      <c r="N2446">
        <v>1</v>
      </c>
      <c r="O2446">
        <v>0</v>
      </c>
      <c r="P2446">
        <v>0</v>
      </c>
      <c r="Q2446">
        <v>0</v>
      </c>
      <c r="R2446" s="3">
        <v>0</v>
      </c>
      <c r="S2446" s="3">
        <v>0</v>
      </c>
      <c r="T2446">
        <v>0</v>
      </c>
      <c r="U2446">
        <v>0</v>
      </c>
      <c r="V2446" s="3">
        <v>0</v>
      </c>
      <c r="W2446" s="3">
        <v>0</v>
      </c>
      <c r="X2446">
        <v>0</v>
      </c>
      <c r="Y2446" t="s">
        <v>1962</v>
      </c>
    </row>
    <row r="2447" spans="1:25" hidden="1" x14ac:dyDescent="0.25">
      <c r="A2447" t="s">
        <v>56</v>
      </c>
      <c r="B2447" t="s">
        <v>98</v>
      </c>
      <c r="C2447" t="s">
        <v>438</v>
      </c>
      <c r="D2447" t="s">
        <v>27</v>
      </c>
      <c r="E2447" s="2">
        <v>45972</v>
      </c>
      <c r="F2447" s="2">
        <v>45972</v>
      </c>
      <c r="G2447" s="3">
        <v>38</v>
      </c>
      <c r="H2447" s="4" t="s">
        <v>28</v>
      </c>
      <c r="I2447" s="28">
        <v>35</v>
      </c>
      <c r="J2447">
        <v>0</v>
      </c>
      <c r="K2447">
        <v>0</v>
      </c>
      <c r="L2447" s="3">
        <v>1</v>
      </c>
      <c r="M2447" s="3">
        <v>0</v>
      </c>
      <c r="N2447">
        <v>0</v>
      </c>
      <c r="O2447">
        <v>0</v>
      </c>
      <c r="P2447">
        <v>0</v>
      </c>
      <c r="Q2447">
        <v>10</v>
      </c>
      <c r="R2447" s="3">
        <v>0</v>
      </c>
      <c r="S2447" s="3">
        <v>0</v>
      </c>
      <c r="T2447">
        <v>0</v>
      </c>
      <c r="U2447">
        <v>0</v>
      </c>
      <c r="V2447" s="3">
        <v>0</v>
      </c>
      <c r="W2447" s="3">
        <v>0</v>
      </c>
      <c r="X2447">
        <v>0</v>
      </c>
      <c r="Y2447" t="s">
        <v>1963</v>
      </c>
    </row>
    <row r="2448" spans="1:25" hidden="1" x14ac:dyDescent="0.25">
      <c r="A2448" s="1" t="s">
        <v>344</v>
      </c>
      <c r="B2448" s="1" t="s">
        <v>102</v>
      </c>
      <c r="C2448" s="1" t="s">
        <v>35</v>
      </c>
      <c r="D2448" s="1" t="s">
        <v>27</v>
      </c>
      <c r="E2448" s="2">
        <v>45972</v>
      </c>
      <c r="F2448" s="2">
        <v>45972</v>
      </c>
      <c r="G2448" s="3">
        <v>29</v>
      </c>
      <c r="H2448" s="4" t="s">
        <v>28</v>
      </c>
      <c r="I2448" s="28">
        <v>58</v>
      </c>
      <c r="J2448">
        <v>0</v>
      </c>
      <c r="K2448">
        <v>0</v>
      </c>
      <c r="L2448" s="3">
        <v>0</v>
      </c>
      <c r="M2448" s="3">
        <v>0</v>
      </c>
      <c r="N2448">
        <v>0</v>
      </c>
      <c r="O2448">
        <v>0</v>
      </c>
      <c r="P2448">
        <v>0</v>
      </c>
      <c r="Q2448">
        <v>0</v>
      </c>
      <c r="R2448" s="3">
        <v>0</v>
      </c>
      <c r="S2448" s="3">
        <v>0</v>
      </c>
      <c r="T2448">
        <v>0</v>
      </c>
      <c r="U2448">
        <v>0</v>
      </c>
      <c r="V2448" s="3">
        <v>0</v>
      </c>
      <c r="W2448" s="3">
        <v>0</v>
      </c>
      <c r="X2448">
        <v>0</v>
      </c>
      <c r="Y2448" t="s">
        <v>1887</v>
      </c>
    </row>
    <row r="2449" spans="1:25" hidden="1" x14ac:dyDescent="0.25">
      <c r="A2449" t="s">
        <v>29</v>
      </c>
      <c r="B2449" t="s">
        <v>100</v>
      </c>
      <c r="C2449" t="s">
        <v>95</v>
      </c>
      <c r="D2449" t="s">
        <v>27</v>
      </c>
      <c r="E2449" s="2">
        <v>45972</v>
      </c>
      <c r="F2449" s="2">
        <v>45972</v>
      </c>
      <c r="G2449" s="3">
        <v>46</v>
      </c>
      <c r="H2449" s="4" t="s">
        <v>28</v>
      </c>
      <c r="I2449" s="28">
        <v>50</v>
      </c>
      <c r="J2449">
        <v>0</v>
      </c>
      <c r="K2449">
        <v>0</v>
      </c>
      <c r="L2449" s="3">
        <v>0</v>
      </c>
      <c r="M2449" s="3">
        <v>0</v>
      </c>
      <c r="N2449">
        <v>0</v>
      </c>
      <c r="O2449">
        <v>0</v>
      </c>
      <c r="P2449">
        <v>0</v>
      </c>
      <c r="Q2449">
        <v>15</v>
      </c>
      <c r="R2449" s="3">
        <v>0</v>
      </c>
      <c r="S2449" s="3">
        <v>0</v>
      </c>
      <c r="T2449">
        <v>0</v>
      </c>
      <c r="U2449">
        <v>0</v>
      </c>
      <c r="V2449" s="3">
        <v>0</v>
      </c>
      <c r="W2449" s="3">
        <v>0</v>
      </c>
      <c r="X2449">
        <v>0</v>
      </c>
      <c r="Y2449" t="s">
        <v>1964</v>
      </c>
    </row>
    <row r="2450" spans="1:25" hidden="1" x14ac:dyDescent="0.25">
      <c r="A2450" t="s">
        <v>31</v>
      </c>
      <c r="B2450" t="s">
        <v>104</v>
      </c>
      <c r="C2450" t="s">
        <v>32</v>
      </c>
      <c r="D2450" t="s">
        <v>27</v>
      </c>
      <c r="E2450" s="2">
        <v>45972</v>
      </c>
      <c r="F2450" s="2">
        <v>45972</v>
      </c>
      <c r="G2450" s="3">
        <v>55</v>
      </c>
      <c r="H2450" s="4" t="s">
        <v>28</v>
      </c>
      <c r="I2450" s="28">
        <v>68</v>
      </c>
      <c r="J2450">
        <v>0</v>
      </c>
      <c r="K2450">
        <v>0</v>
      </c>
      <c r="L2450" s="3">
        <v>1</v>
      </c>
      <c r="M2450" s="3">
        <v>0</v>
      </c>
      <c r="N2450">
        <v>0</v>
      </c>
      <c r="O2450">
        <v>0</v>
      </c>
      <c r="P2450">
        <v>0</v>
      </c>
      <c r="Q2450">
        <v>42</v>
      </c>
      <c r="R2450" s="3">
        <v>0</v>
      </c>
      <c r="S2450" s="3">
        <v>0</v>
      </c>
      <c r="T2450">
        <v>0</v>
      </c>
      <c r="U2450">
        <v>0</v>
      </c>
      <c r="V2450" s="3">
        <v>0</v>
      </c>
      <c r="W2450" s="3">
        <v>0</v>
      </c>
      <c r="X2450">
        <v>7</v>
      </c>
      <c r="Y2450" t="s">
        <v>1965</v>
      </c>
    </row>
    <row r="2451" spans="1:25" hidden="1" x14ac:dyDescent="0.25">
      <c r="A2451" t="s">
        <v>38</v>
      </c>
      <c r="B2451" t="s">
        <v>108</v>
      </c>
      <c r="C2451" t="s">
        <v>27</v>
      </c>
      <c r="D2451" t="s">
        <v>27</v>
      </c>
      <c r="E2451" s="2">
        <v>45972</v>
      </c>
      <c r="F2451" s="2">
        <v>45972</v>
      </c>
      <c r="G2451" s="3">
        <v>42</v>
      </c>
      <c r="H2451" s="4" t="s">
        <v>28</v>
      </c>
      <c r="I2451" s="28">
        <v>48</v>
      </c>
      <c r="J2451">
        <v>0</v>
      </c>
      <c r="K2451">
        <v>0</v>
      </c>
      <c r="L2451" s="3">
        <v>0</v>
      </c>
      <c r="M2451" s="3">
        <v>0</v>
      </c>
      <c r="N2451">
        <v>0</v>
      </c>
      <c r="O2451">
        <v>0</v>
      </c>
      <c r="P2451">
        <v>0</v>
      </c>
      <c r="Q2451">
        <v>48</v>
      </c>
      <c r="R2451" s="3">
        <v>0</v>
      </c>
      <c r="S2451" s="3">
        <v>0</v>
      </c>
      <c r="T2451">
        <v>0</v>
      </c>
      <c r="U2451">
        <v>0</v>
      </c>
      <c r="V2451" s="3">
        <v>0</v>
      </c>
      <c r="W2451" s="3">
        <v>0</v>
      </c>
      <c r="X2451">
        <v>0</v>
      </c>
      <c r="Y2451" t="s">
        <v>1966</v>
      </c>
    </row>
    <row r="2452" spans="1:25" hidden="1" x14ac:dyDescent="0.25">
      <c r="A2452" t="s">
        <v>36</v>
      </c>
      <c r="B2452" t="s">
        <v>110</v>
      </c>
      <c r="C2452" t="s">
        <v>27</v>
      </c>
      <c r="D2452" t="s">
        <v>27</v>
      </c>
      <c r="E2452" s="2">
        <v>45971</v>
      </c>
      <c r="F2452" s="2">
        <v>45971</v>
      </c>
      <c r="G2452" s="3">
        <v>47</v>
      </c>
      <c r="H2452" s="4" t="s">
        <v>28</v>
      </c>
      <c r="I2452" s="28">
        <v>65</v>
      </c>
      <c r="J2452">
        <v>0</v>
      </c>
      <c r="K2452">
        <v>0</v>
      </c>
      <c r="L2452" s="3">
        <v>1</v>
      </c>
      <c r="M2452" s="3">
        <v>1</v>
      </c>
      <c r="N2452">
        <v>1</v>
      </c>
      <c r="O2452">
        <v>0</v>
      </c>
      <c r="P2452">
        <v>0</v>
      </c>
      <c r="Q2452">
        <v>0</v>
      </c>
      <c r="R2452" s="3">
        <v>0</v>
      </c>
      <c r="S2452" s="3">
        <v>0</v>
      </c>
      <c r="T2452">
        <v>0</v>
      </c>
      <c r="U2452">
        <v>0</v>
      </c>
      <c r="V2452" s="3">
        <v>0</v>
      </c>
      <c r="W2452" s="3">
        <v>0</v>
      </c>
      <c r="X2452">
        <v>0</v>
      </c>
      <c r="Y2452" t="s">
        <v>1967</v>
      </c>
    </row>
    <row r="2453" spans="1:25" hidden="1" x14ac:dyDescent="0.25">
      <c r="A2453" t="s">
        <v>41</v>
      </c>
      <c r="B2453" t="s">
        <v>112</v>
      </c>
      <c r="C2453" t="s">
        <v>42</v>
      </c>
      <c r="D2453" t="s">
        <v>27</v>
      </c>
      <c r="E2453" s="2">
        <v>45972</v>
      </c>
      <c r="F2453" s="2">
        <v>45972</v>
      </c>
      <c r="G2453" s="3">
        <v>49</v>
      </c>
      <c r="H2453" s="4" t="s">
        <v>28</v>
      </c>
      <c r="I2453" s="28">
        <v>42</v>
      </c>
      <c r="J2453">
        <v>0</v>
      </c>
      <c r="K2453">
        <v>0</v>
      </c>
      <c r="L2453" s="3">
        <v>1</v>
      </c>
      <c r="M2453" s="3">
        <v>0</v>
      </c>
      <c r="N2453">
        <v>0</v>
      </c>
      <c r="O2453">
        <v>0</v>
      </c>
      <c r="P2453">
        <v>0</v>
      </c>
      <c r="Q2453">
        <v>4</v>
      </c>
      <c r="R2453" s="3">
        <v>0</v>
      </c>
      <c r="S2453" s="3">
        <v>0</v>
      </c>
      <c r="T2453">
        <v>0</v>
      </c>
      <c r="U2453">
        <v>0</v>
      </c>
      <c r="V2453" s="3">
        <v>0</v>
      </c>
      <c r="W2453" s="3">
        <v>0</v>
      </c>
      <c r="X2453">
        <v>0</v>
      </c>
      <c r="Y2453" t="s">
        <v>1968</v>
      </c>
    </row>
    <row r="2454" spans="1:25" hidden="1" x14ac:dyDescent="0.25">
      <c r="A2454" t="s">
        <v>45</v>
      </c>
      <c r="B2454" t="s">
        <v>116</v>
      </c>
      <c r="C2454" t="s">
        <v>57</v>
      </c>
      <c r="D2454" t="s">
        <v>27</v>
      </c>
      <c r="E2454" s="2">
        <v>45972</v>
      </c>
      <c r="F2454" s="2">
        <v>45972</v>
      </c>
      <c r="G2454" s="3">
        <v>69</v>
      </c>
      <c r="H2454" s="4" t="s">
        <v>28</v>
      </c>
      <c r="I2454" s="28">
        <v>61</v>
      </c>
      <c r="J2454">
        <v>0</v>
      </c>
      <c r="K2454">
        <v>0</v>
      </c>
      <c r="L2454" s="3">
        <v>1</v>
      </c>
      <c r="M2454" s="3">
        <v>0</v>
      </c>
      <c r="N2454">
        <v>0</v>
      </c>
      <c r="O2454">
        <v>0</v>
      </c>
      <c r="P2454">
        <v>0</v>
      </c>
      <c r="Q2454">
        <v>0</v>
      </c>
      <c r="R2454" s="3">
        <v>0</v>
      </c>
      <c r="S2454" s="3">
        <v>0</v>
      </c>
      <c r="T2454">
        <v>0</v>
      </c>
      <c r="U2454">
        <v>0</v>
      </c>
      <c r="V2454" s="3">
        <v>0</v>
      </c>
      <c r="W2454" s="3">
        <v>0</v>
      </c>
      <c r="X2454">
        <v>0</v>
      </c>
      <c r="Y2454" t="s">
        <v>1969</v>
      </c>
    </row>
    <row r="2455" spans="1:25" hidden="1" x14ac:dyDescent="0.25">
      <c r="A2455" t="s">
        <v>47</v>
      </c>
      <c r="B2455" t="s">
        <v>137</v>
      </c>
      <c r="C2455" t="s">
        <v>27</v>
      </c>
      <c r="D2455" t="s">
        <v>27</v>
      </c>
      <c r="E2455" s="2">
        <v>45972</v>
      </c>
      <c r="F2455" s="2">
        <v>45972</v>
      </c>
      <c r="G2455" s="3">
        <v>28</v>
      </c>
      <c r="H2455" s="4" t="s">
        <v>28</v>
      </c>
      <c r="I2455" s="28">
        <v>63</v>
      </c>
      <c r="J2455">
        <v>5</v>
      </c>
      <c r="K2455">
        <v>0</v>
      </c>
      <c r="L2455" s="3">
        <v>1</v>
      </c>
      <c r="M2455" s="3">
        <v>0</v>
      </c>
      <c r="N2455">
        <v>0</v>
      </c>
      <c r="O2455">
        <v>0</v>
      </c>
      <c r="P2455">
        <v>0</v>
      </c>
      <c r="Q2455">
        <v>12</v>
      </c>
      <c r="R2455" s="3">
        <v>0</v>
      </c>
      <c r="S2455" s="3">
        <v>0</v>
      </c>
      <c r="T2455">
        <v>0</v>
      </c>
      <c r="U2455">
        <v>0</v>
      </c>
      <c r="V2455" s="3">
        <v>0</v>
      </c>
      <c r="W2455" s="3">
        <v>0</v>
      </c>
      <c r="X2455">
        <v>0</v>
      </c>
      <c r="Y2455" t="s">
        <v>1970</v>
      </c>
    </row>
    <row r="2456" spans="1:25" hidden="1" x14ac:dyDescent="0.25">
      <c r="A2456" t="s">
        <v>34</v>
      </c>
      <c r="B2456" t="s">
        <v>137</v>
      </c>
      <c r="C2456" t="s">
        <v>27</v>
      </c>
      <c r="D2456" t="s">
        <v>27</v>
      </c>
      <c r="E2456" s="2">
        <v>45972</v>
      </c>
      <c r="F2456" s="2">
        <v>45972</v>
      </c>
      <c r="G2456" s="3">
        <v>28</v>
      </c>
      <c r="H2456" s="4" t="s">
        <v>28</v>
      </c>
      <c r="I2456" s="28">
        <v>63</v>
      </c>
      <c r="J2456">
        <v>5</v>
      </c>
      <c r="K2456">
        <v>0</v>
      </c>
      <c r="L2456" s="3">
        <v>1</v>
      </c>
      <c r="M2456" s="3">
        <v>0</v>
      </c>
      <c r="N2456">
        <v>0</v>
      </c>
      <c r="O2456">
        <v>0</v>
      </c>
      <c r="P2456">
        <v>0</v>
      </c>
      <c r="Q2456">
        <v>12</v>
      </c>
      <c r="R2456" s="3">
        <v>0</v>
      </c>
      <c r="S2456" s="3">
        <v>0</v>
      </c>
      <c r="T2456">
        <v>0</v>
      </c>
      <c r="U2456">
        <v>0</v>
      </c>
      <c r="V2456" s="3">
        <v>0</v>
      </c>
      <c r="W2456" s="3">
        <v>0</v>
      </c>
      <c r="X2456">
        <v>0</v>
      </c>
      <c r="Y2456" t="s">
        <v>1970</v>
      </c>
    </row>
    <row r="2457" spans="1:25" hidden="1" x14ac:dyDescent="0.25">
      <c r="A2457" t="s">
        <v>49</v>
      </c>
      <c r="B2457" t="s">
        <v>118</v>
      </c>
      <c r="C2457" t="s">
        <v>50</v>
      </c>
      <c r="D2457" t="s">
        <v>27</v>
      </c>
      <c r="E2457" s="2">
        <v>45972</v>
      </c>
      <c r="F2457" s="2">
        <v>45972</v>
      </c>
      <c r="G2457" s="3">
        <v>45</v>
      </c>
      <c r="H2457" s="4" t="s">
        <v>28</v>
      </c>
      <c r="I2457" s="28">
        <v>53</v>
      </c>
      <c r="J2457">
        <v>0</v>
      </c>
      <c r="K2457">
        <v>0</v>
      </c>
      <c r="L2457" s="3">
        <v>1</v>
      </c>
      <c r="M2457" s="3">
        <v>1</v>
      </c>
      <c r="N2457">
        <v>0</v>
      </c>
      <c r="O2457">
        <v>1</v>
      </c>
      <c r="P2457">
        <v>0</v>
      </c>
      <c r="Q2457">
        <v>53</v>
      </c>
      <c r="R2457" s="3">
        <v>0</v>
      </c>
      <c r="S2457" s="3">
        <v>0</v>
      </c>
      <c r="T2457">
        <v>0</v>
      </c>
      <c r="U2457">
        <v>0</v>
      </c>
      <c r="V2457" s="3">
        <v>0</v>
      </c>
      <c r="W2457" s="3">
        <v>0</v>
      </c>
      <c r="X2457">
        <v>0</v>
      </c>
      <c r="Y2457" t="s">
        <v>1971</v>
      </c>
    </row>
    <row r="2458" spans="1:25" hidden="1" x14ac:dyDescent="0.25">
      <c r="A2458" t="s">
        <v>51</v>
      </c>
      <c r="B2458" t="s">
        <v>120</v>
      </c>
      <c r="C2458" t="s">
        <v>44</v>
      </c>
      <c r="D2458" t="s">
        <v>27</v>
      </c>
      <c r="E2458" s="2">
        <v>45972</v>
      </c>
      <c r="F2458" s="2">
        <v>45972</v>
      </c>
      <c r="G2458" s="3">
        <v>51</v>
      </c>
      <c r="H2458" s="4" t="s">
        <v>28</v>
      </c>
      <c r="I2458" s="28">
        <v>77</v>
      </c>
      <c r="J2458">
        <v>0</v>
      </c>
      <c r="K2458">
        <v>0</v>
      </c>
      <c r="L2458" s="3">
        <v>1</v>
      </c>
      <c r="M2458" s="3">
        <v>0</v>
      </c>
      <c r="N2458">
        <v>0</v>
      </c>
      <c r="O2458">
        <v>0</v>
      </c>
      <c r="P2458">
        <v>0</v>
      </c>
      <c r="Q2458">
        <v>0</v>
      </c>
      <c r="R2458" s="3">
        <v>0</v>
      </c>
      <c r="S2458" s="3">
        <v>0</v>
      </c>
      <c r="T2458">
        <v>0</v>
      </c>
      <c r="U2458">
        <v>0</v>
      </c>
      <c r="V2458" s="3">
        <v>0</v>
      </c>
      <c r="W2458" s="3">
        <v>0</v>
      </c>
      <c r="X2458">
        <v>0</v>
      </c>
      <c r="Y2458" t="s">
        <v>1972</v>
      </c>
    </row>
    <row r="2459" spans="1:25" hidden="1" x14ac:dyDescent="0.25">
      <c r="A2459" t="s">
        <v>54</v>
      </c>
      <c r="B2459" t="s">
        <v>122</v>
      </c>
      <c r="C2459" t="s">
        <v>52</v>
      </c>
      <c r="D2459" t="s">
        <v>27</v>
      </c>
      <c r="E2459" s="2">
        <v>45972</v>
      </c>
      <c r="F2459" s="2">
        <v>45972</v>
      </c>
      <c r="G2459" s="3">
        <v>44</v>
      </c>
      <c r="H2459" s="4" t="s">
        <v>28</v>
      </c>
      <c r="I2459" s="28">
        <v>57</v>
      </c>
      <c r="J2459">
        <v>0</v>
      </c>
      <c r="K2459">
        <v>0</v>
      </c>
      <c r="L2459" s="3">
        <v>0</v>
      </c>
      <c r="M2459" s="3">
        <v>0</v>
      </c>
      <c r="N2459">
        <v>0</v>
      </c>
      <c r="O2459">
        <v>0</v>
      </c>
      <c r="P2459">
        <v>0</v>
      </c>
      <c r="Q2459">
        <v>2</v>
      </c>
      <c r="R2459" s="3">
        <v>0</v>
      </c>
      <c r="S2459" s="3">
        <v>0</v>
      </c>
      <c r="T2459">
        <v>0</v>
      </c>
      <c r="U2459">
        <v>0</v>
      </c>
      <c r="V2459" s="3">
        <v>0</v>
      </c>
      <c r="W2459" s="3">
        <v>0</v>
      </c>
      <c r="X2459">
        <v>0</v>
      </c>
      <c r="Y2459" t="s">
        <v>1973</v>
      </c>
    </row>
    <row r="2460" spans="1:25" hidden="1" x14ac:dyDescent="0.25">
      <c r="A2460" t="s">
        <v>58</v>
      </c>
      <c r="B2460" t="s">
        <v>144</v>
      </c>
      <c r="C2460" t="s">
        <v>489</v>
      </c>
      <c r="D2460" t="s">
        <v>27</v>
      </c>
      <c r="E2460" s="2">
        <v>45972</v>
      </c>
      <c r="F2460" s="2">
        <v>45972</v>
      </c>
      <c r="G2460" s="3">
        <v>28</v>
      </c>
      <c r="H2460" s="4" t="s">
        <v>28</v>
      </c>
      <c r="I2460" s="28">
        <v>34</v>
      </c>
      <c r="J2460">
        <v>0</v>
      </c>
      <c r="K2460">
        <v>0</v>
      </c>
      <c r="L2460" s="3">
        <v>1</v>
      </c>
      <c r="M2460" s="3">
        <v>0</v>
      </c>
      <c r="N2460">
        <v>0</v>
      </c>
      <c r="O2460">
        <v>0</v>
      </c>
      <c r="P2460">
        <v>0</v>
      </c>
      <c r="Q2460">
        <v>12</v>
      </c>
      <c r="R2460" s="3">
        <v>0</v>
      </c>
      <c r="S2460" s="3">
        <v>0</v>
      </c>
      <c r="T2460">
        <v>0</v>
      </c>
      <c r="U2460">
        <v>0</v>
      </c>
      <c r="V2460" s="3">
        <v>0</v>
      </c>
      <c r="W2460" s="3">
        <v>0</v>
      </c>
      <c r="X2460">
        <v>0</v>
      </c>
      <c r="Y2460" t="s">
        <v>1974</v>
      </c>
    </row>
    <row r="2461" spans="1:25" hidden="1" x14ac:dyDescent="0.25">
      <c r="A2461" s="1" t="s">
        <v>43</v>
      </c>
      <c r="B2461" t="s">
        <v>106</v>
      </c>
      <c r="C2461" t="s">
        <v>27</v>
      </c>
      <c r="D2461" t="s">
        <v>27</v>
      </c>
      <c r="E2461" s="2">
        <v>45972</v>
      </c>
      <c r="F2461" s="2">
        <v>45972</v>
      </c>
      <c r="G2461" s="3">
        <v>29</v>
      </c>
      <c r="H2461" s="4" t="s">
        <v>28</v>
      </c>
      <c r="I2461" s="28">
        <v>50</v>
      </c>
      <c r="J2461">
        <v>0</v>
      </c>
      <c r="K2461">
        <v>0</v>
      </c>
      <c r="L2461" s="3">
        <v>1</v>
      </c>
      <c r="M2461" s="3">
        <v>0</v>
      </c>
      <c r="N2461">
        <v>0</v>
      </c>
      <c r="O2461">
        <v>0</v>
      </c>
      <c r="P2461">
        <v>0</v>
      </c>
      <c r="Q2461">
        <v>0</v>
      </c>
      <c r="R2461" s="3">
        <v>0</v>
      </c>
      <c r="S2461" s="3">
        <v>0</v>
      </c>
      <c r="T2461">
        <v>0</v>
      </c>
      <c r="U2461">
        <v>0</v>
      </c>
      <c r="V2461" s="3">
        <v>0</v>
      </c>
      <c r="W2461" s="3">
        <v>0</v>
      </c>
      <c r="X2461" s="3">
        <v>0</v>
      </c>
      <c r="Y2461" t="s">
        <v>1974</v>
      </c>
    </row>
    <row r="2462" spans="1:25" hidden="1" x14ac:dyDescent="0.25">
      <c r="A2462" t="s">
        <v>40</v>
      </c>
      <c r="B2462" t="s">
        <v>182</v>
      </c>
      <c r="C2462" t="s">
        <v>27</v>
      </c>
      <c r="D2462" t="s">
        <v>27</v>
      </c>
      <c r="E2462" s="2">
        <v>45972</v>
      </c>
      <c r="F2462" s="2">
        <v>45972</v>
      </c>
      <c r="G2462" s="3">
        <v>30</v>
      </c>
      <c r="H2462" s="4" t="s">
        <v>180</v>
      </c>
      <c r="I2462" s="28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1974</v>
      </c>
    </row>
    <row r="2463" spans="1:25" hidden="1" x14ac:dyDescent="0.25">
      <c r="A2463" t="s">
        <v>27</v>
      </c>
      <c r="B2463" t="s">
        <v>184</v>
      </c>
      <c r="C2463" t="s">
        <v>55</v>
      </c>
      <c r="D2463" t="s">
        <v>27</v>
      </c>
      <c r="E2463" s="2">
        <v>45972</v>
      </c>
      <c r="F2463" s="2">
        <v>45972</v>
      </c>
      <c r="G2463" s="3">
        <v>31</v>
      </c>
      <c r="H2463" s="4" t="s">
        <v>1120</v>
      </c>
      <c r="I2463" s="28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1974</v>
      </c>
    </row>
    <row r="2464" spans="1:25" hidden="1" x14ac:dyDescent="0.25">
      <c r="A2464" t="s">
        <v>37</v>
      </c>
      <c r="B2464" t="s">
        <v>186</v>
      </c>
      <c r="C2464" t="s">
        <v>27</v>
      </c>
      <c r="D2464" t="s">
        <v>27</v>
      </c>
      <c r="E2464" s="2">
        <v>45972</v>
      </c>
      <c r="F2464" s="2">
        <v>45972</v>
      </c>
      <c r="G2464" s="3">
        <v>32</v>
      </c>
      <c r="H2464" s="4" t="s">
        <v>1120</v>
      </c>
      <c r="I2464" s="28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1974</v>
      </c>
    </row>
    <row r="2465" spans="1:25" hidden="1" x14ac:dyDescent="0.25">
      <c r="A2465" t="s">
        <v>27</v>
      </c>
      <c r="B2465" t="s">
        <v>188</v>
      </c>
      <c r="C2465" t="s">
        <v>46</v>
      </c>
      <c r="D2465" t="s">
        <v>27</v>
      </c>
      <c r="E2465" s="2">
        <v>45972</v>
      </c>
      <c r="F2465" s="2">
        <v>45972</v>
      </c>
      <c r="G2465" s="3">
        <v>33</v>
      </c>
      <c r="H2465" s="4" t="s">
        <v>1975</v>
      </c>
      <c r="I2465" s="28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1974</v>
      </c>
    </row>
    <row r="2466" spans="1:25" hidden="1" x14ac:dyDescent="0.25">
      <c r="A2466" s="1" t="s">
        <v>25</v>
      </c>
      <c r="B2466" s="1" t="s">
        <v>96</v>
      </c>
      <c r="C2466" s="1" t="s">
        <v>26</v>
      </c>
      <c r="D2466" s="1" t="s">
        <v>27</v>
      </c>
      <c r="E2466" s="2">
        <v>45973</v>
      </c>
      <c r="F2466" s="2">
        <v>45973</v>
      </c>
      <c r="G2466" s="3">
        <v>35</v>
      </c>
      <c r="H2466" s="4" t="s">
        <v>28</v>
      </c>
      <c r="I2466" s="28">
        <v>101</v>
      </c>
      <c r="J2466">
        <v>0</v>
      </c>
      <c r="K2466">
        <v>0</v>
      </c>
      <c r="L2466" s="3">
        <v>1</v>
      </c>
      <c r="M2466" s="3">
        <v>0</v>
      </c>
      <c r="N2466">
        <v>1</v>
      </c>
      <c r="O2466">
        <v>0</v>
      </c>
      <c r="P2466">
        <v>0</v>
      </c>
      <c r="Q2466">
        <v>0</v>
      </c>
      <c r="R2466" s="3">
        <v>0</v>
      </c>
      <c r="S2466" s="3">
        <v>0</v>
      </c>
      <c r="T2466">
        <v>0</v>
      </c>
      <c r="U2466">
        <v>0</v>
      </c>
      <c r="V2466" s="3">
        <v>0</v>
      </c>
      <c r="W2466" s="3">
        <v>0</v>
      </c>
      <c r="X2466">
        <v>0</v>
      </c>
      <c r="Y2466" t="s">
        <v>1976</v>
      </c>
    </row>
    <row r="2467" spans="1:25" hidden="1" x14ac:dyDescent="0.25">
      <c r="A2467" s="1" t="s">
        <v>1843</v>
      </c>
      <c r="B2467" s="1" t="s">
        <v>1977</v>
      </c>
      <c r="C2467" s="1" t="s">
        <v>44</v>
      </c>
      <c r="D2467" s="1" t="s">
        <v>27</v>
      </c>
      <c r="E2467" s="2">
        <v>45973</v>
      </c>
      <c r="F2467" s="2">
        <v>45973</v>
      </c>
      <c r="G2467" s="3">
        <v>23</v>
      </c>
      <c r="H2467" s="4" t="s">
        <v>28</v>
      </c>
      <c r="I2467" s="28">
        <v>57</v>
      </c>
      <c r="J2467">
        <v>0</v>
      </c>
      <c r="K2467">
        <v>0</v>
      </c>
      <c r="L2467" s="3">
        <v>1</v>
      </c>
      <c r="M2467" s="3">
        <v>0</v>
      </c>
      <c r="N2467">
        <v>0</v>
      </c>
      <c r="O2467">
        <v>0</v>
      </c>
      <c r="P2467">
        <v>0</v>
      </c>
      <c r="Q2467">
        <v>0</v>
      </c>
      <c r="R2467" s="3">
        <v>0</v>
      </c>
      <c r="S2467" s="3">
        <v>0</v>
      </c>
      <c r="T2467">
        <v>0</v>
      </c>
      <c r="U2467">
        <v>0</v>
      </c>
      <c r="V2467" s="3">
        <v>0</v>
      </c>
      <c r="W2467" s="3">
        <v>0</v>
      </c>
      <c r="X2467">
        <v>0</v>
      </c>
      <c r="Y2467" t="s">
        <v>1978</v>
      </c>
    </row>
    <row r="2468" spans="1:25" hidden="1" x14ac:dyDescent="0.25">
      <c r="A2468" s="1" t="s">
        <v>56</v>
      </c>
      <c r="B2468" s="1" t="s">
        <v>98</v>
      </c>
      <c r="C2468" s="1" t="s">
        <v>37</v>
      </c>
      <c r="D2468" s="1" t="s">
        <v>27</v>
      </c>
      <c r="E2468" s="2">
        <v>45973</v>
      </c>
      <c r="F2468" s="2">
        <v>45973</v>
      </c>
      <c r="G2468" s="3">
        <v>29</v>
      </c>
      <c r="H2468" s="4" t="s">
        <v>28</v>
      </c>
      <c r="I2468" s="28">
        <v>65</v>
      </c>
      <c r="J2468">
        <v>0</v>
      </c>
      <c r="K2468">
        <v>0</v>
      </c>
      <c r="L2468" s="3">
        <v>1</v>
      </c>
      <c r="M2468" s="3">
        <v>0</v>
      </c>
      <c r="N2468">
        <v>0</v>
      </c>
      <c r="O2468">
        <v>0</v>
      </c>
      <c r="P2468">
        <v>0</v>
      </c>
      <c r="Q2468">
        <v>10</v>
      </c>
      <c r="R2468" s="3">
        <v>0</v>
      </c>
      <c r="S2468" s="3">
        <v>0</v>
      </c>
      <c r="T2468">
        <v>0</v>
      </c>
      <c r="U2468">
        <v>0</v>
      </c>
      <c r="V2468" s="3">
        <v>0</v>
      </c>
      <c r="W2468" s="3">
        <v>0</v>
      </c>
      <c r="X2468">
        <v>0</v>
      </c>
      <c r="Y2468" t="s">
        <v>1979</v>
      </c>
    </row>
    <row r="2469" spans="1:25" hidden="1" x14ac:dyDescent="0.25">
      <c r="A2469" s="1" t="s">
        <v>29</v>
      </c>
      <c r="B2469" s="1" t="s">
        <v>100</v>
      </c>
      <c r="C2469" s="1" t="s">
        <v>95</v>
      </c>
      <c r="D2469" s="1" t="s">
        <v>27</v>
      </c>
      <c r="E2469" s="2">
        <v>45973</v>
      </c>
      <c r="F2469" s="2">
        <v>45973</v>
      </c>
      <c r="G2469" s="3">
        <v>50</v>
      </c>
      <c r="H2469" s="4" t="s">
        <v>28</v>
      </c>
      <c r="I2469" s="28">
        <v>35</v>
      </c>
      <c r="J2469">
        <v>0</v>
      </c>
      <c r="K2469">
        <v>0</v>
      </c>
      <c r="L2469" s="3">
        <v>1</v>
      </c>
      <c r="M2469" s="3">
        <v>0</v>
      </c>
      <c r="N2469">
        <v>0</v>
      </c>
      <c r="O2469">
        <v>0</v>
      </c>
      <c r="P2469">
        <v>0</v>
      </c>
      <c r="Q2469">
        <v>12</v>
      </c>
      <c r="R2469" s="3">
        <v>0</v>
      </c>
      <c r="S2469" s="3">
        <v>0</v>
      </c>
      <c r="T2469">
        <v>0</v>
      </c>
      <c r="U2469">
        <v>0</v>
      </c>
      <c r="V2469" s="3">
        <v>0</v>
      </c>
      <c r="W2469" s="3">
        <v>0</v>
      </c>
      <c r="X2469">
        <v>0</v>
      </c>
      <c r="Y2469" t="s">
        <v>1980</v>
      </c>
    </row>
    <row r="2470" spans="1:25" hidden="1" x14ac:dyDescent="0.25">
      <c r="A2470" s="1" t="s">
        <v>344</v>
      </c>
      <c r="B2470" s="1" t="s">
        <v>102</v>
      </c>
      <c r="C2470" s="1" t="s">
        <v>35</v>
      </c>
      <c r="D2470" s="1" t="s">
        <v>27</v>
      </c>
      <c r="E2470" s="2">
        <v>45973</v>
      </c>
      <c r="F2470" s="2">
        <v>45973</v>
      </c>
      <c r="G2470" s="3">
        <v>29</v>
      </c>
      <c r="H2470" s="4" t="s">
        <v>28</v>
      </c>
      <c r="I2470" s="28">
        <v>26</v>
      </c>
      <c r="J2470">
        <v>0</v>
      </c>
      <c r="K2470">
        <v>0</v>
      </c>
      <c r="L2470" s="3">
        <v>0</v>
      </c>
      <c r="M2470" s="3">
        <v>0</v>
      </c>
      <c r="N2470">
        <v>0</v>
      </c>
      <c r="O2470">
        <v>0</v>
      </c>
      <c r="P2470">
        <v>0</v>
      </c>
      <c r="Q2470">
        <v>0</v>
      </c>
      <c r="R2470" s="3">
        <v>0</v>
      </c>
      <c r="S2470" s="3">
        <v>0</v>
      </c>
      <c r="T2470">
        <v>0</v>
      </c>
      <c r="U2470">
        <v>0</v>
      </c>
      <c r="V2470" s="3">
        <v>0</v>
      </c>
      <c r="W2470" s="3">
        <v>0</v>
      </c>
      <c r="X2470">
        <v>0</v>
      </c>
      <c r="Y2470" t="s">
        <v>1887</v>
      </c>
    </row>
    <row r="2471" spans="1:25" hidden="1" x14ac:dyDescent="0.25">
      <c r="A2471" s="1" t="s">
        <v>31</v>
      </c>
      <c r="B2471" s="1" t="s">
        <v>104</v>
      </c>
      <c r="C2471" s="1" t="s">
        <v>32</v>
      </c>
      <c r="D2471" s="1" t="s">
        <v>27</v>
      </c>
      <c r="E2471" s="2">
        <v>45973</v>
      </c>
      <c r="F2471" s="2">
        <v>45973</v>
      </c>
      <c r="G2471" s="3">
        <v>64</v>
      </c>
      <c r="H2471" s="4" t="s">
        <v>28</v>
      </c>
      <c r="I2471" s="28">
        <v>158</v>
      </c>
      <c r="J2471">
        <v>0</v>
      </c>
      <c r="K2471">
        <v>0</v>
      </c>
      <c r="L2471" s="3">
        <v>1</v>
      </c>
      <c r="M2471" s="3">
        <v>0</v>
      </c>
      <c r="N2471">
        <v>0</v>
      </c>
      <c r="O2471">
        <v>0</v>
      </c>
      <c r="P2471">
        <v>0</v>
      </c>
      <c r="Q2471">
        <v>40</v>
      </c>
      <c r="R2471" s="3">
        <v>0</v>
      </c>
      <c r="S2471" s="3">
        <v>0</v>
      </c>
      <c r="T2471">
        <v>0</v>
      </c>
      <c r="U2471">
        <v>0</v>
      </c>
      <c r="V2471" s="3">
        <v>0</v>
      </c>
      <c r="W2471" s="3">
        <v>0</v>
      </c>
      <c r="X2471">
        <v>13</v>
      </c>
      <c r="Y2471" t="s">
        <v>1981</v>
      </c>
    </row>
    <row r="2472" spans="1:25" hidden="1" x14ac:dyDescent="0.25">
      <c r="A2472" t="s">
        <v>36</v>
      </c>
      <c r="B2472" t="s">
        <v>110</v>
      </c>
      <c r="C2472" t="s">
        <v>27</v>
      </c>
      <c r="D2472" t="s">
        <v>27</v>
      </c>
      <c r="E2472" s="2">
        <v>45972</v>
      </c>
      <c r="F2472" s="2">
        <v>45972</v>
      </c>
      <c r="G2472" s="3">
        <v>47</v>
      </c>
      <c r="H2472" s="4" t="s">
        <v>28</v>
      </c>
      <c r="I2472" s="28">
        <v>53</v>
      </c>
      <c r="J2472">
        <v>0</v>
      </c>
      <c r="K2472">
        <v>0</v>
      </c>
      <c r="L2472" s="3">
        <v>1</v>
      </c>
      <c r="M2472" s="3">
        <v>1</v>
      </c>
      <c r="N2472">
        <v>1</v>
      </c>
      <c r="O2472">
        <v>0</v>
      </c>
      <c r="P2472">
        <v>0</v>
      </c>
      <c r="Q2472">
        <v>0</v>
      </c>
      <c r="R2472" s="3">
        <v>0</v>
      </c>
      <c r="S2472" s="3">
        <v>0</v>
      </c>
      <c r="T2472">
        <v>0</v>
      </c>
      <c r="U2472">
        <v>0</v>
      </c>
      <c r="V2472" s="3">
        <v>0</v>
      </c>
      <c r="W2472" s="3">
        <v>0</v>
      </c>
      <c r="X2472">
        <v>0</v>
      </c>
      <c r="Y2472" t="s">
        <v>1967</v>
      </c>
    </row>
    <row r="2473" spans="1:25" hidden="1" x14ac:dyDescent="0.25">
      <c r="A2473" s="1" t="s">
        <v>33</v>
      </c>
      <c r="B2473" s="1" t="s">
        <v>106</v>
      </c>
      <c r="C2473" s="1" t="s">
        <v>27</v>
      </c>
      <c r="D2473" s="1" t="s">
        <v>27</v>
      </c>
      <c r="E2473" s="2">
        <v>45972</v>
      </c>
      <c r="F2473" s="2">
        <v>45972</v>
      </c>
      <c r="G2473" s="3">
        <v>110</v>
      </c>
      <c r="H2473" s="4" t="s">
        <v>28</v>
      </c>
      <c r="I2473" s="28">
        <v>53</v>
      </c>
      <c r="J2473">
        <v>0</v>
      </c>
      <c r="K2473">
        <v>0</v>
      </c>
      <c r="L2473" s="3">
        <v>1</v>
      </c>
      <c r="M2473" s="3">
        <v>0</v>
      </c>
      <c r="N2473">
        <v>1</v>
      </c>
      <c r="O2473">
        <v>0</v>
      </c>
      <c r="P2473">
        <v>0</v>
      </c>
      <c r="Q2473">
        <f>20+6</f>
        <v>26</v>
      </c>
      <c r="R2473" s="3">
        <v>0</v>
      </c>
      <c r="S2473" s="3">
        <v>0</v>
      </c>
      <c r="T2473">
        <v>0</v>
      </c>
      <c r="U2473">
        <v>0</v>
      </c>
      <c r="V2473" s="3">
        <v>0</v>
      </c>
      <c r="W2473" s="3">
        <v>0</v>
      </c>
      <c r="X2473">
        <v>0</v>
      </c>
      <c r="Y2473" t="s">
        <v>1982</v>
      </c>
    </row>
    <row r="2474" spans="1:25" hidden="1" x14ac:dyDescent="0.25">
      <c r="A2474" s="1" t="s">
        <v>38</v>
      </c>
      <c r="B2474" s="1" t="s">
        <v>108</v>
      </c>
      <c r="C2474" s="1" t="s">
        <v>27</v>
      </c>
      <c r="D2474" s="1" t="s">
        <v>27</v>
      </c>
      <c r="E2474" s="2">
        <v>45973</v>
      </c>
      <c r="F2474" s="2">
        <v>45973</v>
      </c>
      <c r="G2474" s="3">
        <v>40</v>
      </c>
      <c r="H2474" s="4" t="s">
        <v>28</v>
      </c>
      <c r="I2474" s="28">
        <v>60</v>
      </c>
      <c r="J2474">
        <v>0</v>
      </c>
      <c r="K2474">
        <v>0</v>
      </c>
      <c r="L2474" s="3">
        <v>0</v>
      </c>
      <c r="M2474" s="3">
        <v>0</v>
      </c>
      <c r="N2474">
        <v>0</v>
      </c>
      <c r="O2474">
        <v>0</v>
      </c>
      <c r="P2474">
        <v>0</v>
      </c>
      <c r="Q2474">
        <v>60</v>
      </c>
      <c r="R2474" s="3">
        <v>0</v>
      </c>
      <c r="S2474" s="3">
        <v>0</v>
      </c>
      <c r="T2474">
        <v>0</v>
      </c>
      <c r="U2474">
        <v>0</v>
      </c>
      <c r="V2474" s="3">
        <v>0</v>
      </c>
      <c r="W2474" s="3">
        <v>0</v>
      </c>
      <c r="X2474">
        <v>0</v>
      </c>
      <c r="Y2474" t="s">
        <v>1983</v>
      </c>
    </row>
    <row r="2475" spans="1:25" hidden="1" x14ac:dyDescent="0.25">
      <c r="A2475" s="1" t="s">
        <v>40</v>
      </c>
      <c r="B2475" s="1" t="s">
        <v>110</v>
      </c>
      <c r="C2475" s="1" t="s">
        <v>27</v>
      </c>
      <c r="D2475" s="1" t="s">
        <v>27</v>
      </c>
      <c r="E2475" s="2">
        <v>45973</v>
      </c>
      <c r="F2475" s="2">
        <v>45973</v>
      </c>
      <c r="G2475" s="3">
        <v>98</v>
      </c>
      <c r="H2475" s="4" t="s">
        <v>28</v>
      </c>
      <c r="I2475" s="28">
        <v>145</v>
      </c>
      <c r="J2475">
        <v>0</v>
      </c>
      <c r="K2475">
        <v>0</v>
      </c>
      <c r="L2475" s="3">
        <v>1</v>
      </c>
      <c r="M2475" s="3">
        <v>0</v>
      </c>
      <c r="N2475">
        <v>1</v>
      </c>
      <c r="O2475">
        <v>0</v>
      </c>
      <c r="P2475">
        <v>0</v>
      </c>
      <c r="Q2475">
        <v>11</v>
      </c>
      <c r="R2475" s="3">
        <v>0</v>
      </c>
      <c r="S2475" s="3">
        <v>0</v>
      </c>
      <c r="T2475">
        <v>0</v>
      </c>
      <c r="U2475">
        <v>0</v>
      </c>
      <c r="V2475" s="3">
        <v>0</v>
      </c>
      <c r="W2475" s="3">
        <v>0</v>
      </c>
      <c r="X2475">
        <v>6</v>
      </c>
      <c r="Y2475" t="s">
        <v>1984</v>
      </c>
    </row>
    <row r="2476" spans="1:25" hidden="1" x14ac:dyDescent="0.25">
      <c r="A2476" s="1" t="s">
        <v>36</v>
      </c>
      <c r="B2476" s="1" t="s">
        <v>110</v>
      </c>
      <c r="C2476" s="1" t="s">
        <v>27</v>
      </c>
      <c r="D2476" s="1" t="s">
        <v>27</v>
      </c>
      <c r="E2476" s="2">
        <v>45973</v>
      </c>
      <c r="F2476" s="2">
        <v>45973</v>
      </c>
      <c r="G2476" s="3">
        <v>98</v>
      </c>
      <c r="H2476" s="4" t="s">
        <v>28</v>
      </c>
      <c r="I2476" s="28">
        <v>145</v>
      </c>
      <c r="J2476">
        <v>0</v>
      </c>
      <c r="K2476">
        <v>0</v>
      </c>
      <c r="L2476" s="3">
        <v>1</v>
      </c>
      <c r="M2476" s="3">
        <v>0</v>
      </c>
      <c r="N2476">
        <v>1</v>
      </c>
      <c r="O2476">
        <v>0</v>
      </c>
      <c r="P2476">
        <v>0</v>
      </c>
      <c r="Q2476">
        <v>11</v>
      </c>
      <c r="R2476" s="3">
        <v>0</v>
      </c>
      <c r="S2476" s="3">
        <v>0</v>
      </c>
      <c r="T2476">
        <v>0</v>
      </c>
      <c r="U2476">
        <v>0</v>
      </c>
      <c r="V2476" s="3">
        <v>0</v>
      </c>
      <c r="W2476" s="3">
        <v>0</v>
      </c>
      <c r="X2476">
        <v>6</v>
      </c>
      <c r="Y2476" t="s">
        <v>1984</v>
      </c>
    </row>
    <row r="2477" spans="1:25" hidden="1" x14ac:dyDescent="0.25">
      <c r="A2477" s="1" t="s">
        <v>41</v>
      </c>
      <c r="B2477" s="1" t="s">
        <v>112</v>
      </c>
      <c r="C2477" s="1" t="s">
        <v>42</v>
      </c>
      <c r="D2477" s="1" t="s">
        <v>27</v>
      </c>
      <c r="E2477" s="2">
        <v>45973</v>
      </c>
      <c r="F2477" s="2">
        <v>45973</v>
      </c>
      <c r="G2477" s="3">
        <v>69</v>
      </c>
      <c r="H2477" s="4" t="s">
        <v>28</v>
      </c>
      <c r="I2477" s="28">
        <v>43</v>
      </c>
      <c r="J2477">
        <v>0</v>
      </c>
      <c r="K2477">
        <v>0</v>
      </c>
      <c r="L2477" s="3">
        <v>1</v>
      </c>
      <c r="M2477" s="3">
        <v>0</v>
      </c>
      <c r="N2477">
        <v>0</v>
      </c>
      <c r="O2477">
        <v>0</v>
      </c>
      <c r="P2477">
        <v>0</v>
      </c>
      <c r="Q2477">
        <v>0</v>
      </c>
      <c r="R2477" s="3">
        <v>0</v>
      </c>
      <c r="S2477" s="3">
        <v>0</v>
      </c>
      <c r="T2477">
        <v>0</v>
      </c>
      <c r="U2477">
        <v>0</v>
      </c>
      <c r="V2477" s="3">
        <v>0</v>
      </c>
      <c r="W2477" s="3">
        <v>0</v>
      </c>
      <c r="X2477">
        <v>0</v>
      </c>
      <c r="Y2477" t="s">
        <v>1985</v>
      </c>
    </row>
    <row r="2478" spans="1:25" hidden="1" x14ac:dyDescent="0.25">
      <c r="A2478" s="1" t="s">
        <v>45</v>
      </c>
      <c r="B2478" s="1" t="s">
        <v>116</v>
      </c>
      <c r="C2478" s="1" t="s">
        <v>1316</v>
      </c>
      <c r="D2478" s="1" t="s">
        <v>27</v>
      </c>
      <c r="E2478" s="2">
        <v>45973</v>
      </c>
      <c r="F2478" s="2">
        <v>45973</v>
      </c>
      <c r="G2478" s="3">
        <v>55</v>
      </c>
      <c r="H2478" s="4" t="s">
        <v>28</v>
      </c>
      <c r="I2478" s="28">
        <v>71</v>
      </c>
      <c r="J2478">
        <v>0</v>
      </c>
      <c r="K2478">
        <v>0</v>
      </c>
      <c r="L2478" s="3">
        <v>1</v>
      </c>
      <c r="M2478" s="3">
        <v>0</v>
      </c>
      <c r="N2478">
        <v>0</v>
      </c>
      <c r="O2478">
        <v>0</v>
      </c>
      <c r="P2478">
        <v>0</v>
      </c>
      <c r="Q2478">
        <v>0</v>
      </c>
      <c r="R2478" s="3">
        <v>0</v>
      </c>
      <c r="S2478" s="3">
        <v>0</v>
      </c>
      <c r="T2478">
        <v>0</v>
      </c>
      <c r="U2478">
        <v>0</v>
      </c>
      <c r="V2478" s="3">
        <v>0</v>
      </c>
      <c r="W2478" s="3">
        <v>0</v>
      </c>
      <c r="X2478">
        <v>0</v>
      </c>
      <c r="Y2478" t="s">
        <v>1986</v>
      </c>
    </row>
    <row r="2479" spans="1:25" hidden="1" x14ac:dyDescent="0.25">
      <c r="A2479" s="1" t="s">
        <v>47</v>
      </c>
      <c r="B2479" s="1" t="s">
        <v>137</v>
      </c>
      <c r="C2479" s="1" t="s">
        <v>27</v>
      </c>
      <c r="D2479" s="1" t="s">
        <v>27</v>
      </c>
      <c r="E2479" s="2">
        <v>45973</v>
      </c>
      <c r="F2479" s="2">
        <v>45973</v>
      </c>
      <c r="G2479" s="3">
        <v>32</v>
      </c>
      <c r="H2479" s="4" t="s">
        <v>28</v>
      </c>
      <c r="I2479" s="28">
        <v>125</v>
      </c>
      <c r="J2479">
        <v>0</v>
      </c>
      <c r="K2479">
        <v>0</v>
      </c>
      <c r="L2479" s="3">
        <v>1</v>
      </c>
      <c r="M2479" s="3">
        <v>0</v>
      </c>
      <c r="N2479">
        <v>0</v>
      </c>
      <c r="O2479">
        <v>0</v>
      </c>
      <c r="P2479">
        <v>0</v>
      </c>
      <c r="Q2479">
        <v>25</v>
      </c>
      <c r="R2479" s="3">
        <v>0</v>
      </c>
      <c r="S2479" s="3">
        <v>0</v>
      </c>
      <c r="T2479">
        <v>0</v>
      </c>
      <c r="U2479">
        <v>0</v>
      </c>
      <c r="V2479" s="3">
        <v>0</v>
      </c>
      <c r="W2479" s="3">
        <v>0</v>
      </c>
      <c r="X2479">
        <v>7</v>
      </c>
      <c r="Y2479" t="s">
        <v>1987</v>
      </c>
    </row>
    <row r="2480" spans="1:25" hidden="1" x14ac:dyDescent="0.25">
      <c r="A2480" s="1" t="s">
        <v>34</v>
      </c>
      <c r="B2480" s="1" t="s">
        <v>137</v>
      </c>
      <c r="C2480" s="1" t="s">
        <v>27</v>
      </c>
      <c r="D2480" s="1" t="s">
        <v>27</v>
      </c>
      <c r="E2480" s="2">
        <v>45973</v>
      </c>
      <c r="F2480" s="2">
        <v>45973</v>
      </c>
      <c r="G2480" s="3">
        <v>32</v>
      </c>
      <c r="H2480" s="4" t="s">
        <v>28</v>
      </c>
      <c r="I2480" s="28">
        <v>125</v>
      </c>
      <c r="J2480">
        <v>0</v>
      </c>
      <c r="K2480">
        <v>0</v>
      </c>
      <c r="L2480" s="3">
        <v>1</v>
      </c>
      <c r="M2480" s="3">
        <v>0</v>
      </c>
      <c r="N2480">
        <v>0</v>
      </c>
      <c r="O2480">
        <v>0</v>
      </c>
      <c r="P2480">
        <v>0</v>
      </c>
      <c r="Q2480">
        <v>25</v>
      </c>
      <c r="R2480" s="3">
        <v>0</v>
      </c>
      <c r="S2480" s="3">
        <v>0</v>
      </c>
      <c r="T2480">
        <v>0</v>
      </c>
      <c r="U2480">
        <v>0</v>
      </c>
      <c r="V2480" s="3">
        <v>0</v>
      </c>
      <c r="W2480" s="3">
        <v>0</v>
      </c>
      <c r="X2480">
        <v>7</v>
      </c>
      <c r="Y2480" t="s">
        <v>1987</v>
      </c>
    </row>
    <row r="2481" spans="1:25" hidden="1" x14ac:dyDescent="0.25">
      <c r="A2481" s="1" t="s">
        <v>49</v>
      </c>
      <c r="B2481" s="1" t="s">
        <v>118</v>
      </c>
      <c r="C2481" s="1" t="s">
        <v>50</v>
      </c>
      <c r="D2481" s="1" t="s">
        <v>27</v>
      </c>
      <c r="E2481" s="2">
        <v>45973</v>
      </c>
      <c r="F2481" s="2">
        <v>45973</v>
      </c>
      <c r="G2481" s="3">
        <v>31</v>
      </c>
      <c r="H2481" s="4" t="s">
        <v>28</v>
      </c>
      <c r="I2481" s="28">
        <v>42</v>
      </c>
      <c r="J2481">
        <v>0</v>
      </c>
      <c r="K2481">
        <v>0</v>
      </c>
      <c r="L2481" s="3">
        <v>1</v>
      </c>
      <c r="M2481" s="3">
        <v>1</v>
      </c>
      <c r="N2481">
        <v>0</v>
      </c>
      <c r="O2481">
        <v>0</v>
      </c>
      <c r="P2481">
        <v>0</v>
      </c>
      <c r="Q2481">
        <v>42</v>
      </c>
      <c r="R2481" s="3">
        <v>0</v>
      </c>
      <c r="S2481" s="3">
        <v>0</v>
      </c>
      <c r="T2481">
        <v>0</v>
      </c>
      <c r="U2481">
        <v>0</v>
      </c>
      <c r="V2481" s="3">
        <v>0</v>
      </c>
      <c r="W2481" s="3">
        <v>0</v>
      </c>
      <c r="X2481">
        <v>0</v>
      </c>
      <c r="Y2481" t="s">
        <v>1988</v>
      </c>
    </row>
    <row r="2482" spans="1:25" hidden="1" x14ac:dyDescent="0.25">
      <c r="A2482" s="1" t="s">
        <v>51</v>
      </c>
      <c r="B2482" s="1" t="s">
        <v>120</v>
      </c>
      <c r="C2482" s="1" t="s">
        <v>57</v>
      </c>
      <c r="D2482" s="1" t="s">
        <v>27</v>
      </c>
      <c r="E2482" s="2">
        <v>45973</v>
      </c>
      <c r="F2482" s="2">
        <v>45973</v>
      </c>
      <c r="G2482" s="3">
        <v>57</v>
      </c>
      <c r="H2482" s="4" t="s">
        <v>28</v>
      </c>
      <c r="I2482" s="28">
        <v>48</v>
      </c>
      <c r="J2482">
        <v>0</v>
      </c>
      <c r="K2482">
        <v>0</v>
      </c>
      <c r="L2482" s="3">
        <v>1</v>
      </c>
      <c r="M2482" s="3">
        <v>0</v>
      </c>
      <c r="N2482">
        <v>1</v>
      </c>
      <c r="O2482">
        <v>0</v>
      </c>
      <c r="P2482">
        <v>0</v>
      </c>
      <c r="Q2482">
        <v>0</v>
      </c>
      <c r="R2482" s="3">
        <v>0</v>
      </c>
      <c r="S2482" s="3">
        <v>0</v>
      </c>
      <c r="T2482">
        <v>0</v>
      </c>
      <c r="U2482">
        <v>0</v>
      </c>
      <c r="V2482" s="3">
        <v>0</v>
      </c>
      <c r="W2482" s="3">
        <v>0</v>
      </c>
      <c r="X2482">
        <v>0</v>
      </c>
      <c r="Y2482" t="s">
        <v>1989</v>
      </c>
    </row>
    <row r="2483" spans="1:25" hidden="1" x14ac:dyDescent="0.25">
      <c r="A2483" s="1" t="s">
        <v>58</v>
      </c>
      <c r="B2483" s="1" t="s">
        <v>144</v>
      </c>
      <c r="C2483" s="1" t="s">
        <v>489</v>
      </c>
      <c r="D2483" s="1" t="s">
        <v>27</v>
      </c>
      <c r="E2483" s="2">
        <v>45973</v>
      </c>
      <c r="F2483" s="2">
        <v>45973</v>
      </c>
      <c r="G2483" s="3">
        <v>27</v>
      </c>
      <c r="H2483" s="4" t="s">
        <v>28</v>
      </c>
      <c r="I2483" s="28">
        <v>70</v>
      </c>
      <c r="J2483">
        <v>0</v>
      </c>
      <c r="K2483">
        <v>0</v>
      </c>
      <c r="L2483" s="3">
        <v>1</v>
      </c>
      <c r="M2483" s="3">
        <v>0</v>
      </c>
      <c r="N2483">
        <v>0</v>
      </c>
      <c r="O2483">
        <v>0</v>
      </c>
      <c r="P2483">
        <v>0</v>
      </c>
      <c r="Q2483">
        <v>35</v>
      </c>
      <c r="R2483" s="3">
        <v>0</v>
      </c>
      <c r="S2483" s="3">
        <v>0</v>
      </c>
      <c r="T2483">
        <v>0</v>
      </c>
      <c r="U2483">
        <v>0</v>
      </c>
      <c r="V2483" s="3">
        <v>0</v>
      </c>
      <c r="W2483" s="3">
        <v>0</v>
      </c>
      <c r="X2483">
        <v>1</v>
      </c>
      <c r="Y2483" t="s">
        <v>1990</v>
      </c>
    </row>
    <row r="2484" spans="1:25" hidden="1" x14ac:dyDescent="0.25">
      <c r="A2484" s="1" t="s">
        <v>54</v>
      </c>
      <c r="B2484" s="1" t="s">
        <v>122</v>
      </c>
      <c r="C2484" t="s">
        <v>52</v>
      </c>
      <c r="D2484" s="1" t="s">
        <v>27</v>
      </c>
      <c r="E2484" s="2">
        <v>45973</v>
      </c>
      <c r="F2484" s="2">
        <v>45973</v>
      </c>
      <c r="G2484" s="3">
        <v>44</v>
      </c>
      <c r="H2484" s="4" t="s">
        <v>28</v>
      </c>
      <c r="I2484" s="28">
        <v>57</v>
      </c>
      <c r="J2484">
        <v>0</v>
      </c>
      <c r="K2484">
        <v>0</v>
      </c>
      <c r="L2484" s="3">
        <v>0</v>
      </c>
      <c r="M2484" s="3">
        <v>0</v>
      </c>
      <c r="N2484">
        <v>0</v>
      </c>
      <c r="O2484">
        <v>0</v>
      </c>
      <c r="P2484">
        <v>0</v>
      </c>
      <c r="Q2484">
        <v>2</v>
      </c>
      <c r="R2484" s="3">
        <v>0</v>
      </c>
      <c r="S2484" s="3">
        <v>0</v>
      </c>
      <c r="T2484">
        <v>0</v>
      </c>
      <c r="U2484">
        <v>0</v>
      </c>
      <c r="V2484" s="3">
        <v>0</v>
      </c>
      <c r="W2484" s="3">
        <v>0</v>
      </c>
      <c r="X2484">
        <v>0</v>
      </c>
      <c r="Y2484" t="s">
        <v>1973</v>
      </c>
    </row>
    <row r="2485" spans="1:25" hidden="1" x14ac:dyDescent="0.25">
      <c r="A2485" s="1" t="s">
        <v>27</v>
      </c>
      <c r="B2485" s="1" t="s">
        <v>123</v>
      </c>
      <c r="C2485" s="1" t="s">
        <v>46</v>
      </c>
      <c r="D2485" s="1" t="s">
        <v>27</v>
      </c>
      <c r="E2485" s="2">
        <v>45973</v>
      </c>
      <c r="F2485" s="2">
        <v>45973</v>
      </c>
      <c r="G2485" s="3">
        <v>45</v>
      </c>
      <c r="H2485" s="4" t="s">
        <v>1975</v>
      </c>
      <c r="I2485" s="28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 t="s">
        <v>1973</v>
      </c>
    </row>
    <row r="2486" spans="1:25" hidden="1" x14ac:dyDescent="0.25">
      <c r="A2486" s="1" t="s">
        <v>48</v>
      </c>
      <c r="B2486" s="1" t="s">
        <v>149</v>
      </c>
      <c r="C2486" s="1" t="s">
        <v>95</v>
      </c>
      <c r="D2486" s="1" t="s">
        <v>27</v>
      </c>
      <c r="E2486" s="2">
        <v>45971</v>
      </c>
      <c r="F2486" s="2">
        <v>45971</v>
      </c>
      <c r="G2486" s="3">
        <v>26</v>
      </c>
      <c r="H2486" s="4" t="s">
        <v>28</v>
      </c>
      <c r="I2486" s="28">
        <v>29</v>
      </c>
      <c r="J2486">
        <v>0</v>
      </c>
      <c r="K2486">
        <v>0</v>
      </c>
      <c r="L2486" s="3">
        <v>0</v>
      </c>
      <c r="M2486" s="3">
        <v>0</v>
      </c>
      <c r="N2486">
        <v>0</v>
      </c>
      <c r="O2486">
        <v>0</v>
      </c>
      <c r="P2486">
        <v>0</v>
      </c>
      <c r="Q2486">
        <v>0</v>
      </c>
      <c r="R2486" s="3">
        <v>0</v>
      </c>
      <c r="S2486" s="3">
        <v>0</v>
      </c>
      <c r="T2486">
        <v>0</v>
      </c>
      <c r="U2486">
        <v>0</v>
      </c>
      <c r="V2486" s="3">
        <v>0</v>
      </c>
      <c r="W2486" s="3">
        <v>0</v>
      </c>
      <c r="X2486">
        <v>0</v>
      </c>
      <c r="Y2486" t="s">
        <v>1940</v>
      </c>
    </row>
    <row r="2487" spans="1:25" hidden="1" x14ac:dyDescent="0.25">
      <c r="A2487" s="1" t="s">
        <v>48</v>
      </c>
      <c r="B2487" s="1" t="s">
        <v>149</v>
      </c>
      <c r="C2487" s="1" t="s">
        <v>95</v>
      </c>
      <c r="D2487" s="1" t="s">
        <v>27</v>
      </c>
      <c r="E2487" s="2">
        <v>45972</v>
      </c>
      <c r="F2487" s="2">
        <v>45972</v>
      </c>
      <c r="G2487" s="3">
        <v>26</v>
      </c>
      <c r="H2487" t="s">
        <v>1448</v>
      </c>
      <c r="I2487" s="28">
        <v>0</v>
      </c>
      <c r="J2487">
        <v>0</v>
      </c>
      <c r="K2487">
        <v>0</v>
      </c>
      <c r="L2487" s="3">
        <v>0</v>
      </c>
      <c r="M2487" s="3">
        <v>0</v>
      </c>
      <c r="N2487">
        <v>0</v>
      </c>
      <c r="O2487">
        <v>0</v>
      </c>
      <c r="P2487">
        <v>0</v>
      </c>
      <c r="Q2487">
        <v>0</v>
      </c>
      <c r="R2487" s="3">
        <v>0</v>
      </c>
      <c r="S2487" s="3">
        <v>0</v>
      </c>
      <c r="T2487">
        <v>0</v>
      </c>
      <c r="U2487">
        <v>0</v>
      </c>
      <c r="V2487" s="3">
        <v>0</v>
      </c>
      <c r="W2487" s="3">
        <v>0</v>
      </c>
      <c r="X2487">
        <v>0</v>
      </c>
      <c r="Y2487" t="s">
        <v>1940</v>
      </c>
    </row>
    <row r="2488" spans="1:25" hidden="1" x14ac:dyDescent="0.25">
      <c r="A2488" s="1" t="s">
        <v>48</v>
      </c>
      <c r="B2488" s="1" t="s">
        <v>98</v>
      </c>
      <c r="C2488" s="1" t="s">
        <v>27</v>
      </c>
      <c r="D2488" s="1" t="s">
        <v>27</v>
      </c>
      <c r="E2488" s="2">
        <v>45973</v>
      </c>
      <c r="F2488" s="2">
        <v>45973</v>
      </c>
      <c r="G2488" s="3">
        <v>46</v>
      </c>
      <c r="H2488" s="4" t="s">
        <v>180</v>
      </c>
      <c r="I2488" s="2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 t="s">
        <v>1973</v>
      </c>
    </row>
    <row r="2489" spans="1:25" hidden="1" x14ac:dyDescent="0.25">
      <c r="A2489" s="1" t="s">
        <v>43</v>
      </c>
      <c r="B2489" s="1" t="s">
        <v>125</v>
      </c>
      <c r="C2489" s="1" t="s">
        <v>27</v>
      </c>
      <c r="D2489" s="1" t="s">
        <v>27</v>
      </c>
      <c r="E2489" s="2">
        <v>45973</v>
      </c>
      <c r="F2489" s="2">
        <v>45973</v>
      </c>
      <c r="G2489" s="3">
        <v>47</v>
      </c>
      <c r="H2489" s="36" t="s">
        <v>28</v>
      </c>
      <c r="I2489" s="28">
        <v>30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1973</v>
      </c>
    </row>
    <row r="2490" spans="1:25" hidden="1" x14ac:dyDescent="0.25">
      <c r="A2490" t="s">
        <v>25</v>
      </c>
      <c r="B2490" t="s">
        <v>96</v>
      </c>
      <c r="C2490" t="s">
        <v>26</v>
      </c>
      <c r="D2490" t="s">
        <v>27</v>
      </c>
      <c r="E2490" s="2">
        <v>45974</v>
      </c>
      <c r="F2490" s="2">
        <v>45974</v>
      </c>
      <c r="G2490" s="3">
        <v>46</v>
      </c>
      <c r="H2490" t="s">
        <v>28</v>
      </c>
      <c r="I2490" s="28">
        <v>42</v>
      </c>
      <c r="J2490">
        <v>0</v>
      </c>
      <c r="K2490">
        <v>0</v>
      </c>
      <c r="L2490" s="3">
        <v>1</v>
      </c>
      <c r="M2490" s="3">
        <v>0</v>
      </c>
      <c r="N2490">
        <v>1</v>
      </c>
      <c r="O2490">
        <v>0</v>
      </c>
      <c r="P2490">
        <v>0</v>
      </c>
      <c r="Q2490">
        <v>0</v>
      </c>
      <c r="R2490" s="3">
        <v>0</v>
      </c>
      <c r="S2490" s="3">
        <v>0</v>
      </c>
      <c r="T2490">
        <v>0</v>
      </c>
      <c r="U2490">
        <v>0</v>
      </c>
      <c r="V2490" s="3">
        <v>0</v>
      </c>
      <c r="W2490" s="3">
        <v>0</v>
      </c>
      <c r="X2490">
        <v>0</v>
      </c>
      <c r="Y2490" t="s">
        <v>1991</v>
      </c>
    </row>
    <row r="2491" spans="1:25" hidden="1" x14ac:dyDescent="0.25">
      <c r="A2491" t="s">
        <v>56</v>
      </c>
      <c r="B2491" t="s">
        <v>98</v>
      </c>
      <c r="C2491" t="s">
        <v>37</v>
      </c>
      <c r="D2491" t="s">
        <v>27</v>
      </c>
      <c r="E2491" s="2">
        <v>45974</v>
      </c>
      <c r="F2491" s="2">
        <v>45974</v>
      </c>
      <c r="G2491" s="3">
        <v>27</v>
      </c>
      <c r="H2491" t="s">
        <v>28</v>
      </c>
      <c r="I2491" s="28">
        <v>40</v>
      </c>
      <c r="J2491">
        <v>0</v>
      </c>
      <c r="K2491">
        <v>0</v>
      </c>
      <c r="L2491" s="3">
        <v>1</v>
      </c>
      <c r="M2491" s="3">
        <v>0</v>
      </c>
      <c r="N2491">
        <v>0</v>
      </c>
      <c r="O2491">
        <v>0</v>
      </c>
      <c r="P2491">
        <v>0</v>
      </c>
      <c r="Q2491">
        <v>10</v>
      </c>
      <c r="R2491" s="3">
        <v>0</v>
      </c>
      <c r="S2491" s="3">
        <v>0</v>
      </c>
      <c r="T2491">
        <v>0</v>
      </c>
      <c r="U2491">
        <v>0</v>
      </c>
      <c r="V2491" s="3">
        <v>0</v>
      </c>
      <c r="W2491" s="3">
        <v>0</v>
      </c>
      <c r="X2491">
        <v>0</v>
      </c>
      <c r="Y2491" t="s">
        <v>1992</v>
      </c>
    </row>
    <row r="2492" spans="1:25" hidden="1" x14ac:dyDescent="0.25">
      <c r="A2492" t="s">
        <v>29</v>
      </c>
      <c r="B2492" t="s">
        <v>100</v>
      </c>
      <c r="C2492" t="s">
        <v>95</v>
      </c>
      <c r="D2492" t="s">
        <v>27</v>
      </c>
      <c r="E2492" s="2">
        <v>45974</v>
      </c>
      <c r="F2492" s="2">
        <v>45974</v>
      </c>
      <c r="G2492" s="3">
        <v>47</v>
      </c>
      <c r="H2492" t="s">
        <v>28</v>
      </c>
      <c r="I2492" s="28">
        <v>34</v>
      </c>
      <c r="J2492">
        <v>0</v>
      </c>
      <c r="K2492">
        <v>0</v>
      </c>
      <c r="L2492" s="3">
        <v>0</v>
      </c>
      <c r="M2492" s="3">
        <v>0</v>
      </c>
      <c r="N2492">
        <v>0</v>
      </c>
      <c r="O2492">
        <v>0</v>
      </c>
      <c r="P2492">
        <v>0</v>
      </c>
      <c r="Q2492">
        <v>12</v>
      </c>
      <c r="R2492" s="3">
        <v>0</v>
      </c>
      <c r="S2492" s="3">
        <v>0</v>
      </c>
      <c r="T2492">
        <v>0</v>
      </c>
      <c r="U2492">
        <v>0</v>
      </c>
      <c r="V2492" s="3">
        <v>0</v>
      </c>
      <c r="W2492" s="3">
        <v>0</v>
      </c>
      <c r="X2492">
        <v>0</v>
      </c>
      <c r="Y2492" t="s">
        <v>1993</v>
      </c>
    </row>
    <row r="2493" spans="1:25" hidden="1" x14ac:dyDescent="0.25">
      <c r="A2493" s="1" t="s">
        <v>344</v>
      </c>
      <c r="B2493" s="1" t="s">
        <v>102</v>
      </c>
      <c r="C2493" s="1" t="s">
        <v>35</v>
      </c>
      <c r="D2493" s="1" t="s">
        <v>27</v>
      </c>
      <c r="E2493" s="2">
        <v>45974</v>
      </c>
      <c r="F2493" s="2">
        <v>45974</v>
      </c>
      <c r="G2493" s="3">
        <v>29</v>
      </c>
      <c r="H2493" s="4" t="s">
        <v>28</v>
      </c>
      <c r="I2493" s="28">
        <v>54</v>
      </c>
      <c r="J2493">
        <v>0</v>
      </c>
      <c r="K2493">
        <v>0</v>
      </c>
      <c r="L2493" s="3">
        <v>0</v>
      </c>
      <c r="M2493" s="3">
        <v>0</v>
      </c>
      <c r="N2493">
        <v>0</v>
      </c>
      <c r="O2493">
        <v>0</v>
      </c>
      <c r="P2493">
        <v>0</v>
      </c>
      <c r="Q2493">
        <v>0</v>
      </c>
      <c r="R2493" s="3">
        <v>0</v>
      </c>
      <c r="S2493" s="3">
        <v>0</v>
      </c>
      <c r="T2493">
        <v>0</v>
      </c>
      <c r="U2493">
        <v>0</v>
      </c>
      <c r="V2493" s="3">
        <v>0</v>
      </c>
      <c r="W2493" s="3">
        <v>0</v>
      </c>
      <c r="X2493">
        <v>0</v>
      </c>
      <c r="Y2493" t="s">
        <v>1887</v>
      </c>
    </row>
    <row r="2494" spans="1:25" hidden="1" x14ac:dyDescent="0.25">
      <c r="A2494" t="s">
        <v>31</v>
      </c>
      <c r="B2494" t="s">
        <v>104</v>
      </c>
      <c r="C2494" t="s">
        <v>32</v>
      </c>
      <c r="D2494" t="s">
        <v>27</v>
      </c>
      <c r="E2494" s="2">
        <v>45974</v>
      </c>
      <c r="F2494" s="2">
        <v>45974</v>
      </c>
      <c r="G2494" s="3">
        <v>195</v>
      </c>
      <c r="H2494" t="s">
        <v>28</v>
      </c>
      <c r="I2494" s="28">
        <v>114</v>
      </c>
      <c r="J2494">
        <v>0</v>
      </c>
      <c r="K2494">
        <v>0</v>
      </c>
      <c r="L2494" s="3">
        <v>1</v>
      </c>
      <c r="M2494" s="3">
        <v>0</v>
      </c>
      <c r="N2494">
        <v>0</v>
      </c>
      <c r="O2494">
        <v>0</v>
      </c>
      <c r="P2494">
        <v>0</v>
      </c>
      <c r="Q2494">
        <v>40</v>
      </c>
      <c r="R2494" s="3">
        <v>0</v>
      </c>
      <c r="S2494" s="3">
        <v>0</v>
      </c>
      <c r="T2494">
        <v>0</v>
      </c>
      <c r="U2494">
        <v>0</v>
      </c>
      <c r="V2494" s="3">
        <v>0</v>
      </c>
      <c r="W2494" s="3">
        <v>0</v>
      </c>
      <c r="X2494">
        <v>13</v>
      </c>
      <c r="Y2494" t="s">
        <v>1994</v>
      </c>
    </row>
    <row r="2495" spans="1:25" hidden="1" x14ac:dyDescent="0.25">
      <c r="A2495" s="1" t="s">
        <v>33</v>
      </c>
      <c r="B2495" s="1" t="s">
        <v>106</v>
      </c>
      <c r="C2495" s="1" t="s">
        <v>55</v>
      </c>
      <c r="D2495" s="1" t="s">
        <v>27</v>
      </c>
      <c r="E2495" s="2">
        <v>45973</v>
      </c>
      <c r="F2495" s="2">
        <v>45973</v>
      </c>
      <c r="G2495" s="3">
        <v>110</v>
      </c>
      <c r="H2495" s="4" t="s">
        <v>28</v>
      </c>
      <c r="I2495" s="28">
        <v>100</v>
      </c>
      <c r="J2495">
        <v>0</v>
      </c>
      <c r="K2495">
        <v>0</v>
      </c>
      <c r="L2495" s="3">
        <v>1</v>
      </c>
      <c r="M2495" s="3">
        <v>0</v>
      </c>
      <c r="N2495">
        <v>0</v>
      </c>
      <c r="O2495">
        <v>0</v>
      </c>
      <c r="P2495">
        <v>0</v>
      </c>
      <c r="Q2495">
        <v>20</v>
      </c>
      <c r="R2495" s="3">
        <v>0</v>
      </c>
      <c r="S2495" s="3">
        <v>0</v>
      </c>
      <c r="T2495">
        <v>0</v>
      </c>
      <c r="U2495">
        <v>0</v>
      </c>
      <c r="V2495" s="3">
        <v>0</v>
      </c>
      <c r="W2495" s="3">
        <v>0</v>
      </c>
      <c r="X2495">
        <v>6</v>
      </c>
      <c r="Y2495" t="s">
        <v>1982</v>
      </c>
    </row>
    <row r="2496" spans="1:25" hidden="1" x14ac:dyDescent="0.25">
      <c r="A2496" t="s">
        <v>38</v>
      </c>
      <c r="B2496" t="s">
        <v>108</v>
      </c>
      <c r="C2496" t="s">
        <v>27</v>
      </c>
      <c r="D2496" t="s">
        <v>27</v>
      </c>
      <c r="E2496" s="2">
        <v>45974</v>
      </c>
      <c r="F2496" s="2">
        <v>45974</v>
      </c>
      <c r="G2496" s="3">
        <v>35</v>
      </c>
      <c r="H2496" t="s">
        <v>28</v>
      </c>
      <c r="I2496" s="28">
        <v>46</v>
      </c>
      <c r="J2496">
        <v>0</v>
      </c>
      <c r="K2496">
        <v>0</v>
      </c>
      <c r="L2496" s="3">
        <v>0</v>
      </c>
      <c r="M2496" s="3">
        <v>0</v>
      </c>
      <c r="N2496">
        <v>0</v>
      </c>
      <c r="O2496">
        <v>0</v>
      </c>
      <c r="P2496">
        <v>0</v>
      </c>
      <c r="Q2496">
        <v>46</v>
      </c>
      <c r="R2496" s="3">
        <v>0</v>
      </c>
      <c r="S2496" s="3">
        <v>0</v>
      </c>
      <c r="T2496">
        <v>0</v>
      </c>
      <c r="U2496">
        <v>0</v>
      </c>
      <c r="V2496" s="3">
        <v>0</v>
      </c>
      <c r="W2496" s="3">
        <v>0</v>
      </c>
      <c r="X2496">
        <v>0</v>
      </c>
      <c r="Y2496" t="s">
        <v>1995</v>
      </c>
    </row>
    <row r="2497" spans="1:25" hidden="1" x14ac:dyDescent="0.25">
      <c r="A2497" t="s">
        <v>40</v>
      </c>
      <c r="B2497" t="s">
        <v>110</v>
      </c>
      <c r="C2497" t="s">
        <v>27</v>
      </c>
      <c r="D2497" t="s">
        <v>27</v>
      </c>
      <c r="E2497" s="2">
        <v>45974</v>
      </c>
      <c r="F2497" s="2">
        <v>45974</v>
      </c>
      <c r="G2497" s="3">
        <v>110</v>
      </c>
      <c r="H2497" t="s">
        <v>28</v>
      </c>
      <c r="I2497" s="28">
        <v>120</v>
      </c>
      <c r="J2497">
        <v>0</v>
      </c>
      <c r="K2497">
        <v>0</v>
      </c>
      <c r="L2497" s="3">
        <v>1</v>
      </c>
      <c r="M2497" s="3">
        <v>0</v>
      </c>
      <c r="N2497">
        <v>1</v>
      </c>
      <c r="O2497">
        <v>0</v>
      </c>
      <c r="P2497">
        <v>0</v>
      </c>
      <c r="Q2497">
        <v>0</v>
      </c>
      <c r="R2497" s="3">
        <v>0</v>
      </c>
      <c r="S2497" s="3">
        <v>0</v>
      </c>
      <c r="T2497">
        <v>0</v>
      </c>
      <c r="U2497">
        <v>0</v>
      </c>
      <c r="V2497" s="3">
        <v>0</v>
      </c>
      <c r="W2497" s="3">
        <v>0</v>
      </c>
      <c r="X2497">
        <v>4</v>
      </c>
      <c r="Y2497" t="s">
        <v>1996</v>
      </c>
    </row>
    <row r="2498" spans="1:25" hidden="1" x14ac:dyDescent="0.25">
      <c r="A2498" t="s">
        <v>36</v>
      </c>
      <c r="B2498" t="s">
        <v>110</v>
      </c>
      <c r="C2498" t="s">
        <v>27</v>
      </c>
      <c r="D2498" t="s">
        <v>27</v>
      </c>
      <c r="E2498" s="2">
        <v>45974</v>
      </c>
      <c r="F2498" s="2">
        <v>45974</v>
      </c>
      <c r="G2498" s="3">
        <v>110</v>
      </c>
      <c r="H2498" t="s">
        <v>28</v>
      </c>
      <c r="I2498" s="28">
        <v>120</v>
      </c>
      <c r="J2498">
        <v>0</v>
      </c>
      <c r="K2498">
        <v>0</v>
      </c>
      <c r="L2498" s="3">
        <v>1</v>
      </c>
      <c r="M2498" s="3">
        <v>0</v>
      </c>
      <c r="N2498">
        <v>1</v>
      </c>
      <c r="O2498">
        <v>0</v>
      </c>
      <c r="P2498">
        <v>0</v>
      </c>
      <c r="Q2498">
        <v>0</v>
      </c>
      <c r="R2498" s="3">
        <v>0</v>
      </c>
      <c r="S2498" s="3">
        <v>0</v>
      </c>
      <c r="T2498">
        <v>0</v>
      </c>
      <c r="U2498">
        <v>0</v>
      </c>
      <c r="V2498" s="3">
        <v>0</v>
      </c>
      <c r="W2498" s="3">
        <v>0</v>
      </c>
      <c r="X2498">
        <v>4</v>
      </c>
      <c r="Y2498" t="s">
        <v>1996</v>
      </c>
    </row>
    <row r="2499" spans="1:25" hidden="1" x14ac:dyDescent="0.25">
      <c r="A2499" t="s">
        <v>1454</v>
      </c>
      <c r="B2499" t="s">
        <v>1455</v>
      </c>
      <c r="C2499" t="s">
        <v>27</v>
      </c>
      <c r="D2499" t="s">
        <v>27</v>
      </c>
      <c r="E2499" s="2">
        <v>45974</v>
      </c>
      <c r="F2499" s="2">
        <v>45974</v>
      </c>
      <c r="G2499" s="3">
        <v>46</v>
      </c>
      <c r="H2499" t="s">
        <v>28</v>
      </c>
      <c r="I2499" s="28">
        <v>45</v>
      </c>
      <c r="J2499">
        <v>0</v>
      </c>
      <c r="K2499">
        <v>0</v>
      </c>
      <c r="L2499" s="3">
        <v>1</v>
      </c>
      <c r="M2499" s="3">
        <v>0</v>
      </c>
      <c r="N2499">
        <v>0</v>
      </c>
      <c r="O2499">
        <v>0</v>
      </c>
      <c r="P2499">
        <v>0</v>
      </c>
      <c r="Q2499">
        <v>45</v>
      </c>
      <c r="R2499" s="3">
        <v>0</v>
      </c>
      <c r="S2499" s="3">
        <v>0</v>
      </c>
      <c r="T2499">
        <v>0</v>
      </c>
      <c r="U2499">
        <v>0</v>
      </c>
      <c r="V2499" s="3">
        <v>0</v>
      </c>
      <c r="W2499" s="3">
        <v>0</v>
      </c>
      <c r="X2499">
        <v>0</v>
      </c>
      <c r="Y2499" t="s">
        <v>1997</v>
      </c>
    </row>
    <row r="2500" spans="1:25" hidden="1" x14ac:dyDescent="0.25">
      <c r="A2500" t="s">
        <v>41</v>
      </c>
      <c r="B2500" t="s">
        <v>112</v>
      </c>
      <c r="C2500" t="s">
        <v>42</v>
      </c>
      <c r="D2500" t="s">
        <v>27</v>
      </c>
      <c r="E2500" s="2">
        <v>45974</v>
      </c>
      <c r="F2500" s="2">
        <v>45974</v>
      </c>
      <c r="G2500" s="3">
        <v>30</v>
      </c>
      <c r="H2500" t="s">
        <v>28</v>
      </c>
      <c r="I2500" s="28">
        <v>43</v>
      </c>
      <c r="J2500">
        <v>0</v>
      </c>
      <c r="K2500">
        <v>0</v>
      </c>
      <c r="L2500" s="3">
        <v>1</v>
      </c>
      <c r="M2500" s="3">
        <v>0</v>
      </c>
      <c r="N2500">
        <v>0</v>
      </c>
      <c r="O2500">
        <v>0</v>
      </c>
      <c r="P2500">
        <v>0</v>
      </c>
      <c r="Q2500">
        <v>4</v>
      </c>
      <c r="R2500" s="3">
        <v>0</v>
      </c>
      <c r="S2500" s="3">
        <v>0</v>
      </c>
      <c r="T2500">
        <v>0</v>
      </c>
      <c r="U2500">
        <v>0</v>
      </c>
      <c r="V2500" s="3">
        <v>0</v>
      </c>
      <c r="W2500" s="3">
        <v>0</v>
      </c>
      <c r="X2500">
        <v>0</v>
      </c>
      <c r="Y2500" t="s">
        <v>1998</v>
      </c>
    </row>
    <row r="2501" spans="1:25" hidden="1" x14ac:dyDescent="0.25">
      <c r="A2501" t="s">
        <v>43</v>
      </c>
      <c r="B2501" t="s">
        <v>114</v>
      </c>
      <c r="C2501" t="s">
        <v>44</v>
      </c>
      <c r="D2501" t="s">
        <v>27</v>
      </c>
      <c r="E2501" s="2">
        <v>45974</v>
      </c>
      <c r="F2501" s="2">
        <v>45974</v>
      </c>
      <c r="G2501" s="3">
        <v>28</v>
      </c>
      <c r="H2501" t="s">
        <v>28</v>
      </c>
      <c r="I2501" s="28">
        <v>62</v>
      </c>
      <c r="J2501">
        <v>0</v>
      </c>
      <c r="K2501">
        <v>0</v>
      </c>
      <c r="L2501" s="3">
        <v>1</v>
      </c>
      <c r="M2501" s="3">
        <v>0</v>
      </c>
      <c r="N2501">
        <v>0</v>
      </c>
      <c r="O2501">
        <v>0</v>
      </c>
      <c r="P2501">
        <v>0</v>
      </c>
      <c r="Q2501">
        <v>0</v>
      </c>
      <c r="R2501" s="3">
        <v>0</v>
      </c>
      <c r="S2501" s="3">
        <v>0</v>
      </c>
      <c r="T2501">
        <v>0</v>
      </c>
      <c r="U2501">
        <v>0</v>
      </c>
      <c r="V2501" s="3">
        <v>0</v>
      </c>
      <c r="W2501" s="3">
        <v>0</v>
      </c>
      <c r="X2501">
        <v>0</v>
      </c>
      <c r="Y2501" t="s">
        <v>1999</v>
      </c>
    </row>
    <row r="2502" spans="1:25" hidden="1" x14ac:dyDescent="0.25">
      <c r="A2502" t="s">
        <v>47</v>
      </c>
      <c r="B2502" t="s">
        <v>137</v>
      </c>
      <c r="C2502" t="s">
        <v>27</v>
      </c>
      <c r="D2502" t="s">
        <v>27</v>
      </c>
      <c r="E2502" s="2">
        <v>45974</v>
      </c>
      <c r="F2502" s="2">
        <v>45974</v>
      </c>
      <c r="G2502" s="3">
        <v>95</v>
      </c>
      <c r="H2502" t="s">
        <v>28</v>
      </c>
      <c r="I2502" s="28">
        <v>120</v>
      </c>
      <c r="J2502">
        <v>0</v>
      </c>
      <c r="K2502">
        <v>0</v>
      </c>
      <c r="L2502" s="3">
        <v>1</v>
      </c>
      <c r="M2502" s="3">
        <v>0</v>
      </c>
      <c r="N2502">
        <v>0</v>
      </c>
      <c r="O2502">
        <v>0</v>
      </c>
      <c r="P2502">
        <v>0</v>
      </c>
      <c r="Q2502">
        <v>25</v>
      </c>
      <c r="R2502" s="3">
        <v>0</v>
      </c>
      <c r="S2502" s="3">
        <v>0</v>
      </c>
      <c r="T2502">
        <v>0</v>
      </c>
      <c r="U2502">
        <v>0</v>
      </c>
      <c r="V2502" s="3">
        <v>0</v>
      </c>
      <c r="W2502" s="3">
        <v>0</v>
      </c>
      <c r="X2502">
        <v>5</v>
      </c>
      <c r="Y2502" t="s">
        <v>2000</v>
      </c>
    </row>
    <row r="2503" spans="1:25" hidden="1" x14ac:dyDescent="0.25">
      <c r="A2503" t="s">
        <v>34</v>
      </c>
      <c r="B2503" t="s">
        <v>137</v>
      </c>
      <c r="C2503" t="s">
        <v>27</v>
      </c>
      <c r="D2503" t="s">
        <v>27</v>
      </c>
      <c r="E2503" s="2">
        <v>45974</v>
      </c>
      <c r="F2503" s="2">
        <v>45974</v>
      </c>
      <c r="G2503" s="3">
        <v>95</v>
      </c>
      <c r="H2503" t="s">
        <v>28</v>
      </c>
      <c r="I2503" s="28">
        <v>120</v>
      </c>
      <c r="J2503">
        <v>0</v>
      </c>
      <c r="K2503">
        <v>0</v>
      </c>
      <c r="L2503" s="3">
        <v>1</v>
      </c>
      <c r="M2503" s="3">
        <v>0</v>
      </c>
      <c r="N2503">
        <v>0</v>
      </c>
      <c r="O2503">
        <v>0</v>
      </c>
      <c r="P2503">
        <v>0</v>
      </c>
      <c r="Q2503">
        <v>25</v>
      </c>
      <c r="R2503" s="3">
        <v>0</v>
      </c>
      <c r="S2503" s="3">
        <v>0</v>
      </c>
      <c r="T2503">
        <v>0</v>
      </c>
      <c r="U2503">
        <v>0</v>
      </c>
      <c r="V2503" s="3">
        <v>0</v>
      </c>
      <c r="W2503" s="3">
        <v>0</v>
      </c>
      <c r="X2503">
        <v>5</v>
      </c>
      <c r="Y2503" t="s">
        <v>2000</v>
      </c>
    </row>
    <row r="2504" spans="1:25" hidden="1" x14ac:dyDescent="0.25">
      <c r="A2504" t="s">
        <v>49</v>
      </c>
      <c r="B2504" t="s">
        <v>118</v>
      </c>
      <c r="C2504" t="s">
        <v>50</v>
      </c>
      <c r="D2504" t="s">
        <v>27</v>
      </c>
      <c r="E2504" s="2">
        <v>45974</v>
      </c>
      <c r="F2504" s="2">
        <v>45974</v>
      </c>
      <c r="G2504" s="3">
        <v>34</v>
      </c>
      <c r="H2504" t="s">
        <v>28</v>
      </c>
      <c r="I2504" s="28">
        <v>64</v>
      </c>
      <c r="J2504">
        <v>0</v>
      </c>
      <c r="K2504">
        <v>0</v>
      </c>
      <c r="L2504" s="3">
        <v>1</v>
      </c>
      <c r="M2504" s="3">
        <v>1</v>
      </c>
      <c r="N2504">
        <v>0</v>
      </c>
      <c r="O2504">
        <v>1</v>
      </c>
      <c r="P2504">
        <v>0</v>
      </c>
      <c r="Q2504">
        <v>64</v>
      </c>
      <c r="R2504" s="3">
        <v>0</v>
      </c>
      <c r="S2504" s="3">
        <v>0</v>
      </c>
      <c r="T2504">
        <v>0</v>
      </c>
      <c r="U2504">
        <v>0</v>
      </c>
      <c r="V2504" s="3">
        <v>0</v>
      </c>
      <c r="W2504" s="3">
        <v>0</v>
      </c>
      <c r="X2504">
        <v>0</v>
      </c>
      <c r="Y2504" t="s">
        <v>2001</v>
      </c>
    </row>
    <row r="2505" spans="1:25" hidden="1" x14ac:dyDescent="0.25">
      <c r="A2505" t="s">
        <v>51</v>
      </c>
      <c r="B2505" t="s">
        <v>120</v>
      </c>
      <c r="C2505" t="s">
        <v>55</v>
      </c>
      <c r="D2505" t="s">
        <v>27</v>
      </c>
      <c r="E2505" s="2">
        <v>45974</v>
      </c>
      <c r="F2505" s="2">
        <v>45974</v>
      </c>
      <c r="G2505" s="3">
        <v>62</v>
      </c>
      <c r="H2505" t="s">
        <v>28</v>
      </c>
      <c r="I2505" s="28">
        <v>43</v>
      </c>
      <c r="J2505">
        <v>0</v>
      </c>
      <c r="K2505">
        <v>0</v>
      </c>
      <c r="L2505" s="3">
        <v>1</v>
      </c>
      <c r="M2505" s="3">
        <v>0</v>
      </c>
      <c r="N2505">
        <v>1</v>
      </c>
      <c r="O2505">
        <v>0</v>
      </c>
      <c r="P2505">
        <v>0</v>
      </c>
      <c r="Q2505">
        <v>0</v>
      </c>
      <c r="R2505" s="3">
        <v>0</v>
      </c>
      <c r="S2505" s="3">
        <v>0</v>
      </c>
      <c r="T2505">
        <v>0</v>
      </c>
      <c r="U2505">
        <v>0</v>
      </c>
      <c r="V2505" s="3">
        <v>0</v>
      </c>
      <c r="W2505" s="3">
        <v>0</v>
      </c>
      <c r="X2505">
        <v>0</v>
      </c>
      <c r="Y2505" t="s">
        <v>2002</v>
      </c>
    </row>
    <row r="2506" spans="1:25" hidden="1" x14ac:dyDescent="0.25">
      <c r="A2506" t="s">
        <v>54</v>
      </c>
      <c r="B2506" t="s">
        <v>122</v>
      </c>
      <c r="C2506" t="s">
        <v>52</v>
      </c>
      <c r="D2506" t="s">
        <v>27</v>
      </c>
      <c r="E2506" s="2">
        <v>45974</v>
      </c>
      <c r="F2506" s="2">
        <v>45974</v>
      </c>
      <c r="G2506" s="3">
        <v>35</v>
      </c>
      <c r="H2506" t="s">
        <v>28</v>
      </c>
      <c r="I2506" s="28">
        <v>47</v>
      </c>
      <c r="J2506">
        <v>0</v>
      </c>
      <c r="K2506">
        <v>0</v>
      </c>
      <c r="L2506" s="3">
        <v>0</v>
      </c>
      <c r="M2506" s="3">
        <v>0</v>
      </c>
      <c r="N2506">
        <v>0</v>
      </c>
      <c r="O2506">
        <v>0</v>
      </c>
      <c r="P2506">
        <v>0</v>
      </c>
      <c r="Q2506">
        <v>2</v>
      </c>
      <c r="R2506" s="3">
        <v>0</v>
      </c>
      <c r="S2506" s="3">
        <v>0</v>
      </c>
      <c r="T2506">
        <v>0</v>
      </c>
      <c r="U2506">
        <v>0</v>
      </c>
      <c r="V2506" s="3">
        <v>0</v>
      </c>
      <c r="W2506" s="3">
        <v>0</v>
      </c>
      <c r="X2506">
        <v>0</v>
      </c>
      <c r="Y2506" t="s">
        <v>2003</v>
      </c>
    </row>
    <row r="2507" spans="1:25" hidden="1" x14ac:dyDescent="0.25">
      <c r="A2507" t="s">
        <v>58</v>
      </c>
      <c r="B2507" t="s">
        <v>144</v>
      </c>
      <c r="C2507" t="s">
        <v>489</v>
      </c>
      <c r="D2507" t="s">
        <v>27</v>
      </c>
      <c r="E2507" s="2">
        <v>45974</v>
      </c>
      <c r="F2507" s="2">
        <v>45974</v>
      </c>
      <c r="G2507" s="3">
        <v>30</v>
      </c>
      <c r="H2507" t="s">
        <v>28</v>
      </c>
      <c r="I2507" s="28">
        <v>100</v>
      </c>
      <c r="J2507">
        <v>0</v>
      </c>
      <c r="K2507">
        <v>0</v>
      </c>
      <c r="L2507" s="3">
        <v>1</v>
      </c>
      <c r="M2507" s="3">
        <v>0</v>
      </c>
      <c r="N2507">
        <v>0</v>
      </c>
      <c r="O2507">
        <v>0</v>
      </c>
      <c r="P2507">
        <v>0</v>
      </c>
      <c r="Q2507">
        <v>0</v>
      </c>
      <c r="R2507" s="3">
        <v>0</v>
      </c>
      <c r="S2507" s="3">
        <v>0</v>
      </c>
      <c r="T2507">
        <v>0</v>
      </c>
      <c r="U2507">
        <v>0</v>
      </c>
      <c r="V2507" s="3">
        <v>0</v>
      </c>
      <c r="W2507" s="3">
        <v>0</v>
      </c>
      <c r="X2507">
        <v>6</v>
      </c>
      <c r="Y2507" t="s">
        <v>2004</v>
      </c>
    </row>
    <row r="2508" spans="1:25" hidden="1" x14ac:dyDescent="0.25">
      <c r="A2508" s="1" t="s">
        <v>27</v>
      </c>
      <c r="B2508" s="1" t="s">
        <v>123</v>
      </c>
      <c r="C2508" s="1" t="s">
        <v>46</v>
      </c>
      <c r="D2508" s="1" t="s">
        <v>27</v>
      </c>
      <c r="E2508" s="2">
        <v>45974</v>
      </c>
      <c r="F2508" s="2">
        <v>45974</v>
      </c>
      <c r="G2508" s="3">
        <v>45</v>
      </c>
      <c r="H2508" s="4" t="s">
        <v>1975</v>
      </c>
      <c r="I2508" s="2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1973</v>
      </c>
    </row>
    <row r="2509" spans="1:25" hidden="1" x14ac:dyDescent="0.25">
      <c r="A2509" s="1" t="s">
        <v>48</v>
      </c>
      <c r="B2509" s="1" t="s">
        <v>98</v>
      </c>
      <c r="C2509" s="1" t="s">
        <v>27</v>
      </c>
      <c r="D2509" s="1" t="s">
        <v>27</v>
      </c>
      <c r="E2509" s="2">
        <v>45974</v>
      </c>
      <c r="F2509" s="2">
        <v>45974</v>
      </c>
      <c r="G2509" s="3">
        <v>46</v>
      </c>
      <c r="H2509" s="4" t="s">
        <v>180</v>
      </c>
      <c r="I2509" s="28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1973</v>
      </c>
    </row>
    <row r="2510" spans="1:25" hidden="1" x14ac:dyDescent="0.25">
      <c r="A2510" t="s">
        <v>25</v>
      </c>
      <c r="B2510" t="s">
        <v>96</v>
      </c>
      <c r="C2510" t="s">
        <v>26</v>
      </c>
      <c r="D2510" t="s">
        <v>27</v>
      </c>
      <c r="E2510" s="2">
        <v>45975</v>
      </c>
      <c r="F2510" s="2">
        <v>45975</v>
      </c>
      <c r="G2510" s="3">
        <v>60</v>
      </c>
      <c r="H2510" t="s">
        <v>28</v>
      </c>
      <c r="I2510" s="28">
        <v>97</v>
      </c>
      <c r="J2510">
        <v>0</v>
      </c>
      <c r="K2510">
        <v>0</v>
      </c>
      <c r="L2510" s="3">
        <v>1</v>
      </c>
      <c r="M2510" s="3">
        <v>0</v>
      </c>
      <c r="N2510">
        <v>1</v>
      </c>
      <c r="O2510">
        <v>0</v>
      </c>
      <c r="P2510">
        <v>0</v>
      </c>
      <c r="Q2510">
        <v>0</v>
      </c>
      <c r="R2510" s="3">
        <v>0</v>
      </c>
      <c r="S2510" s="3">
        <v>0</v>
      </c>
      <c r="T2510">
        <v>0</v>
      </c>
      <c r="U2510">
        <v>0</v>
      </c>
      <c r="V2510" s="3">
        <v>0</v>
      </c>
      <c r="W2510" s="3">
        <v>0</v>
      </c>
      <c r="X2510">
        <v>0</v>
      </c>
      <c r="Y2510" t="s">
        <v>2005</v>
      </c>
    </row>
    <row r="2511" spans="1:25" hidden="1" x14ac:dyDescent="0.25">
      <c r="A2511" t="s">
        <v>56</v>
      </c>
      <c r="B2511" t="s">
        <v>98</v>
      </c>
      <c r="C2511" t="s">
        <v>37</v>
      </c>
      <c r="D2511" t="s">
        <v>27</v>
      </c>
      <c r="E2511" s="2">
        <v>45975</v>
      </c>
      <c r="F2511" s="2">
        <v>45975</v>
      </c>
      <c r="G2511" s="3">
        <v>26</v>
      </c>
      <c r="H2511" t="s">
        <v>28</v>
      </c>
      <c r="I2511" s="28">
        <v>90</v>
      </c>
      <c r="J2511">
        <v>0</v>
      </c>
      <c r="K2511">
        <v>0</v>
      </c>
      <c r="L2511" s="3">
        <v>1</v>
      </c>
      <c r="M2511" s="3">
        <v>0</v>
      </c>
      <c r="N2511">
        <v>0</v>
      </c>
      <c r="O2511">
        <v>0</v>
      </c>
      <c r="P2511">
        <v>0</v>
      </c>
      <c r="Q2511">
        <v>10</v>
      </c>
      <c r="R2511" s="3">
        <v>0</v>
      </c>
      <c r="S2511" s="3">
        <v>0</v>
      </c>
      <c r="T2511">
        <v>0</v>
      </c>
      <c r="U2511">
        <v>0</v>
      </c>
      <c r="V2511" s="3">
        <v>0</v>
      </c>
      <c r="W2511" s="3">
        <v>0</v>
      </c>
      <c r="X2511">
        <v>0</v>
      </c>
      <c r="Y2511" t="s">
        <v>2006</v>
      </c>
    </row>
    <row r="2512" spans="1:25" hidden="1" x14ac:dyDescent="0.25">
      <c r="A2512" t="s">
        <v>29</v>
      </c>
      <c r="B2512" t="s">
        <v>100</v>
      </c>
      <c r="C2512" t="s">
        <v>95</v>
      </c>
      <c r="D2512" t="s">
        <v>27</v>
      </c>
      <c r="E2512" s="2">
        <v>45975</v>
      </c>
      <c r="F2512" s="2">
        <v>45975</v>
      </c>
      <c r="G2512" s="3">
        <v>49</v>
      </c>
      <c r="H2512" t="s">
        <v>28</v>
      </c>
      <c r="I2512" s="28">
        <v>70</v>
      </c>
      <c r="J2512">
        <v>0</v>
      </c>
      <c r="K2512">
        <v>0</v>
      </c>
      <c r="L2512" s="3">
        <v>1</v>
      </c>
      <c r="M2512" s="3">
        <v>0</v>
      </c>
      <c r="N2512">
        <v>0</v>
      </c>
      <c r="O2512">
        <v>0</v>
      </c>
      <c r="P2512">
        <v>0</v>
      </c>
      <c r="Q2512">
        <v>15</v>
      </c>
      <c r="R2512" s="3">
        <v>0</v>
      </c>
      <c r="S2512" s="3">
        <v>0</v>
      </c>
      <c r="T2512">
        <v>0</v>
      </c>
      <c r="U2512">
        <v>0</v>
      </c>
      <c r="V2512" s="3">
        <v>0</v>
      </c>
      <c r="W2512" s="3">
        <v>0</v>
      </c>
      <c r="X2512">
        <v>0</v>
      </c>
      <c r="Y2512" t="s">
        <v>2007</v>
      </c>
    </row>
    <row r="2513" spans="1:25" hidden="1" x14ac:dyDescent="0.25">
      <c r="A2513" s="1" t="s">
        <v>344</v>
      </c>
      <c r="B2513" s="1" t="s">
        <v>102</v>
      </c>
      <c r="C2513" s="1" t="s">
        <v>35</v>
      </c>
      <c r="D2513" s="1" t="s">
        <v>27</v>
      </c>
      <c r="E2513" s="2">
        <v>45975</v>
      </c>
      <c r="F2513" s="2">
        <v>45975</v>
      </c>
      <c r="G2513" s="3">
        <v>29</v>
      </c>
      <c r="H2513" s="4" t="s">
        <v>28</v>
      </c>
      <c r="I2513" s="28">
        <v>41</v>
      </c>
      <c r="J2513">
        <v>0</v>
      </c>
      <c r="K2513">
        <v>0</v>
      </c>
      <c r="L2513" s="3">
        <v>0</v>
      </c>
      <c r="M2513" s="3">
        <v>0</v>
      </c>
      <c r="N2513">
        <v>0</v>
      </c>
      <c r="O2513">
        <v>0</v>
      </c>
      <c r="P2513">
        <v>0</v>
      </c>
      <c r="Q2513">
        <v>0</v>
      </c>
      <c r="R2513" s="3">
        <v>0</v>
      </c>
      <c r="S2513" s="3">
        <v>0</v>
      </c>
      <c r="T2513">
        <v>0</v>
      </c>
      <c r="U2513">
        <v>0</v>
      </c>
      <c r="V2513" s="3">
        <v>0</v>
      </c>
      <c r="W2513" s="3">
        <v>0</v>
      </c>
      <c r="X2513">
        <v>0</v>
      </c>
      <c r="Y2513" t="s">
        <v>1887</v>
      </c>
    </row>
    <row r="2514" spans="1:25" hidden="1" x14ac:dyDescent="0.25">
      <c r="A2514" t="s">
        <v>31</v>
      </c>
      <c r="B2514" t="s">
        <v>104</v>
      </c>
      <c r="C2514" t="s">
        <v>32</v>
      </c>
      <c r="D2514" t="s">
        <v>27</v>
      </c>
      <c r="E2514" s="2">
        <v>45975</v>
      </c>
      <c r="F2514" s="2">
        <v>45975</v>
      </c>
      <c r="G2514" s="3">
        <v>270</v>
      </c>
      <c r="H2514" t="s">
        <v>28</v>
      </c>
      <c r="I2514" s="28">
        <v>84</v>
      </c>
      <c r="J2514">
        <v>0</v>
      </c>
      <c r="K2514">
        <v>0</v>
      </c>
      <c r="L2514" s="3">
        <v>1</v>
      </c>
      <c r="M2514" s="3">
        <v>0</v>
      </c>
      <c r="N2514">
        <v>0</v>
      </c>
      <c r="O2514">
        <v>0</v>
      </c>
      <c r="P2514">
        <v>0</v>
      </c>
      <c r="Q2514">
        <v>37</v>
      </c>
      <c r="R2514" s="3">
        <v>0</v>
      </c>
      <c r="S2514" s="3">
        <v>0</v>
      </c>
      <c r="T2514">
        <v>0</v>
      </c>
      <c r="U2514">
        <v>0</v>
      </c>
      <c r="V2514" s="3">
        <v>0</v>
      </c>
      <c r="W2514" s="3">
        <v>0</v>
      </c>
      <c r="X2514">
        <v>0</v>
      </c>
      <c r="Y2514" t="s">
        <v>2008</v>
      </c>
    </row>
    <row r="2515" spans="1:25" hidden="1" x14ac:dyDescent="0.25">
      <c r="A2515" t="s">
        <v>33</v>
      </c>
      <c r="B2515" t="s">
        <v>106</v>
      </c>
      <c r="C2515" t="s">
        <v>57</v>
      </c>
      <c r="D2515" t="s">
        <v>27</v>
      </c>
      <c r="E2515" s="2">
        <v>45974</v>
      </c>
      <c r="F2515" s="2">
        <v>45974</v>
      </c>
      <c r="G2515" s="3">
        <v>40</v>
      </c>
      <c r="H2515" t="s">
        <v>28</v>
      </c>
      <c r="I2515" s="28">
        <v>45</v>
      </c>
      <c r="J2515">
        <v>0</v>
      </c>
      <c r="K2515">
        <v>0</v>
      </c>
      <c r="L2515" s="3">
        <v>0</v>
      </c>
      <c r="M2515" s="3">
        <v>0</v>
      </c>
      <c r="N2515">
        <v>0</v>
      </c>
      <c r="O2515">
        <v>0</v>
      </c>
      <c r="P2515">
        <v>0</v>
      </c>
      <c r="Q2515">
        <v>0</v>
      </c>
      <c r="R2515" s="3">
        <v>0</v>
      </c>
      <c r="S2515" s="3">
        <v>0</v>
      </c>
      <c r="T2515">
        <v>0</v>
      </c>
      <c r="U2515">
        <v>0</v>
      </c>
      <c r="V2515" s="3">
        <v>0</v>
      </c>
      <c r="W2515" s="3">
        <v>0</v>
      </c>
      <c r="X2515">
        <v>0</v>
      </c>
      <c r="Y2515" t="s">
        <v>2009</v>
      </c>
    </row>
    <row r="2516" spans="1:25" hidden="1" x14ac:dyDescent="0.25">
      <c r="A2516" t="s">
        <v>34</v>
      </c>
      <c r="B2516" t="s">
        <v>247</v>
      </c>
      <c r="C2516" t="s">
        <v>55</v>
      </c>
      <c r="D2516" t="s">
        <v>27</v>
      </c>
      <c r="E2516" s="2">
        <v>45975</v>
      </c>
      <c r="F2516" s="2">
        <v>45975</v>
      </c>
      <c r="G2516" s="3">
        <v>52</v>
      </c>
      <c r="H2516" t="s">
        <v>28</v>
      </c>
      <c r="I2516" s="28">
        <v>43</v>
      </c>
      <c r="J2516">
        <v>0</v>
      </c>
      <c r="K2516">
        <v>0</v>
      </c>
      <c r="L2516" s="3">
        <v>1</v>
      </c>
      <c r="M2516" s="3">
        <v>0</v>
      </c>
      <c r="N2516">
        <v>1</v>
      </c>
      <c r="O2516">
        <v>0</v>
      </c>
      <c r="P2516">
        <v>0</v>
      </c>
      <c r="Q2516">
        <v>0</v>
      </c>
      <c r="R2516" s="3">
        <v>0</v>
      </c>
      <c r="S2516" s="3">
        <v>0</v>
      </c>
      <c r="T2516">
        <v>0</v>
      </c>
      <c r="U2516">
        <v>0</v>
      </c>
      <c r="V2516" s="3">
        <v>0</v>
      </c>
      <c r="W2516" s="3">
        <v>0</v>
      </c>
      <c r="X2516">
        <v>0</v>
      </c>
      <c r="Y2516" t="s">
        <v>2010</v>
      </c>
    </row>
    <row r="2517" spans="1:25" hidden="1" x14ac:dyDescent="0.25">
      <c r="A2517" t="s">
        <v>38</v>
      </c>
      <c r="B2517" t="s">
        <v>108</v>
      </c>
      <c r="C2517" t="s">
        <v>27</v>
      </c>
      <c r="D2517" t="s">
        <v>27</v>
      </c>
      <c r="E2517" s="2">
        <v>45975</v>
      </c>
      <c r="F2517" s="2">
        <v>45975</v>
      </c>
      <c r="G2517" s="3">
        <v>44</v>
      </c>
      <c r="H2517" t="s">
        <v>28</v>
      </c>
      <c r="I2517" s="28">
        <v>59</v>
      </c>
      <c r="J2517">
        <v>0</v>
      </c>
      <c r="K2517">
        <v>0</v>
      </c>
      <c r="L2517" s="3">
        <v>0</v>
      </c>
      <c r="M2517" s="3">
        <v>0</v>
      </c>
      <c r="N2517">
        <v>0</v>
      </c>
      <c r="O2517">
        <v>0</v>
      </c>
      <c r="P2517">
        <v>0</v>
      </c>
      <c r="Q2517">
        <v>59</v>
      </c>
      <c r="R2517" s="3">
        <v>0</v>
      </c>
      <c r="S2517" s="3">
        <v>0</v>
      </c>
      <c r="T2517">
        <v>0</v>
      </c>
      <c r="U2517">
        <v>0</v>
      </c>
      <c r="V2517" s="3">
        <v>0</v>
      </c>
      <c r="W2517" s="3">
        <v>0</v>
      </c>
      <c r="X2517">
        <v>0</v>
      </c>
      <c r="Y2517" t="s">
        <v>2011</v>
      </c>
    </row>
    <row r="2518" spans="1:25" hidden="1" x14ac:dyDescent="0.25">
      <c r="A2518" t="s">
        <v>38</v>
      </c>
      <c r="B2518" t="s">
        <v>108</v>
      </c>
      <c r="C2518" t="s">
        <v>27</v>
      </c>
      <c r="D2518" t="s">
        <v>27</v>
      </c>
      <c r="E2518" s="2">
        <v>45975</v>
      </c>
      <c r="F2518" s="2">
        <v>45975</v>
      </c>
      <c r="G2518" s="3">
        <v>62</v>
      </c>
      <c r="H2518" t="s">
        <v>28</v>
      </c>
      <c r="I2518" s="28">
        <v>59</v>
      </c>
      <c r="J2518">
        <v>0</v>
      </c>
      <c r="K2518">
        <v>0</v>
      </c>
      <c r="L2518" s="3">
        <v>0</v>
      </c>
      <c r="M2518" s="3">
        <v>0</v>
      </c>
      <c r="N2518">
        <v>0</v>
      </c>
      <c r="O2518">
        <v>0</v>
      </c>
      <c r="P2518">
        <v>0</v>
      </c>
      <c r="Q2518">
        <v>59</v>
      </c>
      <c r="R2518" s="3">
        <v>0</v>
      </c>
      <c r="S2518" s="3">
        <v>0</v>
      </c>
      <c r="T2518">
        <v>0</v>
      </c>
      <c r="U2518">
        <v>0</v>
      </c>
      <c r="V2518" s="3">
        <v>0</v>
      </c>
      <c r="W2518" s="3">
        <v>0</v>
      </c>
      <c r="X2518">
        <v>0</v>
      </c>
      <c r="Y2518" t="s">
        <v>2012</v>
      </c>
    </row>
    <row r="2519" spans="1:25" hidden="1" x14ac:dyDescent="0.25">
      <c r="A2519" t="s">
        <v>40</v>
      </c>
      <c r="B2519" t="s">
        <v>110</v>
      </c>
      <c r="C2519" t="s">
        <v>27</v>
      </c>
      <c r="D2519" t="s">
        <v>27</v>
      </c>
      <c r="E2519" s="2">
        <v>45975</v>
      </c>
      <c r="F2519" s="2">
        <v>45975</v>
      </c>
      <c r="G2519" s="3">
        <v>175</v>
      </c>
      <c r="H2519" t="s">
        <v>28</v>
      </c>
      <c r="I2519" s="28">
        <v>76</v>
      </c>
      <c r="J2519">
        <v>0</v>
      </c>
      <c r="K2519">
        <v>0</v>
      </c>
      <c r="L2519" s="3">
        <v>1</v>
      </c>
      <c r="M2519" s="3">
        <v>0</v>
      </c>
      <c r="N2519">
        <v>0</v>
      </c>
      <c r="O2519">
        <v>0</v>
      </c>
      <c r="P2519">
        <v>0</v>
      </c>
      <c r="Q2519">
        <v>30</v>
      </c>
      <c r="R2519" s="3">
        <v>0</v>
      </c>
      <c r="S2519" s="3">
        <v>0</v>
      </c>
      <c r="T2519">
        <v>0</v>
      </c>
      <c r="U2519">
        <v>0</v>
      </c>
      <c r="V2519" s="3">
        <v>0</v>
      </c>
      <c r="W2519" s="3">
        <v>0</v>
      </c>
      <c r="X2519">
        <v>0</v>
      </c>
      <c r="Y2519" t="s">
        <v>2013</v>
      </c>
    </row>
    <row r="2520" spans="1:25" hidden="1" x14ac:dyDescent="0.25">
      <c r="A2520" t="s">
        <v>36</v>
      </c>
      <c r="B2520" t="s">
        <v>110</v>
      </c>
      <c r="C2520" t="s">
        <v>27</v>
      </c>
      <c r="D2520" t="s">
        <v>27</v>
      </c>
      <c r="E2520" s="2">
        <v>45975</v>
      </c>
      <c r="F2520" s="2">
        <v>45975</v>
      </c>
      <c r="G2520" s="3">
        <v>175</v>
      </c>
      <c r="H2520" t="s">
        <v>28</v>
      </c>
      <c r="I2520" s="28">
        <v>76</v>
      </c>
      <c r="J2520">
        <v>0</v>
      </c>
      <c r="K2520">
        <v>0</v>
      </c>
      <c r="L2520" s="3">
        <v>1</v>
      </c>
      <c r="M2520" s="3">
        <v>0</v>
      </c>
      <c r="N2520">
        <v>0</v>
      </c>
      <c r="O2520">
        <v>0</v>
      </c>
      <c r="P2520">
        <v>0</v>
      </c>
      <c r="Q2520">
        <v>30</v>
      </c>
      <c r="R2520" s="3">
        <v>0</v>
      </c>
      <c r="S2520" s="3">
        <v>0</v>
      </c>
      <c r="T2520">
        <v>0</v>
      </c>
      <c r="U2520">
        <v>0</v>
      </c>
      <c r="V2520" s="3">
        <v>0</v>
      </c>
      <c r="W2520" s="3">
        <v>0</v>
      </c>
      <c r="X2520">
        <v>0</v>
      </c>
      <c r="Y2520" t="s">
        <v>2013</v>
      </c>
    </row>
    <row r="2521" spans="1:25" hidden="1" x14ac:dyDescent="0.25">
      <c r="A2521" t="s">
        <v>1454</v>
      </c>
      <c r="B2521" t="s">
        <v>1455</v>
      </c>
      <c r="C2521" t="s">
        <v>27</v>
      </c>
      <c r="D2521" t="s">
        <v>27</v>
      </c>
      <c r="E2521" s="2">
        <v>45975</v>
      </c>
      <c r="F2521" s="2">
        <v>45975</v>
      </c>
      <c r="G2521" s="3">
        <v>55</v>
      </c>
      <c r="H2521" t="s">
        <v>28</v>
      </c>
      <c r="I2521" s="28">
        <v>45</v>
      </c>
      <c r="J2521">
        <v>0</v>
      </c>
      <c r="K2521">
        <v>0</v>
      </c>
      <c r="L2521" s="3">
        <v>1</v>
      </c>
      <c r="M2521" s="3">
        <v>0</v>
      </c>
      <c r="N2521">
        <v>0</v>
      </c>
      <c r="O2521">
        <v>0</v>
      </c>
      <c r="P2521">
        <v>0</v>
      </c>
      <c r="Q2521">
        <v>45</v>
      </c>
      <c r="R2521" s="3">
        <v>0</v>
      </c>
      <c r="S2521" s="3">
        <v>0</v>
      </c>
      <c r="T2521">
        <v>0</v>
      </c>
      <c r="U2521">
        <v>0</v>
      </c>
      <c r="V2521" s="3">
        <v>0</v>
      </c>
      <c r="W2521" s="3">
        <v>0</v>
      </c>
      <c r="X2521">
        <v>0</v>
      </c>
      <c r="Y2521" t="s">
        <v>2014</v>
      </c>
    </row>
    <row r="2522" spans="1:25" hidden="1" x14ac:dyDescent="0.25">
      <c r="A2522" t="s">
        <v>1454</v>
      </c>
      <c r="B2522" t="s">
        <v>1455</v>
      </c>
      <c r="C2522" t="s">
        <v>27</v>
      </c>
      <c r="D2522" t="s">
        <v>27</v>
      </c>
      <c r="E2522" s="2">
        <v>45975</v>
      </c>
      <c r="F2522" s="2">
        <v>45975</v>
      </c>
      <c r="G2522" s="3">
        <v>79</v>
      </c>
      <c r="H2522" t="s">
        <v>28</v>
      </c>
      <c r="I2522" s="28">
        <v>45</v>
      </c>
      <c r="J2522">
        <v>0</v>
      </c>
      <c r="K2522">
        <v>0</v>
      </c>
      <c r="L2522" s="3">
        <v>1</v>
      </c>
      <c r="M2522" s="3">
        <v>0</v>
      </c>
      <c r="N2522">
        <v>0</v>
      </c>
      <c r="O2522">
        <v>0</v>
      </c>
      <c r="P2522">
        <v>0</v>
      </c>
      <c r="Q2522">
        <v>45</v>
      </c>
      <c r="R2522" s="3">
        <v>0</v>
      </c>
      <c r="S2522" s="3">
        <v>0</v>
      </c>
      <c r="T2522">
        <v>0</v>
      </c>
      <c r="U2522">
        <v>0</v>
      </c>
      <c r="V2522" s="3">
        <v>0</v>
      </c>
      <c r="W2522" s="3">
        <v>0</v>
      </c>
      <c r="X2522">
        <v>0</v>
      </c>
      <c r="Y2522" t="s">
        <v>2015</v>
      </c>
    </row>
    <row r="2523" spans="1:25" hidden="1" x14ac:dyDescent="0.25">
      <c r="A2523" t="s">
        <v>41</v>
      </c>
      <c r="B2523" t="s">
        <v>112</v>
      </c>
      <c r="C2523" t="s">
        <v>42</v>
      </c>
      <c r="D2523" t="s">
        <v>27</v>
      </c>
      <c r="E2523" s="2">
        <v>45975</v>
      </c>
      <c r="F2523" s="2">
        <v>45975</v>
      </c>
      <c r="G2523" s="3">
        <v>59</v>
      </c>
      <c r="H2523" t="s">
        <v>28</v>
      </c>
      <c r="I2523" s="28">
        <v>51</v>
      </c>
      <c r="J2523">
        <v>0</v>
      </c>
      <c r="K2523">
        <v>0</v>
      </c>
      <c r="L2523" s="3">
        <v>1</v>
      </c>
      <c r="M2523" s="3">
        <v>0</v>
      </c>
      <c r="N2523">
        <v>0</v>
      </c>
      <c r="O2523">
        <v>0</v>
      </c>
      <c r="P2523">
        <v>0</v>
      </c>
      <c r="Q2523">
        <v>0</v>
      </c>
      <c r="R2523" s="3">
        <v>0</v>
      </c>
      <c r="S2523" s="3">
        <v>0</v>
      </c>
      <c r="T2523">
        <v>0</v>
      </c>
      <c r="U2523">
        <v>0</v>
      </c>
      <c r="V2523" s="3">
        <v>0</v>
      </c>
      <c r="W2523" s="3">
        <v>0</v>
      </c>
      <c r="X2523">
        <v>0</v>
      </c>
      <c r="Y2523" t="s">
        <v>2016</v>
      </c>
    </row>
    <row r="2524" spans="1:25" hidden="1" x14ac:dyDescent="0.25">
      <c r="A2524" t="s">
        <v>43</v>
      </c>
      <c r="B2524" t="s">
        <v>114</v>
      </c>
      <c r="C2524" t="s">
        <v>44</v>
      </c>
      <c r="D2524" t="s">
        <v>27</v>
      </c>
      <c r="E2524" s="2">
        <v>45975</v>
      </c>
      <c r="F2524" s="2">
        <v>45975</v>
      </c>
      <c r="G2524" s="3">
        <v>30</v>
      </c>
      <c r="H2524" t="s">
        <v>28</v>
      </c>
      <c r="I2524" s="28">
        <v>63</v>
      </c>
      <c r="J2524">
        <v>0</v>
      </c>
      <c r="K2524">
        <v>0</v>
      </c>
      <c r="L2524" s="3">
        <v>0</v>
      </c>
      <c r="M2524" s="3">
        <v>0</v>
      </c>
      <c r="N2524">
        <v>0</v>
      </c>
      <c r="O2524">
        <v>0</v>
      </c>
      <c r="P2524">
        <v>0</v>
      </c>
      <c r="Q2524">
        <v>0</v>
      </c>
      <c r="R2524" s="3">
        <v>0</v>
      </c>
      <c r="S2524" s="3">
        <v>0</v>
      </c>
      <c r="T2524">
        <v>0</v>
      </c>
      <c r="U2524">
        <v>0</v>
      </c>
      <c r="V2524" s="3">
        <v>0</v>
      </c>
      <c r="W2524" s="3">
        <v>0</v>
      </c>
      <c r="X2524">
        <v>0</v>
      </c>
      <c r="Y2524" t="s">
        <v>2017</v>
      </c>
    </row>
    <row r="2525" spans="1:25" hidden="1" x14ac:dyDescent="0.25">
      <c r="A2525" s="1" t="s">
        <v>45</v>
      </c>
      <c r="B2525" s="1" t="s">
        <v>116</v>
      </c>
      <c r="C2525" s="1" t="s">
        <v>27</v>
      </c>
      <c r="D2525" s="1" t="s">
        <v>27</v>
      </c>
      <c r="E2525" s="2">
        <v>45974</v>
      </c>
      <c r="F2525" s="2">
        <v>45974</v>
      </c>
      <c r="G2525" s="3">
        <v>55</v>
      </c>
      <c r="H2525" s="4" t="s">
        <v>763</v>
      </c>
      <c r="I2525" s="28">
        <v>0</v>
      </c>
      <c r="J2525">
        <v>0</v>
      </c>
      <c r="K2525">
        <v>0</v>
      </c>
      <c r="L2525" s="3">
        <v>0</v>
      </c>
      <c r="M2525" s="3">
        <v>0</v>
      </c>
      <c r="N2525">
        <v>0</v>
      </c>
      <c r="O2525">
        <v>0</v>
      </c>
      <c r="P2525">
        <v>0</v>
      </c>
      <c r="Q2525">
        <v>0</v>
      </c>
      <c r="R2525" s="3">
        <v>0</v>
      </c>
      <c r="S2525" s="3">
        <v>0</v>
      </c>
      <c r="T2525">
        <v>0</v>
      </c>
      <c r="U2525">
        <v>0</v>
      </c>
      <c r="V2525" s="3">
        <v>0</v>
      </c>
      <c r="W2525" s="3">
        <v>0</v>
      </c>
      <c r="X2525">
        <v>0</v>
      </c>
      <c r="Y2525" t="s">
        <v>1986</v>
      </c>
    </row>
    <row r="2526" spans="1:25" hidden="1" x14ac:dyDescent="0.25">
      <c r="A2526" t="s">
        <v>45</v>
      </c>
      <c r="B2526" t="s">
        <v>116</v>
      </c>
      <c r="C2526" t="s">
        <v>1316</v>
      </c>
      <c r="D2526" t="s">
        <v>27</v>
      </c>
      <c r="E2526" s="2">
        <v>45975</v>
      </c>
      <c r="F2526" s="2">
        <v>45975</v>
      </c>
      <c r="G2526" s="3">
        <v>45</v>
      </c>
      <c r="H2526" t="s">
        <v>28</v>
      </c>
      <c r="I2526" s="28">
        <v>70</v>
      </c>
      <c r="J2526">
        <v>0</v>
      </c>
      <c r="K2526">
        <v>0</v>
      </c>
      <c r="L2526" s="3">
        <v>1</v>
      </c>
      <c r="M2526" s="3">
        <v>0</v>
      </c>
      <c r="N2526">
        <v>0</v>
      </c>
      <c r="O2526">
        <v>0</v>
      </c>
      <c r="P2526">
        <v>0</v>
      </c>
      <c r="Q2526">
        <v>0</v>
      </c>
      <c r="R2526" s="3">
        <v>0</v>
      </c>
      <c r="S2526" s="3">
        <v>0</v>
      </c>
      <c r="T2526">
        <v>0</v>
      </c>
      <c r="U2526">
        <v>0</v>
      </c>
      <c r="V2526" s="3">
        <v>0</v>
      </c>
      <c r="W2526" s="3">
        <v>0</v>
      </c>
      <c r="X2526">
        <v>0</v>
      </c>
      <c r="Y2526" t="s">
        <v>2018</v>
      </c>
    </row>
    <row r="2527" spans="1:25" hidden="1" x14ac:dyDescent="0.25">
      <c r="A2527" t="s">
        <v>49</v>
      </c>
      <c r="B2527" t="s">
        <v>118</v>
      </c>
      <c r="C2527" t="s">
        <v>50</v>
      </c>
      <c r="D2527" t="s">
        <v>27</v>
      </c>
      <c r="E2527" s="2">
        <v>45975</v>
      </c>
      <c r="F2527" s="2">
        <v>45975</v>
      </c>
      <c r="G2527" s="3">
        <v>26</v>
      </c>
      <c r="H2527" t="s">
        <v>28</v>
      </c>
      <c r="I2527" s="28">
        <v>41</v>
      </c>
      <c r="J2527">
        <v>0</v>
      </c>
      <c r="K2527">
        <v>0</v>
      </c>
      <c r="L2527" s="3">
        <v>1</v>
      </c>
      <c r="M2527" s="3">
        <v>1</v>
      </c>
      <c r="N2527">
        <v>0</v>
      </c>
      <c r="O2527">
        <v>0</v>
      </c>
      <c r="P2527">
        <v>0</v>
      </c>
      <c r="Q2527">
        <v>41</v>
      </c>
      <c r="R2527" s="3">
        <v>0</v>
      </c>
      <c r="S2527" s="3">
        <v>0</v>
      </c>
      <c r="T2527">
        <v>0</v>
      </c>
      <c r="U2527">
        <v>0</v>
      </c>
      <c r="V2527" s="3">
        <v>0</v>
      </c>
      <c r="W2527" s="3">
        <v>0</v>
      </c>
      <c r="X2527">
        <v>0</v>
      </c>
      <c r="Y2527" t="s">
        <v>2019</v>
      </c>
    </row>
    <row r="2528" spans="1:25" hidden="1" x14ac:dyDescent="0.25">
      <c r="A2528" t="s">
        <v>54</v>
      </c>
      <c r="B2528" t="s">
        <v>122</v>
      </c>
      <c r="C2528" t="s">
        <v>52</v>
      </c>
      <c r="D2528" t="s">
        <v>27</v>
      </c>
      <c r="E2528" s="2">
        <v>45975</v>
      </c>
      <c r="F2528" s="2">
        <v>45975</v>
      </c>
      <c r="G2528" s="3">
        <v>37</v>
      </c>
      <c r="H2528" t="s">
        <v>28</v>
      </c>
      <c r="I2528" s="28">
        <v>55</v>
      </c>
      <c r="J2528">
        <v>0</v>
      </c>
      <c r="K2528">
        <v>0</v>
      </c>
      <c r="L2528" s="3">
        <v>0</v>
      </c>
      <c r="M2528" s="3">
        <v>0</v>
      </c>
      <c r="N2528">
        <v>0</v>
      </c>
      <c r="O2528">
        <v>0</v>
      </c>
      <c r="P2528">
        <v>0</v>
      </c>
      <c r="Q2528">
        <v>2</v>
      </c>
      <c r="R2528" s="3">
        <v>0</v>
      </c>
      <c r="S2528" s="3">
        <v>0</v>
      </c>
      <c r="T2528">
        <v>0</v>
      </c>
      <c r="U2528">
        <v>0</v>
      </c>
      <c r="V2528" s="3">
        <v>0</v>
      </c>
      <c r="W2528" s="3">
        <v>0</v>
      </c>
      <c r="X2528">
        <v>0</v>
      </c>
      <c r="Y2528" t="s">
        <v>2020</v>
      </c>
    </row>
    <row r="2529" spans="1:25" hidden="1" x14ac:dyDescent="0.25">
      <c r="A2529" t="s">
        <v>58</v>
      </c>
      <c r="B2529" t="s">
        <v>144</v>
      </c>
      <c r="C2529" t="s">
        <v>489</v>
      </c>
      <c r="D2529" t="s">
        <v>27</v>
      </c>
      <c r="E2529" s="2">
        <v>45975</v>
      </c>
      <c r="F2529" s="2">
        <v>45975</v>
      </c>
      <c r="G2529" s="3">
        <v>25</v>
      </c>
      <c r="H2529" t="s">
        <v>28</v>
      </c>
      <c r="I2529" s="28">
        <v>90</v>
      </c>
      <c r="J2529">
        <v>0</v>
      </c>
      <c r="K2529">
        <v>0</v>
      </c>
      <c r="L2529" s="3">
        <v>1</v>
      </c>
      <c r="M2529" s="3">
        <v>0</v>
      </c>
      <c r="N2529">
        <v>0</v>
      </c>
      <c r="O2529">
        <v>0</v>
      </c>
      <c r="P2529">
        <v>0</v>
      </c>
      <c r="Q2529">
        <v>48</v>
      </c>
      <c r="R2529" s="3">
        <v>0</v>
      </c>
      <c r="S2529" s="3">
        <v>0</v>
      </c>
      <c r="T2529">
        <v>0</v>
      </c>
      <c r="U2529">
        <v>0</v>
      </c>
      <c r="V2529" s="3">
        <v>0</v>
      </c>
      <c r="W2529" s="3">
        <v>0</v>
      </c>
      <c r="X2529">
        <v>1</v>
      </c>
      <c r="Y2529" t="s">
        <v>2021</v>
      </c>
    </row>
    <row r="2530" spans="1:25" hidden="1" x14ac:dyDescent="0.25">
      <c r="A2530" t="s">
        <v>47</v>
      </c>
      <c r="B2530" t="s">
        <v>106</v>
      </c>
      <c r="C2530" t="s">
        <v>2022</v>
      </c>
      <c r="D2530" t="s">
        <v>27</v>
      </c>
      <c r="E2530" s="2">
        <v>45975</v>
      </c>
      <c r="F2530" s="2">
        <v>45975</v>
      </c>
      <c r="G2530" s="3">
        <v>26</v>
      </c>
      <c r="H2530" t="s">
        <v>28</v>
      </c>
      <c r="I2530" s="28">
        <v>55</v>
      </c>
      <c r="J2530">
        <v>0</v>
      </c>
      <c r="K2530">
        <v>0</v>
      </c>
      <c r="L2530" s="3">
        <v>0</v>
      </c>
      <c r="M2530" s="3">
        <v>0</v>
      </c>
      <c r="N2530">
        <v>0</v>
      </c>
      <c r="O2530">
        <v>0</v>
      </c>
      <c r="P2530">
        <v>0</v>
      </c>
      <c r="Q2530">
        <v>0</v>
      </c>
      <c r="R2530" s="3">
        <v>0</v>
      </c>
      <c r="S2530" s="3">
        <v>0</v>
      </c>
      <c r="T2530">
        <v>0</v>
      </c>
      <c r="U2530">
        <v>0</v>
      </c>
      <c r="V2530" s="3">
        <v>0</v>
      </c>
      <c r="W2530" s="3">
        <v>0</v>
      </c>
      <c r="X2530" s="3">
        <v>0</v>
      </c>
      <c r="Y2530" t="s">
        <v>2021</v>
      </c>
    </row>
    <row r="2531" spans="1:25" hidden="1" x14ac:dyDescent="0.25">
      <c r="A2531" s="1" t="s">
        <v>27</v>
      </c>
      <c r="B2531" s="1" t="s">
        <v>123</v>
      </c>
      <c r="C2531" s="1" t="s">
        <v>46</v>
      </c>
      <c r="D2531" s="1" t="s">
        <v>27</v>
      </c>
      <c r="E2531" s="2">
        <v>45975</v>
      </c>
      <c r="F2531" s="2">
        <v>45975</v>
      </c>
      <c r="G2531" s="3">
        <v>45</v>
      </c>
      <c r="H2531" s="4" t="s">
        <v>1975</v>
      </c>
      <c r="I2531" s="28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1973</v>
      </c>
    </row>
    <row r="2532" spans="1:25" hidden="1" x14ac:dyDescent="0.25">
      <c r="A2532" s="1" t="s">
        <v>48</v>
      </c>
      <c r="B2532" s="1" t="s">
        <v>98</v>
      </c>
      <c r="C2532" s="1" t="s">
        <v>27</v>
      </c>
      <c r="D2532" s="1" t="s">
        <v>27</v>
      </c>
      <c r="E2532" s="2">
        <v>45975</v>
      </c>
      <c r="F2532" s="2">
        <v>45975</v>
      </c>
      <c r="G2532" s="3">
        <v>46</v>
      </c>
      <c r="H2532" s="4" t="s">
        <v>180</v>
      </c>
      <c r="I2532" s="28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1973</v>
      </c>
    </row>
    <row r="2533" spans="1:25" hidden="1" x14ac:dyDescent="0.25">
      <c r="A2533" t="s">
        <v>51</v>
      </c>
      <c r="B2533" s="1" t="s">
        <v>125</v>
      </c>
      <c r="C2533" s="1" t="s">
        <v>27</v>
      </c>
      <c r="D2533" s="1" t="s">
        <v>27</v>
      </c>
      <c r="E2533" s="2">
        <v>45975</v>
      </c>
      <c r="F2533" s="2">
        <v>45975</v>
      </c>
      <c r="G2533" s="3">
        <v>47</v>
      </c>
      <c r="H2533" s="4" t="s">
        <v>180</v>
      </c>
      <c r="I2533" s="28">
        <v>0</v>
      </c>
      <c r="J2533">
        <v>0</v>
      </c>
      <c r="K2533">
        <v>0</v>
      </c>
      <c r="L2533" s="3">
        <v>0</v>
      </c>
      <c r="M2533" s="3">
        <v>0</v>
      </c>
      <c r="N2533">
        <v>0</v>
      </c>
      <c r="O2533">
        <v>0</v>
      </c>
      <c r="P2533">
        <v>0</v>
      </c>
      <c r="Q2533">
        <v>0</v>
      </c>
      <c r="R2533" s="3">
        <v>0</v>
      </c>
      <c r="S2533" s="3">
        <v>0</v>
      </c>
      <c r="T2533">
        <v>0</v>
      </c>
      <c r="U2533">
        <v>0</v>
      </c>
      <c r="V2533" s="3">
        <v>0</v>
      </c>
      <c r="W2533" s="3">
        <v>0</v>
      </c>
      <c r="X2533" s="3">
        <v>0</v>
      </c>
      <c r="Y2533" t="s">
        <v>2021</v>
      </c>
    </row>
    <row r="2534" spans="1:25" hidden="1" x14ac:dyDescent="0.25">
      <c r="A2534" t="s">
        <v>56</v>
      </c>
      <c r="B2534" t="s">
        <v>98</v>
      </c>
      <c r="C2534" t="s">
        <v>44</v>
      </c>
      <c r="D2534" t="s">
        <v>27</v>
      </c>
      <c r="E2534" s="2">
        <v>45976</v>
      </c>
      <c r="F2534" s="2">
        <v>45976</v>
      </c>
      <c r="G2534" s="3">
        <v>42</v>
      </c>
      <c r="H2534" t="s">
        <v>28</v>
      </c>
      <c r="I2534" s="28">
        <v>0</v>
      </c>
      <c r="J2534">
        <v>0</v>
      </c>
      <c r="K2534">
        <v>0</v>
      </c>
      <c r="L2534" s="3">
        <v>1</v>
      </c>
      <c r="M2534" s="3">
        <v>0</v>
      </c>
      <c r="N2534">
        <v>0</v>
      </c>
      <c r="O2534">
        <v>0</v>
      </c>
      <c r="P2534">
        <v>0</v>
      </c>
      <c r="Q2534">
        <v>10</v>
      </c>
      <c r="R2534" s="3">
        <v>1</v>
      </c>
      <c r="S2534" s="3">
        <v>0</v>
      </c>
      <c r="T2534">
        <v>20</v>
      </c>
      <c r="U2534">
        <v>41</v>
      </c>
      <c r="V2534" s="3">
        <v>1</v>
      </c>
      <c r="W2534" s="3">
        <v>0</v>
      </c>
      <c r="X2534">
        <v>0</v>
      </c>
      <c r="Y2534" t="s">
        <v>2023</v>
      </c>
    </row>
    <row r="2535" spans="1:25" hidden="1" x14ac:dyDescent="0.25">
      <c r="A2535" t="s">
        <v>41</v>
      </c>
      <c r="B2535" t="s">
        <v>112</v>
      </c>
      <c r="C2535" t="s">
        <v>42</v>
      </c>
      <c r="D2535" t="s">
        <v>27</v>
      </c>
      <c r="E2535" s="2">
        <v>45976</v>
      </c>
      <c r="F2535" s="2">
        <v>45976</v>
      </c>
      <c r="G2535" s="3">
        <v>683</v>
      </c>
      <c r="H2535" t="s">
        <v>28</v>
      </c>
      <c r="I2535" s="28">
        <v>0</v>
      </c>
      <c r="J2535">
        <v>0</v>
      </c>
      <c r="K2535">
        <v>0</v>
      </c>
      <c r="L2535" s="3">
        <v>0</v>
      </c>
      <c r="M2535" s="3">
        <v>0</v>
      </c>
      <c r="N2535">
        <v>0</v>
      </c>
      <c r="O2535">
        <v>0</v>
      </c>
      <c r="P2535">
        <v>0</v>
      </c>
      <c r="Q2535">
        <v>13</v>
      </c>
      <c r="R2535" s="3">
        <v>1</v>
      </c>
      <c r="S2535" s="3">
        <v>0</v>
      </c>
      <c r="T2535">
        <v>28</v>
      </c>
      <c r="U2535">
        <v>20</v>
      </c>
      <c r="V2535" s="3">
        <v>1</v>
      </c>
      <c r="W2535" s="3">
        <v>0</v>
      </c>
      <c r="X2535">
        <v>0</v>
      </c>
      <c r="Y2535" t="s">
        <v>2024</v>
      </c>
    </row>
    <row r="2536" spans="1:25" hidden="1" x14ac:dyDescent="0.25">
      <c r="A2536" t="s">
        <v>56</v>
      </c>
      <c r="B2536" t="s">
        <v>98</v>
      </c>
      <c r="C2536" t="s">
        <v>44</v>
      </c>
      <c r="D2536" t="s">
        <v>27</v>
      </c>
      <c r="E2536" s="2">
        <v>45977</v>
      </c>
      <c r="F2536" s="2">
        <v>45977</v>
      </c>
      <c r="G2536" s="3">
        <v>42</v>
      </c>
      <c r="H2536" t="s">
        <v>28</v>
      </c>
      <c r="I2536" s="28">
        <v>0</v>
      </c>
      <c r="J2536">
        <v>0</v>
      </c>
      <c r="K2536">
        <v>0</v>
      </c>
      <c r="L2536" s="3">
        <v>1</v>
      </c>
      <c r="M2536" s="3">
        <v>1</v>
      </c>
      <c r="N2536">
        <v>0</v>
      </c>
      <c r="O2536">
        <v>0</v>
      </c>
      <c r="P2536">
        <v>0</v>
      </c>
      <c r="Q2536">
        <v>10</v>
      </c>
      <c r="R2536" s="3">
        <v>0</v>
      </c>
      <c r="S2536" s="3">
        <v>1</v>
      </c>
      <c r="T2536">
        <v>10</v>
      </c>
      <c r="U2536">
        <v>100</v>
      </c>
      <c r="V2536" s="3">
        <v>0</v>
      </c>
      <c r="W2536" s="3">
        <v>1</v>
      </c>
      <c r="X2536">
        <v>2</v>
      </c>
      <c r="Y2536" t="s">
        <v>2025</v>
      </c>
    </row>
    <row r="2537" spans="1:25" hidden="1" x14ac:dyDescent="0.25">
      <c r="A2537" t="s">
        <v>25</v>
      </c>
      <c r="B2537" t="s">
        <v>96</v>
      </c>
      <c r="C2537" t="s">
        <v>26</v>
      </c>
      <c r="D2537" t="s">
        <v>27</v>
      </c>
      <c r="E2537" s="2">
        <v>45978</v>
      </c>
      <c r="F2537" s="2">
        <v>45978</v>
      </c>
      <c r="G2537" s="3">
        <v>37</v>
      </c>
      <c r="H2537" t="s">
        <v>28</v>
      </c>
      <c r="I2537" s="28">
        <v>80</v>
      </c>
      <c r="J2537">
        <v>0</v>
      </c>
      <c r="K2537">
        <v>0</v>
      </c>
      <c r="L2537" s="3">
        <v>1</v>
      </c>
      <c r="M2537" s="3">
        <v>0</v>
      </c>
      <c r="N2537">
        <v>1</v>
      </c>
      <c r="O2537">
        <v>0</v>
      </c>
      <c r="P2537">
        <v>0</v>
      </c>
      <c r="Q2537">
        <v>0</v>
      </c>
      <c r="R2537" s="3">
        <v>0</v>
      </c>
      <c r="S2537" s="3">
        <v>0</v>
      </c>
      <c r="T2537">
        <v>0</v>
      </c>
      <c r="U2537">
        <v>0</v>
      </c>
      <c r="V2537" s="3">
        <v>0</v>
      </c>
      <c r="W2537" s="3">
        <v>0</v>
      </c>
      <c r="X2537">
        <v>0</v>
      </c>
      <c r="Y2537" t="s">
        <v>2026</v>
      </c>
    </row>
    <row r="2538" spans="1:25" hidden="1" x14ac:dyDescent="0.25">
      <c r="A2538" t="s">
        <v>56</v>
      </c>
      <c r="B2538" t="s">
        <v>98</v>
      </c>
      <c r="C2538" t="s">
        <v>37</v>
      </c>
      <c r="D2538" t="s">
        <v>27</v>
      </c>
      <c r="E2538" s="2">
        <v>45978</v>
      </c>
      <c r="F2538" s="2">
        <v>45978</v>
      </c>
      <c r="G2538" s="3">
        <v>46</v>
      </c>
      <c r="H2538" t="s">
        <v>28</v>
      </c>
      <c r="I2538" s="28">
        <v>86</v>
      </c>
      <c r="J2538">
        <v>0</v>
      </c>
      <c r="K2538">
        <v>0</v>
      </c>
      <c r="L2538" s="3">
        <v>1</v>
      </c>
      <c r="M2538" s="3">
        <v>0</v>
      </c>
      <c r="N2538">
        <v>0</v>
      </c>
      <c r="O2538">
        <v>0</v>
      </c>
      <c r="P2538">
        <v>0</v>
      </c>
      <c r="Q2538">
        <v>10</v>
      </c>
      <c r="R2538" s="3">
        <v>0</v>
      </c>
      <c r="S2538" s="3">
        <v>0</v>
      </c>
      <c r="T2538">
        <v>0</v>
      </c>
      <c r="U2538">
        <v>0</v>
      </c>
      <c r="V2538" s="3">
        <v>0</v>
      </c>
      <c r="W2538" s="3">
        <v>0</v>
      </c>
      <c r="X2538">
        <v>0</v>
      </c>
      <c r="Y2538" t="s">
        <v>2027</v>
      </c>
    </row>
    <row r="2539" spans="1:25" hidden="1" x14ac:dyDescent="0.25">
      <c r="A2539" t="s">
        <v>29</v>
      </c>
      <c r="B2539" t="s">
        <v>100</v>
      </c>
      <c r="C2539" t="s">
        <v>95</v>
      </c>
      <c r="D2539" t="s">
        <v>27</v>
      </c>
      <c r="E2539" s="2">
        <v>45978</v>
      </c>
      <c r="F2539" s="2">
        <v>45978</v>
      </c>
      <c r="G2539" s="3">
        <v>36</v>
      </c>
      <c r="H2539" t="s">
        <v>28</v>
      </c>
      <c r="I2539" s="28">
        <v>36</v>
      </c>
      <c r="J2539">
        <v>0</v>
      </c>
      <c r="K2539">
        <v>0</v>
      </c>
      <c r="L2539" s="3">
        <v>1</v>
      </c>
      <c r="M2539" s="3">
        <v>0</v>
      </c>
      <c r="N2539">
        <v>0</v>
      </c>
      <c r="O2539">
        <v>0</v>
      </c>
      <c r="P2539">
        <v>0</v>
      </c>
      <c r="Q2539">
        <v>12</v>
      </c>
      <c r="R2539" s="3">
        <v>0</v>
      </c>
      <c r="S2539" s="3">
        <v>0</v>
      </c>
      <c r="T2539">
        <v>0</v>
      </c>
      <c r="U2539">
        <v>0</v>
      </c>
      <c r="V2539" s="3">
        <v>0</v>
      </c>
      <c r="W2539" s="3">
        <v>0</v>
      </c>
      <c r="X2539">
        <v>0</v>
      </c>
      <c r="Y2539" t="s">
        <v>2028</v>
      </c>
    </row>
    <row r="2540" spans="1:25" hidden="1" x14ac:dyDescent="0.25">
      <c r="A2540" s="1" t="s">
        <v>344</v>
      </c>
      <c r="B2540" s="1" t="s">
        <v>102</v>
      </c>
      <c r="C2540" s="1" t="s">
        <v>35</v>
      </c>
      <c r="D2540" s="1" t="s">
        <v>27</v>
      </c>
      <c r="E2540" s="2">
        <v>45978</v>
      </c>
      <c r="F2540" s="2">
        <v>45978</v>
      </c>
      <c r="G2540" s="3">
        <v>29</v>
      </c>
      <c r="H2540" s="4" t="s">
        <v>28</v>
      </c>
      <c r="I2540" s="28">
        <v>36</v>
      </c>
      <c r="J2540">
        <v>0</v>
      </c>
      <c r="K2540">
        <v>0</v>
      </c>
      <c r="L2540" s="3">
        <v>0</v>
      </c>
      <c r="M2540" s="3">
        <v>0</v>
      </c>
      <c r="N2540">
        <v>0</v>
      </c>
      <c r="O2540">
        <v>0</v>
      </c>
      <c r="P2540">
        <v>0</v>
      </c>
      <c r="Q2540">
        <v>0</v>
      </c>
      <c r="R2540" s="3">
        <v>0</v>
      </c>
      <c r="S2540" s="3">
        <v>0</v>
      </c>
      <c r="T2540">
        <v>0</v>
      </c>
      <c r="U2540">
        <v>0</v>
      </c>
      <c r="V2540" s="3">
        <v>0</v>
      </c>
      <c r="W2540" s="3">
        <v>0</v>
      </c>
      <c r="X2540">
        <v>0</v>
      </c>
      <c r="Y2540" t="s">
        <v>1887</v>
      </c>
    </row>
    <row r="2541" spans="1:25" hidden="1" x14ac:dyDescent="0.25">
      <c r="A2541" t="s">
        <v>31</v>
      </c>
      <c r="B2541" t="s">
        <v>104</v>
      </c>
      <c r="C2541" t="s">
        <v>32</v>
      </c>
      <c r="D2541" t="s">
        <v>27</v>
      </c>
      <c r="E2541" s="2">
        <v>45978</v>
      </c>
      <c r="F2541" s="2">
        <v>45978</v>
      </c>
      <c r="G2541" s="3">
        <v>55</v>
      </c>
      <c r="H2541" t="s">
        <v>28</v>
      </c>
      <c r="I2541" s="28">
        <v>97</v>
      </c>
      <c r="J2541">
        <v>0</v>
      </c>
      <c r="K2541">
        <v>0</v>
      </c>
      <c r="L2541" s="3">
        <v>1</v>
      </c>
      <c r="M2541" s="3">
        <v>0</v>
      </c>
      <c r="N2541">
        <v>0</v>
      </c>
      <c r="O2541">
        <v>0</v>
      </c>
      <c r="P2541">
        <v>0</v>
      </c>
      <c r="Q2541">
        <v>33</v>
      </c>
      <c r="R2541" s="3">
        <v>0</v>
      </c>
      <c r="S2541" s="3">
        <v>0</v>
      </c>
      <c r="T2541">
        <v>0</v>
      </c>
      <c r="U2541">
        <v>0</v>
      </c>
      <c r="V2541" s="3">
        <v>0</v>
      </c>
      <c r="W2541" s="3">
        <v>0</v>
      </c>
      <c r="X2541">
        <v>0</v>
      </c>
      <c r="Y2541" t="s">
        <v>2029</v>
      </c>
    </row>
    <row r="2542" spans="1:25" hidden="1" x14ac:dyDescent="0.25">
      <c r="A2542" t="s">
        <v>33</v>
      </c>
      <c r="B2542" t="s">
        <v>106</v>
      </c>
      <c r="C2542" t="s">
        <v>57</v>
      </c>
      <c r="D2542" t="s">
        <v>27</v>
      </c>
      <c r="E2542" s="2">
        <v>45975</v>
      </c>
      <c r="F2542" s="2">
        <v>45975</v>
      </c>
      <c r="G2542" s="3">
        <v>40</v>
      </c>
      <c r="H2542" t="s">
        <v>28</v>
      </c>
      <c r="I2542" s="28">
        <v>55</v>
      </c>
      <c r="J2542">
        <v>0</v>
      </c>
      <c r="K2542">
        <v>0</v>
      </c>
      <c r="L2542" s="3">
        <v>0</v>
      </c>
      <c r="M2542" s="3">
        <v>0</v>
      </c>
      <c r="N2542">
        <v>0</v>
      </c>
      <c r="O2542">
        <v>0</v>
      </c>
      <c r="P2542">
        <v>0</v>
      </c>
      <c r="Q2542">
        <v>20</v>
      </c>
      <c r="R2542" s="3">
        <v>0</v>
      </c>
      <c r="S2542" s="3">
        <v>0</v>
      </c>
      <c r="T2542">
        <v>0</v>
      </c>
      <c r="U2542">
        <v>0</v>
      </c>
      <c r="V2542" s="3">
        <v>0</v>
      </c>
      <c r="W2542" s="3">
        <v>0</v>
      </c>
      <c r="X2542">
        <v>0</v>
      </c>
      <c r="Y2542" t="s">
        <v>2009</v>
      </c>
    </row>
    <row r="2543" spans="1:25" hidden="1" x14ac:dyDescent="0.25">
      <c r="A2543" t="s">
        <v>33</v>
      </c>
      <c r="B2543" t="s">
        <v>106</v>
      </c>
      <c r="C2543" t="s">
        <v>57</v>
      </c>
      <c r="D2543" t="s">
        <v>27</v>
      </c>
      <c r="E2543" s="2">
        <v>45978</v>
      </c>
      <c r="F2543" s="2">
        <v>45978</v>
      </c>
      <c r="G2543" s="3">
        <v>29</v>
      </c>
      <c r="H2543" t="s">
        <v>28</v>
      </c>
      <c r="I2543" s="28">
        <v>68</v>
      </c>
      <c r="J2543">
        <v>0</v>
      </c>
      <c r="K2543">
        <v>0</v>
      </c>
      <c r="L2543" s="3">
        <v>0</v>
      </c>
      <c r="M2543" s="3">
        <v>0</v>
      </c>
      <c r="N2543">
        <v>0</v>
      </c>
      <c r="O2543">
        <v>0</v>
      </c>
      <c r="P2543">
        <v>0</v>
      </c>
      <c r="Q2543">
        <v>20</v>
      </c>
      <c r="R2543" s="3">
        <v>0</v>
      </c>
      <c r="S2543" s="3">
        <v>0</v>
      </c>
      <c r="T2543">
        <v>0</v>
      </c>
      <c r="U2543">
        <v>0</v>
      </c>
      <c r="V2543" s="3">
        <v>0</v>
      </c>
      <c r="W2543" s="3">
        <v>0</v>
      </c>
      <c r="X2543">
        <v>0</v>
      </c>
      <c r="Y2543" t="s">
        <v>2030</v>
      </c>
    </row>
    <row r="2544" spans="1:25" hidden="1" x14ac:dyDescent="0.25">
      <c r="A2544" t="s">
        <v>38</v>
      </c>
      <c r="B2544" t="s">
        <v>108</v>
      </c>
      <c r="C2544" t="s">
        <v>27</v>
      </c>
      <c r="D2544" t="s">
        <v>27</v>
      </c>
      <c r="E2544" s="2">
        <v>45978</v>
      </c>
      <c r="F2544" s="2">
        <v>45978</v>
      </c>
      <c r="G2544" s="3">
        <v>39</v>
      </c>
      <c r="H2544" t="s">
        <v>28</v>
      </c>
      <c r="I2544" s="28">
        <v>60</v>
      </c>
      <c r="J2544">
        <v>0</v>
      </c>
      <c r="K2544">
        <v>0</v>
      </c>
      <c r="L2544" s="3">
        <v>0</v>
      </c>
      <c r="M2544" s="3">
        <v>0</v>
      </c>
      <c r="N2544">
        <v>0</v>
      </c>
      <c r="O2544">
        <v>0</v>
      </c>
      <c r="P2544">
        <v>0</v>
      </c>
      <c r="Q2544">
        <v>60</v>
      </c>
      <c r="R2544" s="3">
        <v>0</v>
      </c>
      <c r="S2544" s="3">
        <v>0</v>
      </c>
      <c r="T2544">
        <v>0</v>
      </c>
      <c r="U2544">
        <v>0</v>
      </c>
      <c r="V2544" s="3">
        <v>0</v>
      </c>
      <c r="W2544" s="3">
        <v>0</v>
      </c>
      <c r="X2544">
        <v>0</v>
      </c>
      <c r="Y2544" t="s">
        <v>2031</v>
      </c>
    </row>
    <row r="2545" spans="1:25" hidden="1" x14ac:dyDescent="0.25">
      <c r="A2545" t="s">
        <v>40</v>
      </c>
      <c r="B2545" t="s">
        <v>110</v>
      </c>
      <c r="C2545" t="s">
        <v>27</v>
      </c>
      <c r="D2545" t="s">
        <v>27</v>
      </c>
      <c r="E2545" s="2">
        <v>45978</v>
      </c>
      <c r="F2545" s="2">
        <v>45978</v>
      </c>
      <c r="G2545" s="3">
        <v>104</v>
      </c>
      <c r="H2545" t="s">
        <v>28</v>
      </c>
      <c r="I2545" s="28">
        <v>84</v>
      </c>
      <c r="J2545">
        <v>0</v>
      </c>
      <c r="K2545">
        <v>0</v>
      </c>
      <c r="L2545" s="3">
        <v>1</v>
      </c>
      <c r="M2545" s="3">
        <v>0</v>
      </c>
      <c r="N2545">
        <v>1</v>
      </c>
      <c r="O2545">
        <v>0</v>
      </c>
      <c r="P2545">
        <v>0</v>
      </c>
      <c r="Q2545">
        <v>31</v>
      </c>
      <c r="R2545" s="3">
        <v>0</v>
      </c>
      <c r="S2545" s="3">
        <v>0</v>
      </c>
      <c r="T2545">
        <v>0</v>
      </c>
      <c r="U2545">
        <v>0</v>
      </c>
      <c r="V2545" s="3">
        <v>0</v>
      </c>
      <c r="W2545" s="3">
        <v>0</v>
      </c>
      <c r="X2545">
        <v>0</v>
      </c>
      <c r="Y2545" t="s">
        <v>2032</v>
      </c>
    </row>
    <row r="2546" spans="1:25" hidden="1" x14ac:dyDescent="0.25">
      <c r="A2546" t="s">
        <v>36</v>
      </c>
      <c r="B2546" t="s">
        <v>110</v>
      </c>
      <c r="C2546" t="s">
        <v>27</v>
      </c>
      <c r="D2546" t="s">
        <v>27</v>
      </c>
      <c r="E2546" s="2">
        <v>45978</v>
      </c>
      <c r="F2546" s="2">
        <v>45978</v>
      </c>
      <c r="G2546" s="3">
        <v>104</v>
      </c>
      <c r="H2546" t="s">
        <v>28</v>
      </c>
      <c r="I2546" s="28">
        <v>84</v>
      </c>
      <c r="J2546">
        <v>0</v>
      </c>
      <c r="K2546">
        <v>0</v>
      </c>
      <c r="L2546" s="3">
        <v>1</v>
      </c>
      <c r="M2546" s="3">
        <v>0</v>
      </c>
      <c r="N2546">
        <v>1</v>
      </c>
      <c r="O2546">
        <v>0</v>
      </c>
      <c r="P2546">
        <v>0</v>
      </c>
      <c r="Q2546">
        <v>31</v>
      </c>
      <c r="R2546" s="3">
        <v>0</v>
      </c>
      <c r="S2546" s="3">
        <v>0</v>
      </c>
      <c r="T2546">
        <v>0</v>
      </c>
      <c r="U2546">
        <v>0</v>
      </c>
      <c r="V2546" s="3">
        <v>0</v>
      </c>
      <c r="W2546" s="3">
        <v>0</v>
      </c>
      <c r="X2546">
        <v>0</v>
      </c>
      <c r="Y2546" t="s">
        <v>2032</v>
      </c>
    </row>
    <row r="2547" spans="1:25" hidden="1" x14ac:dyDescent="0.25">
      <c r="A2547" t="s">
        <v>41</v>
      </c>
      <c r="B2547" t="s">
        <v>112</v>
      </c>
      <c r="C2547" t="s">
        <v>42</v>
      </c>
      <c r="D2547" t="s">
        <v>27</v>
      </c>
      <c r="E2547" s="2">
        <v>45978</v>
      </c>
      <c r="F2547" s="2">
        <v>45978</v>
      </c>
      <c r="G2547" s="3">
        <v>41</v>
      </c>
      <c r="H2547" t="s">
        <v>28</v>
      </c>
      <c r="I2547" s="28">
        <v>46</v>
      </c>
      <c r="J2547">
        <v>0</v>
      </c>
      <c r="K2547">
        <v>0</v>
      </c>
      <c r="L2547" s="3">
        <v>1</v>
      </c>
      <c r="M2547" s="3">
        <v>0</v>
      </c>
      <c r="N2547">
        <v>0</v>
      </c>
      <c r="O2547">
        <v>0</v>
      </c>
      <c r="P2547">
        <v>0</v>
      </c>
      <c r="Q2547">
        <v>4</v>
      </c>
      <c r="R2547" s="3">
        <v>0</v>
      </c>
      <c r="S2547" s="3">
        <v>0</v>
      </c>
      <c r="T2547">
        <v>0</v>
      </c>
      <c r="U2547">
        <v>0</v>
      </c>
      <c r="V2547" s="3">
        <v>0</v>
      </c>
      <c r="W2547" s="3">
        <v>0</v>
      </c>
      <c r="X2547">
        <v>0</v>
      </c>
      <c r="Y2547" t="s">
        <v>2033</v>
      </c>
    </row>
    <row r="2548" spans="1:25" hidden="1" x14ac:dyDescent="0.25">
      <c r="A2548" t="s">
        <v>43</v>
      </c>
      <c r="B2548" t="s">
        <v>114</v>
      </c>
      <c r="C2548" t="s">
        <v>44</v>
      </c>
      <c r="D2548" t="s">
        <v>27</v>
      </c>
      <c r="E2548" s="2">
        <v>45978</v>
      </c>
      <c r="F2548" s="2">
        <v>45978</v>
      </c>
      <c r="G2548" s="3">
        <v>46</v>
      </c>
      <c r="H2548" t="s">
        <v>28</v>
      </c>
      <c r="I2548" s="28">
        <v>58</v>
      </c>
      <c r="J2548">
        <v>0</v>
      </c>
      <c r="K2548">
        <v>0</v>
      </c>
      <c r="L2548" s="3">
        <v>0</v>
      </c>
      <c r="M2548" s="3">
        <v>0</v>
      </c>
      <c r="N2548">
        <v>0</v>
      </c>
      <c r="O2548">
        <v>0</v>
      </c>
      <c r="P2548">
        <v>0</v>
      </c>
      <c r="Q2548">
        <v>0</v>
      </c>
      <c r="R2548" s="3">
        <v>0</v>
      </c>
      <c r="S2548" s="3">
        <v>0</v>
      </c>
      <c r="T2548">
        <v>0</v>
      </c>
      <c r="U2548">
        <v>0</v>
      </c>
      <c r="V2548" s="3">
        <v>0</v>
      </c>
      <c r="W2548" s="3">
        <v>0</v>
      </c>
      <c r="X2548">
        <v>0</v>
      </c>
      <c r="Y2548" t="s">
        <v>2034</v>
      </c>
    </row>
    <row r="2549" spans="1:25" hidden="1" x14ac:dyDescent="0.25">
      <c r="A2549" t="s">
        <v>45</v>
      </c>
      <c r="B2549" t="s">
        <v>116</v>
      </c>
      <c r="C2549" t="s">
        <v>46</v>
      </c>
      <c r="D2549" t="s">
        <v>27</v>
      </c>
      <c r="E2549" s="2">
        <v>45978</v>
      </c>
      <c r="F2549" s="2">
        <v>45978</v>
      </c>
      <c r="G2549" s="3">
        <v>51</v>
      </c>
      <c r="H2549" t="s">
        <v>28</v>
      </c>
      <c r="I2549" s="28">
        <v>69</v>
      </c>
      <c r="J2549">
        <v>0</v>
      </c>
      <c r="K2549">
        <v>0</v>
      </c>
      <c r="L2549" s="3">
        <v>1</v>
      </c>
      <c r="M2549" s="3">
        <v>0</v>
      </c>
      <c r="N2549">
        <v>0</v>
      </c>
      <c r="O2549">
        <v>0</v>
      </c>
      <c r="P2549">
        <v>0</v>
      </c>
      <c r="Q2549">
        <v>0</v>
      </c>
      <c r="R2549" s="3">
        <v>0</v>
      </c>
      <c r="S2549" s="3">
        <v>0</v>
      </c>
      <c r="T2549">
        <v>0</v>
      </c>
      <c r="U2549">
        <v>0</v>
      </c>
      <c r="V2549" s="3">
        <v>0</v>
      </c>
      <c r="W2549" s="3">
        <v>0</v>
      </c>
      <c r="X2549">
        <v>0</v>
      </c>
      <c r="Y2549" t="s">
        <v>2035</v>
      </c>
    </row>
    <row r="2550" spans="1:25" hidden="1" x14ac:dyDescent="0.25">
      <c r="A2550" t="s">
        <v>47</v>
      </c>
      <c r="B2550" t="s">
        <v>137</v>
      </c>
      <c r="C2550" t="s">
        <v>27</v>
      </c>
      <c r="D2550" t="s">
        <v>27</v>
      </c>
      <c r="E2550" s="2">
        <v>45978</v>
      </c>
      <c r="F2550" s="2">
        <v>45978</v>
      </c>
      <c r="G2550" s="3">
        <v>28</v>
      </c>
      <c r="H2550" t="s">
        <v>28</v>
      </c>
      <c r="I2550" s="28">
        <v>48</v>
      </c>
      <c r="J2550">
        <v>0</v>
      </c>
      <c r="K2550">
        <v>0</v>
      </c>
      <c r="L2550" s="3">
        <v>1</v>
      </c>
      <c r="M2550" s="3">
        <v>0</v>
      </c>
      <c r="N2550">
        <v>0</v>
      </c>
      <c r="O2550">
        <v>0</v>
      </c>
      <c r="P2550">
        <v>0</v>
      </c>
      <c r="Q2550">
        <v>10</v>
      </c>
      <c r="R2550" s="3">
        <v>0</v>
      </c>
      <c r="S2550" s="3">
        <v>0</v>
      </c>
      <c r="T2550">
        <v>0</v>
      </c>
      <c r="U2550">
        <v>0</v>
      </c>
      <c r="V2550" s="3">
        <v>0</v>
      </c>
      <c r="W2550" s="3">
        <v>0</v>
      </c>
      <c r="X2550">
        <v>0</v>
      </c>
      <c r="Y2550" t="s">
        <v>2036</v>
      </c>
    </row>
    <row r="2551" spans="1:25" hidden="1" x14ac:dyDescent="0.25">
      <c r="A2551" t="s">
        <v>34</v>
      </c>
      <c r="B2551" t="s">
        <v>137</v>
      </c>
      <c r="C2551" t="s">
        <v>27</v>
      </c>
      <c r="D2551" t="s">
        <v>27</v>
      </c>
      <c r="E2551" s="2">
        <v>45978</v>
      </c>
      <c r="F2551" s="2">
        <v>45978</v>
      </c>
      <c r="G2551" s="3">
        <v>28</v>
      </c>
      <c r="H2551" t="s">
        <v>28</v>
      </c>
      <c r="I2551" s="28">
        <v>48</v>
      </c>
      <c r="J2551">
        <v>0</v>
      </c>
      <c r="K2551">
        <v>0</v>
      </c>
      <c r="L2551" s="3">
        <v>1</v>
      </c>
      <c r="M2551" s="3">
        <v>0</v>
      </c>
      <c r="N2551">
        <v>0</v>
      </c>
      <c r="O2551">
        <v>0</v>
      </c>
      <c r="P2551">
        <v>0</v>
      </c>
      <c r="Q2551">
        <v>10</v>
      </c>
      <c r="R2551" s="3">
        <v>0</v>
      </c>
      <c r="S2551" s="3">
        <v>0</v>
      </c>
      <c r="T2551">
        <v>0</v>
      </c>
      <c r="U2551">
        <v>0</v>
      </c>
      <c r="V2551" s="3">
        <v>0</v>
      </c>
      <c r="W2551" s="3">
        <v>0</v>
      </c>
      <c r="X2551">
        <v>0</v>
      </c>
      <c r="Y2551" t="s">
        <v>2036</v>
      </c>
    </row>
    <row r="2552" spans="1:25" hidden="1" x14ac:dyDescent="0.25">
      <c r="A2552" t="s">
        <v>49</v>
      </c>
      <c r="B2552" t="s">
        <v>118</v>
      </c>
      <c r="C2552" t="s">
        <v>50</v>
      </c>
      <c r="D2552" t="s">
        <v>27</v>
      </c>
      <c r="E2552" s="2">
        <v>45978</v>
      </c>
      <c r="F2552" s="2">
        <v>45978</v>
      </c>
      <c r="G2552" s="3">
        <v>40</v>
      </c>
      <c r="H2552" t="s">
        <v>28</v>
      </c>
      <c r="I2552" s="28">
        <v>30</v>
      </c>
      <c r="J2552">
        <v>0</v>
      </c>
      <c r="K2552">
        <v>0</v>
      </c>
      <c r="L2552" s="3">
        <v>1</v>
      </c>
      <c r="M2552" s="3">
        <v>1</v>
      </c>
      <c r="N2552">
        <v>0</v>
      </c>
      <c r="O2552">
        <v>0</v>
      </c>
      <c r="P2552">
        <v>0</v>
      </c>
      <c r="Q2552">
        <v>30</v>
      </c>
      <c r="R2552" s="3">
        <v>0</v>
      </c>
      <c r="S2552" s="3">
        <v>0</v>
      </c>
      <c r="T2552">
        <v>0</v>
      </c>
      <c r="U2552">
        <v>0</v>
      </c>
      <c r="V2552" s="3">
        <v>0</v>
      </c>
      <c r="W2552" s="3">
        <v>0</v>
      </c>
      <c r="X2552">
        <v>0</v>
      </c>
      <c r="Y2552" t="s">
        <v>2037</v>
      </c>
    </row>
    <row r="2553" spans="1:25" hidden="1" x14ac:dyDescent="0.25">
      <c r="A2553" t="s">
        <v>51</v>
      </c>
      <c r="B2553" t="s">
        <v>120</v>
      </c>
      <c r="C2553" t="s">
        <v>55</v>
      </c>
      <c r="D2553" t="s">
        <v>27</v>
      </c>
      <c r="E2553" s="2">
        <v>45978</v>
      </c>
      <c r="F2553" s="2">
        <v>45978</v>
      </c>
      <c r="G2553" s="3">
        <v>118</v>
      </c>
      <c r="H2553" t="s">
        <v>28</v>
      </c>
      <c r="I2553" s="28">
        <v>42</v>
      </c>
      <c r="J2553">
        <v>0</v>
      </c>
      <c r="K2553">
        <v>0</v>
      </c>
      <c r="L2553" s="3">
        <v>1</v>
      </c>
      <c r="M2553" s="3">
        <v>0</v>
      </c>
      <c r="N2553">
        <v>1</v>
      </c>
      <c r="O2553">
        <v>0</v>
      </c>
      <c r="P2553">
        <v>0</v>
      </c>
      <c r="Q2553">
        <v>0</v>
      </c>
      <c r="R2553" s="3">
        <v>0</v>
      </c>
      <c r="S2553" s="3">
        <v>0</v>
      </c>
      <c r="T2553">
        <v>0</v>
      </c>
      <c r="U2553">
        <v>0</v>
      </c>
      <c r="V2553" s="3">
        <v>0</v>
      </c>
      <c r="W2553" s="3">
        <v>0</v>
      </c>
      <c r="X2553">
        <v>0</v>
      </c>
      <c r="Y2553" t="s">
        <v>2038</v>
      </c>
    </row>
    <row r="2554" spans="1:25" hidden="1" x14ac:dyDescent="0.25">
      <c r="A2554" t="s">
        <v>54</v>
      </c>
      <c r="B2554" t="s">
        <v>122</v>
      </c>
      <c r="C2554" t="s">
        <v>52</v>
      </c>
      <c r="D2554" t="s">
        <v>27</v>
      </c>
      <c r="E2554" s="2">
        <v>45978</v>
      </c>
      <c r="F2554" s="2">
        <v>45978</v>
      </c>
      <c r="G2554" s="3">
        <v>40</v>
      </c>
      <c r="H2554" t="s">
        <v>28</v>
      </c>
      <c r="I2554" s="28">
        <v>52</v>
      </c>
      <c r="J2554">
        <v>0</v>
      </c>
      <c r="K2554">
        <v>0</v>
      </c>
      <c r="L2554" s="3">
        <v>0</v>
      </c>
      <c r="M2554" s="3">
        <v>0</v>
      </c>
      <c r="N2554">
        <v>0</v>
      </c>
      <c r="O2554">
        <v>0</v>
      </c>
      <c r="P2554">
        <v>0</v>
      </c>
      <c r="Q2554">
        <v>2</v>
      </c>
      <c r="R2554" s="3">
        <v>0</v>
      </c>
      <c r="S2554" s="3">
        <v>0</v>
      </c>
      <c r="T2554">
        <v>0</v>
      </c>
      <c r="U2554">
        <v>0</v>
      </c>
      <c r="V2554" s="3">
        <v>0</v>
      </c>
      <c r="W2554" s="3">
        <v>0</v>
      </c>
      <c r="X2554">
        <v>0</v>
      </c>
      <c r="Y2554" t="s">
        <v>2039</v>
      </c>
    </row>
    <row r="2555" spans="1:25" hidden="1" x14ac:dyDescent="0.25">
      <c r="A2555" t="s">
        <v>58</v>
      </c>
      <c r="B2555" t="s">
        <v>144</v>
      </c>
      <c r="C2555" t="s">
        <v>489</v>
      </c>
      <c r="D2555" t="s">
        <v>27</v>
      </c>
      <c r="E2555" s="2">
        <v>45978</v>
      </c>
      <c r="F2555" s="2">
        <v>45978</v>
      </c>
      <c r="G2555" s="3">
        <v>27</v>
      </c>
      <c r="H2555" t="s">
        <v>28</v>
      </c>
      <c r="I2555" s="28">
        <v>80</v>
      </c>
      <c r="J2555">
        <v>0</v>
      </c>
      <c r="K2555">
        <v>0</v>
      </c>
      <c r="L2555" s="3">
        <v>1</v>
      </c>
      <c r="M2555" s="3">
        <v>0</v>
      </c>
      <c r="N2555">
        <v>0</v>
      </c>
      <c r="O2555">
        <v>0</v>
      </c>
      <c r="P2555">
        <v>0</v>
      </c>
      <c r="Q2555">
        <v>40</v>
      </c>
      <c r="R2555" s="3">
        <v>0</v>
      </c>
      <c r="S2555" s="3">
        <v>0</v>
      </c>
      <c r="T2555">
        <v>0</v>
      </c>
      <c r="U2555">
        <v>0</v>
      </c>
      <c r="V2555" s="3">
        <v>0</v>
      </c>
      <c r="W2555" s="3">
        <v>0</v>
      </c>
      <c r="X2555">
        <v>1</v>
      </c>
      <c r="Y2555" t="s">
        <v>2040</v>
      </c>
    </row>
    <row r="2556" spans="1:25" hidden="1" x14ac:dyDescent="0.25">
      <c r="A2556" t="s">
        <v>48</v>
      </c>
      <c r="B2556" t="s">
        <v>106</v>
      </c>
      <c r="C2556" t="s">
        <v>27</v>
      </c>
      <c r="D2556" t="s">
        <v>27</v>
      </c>
      <c r="E2556" s="2">
        <v>45978</v>
      </c>
      <c r="F2556" s="2">
        <v>45978</v>
      </c>
      <c r="G2556" s="3">
        <v>28</v>
      </c>
      <c r="H2556" t="s">
        <v>1448</v>
      </c>
      <c r="I2556" s="28">
        <v>0</v>
      </c>
      <c r="J2556">
        <v>0</v>
      </c>
      <c r="K2556">
        <v>0</v>
      </c>
      <c r="L2556" s="3">
        <v>0</v>
      </c>
      <c r="M2556" s="3">
        <v>0</v>
      </c>
      <c r="N2556">
        <v>0</v>
      </c>
      <c r="O2556">
        <v>0</v>
      </c>
      <c r="P2556">
        <v>0</v>
      </c>
      <c r="Q2556">
        <v>0</v>
      </c>
      <c r="R2556" s="3">
        <v>0</v>
      </c>
      <c r="S2556" s="3">
        <v>0</v>
      </c>
      <c r="T2556">
        <v>0</v>
      </c>
      <c r="U2556">
        <v>0</v>
      </c>
      <c r="V2556" s="3">
        <v>0</v>
      </c>
      <c r="W2556" s="3">
        <v>0</v>
      </c>
      <c r="X2556" s="3">
        <v>0</v>
      </c>
      <c r="Y2556" t="s">
        <v>2040</v>
      </c>
    </row>
    <row r="2557" spans="1:25" hidden="1" x14ac:dyDescent="0.25">
      <c r="A2557" t="s">
        <v>25</v>
      </c>
      <c r="B2557" t="s">
        <v>96</v>
      </c>
      <c r="C2557" t="s">
        <v>26</v>
      </c>
      <c r="D2557" t="s">
        <v>27</v>
      </c>
      <c r="E2557" s="2">
        <v>45979</v>
      </c>
      <c r="F2557" s="2">
        <v>45979</v>
      </c>
      <c r="G2557" s="3">
        <v>53</v>
      </c>
      <c r="H2557" t="s">
        <v>28</v>
      </c>
      <c r="I2557" s="28">
        <v>48</v>
      </c>
      <c r="J2557">
        <v>0</v>
      </c>
      <c r="K2557">
        <v>0</v>
      </c>
      <c r="L2557" s="3">
        <v>1</v>
      </c>
      <c r="M2557" s="3">
        <v>0</v>
      </c>
      <c r="N2557">
        <v>1</v>
      </c>
      <c r="O2557">
        <v>0</v>
      </c>
      <c r="P2557">
        <v>0</v>
      </c>
      <c r="Q2557">
        <v>0</v>
      </c>
      <c r="R2557" s="3">
        <v>0</v>
      </c>
      <c r="S2557" s="3">
        <v>0</v>
      </c>
      <c r="T2557">
        <v>0</v>
      </c>
      <c r="U2557">
        <v>0</v>
      </c>
      <c r="V2557" s="3">
        <v>0</v>
      </c>
      <c r="W2557" s="3">
        <v>0</v>
      </c>
      <c r="X2557">
        <v>0</v>
      </c>
      <c r="Y2557" t="s">
        <v>2041</v>
      </c>
    </row>
    <row r="2558" spans="1:25" hidden="1" x14ac:dyDescent="0.25">
      <c r="A2558" t="s">
        <v>56</v>
      </c>
      <c r="B2558" t="s">
        <v>98</v>
      </c>
      <c r="C2558" t="s">
        <v>37</v>
      </c>
      <c r="D2558" t="s">
        <v>27</v>
      </c>
      <c r="E2558" s="2">
        <v>45979</v>
      </c>
      <c r="F2558" s="2">
        <v>45979</v>
      </c>
      <c r="G2558" s="3">
        <v>26</v>
      </c>
      <c r="H2558" t="s">
        <v>28</v>
      </c>
      <c r="I2558" s="28">
        <v>35</v>
      </c>
      <c r="J2558">
        <v>0</v>
      </c>
      <c r="K2558">
        <v>0</v>
      </c>
      <c r="L2558" s="3">
        <v>1</v>
      </c>
      <c r="M2558" s="3">
        <v>0</v>
      </c>
      <c r="N2558">
        <v>0</v>
      </c>
      <c r="O2558">
        <v>0</v>
      </c>
      <c r="P2558">
        <v>0</v>
      </c>
      <c r="Q2558">
        <v>10</v>
      </c>
      <c r="R2558" s="3">
        <v>0</v>
      </c>
      <c r="S2558" s="3">
        <v>0</v>
      </c>
      <c r="T2558">
        <v>0</v>
      </c>
      <c r="U2558">
        <v>0</v>
      </c>
      <c r="V2558" s="3">
        <v>0</v>
      </c>
      <c r="W2558" s="3">
        <v>0</v>
      </c>
      <c r="X2558">
        <v>0</v>
      </c>
      <c r="Y2558" t="s">
        <v>2042</v>
      </c>
    </row>
    <row r="2559" spans="1:25" hidden="1" x14ac:dyDescent="0.25">
      <c r="A2559" t="s">
        <v>29</v>
      </c>
      <c r="B2559" t="s">
        <v>100</v>
      </c>
      <c r="C2559" t="s">
        <v>95</v>
      </c>
      <c r="D2559" t="s">
        <v>27</v>
      </c>
      <c r="E2559" s="2">
        <v>45979</v>
      </c>
      <c r="F2559" s="2">
        <v>45979</v>
      </c>
      <c r="G2559" s="3">
        <v>37</v>
      </c>
      <c r="H2559" t="s">
        <v>28</v>
      </c>
      <c r="I2559" s="28">
        <v>53</v>
      </c>
      <c r="J2559">
        <v>0</v>
      </c>
      <c r="K2559">
        <v>0</v>
      </c>
      <c r="L2559" s="3">
        <v>0</v>
      </c>
      <c r="M2559" s="3">
        <v>0</v>
      </c>
      <c r="N2559">
        <v>0</v>
      </c>
      <c r="O2559">
        <v>0</v>
      </c>
      <c r="P2559">
        <v>0</v>
      </c>
      <c r="Q2559">
        <v>21</v>
      </c>
      <c r="R2559" s="3">
        <v>0</v>
      </c>
      <c r="S2559" s="3">
        <v>0</v>
      </c>
      <c r="T2559">
        <v>0</v>
      </c>
      <c r="U2559">
        <v>0</v>
      </c>
      <c r="V2559" s="3">
        <v>0</v>
      </c>
      <c r="W2559" s="3">
        <v>0</v>
      </c>
      <c r="X2559">
        <v>0</v>
      </c>
      <c r="Y2559" t="s">
        <v>2043</v>
      </c>
    </row>
    <row r="2560" spans="1:25" hidden="1" x14ac:dyDescent="0.25">
      <c r="A2560" s="1" t="s">
        <v>344</v>
      </c>
      <c r="B2560" s="1" t="s">
        <v>102</v>
      </c>
      <c r="C2560" s="1" t="s">
        <v>35</v>
      </c>
      <c r="D2560" s="1" t="s">
        <v>27</v>
      </c>
      <c r="E2560" s="2">
        <v>45979</v>
      </c>
      <c r="F2560" s="2">
        <v>45979</v>
      </c>
      <c r="G2560" s="3">
        <v>29</v>
      </c>
      <c r="H2560" s="4" t="s">
        <v>28</v>
      </c>
      <c r="I2560" s="28">
        <v>36</v>
      </c>
      <c r="J2560">
        <v>0</v>
      </c>
      <c r="K2560">
        <v>0</v>
      </c>
      <c r="L2560" s="3">
        <v>0</v>
      </c>
      <c r="M2560" s="3">
        <v>0</v>
      </c>
      <c r="N2560">
        <v>0</v>
      </c>
      <c r="O2560">
        <v>0</v>
      </c>
      <c r="P2560">
        <v>0</v>
      </c>
      <c r="Q2560">
        <v>0</v>
      </c>
      <c r="R2560" s="3">
        <v>0</v>
      </c>
      <c r="S2560" s="3">
        <v>0</v>
      </c>
      <c r="T2560">
        <v>0</v>
      </c>
      <c r="U2560">
        <v>0</v>
      </c>
      <c r="V2560" s="3">
        <v>0</v>
      </c>
      <c r="W2560" s="3">
        <v>0</v>
      </c>
      <c r="X2560">
        <v>0</v>
      </c>
      <c r="Y2560" t="s">
        <v>1887</v>
      </c>
    </row>
    <row r="2561" spans="1:25" hidden="1" x14ac:dyDescent="0.25">
      <c r="A2561" t="s">
        <v>31</v>
      </c>
      <c r="B2561" t="s">
        <v>104</v>
      </c>
      <c r="C2561" t="s">
        <v>32</v>
      </c>
      <c r="D2561" t="s">
        <v>27</v>
      </c>
      <c r="E2561" s="2">
        <v>45979</v>
      </c>
      <c r="F2561" s="2">
        <v>45979</v>
      </c>
      <c r="G2561" s="3">
        <v>57</v>
      </c>
      <c r="H2561" t="s">
        <v>28</v>
      </c>
      <c r="I2561" s="28">
        <v>78</v>
      </c>
      <c r="J2561">
        <v>0</v>
      </c>
      <c r="K2561">
        <v>0</v>
      </c>
      <c r="L2561" s="3">
        <v>1</v>
      </c>
      <c r="M2561" s="3">
        <v>0</v>
      </c>
      <c r="N2561">
        <v>0</v>
      </c>
      <c r="O2561">
        <v>0</v>
      </c>
      <c r="P2561">
        <v>0</v>
      </c>
      <c r="Q2561">
        <v>32</v>
      </c>
      <c r="R2561" s="3">
        <v>0</v>
      </c>
      <c r="S2561" s="3">
        <v>0</v>
      </c>
      <c r="T2561">
        <v>0</v>
      </c>
      <c r="U2561">
        <v>0</v>
      </c>
      <c r="V2561" s="3">
        <v>0</v>
      </c>
      <c r="W2561" s="3">
        <v>0</v>
      </c>
      <c r="X2561">
        <v>7</v>
      </c>
      <c r="Y2561" t="s">
        <v>2044</v>
      </c>
    </row>
    <row r="2562" spans="1:25" hidden="1" x14ac:dyDescent="0.25">
      <c r="A2562" t="s">
        <v>38</v>
      </c>
      <c r="B2562" t="s">
        <v>108</v>
      </c>
      <c r="C2562" t="s">
        <v>27</v>
      </c>
      <c r="D2562" t="s">
        <v>27</v>
      </c>
      <c r="E2562" s="2">
        <v>45979</v>
      </c>
      <c r="F2562" s="2">
        <v>45979</v>
      </c>
      <c r="G2562" s="3">
        <v>31</v>
      </c>
      <c r="H2562" t="s">
        <v>28</v>
      </c>
      <c r="I2562" s="28">
        <v>46</v>
      </c>
      <c r="J2562">
        <v>0</v>
      </c>
      <c r="K2562">
        <v>0</v>
      </c>
      <c r="L2562" s="3">
        <v>0</v>
      </c>
      <c r="M2562" s="3">
        <v>0</v>
      </c>
      <c r="N2562">
        <v>0</v>
      </c>
      <c r="O2562">
        <v>0</v>
      </c>
      <c r="P2562">
        <v>0</v>
      </c>
      <c r="Q2562">
        <v>46</v>
      </c>
      <c r="R2562" s="3">
        <v>0</v>
      </c>
      <c r="S2562" s="3">
        <v>0</v>
      </c>
      <c r="T2562">
        <v>0</v>
      </c>
      <c r="U2562">
        <v>0</v>
      </c>
      <c r="V2562" s="3">
        <v>0</v>
      </c>
      <c r="W2562" s="3">
        <v>0</v>
      </c>
      <c r="X2562">
        <v>0</v>
      </c>
      <c r="Y2562" t="s">
        <v>2045</v>
      </c>
    </row>
    <row r="2563" spans="1:25" hidden="1" x14ac:dyDescent="0.25">
      <c r="A2563" t="s">
        <v>40</v>
      </c>
      <c r="B2563" t="s">
        <v>110</v>
      </c>
      <c r="C2563" t="s">
        <v>27</v>
      </c>
      <c r="D2563" t="s">
        <v>27</v>
      </c>
      <c r="E2563" s="2">
        <v>45979</v>
      </c>
      <c r="F2563" s="2">
        <v>45979</v>
      </c>
      <c r="G2563" s="3">
        <v>67</v>
      </c>
      <c r="H2563" t="s">
        <v>28</v>
      </c>
      <c r="I2563" s="28">
        <v>50</v>
      </c>
      <c r="J2563">
        <v>0</v>
      </c>
      <c r="K2563">
        <v>0</v>
      </c>
      <c r="L2563" s="3">
        <v>1</v>
      </c>
      <c r="M2563" s="3">
        <v>0</v>
      </c>
      <c r="N2563">
        <v>1</v>
      </c>
      <c r="O2563">
        <v>0</v>
      </c>
      <c r="P2563">
        <v>0</v>
      </c>
      <c r="Q2563">
        <v>0</v>
      </c>
      <c r="R2563" s="3">
        <v>0</v>
      </c>
      <c r="S2563" s="3">
        <v>0</v>
      </c>
      <c r="T2563">
        <v>0</v>
      </c>
      <c r="U2563">
        <v>0</v>
      </c>
      <c r="V2563" s="3">
        <v>0</v>
      </c>
      <c r="W2563" s="3">
        <v>0</v>
      </c>
      <c r="X2563">
        <v>0</v>
      </c>
      <c r="Y2563" t="s">
        <v>2046</v>
      </c>
    </row>
    <row r="2564" spans="1:25" hidden="1" x14ac:dyDescent="0.25">
      <c r="A2564" t="s">
        <v>36</v>
      </c>
      <c r="B2564" t="s">
        <v>110</v>
      </c>
      <c r="C2564" t="s">
        <v>27</v>
      </c>
      <c r="D2564" t="s">
        <v>27</v>
      </c>
      <c r="E2564" s="2">
        <v>45979</v>
      </c>
      <c r="F2564" s="2">
        <v>45979</v>
      </c>
      <c r="G2564" s="3">
        <v>67</v>
      </c>
      <c r="H2564" t="s">
        <v>28</v>
      </c>
      <c r="I2564" s="28">
        <v>50</v>
      </c>
      <c r="J2564">
        <v>0</v>
      </c>
      <c r="K2564">
        <v>0</v>
      </c>
      <c r="L2564" s="3">
        <v>1</v>
      </c>
      <c r="M2564" s="3">
        <v>0</v>
      </c>
      <c r="N2564">
        <v>1</v>
      </c>
      <c r="O2564">
        <v>0</v>
      </c>
      <c r="P2564">
        <v>0</v>
      </c>
      <c r="Q2564">
        <v>0</v>
      </c>
      <c r="R2564" s="3">
        <v>0</v>
      </c>
      <c r="S2564" s="3">
        <v>0</v>
      </c>
      <c r="T2564">
        <v>0</v>
      </c>
      <c r="U2564">
        <v>0</v>
      </c>
      <c r="V2564" s="3">
        <v>0</v>
      </c>
      <c r="W2564" s="3">
        <v>0</v>
      </c>
      <c r="X2564">
        <v>0</v>
      </c>
      <c r="Y2564" t="s">
        <v>2046</v>
      </c>
    </row>
    <row r="2565" spans="1:25" hidden="1" x14ac:dyDescent="0.25">
      <c r="A2565" t="s">
        <v>1454</v>
      </c>
      <c r="B2565" t="s">
        <v>1455</v>
      </c>
      <c r="C2565" t="s">
        <v>27</v>
      </c>
      <c r="D2565" t="s">
        <v>27</v>
      </c>
      <c r="E2565" s="2">
        <v>45979</v>
      </c>
      <c r="F2565" s="2">
        <v>45979</v>
      </c>
      <c r="G2565" s="3">
        <v>29</v>
      </c>
      <c r="H2565" t="s">
        <v>28</v>
      </c>
      <c r="I2565" s="28">
        <v>38</v>
      </c>
      <c r="J2565">
        <v>0</v>
      </c>
      <c r="K2565">
        <v>0</v>
      </c>
      <c r="L2565" s="3">
        <v>1</v>
      </c>
      <c r="M2565" s="3">
        <v>0</v>
      </c>
      <c r="N2565">
        <v>0</v>
      </c>
      <c r="O2565">
        <v>0</v>
      </c>
      <c r="P2565">
        <v>0</v>
      </c>
      <c r="Q2565">
        <v>38</v>
      </c>
      <c r="R2565" s="3">
        <v>0</v>
      </c>
      <c r="S2565" s="3">
        <v>0</v>
      </c>
      <c r="T2565">
        <v>0</v>
      </c>
      <c r="U2565">
        <v>0</v>
      </c>
      <c r="V2565" s="3">
        <v>0</v>
      </c>
      <c r="W2565" s="3">
        <v>0</v>
      </c>
      <c r="X2565">
        <v>0</v>
      </c>
      <c r="Y2565" t="s">
        <v>2047</v>
      </c>
    </row>
    <row r="2566" spans="1:25" hidden="1" x14ac:dyDescent="0.25">
      <c r="A2566" t="s">
        <v>41</v>
      </c>
      <c r="B2566" t="s">
        <v>112</v>
      </c>
      <c r="C2566" t="s">
        <v>42</v>
      </c>
      <c r="D2566" t="s">
        <v>27</v>
      </c>
      <c r="E2566" s="2">
        <v>45979</v>
      </c>
      <c r="F2566" s="2">
        <v>45979</v>
      </c>
      <c r="G2566" s="3">
        <v>51</v>
      </c>
      <c r="H2566" t="s">
        <v>28</v>
      </c>
      <c r="I2566" s="28">
        <v>45</v>
      </c>
      <c r="J2566">
        <v>0</v>
      </c>
      <c r="K2566">
        <v>0</v>
      </c>
      <c r="L2566" s="3">
        <v>1</v>
      </c>
      <c r="M2566" s="3">
        <v>0</v>
      </c>
      <c r="N2566">
        <v>0</v>
      </c>
      <c r="O2566">
        <v>0</v>
      </c>
      <c r="P2566">
        <v>0</v>
      </c>
      <c r="Q2566">
        <v>1</v>
      </c>
      <c r="R2566" s="3">
        <v>0</v>
      </c>
      <c r="S2566" s="3">
        <v>0</v>
      </c>
      <c r="T2566">
        <v>0</v>
      </c>
      <c r="U2566">
        <v>0</v>
      </c>
      <c r="V2566" s="3">
        <v>0</v>
      </c>
      <c r="W2566" s="3">
        <v>0</v>
      </c>
      <c r="X2566">
        <v>0</v>
      </c>
      <c r="Y2566" t="s">
        <v>2048</v>
      </c>
    </row>
    <row r="2567" spans="1:25" hidden="1" x14ac:dyDescent="0.25">
      <c r="A2567" t="s">
        <v>43</v>
      </c>
      <c r="B2567" t="s">
        <v>114</v>
      </c>
      <c r="C2567" t="s">
        <v>57</v>
      </c>
      <c r="D2567" t="s">
        <v>27</v>
      </c>
      <c r="E2567" s="2">
        <v>45979</v>
      </c>
      <c r="F2567" s="2">
        <v>45979</v>
      </c>
      <c r="G2567" s="3">
        <v>21</v>
      </c>
      <c r="H2567" t="s">
        <v>28</v>
      </c>
      <c r="I2567" s="28">
        <v>74</v>
      </c>
      <c r="J2567">
        <v>0</v>
      </c>
      <c r="K2567">
        <v>0</v>
      </c>
      <c r="L2567" s="3">
        <v>1</v>
      </c>
      <c r="M2567" s="3">
        <v>0</v>
      </c>
      <c r="N2567">
        <v>0</v>
      </c>
      <c r="O2567">
        <v>0</v>
      </c>
      <c r="P2567">
        <v>0</v>
      </c>
      <c r="Q2567">
        <v>0</v>
      </c>
      <c r="R2567" s="3">
        <v>0</v>
      </c>
      <c r="S2567" s="3">
        <v>0</v>
      </c>
      <c r="T2567">
        <v>0</v>
      </c>
      <c r="U2567">
        <v>0</v>
      </c>
      <c r="V2567" s="3">
        <v>0</v>
      </c>
      <c r="W2567" s="3">
        <v>0</v>
      </c>
      <c r="X2567">
        <v>0</v>
      </c>
      <c r="Y2567" t="s">
        <v>2049</v>
      </c>
    </row>
    <row r="2568" spans="1:25" hidden="1" x14ac:dyDescent="0.25">
      <c r="A2568" t="s">
        <v>45</v>
      </c>
      <c r="B2568" t="s">
        <v>116</v>
      </c>
      <c r="C2568" t="s">
        <v>55</v>
      </c>
      <c r="D2568" t="s">
        <v>27</v>
      </c>
      <c r="E2568" s="2">
        <v>45979</v>
      </c>
      <c r="F2568" s="2">
        <v>45979</v>
      </c>
      <c r="G2568" s="3">
        <v>51</v>
      </c>
      <c r="H2568" t="s">
        <v>28</v>
      </c>
      <c r="I2568" s="28">
        <v>34</v>
      </c>
      <c r="J2568">
        <v>4</v>
      </c>
      <c r="K2568">
        <v>0</v>
      </c>
      <c r="L2568" s="3">
        <v>0</v>
      </c>
      <c r="M2568" s="3">
        <v>0</v>
      </c>
      <c r="N2568">
        <v>0</v>
      </c>
      <c r="O2568">
        <v>0</v>
      </c>
      <c r="P2568">
        <v>0</v>
      </c>
      <c r="Q2568">
        <v>0</v>
      </c>
      <c r="R2568" s="3">
        <v>0</v>
      </c>
      <c r="S2568" s="3">
        <v>0</v>
      </c>
      <c r="T2568">
        <v>0</v>
      </c>
      <c r="U2568">
        <v>0</v>
      </c>
      <c r="V2568" s="3">
        <v>0</v>
      </c>
      <c r="W2568" s="3">
        <v>0</v>
      </c>
      <c r="X2568">
        <v>0</v>
      </c>
      <c r="Y2568" t="s">
        <v>2050</v>
      </c>
    </row>
    <row r="2569" spans="1:25" hidden="1" x14ac:dyDescent="0.25">
      <c r="A2569" t="s">
        <v>47</v>
      </c>
      <c r="B2569" t="s">
        <v>137</v>
      </c>
      <c r="C2569" t="s">
        <v>34</v>
      </c>
      <c r="D2569" t="s">
        <v>27</v>
      </c>
      <c r="E2569" s="2">
        <v>45979</v>
      </c>
      <c r="F2569" s="2">
        <v>45979</v>
      </c>
      <c r="G2569" s="3">
        <v>24</v>
      </c>
      <c r="H2569" t="s">
        <v>28</v>
      </c>
      <c r="I2569" s="28">
        <v>57</v>
      </c>
      <c r="J2569">
        <v>0</v>
      </c>
      <c r="K2569">
        <v>0</v>
      </c>
      <c r="L2569" s="3">
        <v>1</v>
      </c>
      <c r="M2569" s="3">
        <v>0</v>
      </c>
      <c r="N2569">
        <v>0</v>
      </c>
      <c r="O2569">
        <v>0</v>
      </c>
      <c r="P2569">
        <v>0</v>
      </c>
      <c r="Q2569">
        <v>15</v>
      </c>
      <c r="R2569" s="3">
        <v>0</v>
      </c>
      <c r="S2569" s="3">
        <v>0</v>
      </c>
      <c r="T2569">
        <v>0</v>
      </c>
      <c r="U2569">
        <v>0</v>
      </c>
      <c r="V2569" s="3">
        <v>0</v>
      </c>
      <c r="W2569" s="3">
        <v>0</v>
      </c>
      <c r="X2569">
        <v>0</v>
      </c>
      <c r="Y2569" t="s">
        <v>2051</v>
      </c>
    </row>
    <row r="2570" spans="1:25" hidden="1" x14ac:dyDescent="0.25">
      <c r="A2570" t="s">
        <v>49</v>
      </c>
      <c r="B2570" t="s">
        <v>118</v>
      </c>
      <c r="C2570" t="s">
        <v>50</v>
      </c>
      <c r="D2570" t="s">
        <v>27</v>
      </c>
      <c r="E2570" s="2">
        <v>45979</v>
      </c>
      <c r="F2570" s="2">
        <v>45979</v>
      </c>
      <c r="G2570" s="3">
        <v>35</v>
      </c>
      <c r="H2570" t="s">
        <v>28</v>
      </c>
      <c r="I2570" s="28">
        <v>56</v>
      </c>
      <c r="J2570">
        <v>0</v>
      </c>
      <c r="K2570">
        <v>0</v>
      </c>
      <c r="L2570" s="3">
        <v>1</v>
      </c>
      <c r="M2570" s="3">
        <v>1</v>
      </c>
      <c r="N2570">
        <v>0</v>
      </c>
      <c r="O2570">
        <v>1</v>
      </c>
      <c r="P2570">
        <v>0</v>
      </c>
      <c r="Q2570">
        <v>56</v>
      </c>
      <c r="R2570" s="3">
        <v>0</v>
      </c>
      <c r="S2570" s="3">
        <v>0</v>
      </c>
      <c r="T2570">
        <v>0</v>
      </c>
      <c r="U2570">
        <v>0</v>
      </c>
      <c r="V2570" s="3">
        <v>0</v>
      </c>
      <c r="W2570" s="3">
        <v>0</v>
      </c>
      <c r="X2570">
        <v>0</v>
      </c>
      <c r="Y2570" t="s">
        <v>2052</v>
      </c>
    </row>
    <row r="2571" spans="1:25" hidden="1" x14ac:dyDescent="0.25">
      <c r="A2571" t="s">
        <v>54</v>
      </c>
      <c r="B2571" t="s">
        <v>122</v>
      </c>
      <c r="C2571" t="s">
        <v>52</v>
      </c>
      <c r="D2571" t="s">
        <v>27</v>
      </c>
      <c r="E2571" s="2">
        <v>45979</v>
      </c>
      <c r="F2571" s="2">
        <v>45979</v>
      </c>
      <c r="G2571" s="3">
        <v>38</v>
      </c>
      <c r="H2571" t="s">
        <v>28</v>
      </c>
      <c r="I2571" s="28">
        <v>57</v>
      </c>
      <c r="J2571">
        <v>0</v>
      </c>
      <c r="K2571">
        <v>0</v>
      </c>
      <c r="L2571" s="3">
        <v>0</v>
      </c>
      <c r="M2571" s="3">
        <v>0</v>
      </c>
      <c r="N2571">
        <v>0</v>
      </c>
      <c r="O2571">
        <v>0</v>
      </c>
      <c r="P2571">
        <v>0</v>
      </c>
      <c r="Q2571">
        <v>2</v>
      </c>
      <c r="R2571" s="3">
        <v>0</v>
      </c>
      <c r="S2571" s="3">
        <v>0</v>
      </c>
      <c r="T2571">
        <v>0</v>
      </c>
      <c r="U2571">
        <v>0</v>
      </c>
      <c r="V2571" s="3">
        <v>0</v>
      </c>
      <c r="W2571" s="3">
        <v>0</v>
      </c>
      <c r="X2571">
        <v>0</v>
      </c>
      <c r="Y2571" t="s">
        <v>2053</v>
      </c>
    </row>
    <row r="2572" spans="1:25" hidden="1" x14ac:dyDescent="0.25">
      <c r="A2572" t="s">
        <v>58</v>
      </c>
      <c r="B2572" t="s">
        <v>144</v>
      </c>
      <c r="C2572" t="s">
        <v>489</v>
      </c>
      <c r="D2572" t="s">
        <v>27</v>
      </c>
      <c r="E2572" s="2">
        <v>45979</v>
      </c>
      <c r="F2572" s="2">
        <v>45979</v>
      </c>
      <c r="G2572" s="3">
        <v>23</v>
      </c>
      <c r="H2572" t="s">
        <v>28</v>
      </c>
      <c r="I2572" s="28">
        <v>36</v>
      </c>
      <c r="J2572">
        <v>0</v>
      </c>
      <c r="K2572">
        <v>0</v>
      </c>
      <c r="L2572" s="3">
        <v>1</v>
      </c>
      <c r="M2572" s="3">
        <v>0</v>
      </c>
      <c r="N2572">
        <v>0</v>
      </c>
      <c r="O2572">
        <v>0</v>
      </c>
      <c r="P2572">
        <v>0</v>
      </c>
      <c r="Q2572">
        <v>25</v>
      </c>
      <c r="R2572" s="3">
        <v>0</v>
      </c>
      <c r="S2572" s="3">
        <v>0</v>
      </c>
      <c r="T2572">
        <v>0</v>
      </c>
      <c r="U2572">
        <v>0</v>
      </c>
      <c r="V2572" s="3">
        <v>0</v>
      </c>
      <c r="W2572" s="3">
        <v>0</v>
      </c>
      <c r="X2572">
        <v>1</v>
      </c>
      <c r="Y2572" t="s">
        <v>2054</v>
      </c>
    </row>
    <row r="2573" spans="1:25" hidden="1" x14ac:dyDescent="0.25">
      <c r="A2573" t="s">
        <v>51</v>
      </c>
      <c r="B2573" t="s">
        <v>106</v>
      </c>
      <c r="C2573" t="s">
        <v>27</v>
      </c>
      <c r="D2573" t="s">
        <v>27</v>
      </c>
      <c r="E2573" s="2">
        <v>45979</v>
      </c>
      <c r="F2573" s="2">
        <v>45979</v>
      </c>
      <c r="G2573" s="3">
        <v>24</v>
      </c>
      <c r="H2573" t="s">
        <v>959</v>
      </c>
      <c r="I2573" s="28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2054</v>
      </c>
    </row>
    <row r="2574" spans="1:25" hidden="1" x14ac:dyDescent="0.25">
      <c r="A2574" t="s">
        <v>27</v>
      </c>
      <c r="B2574" t="s">
        <v>182</v>
      </c>
      <c r="C2574" t="s">
        <v>46</v>
      </c>
      <c r="D2574" t="s">
        <v>27</v>
      </c>
      <c r="E2574" s="2">
        <v>45979</v>
      </c>
      <c r="F2574" s="2">
        <v>45979</v>
      </c>
      <c r="G2574" s="3">
        <v>25</v>
      </c>
      <c r="H2574" s="4" t="s">
        <v>1448</v>
      </c>
      <c r="I2574" s="28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2054</v>
      </c>
    </row>
    <row r="2575" spans="1:25" hidden="1" x14ac:dyDescent="0.25">
      <c r="A2575" t="s">
        <v>454</v>
      </c>
      <c r="B2575" t="s">
        <v>184</v>
      </c>
      <c r="C2575" t="s">
        <v>27</v>
      </c>
      <c r="D2575" t="s">
        <v>27</v>
      </c>
      <c r="E2575" s="2">
        <v>45979</v>
      </c>
      <c r="F2575" s="2">
        <v>45979</v>
      </c>
      <c r="G2575" s="3">
        <v>26</v>
      </c>
      <c r="H2575" t="s">
        <v>959</v>
      </c>
      <c r="I2575" s="28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2054</v>
      </c>
    </row>
    <row r="2576" spans="1:25" hidden="1" x14ac:dyDescent="0.25">
      <c r="A2576" t="s">
        <v>27</v>
      </c>
      <c r="B2576" t="s">
        <v>186</v>
      </c>
      <c r="C2576" t="s">
        <v>44</v>
      </c>
      <c r="D2576" t="s">
        <v>27</v>
      </c>
      <c r="E2576" s="2">
        <v>45979</v>
      </c>
      <c r="F2576" s="2">
        <v>45979</v>
      </c>
      <c r="G2576" s="3">
        <v>27</v>
      </c>
      <c r="H2576" t="s">
        <v>2055</v>
      </c>
      <c r="I2576" s="28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2054</v>
      </c>
    </row>
    <row r="2577" spans="1:25" hidden="1" x14ac:dyDescent="0.25">
      <c r="A2577" t="s">
        <v>48</v>
      </c>
      <c r="B2577" t="s">
        <v>188</v>
      </c>
      <c r="C2577" t="s">
        <v>27</v>
      </c>
      <c r="D2577" t="s">
        <v>27</v>
      </c>
      <c r="E2577" s="2">
        <v>45979</v>
      </c>
      <c r="F2577" s="2">
        <v>45979</v>
      </c>
      <c r="G2577" s="3">
        <v>28</v>
      </c>
      <c r="H2577" t="s">
        <v>959</v>
      </c>
      <c r="I2577" s="28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2054</v>
      </c>
    </row>
    <row r="2578" spans="1:25" hidden="1" x14ac:dyDescent="0.25">
      <c r="A2578" t="s">
        <v>25</v>
      </c>
      <c r="B2578" t="s">
        <v>96</v>
      </c>
      <c r="C2578" t="s">
        <v>26</v>
      </c>
      <c r="D2578" t="s">
        <v>27</v>
      </c>
      <c r="E2578" s="2">
        <v>45980</v>
      </c>
      <c r="F2578" s="2">
        <v>45980</v>
      </c>
      <c r="G2578" s="3">
        <v>39</v>
      </c>
      <c r="H2578" t="s">
        <v>28</v>
      </c>
      <c r="I2578" s="28">
        <v>93</v>
      </c>
      <c r="J2578">
        <v>0</v>
      </c>
      <c r="K2578">
        <v>0</v>
      </c>
      <c r="L2578" s="3">
        <v>1</v>
      </c>
      <c r="M2578" s="3">
        <v>0</v>
      </c>
      <c r="N2578">
        <v>1</v>
      </c>
      <c r="O2578">
        <v>0</v>
      </c>
      <c r="P2578">
        <v>0</v>
      </c>
      <c r="Q2578">
        <v>0</v>
      </c>
      <c r="R2578" s="3">
        <v>0</v>
      </c>
      <c r="S2578" s="3">
        <v>0</v>
      </c>
      <c r="T2578">
        <v>0</v>
      </c>
      <c r="U2578">
        <v>0</v>
      </c>
      <c r="V2578" s="3">
        <v>0</v>
      </c>
      <c r="W2578" s="3">
        <v>0</v>
      </c>
      <c r="X2578">
        <v>0</v>
      </c>
      <c r="Y2578" t="s">
        <v>2056</v>
      </c>
    </row>
    <row r="2579" spans="1:25" hidden="1" x14ac:dyDescent="0.25">
      <c r="A2579" t="s">
        <v>56</v>
      </c>
      <c r="B2579" t="s">
        <v>98</v>
      </c>
      <c r="C2579" t="s">
        <v>37</v>
      </c>
      <c r="D2579" t="s">
        <v>27</v>
      </c>
      <c r="E2579" s="2">
        <v>45980</v>
      </c>
      <c r="F2579" s="2">
        <v>45980</v>
      </c>
      <c r="G2579" s="3">
        <v>29</v>
      </c>
      <c r="H2579" t="s">
        <v>28</v>
      </c>
      <c r="I2579" s="28">
        <v>70</v>
      </c>
      <c r="J2579">
        <v>0</v>
      </c>
      <c r="K2579">
        <v>0</v>
      </c>
      <c r="L2579" s="3">
        <v>1</v>
      </c>
      <c r="M2579" s="3">
        <v>0</v>
      </c>
      <c r="N2579">
        <v>0</v>
      </c>
      <c r="O2579">
        <v>0</v>
      </c>
      <c r="P2579">
        <v>0</v>
      </c>
      <c r="Q2579">
        <v>10</v>
      </c>
      <c r="R2579" s="3">
        <v>0</v>
      </c>
      <c r="S2579" s="3">
        <v>0</v>
      </c>
      <c r="T2579">
        <v>0</v>
      </c>
      <c r="U2579">
        <v>0</v>
      </c>
      <c r="V2579" s="3">
        <v>0</v>
      </c>
      <c r="W2579" s="3">
        <v>0</v>
      </c>
      <c r="X2579">
        <v>0</v>
      </c>
      <c r="Y2579" t="s">
        <v>2057</v>
      </c>
    </row>
    <row r="2580" spans="1:25" hidden="1" x14ac:dyDescent="0.25">
      <c r="A2580" t="s">
        <v>29</v>
      </c>
      <c r="B2580" t="s">
        <v>100</v>
      </c>
      <c r="C2580" t="s">
        <v>95</v>
      </c>
      <c r="D2580" t="s">
        <v>27</v>
      </c>
      <c r="E2580" s="2">
        <v>45980</v>
      </c>
      <c r="F2580" s="2">
        <v>45980</v>
      </c>
      <c r="G2580" s="3">
        <v>48</v>
      </c>
      <c r="H2580" t="s">
        <v>28</v>
      </c>
      <c r="I2580" s="28">
        <v>28</v>
      </c>
      <c r="J2580">
        <v>0</v>
      </c>
      <c r="K2580">
        <v>0</v>
      </c>
      <c r="L2580" s="3">
        <v>1</v>
      </c>
      <c r="M2580" s="3">
        <v>0</v>
      </c>
      <c r="N2580">
        <v>0</v>
      </c>
      <c r="O2580">
        <v>0</v>
      </c>
      <c r="P2580">
        <v>0</v>
      </c>
      <c r="Q2580">
        <v>5</v>
      </c>
      <c r="R2580" s="3">
        <v>0</v>
      </c>
      <c r="S2580" s="3">
        <v>0</v>
      </c>
      <c r="T2580">
        <v>0</v>
      </c>
      <c r="U2580">
        <v>0</v>
      </c>
      <c r="V2580" s="3">
        <v>0</v>
      </c>
      <c r="W2580" s="3">
        <v>0</v>
      </c>
      <c r="X2580">
        <v>0</v>
      </c>
      <c r="Y2580" t="s">
        <v>2058</v>
      </c>
    </row>
    <row r="2581" spans="1:25" hidden="1" x14ac:dyDescent="0.25">
      <c r="A2581" s="1" t="s">
        <v>344</v>
      </c>
      <c r="B2581" s="1" t="s">
        <v>102</v>
      </c>
      <c r="C2581" s="1" t="s">
        <v>35</v>
      </c>
      <c r="D2581" s="1" t="s">
        <v>27</v>
      </c>
      <c r="E2581" s="2">
        <v>45980</v>
      </c>
      <c r="F2581" s="2">
        <v>45980</v>
      </c>
      <c r="G2581" s="3">
        <v>29</v>
      </c>
      <c r="H2581" s="4" t="s">
        <v>28</v>
      </c>
      <c r="I2581" s="28">
        <v>25</v>
      </c>
      <c r="J2581">
        <v>0</v>
      </c>
      <c r="K2581">
        <v>0</v>
      </c>
      <c r="L2581" s="3">
        <v>0</v>
      </c>
      <c r="M2581" s="3">
        <v>0</v>
      </c>
      <c r="N2581">
        <v>0</v>
      </c>
      <c r="O2581">
        <v>0</v>
      </c>
      <c r="P2581">
        <v>0</v>
      </c>
      <c r="Q2581">
        <v>0</v>
      </c>
      <c r="R2581" s="3">
        <v>0</v>
      </c>
      <c r="S2581" s="3">
        <v>0</v>
      </c>
      <c r="T2581">
        <v>0</v>
      </c>
      <c r="U2581">
        <v>0</v>
      </c>
      <c r="V2581" s="3">
        <v>0</v>
      </c>
      <c r="W2581" s="3">
        <v>0</v>
      </c>
      <c r="X2581">
        <v>0</v>
      </c>
      <c r="Y2581" t="s">
        <v>1887</v>
      </c>
    </row>
    <row r="2582" spans="1:25" hidden="1" x14ac:dyDescent="0.25">
      <c r="A2582" t="s">
        <v>31</v>
      </c>
      <c r="B2582" t="s">
        <v>104</v>
      </c>
      <c r="C2582" t="s">
        <v>32</v>
      </c>
      <c r="D2582" t="s">
        <v>27</v>
      </c>
      <c r="E2582" s="2">
        <v>45980</v>
      </c>
      <c r="F2582" s="2">
        <v>45980</v>
      </c>
      <c r="G2582" s="3">
        <v>222</v>
      </c>
      <c r="H2582" t="s">
        <v>28</v>
      </c>
      <c r="I2582" s="28">
        <v>94</v>
      </c>
      <c r="J2582">
        <v>0</v>
      </c>
      <c r="K2582">
        <v>0</v>
      </c>
      <c r="L2582" s="3">
        <v>1</v>
      </c>
      <c r="M2582" s="3">
        <v>0</v>
      </c>
      <c r="N2582">
        <v>0</v>
      </c>
      <c r="O2582">
        <v>0</v>
      </c>
      <c r="P2582">
        <v>0</v>
      </c>
      <c r="Q2582">
        <v>36</v>
      </c>
      <c r="R2582" s="3">
        <v>0</v>
      </c>
      <c r="S2582" s="3">
        <v>0</v>
      </c>
      <c r="T2582">
        <v>0</v>
      </c>
      <c r="U2582">
        <v>0</v>
      </c>
      <c r="V2582" s="3">
        <v>0</v>
      </c>
      <c r="W2582" s="3">
        <v>0</v>
      </c>
      <c r="X2582">
        <v>8</v>
      </c>
      <c r="Y2582" t="s">
        <v>2059</v>
      </c>
    </row>
    <row r="2583" spans="1:25" hidden="1" x14ac:dyDescent="0.25">
      <c r="A2583" t="s">
        <v>33</v>
      </c>
      <c r="B2583" t="s">
        <v>106</v>
      </c>
      <c r="C2583" t="s">
        <v>57</v>
      </c>
      <c r="D2583" t="s">
        <v>27</v>
      </c>
      <c r="E2583" s="2">
        <v>45980</v>
      </c>
      <c r="F2583" s="2">
        <v>45980</v>
      </c>
      <c r="G2583" s="3">
        <v>26</v>
      </c>
      <c r="H2583" t="s">
        <v>28</v>
      </c>
      <c r="I2583" s="28">
        <v>56</v>
      </c>
      <c r="J2583">
        <v>0</v>
      </c>
      <c r="K2583">
        <v>0</v>
      </c>
      <c r="L2583" s="3">
        <v>0</v>
      </c>
      <c r="M2583" s="3">
        <v>0</v>
      </c>
      <c r="N2583">
        <v>0</v>
      </c>
      <c r="O2583">
        <v>0</v>
      </c>
      <c r="P2583">
        <v>0</v>
      </c>
      <c r="Q2583">
        <v>20</v>
      </c>
      <c r="R2583" s="3">
        <v>0</v>
      </c>
      <c r="S2583" s="3">
        <v>0</v>
      </c>
      <c r="T2583">
        <v>0</v>
      </c>
      <c r="U2583">
        <v>0</v>
      </c>
      <c r="V2583" s="3">
        <v>0</v>
      </c>
      <c r="W2583" s="3">
        <v>0</v>
      </c>
      <c r="X2583">
        <v>0</v>
      </c>
      <c r="Y2583" t="s">
        <v>2060</v>
      </c>
    </row>
    <row r="2584" spans="1:25" hidden="1" x14ac:dyDescent="0.25">
      <c r="A2584" t="s">
        <v>38</v>
      </c>
      <c r="B2584" t="s">
        <v>108</v>
      </c>
      <c r="C2584" t="s">
        <v>27</v>
      </c>
      <c r="D2584" t="s">
        <v>27</v>
      </c>
      <c r="E2584" s="2">
        <v>45980</v>
      </c>
      <c r="F2584" s="2">
        <v>45980</v>
      </c>
      <c r="G2584" s="3">
        <v>39</v>
      </c>
      <c r="H2584" t="s">
        <v>28</v>
      </c>
      <c r="I2584" s="28">
        <v>61</v>
      </c>
      <c r="J2584">
        <v>0</v>
      </c>
      <c r="K2584">
        <v>0</v>
      </c>
      <c r="L2584" s="3">
        <v>0</v>
      </c>
      <c r="M2584" s="3">
        <v>0</v>
      </c>
      <c r="N2584">
        <v>0</v>
      </c>
      <c r="O2584">
        <v>0</v>
      </c>
      <c r="P2584">
        <v>0</v>
      </c>
      <c r="Q2584">
        <v>61</v>
      </c>
      <c r="R2584" s="3">
        <v>0</v>
      </c>
      <c r="S2584" s="3">
        <v>0</v>
      </c>
      <c r="T2584">
        <v>0</v>
      </c>
      <c r="U2584">
        <v>0</v>
      </c>
      <c r="V2584" s="3">
        <v>0</v>
      </c>
      <c r="W2584" s="3">
        <v>0</v>
      </c>
      <c r="X2584">
        <v>0</v>
      </c>
      <c r="Y2584" t="s">
        <v>2061</v>
      </c>
    </row>
    <row r="2585" spans="1:25" hidden="1" x14ac:dyDescent="0.25">
      <c r="A2585" t="s">
        <v>40</v>
      </c>
      <c r="B2585" t="s">
        <v>110</v>
      </c>
      <c r="C2585" t="s">
        <v>27</v>
      </c>
      <c r="D2585" t="s">
        <v>27</v>
      </c>
      <c r="E2585" s="2">
        <v>45980</v>
      </c>
      <c r="F2585" s="2">
        <v>45980</v>
      </c>
      <c r="G2585" s="3">
        <v>112</v>
      </c>
      <c r="H2585" t="s">
        <v>28</v>
      </c>
      <c r="I2585" s="28">
        <v>77</v>
      </c>
      <c r="J2585">
        <v>0</v>
      </c>
      <c r="K2585">
        <v>0</v>
      </c>
      <c r="L2585" s="3">
        <v>1</v>
      </c>
      <c r="M2585" s="3">
        <v>0</v>
      </c>
      <c r="N2585">
        <v>1</v>
      </c>
      <c r="O2585">
        <v>0</v>
      </c>
      <c r="P2585">
        <v>0</v>
      </c>
      <c r="Q2585">
        <v>30</v>
      </c>
      <c r="R2585" s="3">
        <v>0</v>
      </c>
      <c r="S2585" s="3">
        <v>0</v>
      </c>
      <c r="T2585">
        <v>0</v>
      </c>
      <c r="U2585">
        <v>0</v>
      </c>
      <c r="V2585" s="3">
        <v>0</v>
      </c>
      <c r="W2585" s="3">
        <v>0</v>
      </c>
      <c r="X2585">
        <v>0</v>
      </c>
      <c r="Y2585" t="s">
        <v>2062</v>
      </c>
    </row>
    <row r="2586" spans="1:25" hidden="1" x14ac:dyDescent="0.25">
      <c r="A2586" t="s">
        <v>36</v>
      </c>
      <c r="B2586" t="s">
        <v>110</v>
      </c>
      <c r="C2586" t="s">
        <v>27</v>
      </c>
      <c r="D2586" t="s">
        <v>27</v>
      </c>
      <c r="E2586" s="2">
        <v>45980</v>
      </c>
      <c r="F2586" s="2">
        <v>45980</v>
      </c>
      <c r="G2586" s="3">
        <v>112</v>
      </c>
      <c r="H2586" t="s">
        <v>28</v>
      </c>
      <c r="I2586" s="28">
        <v>77</v>
      </c>
      <c r="J2586">
        <v>0</v>
      </c>
      <c r="K2586">
        <v>0</v>
      </c>
      <c r="L2586" s="3">
        <v>1</v>
      </c>
      <c r="M2586" s="3">
        <v>0</v>
      </c>
      <c r="N2586">
        <v>1</v>
      </c>
      <c r="O2586">
        <v>0</v>
      </c>
      <c r="P2586">
        <v>0</v>
      </c>
      <c r="Q2586">
        <v>30</v>
      </c>
      <c r="R2586" s="3">
        <v>0</v>
      </c>
      <c r="S2586" s="3">
        <v>0</v>
      </c>
      <c r="T2586">
        <v>0</v>
      </c>
      <c r="U2586">
        <v>0</v>
      </c>
      <c r="V2586" s="3">
        <v>0</v>
      </c>
      <c r="W2586" s="3">
        <v>0</v>
      </c>
      <c r="X2586">
        <v>0</v>
      </c>
      <c r="Y2586" t="s">
        <v>2062</v>
      </c>
    </row>
    <row r="2587" spans="1:25" hidden="1" x14ac:dyDescent="0.25">
      <c r="A2587" t="s">
        <v>1454</v>
      </c>
      <c r="B2587" t="s">
        <v>1455</v>
      </c>
      <c r="C2587" t="s">
        <v>27</v>
      </c>
      <c r="D2587" t="s">
        <v>27</v>
      </c>
      <c r="E2587" s="2">
        <v>45980</v>
      </c>
      <c r="F2587" s="2">
        <v>45980</v>
      </c>
      <c r="G2587" s="3">
        <v>35</v>
      </c>
      <c r="H2587" t="s">
        <v>28</v>
      </c>
      <c r="I2587" s="28">
        <v>55</v>
      </c>
      <c r="J2587">
        <v>0</v>
      </c>
      <c r="K2587">
        <v>0</v>
      </c>
      <c r="L2587" s="3">
        <v>1</v>
      </c>
      <c r="M2587" s="3">
        <v>0</v>
      </c>
      <c r="N2587">
        <v>0</v>
      </c>
      <c r="O2587">
        <v>0</v>
      </c>
      <c r="P2587">
        <v>0</v>
      </c>
      <c r="Q2587">
        <v>55</v>
      </c>
      <c r="R2587" s="3">
        <v>0</v>
      </c>
      <c r="S2587" s="3">
        <v>0</v>
      </c>
      <c r="T2587">
        <v>0</v>
      </c>
      <c r="U2587">
        <v>0</v>
      </c>
      <c r="V2587" s="3">
        <v>0</v>
      </c>
      <c r="W2587" s="3">
        <v>0</v>
      </c>
      <c r="X2587">
        <v>0</v>
      </c>
      <c r="Y2587" t="s">
        <v>2063</v>
      </c>
    </row>
    <row r="2588" spans="1:25" hidden="1" x14ac:dyDescent="0.25">
      <c r="A2588" t="s">
        <v>41</v>
      </c>
      <c r="B2588" t="s">
        <v>112</v>
      </c>
      <c r="C2588" t="s">
        <v>42</v>
      </c>
      <c r="D2588" t="s">
        <v>27</v>
      </c>
      <c r="E2588" s="2">
        <v>45980</v>
      </c>
      <c r="F2588" s="2">
        <v>45980</v>
      </c>
      <c r="G2588" s="3">
        <v>35</v>
      </c>
      <c r="H2588" t="s">
        <v>28</v>
      </c>
      <c r="I2588" s="28">
        <v>45</v>
      </c>
      <c r="J2588">
        <v>0</v>
      </c>
      <c r="K2588">
        <v>0</v>
      </c>
      <c r="L2588" s="3">
        <v>1</v>
      </c>
      <c r="M2588" s="3">
        <v>0</v>
      </c>
      <c r="N2588">
        <v>0</v>
      </c>
      <c r="O2588">
        <v>0</v>
      </c>
      <c r="P2588">
        <v>0</v>
      </c>
      <c r="Q2588">
        <v>0</v>
      </c>
      <c r="R2588" s="3">
        <v>0</v>
      </c>
      <c r="S2588" s="3">
        <v>0</v>
      </c>
      <c r="T2588">
        <v>0</v>
      </c>
      <c r="U2588">
        <v>0</v>
      </c>
      <c r="V2588" s="3">
        <v>0</v>
      </c>
      <c r="W2588" s="3">
        <v>0</v>
      </c>
      <c r="X2588">
        <v>0</v>
      </c>
      <c r="Y2588" t="s">
        <v>2064</v>
      </c>
    </row>
    <row r="2589" spans="1:25" hidden="1" x14ac:dyDescent="0.25">
      <c r="A2589" t="s">
        <v>43</v>
      </c>
      <c r="B2589" t="s">
        <v>114</v>
      </c>
      <c r="C2589" t="s">
        <v>44</v>
      </c>
      <c r="D2589" t="s">
        <v>27</v>
      </c>
      <c r="E2589" s="2">
        <v>45980</v>
      </c>
      <c r="F2589" s="2">
        <v>45980</v>
      </c>
      <c r="G2589" s="3">
        <v>27</v>
      </c>
      <c r="H2589" t="s">
        <v>28</v>
      </c>
      <c r="I2589" s="28">
        <v>51</v>
      </c>
      <c r="J2589">
        <v>0</v>
      </c>
      <c r="K2589">
        <v>0</v>
      </c>
      <c r="L2589" s="3">
        <v>0</v>
      </c>
      <c r="M2589" s="3">
        <v>0</v>
      </c>
      <c r="N2589">
        <v>0</v>
      </c>
      <c r="O2589">
        <v>0</v>
      </c>
      <c r="P2589">
        <v>0</v>
      </c>
      <c r="Q2589">
        <v>0</v>
      </c>
      <c r="R2589" s="3">
        <v>0</v>
      </c>
      <c r="S2589" s="3">
        <v>0</v>
      </c>
      <c r="T2589">
        <v>0</v>
      </c>
      <c r="U2589">
        <v>0</v>
      </c>
      <c r="V2589" s="3">
        <v>0</v>
      </c>
      <c r="W2589" s="3">
        <v>0</v>
      </c>
      <c r="X2589">
        <v>0</v>
      </c>
      <c r="Y2589" t="s">
        <v>2065</v>
      </c>
    </row>
    <row r="2590" spans="1:25" hidden="1" x14ac:dyDescent="0.25">
      <c r="A2590" t="s">
        <v>45</v>
      </c>
      <c r="B2590" t="s">
        <v>116</v>
      </c>
      <c r="C2590" t="s">
        <v>1316</v>
      </c>
      <c r="D2590" t="s">
        <v>27</v>
      </c>
      <c r="E2590" s="2">
        <v>45980</v>
      </c>
      <c r="F2590" s="2">
        <v>45980</v>
      </c>
      <c r="G2590" s="3">
        <v>44</v>
      </c>
      <c r="H2590" t="s">
        <v>28</v>
      </c>
      <c r="I2590" s="28">
        <v>74</v>
      </c>
      <c r="J2590">
        <v>0</v>
      </c>
      <c r="K2590">
        <v>0</v>
      </c>
      <c r="L2590" s="3">
        <v>1</v>
      </c>
      <c r="M2590" s="3">
        <v>0</v>
      </c>
      <c r="N2590">
        <v>0</v>
      </c>
      <c r="O2590">
        <v>0</v>
      </c>
      <c r="P2590">
        <v>0</v>
      </c>
      <c r="Q2590">
        <v>0</v>
      </c>
      <c r="R2590" s="3">
        <v>0</v>
      </c>
      <c r="S2590" s="3">
        <v>0</v>
      </c>
      <c r="T2590">
        <v>0</v>
      </c>
      <c r="U2590">
        <v>0</v>
      </c>
      <c r="V2590" s="3">
        <v>0</v>
      </c>
      <c r="W2590" s="3">
        <v>0</v>
      </c>
      <c r="X2590">
        <v>0</v>
      </c>
      <c r="Y2590" t="s">
        <v>2066</v>
      </c>
    </row>
    <row r="2591" spans="1:25" hidden="1" x14ac:dyDescent="0.25">
      <c r="A2591" t="s">
        <v>47</v>
      </c>
      <c r="B2591" t="s">
        <v>137</v>
      </c>
      <c r="C2591" t="s">
        <v>27</v>
      </c>
      <c r="D2591" t="s">
        <v>27</v>
      </c>
      <c r="E2591" s="2">
        <v>45980</v>
      </c>
      <c r="F2591" s="2">
        <v>45980</v>
      </c>
      <c r="G2591" s="3">
        <v>343</v>
      </c>
      <c r="H2591" t="s">
        <v>28</v>
      </c>
      <c r="I2591" s="28">
        <v>55</v>
      </c>
      <c r="J2591">
        <v>0</v>
      </c>
      <c r="K2591">
        <v>0</v>
      </c>
      <c r="L2591" s="3">
        <v>1</v>
      </c>
      <c r="M2591" s="3">
        <v>0</v>
      </c>
      <c r="N2591">
        <v>0</v>
      </c>
      <c r="O2591">
        <v>0</v>
      </c>
      <c r="P2591">
        <v>0</v>
      </c>
      <c r="Q2591">
        <v>15</v>
      </c>
      <c r="R2591" s="3">
        <v>0</v>
      </c>
      <c r="S2591" s="3">
        <v>0</v>
      </c>
      <c r="T2591">
        <v>0</v>
      </c>
      <c r="U2591">
        <v>0</v>
      </c>
      <c r="V2591" s="3">
        <v>0</v>
      </c>
      <c r="W2591" s="3">
        <v>0</v>
      </c>
      <c r="X2591">
        <v>0</v>
      </c>
      <c r="Y2591" t="s">
        <v>2067</v>
      </c>
    </row>
    <row r="2592" spans="1:25" hidden="1" x14ac:dyDescent="0.25">
      <c r="A2592" t="s">
        <v>34</v>
      </c>
      <c r="B2592" t="s">
        <v>137</v>
      </c>
      <c r="C2592" t="s">
        <v>27</v>
      </c>
      <c r="D2592" t="s">
        <v>27</v>
      </c>
      <c r="E2592" s="2">
        <v>45980</v>
      </c>
      <c r="F2592" s="2">
        <v>45980</v>
      </c>
      <c r="G2592" s="3">
        <v>343</v>
      </c>
      <c r="H2592" t="s">
        <v>28</v>
      </c>
      <c r="I2592" s="28">
        <v>55</v>
      </c>
      <c r="J2592">
        <v>0</v>
      </c>
      <c r="K2592">
        <v>0</v>
      </c>
      <c r="L2592" s="3">
        <v>1</v>
      </c>
      <c r="M2592" s="3">
        <v>0</v>
      </c>
      <c r="N2592">
        <v>0</v>
      </c>
      <c r="O2592">
        <v>0</v>
      </c>
      <c r="P2592">
        <v>0</v>
      </c>
      <c r="Q2592">
        <v>15</v>
      </c>
      <c r="R2592" s="3">
        <v>0</v>
      </c>
      <c r="S2592" s="3">
        <v>0</v>
      </c>
      <c r="T2592">
        <v>0</v>
      </c>
      <c r="U2592">
        <v>0</v>
      </c>
      <c r="V2592" s="3">
        <v>0</v>
      </c>
      <c r="W2592" s="3">
        <v>0</v>
      </c>
      <c r="X2592">
        <v>0</v>
      </c>
      <c r="Y2592" t="s">
        <v>2067</v>
      </c>
    </row>
    <row r="2593" spans="1:25" hidden="1" x14ac:dyDescent="0.25">
      <c r="A2593" t="s">
        <v>49</v>
      </c>
      <c r="B2593" t="s">
        <v>118</v>
      </c>
      <c r="C2593" t="s">
        <v>50</v>
      </c>
      <c r="D2593" t="s">
        <v>27</v>
      </c>
      <c r="E2593" s="2">
        <v>45980</v>
      </c>
      <c r="F2593" s="2">
        <v>45980</v>
      </c>
      <c r="G2593" s="3">
        <v>57</v>
      </c>
      <c r="H2593" t="s">
        <v>28</v>
      </c>
      <c r="I2593" s="28">
        <v>42</v>
      </c>
      <c r="J2593">
        <v>0</v>
      </c>
      <c r="K2593">
        <v>0</v>
      </c>
      <c r="L2593" s="3">
        <v>1</v>
      </c>
      <c r="M2593" s="3">
        <v>1</v>
      </c>
      <c r="N2593">
        <v>0</v>
      </c>
      <c r="O2593">
        <v>0</v>
      </c>
      <c r="P2593">
        <v>0</v>
      </c>
      <c r="Q2593">
        <v>42</v>
      </c>
      <c r="R2593" s="3">
        <v>0</v>
      </c>
      <c r="S2593" s="3">
        <v>0</v>
      </c>
      <c r="T2593">
        <v>0</v>
      </c>
      <c r="U2593">
        <v>0</v>
      </c>
      <c r="V2593" s="3">
        <v>0</v>
      </c>
      <c r="W2593" s="3">
        <v>0</v>
      </c>
      <c r="X2593">
        <v>0</v>
      </c>
      <c r="Y2593" t="s">
        <v>2068</v>
      </c>
    </row>
    <row r="2594" spans="1:25" hidden="1" x14ac:dyDescent="0.25">
      <c r="A2594" t="s">
        <v>51</v>
      </c>
      <c r="B2594" t="s">
        <v>120</v>
      </c>
      <c r="C2594" t="s">
        <v>55</v>
      </c>
      <c r="D2594" t="s">
        <v>27</v>
      </c>
      <c r="E2594" s="2">
        <v>45980</v>
      </c>
      <c r="F2594" s="2">
        <v>45980</v>
      </c>
      <c r="G2594" s="3">
        <v>44</v>
      </c>
      <c r="H2594" t="s">
        <v>28</v>
      </c>
      <c r="I2594" s="28">
        <v>45</v>
      </c>
      <c r="J2594">
        <v>0</v>
      </c>
      <c r="K2594">
        <v>0</v>
      </c>
      <c r="L2594" s="3">
        <v>1</v>
      </c>
      <c r="M2594" s="3">
        <v>0</v>
      </c>
      <c r="N2594">
        <v>1</v>
      </c>
      <c r="O2594">
        <v>0</v>
      </c>
      <c r="P2594">
        <v>0</v>
      </c>
      <c r="Q2594">
        <v>0</v>
      </c>
      <c r="R2594" s="3">
        <v>0</v>
      </c>
      <c r="S2594" s="3">
        <v>0</v>
      </c>
      <c r="T2594">
        <v>0</v>
      </c>
      <c r="U2594">
        <v>0</v>
      </c>
      <c r="V2594" s="3">
        <v>0</v>
      </c>
      <c r="W2594" s="3">
        <v>0</v>
      </c>
      <c r="X2594">
        <v>0</v>
      </c>
      <c r="Y2594" t="s">
        <v>2069</v>
      </c>
    </row>
    <row r="2595" spans="1:25" hidden="1" x14ac:dyDescent="0.25">
      <c r="A2595" t="s">
        <v>54</v>
      </c>
      <c r="B2595" t="s">
        <v>122</v>
      </c>
      <c r="C2595" t="s">
        <v>52</v>
      </c>
      <c r="D2595" t="s">
        <v>27</v>
      </c>
      <c r="E2595" s="2">
        <v>45980</v>
      </c>
      <c r="F2595" s="2">
        <v>45980</v>
      </c>
      <c r="G2595" s="3">
        <v>37</v>
      </c>
      <c r="H2595" t="s">
        <v>28</v>
      </c>
      <c r="I2595" s="28">
        <v>28</v>
      </c>
      <c r="J2595">
        <v>0</v>
      </c>
      <c r="K2595">
        <v>0</v>
      </c>
      <c r="L2595" s="3">
        <v>0</v>
      </c>
      <c r="M2595" s="3">
        <v>0</v>
      </c>
      <c r="N2595">
        <v>0</v>
      </c>
      <c r="O2595">
        <v>0</v>
      </c>
      <c r="P2595">
        <v>0</v>
      </c>
      <c r="Q2595">
        <v>2</v>
      </c>
      <c r="R2595" s="3">
        <v>0</v>
      </c>
      <c r="S2595" s="3">
        <v>0</v>
      </c>
      <c r="T2595">
        <v>0</v>
      </c>
      <c r="U2595">
        <v>0</v>
      </c>
      <c r="V2595" s="3">
        <v>0</v>
      </c>
      <c r="W2595" s="3">
        <v>0</v>
      </c>
      <c r="X2595">
        <v>0</v>
      </c>
      <c r="Y2595" t="s">
        <v>2070</v>
      </c>
    </row>
    <row r="2596" spans="1:25" hidden="1" x14ac:dyDescent="0.25">
      <c r="A2596" t="s">
        <v>58</v>
      </c>
      <c r="B2596" t="s">
        <v>144</v>
      </c>
      <c r="C2596" t="s">
        <v>489</v>
      </c>
      <c r="D2596" t="s">
        <v>27</v>
      </c>
      <c r="E2596" s="2">
        <v>45980</v>
      </c>
      <c r="F2596" s="2">
        <v>45980</v>
      </c>
      <c r="G2596" s="3">
        <v>33</v>
      </c>
      <c r="H2596" t="s">
        <v>28</v>
      </c>
      <c r="I2596" s="28">
        <v>80</v>
      </c>
      <c r="J2596">
        <v>0</v>
      </c>
      <c r="K2596">
        <v>0</v>
      </c>
      <c r="L2596" s="3">
        <v>1</v>
      </c>
      <c r="M2596" s="3">
        <v>0</v>
      </c>
      <c r="N2596">
        <v>0</v>
      </c>
      <c r="O2596">
        <v>0</v>
      </c>
      <c r="P2596">
        <v>0</v>
      </c>
      <c r="Q2596">
        <v>38</v>
      </c>
      <c r="R2596" s="3">
        <v>0</v>
      </c>
      <c r="S2596" s="3">
        <v>0</v>
      </c>
      <c r="T2596">
        <v>0</v>
      </c>
      <c r="U2596">
        <v>0</v>
      </c>
      <c r="V2596" s="3">
        <v>0</v>
      </c>
      <c r="W2596" s="3">
        <v>0</v>
      </c>
      <c r="X2596">
        <v>1</v>
      </c>
      <c r="Y2596" t="s">
        <v>2071</v>
      </c>
    </row>
    <row r="2597" spans="1:25" hidden="1" x14ac:dyDescent="0.25">
      <c r="A2597" t="s">
        <v>27</v>
      </c>
      <c r="B2597" t="s">
        <v>106</v>
      </c>
      <c r="C2597" t="s">
        <v>46</v>
      </c>
      <c r="D2597" t="s">
        <v>27</v>
      </c>
      <c r="E2597" s="2">
        <v>45980</v>
      </c>
      <c r="F2597" s="2">
        <v>45980</v>
      </c>
      <c r="G2597" s="3">
        <v>34</v>
      </c>
      <c r="H2597" t="s">
        <v>180</v>
      </c>
      <c r="I2597" s="28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2071</v>
      </c>
    </row>
    <row r="2598" spans="1:25" hidden="1" x14ac:dyDescent="0.25">
      <c r="A2598" t="s">
        <v>48</v>
      </c>
      <c r="B2598" t="s">
        <v>182</v>
      </c>
      <c r="C2598" t="s">
        <v>27</v>
      </c>
      <c r="D2598" t="s">
        <v>27</v>
      </c>
      <c r="E2598" s="2">
        <v>45980</v>
      </c>
      <c r="F2598" s="2">
        <v>45980</v>
      </c>
      <c r="G2598" s="3">
        <v>35</v>
      </c>
      <c r="H2598" t="s">
        <v>1448</v>
      </c>
      <c r="I2598" s="2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2071</v>
      </c>
    </row>
    <row r="2599" spans="1:25" hidden="1" x14ac:dyDescent="0.25">
      <c r="A2599" t="s">
        <v>55</v>
      </c>
      <c r="B2599" t="s">
        <v>2072</v>
      </c>
      <c r="C2599" t="s">
        <v>37</v>
      </c>
      <c r="D2599" t="s">
        <v>27</v>
      </c>
      <c r="E2599" s="2">
        <v>45981</v>
      </c>
      <c r="F2599" s="2">
        <v>45981</v>
      </c>
      <c r="G2599" s="3">
        <v>27</v>
      </c>
      <c r="H2599" t="s">
        <v>28</v>
      </c>
      <c r="I2599" s="28">
        <v>42</v>
      </c>
      <c r="J2599">
        <v>0</v>
      </c>
      <c r="K2599">
        <v>0</v>
      </c>
      <c r="L2599" s="3">
        <v>1</v>
      </c>
      <c r="M2599" s="3">
        <v>0</v>
      </c>
      <c r="N2599">
        <v>0</v>
      </c>
      <c r="O2599">
        <v>0</v>
      </c>
      <c r="P2599">
        <v>0</v>
      </c>
      <c r="Q2599">
        <v>0</v>
      </c>
      <c r="R2599" s="3">
        <v>0</v>
      </c>
      <c r="S2599" s="3">
        <v>0</v>
      </c>
      <c r="T2599">
        <v>0</v>
      </c>
      <c r="U2599">
        <v>0</v>
      </c>
      <c r="V2599" s="3">
        <v>0</v>
      </c>
      <c r="W2599" s="3">
        <v>0</v>
      </c>
      <c r="X2599">
        <v>0</v>
      </c>
      <c r="Y2599" t="s">
        <v>2073</v>
      </c>
    </row>
    <row r="2600" spans="1:25" hidden="1" x14ac:dyDescent="0.25">
      <c r="A2600" t="s">
        <v>25</v>
      </c>
      <c r="B2600" t="s">
        <v>96</v>
      </c>
      <c r="C2600" t="s">
        <v>26</v>
      </c>
      <c r="D2600" t="s">
        <v>27</v>
      </c>
      <c r="E2600" s="2">
        <v>45981</v>
      </c>
      <c r="F2600" s="2">
        <v>45981</v>
      </c>
      <c r="G2600" s="3">
        <v>37</v>
      </c>
      <c r="H2600" t="s">
        <v>28</v>
      </c>
      <c r="I2600" s="28">
        <v>63</v>
      </c>
      <c r="J2600">
        <v>1</v>
      </c>
      <c r="K2600">
        <v>0</v>
      </c>
      <c r="L2600" s="3">
        <v>1</v>
      </c>
      <c r="M2600" s="3">
        <v>0</v>
      </c>
      <c r="N2600">
        <v>1</v>
      </c>
      <c r="O2600">
        <v>0</v>
      </c>
      <c r="P2600">
        <v>0</v>
      </c>
      <c r="Q2600">
        <v>0</v>
      </c>
      <c r="R2600" s="3">
        <v>0</v>
      </c>
      <c r="S2600" s="3">
        <v>0</v>
      </c>
      <c r="T2600">
        <v>0</v>
      </c>
      <c r="U2600">
        <v>0</v>
      </c>
      <c r="V2600" s="3">
        <v>0</v>
      </c>
      <c r="W2600" s="3">
        <v>0</v>
      </c>
      <c r="X2600">
        <v>0</v>
      </c>
      <c r="Y2600" t="s">
        <v>2074</v>
      </c>
    </row>
    <row r="2601" spans="1:25" hidden="1" x14ac:dyDescent="0.25">
      <c r="A2601" t="s">
        <v>29</v>
      </c>
      <c r="B2601" t="s">
        <v>100</v>
      </c>
      <c r="C2601" t="s">
        <v>95</v>
      </c>
      <c r="D2601" t="s">
        <v>27</v>
      </c>
      <c r="E2601" s="2">
        <v>45981</v>
      </c>
      <c r="F2601" s="2">
        <v>45981</v>
      </c>
      <c r="G2601" s="3">
        <v>81</v>
      </c>
      <c r="H2601" t="s">
        <v>28</v>
      </c>
      <c r="I2601" s="28">
        <v>151</v>
      </c>
      <c r="J2601">
        <v>0</v>
      </c>
      <c r="K2601">
        <v>0</v>
      </c>
      <c r="L2601" s="3">
        <v>0</v>
      </c>
      <c r="M2601" s="3">
        <v>0</v>
      </c>
      <c r="N2601">
        <v>0</v>
      </c>
      <c r="O2601">
        <v>0</v>
      </c>
      <c r="P2601">
        <v>0</v>
      </c>
      <c r="Q2601">
        <v>15</v>
      </c>
      <c r="R2601" s="3">
        <v>0</v>
      </c>
      <c r="S2601" s="3">
        <v>0</v>
      </c>
      <c r="T2601">
        <v>0</v>
      </c>
      <c r="U2601">
        <v>0</v>
      </c>
      <c r="V2601" s="3">
        <v>0</v>
      </c>
      <c r="W2601" s="3">
        <v>0</v>
      </c>
      <c r="X2601">
        <v>5</v>
      </c>
      <c r="Y2601" t="s">
        <v>2075</v>
      </c>
    </row>
    <row r="2602" spans="1:25" hidden="1" x14ac:dyDescent="0.25">
      <c r="A2602" s="1" t="s">
        <v>344</v>
      </c>
      <c r="B2602" s="1" t="s">
        <v>102</v>
      </c>
      <c r="C2602" s="1" t="s">
        <v>35</v>
      </c>
      <c r="D2602" s="1" t="s">
        <v>27</v>
      </c>
      <c r="E2602" s="2">
        <v>45981</v>
      </c>
      <c r="F2602" s="2">
        <v>45981</v>
      </c>
      <c r="G2602" s="3">
        <v>29</v>
      </c>
      <c r="H2602" s="4" t="s">
        <v>28</v>
      </c>
      <c r="I2602" s="28">
        <v>52</v>
      </c>
      <c r="J2602">
        <v>0</v>
      </c>
      <c r="K2602">
        <v>0</v>
      </c>
      <c r="L2602" s="3">
        <v>0</v>
      </c>
      <c r="M2602" s="3">
        <v>0</v>
      </c>
      <c r="N2602">
        <v>0</v>
      </c>
      <c r="O2602">
        <v>0</v>
      </c>
      <c r="P2602">
        <v>0</v>
      </c>
      <c r="Q2602">
        <v>0</v>
      </c>
      <c r="R2602" s="3">
        <v>0</v>
      </c>
      <c r="S2602" s="3">
        <v>0</v>
      </c>
      <c r="T2602">
        <v>0</v>
      </c>
      <c r="U2602">
        <v>0</v>
      </c>
      <c r="V2602" s="3">
        <v>0</v>
      </c>
      <c r="W2602" s="3">
        <v>0</v>
      </c>
      <c r="X2602">
        <v>0</v>
      </c>
      <c r="Y2602" t="s">
        <v>1887</v>
      </c>
    </row>
    <row r="2603" spans="1:25" hidden="1" x14ac:dyDescent="0.25">
      <c r="A2603" t="s">
        <v>31</v>
      </c>
      <c r="B2603" t="s">
        <v>104</v>
      </c>
      <c r="C2603" t="s">
        <v>32</v>
      </c>
      <c r="D2603" t="s">
        <v>27</v>
      </c>
      <c r="E2603" s="2">
        <v>45981</v>
      </c>
      <c r="F2603" s="2">
        <v>45981</v>
      </c>
      <c r="G2603" s="3">
        <v>62</v>
      </c>
      <c r="H2603" t="s">
        <v>28</v>
      </c>
      <c r="I2603" s="28">
        <v>75</v>
      </c>
      <c r="J2603">
        <v>0</v>
      </c>
      <c r="K2603">
        <v>0</v>
      </c>
      <c r="L2603" s="3">
        <v>1</v>
      </c>
      <c r="M2603" s="3">
        <v>0</v>
      </c>
      <c r="N2603">
        <v>0</v>
      </c>
      <c r="O2603">
        <v>0</v>
      </c>
      <c r="P2603">
        <v>0</v>
      </c>
      <c r="Q2603">
        <v>41</v>
      </c>
      <c r="R2603" s="3">
        <v>0</v>
      </c>
      <c r="S2603" s="3">
        <v>0</v>
      </c>
      <c r="T2603">
        <v>0</v>
      </c>
      <c r="U2603">
        <v>0</v>
      </c>
      <c r="V2603" s="3">
        <v>0</v>
      </c>
      <c r="W2603" s="3">
        <v>0</v>
      </c>
      <c r="X2603">
        <v>0</v>
      </c>
      <c r="Y2603" t="s">
        <v>2076</v>
      </c>
    </row>
    <row r="2604" spans="1:25" hidden="1" x14ac:dyDescent="0.25">
      <c r="A2604" t="s">
        <v>33</v>
      </c>
      <c r="B2604" t="s">
        <v>106</v>
      </c>
      <c r="C2604" t="s">
        <v>57</v>
      </c>
      <c r="D2604" t="s">
        <v>27</v>
      </c>
      <c r="E2604" s="2">
        <v>45981</v>
      </c>
      <c r="F2604" s="2">
        <v>45981</v>
      </c>
      <c r="G2604" s="3">
        <v>56</v>
      </c>
      <c r="H2604" t="s">
        <v>28</v>
      </c>
      <c r="I2604" s="28">
        <v>44</v>
      </c>
      <c r="J2604">
        <v>0</v>
      </c>
      <c r="K2604">
        <v>0</v>
      </c>
      <c r="L2604" s="3">
        <v>0</v>
      </c>
      <c r="M2604" s="3">
        <v>0</v>
      </c>
      <c r="N2604">
        <v>0</v>
      </c>
      <c r="O2604">
        <v>0</v>
      </c>
      <c r="P2604">
        <v>0</v>
      </c>
      <c r="Q2604">
        <v>0</v>
      </c>
      <c r="R2604" s="3">
        <v>0</v>
      </c>
      <c r="S2604" s="3">
        <v>0</v>
      </c>
      <c r="T2604">
        <v>0</v>
      </c>
      <c r="U2604">
        <v>0</v>
      </c>
      <c r="V2604" s="3">
        <v>0</v>
      </c>
      <c r="W2604" s="3">
        <v>0</v>
      </c>
      <c r="X2604">
        <v>0</v>
      </c>
      <c r="Y2604" t="s">
        <v>2077</v>
      </c>
    </row>
    <row r="2605" spans="1:25" hidden="1" x14ac:dyDescent="0.25">
      <c r="A2605" t="s">
        <v>38</v>
      </c>
      <c r="B2605" t="s">
        <v>108</v>
      </c>
      <c r="C2605" t="s">
        <v>27</v>
      </c>
      <c r="D2605" t="s">
        <v>27</v>
      </c>
      <c r="E2605" s="2">
        <v>45981</v>
      </c>
      <c r="F2605" s="2">
        <v>45981</v>
      </c>
      <c r="G2605" s="3">
        <v>32</v>
      </c>
      <c r="H2605" t="s">
        <v>28</v>
      </c>
      <c r="I2605" s="28">
        <v>52</v>
      </c>
      <c r="J2605">
        <v>0</v>
      </c>
      <c r="K2605">
        <v>0</v>
      </c>
      <c r="L2605" s="3">
        <v>0</v>
      </c>
      <c r="M2605" s="3">
        <v>0</v>
      </c>
      <c r="N2605">
        <v>0</v>
      </c>
      <c r="O2605">
        <v>0</v>
      </c>
      <c r="P2605">
        <v>0</v>
      </c>
      <c r="Q2605">
        <v>52</v>
      </c>
      <c r="R2605" s="3">
        <v>0</v>
      </c>
      <c r="S2605" s="3">
        <v>0</v>
      </c>
      <c r="T2605">
        <v>0</v>
      </c>
      <c r="U2605">
        <v>0</v>
      </c>
      <c r="V2605" s="3">
        <v>0</v>
      </c>
      <c r="W2605" s="3">
        <v>0</v>
      </c>
      <c r="X2605">
        <v>0</v>
      </c>
      <c r="Y2605" t="s">
        <v>2078</v>
      </c>
    </row>
    <row r="2606" spans="1:25" hidden="1" x14ac:dyDescent="0.25">
      <c r="A2606" t="s">
        <v>40</v>
      </c>
      <c r="B2606" t="s">
        <v>110</v>
      </c>
      <c r="C2606" t="s">
        <v>27</v>
      </c>
      <c r="D2606" t="s">
        <v>27</v>
      </c>
      <c r="E2606" s="2">
        <v>45981</v>
      </c>
      <c r="F2606" s="2">
        <v>45981</v>
      </c>
      <c r="G2606" s="3">
        <v>103</v>
      </c>
      <c r="H2606" t="s">
        <v>28</v>
      </c>
      <c r="I2606" s="28">
        <v>55</v>
      </c>
      <c r="J2606">
        <v>0</v>
      </c>
      <c r="K2606">
        <v>0</v>
      </c>
      <c r="L2606" s="3">
        <v>1</v>
      </c>
      <c r="M2606" s="3">
        <v>0</v>
      </c>
      <c r="N2606">
        <v>11</v>
      </c>
      <c r="O2606">
        <v>0</v>
      </c>
      <c r="P2606">
        <v>0</v>
      </c>
      <c r="Q2606">
        <v>0</v>
      </c>
      <c r="R2606" s="3">
        <v>0</v>
      </c>
      <c r="S2606" s="3">
        <v>0</v>
      </c>
      <c r="T2606">
        <v>0</v>
      </c>
      <c r="U2606">
        <v>0</v>
      </c>
      <c r="V2606" s="3">
        <v>0</v>
      </c>
      <c r="W2606" s="3">
        <v>0</v>
      </c>
      <c r="X2606">
        <v>0</v>
      </c>
      <c r="Y2606" t="s">
        <v>2079</v>
      </c>
    </row>
    <row r="2607" spans="1:25" hidden="1" x14ac:dyDescent="0.25">
      <c r="A2607" t="s">
        <v>36</v>
      </c>
      <c r="B2607" t="s">
        <v>110</v>
      </c>
      <c r="C2607" t="s">
        <v>27</v>
      </c>
      <c r="D2607" t="s">
        <v>27</v>
      </c>
      <c r="E2607" s="2">
        <v>45981</v>
      </c>
      <c r="F2607" s="2">
        <v>45981</v>
      </c>
      <c r="G2607" s="3">
        <v>103</v>
      </c>
      <c r="H2607" t="s">
        <v>28</v>
      </c>
      <c r="I2607" s="28">
        <v>55</v>
      </c>
      <c r="J2607">
        <v>0</v>
      </c>
      <c r="K2607">
        <v>0</v>
      </c>
      <c r="L2607" s="3">
        <v>1</v>
      </c>
      <c r="M2607" s="3">
        <v>0</v>
      </c>
      <c r="N2607">
        <v>11</v>
      </c>
      <c r="O2607">
        <v>0</v>
      </c>
      <c r="P2607">
        <v>0</v>
      </c>
      <c r="Q2607">
        <v>0</v>
      </c>
      <c r="R2607" s="3">
        <v>0</v>
      </c>
      <c r="S2607" s="3">
        <v>0</v>
      </c>
      <c r="T2607">
        <v>0</v>
      </c>
      <c r="U2607">
        <v>0</v>
      </c>
      <c r="V2607" s="3">
        <v>0</v>
      </c>
      <c r="W2607" s="3">
        <v>0</v>
      </c>
      <c r="X2607">
        <v>0</v>
      </c>
      <c r="Y2607" t="s">
        <v>2079</v>
      </c>
    </row>
    <row r="2608" spans="1:25" hidden="1" x14ac:dyDescent="0.25">
      <c r="A2608" t="s">
        <v>1454</v>
      </c>
      <c r="B2608" t="s">
        <v>1455</v>
      </c>
      <c r="C2608" t="s">
        <v>27</v>
      </c>
      <c r="D2608" t="s">
        <v>27</v>
      </c>
      <c r="E2608" s="2">
        <v>45981</v>
      </c>
      <c r="F2608" s="2">
        <v>45981</v>
      </c>
      <c r="G2608" s="3">
        <v>33</v>
      </c>
      <c r="H2608" t="s">
        <v>28</v>
      </c>
      <c r="I2608" s="28">
        <v>45</v>
      </c>
      <c r="J2608">
        <v>0</v>
      </c>
      <c r="K2608">
        <v>0</v>
      </c>
      <c r="L2608" s="3">
        <v>1</v>
      </c>
      <c r="M2608" s="3">
        <v>0</v>
      </c>
      <c r="N2608">
        <v>0</v>
      </c>
      <c r="O2608">
        <v>0</v>
      </c>
      <c r="P2608">
        <v>0</v>
      </c>
      <c r="Q2608">
        <v>45</v>
      </c>
      <c r="R2608" s="3">
        <v>0</v>
      </c>
      <c r="S2608" s="3">
        <v>0</v>
      </c>
      <c r="T2608">
        <v>0</v>
      </c>
      <c r="U2608">
        <v>0</v>
      </c>
      <c r="V2608" s="3">
        <v>0</v>
      </c>
      <c r="W2608" s="3">
        <v>0</v>
      </c>
      <c r="X2608">
        <v>0</v>
      </c>
      <c r="Y2608" t="s">
        <v>2080</v>
      </c>
    </row>
    <row r="2609" spans="1:25" hidden="1" x14ac:dyDescent="0.25">
      <c r="A2609" t="s">
        <v>41</v>
      </c>
      <c r="B2609" t="s">
        <v>112</v>
      </c>
      <c r="C2609" t="s">
        <v>42</v>
      </c>
      <c r="D2609" t="s">
        <v>27</v>
      </c>
      <c r="E2609" s="2">
        <v>45981</v>
      </c>
      <c r="F2609" s="2">
        <v>45981</v>
      </c>
      <c r="G2609" s="3">
        <v>37</v>
      </c>
      <c r="H2609" t="s">
        <v>28</v>
      </c>
      <c r="I2609" s="28">
        <v>42</v>
      </c>
      <c r="J2609">
        <v>0</v>
      </c>
      <c r="K2609">
        <v>0</v>
      </c>
      <c r="L2609" s="3">
        <v>1</v>
      </c>
      <c r="M2609" s="3">
        <v>0</v>
      </c>
      <c r="N2609">
        <v>0</v>
      </c>
      <c r="O2609">
        <v>0</v>
      </c>
      <c r="P2609">
        <v>0</v>
      </c>
      <c r="Q2609">
        <v>4</v>
      </c>
      <c r="R2609" s="3">
        <v>0</v>
      </c>
      <c r="S2609" s="3">
        <v>0</v>
      </c>
      <c r="T2609">
        <v>0</v>
      </c>
      <c r="U2609">
        <v>0</v>
      </c>
      <c r="V2609" s="3">
        <v>0</v>
      </c>
      <c r="W2609" s="3">
        <v>0</v>
      </c>
      <c r="X2609">
        <v>0</v>
      </c>
      <c r="Y2609" t="s">
        <v>2081</v>
      </c>
    </row>
    <row r="2610" spans="1:25" hidden="1" x14ac:dyDescent="0.25">
      <c r="A2610" t="s">
        <v>43</v>
      </c>
      <c r="B2610" t="s">
        <v>114</v>
      </c>
      <c r="C2610" t="s">
        <v>44</v>
      </c>
      <c r="D2610" t="s">
        <v>27</v>
      </c>
      <c r="E2610" s="2">
        <v>45981</v>
      </c>
      <c r="F2610" s="2">
        <v>45981</v>
      </c>
      <c r="G2610" s="3">
        <v>34</v>
      </c>
      <c r="H2610" t="s">
        <v>28</v>
      </c>
      <c r="I2610" s="28">
        <v>68</v>
      </c>
      <c r="J2610">
        <v>0</v>
      </c>
      <c r="K2610">
        <v>0</v>
      </c>
      <c r="L2610" s="3">
        <v>1</v>
      </c>
      <c r="M2610" s="3">
        <v>0</v>
      </c>
      <c r="N2610">
        <v>0</v>
      </c>
      <c r="O2610">
        <v>0</v>
      </c>
      <c r="P2610">
        <v>0</v>
      </c>
      <c r="Q2610">
        <v>0</v>
      </c>
      <c r="R2610" s="3">
        <v>0</v>
      </c>
      <c r="S2610" s="3">
        <v>0</v>
      </c>
      <c r="T2610">
        <v>0</v>
      </c>
      <c r="U2610">
        <v>0</v>
      </c>
      <c r="V2610" s="3">
        <v>0</v>
      </c>
      <c r="W2610" s="3">
        <v>0</v>
      </c>
      <c r="X2610">
        <v>0</v>
      </c>
      <c r="Y2610" t="s">
        <v>2082</v>
      </c>
    </row>
    <row r="2611" spans="1:25" hidden="1" x14ac:dyDescent="0.25">
      <c r="A2611" t="s">
        <v>45</v>
      </c>
      <c r="B2611" t="s">
        <v>116</v>
      </c>
      <c r="C2611" t="s">
        <v>48</v>
      </c>
      <c r="D2611" t="s">
        <v>27</v>
      </c>
      <c r="E2611" s="2">
        <v>45981</v>
      </c>
      <c r="F2611" s="2">
        <v>45981</v>
      </c>
      <c r="G2611" s="3">
        <v>45</v>
      </c>
      <c r="H2611" t="s">
        <v>28</v>
      </c>
      <c r="I2611" s="28">
        <v>39</v>
      </c>
      <c r="J2611">
        <v>0</v>
      </c>
      <c r="K2611">
        <v>0</v>
      </c>
      <c r="L2611" s="3">
        <v>0</v>
      </c>
      <c r="M2611" s="3">
        <v>0</v>
      </c>
      <c r="N2611">
        <v>0</v>
      </c>
      <c r="O2611">
        <v>0</v>
      </c>
      <c r="P2611">
        <v>0</v>
      </c>
      <c r="Q2611">
        <v>0</v>
      </c>
      <c r="R2611" s="3">
        <v>0</v>
      </c>
      <c r="S2611" s="3">
        <v>0</v>
      </c>
      <c r="T2611">
        <v>0</v>
      </c>
      <c r="U2611">
        <v>0</v>
      </c>
      <c r="V2611" s="3">
        <v>0</v>
      </c>
      <c r="W2611" s="3">
        <v>0</v>
      </c>
      <c r="X2611">
        <v>0</v>
      </c>
      <c r="Y2611" t="s">
        <v>2083</v>
      </c>
    </row>
    <row r="2612" spans="1:25" hidden="1" x14ac:dyDescent="0.25">
      <c r="A2612" t="s">
        <v>47</v>
      </c>
      <c r="B2612" t="s">
        <v>137</v>
      </c>
      <c r="C2612" t="s">
        <v>233</v>
      </c>
      <c r="D2612" t="s">
        <v>27</v>
      </c>
      <c r="E2612" s="2">
        <v>45981</v>
      </c>
      <c r="F2612" s="2">
        <v>45981</v>
      </c>
      <c r="G2612" s="3">
        <v>55</v>
      </c>
      <c r="H2612" t="s">
        <v>28</v>
      </c>
      <c r="I2612" s="28">
        <v>35</v>
      </c>
      <c r="J2612">
        <v>0</v>
      </c>
      <c r="K2612">
        <v>0</v>
      </c>
      <c r="L2612" s="3">
        <v>1</v>
      </c>
      <c r="M2612" s="3">
        <v>0</v>
      </c>
      <c r="N2612">
        <v>0</v>
      </c>
      <c r="O2612">
        <v>0</v>
      </c>
      <c r="P2612">
        <v>0</v>
      </c>
      <c r="Q2612">
        <v>6</v>
      </c>
      <c r="R2612" s="3">
        <v>0</v>
      </c>
      <c r="S2612" s="3">
        <v>0</v>
      </c>
      <c r="T2612">
        <v>0</v>
      </c>
      <c r="U2612">
        <v>0</v>
      </c>
      <c r="V2612" s="3">
        <v>0</v>
      </c>
      <c r="W2612" s="3">
        <v>0</v>
      </c>
      <c r="X2612">
        <v>0</v>
      </c>
      <c r="Y2612" t="s">
        <v>2084</v>
      </c>
    </row>
    <row r="2613" spans="1:25" hidden="1" x14ac:dyDescent="0.25">
      <c r="A2613" t="s">
        <v>49</v>
      </c>
      <c r="B2613" t="s">
        <v>118</v>
      </c>
      <c r="C2613" t="s">
        <v>50</v>
      </c>
      <c r="D2613" t="s">
        <v>27</v>
      </c>
      <c r="E2613" s="2">
        <v>45981</v>
      </c>
      <c r="F2613" s="2">
        <v>45981</v>
      </c>
      <c r="G2613" s="3">
        <v>35</v>
      </c>
      <c r="H2613" t="s">
        <v>28</v>
      </c>
      <c r="I2613" s="28">
        <v>61</v>
      </c>
      <c r="J2613">
        <v>0</v>
      </c>
      <c r="K2613">
        <v>0</v>
      </c>
      <c r="L2613" s="3">
        <v>1</v>
      </c>
      <c r="M2613" s="3">
        <v>1</v>
      </c>
      <c r="N2613">
        <v>0</v>
      </c>
      <c r="O2613">
        <v>1</v>
      </c>
      <c r="P2613">
        <v>0</v>
      </c>
      <c r="Q2613">
        <v>61</v>
      </c>
      <c r="R2613" s="3">
        <v>0</v>
      </c>
      <c r="S2613" s="3">
        <v>0</v>
      </c>
      <c r="T2613">
        <v>0</v>
      </c>
      <c r="U2613">
        <v>0</v>
      </c>
      <c r="V2613" s="3">
        <v>0</v>
      </c>
      <c r="W2613" s="3">
        <v>0</v>
      </c>
      <c r="X2613">
        <v>0</v>
      </c>
      <c r="Y2613" t="s">
        <v>2085</v>
      </c>
    </row>
    <row r="2614" spans="1:25" hidden="1" x14ac:dyDescent="0.25">
      <c r="A2614" t="s">
        <v>51</v>
      </c>
      <c r="B2614" t="s">
        <v>120</v>
      </c>
      <c r="C2614" t="s">
        <v>51</v>
      </c>
      <c r="D2614" t="s">
        <v>27</v>
      </c>
      <c r="E2614" s="2">
        <v>45981</v>
      </c>
      <c r="F2614" s="2">
        <v>45981</v>
      </c>
      <c r="G2614" s="3">
        <v>72</v>
      </c>
      <c r="H2614" t="s">
        <v>28</v>
      </c>
      <c r="I2614" s="28">
        <v>45</v>
      </c>
      <c r="J2614">
        <v>0</v>
      </c>
      <c r="K2614">
        <v>0</v>
      </c>
      <c r="L2614" s="3">
        <v>1</v>
      </c>
      <c r="M2614" s="3">
        <v>0</v>
      </c>
      <c r="N2614">
        <v>1</v>
      </c>
      <c r="O2614">
        <v>0</v>
      </c>
      <c r="P2614">
        <v>0</v>
      </c>
      <c r="Q2614">
        <v>0</v>
      </c>
      <c r="R2614" s="3">
        <v>0</v>
      </c>
      <c r="S2614" s="3">
        <v>0</v>
      </c>
      <c r="T2614">
        <v>0</v>
      </c>
      <c r="U2614">
        <v>0</v>
      </c>
      <c r="V2614" s="3">
        <v>0</v>
      </c>
      <c r="W2614" s="3">
        <v>0</v>
      </c>
      <c r="X2614">
        <v>0</v>
      </c>
      <c r="Y2614" t="s">
        <v>2086</v>
      </c>
    </row>
    <row r="2615" spans="1:25" hidden="1" x14ac:dyDescent="0.25">
      <c r="A2615" t="s">
        <v>54</v>
      </c>
      <c r="B2615" t="s">
        <v>122</v>
      </c>
      <c r="C2615" t="s">
        <v>52</v>
      </c>
      <c r="D2615" t="s">
        <v>27</v>
      </c>
      <c r="E2615" s="2">
        <v>45981</v>
      </c>
      <c r="F2615" s="2">
        <v>45981</v>
      </c>
      <c r="G2615" s="3">
        <v>37</v>
      </c>
      <c r="H2615" t="s">
        <v>28</v>
      </c>
      <c r="I2615" s="28">
        <v>28</v>
      </c>
      <c r="J2615">
        <v>0</v>
      </c>
      <c r="K2615">
        <v>0</v>
      </c>
      <c r="L2615" s="3">
        <v>0</v>
      </c>
      <c r="M2615" s="3">
        <v>0</v>
      </c>
      <c r="N2615">
        <v>0</v>
      </c>
      <c r="O2615">
        <v>0</v>
      </c>
      <c r="P2615">
        <v>0</v>
      </c>
      <c r="Q2615">
        <v>2</v>
      </c>
      <c r="R2615" s="3">
        <v>0</v>
      </c>
      <c r="S2615" s="3">
        <v>0</v>
      </c>
      <c r="T2615">
        <v>0</v>
      </c>
      <c r="U2615">
        <v>0</v>
      </c>
      <c r="V2615" s="3">
        <v>0</v>
      </c>
      <c r="W2615" s="3">
        <v>0</v>
      </c>
      <c r="X2615">
        <v>0</v>
      </c>
      <c r="Y2615" t="s">
        <v>2070</v>
      </c>
    </row>
    <row r="2616" spans="1:25" hidden="1" x14ac:dyDescent="0.25">
      <c r="A2616" t="s">
        <v>58</v>
      </c>
      <c r="B2616" t="s">
        <v>144</v>
      </c>
      <c r="C2616" t="s">
        <v>489</v>
      </c>
      <c r="D2616" t="s">
        <v>27</v>
      </c>
      <c r="E2616" s="2">
        <v>45981</v>
      </c>
      <c r="F2616" s="2">
        <v>45981</v>
      </c>
      <c r="G2616" s="3">
        <v>24</v>
      </c>
      <c r="H2616" t="s">
        <v>28</v>
      </c>
      <c r="I2616" s="28">
        <v>63</v>
      </c>
      <c r="J2616">
        <v>0</v>
      </c>
      <c r="K2616">
        <v>0</v>
      </c>
      <c r="L2616" s="3">
        <v>1</v>
      </c>
      <c r="M2616" s="3">
        <v>0</v>
      </c>
      <c r="N2616">
        <v>0</v>
      </c>
      <c r="O2616">
        <v>0</v>
      </c>
      <c r="P2616">
        <v>0</v>
      </c>
      <c r="Q2616">
        <v>0</v>
      </c>
      <c r="R2616" s="3">
        <v>0</v>
      </c>
      <c r="S2616" s="3">
        <v>0</v>
      </c>
      <c r="T2616">
        <v>0</v>
      </c>
      <c r="U2616">
        <v>0</v>
      </c>
      <c r="V2616" s="3">
        <v>0</v>
      </c>
      <c r="W2616" s="3">
        <v>0</v>
      </c>
      <c r="X2616">
        <v>9</v>
      </c>
      <c r="Y2616" t="s">
        <v>2087</v>
      </c>
    </row>
    <row r="2617" spans="1:25" hidden="1" x14ac:dyDescent="0.25">
      <c r="A2617" t="s">
        <v>27</v>
      </c>
      <c r="B2617" t="s">
        <v>106</v>
      </c>
      <c r="C2617" t="s">
        <v>46</v>
      </c>
      <c r="D2617" t="s">
        <v>27</v>
      </c>
      <c r="E2617" s="2">
        <v>45981</v>
      </c>
      <c r="F2617" s="2">
        <v>45981</v>
      </c>
      <c r="G2617" s="3">
        <v>25</v>
      </c>
      <c r="H2617" t="s">
        <v>180</v>
      </c>
      <c r="I2617" s="28">
        <v>0</v>
      </c>
      <c r="J2617">
        <v>0</v>
      </c>
      <c r="K2617">
        <v>0</v>
      </c>
      <c r="L2617" s="3">
        <v>0</v>
      </c>
      <c r="M2617" s="3">
        <v>0</v>
      </c>
      <c r="N2617">
        <v>0</v>
      </c>
      <c r="O2617">
        <v>0</v>
      </c>
      <c r="P2617">
        <v>0</v>
      </c>
      <c r="Q2617">
        <v>0</v>
      </c>
      <c r="R2617" s="3">
        <v>0</v>
      </c>
      <c r="S2617" s="3">
        <v>0</v>
      </c>
      <c r="T2617">
        <v>0</v>
      </c>
      <c r="U2617">
        <v>0</v>
      </c>
      <c r="V2617" s="3">
        <v>0</v>
      </c>
      <c r="W2617" s="3">
        <v>0</v>
      </c>
      <c r="X2617" s="3">
        <v>0</v>
      </c>
      <c r="Y2617" t="s">
        <v>2087</v>
      </c>
    </row>
    <row r="2618" spans="1:25" hidden="1" x14ac:dyDescent="0.25">
      <c r="A2618" t="s">
        <v>25</v>
      </c>
      <c r="B2618" t="s">
        <v>96</v>
      </c>
      <c r="C2618" t="s">
        <v>26</v>
      </c>
      <c r="D2618" t="s">
        <v>27</v>
      </c>
      <c r="E2618" s="2">
        <v>45982</v>
      </c>
      <c r="F2618" s="2">
        <v>45982</v>
      </c>
      <c r="G2618" s="3">
        <v>39</v>
      </c>
      <c r="H2618" t="s">
        <v>28</v>
      </c>
      <c r="I2618" s="28">
        <v>87</v>
      </c>
      <c r="J2618" s="22">
        <v>0</v>
      </c>
      <c r="K2618" s="22">
        <v>0</v>
      </c>
      <c r="L2618" s="23">
        <v>1</v>
      </c>
      <c r="M2618" s="23">
        <v>0</v>
      </c>
      <c r="N2618" s="22">
        <v>1</v>
      </c>
      <c r="O2618" s="22">
        <v>0</v>
      </c>
      <c r="P2618" s="22">
        <v>0</v>
      </c>
      <c r="Q2618" s="22">
        <v>0</v>
      </c>
      <c r="R2618" s="23">
        <v>0</v>
      </c>
      <c r="S2618" s="23">
        <v>0</v>
      </c>
      <c r="T2618" s="22">
        <v>0</v>
      </c>
      <c r="U2618" s="22">
        <v>0</v>
      </c>
      <c r="V2618" s="23">
        <v>0</v>
      </c>
      <c r="W2618" s="23">
        <v>0</v>
      </c>
      <c r="X2618" s="22">
        <v>0</v>
      </c>
      <c r="Y2618" t="s">
        <v>2088</v>
      </c>
    </row>
    <row r="2619" spans="1:25" hidden="1" x14ac:dyDescent="0.25">
      <c r="A2619" s="1" t="s">
        <v>438</v>
      </c>
      <c r="B2619" s="1" t="s">
        <v>106</v>
      </c>
      <c r="C2619" s="35" t="s">
        <v>27</v>
      </c>
      <c r="D2619" s="35" t="s">
        <v>27</v>
      </c>
      <c r="E2619" s="2">
        <v>45981</v>
      </c>
      <c r="F2619" s="2">
        <v>45981</v>
      </c>
      <c r="G2619" s="3">
        <v>33</v>
      </c>
      <c r="H2619" s="4" t="s">
        <v>1317</v>
      </c>
      <c r="I2619" s="28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1926</v>
      </c>
    </row>
    <row r="2620" spans="1:25" hidden="1" x14ac:dyDescent="0.25">
      <c r="A2620" t="s">
        <v>56</v>
      </c>
      <c r="B2620" t="s">
        <v>98</v>
      </c>
      <c r="C2620" t="s">
        <v>37</v>
      </c>
      <c r="D2620" t="s">
        <v>27</v>
      </c>
      <c r="E2620" s="2">
        <v>45982</v>
      </c>
      <c r="F2620" s="2">
        <v>45982</v>
      </c>
      <c r="G2620" s="3">
        <v>29</v>
      </c>
      <c r="H2620" t="s">
        <v>28</v>
      </c>
      <c r="I2620" s="28">
        <v>91</v>
      </c>
      <c r="J2620" s="22">
        <v>0</v>
      </c>
      <c r="K2620" s="22">
        <v>0</v>
      </c>
      <c r="L2620" s="23">
        <v>1</v>
      </c>
      <c r="M2620" s="23">
        <v>0</v>
      </c>
      <c r="N2620" s="22">
        <v>0</v>
      </c>
      <c r="O2620" s="22">
        <v>0</v>
      </c>
      <c r="P2620" s="22">
        <v>0</v>
      </c>
      <c r="Q2620" s="22">
        <v>10</v>
      </c>
      <c r="R2620" s="23">
        <v>0</v>
      </c>
      <c r="S2620" s="23">
        <v>0</v>
      </c>
      <c r="T2620" s="22">
        <v>0</v>
      </c>
      <c r="U2620" s="22">
        <v>0</v>
      </c>
      <c r="V2620" s="23">
        <v>0</v>
      </c>
      <c r="W2620" s="23">
        <v>0</v>
      </c>
      <c r="X2620" s="22">
        <v>0</v>
      </c>
      <c r="Y2620" t="s">
        <v>2089</v>
      </c>
    </row>
    <row r="2621" spans="1:25" hidden="1" x14ac:dyDescent="0.25">
      <c r="A2621" t="s">
        <v>29</v>
      </c>
      <c r="B2621" t="s">
        <v>100</v>
      </c>
      <c r="C2621" t="s">
        <v>95</v>
      </c>
      <c r="D2621" t="s">
        <v>27</v>
      </c>
      <c r="E2621" s="2">
        <v>45982</v>
      </c>
      <c r="F2621" s="2">
        <v>45982</v>
      </c>
      <c r="G2621" s="3">
        <v>48</v>
      </c>
      <c r="H2621" t="s">
        <v>28</v>
      </c>
      <c r="I2621" s="28">
        <f>45+40</f>
        <v>85</v>
      </c>
      <c r="J2621" s="22">
        <v>0</v>
      </c>
      <c r="K2621" s="22">
        <v>0</v>
      </c>
      <c r="L2621" s="23">
        <v>1</v>
      </c>
      <c r="M2621" s="23">
        <v>0</v>
      </c>
      <c r="N2621" s="22">
        <v>0</v>
      </c>
      <c r="O2621" s="22">
        <v>0</v>
      </c>
      <c r="P2621" s="22">
        <v>0</v>
      </c>
      <c r="Q2621" s="22">
        <v>12</v>
      </c>
      <c r="R2621" s="23">
        <v>0</v>
      </c>
      <c r="S2621" s="23">
        <v>0</v>
      </c>
      <c r="T2621" s="22">
        <v>0</v>
      </c>
      <c r="U2621" s="22">
        <v>0</v>
      </c>
      <c r="V2621" s="23">
        <v>0</v>
      </c>
      <c r="W2621" s="23">
        <v>0</v>
      </c>
      <c r="X2621" s="22">
        <v>2</v>
      </c>
      <c r="Y2621" t="s">
        <v>2090</v>
      </c>
    </row>
    <row r="2622" spans="1:25" hidden="1" x14ac:dyDescent="0.25">
      <c r="A2622" s="1" t="s">
        <v>344</v>
      </c>
      <c r="B2622" t="s">
        <v>100</v>
      </c>
      <c r="C2622" t="s">
        <v>35</v>
      </c>
      <c r="D2622" t="s">
        <v>27</v>
      </c>
      <c r="E2622" s="2">
        <v>45982</v>
      </c>
      <c r="F2622" s="2">
        <v>45982</v>
      </c>
      <c r="G2622" s="3">
        <v>48</v>
      </c>
      <c r="H2622" t="s">
        <v>28</v>
      </c>
      <c r="I2622" s="28">
        <v>43</v>
      </c>
      <c r="J2622" s="22">
        <v>0</v>
      </c>
      <c r="K2622" s="22">
        <v>0</v>
      </c>
      <c r="L2622" s="23">
        <v>0</v>
      </c>
      <c r="M2622" s="23">
        <v>0</v>
      </c>
      <c r="N2622" s="22">
        <v>0</v>
      </c>
      <c r="O2622" s="22">
        <v>0</v>
      </c>
      <c r="P2622" s="22">
        <v>0</v>
      </c>
      <c r="Q2622" s="22">
        <v>0</v>
      </c>
      <c r="R2622" s="23">
        <v>0</v>
      </c>
      <c r="S2622" s="23">
        <v>0</v>
      </c>
      <c r="T2622" s="22">
        <v>0</v>
      </c>
      <c r="U2622" s="22">
        <v>0</v>
      </c>
      <c r="V2622" s="23">
        <v>0</v>
      </c>
      <c r="W2622" s="23">
        <v>0</v>
      </c>
      <c r="X2622" s="22">
        <v>0</v>
      </c>
      <c r="Y2622" t="s">
        <v>2090</v>
      </c>
    </row>
    <row r="2623" spans="1:25" hidden="1" x14ac:dyDescent="0.25">
      <c r="A2623" t="s">
        <v>31</v>
      </c>
      <c r="B2623" t="s">
        <v>104</v>
      </c>
      <c r="C2623" t="s">
        <v>32</v>
      </c>
      <c r="D2623" t="s">
        <v>27</v>
      </c>
      <c r="E2623" s="2">
        <v>45982</v>
      </c>
      <c r="F2623" s="2">
        <v>45982</v>
      </c>
      <c r="G2623" s="3">
        <v>117</v>
      </c>
      <c r="H2623" t="s">
        <v>28</v>
      </c>
      <c r="I2623" s="28">
        <v>165</v>
      </c>
      <c r="J2623" s="22">
        <v>0</v>
      </c>
      <c r="K2623" s="22">
        <v>15</v>
      </c>
      <c r="L2623" s="23">
        <v>0</v>
      </c>
      <c r="M2623" s="23">
        <v>0</v>
      </c>
      <c r="N2623" s="22">
        <v>0</v>
      </c>
      <c r="O2623" s="22">
        <v>0</v>
      </c>
      <c r="P2623" s="22">
        <v>0</v>
      </c>
      <c r="Q2623" s="22">
        <v>40</v>
      </c>
      <c r="R2623" s="23">
        <v>0</v>
      </c>
      <c r="S2623" s="23">
        <v>0</v>
      </c>
      <c r="T2623" s="22">
        <v>0</v>
      </c>
      <c r="U2623" s="22">
        <v>0</v>
      </c>
      <c r="V2623" s="23">
        <v>0</v>
      </c>
      <c r="W2623" s="23">
        <v>0</v>
      </c>
      <c r="X2623" s="22">
        <v>7</v>
      </c>
      <c r="Y2623" t="s">
        <v>2091</v>
      </c>
    </row>
    <row r="2624" spans="1:25" hidden="1" x14ac:dyDescent="0.25">
      <c r="A2624" t="s">
        <v>33</v>
      </c>
      <c r="B2624" t="s">
        <v>106</v>
      </c>
      <c r="C2624" t="s">
        <v>57</v>
      </c>
      <c r="D2624" t="s">
        <v>27</v>
      </c>
      <c r="E2624" s="2">
        <v>45982</v>
      </c>
      <c r="F2624" s="2">
        <v>45982</v>
      </c>
      <c r="G2624" s="3">
        <v>27</v>
      </c>
      <c r="H2624" t="s">
        <v>28</v>
      </c>
      <c r="I2624" s="28">
        <v>56</v>
      </c>
      <c r="J2624" s="22">
        <v>0</v>
      </c>
      <c r="K2624" s="22">
        <v>0</v>
      </c>
      <c r="L2624" s="23">
        <v>0</v>
      </c>
      <c r="M2624" s="23">
        <v>0</v>
      </c>
      <c r="N2624" s="22">
        <v>0</v>
      </c>
      <c r="O2624" s="22">
        <v>0</v>
      </c>
      <c r="P2624" s="22">
        <v>0</v>
      </c>
      <c r="Q2624" s="22">
        <v>20</v>
      </c>
      <c r="R2624" s="23">
        <v>0</v>
      </c>
      <c r="S2624" s="23">
        <v>0</v>
      </c>
      <c r="T2624" s="22">
        <v>0</v>
      </c>
      <c r="U2624" s="22">
        <v>0</v>
      </c>
      <c r="V2624" s="23">
        <v>0</v>
      </c>
      <c r="W2624" s="23">
        <v>0</v>
      </c>
      <c r="X2624" s="22">
        <v>0</v>
      </c>
      <c r="Y2624" t="s">
        <v>2092</v>
      </c>
    </row>
    <row r="2625" spans="1:25" hidden="1" x14ac:dyDescent="0.25">
      <c r="A2625" t="s">
        <v>38</v>
      </c>
      <c r="B2625" t="s">
        <v>108</v>
      </c>
      <c r="C2625" t="s">
        <v>27</v>
      </c>
      <c r="D2625" t="s">
        <v>27</v>
      </c>
      <c r="E2625" s="2">
        <v>45982</v>
      </c>
      <c r="F2625" s="2">
        <v>45982</v>
      </c>
      <c r="G2625" s="3">
        <v>50</v>
      </c>
      <c r="H2625" t="s">
        <v>28</v>
      </c>
      <c r="I2625" s="28">
        <v>56</v>
      </c>
      <c r="J2625" s="22">
        <v>0</v>
      </c>
      <c r="K2625" s="22">
        <v>0</v>
      </c>
      <c r="L2625" s="23">
        <v>0</v>
      </c>
      <c r="M2625" s="23">
        <v>0</v>
      </c>
      <c r="N2625" s="22">
        <v>0</v>
      </c>
      <c r="O2625" s="22">
        <v>0</v>
      </c>
      <c r="P2625" s="22">
        <v>0</v>
      </c>
      <c r="Q2625" s="22">
        <v>56</v>
      </c>
      <c r="R2625" s="23">
        <v>0</v>
      </c>
      <c r="S2625" s="23">
        <v>0</v>
      </c>
      <c r="T2625" s="22">
        <v>0</v>
      </c>
      <c r="U2625" s="22">
        <v>0</v>
      </c>
      <c r="V2625" s="23">
        <v>0</v>
      </c>
      <c r="W2625" s="23">
        <v>0</v>
      </c>
      <c r="X2625" s="22">
        <v>0</v>
      </c>
      <c r="Y2625" t="s">
        <v>2093</v>
      </c>
    </row>
    <row r="2626" spans="1:25" hidden="1" x14ac:dyDescent="0.25">
      <c r="A2626" t="s">
        <v>40</v>
      </c>
      <c r="B2626" t="s">
        <v>110</v>
      </c>
      <c r="C2626" t="s">
        <v>27</v>
      </c>
      <c r="D2626" t="s">
        <v>27</v>
      </c>
      <c r="E2626" s="2">
        <v>45982</v>
      </c>
      <c r="F2626" s="2">
        <v>45982</v>
      </c>
      <c r="G2626" s="3">
        <v>102</v>
      </c>
      <c r="H2626" t="s">
        <v>28</v>
      </c>
      <c r="I2626" s="28">
        <v>74</v>
      </c>
      <c r="J2626" s="22">
        <v>0</v>
      </c>
      <c r="K2626" s="22">
        <v>0</v>
      </c>
      <c r="L2626" s="23">
        <v>1</v>
      </c>
      <c r="M2626" s="23">
        <v>0</v>
      </c>
      <c r="N2626" s="22">
        <v>1</v>
      </c>
      <c r="O2626" s="22">
        <v>0</v>
      </c>
      <c r="P2626" s="22">
        <v>0</v>
      </c>
      <c r="Q2626" s="22">
        <v>30</v>
      </c>
      <c r="R2626" s="23">
        <v>0</v>
      </c>
      <c r="S2626" s="23">
        <v>0</v>
      </c>
      <c r="T2626" s="22">
        <v>0</v>
      </c>
      <c r="U2626" s="22">
        <v>0</v>
      </c>
      <c r="V2626" s="23">
        <v>0</v>
      </c>
      <c r="W2626" s="23">
        <v>0</v>
      </c>
      <c r="X2626" s="22">
        <v>0</v>
      </c>
      <c r="Y2626" t="s">
        <v>2094</v>
      </c>
    </row>
    <row r="2627" spans="1:25" hidden="1" x14ac:dyDescent="0.25">
      <c r="A2627" t="s">
        <v>36</v>
      </c>
      <c r="B2627" t="s">
        <v>110</v>
      </c>
      <c r="C2627" t="s">
        <v>27</v>
      </c>
      <c r="D2627" t="s">
        <v>27</v>
      </c>
      <c r="E2627" s="2">
        <v>45982</v>
      </c>
      <c r="F2627" s="2">
        <v>45982</v>
      </c>
      <c r="G2627" s="3">
        <v>102</v>
      </c>
      <c r="H2627" t="s">
        <v>28</v>
      </c>
      <c r="I2627" s="28">
        <v>74</v>
      </c>
      <c r="J2627" s="22">
        <v>0</v>
      </c>
      <c r="K2627" s="22">
        <v>0</v>
      </c>
      <c r="L2627" s="23">
        <v>1</v>
      </c>
      <c r="M2627" s="23">
        <v>0</v>
      </c>
      <c r="N2627" s="22">
        <v>1</v>
      </c>
      <c r="O2627" s="22">
        <v>0</v>
      </c>
      <c r="P2627" s="22">
        <v>0</v>
      </c>
      <c r="Q2627" s="22">
        <v>30</v>
      </c>
      <c r="R2627" s="23">
        <v>0</v>
      </c>
      <c r="S2627" s="23">
        <v>0</v>
      </c>
      <c r="T2627" s="22">
        <v>0</v>
      </c>
      <c r="U2627" s="22">
        <v>0</v>
      </c>
      <c r="V2627" s="23">
        <v>0</v>
      </c>
      <c r="W2627" s="23">
        <v>0</v>
      </c>
      <c r="X2627" s="22">
        <v>0</v>
      </c>
      <c r="Y2627" t="s">
        <v>2094</v>
      </c>
    </row>
    <row r="2628" spans="1:25" hidden="1" x14ac:dyDescent="0.25">
      <c r="A2628" t="s">
        <v>1454</v>
      </c>
      <c r="B2628" t="s">
        <v>1455</v>
      </c>
      <c r="C2628" t="s">
        <v>27</v>
      </c>
      <c r="D2628" t="s">
        <v>27</v>
      </c>
      <c r="E2628" s="2">
        <v>45982</v>
      </c>
      <c r="F2628" s="2">
        <v>45982</v>
      </c>
      <c r="G2628" s="3">
        <v>38</v>
      </c>
      <c r="H2628" t="s">
        <v>28</v>
      </c>
      <c r="I2628" s="28">
        <v>36</v>
      </c>
      <c r="J2628" s="22">
        <v>0</v>
      </c>
      <c r="K2628" s="22">
        <v>0</v>
      </c>
      <c r="L2628" s="23">
        <v>1</v>
      </c>
      <c r="M2628" s="23">
        <v>0</v>
      </c>
      <c r="N2628" s="22">
        <v>0</v>
      </c>
      <c r="O2628" s="22">
        <v>0</v>
      </c>
      <c r="P2628" s="22">
        <v>0</v>
      </c>
      <c r="Q2628" s="22">
        <v>36</v>
      </c>
      <c r="R2628" s="23">
        <v>0</v>
      </c>
      <c r="S2628" s="23">
        <v>0</v>
      </c>
      <c r="T2628" s="22">
        <v>0</v>
      </c>
      <c r="U2628" s="22">
        <v>0</v>
      </c>
      <c r="V2628" s="23">
        <v>0</v>
      </c>
      <c r="W2628" s="23">
        <v>0</v>
      </c>
      <c r="X2628" s="22">
        <v>0</v>
      </c>
      <c r="Y2628" t="s">
        <v>2095</v>
      </c>
    </row>
    <row r="2629" spans="1:25" hidden="1" x14ac:dyDescent="0.25">
      <c r="A2629" t="s">
        <v>41</v>
      </c>
      <c r="B2629" t="s">
        <v>112</v>
      </c>
      <c r="C2629" t="s">
        <v>42</v>
      </c>
      <c r="D2629" t="s">
        <v>27</v>
      </c>
      <c r="E2629" s="2">
        <v>45982</v>
      </c>
      <c r="F2629" s="2">
        <v>45982</v>
      </c>
      <c r="G2629" s="3">
        <v>33</v>
      </c>
      <c r="H2629" t="s">
        <v>28</v>
      </c>
      <c r="I2629" s="28">
        <v>52</v>
      </c>
      <c r="J2629" s="22">
        <v>0</v>
      </c>
      <c r="K2629" s="22">
        <v>0</v>
      </c>
      <c r="L2629" s="23">
        <v>1</v>
      </c>
      <c r="M2629" s="23">
        <v>0</v>
      </c>
      <c r="N2629" s="22">
        <v>0</v>
      </c>
      <c r="O2629" s="22">
        <v>0</v>
      </c>
      <c r="P2629" s="22">
        <v>0</v>
      </c>
      <c r="Q2629" s="22">
        <v>1</v>
      </c>
      <c r="R2629" s="23">
        <v>0</v>
      </c>
      <c r="S2629" s="23">
        <v>0</v>
      </c>
      <c r="T2629" s="22">
        <v>0</v>
      </c>
      <c r="U2629" s="22">
        <v>0</v>
      </c>
      <c r="V2629" s="23">
        <v>0</v>
      </c>
      <c r="W2629" s="23">
        <v>0</v>
      </c>
      <c r="X2629" s="22">
        <v>0</v>
      </c>
      <c r="Y2629" t="s">
        <v>2096</v>
      </c>
    </row>
    <row r="2630" spans="1:25" hidden="1" x14ac:dyDescent="0.25">
      <c r="A2630" t="s">
        <v>43</v>
      </c>
      <c r="B2630" t="s">
        <v>114</v>
      </c>
      <c r="C2630" t="s">
        <v>44</v>
      </c>
      <c r="D2630" t="s">
        <v>27</v>
      </c>
      <c r="E2630" s="2">
        <v>45982</v>
      </c>
      <c r="F2630" s="2">
        <v>45982</v>
      </c>
      <c r="G2630" s="3">
        <v>32</v>
      </c>
      <c r="H2630" t="s">
        <v>28</v>
      </c>
      <c r="I2630" s="28">
        <v>53</v>
      </c>
      <c r="J2630" s="22">
        <v>0</v>
      </c>
      <c r="K2630" s="22">
        <v>0</v>
      </c>
      <c r="L2630" s="23">
        <v>0</v>
      </c>
      <c r="M2630" s="23">
        <v>0</v>
      </c>
      <c r="N2630" s="22">
        <v>0</v>
      </c>
      <c r="O2630" s="22">
        <v>0</v>
      </c>
      <c r="P2630" s="22">
        <v>0</v>
      </c>
      <c r="Q2630" s="22">
        <v>0</v>
      </c>
      <c r="R2630" s="23">
        <v>0</v>
      </c>
      <c r="S2630" s="23">
        <v>0</v>
      </c>
      <c r="T2630" s="22">
        <v>0</v>
      </c>
      <c r="U2630" s="22">
        <v>0</v>
      </c>
      <c r="V2630" s="23">
        <v>0</v>
      </c>
      <c r="W2630" s="23">
        <v>0</v>
      </c>
      <c r="X2630" s="22">
        <v>0</v>
      </c>
      <c r="Y2630" t="s">
        <v>2097</v>
      </c>
    </row>
    <row r="2631" spans="1:25" hidden="1" x14ac:dyDescent="0.25">
      <c r="A2631" t="s">
        <v>45</v>
      </c>
      <c r="B2631" t="s">
        <v>116</v>
      </c>
      <c r="C2631" t="s">
        <v>48</v>
      </c>
      <c r="D2631" t="s">
        <v>27</v>
      </c>
      <c r="E2631" s="2">
        <v>45982</v>
      </c>
      <c r="F2631" s="2">
        <v>45982</v>
      </c>
      <c r="G2631" s="3">
        <v>71</v>
      </c>
      <c r="H2631" t="s">
        <v>28</v>
      </c>
      <c r="I2631" s="28">
        <v>75</v>
      </c>
      <c r="J2631" s="22">
        <v>0</v>
      </c>
      <c r="K2631" s="22">
        <v>0</v>
      </c>
      <c r="L2631" s="23">
        <v>1</v>
      </c>
      <c r="M2631" s="23">
        <v>0</v>
      </c>
      <c r="N2631" s="22">
        <v>0</v>
      </c>
      <c r="O2631" s="22">
        <v>0</v>
      </c>
      <c r="P2631" s="22">
        <v>0</v>
      </c>
      <c r="Q2631" s="22">
        <v>14</v>
      </c>
      <c r="R2631" s="23">
        <v>0</v>
      </c>
      <c r="S2631" s="23">
        <v>0</v>
      </c>
      <c r="T2631" s="22">
        <v>0</v>
      </c>
      <c r="U2631" s="22">
        <v>0</v>
      </c>
      <c r="V2631" s="23">
        <v>0</v>
      </c>
      <c r="W2631" s="23">
        <v>0</v>
      </c>
      <c r="X2631" s="22">
        <v>0</v>
      </c>
      <c r="Y2631" t="s">
        <v>2098</v>
      </c>
    </row>
    <row r="2632" spans="1:25" hidden="1" x14ac:dyDescent="0.25">
      <c r="A2632" t="s">
        <v>48</v>
      </c>
      <c r="B2632" t="s">
        <v>116</v>
      </c>
      <c r="C2632" t="s">
        <v>27</v>
      </c>
      <c r="D2632" t="s">
        <v>27</v>
      </c>
      <c r="E2632" s="2">
        <v>45982</v>
      </c>
      <c r="F2632" s="2">
        <v>45982</v>
      </c>
      <c r="G2632" s="3">
        <v>71</v>
      </c>
      <c r="H2632" t="s">
        <v>28</v>
      </c>
      <c r="I2632" s="28">
        <v>75</v>
      </c>
      <c r="J2632" s="22">
        <v>0</v>
      </c>
      <c r="K2632" s="22">
        <v>0</v>
      </c>
      <c r="L2632" s="23">
        <v>1</v>
      </c>
      <c r="M2632" s="23">
        <v>0</v>
      </c>
      <c r="N2632" s="22">
        <v>0</v>
      </c>
      <c r="O2632" s="22">
        <v>0</v>
      </c>
      <c r="P2632" s="22">
        <v>0</v>
      </c>
      <c r="Q2632" s="22">
        <v>14</v>
      </c>
      <c r="R2632" s="23">
        <v>0</v>
      </c>
      <c r="S2632" s="23">
        <v>0</v>
      </c>
      <c r="T2632" s="22">
        <v>0</v>
      </c>
      <c r="U2632" s="22">
        <v>0</v>
      </c>
      <c r="V2632" s="23">
        <v>0</v>
      </c>
      <c r="W2632" s="23">
        <v>0</v>
      </c>
      <c r="X2632" s="22">
        <v>0</v>
      </c>
      <c r="Y2632" t="s">
        <v>2098</v>
      </c>
    </row>
    <row r="2633" spans="1:25" hidden="1" x14ac:dyDescent="0.25">
      <c r="A2633" t="s">
        <v>47</v>
      </c>
      <c r="B2633" t="s">
        <v>137</v>
      </c>
      <c r="C2633" t="s">
        <v>27</v>
      </c>
      <c r="D2633" t="s">
        <v>27</v>
      </c>
      <c r="E2633" s="2">
        <v>45982</v>
      </c>
      <c r="F2633" s="2">
        <v>45982</v>
      </c>
      <c r="G2633" s="3">
        <v>41</v>
      </c>
      <c r="H2633" t="s">
        <v>28</v>
      </c>
      <c r="I2633" s="28">
        <v>64</v>
      </c>
      <c r="J2633" s="22">
        <v>9</v>
      </c>
      <c r="K2633" s="22">
        <v>0</v>
      </c>
      <c r="L2633" s="23">
        <v>0</v>
      </c>
      <c r="M2633" s="23">
        <v>0</v>
      </c>
      <c r="N2633" s="22">
        <v>0</v>
      </c>
      <c r="O2633" s="22">
        <v>0</v>
      </c>
      <c r="P2633" s="22">
        <v>0</v>
      </c>
      <c r="Q2633" s="22">
        <v>15</v>
      </c>
      <c r="R2633" s="23">
        <v>0</v>
      </c>
      <c r="S2633" s="23">
        <v>0</v>
      </c>
      <c r="T2633" s="22">
        <v>0</v>
      </c>
      <c r="U2633" s="22">
        <v>0</v>
      </c>
      <c r="V2633" s="23">
        <v>0</v>
      </c>
      <c r="W2633" s="23">
        <v>0</v>
      </c>
      <c r="X2633" s="22">
        <v>2</v>
      </c>
      <c r="Y2633" t="s">
        <v>2099</v>
      </c>
    </row>
    <row r="2634" spans="1:25" hidden="1" x14ac:dyDescent="0.25">
      <c r="A2634" t="s">
        <v>34</v>
      </c>
      <c r="B2634" t="s">
        <v>137</v>
      </c>
      <c r="C2634" t="s">
        <v>27</v>
      </c>
      <c r="D2634" t="s">
        <v>27</v>
      </c>
      <c r="E2634" s="2">
        <v>45982</v>
      </c>
      <c r="F2634" s="2">
        <v>45982</v>
      </c>
      <c r="G2634" s="3">
        <v>41</v>
      </c>
      <c r="H2634" t="s">
        <v>28</v>
      </c>
      <c r="I2634" s="28">
        <v>64</v>
      </c>
      <c r="J2634" s="22">
        <v>9</v>
      </c>
      <c r="K2634" s="22">
        <v>0</v>
      </c>
      <c r="L2634" s="23">
        <v>0</v>
      </c>
      <c r="M2634" s="23">
        <v>0</v>
      </c>
      <c r="N2634" s="22">
        <v>0</v>
      </c>
      <c r="O2634" s="22">
        <v>0</v>
      </c>
      <c r="P2634" s="22">
        <v>0</v>
      </c>
      <c r="Q2634" s="22">
        <v>15</v>
      </c>
      <c r="R2634" s="23">
        <v>0</v>
      </c>
      <c r="S2634" s="23">
        <v>0</v>
      </c>
      <c r="T2634" s="22">
        <v>0</v>
      </c>
      <c r="U2634" s="22">
        <v>0</v>
      </c>
      <c r="V2634" s="23">
        <v>0</v>
      </c>
      <c r="W2634" s="23">
        <v>0</v>
      </c>
      <c r="X2634" s="22">
        <v>2</v>
      </c>
      <c r="Y2634" t="s">
        <v>2099</v>
      </c>
    </row>
    <row r="2635" spans="1:25" hidden="1" x14ac:dyDescent="0.25">
      <c r="A2635" t="s">
        <v>49</v>
      </c>
      <c r="B2635" t="s">
        <v>118</v>
      </c>
      <c r="C2635" t="s">
        <v>50</v>
      </c>
      <c r="D2635" t="s">
        <v>27</v>
      </c>
      <c r="E2635" s="2">
        <v>45982</v>
      </c>
      <c r="F2635" s="2">
        <v>45982</v>
      </c>
      <c r="G2635" s="3">
        <v>26</v>
      </c>
      <c r="H2635" t="s">
        <v>28</v>
      </c>
      <c r="I2635" s="28">
        <v>41</v>
      </c>
      <c r="J2635" s="22">
        <v>0</v>
      </c>
      <c r="K2635" s="22">
        <v>0</v>
      </c>
      <c r="L2635" s="23">
        <v>1</v>
      </c>
      <c r="M2635" s="23">
        <v>1</v>
      </c>
      <c r="N2635" s="22">
        <v>0</v>
      </c>
      <c r="O2635" s="22">
        <v>0</v>
      </c>
      <c r="P2635" s="22">
        <v>0</v>
      </c>
      <c r="Q2635" s="22">
        <v>41</v>
      </c>
      <c r="R2635" s="23">
        <v>0</v>
      </c>
      <c r="S2635" s="23">
        <v>0</v>
      </c>
      <c r="T2635" s="22">
        <v>0</v>
      </c>
      <c r="U2635" s="22">
        <v>0</v>
      </c>
      <c r="V2635" s="23">
        <v>0</v>
      </c>
      <c r="W2635" s="23">
        <v>0</v>
      </c>
      <c r="X2635" s="22">
        <v>0</v>
      </c>
      <c r="Y2635" t="s">
        <v>2100</v>
      </c>
    </row>
    <row r="2636" spans="1:25" hidden="1" x14ac:dyDescent="0.25">
      <c r="A2636" t="s">
        <v>51</v>
      </c>
      <c r="B2636" t="s">
        <v>120</v>
      </c>
      <c r="C2636" t="s">
        <v>55</v>
      </c>
      <c r="D2636" t="s">
        <v>27</v>
      </c>
      <c r="E2636" s="2">
        <v>45982</v>
      </c>
      <c r="F2636" s="2">
        <v>45982</v>
      </c>
      <c r="G2636" s="3">
        <v>62</v>
      </c>
      <c r="H2636" t="s">
        <v>28</v>
      </c>
      <c r="I2636" s="28">
        <v>47</v>
      </c>
      <c r="J2636" s="22">
        <v>0</v>
      </c>
      <c r="K2636" s="22">
        <v>0</v>
      </c>
      <c r="L2636" s="23">
        <v>1</v>
      </c>
      <c r="M2636" s="23">
        <v>0</v>
      </c>
      <c r="N2636" s="22">
        <v>1</v>
      </c>
      <c r="O2636" s="22">
        <v>0</v>
      </c>
      <c r="P2636" s="22">
        <v>0</v>
      </c>
      <c r="Q2636" s="22">
        <v>0</v>
      </c>
      <c r="R2636" s="23">
        <v>0</v>
      </c>
      <c r="S2636" s="23">
        <v>0</v>
      </c>
      <c r="T2636" s="22">
        <v>0</v>
      </c>
      <c r="U2636" s="22">
        <v>0</v>
      </c>
      <c r="V2636" s="23">
        <v>0</v>
      </c>
      <c r="W2636" s="23">
        <v>0</v>
      </c>
      <c r="X2636" s="22">
        <v>0</v>
      </c>
      <c r="Y2636" t="s">
        <v>2101</v>
      </c>
    </row>
    <row r="2637" spans="1:25" hidden="1" x14ac:dyDescent="0.25">
      <c r="A2637" t="s">
        <v>54</v>
      </c>
      <c r="B2637" t="s">
        <v>122</v>
      </c>
      <c r="C2637" t="s">
        <v>52</v>
      </c>
      <c r="D2637" t="s">
        <v>27</v>
      </c>
      <c r="E2637" s="2">
        <v>45982</v>
      </c>
      <c r="F2637" s="2">
        <v>45982</v>
      </c>
      <c r="G2637" s="3">
        <v>44</v>
      </c>
      <c r="H2637" t="s">
        <v>28</v>
      </c>
      <c r="I2637" s="28">
        <v>60</v>
      </c>
      <c r="J2637" s="22">
        <v>0</v>
      </c>
      <c r="K2637" s="22">
        <v>0</v>
      </c>
      <c r="L2637" s="23">
        <v>0</v>
      </c>
      <c r="M2637" s="23">
        <v>0</v>
      </c>
      <c r="N2637" s="22">
        <v>0</v>
      </c>
      <c r="O2637" s="22">
        <v>0</v>
      </c>
      <c r="P2637" s="22">
        <v>0</v>
      </c>
      <c r="Q2637" s="22">
        <v>2</v>
      </c>
      <c r="R2637" s="23">
        <v>0</v>
      </c>
      <c r="S2637" s="23">
        <v>0</v>
      </c>
      <c r="T2637" s="22">
        <v>0</v>
      </c>
      <c r="U2637" s="22">
        <v>0</v>
      </c>
      <c r="V2637" s="23">
        <v>0</v>
      </c>
      <c r="W2637" s="23">
        <v>0</v>
      </c>
      <c r="X2637">
        <v>0</v>
      </c>
      <c r="Y2637" t="s">
        <v>2102</v>
      </c>
    </row>
    <row r="2638" spans="1:25" hidden="1" x14ac:dyDescent="0.25">
      <c r="A2638" t="s">
        <v>58</v>
      </c>
      <c r="B2638" t="s">
        <v>144</v>
      </c>
      <c r="C2638" t="s">
        <v>489</v>
      </c>
      <c r="D2638" t="s">
        <v>27</v>
      </c>
      <c r="E2638" s="2">
        <v>45982</v>
      </c>
      <c r="F2638" s="2">
        <v>45982</v>
      </c>
      <c r="G2638" s="3">
        <v>46</v>
      </c>
      <c r="H2638" t="s">
        <v>28</v>
      </c>
      <c r="I2638" s="28">
        <v>71</v>
      </c>
      <c r="J2638" s="22">
        <v>0</v>
      </c>
      <c r="K2638" s="22">
        <v>0</v>
      </c>
      <c r="L2638" s="23">
        <v>1</v>
      </c>
      <c r="M2638" s="23">
        <v>0</v>
      </c>
      <c r="N2638" s="22">
        <v>0</v>
      </c>
      <c r="O2638" s="22">
        <v>0</v>
      </c>
      <c r="P2638" s="22">
        <v>0</v>
      </c>
      <c r="Q2638" s="22">
        <v>0</v>
      </c>
      <c r="R2638" s="23">
        <v>0</v>
      </c>
      <c r="S2638" s="23">
        <v>0</v>
      </c>
      <c r="T2638" s="22">
        <v>0</v>
      </c>
      <c r="U2638" s="22">
        <v>0</v>
      </c>
      <c r="V2638" s="23">
        <v>0</v>
      </c>
      <c r="W2638" s="23">
        <v>0</v>
      </c>
      <c r="X2638" s="22">
        <v>1</v>
      </c>
      <c r="Y2638" t="s">
        <v>2103</v>
      </c>
    </row>
    <row r="2639" spans="1:25" hidden="1" x14ac:dyDescent="0.25">
      <c r="A2639" t="s">
        <v>27</v>
      </c>
      <c r="B2639" t="s">
        <v>106</v>
      </c>
      <c r="C2639" t="s">
        <v>46</v>
      </c>
      <c r="D2639" t="s">
        <v>27</v>
      </c>
      <c r="E2639" s="2">
        <v>45982</v>
      </c>
      <c r="F2639" s="2">
        <v>45982</v>
      </c>
      <c r="G2639" s="3">
        <v>47</v>
      </c>
      <c r="H2639" t="s">
        <v>180</v>
      </c>
      <c r="I2639" s="28">
        <v>0</v>
      </c>
      <c r="J2639" s="22">
        <v>0</v>
      </c>
      <c r="K2639" s="22">
        <v>0</v>
      </c>
      <c r="L2639" s="23">
        <v>0</v>
      </c>
      <c r="M2639" s="23">
        <v>0</v>
      </c>
      <c r="N2639" s="22">
        <v>0</v>
      </c>
      <c r="O2639" s="22">
        <v>0</v>
      </c>
      <c r="P2639" s="22">
        <v>0</v>
      </c>
      <c r="Q2639" s="22">
        <v>0</v>
      </c>
      <c r="R2639" s="23">
        <v>0</v>
      </c>
      <c r="S2639" s="23">
        <v>0</v>
      </c>
      <c r="T2639" s="22">
        <v>0</v>
      </c>
      <c r="U2639" s="22">
        <v>0</v>
      </c>
      <c r="V2639" s="23">
        <v>0</v>
      </c>
      <c r="W2639" s="23">
        <v>0</v>
      </c>
      <c r="X2639" s="23">
        <v>0</v>
      </c>
    </row>
    <row r="2640" spans="1:25" hidden="1" x14ac:dyDescent="0.25">
      <c r="A2640" t="s">
        <v>29</v>
      </c>
      <c r="B2640" t="s">
        <v>100</v>
      </c>
      <c r="C2640" t="s">
        <v>489</v>
      </c>
      <c r="D2640" t="s">
        <v>27</v>
      </c>
      <c r="E2640" s="2">
        <v>45983</v>
      </c>
      <c r="F2640" s="2">
        <v>45983</v>
      </c>
      <c r="G2640" s="3">
        <v>37</v>
      </c>
      <c r="H2640" t="s">
        <v>28</v>
      </c>
      <c r="I2640">
        <v>0</v>
      </c>
      <c r="J2640">
        <v>0</v>
      </c>
      <c r="K2640">
        <v>0</v>
      </c>
      <c r="L2640" s="3">
        <v>0</v>
      </c>
      <c r="M2640" s="3">
        <v>0</v>
      </c>
      <c r="N2640">
        <v>0</v>
      </c>
      <c r="O2640">
        <v>0</v>
      </c>
      <c r="P2640">
        <v>0</v>
      </c>
      <c r="Q2640">
        <v>0</v>
      </c>
      <c r="R2640" s="3">
        <v>1</v>
      </c>
      <c r="S2640" s="3">
        <v>0</v>
      </c>
      <c r="T2640">
        <v>30</v>
      </c>
      <c r="U2640">
        <v>0</v>
      </c>
      <c r="V2640" s="3">
        <v>1</v>
      </c>
      <c r="W2640" s="3">
        <v>0</v>
      </c>
      <c r="X2640">
        <v>0</v>
      </c>
      <c r="Y2640" t="s">
        <v>2104</v>
      </c>
    </row>
    <row r="2641" spans="1:25" hidden="1" x14ac:dyDescent="0.25">
      <c r="A2641" t="s">
        <v>41</v>
      </c>
      <c r="B2641" t="s">
        <v>112</v>
      </c>
      <c r="C2641" t="s">
        <v>42</v>
      </c>
      <c r="D2641" t="s">
        <v>27</v>
      </c>
      <c r="E2641" s="2">
        <v>45983</v>
      </c>
      <c r="F2641" s="2">
        <v>45983</v>
      </c>
      <c r="G2641" s="3">
        <v>81</v>
      </c>
      <c r="H2641" t="s">
        <v>28</v>
      </c>
      <c r="I2641">
        <v>0</v>
      </c>
      <c r="J2641">
        <v>0</v>
      </c>
      <c r="K2641">
        <v>0</v>
      </c>
      <c r="L2641" s="3">
        <v>0</v>
      </c>
      <c r="M2641" s="3">
        <v>0</v>
      </c>
      <c r="N2641">
        <v>0</v>
      </c>
      <c r="O2641">
        <v>0</v>
      </c>
      <c r="P2641">
        <v>0</v>
      </c>
      <c r="Q2641">
        <v>7</v>
      </c>
      <c r="R2641" s="3">
        <v>1</v>
      </c>
      <c r="S2641" s="3">
        <v>0</v>
      </c>
      <c r="T2641">
        <v>24</v>
      </c>
      <c r="U2641">
        <v>25</v>
      </c>
      <c r="V2641" s="3">
        <v>1</v>
      </c>
      <c r="W2641" s="3">
        <v>0</v>
      </c>
      <c r="X2641">
        <v>7</v>
      </c>
      <c r="Y2641" t="s">
        <v>2105</v>
      </c>
    </row>
    <row r="2642" spans="1:25" hidden="1" x14ac:dyDescent="0.25">
      <c r="A2642" t="s">
        <v>54</v>
      </c>
      <c r="B2642" t="s">
        <v>122</v>
      </c>
      <c r="C2642" t="s">
        <v>52</v>
      </c>
      <c r="D2642" t="s">
        <v>27</v>
      </c>
      <c r="E2642" s="2">
        <v>45983</v>
      </c>
      <c r="F2642" s="2">
        <v>45983</v>
      </c>
      <c r="G2642" s="3">
        <v>111</v>
      </c>
      <c r="H2642" t="s">
        <v>28</v>
      </c>
      <c r="I2642">
        <v>0</v>
      </c>
      <c r="J2642">
        <v>0</v>
      </c>
      <c r="K2642">
        <v>0</v>
      </c>
      <c r="L2642" s="3">
        <v>0</v>
      </c>
      <c r="M2642" s="3">
        <v>0</v>
      </c>
      <c r="N2642">
        <v>0</v>
      </c>
      <c r="O2642">
        <v>0</v>
      </c>
      <c r="P2642">
        <v>0</v>
      </c>
      <c r="Q2642">
        <v>0</v>
      </c>
      <c r="R2642" s="3">
        <v>1</v>
      </c>
      <c r="S2642" s="3">
        <v>0</v>
      </c>
      <c r="T2642">
        <v>13</v>
      </c>
      <c r="U2642">
        <v>63</v>
      </c>
      <c r="V2642" s="3">
        <v>1</v>
      </c>
      <c r="W2642" s="3">
        <v>0</v>
      </c>
      <c r="X2642">
        <v>2</v>
      </c>
      <c r="Y2642" t="s">
        <v>2106</v>
      </c>
    </row>
    <row r="2643" spans="1:25" hidden="1" x14ac:dyDescent="0.25">
      <c r="A2643" t="s">
        <v>344</v>
      </c>
      <c r="B2643" t="s">
        <v>102</v>
      </c>
      <c r="C2643" t="s">
        <v>37</v>
      </c>
      <c r="D2643" t="s">
        <v>27</v>
      </c>
      <c r="E2643" s="2">
        <v>45984</v>
      </c>
      <c r="F2643" s="2">
        <v>45984</v>
      </c>
      <c r="G2643" s="3">
        <v>104</v>
      </c>
      <c r="H2643" t="s">
        <v>28</v>
      </c>
      <c r="I2643">
        <v>0</v>
      </c>
      <c r="J2643">
        <v>0</v>
      </c>
      <c r="K2643">
        <v>0</v>
      </c>
      <c r="L2643" s="3">
        <v>1</v>
      </c>
      <c r="M2643" s="3">
        <v>0</v>
      </c>
      <c r="N2643">
        <v>0</v>
      </c>
      <c r="O2643">
        <v>0</v>
      </c>
      <c r="P2643">
        <v>0</v>
      </c>
      <c r="Q2643">
        <v>0</v>
      </c>
      <c r="R2643" s="3">
        <v>0</v>
      </c>
      <c r="S2643" s="3">
        <v>1</v>
      </c>
      <c r="T2643">
        <v>6</v>
      </c>
      <c r="U2643">
        <v>164</v>
      </c>
      <c r="V2643" s="3">
        <v>0</v>
      </c>
      <c r="W2643" s="3">
        <v>1</v>
      </c>
      <c r="X2643">
        <v>7</v>
      </c>
      <c r="Y2643" t="s">
        <v>2107</v>
      </c>
    </row>
    <row r="2644" spans="1:25" hidden="1" x14ac:dyDescent="0.25">
      <c r="A2644" t="s">
        <v>33</v>
      </c>
      <c r="B2644" t="s">
        <v>106</v>
      </c>
      <c r="C2644" t="s">
        <v>55</v>
      </c>
      <c r="D2644" t="s">
        <v>27</v>
      </c>
      <c r="E2644" s="2">
        <v>45984</v>
      </c>
      <c r="F2644" s="2">
        <v>45984</v>
      </c>
      <c r="G2644" s="3">
        <v>154</v>
      </c>
      <c r="H2644" t="s">
        <v>28</v>
      </c>
      <c r="I2644">
        <v>0</v>
      </c>
      <c r="J2644">
        <v>0</v>
      </c>
      <c r="K2644">
        <v>0</v>
      </c>
      <c r="L2644" s="3">
        <v>0</v>
      </c>
      <c r="M2644" s="3">
        <v>0</v>
      </c>
      <c r="N2644">
        <v>0</v>
      </c>
      <c r="O2644">
        <v>0</v>
      </c>
      <c r="P2644">
        <v>0</v>
      </c>
      <c r="Q2644">
        <v>35</v>
      </c>
      <c r="R2644" s="3">
        <v>0</v>
      </c>
      <c r="S2644" s="3">
        <v>1</v>
      </c>
      <c r="T2644">
        <v>40</v>
      </c>
      <c r="U2644">
        <v>85</v>
      </c>
      <c r="V2644" s="3">
        <v>0</v>
      </c>
      <c r="W2644" s="3">
        <v>1</v>
      </c>
      <c r="X2644">
        <v>10</v>
      </c>
      <c r="Y2644" t="s">
        <v>2108</v>
      </c>
    </row>
    <row r="2645" spans="1:25" hidden="1" x14ac:dyDescent="0.25">
      <c r="A2645" t="s">
        <v>41</v>
      </c>
      <c r="B2645" t="s">
        <v>112</v>
      </c>
      <c r="C2645" t="s">
        <v>42</v>
      </c>
      <c r="D2645" t="s">
        <v>27</v>
      </c>
      <c r="E2645" s="2">
        <v>45984</v>
      </c>
      <c r="F2645" s="2">
        <v>45984</v>
      </c>
      <c r="G2645" s="3">
        <v>73</v>
      </c>
      <c r="H2645" t="s">
        <v>28</v>
      </c>
      <c r="I2645">
        <v>0</v>
      </c>
      <c r="J2645">
        <v>0</v>
      </c>
      <c r="K2645">
        <v>0</v>
      </c>
      <c r="L2645" s="3">
        <v>0</v>
      </c>
      <c r="M2645" s="3">
        <v>0</v>
      </c>
      <c r="N2645">
        <v>0</v>
      </c>
      <c r="O2645">
        <v>0</v>
      </c>
      <c r="P2645">
        <v>0</v>
      </c>
      <c r="Q2645">
        <v>8</v>
      </c>
      <c r="R2645" s="3">
        <v>0</v>
      </c>
      <c r="S2645" s="3">
        <v>1</v>
      </c>
      <c r="T2645">
        <v>8</v>
      </c>
      <c r="U2645">
        <v>0</v>
      </c>
      <c r="V2645" s="3">
        <v>0</v>
      </c>
      <c r="W2645" s="3">
        <v>0</v>
      </c>
      <c r="X2645">
        <v>0</v>
      </c>
      <c r="Y2645" t="s">
        <v>2109</v>
      </c>
    </row>
    <row r="2646" spans="1:25" hidden="1" x14ac:dyDescent="0.25">
      <c r="A2646" t="s">
        <v>25</v>
      </c>
      <c r="B2646" t="s">
        <v>96</v>
      </c>
      <c r="C2646" t="s">
        <v>26</v>
      </c>
      <c r="D2646" t="s">
        <v>27</v>
      </c>
      <c r="E2646" s="2">
        <v>45985</v>
      </c>
      <c r="F2646" s="2">
        <v>45985</v>
      </c>
      <c r="G2646" s="3">
        <v>35</v>
      </c>
      <c r="H2646" s="4" t="s">
        <v>28</v>
      </c>
      <c r="I2646">
        <v>88</v>
      </c>
      <c r="J2646">
        <v>0</v>
      </c>
      <c r="K2646">
        <v>0</v>
      </c>
      <c r="L2646" s="3">
        <v>1</v>
      </c>
      <c r="M2646" s="3">
        <v>0</v>
      </c>
      <c r="N2646">
        <v>1</v>
      </c>
      <c r="O2646">
        <v>0</v>
      </c>
      <c r="P2646">
        <v>0</v>
      </c>
      <c r="Q2646">
        <v>0</v>
      </c>
      <c r="R2646" s="3">
        <v>0</v>
      </c>
      <c r="S2646" s="3">
        <v>0</v>
      </c>
      <c r="T2646">
        <v>0</v>
      </c>
      <c r="U2646">
        <v>0</v>
      </c>
      <c r="V2646" s="3">
        <v>0</v>
      </c>
      <c r="W2646" s="3">
        <v>0</v>
      </c>
      <c r="X2646">
        <v>0</v>
      </c>
      <c r="Y2646" t="s">
        <v>2110</v>
      </c>
    </row>
    <row r="2647" spans="1:25" hidden="1" x14ac:dyDescent="0.25">
      <c r="A2647" t="s">
        <v>29</v>
      </c>
      <c r="B2647" t="s">
        <v>100</v>
      </c>
      <c r="C2647" t="s">
        <v>37</v>
      </c>
      <c r="D2647" t="s">
        <v>27</v>
      </c>
      <c r="E2647" s="2">
        <v>45985</v>
      </c>
      <c r="F2647" s="2">
        <v>45985</v>
      </c>
      <c r="G2647" s="3">
        <v>47</v>
      </c>
      <c r="H2647" s="4" t="s">
        <v>28</v>
      </c>
      <c r="I2647">
        <v>84</v>
      </c>
      <c r="J2647">
        <v>0</v>
      </c>
      <c r="K2647">
        <v>0</v>
      </c>
      <c r="L2647" s="3">
        <v>1</v>
      </c>
      <c r="M2647" s="3">
        <v>0</v>
      </c>
      <c r="N2647">
        <v>0</v>
      </c>
      <c r="O2647">
        <v>0</v>
      </c>
      <c r="P2647">
        <v>0</v>
      </c>
      <c r="Q2647">
        <v>0</v>
      </c>
      <c r="R2647" s="3">
        <v>0</v>
      </c>
      <c r="S2647" s="3">
        <v>0</v>
      </c>
      <c r="T2647">
        <v>0</v>
      </c>
      <c r="U2647">
        <v>0</v>
      </c>
      <c r="V2647" s="3">
        <v>0</v>
      </c>
      <c r="W2647" s="3">
        <v>0</v>
      </c>
      <c r="X2647">
        <v>0</v>
      </c>
      <c r="Y2647" t="s">
        <v>2111</v>
      </c>
    </row>
    <row r="2648" spans="1:25" hidden="1" x14ac:dyDescent="0.25">
      <c r="A2648" t="s">
        <v>344</v>
      </c>
      <c r="B2648" t="s">
        <v>100</v>
      </c>
      <c r="C2648" t="s">
        <v>35</v>
      </c>
      <c r="D2648" t="s">
        <v>27</v>
      </c>
      <c r="E2648" s="2">
        <v>45985</v>
      </c>
      <c r="F2648" s="2">
        <v>45985</v>
      </c>
      <c r="G2648" s="3">
        <v>47</v>
      </c>
      <c r="H2648" s="4" t="s">
        <v>28</v>
      </c>
      <c r="I2648">
        <v>38</v>
      </c>
      <c r="J2648">
        <v>0</v>
      </c>
      <c r="K2648">
        <v>0</v>
      </c>
      <c r="L2648" s="3">
        <v>0</v>
      </c>
      <c r="M2648" s="3">
        <v>0</v>
      </c>
      <c r="N2648">
        <v>0</v>
      </c>
      <c r="O2648">
        <v>0</v>
      </c>
      <c r="P2648">
        <v>0</v>
      </c>
      <c r="Q2648">
        <v>0</v>
      </c>
      <c r="R2648" s="3">
        <v>0</v>
      </c>
      <c r="S2648" s="3">
        <v>0</v>
      </c>
      <c r="T2648">
        <v>0</v>
      </c>
      <c r="U2648">
        <v>0</v>
      </c>
      <c r="V2648" s="3">
        <v>0</v>
      </c>
      <c r="W2648" s="3">
        <v>0</v>
      </c>
      <c r="X2648">
        <v>0</v>
      </c>
      <c r="Y2648" t="s">
        <v>2111</v>
      </c>
    </row>
    <row r="2649" spans="1:25" hidden="1" x14ac:dyDescent="0.25">
      <c r="A2649" t="s">
        <v>31</v>
      </c>
      <c r="B2649" t="s">
        <v>104</v>
      </c>
      <c r="C2649" t="s">
        <v>32</v>
      </c>
      <c r="D2649" t="s">
        <v>27</v>
      </c>
      <c r="E2649" s="2">
        <v>45985</v>
      </c>
      <c r="F2649" s="2">
        <v>45985</v>
      </c>
      <c r="G2649" s="3">
        <v>66</v>
      </c>
      <c r="H2649" s="4" t="s">
        <v>28</v>
      </c>
      <c r="I2649">
        <v>95</v>
      </c>
      <c r="J2649">
        <v>35</v>
      </c>
      <c r="K2649">
        <v>0</v>
      </c>
      <c r="L2649" s="3">
        <v>0</v>
      </c>
      <c r="M2649" s="3">
        <v>0</v>
      </c>
      <c r="N2649">
        <v>0</v>
      </c>
      <c r="O2649">
        <v>0</v>
      </c>
      <c r="P2649">
        <v>0</v>
      </c>
      <c r="Q2649">
        <v>40</v>
      </c>
      <c r="R2649" s="3">
        <v>0</v>
      </c>
      <c r="S2649" s="3">
        <v>0</v>
      </c>
      <c r="T2649">
        <v>0</v>
      </c>
      <c r="U2649">
        <v>0</v>
      </c>
      <c r="V2649" s="3">
        <v>0</v>
      </c>
      <c r="W2649" s="3">
        <v>0</v>
      </c>
      <c r="X2649">
        <v>0</v>
      </c>
      <c r="Y2649" t="s">
        <v>2112</v>
      </c>
    </row>
    <row r="2650" spans="1:25" hidden="1" x14ac:dyDescent="0.25">
      <c r="A2650" t="s">
        <v>33</v>
      </c>
      <c r="B2650" t="s">
        <v>106</v>
      </c>
      <c r="C2650" t="s">
        <v>57</v>
      </c>
      <c r="D2650" t="s">
        <v>27</v>
      </c>
      <c r="E2650" s="2">
        <v>45985</v>
      </c>
      <c r="F2650" s="2">
        <v>45985</v>
      </c>
      <c r="G2650" s="3">
        <v>41</v>
      </c>
      <c r="H2650" s="4" t="s">
        <v>28</v>
      </c>
      <c r="I2650">
        <v>71</v>
      </c>
      <c r="J2650">
        <v>0</v>
      </c>
      <c r="K2650">
        <v>0</v>
      </c>
      <c r="L2650" s="3">
        <v>0</v>
      </c>
      <c r="M2650" s="3">
        <v>0</v>
      </c>
      <c r="N2650">
        <v>0</v>
      </c>
      <c r="O2650">
        <v>0</v>
      </c>
      <c r="P2650">
        <v>0</v>
      </c>
      <c r="Q2650">
        <v>20</v>
      </c>
      <c r="R2650" s="3">
        <v>0</v>
      </c>
      <c r="S2650" s="3">
        <v>0</v>
      </c>
      <c r="T2650">
        <v>0</v>
      </c>
      <c r="U2650">
        <v>0</v>
      </c>
      <c r="V2650" s="3">
        <v>0</v>
      </c>
      <c r="W2650" s="3">
        <v>0</v>
      </c>
      <c r="X2650">
        <v>0</v>
      </c>
      <c r="Y2650" t="s">
        <v>2113</v>
      </c>
    </row>
    <row r="2651" spans="1:25" hidden="1" x14ac:dyDescent="0.25">
      <c r="A2651" t="s">
        <v>38</v>
      </c>
      <c r="B2651" t="s">
        <v>108</v>
      </c>
      <c r="C2651" t="s">
        <v>27</v>
      </c>
      <c r="D2651" t="s">
        <v>27</v>
      </c>
      <c r="E2651" s="2">
        <v>45985</v>
      </c>
      <c r="F2651" s="2">
        <v>45985</v>
      </c>
      <c r="G2651" s="3">
        <v>48</v>
      </c>
      <c r="H2651" s="4" t="s">
        <v>28</v>
      </c>
      <c r="I2651">
        <v>53</v>
      </c>
      <c r="J2651">
        <v>0</v>
      </c>
      <c r="K2651">
        <v>0</v>
      </c>
      <c r="L2651" s="3">
        <v>0</v>
      </c>
      <c r="M2651" s="3">
        <v>0</v>
      </c>
      <c r="N2651">
        <v>0</v>
      </c>
      <c r="O2651">
        <v>0</v>
      </c>
      <c r="P2651">
        <v>0</v>
      </c>
      <c r="Q2651">
        <v>53</v>
      </c>
      <c r="R2651" s="3">
        <v>0</v>
      </c>
      <c r="S2651" s="3">
        <v>0</v>
      </c>
      <c r="T2651">
        <v>0</v>
      </c>
      <c r="U2651">
        <v>0</v>
      </c>
      <c r="V2651" s="3">
        <v>0</v>
      </c>
      <c r="W2651" s="3">
        <v>0</v>
      </c>
      <c r="X2651">
        <v>0</v>
      </c>
      <c r="Y2651" t="s">
        <v>2114</v>
      </c>
    </row>
    <row r="2652" spans="1:25" hidden="1" x14ac:dyDescent="0.25">
      <c r="A2652" t="s">
        <v>1454</v>
      </c>
      <c r="B2652" t="s">
        <v>1455</v>
      </c>
      <c r="C2652" t="s">
        <v>27</v>
      </c>
      <c r="D2652" t="s">
        <v>27</v>
      </c>
      <c r="E2652" s="2">
        <v>45985</v>
      </c>
      <c r="F2652" s="2">
        <v>45985</v>
      </c>
      <c r="G2652" s="3">
        <v>51</v>
      </c>
      <c r="H2652" s="4" t="s">
        <v>28</v>
      </c>
      <c r="I2652">
        <v>37</v>
      </c>
      <c r="J2652">
        <v>0</v>
      </c>
      <c r="K2652">
        <v>0</v>
      </c>
      <c r="L2652" s="3">
        <v>1</v>
      </c>
      <c r="M2652" s="3">
        <v>0</v>
      </c>
      <c r="N2652">
        <v>0</v>
      </c>
      <c r="O2652">
        <v>0</v>
      </c>
      <c r="P2652">
        <v>0</v>
      </c>
      <c r="Q2652">
        <v>37</v>
      </c>
      <c r="R2652" s="3">
        <v>0</v>
      </c>
      <c r="S2652" s="3">
        <v>0</v>
      </c>
      <c r="T2652">
        <v>0</v>
      </c>
      <c r="U2652">
        <v>0</v>
      </c>
      <c r="V2652" s="3">
        <v>0</v>
      </c>
      <c r="W2652" s="3">
        <v>0</v>
      </c>
      <c r="X2652">
        <v>0</v>
      </c>
      <c r="Y2652" t="s">
        <v>2115</v>
      </c>
    </row>
    <row r="2653" spans="1:25" hidden="1" x14ac:dyDescent="0.25">
      <c r="A2653" t="s">
        <v>41</v>
      </c>
      <c r="B2653" t="s">
        <v>112</v>
      </c>
      <c r="C2653" t="s">
        <v>42</v>
      </c>
      <c r="D2653" t="s">
        <v>27</v>
      </c>
      <c r="E2653" s="2">
        <v>45985</v>
      </c>
      <c r="F2653" s="2">
        <v>45985</v>
      </c>
      <c r="G2653" s="3">
        <v>29</v>
      </c>
      <c r="H2653" s="4" t="s">
        <v>28</v>
      </c>
      <c r="I2653">
        <v>52</v>
      </c>
      <c r="J2653">
        <v>0</v>
      </c>
      <c r="K2653">
        <v>0</v>
      </c>
      <c r="L2653" s="3">
        <v>1</v>
      </c>
      <c r="M2653" s="3">
        <v>0</v>
      </c>
      <c r="N2653">
        <v>0</v>
      </c>
      <c r="O2653">
        <v>0</v>
      </c>
      <c r="P2653">
        <v>0</v>
      </c>
      <c r="Q2653">
        <v>4</v>
      </c>
      <c r="R2653" s="3">
        <v>0</v>
      </c>
      <c r="S2653" s="3">
        <v>0</v>
      </c>
      <c r="T2653">
        <v>0</v>
      </c>
      <c r="U2653">
        <v>0</v>
      </c>
      <c r="V2653" s="3">
        <v>0</v>
      </c>
      <c r="W2653" s="3">
        <v>0</v>
      </c>
      <c r="X2653">
        <v>0</v>
      </c>
      <c r="Y2653" t="s">
        <v>2116</v>
      </c>
    </row>
    <row r="2654" spans="1:25" hidden="1" x14ac:dyDescent="0.25">
      <c r="A2654" t="s">
        <v>43</v>
      </c>
      <c r="B2654" t="s">
        <v>114</v>
      </c>
      <c r="C2654" t="s">
        <v>44</v>
      </c>
      <c r="D2654" t="s">
        <v>27</v>
      </c>
      <c r="E2654" s="2">
        <v>45985</v>
      </c>
      <c r="F2654" s="2">
        <v>45985</v>
      </c>
      <c r="G2654" s="3">
        <v>26</v>
      </c>
      <c r="H2654" s="4" t="s">
        <v>28</v>
      </c>
      <c r="I2654">
        <v>58</v>
      </c>
      <c r="J2654">
        <v>0</v>
      </c>
      <c r="K2654">
        <v>0</v>
      </c>
      <c r="L2654" s="3">
        <v>0</v>
      </c>
      <c r="M2654" s="3">
        <v>0</v>
      </c>
      <c r="N2654">
        <v>0</v>
      </c>
      <c r="O2654">
        <v>0</v>
      </c>
      <c r="P2654">
        <v>0</v>
      </c>
      <c r="Q2654">
        <v>0</v>
      </c>
      <c r="R2654" s="3">
        <v>0</v>
      </c>
      <c r="S2654" s="3">
        <v>0</v>
      </c>
      <c r="T2654">
        <v>0</v>
      </c>
      <c r="U2654">
        <v>0</v>
      </c>
      <c r="V2654" s="3">
        <v>0</v>
      </c>
      <c r="W2654" s="3">
        <v>0</v>
      </c>
      <c r="X2654">
        <v>0</v>
      </c>
      <c r="Y2654" t="s">
        <v>2117</v>
      </c>
    </row>
    <row r="2655" spans="1:25" hidden="1" x14ac:dyDescent="0.25">
      <c r="A2655" t="s">
        <v>2118</v>
      </c>
      <c r="B2655" t="s">
        <v>2119</v>
      </c>
      <c r="C2655" t="s">
        <v>27</v>
      </c>
      <c r="D2655" t="s">
        <v>27</v>
      </c>
      <c r="E2655" s="2">
        <v>45985</v>
      </c>
      <c r="F2655" s="2">
        <v>45985</v>
      </c>
      <c r="G2655" s="3">
        <v>45</v>
      </c>
      <c r="H2655" s="4" t="s">
        <v>28</v>
      </c>
      <c r="I2655">
        <v>35</v>
      </c>
      <c r="J2655">
        <v>0</v>
      </c>
      <c r="K2655">
        <v>0</v>
      </c>
      <c r="L2655" s="3">
        <v>1</v>
      </c>
      <c r="M2655" s="3">
        <v>0</v>
      </c>
      <c r="N2655">
        <v>0</v>
      </c>
      <c r="O2655">
        <v>0</v>
      </c>
      <c r="P2655">
        <v>0</v>
      </c>
      <c r="Q2655">
        <v>35</v>
      </c>
      <c r="R2655" s="3">
        <v>0</v>
      </c>
      <c r="S2655" s="3">
        <v>0</v>
      </c>
      <c r="T2655">
        <v>0</v>
      </c>
      <c r="U2655">
        <v>0</v>
      </c>
      <c r="V2655" s="3">
        <v>0</v>
      </c>
      <c r="W2655" s="3">
        <v>0</v>
      </c>
      <c r="X2655">
        <v>0</v>
      </c>
      <c r="Y2655" t="s">
        <v>2120</v>
      </c>
    </row>
    <row r="2656" spans="1:25" hidden="1" x14ac:dyDescent="0.25">
      <c r="A2656" t="s">
        <v>45</v>
      </c>
      <c r="B2656" t="s">
        <v>116</v>
      </c>
      <c r="C2656" t="s">
        <v>27</v>
      </c>
      <c r="D2656" t="s">
        <v>27</v>
      </c>
      <c r="E2656" s="2">
        <v>45985</v>
      </c>
      <c r="F2656" s="2">
        <v>45985</v>
      </c>
      <c r="G2656" s="3">
        <v>56</v>
      </c>
      <c r="H2656" s="4" t="s">
        <v>28</v>
      </c>
      <c r="I2656">
        <v>68</v>
      </c>
      <c r="J2656">
        <v>0</v>
      </c>
      <c r="K2656">
        <v>0</v>
      </c>
      <c r="L2656" s="3">
        <v>1</v>
      </c>
      <c r="M2656" s="3">
        <v>0</v>
      </c>
      <c r="N2656">
        <v>0</v>
      </c>
      <c r="O2656">
        <v>0</v>
      </c>
      <c r="P2656">
        <v>0</v>
      </c>
      <c r="Q2656">
        <v>9</v>
      </c>
      <c r="R2656" s="3">
        <v>0</v>
      </c>
      <c r="S2656" s="3">
        <v>0</v>
      </c>
      <c r="T2656">
        <v>0</v>
      </c>
      <c r="U2656">
        <v>0</v>
      </c>
      <c r="V2656" s="3">
        <v>0</v>
      </c>
      <c r="W2656" s="3">
        <v>0</v>
      </c>
      <c r="X2656">
        <v>0</v>
      </c>
      <c r="Y2656" t="s">
        <v>2121</v>
      </c>
    </row>
    <row r="2657" spans="1:25" hidden="1" x14ac:dyDescent="0.25">
      <c r="A2657" t="s">
        <v>48</v>
      </c>
      <c r="B2657" t="s">
        <v>116</v>
      </c>
      <c r="C2657" t="s">
        <v>27</v>
      </c>
      <c r="D2657" t="s">
        <v>27</v>
      </c>
      <c r="E2657" s="2">
        <v>45985</v>
      </c>
      <c r="F2657" s="2">
        <v>45985</v>
      </c>
      <c r="G2657" s="3">
        <v>56</v>
      </c>
      <c r="H2657" s="4" t="s">
        <v>28</v>
      </c>
      <c r="I2657">
        <v>68</v>
      </c>
      <c r="J2657">
        <v>0</v>
      </c>
      <c r="K2657">
        <v>0</v>
      </c>
      <c r="L2657" s="3">
        <v>1</v>
      </c>
      <c r="M2657" s="3">
        <v>0</v>
      </c>
      <c r="N2657">
        <v>0</v>
      </c>
      <c r="O2657">
        <v>0</v>
      </c>
      <c r="P2657">
        <v>0</v>
      </c>
      <c r="Q2657">
        <v>9</v>
      </c>
      <c r="R2657" s="3">
        <v>0</v>
      </c>
      <c r="S2657" s="3">
        <v>0</v>
      </c>
      <c r="T2657">
        <v>0</v>
      </c>
      <c r="U2657">
        <v>0</v>
      </c>
      <c r="V2657" s="3">
        <v>0</v>
      </c>
      <c r="W2657" s="3">
        <v>0</v>
      </c>
      <c r="X2657">
        <v>0</v>
      </c>
      <c r="Y2657" t="s">
        <v>2121</v>
      </c>
    </row>
    <row r="2658" spans="1:25" hidden="1" x14ac:dyDescent="0.25">
      <c r="A2658" t="s">
        <v>47</v>
      </c>
      <c r="B2658" t="s">
        <v>137</v>
      </c>
      <c r="C2658" t="s">
        <v>27</v>
      </c>
      <c r="D2658" t="s">
        <v>27</v>
      </c>
      <c r="E2658" s="2">
        <v>45985</v>
      </c>
      <c r="F2658" s="2">
        <v>45985</v>
      </c>
      <c r="G2658" s="3">
        <v>36</v>
      </c>
      <c r="H2658" s="4" t="s">
        <v>28</v>
      </c>
      <c r="I2658">
        <v>42</v>
      </c>
      <c r="J2658">
        <v>9</v>
      </c>
      <c r="K2658">
        <v>0</v>
      </c>
      <c r="L2658" s="3">
        <v>0</v>
      </c>
      <c r="M2658" s="3">
        <v>0</v>
      </c>
      <c r="N2658">
        <v>0</v>
      </c>
      <c r="O2658">
        <v>0</v>
      </c>
      <c r="P2658">
        <v>0</v>
      </c>
      <c r="Q2658">
        <v>0</v>
      </c>
      <c r="R2658" s="3">
        <v>0</v>
      </c>
      <c r="S2658" s="3">
        <v>0</v>
      </c>
      <c r="T2658">
        <v>0</v>
      </c>
      <c r="U2658">
        <v>0</v>
      </c>
      <c r="V2658" s="3">
        <v>0</v>
      </c>
      <c r="W2658" s="3">
        <v>0</v>
      </c>
      <c r="X2658">
        <v>0</v>
      </c>
      <c r="Y2658" t="s">
        <v>2122</v>
      </c>
    </row>
    <row r="2659" spans="1:25" hidden="1" x14ac:dyDescent="0.25">
      <c r="A2659" t="s">
        <v>34</v>
      </c>
      <c r="B2659" t="s">
        <v>137</v>
      </c>
      <c r="C2659" t="s">
        <v>27</v>
      </c>
      <c r="D2659" t="s">
        <v>27</v>
      </c>
      <c r="E2659" s="2">
        <v>45985</v>
      </c>
      <c r="F2659" s="2">
        <v>45985</v>
      </c>
      <c r="G2659" s="3">
        <v>36</v>
      </c>
      <c r="H2659" s="4" t="s">
        <v>28</v>
      </c>
      <c r="I2659">
        <v>42</v>
      </c>
      <c r="J2659">
        <v>9</v>
      </c>
      <c r="K2659">
        <v>0</v>
      </c>
      <c r="L2659" s="3">
        <v>0</v>
      </c>
      <c r="M2659" s="3">
        <v>0</v>
      </c>
      <c r="N2659">
        <v>0</v>
      </c>
      <c r="O2659">
        <v>0</v>
      </c>
      <c r="P2659">
        <v>0</v>
      </c>
      <c r="Q2659">
        <v>0</v>
      </c>
      <c r="R2659" s="3">
        <v>0</v>
      </c>
      <c r="S2659" s="3">
        <v>0</v>
      </c>
      <c r="T2659">
        <v>0</v>
      </c>
      <c r="U2659">
        <v>0</v>
      </c>
      <c r="V2659" s="3">
        <v>0</v>
      </c>
      <c r="W2659" s="3">
        <v>0</v>
      </c>
      <c r="X2659">
        <v>0</v>
      </c>
      <c r="Y2659" t="s">
        <v>2122</v>
      </c>
    </row>
    <row r="2660" spans="1:25" hidden="1" x14ac:dyDescent="0.25">
      <c r="A2660" t="s">
        <v>40</v>
      </c>
      <c r="B2660" t="s">
        <v>137</v>
      </c>
      <c r="C2660" t="s">
        <v>27</v>
      </c>
      <c r="D2660" t="s">
        <v>27</v>
      </c>
      <c r="E2660" s="2">
        <v>45985</v>
      </c>
      <c r="F2660" s="2">
        <v>45985</v>
      </c>
      <c r="G2660" s="3">
        <v>36</v>
      </c>
      <c r="H2660" s="4" t="s">
        <v>28</v>
      </c>
      <c r="I2660">
        <v>80</v>
      </c>
      <c r="J2660">
        <v>0</v>
      </c>
      <c r="K2660">
        <v>0</v>
      </c>
      <c r="L2660" s="3">
        <v>1</v>
      </c>
      <c r="M2660" s="3">
        <v>0</v>
      </c>
      <c r="N2660">
        <v>0</v>
      </c>
      <c r="O2660">
        <v>0</v>
      </c>
      <c r="P2660">
        <v>0</v>
      </c>
      <c r="Q2660">
        <v>15</v>
      </c>
      <c r="R2660" s="3">
        <v>0</v>
      </c>
      <c r="S2660" s="3">
        <v>0</v>
      </c>
      <c r="T2660">
        <v>0</v>
      </c>
      <c r="U2660">
        <v>0</v>
      </c>
      <c r="V2660" s="3">
        <v>0</v>
      </c>
      <c r="W2660" s="3">
        <v>0</v>
      </c>
      <c r="X2660">
        <v>0</v>
      </c>
      <c r="Y2660" t="s">
        <v>2122</v>
      </c>
    </row>
    <row r="2661" spans="1:25" hidden="1" x14ac:dyDescent="0.25">
      <c r="A2661" t="s">
        <v>36</v>
      </c>
      <c r="B2661" t="s">
        <v>137</v>
      </c>
      <c r="C2661" t="s">
        <v>27</v>
      </c>
      <c r="D2661" t="s">
        <v>27</v>
      </c>
      <c r="E2661" s="2">
        <v>45985</v>
      </c>
      <c r="F2661" s="2">
        <v>45985</v>
      </c>
      <c r="G2661" s="3">
        <v>36</v>
      </c>
      <c r="H2661" s="4" t="s">
        <v>28</v>
      </c>
      <c r="I2661">
        <v>80</v>
      </c>
      <c r="J2661">
        <v>0</v>
      </c>
      <c r="K2661">
        <v>0</v>
      </c>
      <c r="L2661" s="3">
        <v>1</v>
      </c>
      <c r="M2661" s="3">
        <v>0</v>
      </c>
      <c r="N2661">
        <v>0</v>
      </c>
      <c r="O2661">
        <v>0</v>
      </c>
      <c r="P2661">
        <v>0</v>
      </c>
      <c r="Q2661">
        <v>15</v>
      </c>
      <c r="R2661" s="3">
        <v>0</v>
      </c>
      <c r="S2661" s="3">
        <v>0</v>
      </c>
      <c r="T2661">
        <v>0</v>
      </c>
      <c r="U2661">
        <v>0</v>
      </c>
      <c r="V2661" s="3">
        <v>0</v>
      </c>
      <c r="W2661" s="3">
        <v>0</v>
      </c>
      <c r="X2661">
        <v>0</v>
      </c>
      <c r="Y2661" t="s">
        <v>2122</v>
      </c>
    </row>
    <row r="2662" spans="1:25" hidden="1" x14ac:dyDescent="0.25">
      <c r="A2662" t="s">
        <v>49</v>
      </c>
      <c r="B2662" t="s">
        <v>118</v>
      </c>
      <c r="C2662" t="s">
        <v>50</v>
      </c>
      <c r="D2662" t="s">
        <v>27</v>
      </c>
      <c r="E2662" s="2">
        <v>45985</v>
      </c>
      <c r="F2662" s="2">
        <v>45985</v>
      </c>
      <c r="G2662" s="3">
        <v>58</v>
      </c>
      <c r="H2662" s="4" t="s">
        <v>28</v>
      </c>
      <c r="I2662">
        <v>30</v>
      </c>
      <c r="J2662">
        <v>0</v>
      </c>
      <c r="K2662">
        <v>0</v>
      </c>
      <c r="L2662" s="3">
        <v>1</v>
      </c>
      <c r="M2662" s="3">
        <v>1</v>
      </c>
      <c r="N2662">
        <v>0</v>
      </c>
      <c r="O2662">
        <v>0</v>
      </c>
      <c r="P2662">
        <v>0</v>
      </c>
      <c r="Q2662">
        <v>30</v>
      </c>
      <c r="R2662" s="3">
        <v>0</v>
      </c>
      <c r="S2662" s="3">
        <v>0</v>
      </c>
      <c r="T2662">
        <v>0</v>
      </c>
      <c r="U2662">
        <v>0</v>
      </c>
      <c r="V2662" s="3">
        <v>0</v>
      </c>
      <c r="W2662" s="3">
        <v>0</v>
      </c>
      <c r="X2662">
        <v>0</v>
      </c>
      <c r="Y2662" t="s">
        <v>2123</v>
      </c>
    </row>
    <row r="2663" spans="1:25" hidden="1" x14ac:dyDescent="0.25">
      <c r="A2663" t="s">
        <v>51</v>
      </c>
      <c r="B2663" t="s">
        <v>120</v>
      </c>
      <c r="C2663" t="s">
        <v>55</v>
      </c>
      <c r="D2663" t="s">
        <v>27</v>
      </c>
      <c r="E2663" s="2">
        <v>45985</v>
      </c>
      <c r="F2663" s="2">
        <v>45985</v>
      </c>
      <c r="G2663" s="3">
        <v>65</v>
      </c>
      <c r="H2663" s="4" t="s">
        <v>28</v>
      </c>
      <c r="I2663">
        <v>42</v>
      </c>
      <c r="J2663">
        <v>0</v>
      </c>
      <c r="K2663">
        <v>0</v>
      </c>
      <c r="L2663" s="3">
        <v>1</v>
      </c>
      <c r="M2663" s="3">
        <v>0</v>
      </c>
      <c r="N2663">
        <v>1</v>
      </c>
      <c r="O2663">
        <v>0</v>
      </c>
      <c r="P2663">
        <v>0</v>
      </c>
      <c r="Q2663">
        <v>0</v>
      </c>
      <c r="R2663" s="3">
        <v>0</v>
      </c>
      <c r="S2663" s="3">
        <v>0</v>
      </c>
      <c r="T2663">
        <v>0</v>
      </c>
      <c r="U2663">
        <v>0</v>
      </c>
      <c r="V2663" s="3">
        <v>0</v>
      </c>
      <c r="W2663" s="3">
        <v>0</v>
      </c>
      <c r="X2663">
        <v>0</v>
      </c>
      <c r="Y2663" t="s">
        <v>2124</v>
      </c>
    </row>
    <row r="2664" spans="1:25" hidden="1" x14ac:dyDescent="0.25">
      <c r="A2664" t="s">
        <v>54</v>
      </c>
      <c r="B2664" t="s">
        <v>122</v>
      </c>
      <c r="C2664" t="s">
        <v>52</v>
      </c>
      <c r="D2664" t="s">
        <v>27</v>
      </c>
      <c r="E2664" s="2">
        <v>45985</v>
      </c>
      <c r="F2664" s="2">
        <v>45985</v>
      </c>
      <c r="G2664" s="3">
        <v>36</v>
      </c>
      <c r="H2664" s="4" t="s">
        <v>28</v>
      </c>
      <c r="I2664">
        <v>43</v>
      </c>
      <c r="J2664">
        <v>0</v>
      </c>
      <c r="K2664">
        <v>0</v>
      </c>
      <c r="L2664" s="3">
        <v>0</v>
      </c>
      <c r="M2664" s="3">
        <v>0</v>
      </c>
      <c r="N2664">
        <v>0</v>
      </c>
      <c r="O2664">
        <v>0</v>
      </c>
      <c r="P2664">
        <v>0</v>
      </c>
      <c r="Q2664">
        <v>2</v>
      </c>
      <c r="R2664" s="3">
        <v>0</v>
      </c>
      <c r="S2664" s="3">
        <v>0</v>
      </c>
      <c r="T2664">
        <v>0</v>
      </c>
      <c r="U2664">
        <v>0</v>
      </c>
      <c r="V2664" s="3">
        <v>0</v>
      </c>
      <c r="W2664" s="3">
        <v>0</v>
      </c>
      <c r="X2664">
        <v>0</v>
      </c>
      <c r="Y2664" t="s">
        <v>2125</v>
      </c>
    </row>
    <row r="2665" spans="1:25" hidden="1" x14ac:dyDescent="0.25">
      <c r="A2665" t="s">
        <v>58</v>
      </c>
      <c r="B2665" t="s">
        <v>144</v>
      </c>
      <c r="C2665" t="s">
        <v>489</v>
      </c>
      <c r="D2665" t="s">
        <v>27</v>
      </c>
      <c r="E2665" s="2">
        <v>45985</v>
      </c>
      <c r="F2665" s="2">
        <v>45985</v>
      </c>
      <c r="G2665" s="3">
        <v>28</v>
      </c>
      <c r="H2665" s="4" t="s">
        <v>28</v>
      </c>
      <c r="I2665">
        <v>95</v>
      </c>
      <c r="J2665">
        <v>0</v>
      </c>
      <c r="K2665">
        <v>0</v>
      </c>
      <c r="L2665" s="3">
        <v>1</v>
      </c>
      <c r="M2665" s="3">
        <v>0</v>
      </c>
      <c r="N2665">
        <v>0</v>
      </c>
      <c r="O2665">
        <v>0</v>
      </c>
      <c r="P2665">
        <v>0</v>
      </c>
      <c r="Q2665">
        <v>0</v>
      </c>
      <c r="R2665" s="3">
        <v>0</v>
      </c>
      <c r="S2665" s="3">
        <v>0</v>
      </c>
      <c r="T2665">
        <v>0</v>
      </c>
      <c r="U2665">
        <v>0</v>
      </c>
      <c r="V2665" s="3">
        <v>0</v>
      </c>
      <c r="W2665" s="3">
        <v>0</v>
      </c>
      <c r="X2665">
        <v>0</v>
      </c>
      <c r="Y2665" t="s">
        <v>2127</v>
      </c>
    </row>
    <row r="2666" spans="1:25" hidden="1" x14ac:dyDescent="0.25">
      <c r="A2666" t="s">
        <v>27</v>
      </c>
      <c r="B2666" t="s">
        <v>106</v>
      </c>
      <c r="C2666" t="s">
        <v>46</v>
      </c>
      <c r="D2666" t="s">
        <v>27</v>
      </c>
      <c r="E2666" s="2">
        <v>45985</v>
      </c>
      <c r="F2666" s="2">
        <v>45985</v>
      </c>
      <c r="G2666" s="3">
        <v>29</v>
      </c>
      <c r="H2666" s="4" t="s">
        <v>1256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5" hidden="1" x14ac:dyDescent="0.25">
      <c r="A2667" t="s">
        <v>27</v>
      </c>
      <c r="B2667" t="s">
        <v>182</v>
      </c>
      <c r="C2667" t="s">
        <v>95</v>
      </c>
      <c r="D2667" t="s">
        <v>27</v>
      </c>
      <c r="E2667" s="2">
        <v>45985</v>
      </c>
      <c r="F2667" s="2">
        <v>45985</v>
      </c>
      <c r="G2667" s="3">
        <v>30</v>
      </c>
      <c r="H2667" s="4" t="s">
        <v>1448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5" hidden="1" x14ac:dyDescent="0.25">
      <c r="A2668" t="s">
        <v>25</v>
      </c>
      <c r="B2668" t="s">
        <v>96</v>
      </c>
      <c r="C2668" t="s">
        <v>26</v>
      </c>
      <c r="D2668" t="s">
        <v>27</v>
      </c>
      <c r="E2668" s="2">
        <v>45986</v>
      </c>
      <c r="F2668" s="2">
        <v>45986</v>
      </c>
      <c r="G2668" s="3">
        <v>32</v>
      </c>
      <c r="H2668" s="4" t="s">
        <v>28</v>
      </c>
      <c r="I2668">
        <v>51</v>
      </c>
      <c r="J2668">
        <v>0</v>
      </c>
      <c r="K2668">
        <v>0</v>
      </c>
      <c r="L2668" s="3">
        <v>1</v>
      </c>
      <c r="M2668" s="3">
        <v>0</v>
      </c>
      <c r="N2668">
        <v>1</v>
      </c>
      <c r="O2668">
        <v>0</v>
      </c>
      <c r="P2668">
        <v>0</v>
      </c>
      <c r="Q2668">
        <v>0</v>
      </c>
      <c r="R2668" s="3">
        <v>0</v>
      </c>
      <c r="S2668" s="3">
        <v>0</v>
      </c>
      <c r="T2668">
        <v>0</v>
      </c>
      <c r="U2668">
        <v>0</v>
      </c>
      <c r="V2668" s="3">
        <v>0</v>
      </c>
      <c r="W2668" s="3">
        <v>0</v>
      </c>
      <c r="X2668">
        <v>0</v>
      </c>
      <c r="Y2668" t="s">
        <v>2128</v>
      </c>
    </row>
    <row r="2669" spans="1:25" hidden="1" x14ac:dyDescent="0.25">
      <c r="A2669" t="s">
        <v>29</v>
      </c>
      <c r="B2669" t="s">
        <v>100</v>
      </c>
      <c r="C2669" t="s">
        <v>95</v>
      </c>
      <c r="D2669" t="s">
        <v>27</v>
      </c>
      <c r="E2669" s="2">
        <v>45986</v>
      </c>
      <c r="F2669" s="2">
        <v>45986</v>
      </c>
      <c r="G2669" s="3">
        <v>33</v>
      </c>
      <c r="H2669" s="4" t="s">
        <v>28</v>
      </c>
      <c r="I2669">
        <v>51</v>
      </c>
      <c r="J2669">
        <v>0</v>
      </c>
      <c r="K2669">
        <v>0</v>
      </c>
      <c r="L2669" s="3">
        <v>0</v>
      </c>
      <c r="M2669" s="3">
        <v>0</v>
      </c>
      <c r="N2669">
        <v>0</v>
      </c>
      <c r="O2669">
        <v>0</v>
      </c>
      <c r="P2669">
        <v>0</v>
      </c>
      <c r="Q2669">
        <v>15</v>
      </c>
      <c r="R2669" s="3">
        <v>0</v>
      </c>
      <c r="S2669" s="3">
        <v>0</v>
      </c>
      <c r="T2669">
        <v>0</v>
      </c>
      <c r="U2669">
        <v>0</v>
      </c>
      <c r="V2669" s="3">
        <v>0</v>
      </c>
      <c r="W2669" s="3">
        <v>0</v>
      </c>
      <c r="X2669">
        <v>0</v>
      </c>
      <c r="Y2669" t="s">
        <v>2129</v>
      </c>
    </row>
    <row r="2670" spans="1:25" hidden="1" x14ac:dyDescent="0.25">
      <c r="A2670" t="s">
        <v>344</v>
      </c>
      <c r="B2670" t="s">
        <v>100</v>
      </c>
      <c r="C2670" t="s">
        <v>35</v>
      </c>
      <c r="D2670" t="s">
        <v>27</v>
      </c>
      <c r="E2670" s="2">
        <v>45986</v>
      </c>
      <c r="F2670" s="2">
        <v>45986</v>
      </c>
      <c r="G2670" s="3">
        <v>47</v>
      </c>
      <c r="H2670" s="4" t="s">
        <v>28</v>
      </c>
      <c r="I2670">
        <v>52</v>
      </c>
      <c r="J2670">
        <v>0</v>
      </c>
      <c r="K2670">
        <v>0</v>
      </c>
      <c r="L2670" s="3">
        <v>0</v>
      </c>
      <c r="M2670" s="3">
        <v>0</v>
      </c>
      <c r="N2670">
        <v>0</v>
      </c>
      <c r="O2670">
        <v>0</v>
      </c>
      <c r="P2670">
        <v>0</v>
      </c>
      <c r="Q2670">
        <v>0</v>
      </c>
      <c r="R2670" s="3">
        <v>0</v>
      </c>
      <c r="S2670" s="3">
        <v>0</v>
      </c>
      <c r="T2670">
        <v>0</v>
      </c>
      <c r="U2670">
        <v>0</v>
      </c>
      <c r="V2670" s="3">
        <v>0</v>
      </c>
      <c r="W2670" s="3">
        <v>0</v>
      </c>
      <c r="X2670">
        <v>0</v>
      </c>
      <c r="Y2670" t="s">
        <v>2111</v>
      </c>
    </row>
    <row r="2671" spans="1:25" hidden="1" x14ac:dyDescent="0.25">
      <c r="A2671" t="s">
        <v>31</v>
      </c>
      <c r="B2671" t="s">
        <v>104</v>
      </c>
      <c r="C2671" t="s">
        <v>32</v>
      </c>
      <c r="D2671" t="s">
        <v>27</v>
      </c>
      <c r="E2671" s="2">
        <v>45986</v>
      </c>
      <c r="F2671" s="2">
        <v>45986</v>
      </c>
      <c r="G2671" s="3">
        <v>86</v>
      </c>
      <c r="H2671" s="4" t="s">
        <v>28</v>
      </c>
      <c r="I2671">
        <v>50</v>
      </c>
      <c r="J2671">
        <v>0</v>
      </c>
      <c r="K2671">
        <v>0</v>
      </c>
      <c r="L2671" s="3">
        <v>0</v>
      </c>
      <c r="M2671" s="3">
        <v>0</v>
      </c>
      <c r="N2671">
        <v>0</v>
      </c>
      <c r="O2671">
        <v>0</v>
      </c>
      <c r="P2671">
        <v>0</v>
      </c>
      <c r="Q2671">
        <v>35</v>
      </c>
      <c r="R2671" s="3">
        <v>0</v>
      </c>
      <c r="S2671" s="3">
        <v>0</v>
      </c>
      <c r="T2671">
        <v>0</v>
      </c>
      <c r="U2671">
        <v>0</v>
      </c>
      <c r="V2671" s="3">
        <v>0</v>
      </c>
      <c r="W2671" s="3">
        <v>0</v>
      </c>
      <c r="X2671">
        <v>0</v>
      </c>
      <c r="Y2671" t="s">
        <v>2130</v>
      </c>
    </row>
    <row r="2672" spans="1:25" hidden="1" x14ac:dyDescent="0.25">
      <c r="A2672" t="s">
        <v>38</v>
      </c>
      <c r="B2672" t="s">
        <v>108</v>
      </c>
      <c r="C2672" t="s">
        <v>27</v>
      </c>
      <c r="D2672" t="s">
        <v>27</v>
      </c>
      <c r="E2672" s="2">
        <v>45986</v>
      </c>
      <c r="F2672" s="2">
        <v>45986</v>
      </c>
      <c r="G2672" s="3">
        <v>35</v>
      </c>
      <c r="H2672" s="4" t="s">
        <v>28</v>
      </c>
      <c r="I2672">
        <v>44</v>
      </c>
      <c r="J2672">
        <v>0</v>
      </c>
      <c r="K2672">
        <v>0</v>
      </c>
      <c r="L2672" s="3">
        <v>0</v>
      </c>
      <c r="M2672" s="3">
        <v>0</v>
      </c>
      <c r="N2672">
        <v>0</v>
      </c>
      <c r="O2672">
        <v>0</v>
      </c>
      <c r="P2672">
        <v>0</v>
      </c>
      <c r="Q2672">
        <v>44</v>
      </c>
      <c r="R2672" s="3">
        <v>0</v>
      </c>
      <c r="S2672" s="3">
        <v>0</v>
      </c>
      <c r="T2672">
        <v>0</v>
      </c>
      <c r="U2672">
        <v>0</v>
      </c>
      <c r="V2672" s="3">
        <v>0</v>
      </c>
      <c r="W2672" s="3">
        <v>0</v>
      </c>
      <c r="X2672">
        <v>0</v>
      </c>
      <c r="Y2672" t="s">
        <v>2131</v>
      </c>
    </row>
    <row r="2673" spans="1:25" hidden="1" x14ac:dyDescent="0.25">
      <c r="A2673" t="s">
        <v>40</v>
      </c>
      <c r="B2673" t="s">
        <v>110</v>
      </c>
      <c r="C2673" t="s">
        <v>27</v>
      </c>
      <c r="D2673" t="s">
        <v>27</v>
      </c>
      <c r="E2673" s="2">
        <v>45986</v>
      </c>
      <c r="F2673" s="2">
        <v>45986</v>
      </c>
      <c r="G2673" s="3">
        <v>100</v>
      </c>
      <c r="H2673" s="4" t="s">
        <v>28</v>
      </c>
      <c r="I2673">
        <v>64</v>
      </c>
      <c r="J2673">
        <v>0</v>
      </c>
      <c r="K2673">
        <v>0</v>
      </c>
      <c r="L2673" s="3">
        <v>1</v>
      </c>
      <c r="M2673" s="3">
        <v>0</v>
      </c>
      <c r="N2673">
        <v>1</v>
      </c>
      <c r="O2673">
        <v>0</v>
      </c>
      <c r="P2673">
        <v>0</v>
      </c>
      <c r="Q2673">
        <v>30</v>
      </c>
      <c r="R2673" s="3">
        <v>0</v>
      </c>
      <c r="S2673" s="3">
        <v>0</v>
      </c>
      <c r="T2673">
        <v>0</v>
      </c>
      <c r="U2673">
        <v>0</v>
      </c>
      <c r="V2673" s="3">
        <v>0</v>
      </c>
      <c r="W2673" s="3">
        <v>0</v>
      </c>
      <c r="X2673">
        <v>0</v>
      </c>
      <c r="Y2673" t="s">
        <v>2132</v>
      </c>
    </row>
    <row r="2674" spans="1:25" hidden="1" x14ac:dyDescent="0.25">
      <c r="A2674" t="s">
        <v>36</v>
      </c>
      <c r="B2674" t="s">
        <v>110</v>
      </c>
      <c r="C2674" t="s">
        <v>27</v>
      </c>
      <c r="D2674" t="s">
        <v>27</v>
      </c>
      <c r="E2674" s="2">
        <v>45986</v>
      </c>
      <c r="F2674" s="2">
        <v>45986</v>
      </c>
      <c r="G2674" s="3">
        <v>100</v>
      </c>
      <c r="H2674" s="4" t="s">
        <v>28</v>
      </c>
      <c r="I2674">
        <v>64</v>
      </c>
      <c r="J2674">
        <v>0</v>
      </c>
      <c r="K2674">
        <v>0</v>
      </c>
      <c r="L2674" s="3">
        <v>1</v>
      </c>
      <c r="M2674" s="3">
        <v>0</v>
      </c>
      <c r="N2674">
        <v>1</v>
      </c>
      <c r="O2674">
        <v>0</v>
      </c>
      <c r="P2674">
        <v>0</v>
      </c>
      <c r="Q2674">
        <v>30</v>
      </c>
      <c r="R2674" s="3">
        <v>0</v>
      </c>
      <c r="S2674" s="3">
        <v>0</v>
      </c>
      <c r="T2674">
        <v>0</v>
      </c>
      <c r="U2674">
        <v>0</v>
      </c>
      <c r="V2674" s="3">
        <v>0</v>
      </c>
      <c r="W2674" s="3">
        <v>0</v>
      </c>
      <c r="X2674">
        <v>0</v>
      </c>
      <c r="Y2674" t="s">
        <v>2132</v>
      </c>
    </row>
    <row r="2675" spans="1:25" hidden="1" x14ac:dyDescent="0.25">
      <c r="A2675" t="s">
        <v>1454</v>
      </c>
      <c r="B2675" t="s">
        <v>1455</v>
      </c>
      <c r="C2675" t="s">
        <v>27</v>
      </c>
      <c r="D2675" t="s">
        <v>27</v>
      </c>
      <c r="E2675" s="2">
        <v>45986</v>
      </c>
      <c r="F2675" s="2">
        <v>45986</v>
      </c>
      <c r="G2675" s="3">
        <v>39</v>
      </c>
      <c r="H2675" s="4" t="s">
        <v>28</v>
      </c>
      <c r="I2675">
        <v>30</v>
      </c>
      <c r="J2675">
        <v>0</v>
      </c>
      <c r="K2675">
        <v>0</v>
      </c>
      <c r="L2675" s="3">
        <v>1</v>
      </c>
      <c r="M2675" s="3">
        <v>0</v>
      </c>
      <c r="N2675">
        <v>0</v>
      </c>
      <c r="O2675">
        <v>0</v>
      </c>
      <c r="P2675">
        <v>0</v>
      </c>
      <c r="Q2675">
        <v>30</v>
      </c>
      <c r="R2675" s="3">
        <v>0</v>
      </c>
      <c r="S2675" s="3">
        <v>0</v>
      </c>
      <c r="T2675">
        <v>0</v>
      </c>
      <c r="U2675">
        <v>0</v>
      </c>
      <c r="V2675" s="3">
        <v>0</v>
      </c>
      <c r="W2675" s="3">
        <v>0</v>
      </c>
      <c r="X2675">
        <v>0</v>
      </c>
      <c r="Y2675" t="s">
        <v>2133</v>
      </c>
    </row>
    <row r="2676" spans="1:25" hidden="1" x14ac:dyDescent="0.25">
      <c r="A2676" t="s">
        <v>41</v>
      </c>
      <c r="B2676" t="s">
        <v>112</v>
      </c>
      <c r="C2676" t="s">
        <v>42</v>
      </c>
      <c r="D2676" t="s">
        <v>27</v>
      </c>
      <c r="E2676" s="2">
        <v>45986</v>
      </c>
      <c r="F2676" s="2">
        <v>45986</v>
      </c>
      <c r="G2676" s="3">
        <v>27</v>
      </c>
      <c r="H2676" s="4" t="s">
        <v>28</v>
      </c>
      <c r="I2676">
        <v>41</v>
      </c>
      <c r="J2676">
        <v>0</v>
      </c>
      <c r="K2676">
        <v>0</v>
      </c>
      <c r="L2676" s="3">
        <v>1</v>
      </c>
      <c r="M2676" s="3">
        <v>0</v>
      </c>
      <c r="N2676">
        <v>0</v>
      </c>
      <c r="O2676">
        <v>0</v>
      </c>
      <c r="P2676">
        <v>0</v>
      </c>
      <c r="Q2676">
        <v>1</v>
      </c>
      <c r="R2676" s="3">
        <v>0</v>
      </c>
      <c r="S2676" s="3">
        <v>0</v>
      </c>
      <c r="T2676">
        <v>0</v>
      </c>
      <c r="U2676">
        <v>0</v>
      </c>
      <c r="V2676" s="3">
        <v>0</v>
      </c>
      <c r="W2676" s="3">
        <v>0</v>
      </c>
      <c r="X2676">
        <v>0</v>
      </c>
      <c r="Y2676" t="s">
        <v>2134</v>
      </c>
    </row>
    <row r="2677" spans="1:25" hidden="1" x14ac:dyDescent="0.25">
      <c r="A2677" t="s">
        <v>43</v>
      </c>
      <c r="B2677" t="s">
        <v>114</v>
      </c>
      <c r="C2677" t="s">
        <v>57</v>
      </c>
      <c r="D2677" t="s">
        <v>27</v>
      </c>
      <c r="E2677" s="2">
        <v>45986</v>
      </c>
      <c r="F2677" s="2">
        <v>45986</v>
      </c>
      <c r="G2677" s="3">
        <v>32</v>
      </c>
      <c r="H2677" s="4" t="s">
        <v>28</v>
      </c>
      <c r="I2677">
        <v>55</v>
      </c>
      <c r="J2677">
        <v>0</v>
      </c>
      <c r="K2677">
        <v>0</v>
      </c>
      <c r="L2677" s="3">
        <v>1</v>
      </c>
      <c r="M2677" s="3">
        <v>0</v>
      </c>
      <c r="N2677">
        <v>0</v>
      </c>
      <c r="O2677">
        <v>0</v>
      </c>
      <c r="P2677">
        <v>0</v>
      </c>
      <c r="Q2677">
        <v>0</v>
      </c>
      <c r="R2677" s="3">
        <v>0</v>
      </c>
      <c r="S2677" s="3">
        <v>0</v>
      </c>
      <c r="T2677">
        <v>0</v>
      </c>
      <c r="U2677">
        <v>0</v>
      </c>
      <c r="V2677" s="3">
        <v>0</v>
      </c>
      <c r="W2677" s="3">
        <v>0</v>
      </c>
      <c r="X2677">
        <v>0</v>
      </c>
      <c r="Y2677" t="s">
        <v>2135</v>
      </c>
    </row>
    <row r="2678" spans="1:25" hidden="1" x14ac:dyDescent="0.25">
      <c r="A2678" t="s">
        <v>2118</v>
      </c>
      <c r="B2678" t="s">
        <v>2119</v>
      </c>
      <c r="C2678" t="s">
        <v>27</v>
      </c>
      <c r="D2678" t="s">
        <v>27</v>
      </c>
      <c r="E2678" s="2">
        <v>45986</v>
      </c>
      <c r="F2678" s="2">
        <v>45986</v>
      </c>
      <c r="G2678" s="3">
        <v>35</v>
      </c>
      <c r="H2678" s="4" t="s">
        <v>28</v>
      </c>
      <c r="I2678">
        <v>29</v>
      </c>
      <c r="J2678">
        <v>0</v>
      </c>
      <c r="K2678">
        <v>0</v>
      </c>
      <c r="L2678" s="3">
        <v>1</v>
      </c>
      <c r="M2678" s="3">
        <v>0</v>
      </c>
      <c r="N2678">
        <v>0</v>
      </c>
      <c r="O2678">
        <v>0</v>
      </c>
      <c r="P2678">
        <v>0</v>
      </c>
      <c r="Q2678">
        <v>29</v>
      </c>
      <c r="R2678" s="3">
        <v>0</v>
      </c>
      <c r="S2678" s="3">
        <v>0</v>
      </c>
      <c r="T2678">
        <v>0</v>
      </c>
      <c r="U2678">
        <v>0</v>
      </c>
      <c r="V2678" s="3">
        <v>0</v>
      </c>
      <c r="W2678" s="3">
        <v>0</v>
      </c>
      <c r="X2678">
        <v>0</v>
      </c>
      <c r="Y2678" t="s">
        <v>2136</v>
      </c>
    </row>
    <row r="2679" spans="1:25" hidden="1" x14ac:dyDescent="0.25">
      <c r="A2679" t="s">
        <v>45</v>
      </c>
      <c r="B2679" t="s">
        <v>116</v>
      </c>
      <c r="C2679" t="s">
        <v>27</v>
      </c>
      <c r="D2679" t="s">
        <v>27</v>
      </c>
      <c r="E2679" s="2">
        <v>45986</v>
      </c>
      <c r="F2679" s="2">
        <v>45986</v>
      </c>
      <c r="G2679" s="3">
        <v>40</v>
      </c>
      <c r="H2679" s="4" t="s">
        <v>28</v>
      </c>
      <c r="I2679">
        <v>42</v>
      </c>
      <c r="J2679">
        <v>0</v>
      </c>
      <c r="K2679">
        <v>0</v>
      </c>
      <c r="L2679" s="3">
        <v>0</v>
      </c>
      <c r="M2679" s="3">
        <v>0</v>
      </c>
      <c r="N2679">
        <v>0</v>
      </c>
      <c r="O2679">
        <v>0</v>
      </c>
      <c r="P2679">
        <v>0</v>
      </c>
      <c r="Q2679">
        <v>0</v>
      </c>
      <c r="R2679" s="3">
        <v>0</v>
      </c>
      <c r="S2679" s="3">
        <v>0</v>
      </c>
      <c r="T2679">
        <v>0</v>
      </c>
      <c r="U2679">
        <v>0</v>
      </c>
      <c r="V2679" s="3">
        <v>0</v>
      </c>
      <c r="W2679" s="3">
        <v>0</v>
      </c>
      <c r="X2679">
        <v>0</v>
      </c>
      <c r="Y2679" t="s">
        <v>2137</v>
      </c>
    </row>
    <row r="2680" spans="1:25" hidden="1" x14ac:dyDescent="0.25">
      <c r="A2680" t="s">
        <v>48</v>
      </c>
      <c r="B2680" t="s">
        <v>116</v>
      </c>
      <c r="C2680" t="s">
        <v>27</v>
      </c>
      <c r="D2680" t="s">
        <v>27</v>
      </c>
      <c r="E2680" s="2">
        <v>45986</v>
      </c>
      <c r="F2680" s="2">
        <v>45986</v>
      </c>
      <c r="G2680" s="3">
        <v>40</v>
      </c>
      <c r="H2680" s="4" t="s">
        <v>28</v>
      </c>
      <c r="I2680">
        <v>42</v>
      </c>
      <c r="J2680">
        <v>0</v>
      </c>
      <c r="K2680">
        <v>0</v>
      </c>
      <c r="L2680" s="3">
        <v>0</v>
      </c>
      <c r="M2680" s="3">
        <v>0</v>
      </c>
      <c r="N2680">
        <v>0</v>
      </c>
      <c r="O2680">
        <v>0</v>
      </c>
      <c r="P2680">
        <v>0</v>
      </c>
      <c r="Q2680">
        <v>0</v>
      </c>
      <c r="R2680" s="3">
        <v>0</v>
      </c>
      <c r="S2680" s="3">
        <v>0</v>
      </c>
      <c r="T2680">
        <v>0</v>
      </c>
      <c r="U2680">
        <v>0</v>
      </c>
      <c r="V2680" s="3">
        <v>0</v>
      </c>
      <c r="W2680" s="3">
        <v>0</v>
      </c>
      <c r="X2680">
        <v>0</v>
      </c>
      <c r="Y2680" t="s">
        <v>2137</v>
      </c>
    </row>
    <row r="2681" spans="1:25" hidden="1" x14ac:dyDescent="0.25">
      <c r="A2681" t="s">
        <v>47</v>
      </c>
      <c r="B2681" t="s">
        <v>137</v>
      </c>
      <c r="C2681" t="s">
        <v>27</v>
      </c>
      <c r="D2681" t="s">
        <v>27</v>
      </c>
      <c r="E2681" s="2">
        <v>45986</v>
      </c>
      <c r="F2681" s="2">
        <v>45986</v>
      </c>
      <c r="G2681" s="3">
        <v>40</v>
      </c>
      <c r="H2681" s="4" t="s">
        <v>28</v>
      </c>
      <c r="I2681">
        <v>55</v>
      </c>
      <c r="J2681">
        <v>0</v>
      </c>
      <c r="K2681">
        <v>0</v>
      </c>
      <c r="L2681" s="3">
        <v>0</v>
      </c>
      <c r="M2681" s="3">
        <v>0</v>
      </c>
      <c r="N2681">
        <v>0</v>
      </c>
      <c r="O2681">
        <v>0</v>
      </c>
      <c r="P2681">
        <v>0</v>
      </c>
      <c r="Q2681">
        <v>0</v>
      </c>
      <c r="R2681" s="3">
        <v>0</v>
      </c>
      <c r="S2681" s="3">
        <v>0</v>
      </c>
      <c r="T2681">
        <v>0</v>
      </c>
      <c r="U2681">
        <v>0</v>
      </c>
      <c r="V2681" s="3">
        <v>0</v>
      </c>
      <c r="W2681" s="3">
        <v>0</v>
      </c>
      <c r="X2681">
        <v>0</v>
      </c>
      <c r="Y2681" t="s">
        <v>2138</v>
      </c>
    </row>
    <row r="2682" spans="1:25" hidden="1" x14ac:dyDescent="0.25">
      <c r="A2682" t="s">
        <v>34</v>
      </c>
      <c r="B2682" t="s">
        <v>137</v>
      </c>
      <c r="C2682" t="s">
        <v>27</v>
      </c>
      <c r="D2682" t="s">
        <v>27</v>
      </c>
      <c r="E2682" s="2">
        <v>45986</v>
      </c>
      <c r="F2682" s="2">
        <v>45986</v>
      </c>
      <c r="G2682" s="3">
        <v>40</v>
      </c>
      <c r="H2682" s="4" t="s">
        <v>28</v>
      </c>
      <c r="I2682">
        <v>55</v>
      </c>
      <c r="J2682">
        <v>0</v>
      </c>
      <c r="K2682">
        <v>0</v>
      </c>
      <c r="L2682" s="3">
        <v>0</v>
      </c>
      <c r="M2682" s="3">
        <v>0</v>
      </c>
      <c r="N2682">
        <v>0</v>
      </c>
      <c r="O2682">
        <v>0</v>
      </c>
      <c r="P2682">
        <v>0</v>
      </c>
      <c r="Q2682">
        <v>0</v>
      </c>
      <c r="R2682" s="3">
        <v>0</v>
      </c>
      <c r="S2682" s="3">
        <v>0</v>
      </c>
      <c r="T2682">
        <v>0</v>
      </c>
      <c r="U2682">
        <v>0</v>
      </c>
      <c r="V2682" s="3">
        <v>0</v>
      </c>
      <c r="W2682" s="3">
        <v>0</v>
      </c>
      <c r="X2682">
        <v>0</v>
      </c>
      <c r="Y2682" t="s">
        <v>2138</v>
      </c>
    </row>
    <row r="2683" spans="1:25" hidden="1" x14ac:dyDescent="0.25">
      <c r="A2683" t="s">
        <v>49</v>
      </c>
      <c r="B2683" t="s">
        <v>118</v>
      </c>
      <c r="C2683" t="s">
        <v>50</v>
      </c>
      <c r="D2683" t="s">
        <v>27</v>
      </c>
      <c r="E2683" s="2">
        <v>45986</v>
      </c>
      <c r="F2683" s="2">
        <v>45986</v>
      </c>
      <c r="G2683" s="3">
        <v>22</v>
      </c>
      <c r="H2683" s="4" t="s">
        <v>28</v>
      </c>
      <c r="I2683">
        <v>55</v>
      </c>
      <c r="J2683">
        <v>0</v>
      </c>
      <c r="K2683">
        <v>0</v>
      </c>
      <c r="L2683" s="3">
        <v>1</v>
      </c>
      <c r="M2683" s="3">
        <v>1</v>
      </c>
      <c r="N2683">
        <v>0</v>
      </c>
      <c r="O2683">
        <v>1</v>
      </c>
      <c r="P2683">
        <v>0</v>
      </c>
      <c r="Q2683">
        <v>55</v>
      </c>
      <c r="R2683" s="3">
        <v>0</v>
      </c>
      <c r="S2683" s="3">
        <v>0</v>
      </c>
      <c r="T2683">
        <v>0</v>
      </c>
      <c r="U2683">
        <v>0</v>
      </c>
      <c r="V2683" s="3">
        <v>0</v>
      </c>
      <c r="W2683" s="3">
        <v>0</v>
      </c>
      <c r="X2683">
        <v>0</v>
      </c>
      <c r="Y2683" t="s">
        <v>2139</v>
      </c>
    </row>
    <row r="2684" spans="1:25" hidden="1" x14ac:dyDescent="0.25">
      <c r="A2684" t="s">
        <v>51</v>
      </c>
      <c r="B2684" t="s">
        <v>120</v>
      </c>
      <c r="C2684" t="s">
        <v>37</v>
      </c>
      <c r="D2684" t="s">
        <v>27</v>
      </c>
      <c r="E2684" s="2">
        <v>45986</v>
      </c>
      <c r="F2684" s="2">
        <v>45986</v>
      </c>
      <c r="G2684" s="3">
        <v>21</v>
      </c>
      <c r="H2684" s="4" t="s">
        <v>28</v>
      </c>
      <c r="I2684">
        <v>35</v>
      </c>
      <c r="J2684">
        <v>0</v>
      </c>
      <c r="K2684">
        <v>0</v>
      </c>
      <c r="L2684" s="3">
        <v>0</v>
      </c>
      <c r="M2684" s="3">
        <v>0</v>
      </c>
      <c r="N2684">
        <v>0</v>
      </c>
      <c r="O2684">
        <v>0</v>
      </c>
      <c r="P2684">
        <v>0</v>
      </c>
      <c r="Q2684">
        <v>0</v>
      </c>
      <c r="R2684" s="3">
        <v>0</v>
      </c>
      <c r="S2684" s="3">
        <v>0</v>
      </c>
      <c r="T2684">
        <v>0</v>
      </c>
      <c r="U2684">
        <v>0</v>
      </c>
      <c r="V2684" s="3">
        <v>0</v>
      </c>
      <c r="W2684" s="3">
        <v>0</v>
      </c>
      <c r="X2684">
        <v>0</v>
      </c>
      <c r="Y2684" t="s">
        <v>2140</v>
      </c>
    </row>
    <row r="2685" spans="1:25" hidden="1" x14ac:dyDescent="0.25">
      <c r="A2685" t="s">
        <v>54</v>
      </c>
      <c r="B2685" t="s">
        <v>122</v>
      </c>
      <c r="C2685" t="s">
        <v>52</v>
      </c>
      <c r="D2685" t="s">
        <v>27</v>
      </c>
      <c r="E2685" s="2">
        <v>45986</v>
      </c>
      <c r="F2685" s="2">
        <v>45986</v>
      </c>
      <c r="G2685" s="3">
        <v>73</v>
      </c>
      <c r="H2685" s="4" t="s">
        <v>28</v>
      </c>
      <c r="I2685">
        <v>45</v>
      </c>
      <c r="J2685">
        <v>0</v>
      </c>
      <c r="K2685">
        <v>0</v>
      </c>
      <c r="L2685" s="3">
        <v>0</v>
      </c>
      <c r="M2685" s="3">
        <v>0</v>
      </c>
      <c r="N2685">
        <v>0</v>
      </c>
      <c r="O2685">
        <v>0</v>
      </c>
      <c r="P2685">
        <v>0</v>
      </c>
      <c r="Q2685">
        <v>2</v>
      </c>
      <c r="R2685" s="3">
        <v>0</v>
      </c>
      <c r="S2685" s="3">
        <v>0</v>
      </c>
      <c r="T2685">
        <v>0</v>
      </c>
      <c r="U2685">
        <v>0</v>
      </c>
      <c r="V2685" s="3">
        <v>0</v>
      </c>
      <c r="W2685" s="3">
        <v>0</v>
      </c>
      <c r="X2685">
        <v>0</v>
      </c>
      <c r="Y2685" t="s">
        <v>2141</v>
      </c>
    </row>
    <row r="2686" spans="1:25" hidden="1" x14ac:dyDescent="0.25">
      <c r="A2686" t="s">
        <v>58</v>
      </c>
      <c r="B2686" t="s">
        <v>144</v>
      </c>
      <c r="C2686" t="s">
        <v>489</v>
      </c>
      <c r="D2686" t="s">
        <v>27</v>
      </c>
      <c r="E2686" s="2">
        <v>45986</v>
      </c>
      <c r="F2686" s="2">
        <v>45986</v>
      </c>
      <c r="G2686" s="3">
        <v>94</v>
      </c>
      <c r="H2686" s="4" t="s">
        <v>28</v>
      </c>
      <c r="I2686">
        <v>24</v>
      </c>
      <c r="J2686">
        <v>0</v>
      </c>
      <c r="K2686">
        <v>0</v>
      </c>
      <c r="L2686" s="3">
        <v>0</v>
      </c>
      <c r="M2686" s="3">
        <v>0</v>
      </c>
      <c r="N2686">
        <v>0</v>
      </c>
      <c r="O2686">
        <v>0</v>
      </c>
      <c r="P2686">
        <v>0</v>
      </c>
      <c r="Q2686">
        <v>0</v>
      </c>
      <c r="R2686" s="3">
        <v>0</v>
      </c>
      <c r="S2686" s="3">
        <v>0</v>
      </c>
      <c r="T2686">
        <v>0</v>
      </c>
      <c r="U2686">
        <v>0</v>
      </c>
      <c r="V2686" s="3">
        <v>0</v>
      </c>
      <c r="W2686" s="3">
        <v>0</v>
      </c>
      <c r="X2686">
        <v>0</v>
      </c>
      <c r="Y2686" t="s">
        <v>2142</v>
      </c>
    </row>
    <row r="2687" spans="1:25" hidden="1" x14ac:dyDescent="0.25">
      <c r="A2687" t="s">
        <v>438</v>
      </c>
      <c r="B2687" t="s">
        <v>106</v>
      </c>
      <c r="C2687" t="s">
        <v>27</v>
      </c>
      <c r="D2687" t="s">
        <v>27</v>
      </c>
      <c r="E2687" s="2">
        <v>45986</v>
      </c>
      <c r="F2687" s="2">
        <v>45986</v>
      </c>
      <c r="G2687" s="3">
        <v>95</v>
      </c>
      <c r="H2687" s="4" t="s">
        <v>180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2142</v>
      </c>
    </row>
    <row r="2688" spans="1:25" hidden="1" x14ac:dyDescent="0.25">
      <c r="A2688" t="s">
        <v>33</v>
      </c>
      <c r="B2688" t="s">
        <v>182</v>
      </c>
      <c r="C2688" t="s">
        <v>55</v>
      </c>
      <c r="D2688" t="s">
        <v>27</v>
      </c>
      <c r="E2688" s="2">
        <v>45986</v>
      </c>
      <c r="F2688" s="2">
        <v>45986</v>
      </c>
      <c r="G2688" s="3">
        <v>96</v>
      </c>
      <c r="H2688" s="4" t="s">
        <v>28</v>
      </c>
      <c r="I2688">
        <v>18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2142</v>
      </c>
    </row>
    <row r="2689" spans="1:25" hidden="1" x14ac:dyDescent="0.25">
      <c r="A2689" t="s">
        <v>27</v>
      </c>
      <c r="B2689" t="s">
        <v>184</v>
      </c>
      <c r="C2689" t="s">
        <v>44</v>
      </c>
      <c r="D2689" t="s">
        <v>27</v>
      </c>
      <c r="E2689" s="2">
        <v>45986</v>
      </c>
      <c r="F2689" s="2">
        <v>45986</v>
      </c>
      <c r="G2689" s="3">
        <v>97</v>
      </c>
      <c r="H2689" s="4" t="s">
        <v>2143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2142</v>
      </c>
    </row>
    <row r="2690" spans="1:25" hidden="1" x14ac:dyDescent="0.25">
      <c r="A2690" t="s">
        <v>25</v>
      </c>
      <c r="B2690" t="s">
        <v>96</v>
      </c>
      <c r="C2690" t="s">
        <v>26</v>
      </c>
      <c r="D2690" t="s">
        <v>27</v>
      </c>
      <c r="E2690" s="2">
        <v>45987</v>
      </c>
      <c r="F2690" s="2">
        <v>45987</v>
      </c>
      <c r="G2690" s="3">
        <v>58</v>
      </c>
      <c r="H2690" s="4" t="s">
        <v>28</v>
      </c>
      <c r="I2690" s="1">
        <v>105</v>
      </c>
      <c r="J2690">
        <v>0</v>
      </c>
      <c r="K2690">
        <v>0</v>
      </c>
      <c r="L2690" s="3">
        <v>1</v>
      </c>
      <c r="M2690" s="40">
        <v>1</v>
      </c>
      <c r="N2690">
        <v>1</v>
      </c>
      <c r="O2690">
        <v>0</v>
      </c>
      <c r="P2690">
        <v>0</v>
      </c>
      <c r="Q2690">
        <v>0</v>
      </c>
      <c r="R2690" s="3">
        <v>0</v>
      </c>
      <c r="S2690" s="3">
        <v>0</v>
      </c>
      <c r="T2690">
        <v>0</v>
      </c>
      <c r="U2690">
        <v>0</v>
      </c>
      <c r="V2690" s="3">
        <v>0</v>
      </c>
      <c r="W2690" s="3">
        <v>0</v>
      </c>
      <c r="X2690">
        <v>0</v>
      </c>
      <c r="Y2690" t="s">
        <v>2144</v>
      </c>
    </row>
    <row r="2691" spans="1:25" hidden="1" x14ac:dyDescent="0.25">
      <c r="A2691" t="s">
        <v>29</v>
      </c>
      <c r="B2691" t="s">
        <v>100</v>
      </c>
      <c r="C2691" t="s">
        <v>95</v>
      </c>
      <c r="D2691" t="s">
        <v>27</v>
      </c>
      <c r="E2691" s="2">
        <v>45987</v>
      </c>
      <c r="F2691" s="2">
        <v>45987</v>
      </c>
      <c r="G2691" s="3">
        <v>25</v>
      </c>
      <c r="H2691" s="4" t="s">
        <v>28</v>
      </c>
      <c r="I2691">
        <v>34</v>
      </c>
      <c r="J2691">
        <v>0</v>
      </c>
      <c r="K2691">
        <v>0</v>
      </c>
      <c r="L2691" s="3">
        <v>1</v>
      </c>
      <c r="M2691" s="3">
        <v>0</v>
      </c>
      <c r="N2691">
        <v>0</v>
      </c>
      <c r="O2691">
        <v>0</v>
      </c>
      <c r="P2691">
        <v>0</v>
      </c>
      <c r="Q2691">
        <v>10</v>
      </c>
      <c r="R2691" s="3">
        <v>0</v>
      </c>
      <c r="S2691" s="3">
        <v>0</v>
      </c>
      <c r="T2691">
        <v>0</v>
      </c>
      <c r="U2691">
        <v>0</v>
      </c>
      <c r="V2691" s="3">
        <v>0</v>
      </c>
      <c r="W2691" s="3">
        <v>0</v>
      </c>
      <c r="X2691">
        <v>0</v>
      </c>
      <c r="Y2691" t="s">
        <v>2145</v>
      </c>
    </row>
    <row r="2692" spans="1:25" hidden="1" x14ac:dyDescent="0.25">
      <c r="A2692" t="s">
        <v>344</v>
      </c>
      <c r="B2692" t="s">
        <v>100</v>
      </c>
      <c r="C2692" t="s">
        <v>35</v>
      </c>
      <c r="D2692" t="s">
        <v>27</v>
      </c>
      <c r="E2692" s="2">
        <v>45987</v>
      </c>
      <c r="F2692" s="2">
        <v>45987</v>
      </c>
      <c r="G2692" s="3">
        <v>47</v>
      </c>
      <c r="H2692" s="4" t="s">
        <v>28</v>
      </c>
      <c r="I2692">
        <v>28</v>
      </c>
      <c r="J2692">
        <v>0</v>
      </c>
      <c r="K2692">
        <v>0</v>
      </c>
      <c r="L2692" s="3">
        <v>0</v>
      </c>
      <c r="M2692" s="3">
        <v>0</v>
      </c>
      <c r="N2692">
        <v>0</v>
      </c>
      <c r="O2692">
        <v>0</v>
      </c>
      <c r="P2692">
        <v>0</v>
      </c>
      <c r="Q2692">
        <v>0</v>
      </c>
      <c r="R2692" s="3">
        <v>0</v>
      </c>
      <c r="S2692" s="3">
        <v>0</v>
      </c>
      <c r="T2692">
        <v>0</v>
      </c>
      <c r="U2692">
        <v>0</v>
      </c>
      <c r="V2692" s="3">
        <v>0</v>
      </c>
      <c r="W2692" s="3">
        <v>0</v>
      </c>
      <c r="X2692">
        <v>0</v>
      </c>
      <c r="Y2692" t="s">
        <v>2111</v>
      </c>
    </row>
    <row r="2693" spans="1:25" hidden="1" x14ac:dyDescent="0.25">
      <c r="A2693" t="s">
        <v>31</v>
      </c>
      <c r="B2693" t="s">
        <v>104</v>
      </c>
      <c r="C2693" t="s">
        <v>32</v>
      </c>
      <c r="D2693" t="s">
        <v>27</v>
      </c>
      <c r="E2693" s="2">
        <v>45987</v>
      </c>
      <c r="F2693" s="2">
        <v>45987</v>
      </c>
      <c r="G2693" s="3">
        <v>79</v>
      </c>
      <c r="H2693" s="4" t="s">
        <v>28</v>
      </c>
      <c r="I2693" s="1">
        <v>86</v>
      </c>
      <c r="J2693">
        <v>4</v>
      </c>
      <c r="K2693">
        <v>0</v>
      </c>
      <c r="L2693" s="3">
        <v>0</v>
      </c>
      <c r="M2693" s="3">
        <v>0</v>
      </c>
      <c r="N2693">
        <v>0</v>
      </c>
      <c r="O2693">
        <v>0</v>
      </c>
      <c r="P2693">
        <v>0</v>
      </c>
      <c r="Q2693">
        <v>35</v>
      </c>
      <c r="R2693" s="3">
        <v>0</v>
      </c>
      <c r="S2693" s="3">
        <v>0</v>
      </c>
      <c r="T2693">
        <v>0</v>
      </c>
      <c r="U2693">
        <v>0</v>
      </c>
      <c r="V2693" s="3">
        <v>0</v>
      </c>
      <c r="W2693" s="3">
        <v>0</v>
      </c>
      <c r="X2693">
        <v>0</v>
      </c>
      <c r="Y2693" t="s">
        <v>2146</v>
      </c>
    </row>
    <row r="2694" spans="1:25" hidden="1" x14ac:dyDescent="0.25">
      <c r="A2694" t="s">
        <v>33</v>
      </c>
      <c r="B2694" t="s">
        <v>106</v>
      </c>
      <c r="C2694" t="s">
        <v>57</v>
      </c>
      <c r="D2694" t="s">
        <v>27</v>
      </c>
      <c r="E2694" s="2">
        <v>45987</v>
      </c>
      <c r="F2694" s="2">
        <v>45987</v>
      </c>
      <c r="G2694" s="3">
        <v>33</v>
      </c>
      <c r="H2694" s="4" t="s">
        <v>28</v>
      </c>
      <c r="I2694" s="1">
        <v>56</v>
      </c>
      <c r="J2694">
        <v>0</v>
      </c>
      <c r="K2694">
        <v>0</v>
      </c>
      <c r="L2694" s="3">
        <v>0</v>
      </c>
      <c r="M2694" s="3">
        <v>0</v>
      </c>
      <c r="N2694">
        <v>0</v>
      </c>
      <c r="O2694">
        <v>0</v>
      </c>
      <c r="P2694">
        <v>0</v>
      </c>
      <c r="Q2694">
        <v>20</v>
      </c>
      <c r="R2694" s="3">
        <v>0</v>
      </c>
      <c r="S2694" s="3">
        <v>0</v>
      </c>
      <c r="T2694">
        <v>0</v>
      </c>
      <c r="U2694">
        <v>0</v>
      </c>
      <c r="V2694" s="3">
        <v>0</v>
      </c>
      <c r="W2694" s="3">
        <v>0</v>
      </c>
      <c r="X2694">
        <v>0</v>
      </c>
      <c r="Y2694" t="s">
        <v>2147</v>
      </c>
    </row>
    <row r="2695" spans="1:25" hidden="1" x14ac:dyDescent="0.25">
      <c r="A2695" t="s">
        <v>47</v>
      </c>
      <c r="B2695" t="s">
        <v>137</v>
      </c>
      <c r="C2695" t="s">
        <v>27</v>
      </c>
      <c r="D2695" t="s">
        <v>27</v>
      </c>
      <c r="E2695" s="2">
        <v>45987</v>
      </c>
      <c r="F2695" s="2">
        <v>45987</v>
      </c>
      <c r="G2695" s="3">
        <v>40</v>
      </c>
      <c r="H2695" s="4" t="s">
        <v>28</v>
      </c>
      <c r="I2695">
        <v>52</v>
      </c>
      <c r="J2695">
        <v>0</v>
      </c>
      <c r="K2695">
        <v>0</v>
      </c>
      <c r="L2695" s="3">
        <v>0</v>
      </c>
      <c r="M2695" s="3">
        <v>0</v>
      </c>
      <c r="N2695">
        <v>0</v>
      </c>
      <c r="O2695">
        <v>0</v>
      </c>
      <c r="P2695">
        <v>0</v>
      </c>
      <c r="Q2695">
        <v>0</v>
      </c>
      <c r="R2695" s="3">
        <v>0</v>
      </c>
      <c r="S2695" s="3">
        <v>0</v>
      </c>
      <c r="T2695">
        <v>0</v>
      </c>
      <c r="U2695">
        <v>0</v>
      </c>
      <c r="V2695" s="3">
        <v>0</v>
      </c>
      <c r="W2695" s="3">
        <v>0</v>
      </c>
      <c r="X2695">
        <v>0</v>
      </c>
      <c r="Y2695" t="s">
        <v>2138</v>
      </c>
    </row>
    <row r="2696" spans="1:25" hidden="1" x14ac:dyDescent="0.25">
      <c r="A2696" t="s">
        <v>34</v>
      </c>
      <c r="B2696" t="s">
        <v>137</v>
      </c>
      <c r="C2696" t="s">
        <v>27</v>
      </c>
      <c r="D2696" t="s">
        <v>27</v>
      </c>
      <c r="E2696" s="2">
        <v>45987</v>
      </c>
      <c r="F2696" s="2">
        <v>45987</v>
      </c>
      <c r="G2696" s="3">
        <v>40</v>
      </c>
      <c r="H2696" s="4" t="s">
        <v>28</v>
      </c>
      <c r="I2696">
        <v>52</v>
      </c>
      <c r="J2696">
        <v>0</v>
      </c>
      <c r="K2696">
        <v>0</v>
      </c>
      <c r="L2696" s="3">
        <v>0</v>
      </c>
      <c r="M2696" s="3">
        <v>0</v>
      </c>
      <c r="N2696">
        <v>0</v>
      </c>
      <c r="O2696">
        <v>0</v>
      </c>
      <c r="P2696">
        <v>0</v>
      </c>
      <c r="Q2696">
        <v>0</v>
      </c>
      <c r="R2696" s="3">
        <v>0</v>
      </c>
      <c r="S2696" s="3">
        <v>0</v>
      </c>
      <c r="T2696">
        <v>0</v>
      </c>
      <c r="U2696">
        <v>0</v>
      </c>
      <c r="V2696" s="3">
        <v>0</v>
      </c>
      <c r="W2696" s="3">
        <v>0</v>
      </c>
      <c r="X2696">
        <v>0</v>
      </c>
      <c r="Y2696" t="s">
        <v>2138</v>
      </c>
    </row>
    <row r="2697" spans="1:25" hidden="1" x14ac:dyDescent="0.25">
      <c r="A2697" t="s">
        <v>38</v>
      </c>
      <c r="B2697" t="s">
        <v>108</v>
      </c>
      <c r="C2697" t="s">
        <v>27</v>
      </c>
      <c r="D2697" t="s">
        <v>27</v>
      </c>
      <c r="E2697" s="2">
        <v>45987</v>
      </c>
      <c r="F2697" s="2">
        <v>45987</v>
      </c>
      <c r="G2697" s="3">
        <v>34</v>
      </c>
      <c r="H2697" s="4" t="s">
        <v>28</v>
      </c>
      <c r="I2697">
        <v>55</v>
      </c>
      <c r="J2697">
        <v>0</v>
      </c>
      <c r="K2697">
        <v>0</v>
      </c>
      <c r="L2697" s="3">
        <v>0</v>
      </c>
      <c r="M2697" s="3">
        <v>0</v>
      </c>
      <c r="N2697">
        <v>0</v>
      </c>
      <c r="O2697">
        <v>0</v>
      </c>
      <c r="P2697">
        <v>0</v>
      </c>
      <c r="Q2697">
        <v>55</v>
      </c>
      <c r="R2697" s="3">
        <v>0</v>
      </c>
      <c r="S2697" s="3">
        <v>0</v>
      </c>
      <c r="T2697">
        <v>0</v>
      </c>
      <c r="U2697">
        <v>0</v>
      </c>
      <c r="V2697" s="3">
        <v>0</v>
      </c>
      <c r="W2697" s="3">
        <v>0</v>
      </c>
      <c r="X2697">
        <v>0</v>
      </c>
      <c r="Y2697" t="s">
        <v>2148</v>
      </c>
    </row>
    <row r="2698" spans="1:25" hidden="1" x14ac:dyDescent="0.25">
      <c r="A2698" t="s">
        <v>40</v>
      </c>
      <c r="B2698" t="s">
        <v>110</v>
      </c>
      <c r="C2698" t="s">
        <v>27</v>
      </c>
      <c r="D2698" t="s">
        <v>27</v>
      </c>
      <c r="E2698" s="2">
        <v>45987</v>
      </c>
      <c r="F2698" s="2">
        <v>45987</v>
      </c>
      <c r="G2698" s="3">
        <v>120</v>
      </c>
      <c r="H2698" s="4" t="s">
        <v>28</v>
      </c>
      <c r="I2698">
        <v>80</v>
      </c>
      <c r="J2698">
        <v>0</v>
      </c>
      <c r="K2698">
        <v>0</v>
      </c>
      <c r="L2698" s="3">
        <v>1</v>
      </c>
      <c r="M2698" s="3">
        <v>0</v>
      </c>
      <c r="N2698">
        <v>1</v>
      </c>
      <c r="O2698">
        <v>0</v>
      </c>
      <c r="P2698">
        <v>0</v>
      </c>
      <c r="Q2698">
        <v>30</v>
      </c>
      <c r="R2698" s="3">
        <v>0</v>
      </c>
      <c r="S2698" s="3">
        <v>0</v>
      </c>
      <c r="T2698">
        <v>0</v>
      </c>
      <c r="U2698">
        <v>0</v>
      </c>
      <c r="V2698" s="3">
        <v>0</v>
      </c>
      <c r="W2698" s="3">
        <v>0</v>
      </c>
      <c r="X2698">
        <v>0</v>
      </c>
      <c r="Y2698" t="s">
        <v>2149</v>
      </c>
    </row>
    <row r="2699" spans="1:25" hidden="1" x14ac:dyDescent="0.25">
      <c r="A2699" t="s">
        <v>36</v>
      </c>
      <c r="B2699" t="s">
        <v>110</v>
      </c>
      <c r="C2699" t="s">
        <v>27</v>
      </c>
      <c r="D2699" t="s">
        <v>27</v>
      </c>
      <c r="E2699" s="2">
        <v>45987</v>
      </c>
      <c r="F2699" s="2">
        <v>45987</v>
      </c>
      <c r="G2699" s="3">
        <v>120</v>
      </c>
      <c r="H2699" s="4" t="s">
        <v>28</v>
      </c>
      <c r="I2699">
        <v>80</v>
      </c>
      <c r="J2699">
        <v>0</v>
      </c>
      <c r="K2699">
        <v>0</v>
      </c>
      <c r="L2699" s="3">
        <v>1</v>
      </c>
      <c r="M2699" s="3">
        <v>0</v>
      </c>
      <c r="N2699">
        <v>1</v>
      </c>
      <c r="O2699">
        <v>0</v>
      </c>
      <c r="P2699">
        <v>0</v>
      </c>
      <c r="Q2699">
        <v>30</v>
      </c>
      <c r="R2699" s="3">
        <v>0</v>
      </c>
      <c r="S2699" s="3">
        <v>0</v>
      </c>
      <c r="T2699">
        <v>0</v>
      </c>
      <c r="U2699">
        <v>0</v>
      </c>
      <c r="V2699" s="3">
        <v>0</v>
      </c>
      <c r="W2699" s="3">
        <v>0</v>
      </c>
      <c r="X2699">
        <v>0</v>
      </c>
      <c r="Y2699" t="s">
        <v>2149</v>
      </c>
    </row>
    <row r="2700" spans="1:25" hidden="1" x14ac:dyDescent="0.25">
      <c r="A2700" t="s">
        <v>1454</v>
      </c>
      <c r="B2700" t="s">
        <v>1455</v>
      </c>
      <c r="C2700" t="s">
        <v>27</v>
      </c>
      <c r="D2700" t="s">
        <v>27</v>
      </c>
      <c r="E2700" s="2">
        <v>45987</v>
      </c>
      <c r="F2700" s="2">
        <v>45987</v>
      </c>
      <c r="G2700" s="3">
        <v>41</v>
      </c>
      <c r="H2700" s="4" t="s">
        <v>28</v>
      </c>
      <c r="I2700">
        <v>37</v>
      </c>
      <c r="J2700">
        <v>0</v>
      </c>
      <c r="K2700">
        <v>0</v>
      </c>
      <c r="L2700" s="3">
        <v>1</v>
      </c>
      <c r="M2700" s="3">
        <v>0</v>
      </c>
      <c r="N2700">
        <v>0</v>
      </c>
      <c r="O2700">
        <v>0</v>
      </c>
      <c r="P2700">
        <v>0</v>
      </c>
      <c r="Q2700">
        <v>37</v>
      </c>
      <c r="R2700" s="3">
        <v>0</v>
      </c>
      <c r="S2700" s="3">
        <v>0</v>
      </c>
      <c r="T2700">
        <v>0</v>
      </c>
      <c r="U2700">
        <v>0</v>
      </c>
      <c r="V2700" s="3">
        <v>0</v>
      </c>
      <c r="W2700" s="3">
        <v>0</v>
      </c>
      <c r="X2700">
        <v>0</v>
      </c>
      <c r="Y2700" t="s">
        <v>2150</v>
      </c>
    </row>
    <row r="2701" spans="1:25" hidden="1" x14ac:dyDescent="0.25">
      <c r="A2701" t="s">
        <v>41</v>
      </c>
      <c r="B2701" t="s">
        <v>112</v>
      </c>
      <c r="C2701" t="s">
        <v>42</v>
      </c>
      <c r="D2701" t="s">
        <v>27</v>
      </c>
      <c r="E2701" s="2">
        <v>45987</v>
      </c>
      <c r="F2701" s="2">
        <v>45987</v>
      </c>
      <c r="G2701" s="3">
        <v>26</v>
      </c>
      <c r="H2701" s="4" t="s">
        <v>28</v>
      </c>
      <c r="I2701">
        <v>44</v>
      </c>
      <c r="J2701">
        <v>0</v>
      </c>
      <c r="K2701">
        <v>0</v>
      </c>
      <c r="L2701" s="3">
        <v>1</v>
      </c>
      <c r="M2701" s="3">
        <v>0</v>
      </c>
      <c r="N2701">
        <v>0</v>
      </c>
      <c r="O2701">
        <v>0</v>
      </c>
      <c r="P2701">
        <v>0</v>
      </c>
      <c r="Q2701">
        <v>0</v>
      </c>
      <c r="R2701" s="3">
        <v>0</v>
      </c>
      <c r="S2701" s="3">
        <v>0</v>
      </c>
      <c r="T2701">
        <v>0</v>
      </c>
      <c r="U2701">
        <v>0</v>
      </c>
      <c r="V2701" s="3">
        <v>0</v>
      </c>
      <c r="W2701" s="3">
        <v>0</v>
      </c>
      <c r="X2701">
        <v>0</v>
      </c>
      <c r="Y2701" t="s">
        <v>2151</v>
      </c>
    </row>
    <row r="2702" spans="1:25" hidden="1" x14ac:dyDescent="0.25">
      <c r="A2702" t="s">
        <v>43</v>
      </c>
      <c r="B2702" t="s">
        <v>114</v>
      </c>
      <c r="C2702" t="s">
        <v>44</v>
      </c>
      <c r="D2702" t="s">
        <v>27</v>
      </c>
      <c r="E2702" s="2">
        <v>45987</v>
      </c>
      <c r="F2702" s="2">
        <v>45987</v>
      </c>
      <c r="G2702" s="3">
        <v>26</v>
      </c>
      <c r="H2702" s="4" t="s">
        <v>28</v>
      </c>
      <c r="I2702">
        <v>49</v>
      </c>
      <c r="J2702">
        <v>0</v>
      </c>
      <c r="K2702">
        <v>0</v>
      </c>
      <c r="L2702" s="3">
        <v>0</v>
      </c>
      <c r="M2702" s="3">
        <v>0</v>
      </c>
      <c r="N2702">
        <v>0</v>
      </c>
      <c r="O2702">
        <v>0</v>
      </c>
      <c r="P2702">
        <v>0</v>
      </c>
      <c r="Q2702">
        <v>0</v>
      </c>
      <c r="R2702" s="3">
        <v>0</v>
      </c>
      <c r="S2702" s="3">
        <v>0</v>
      </c>
      <c r="T2702">
        <v>0</v>
      </c>
      <c r="U2702">
        <v>0</v>
      </c>
      <c r="V2702" s="3">
        <v>0</v>
      </c>
      <c r="W2702" s="3">
        <v>0</v>
      </c>
      <c r="X2702">
        <v>0</v>
      </c>
      <c r="Y2702" t="s">
        <v>2152</v>
      </c>
    </row>
    <row r="2703" spans="1:25" hidden="1" x14ac:dyDescent="0.25">
      <c r="A2703" t="s">
        <v>2118</v>
      </c>
      <c r="B2703" t="s">
        <v>2119</v>
      </c>
      <c r="C2703" t="s">
        <v>27</v>
      </c>
      <c r="D2703" t="s">
        <v>27</v>
      </c>
      <c r="E2703" s="2">
        <v>45987</v>
      </c>
      <c r="F2703" s="2">
        <v>45987</v>
      </c>
      <c r="G2703" s="3">
        <v>36</v>
      </c>
      <c r="H2703" s="4" t="s">
        <v>28</v>
      </c>
      <c r="I2703">
        <v>36</v>
      </c>
      <c r="J2703">
        <v>0</v>
      </c>
      <c r="K2703">
        <v>0</v>
      </c>
      <c r="L2703" s="3">
        <v>1</v>
      </c>
      <c r="M2703" s="3">
        <v>0</v>
      </c>
      <c r="N2703">
        <v>0</v>
      </c>
      <c r="O2703">
        <v>0</v>
      </c>
      <c r="P2703">
        <v>0</v>
      </c>
      <c r="Q2703">
        <v>36</v>
      </c>
      <c r="R2703" s="3">
        <v>0</v>
      </c>
      <c r="S2703" s="3">
        <v>0</v>
      </c>
      <c r="T2703">
        <v>0</v>
      </c>
      <c r="U2703">
        <v>0</v>
      </c>
      <c r="V2703" s="3">
        <v>0</v>
      </c>
      <c r="W2703" s="3">
        <v>0</v>
      </c>
      <c r="X2703">
        <v>0</v>
      </c>
      <c r="Y2703" t="s">
        <v>2153</v>
      </c>
    </row>
    <row r="2704" spans="1:25" hidden="1" x14ac:dyDescent="0.25">
      <c r="A2704" t="s">
        <v>45</v>
      </c>
      <c r="B2704" t="s">
        <v>116</v>
      </c>
      <c r="C2704" t="s">
        <v>46</v>
      </c>
      <c r="D2704" t="s">
        <v>27</v>
      </c>
      <c r="E2704" s="2">
        <v>45987</v>
      </c>
      <c r="F2704" s="2">
        <v>45987</v>
      </c>
      <c r="G2704" s="3">
        <v>145</v>
      </c>
      <c r="H2704" s="4" t="s">
        <v>28</v>
      </c>
      <c r="I2704">
        <v>73</v>
      </c>
      <c r="J2704">
        <v>0</v>
      </c>
      <c r="K2704">
        <v>0</v>
      </c>
      <c r="L2704" s="3">
        <v>1</v>
      </c>
      <c r="M2704" s="3">
        <v>0</v>
      </c>
      <c r="N2704">
        <v>0</v>
      </c>
      <c r="O2704">
        <v>0</v>
      </c>
      <c r="P2704">
        <v>0</v>
      </c>
      <c r="Q2704">
        <v>14</v>
      </c>
      <c r="R2704" s="3">
        <v>0</v>
      </c>
      <c r="S2704" s="3">
        <v>0</v>
      </c>
      <c r="T2704">
        <v>0</v>
      </c>
      <c r="U2704">
        <v>0</v>
      </c>
      <c r="V2704" s="3">
        <v>0</v>
      </c>
      <c r="W2704" s="3">
        <v>0</v>
      </c>
      <c r="X2704">
        <v>0</v>
      </c>
      <c r="Y2704" t="s">
        <v>2154</v>
      </c>
    </row>
    <row r="2705" spans="1:25" hidden="1" x14ac:dyDescent="0.25">
      <c r="A2705" t="s">
        <v>49</v>
      </c>
      <c r="B2705" t="s">
        <v>118</v>
      </c>
      <c r="C2705" t="s">
        <v>50</v>
      </c>
      <c r="D2705" t="s">
        <v>27</v>
      </c>
      <c r="E2705" s="2">
        <v>45987</v>
      </c>
      <c r="F2705" s="2">
        <v>45987</v>
      </c>
      <c r="G2705" s="3">
        <v>34</v>
      </c>
      <c r="H2705" s="4" t="s">
        <v>28</v>
      </c>
      <c r="I2705">
        <v>55</v>
      </c>
      <c r="J2705">
        <v>0</v>
      </c>
      <c r="K2705">
        <v>0</v>
      </c>
      <c r="L2705" s="3">
        <v>1</v>
      </c>
      <c r="M2705" s="3">
        <v>1</v>
      </c>
      <c r="N2705">
        <v>0</v>
      </c>
      <c r="O2705">
        <v>0</v>
      </c>
      <c r="P2705">
        <v>0</v>
      </c>
      <c r="Q2705">
        <v>42</v>
      </c>
      <c r="R2705" s="3">
        <v>0</v>
      </c>
      <c r="S2705" s="3">
        <v>0</v>
      </c>
      <c r="T2705">
        <v>0</v>
      </c>
      <c r="U2705">
        <v>0</v>
      </c>
      <c r="V2705" s="3">
        <v>0</v>
      </c>
      <c r="W2705" s="3">
        <v>0</v>
      </c>
      <c r="X2705">
        <v>0</v>
      </c>
      <c r="Y2705" t="s">
        <v>2155</v>
      </c>
    </row>
    <row r="2706" spans="1:25" hidden="1" x14ac:dyDescent="0.25">
      <c r="A2706" t="s">
        <v>51</v>
      </c>
      <c r="B2706" t="s">
        <v>120</v>
      </c>
      <c r="C2706" t="s">
        <v>55</v>
      </c>
      <c r="D2706" t="s">
        <v>27</v>
      </c>
      <c r="E2706" s="2">
        <v>45987</v>
      </c>
      <c r="F2706" s="2">
        <v>45987</v>
      </c>
      <c r="G2706" s="3">
        <v>82</v>
      </c>
      <c r="H2706" s="4" t="s">
        <v>28</v>
      </c>
      <c r="I2706">
        <v>50</v>
      </c>
      <c r="J2706">
        <v>0</v>
      </c>
      <c r="K2706">
        <v>0</v>
      </c>
      <c r="L2706" s="3">
        <v>1</v>
      </c>
      <c r="M2706" s="3">
        <v>0</v>
      </c>
      <c r="N2706">
        <v>1</v>
      </c>
      <c r="O2706">
        <v>0</v>
      </c>
      <c r="P2706">
        <v>0</v>
      </c>
      <c r="Q2706">
        <v>0</v>
      </c>
      <c r="R2706" s="3">
        <v>0</v>
      </c>
      <c r="S2706" s="3">
        <v>0</v>
      </c>
      <c r="T2706">
        <v>0</v>
      </c>
      <c r="U2706">
        <v>0</v>
      </c>
      <c r="V2706" s="3">
        <v>0</v>
      </c>
      <c r="W2706" s="3">
        <v>0</v>
      </c>
      <c r="X2706">
        <v>0</v>
      </c>
      <c r="Y2706" t="s">
        <v>2156</v>
      </c>
    </row>
    <row r="2707" spans="1:25" hidden="1" x14ac:dyDescent="0.25">
      <c r="A2707" t="s">
        <v>54</v>
      </c>
      <c r="B2707" t="s">
        <v>122</v>
      </c>
      <c r="C2707" t="s">
        <v>52</v>
      </c>
      <c r="D2707" t="s">
        <v>27</v>
      </c>
      <c r="E2707" s="2">
        <v>45987</v>
      </c>
      <c r="F2707" s="2">
        <v>45987</v>
      </c>
      <c r="G2707" s="3">
        <v>49</v>
      </c>
      <c r="H2707" s="4" t="s">
        <v>28</v>
      </c>
      <c r="I2707">
        <v>34</v>
      </c>
      <c r="J2707">
        <v>0</v>
      </c>
      <c r="K2707">
        <v>0</v>
      </c>
      <c r="L2707" s="3">
        <v>0</v>
      </c>
      <c r="M2707" s="3">
        <v>0</v>
      </c>
      <c r="N2707">
        <v>0</v>
      </c>
      <c r="O2707">
        <v>0</v>
      </c>
      <c r="P2707">
        <v>0</v>
      </c>
      <c r="Q2707">
        <v>2</v>
      </c>
      <c r="R2707" s="3">
        <v>0</v>
      </c>
      <c r="S2707" s="3">
        <v>0</v>
      </c>
      <c r="T2707">
        <v>0</v>
      </c>
      <c r="U2707">
        <v>0</v>
      </c>
      <c r="V2707" s="3">
        <v>0</v>
      </c>
      <c r="W2707" s="3">
        <v>0</v>
      </c>
      <c r="X2707">
        <v>1</v>
      </c>
      <c r="Y2707" t="s">
        <v>2157</v>
      </c>
    </row>
    <row r="2708" spans="1:25" hidden="1" x14ac:dyDescent="0.25">
      <c r="A2708" t="s">
        <v>48</v>
      </c>
      <c r="B2708" t="s">
        <v>149</v>
      </c>
      <c r="C2708" t="s">
        <v>37</v>
      </c>
      <c r="D2708" t="s">
        <v>27</v>
      </c>
      <c r="E2708" s="2">
        <v>45987</v>
      </c>
      <c r="F2708" s="2">
        <v>45987</v>
      </c>
      <c r="G2708" s="3">
        <v>26</v>
      </c>
      <c r="H2708" s="4" t="s">
        <v>28</v>
      </c>
      <c r="I2708">
        <v>65</v>
      </c>
      <c r="J2708">
        <v>0</v>
      </c>
      <c r="K2708">
        <v>0</v>
      </c>
      <c r="L2708" s="3">
        <v>1</v>
      </c>
      <c r="M2708" s="3">
        <v>0</v>
      </c>
      <c r="N2708">
        <v>0</v>
      </c>
      <c r="O2708">
        <v>0</v>
      </c>
      <c r="P2708">
        <v>0</v>
      </c>
      <c r="Q2708">
        <v>0</v>
      </c>
      <c r="R2708" s="3">
        <v>0</v>
      </c>
      <c r="S2708" s="3">
        <v>0</v>
      </c>
      <c r="T2708">
        <v>0</v>
      </c>
      <c r="U2708">
        <v>0</v>
      </c>
      <c r="V2708" s="3">
        <v>0</v>
      </c>
      <c r="W2708" s="3">
        <v>0</v>
      </c>
      <c r="X2708">
        <v>0</v>
      </c>
      <c r="Y2708" t="s">
        <v>2158</v>
      </c>
    </row>
    <row r="2709" spans="1:25" hidden="1" x14ac:dyDescent="0.25">
      <c r="A2709" t="s">
        <v>58</v>
      </c>
      <c r="B2709" t="s">
        <v>144</v>
      </c>
      <c r="C2709" t="s">
        <v>489</v>
      </c>
      <c r="D2709" t="s">
        <v>27</v>
      </c>
      <c r="E2709" s="2">
        <v>45987</v>
      </c>
      <c r="F2709" s="2">
        <v>45987</v>
      </c>
      <c r="G2709" s="3">
        <v>27</v>
      </c>
      <c r="H2709" s="4" t="s">
        <v>28</v>
      </c>
      <c r="I2709">
        <v>75</v>
      </c>
      <c r="J2709">
        <v>0</v>
      </c>
      <c r="K2709">
        <v>0</v>
      </c>
      <c r="L2709" s="3">
        <v>1</v>
      </c>
      <c r="M2709" s="3">
        <v>0</v>
      </c>
      <c r="N2709">
        <v>0</v>
      </c>
      <c r="O2709">
        <v>0</v>
      </c>
      <c r="P2709">
        <v>0</v>
      </c>
      <c r="Q2709">
        <v>0</v>
      </c>
      <c r="R2709" s="3">
        <v>0</v>
      </c>
      <c r="S2709" s="3">
        <v>0</v>
      </c>
      <c r="T2709">
        <v>0</v>
      </c>
      <c r="U2709">
        <v>0</v>
      </c>
      <c r="V2709" s="3">
        <v>0</v>
      </c>
      <c r="W2709" s="3">
        <v>0</v>
      </c>
      <c r="X2709">
        <v>1</v>
      </c>
      <c r="Y2709" t="s">
        <v>2159</v>
      </c>
    </row>
    <row r="2710" spans="1:25" hidden="1" x14ac:dyDescent="0.25">
      <c r="A2710" t="s">
        <v>29</v>
      </c>
      <c r="B2710" t="s">
        <v>100</v>
      </c>
      <c r="C2710" t="s">
        <v>95</v>
      </c>
      <c r="D2710" t="s">
        <v>27</v>
      </c>
      <c r="E2710" s="2">
        <v>45988</v>
      </c>
      <c r="F2710" s="2">
        <v>45988</v>
      </c>
      <c r="G2710" s="3">
        <v>25</v>
      </c>
      <c r="H2710" s="4" t="s">
        <v>28</v>
      </c>
      <c r="I2710">
        <v>34</v>
      </c>
      <c r="J2710">
        <v>0</v>
      </c>
      <c r="K2710">
        <v>0</v>
      </c>
      <c r="L2710" s="3">
        <v>0</v>
      </c>
      <c r="M2710" s="3">
        <v>0</v>
      </c>
      <c r="N2710">
        <v>0</v>
      </c>
      <c r="O2710">
        <v>0</v>
      </c>
      <c r="P2710">
        <v>0</v>
      </c>
      <c r="Q2710">
        <v>0</v>
      </c>
      <c r="R2710" s="3">
        <v>0</v>
      </c>
      <c r="S2710" s="3">
        <v>0</v>
      </c>
      <c r="T2710">
        <v>0</v>
      </c>
      <c r="U2710">
        <v>0</v>
      </c>
      <c r="V2710" s="3">
        <v>0</v>
      </c>
      <c r="W2710" s="3">
        <v>0</v>
      </c>
      <c r="X2710">
        <v>0</v>
      </c>
      <c r="Y2710" t="s">
        <v>2160</v>
      </c>
    </row>
    <row r="2711" spans="1:25" hidden="1" x14ac:dyDescent="0.25">
      <c r="A2711" t="s">
        <v>344</v>
      </c>
      <c r="B2711" t="s">
        <v>100</v>
      </c>
      <c r="C2711" t="s">
        <v>35</v>
      </c>
      <c r="D2711" t="s">
        <v>27</v>
      </c>
      <c r="E2711" s="2">
        <v>45988</v>
      </c>
      <c r="F2711" s="2">
        <v>45988</v>
      </c>
      <c r="G2711" s="3">
        <v>47</v>
      </c>
      <c r="H2711" s="4" t="s">
        <v>28</v>
      </c>
      <c r="I2711">
        <v>39</v>
      </c>
      <c r="J2711">
        <v>0</v>
      </c>
      <c r="K2711">
        <v>0</v>
      </c>
      <c r="L2711" s="3">
        <v>0</v>
      </c>
      <c r="M2711" s="3">
        <v>0</v>
      </c>
      <c r="N2711">
        <v>0</v>
      </c>
      <c r="O2711">
        <v>0</v>
      </c>
      <c r="P2711">
        <v>0</v>
      </c>
      <c r="Q2711">
        <v>0</v>
      </c>
      <c r="R2711" s="3">
        <v>0</v>
      </c>
      <c r="S2711" s="3">
        <v>0</v>
      </c>
      <c r="T2711">
        <v>0</v>
      </c>
      <c r="U2711">
        <v>0</v>
      </c>
      <c r="V2711" s="3">
        <v>0</v>
      </c>
      <c r="W2711" s="3">
        <v>0</v>
      </c>
      <c r="X2711">
        <v>0</v>
      </c>
      <c r="Y2711" t="s">
        <v>2111</v>
      </c>
    </row>
    <row r="2712" spans="1:25" hidden="1" x14ac:dyDescent="0.25">
      <c r="A2712" t="s">
        <v>31</v>
      </c>
      <c r="B2712" t="s">
        <v>104</v>
      </c>
      <c r="C2712" t="s">
        <v>32</v>
      </c>
      <c r="D2712" t="s">
        <v>27</v>
      </c>
      <c r="E2712" s="2">
        <v>45988</v>
      </c>
      <c r="F2712" s="2">
        <v>45988</v>
      </c>
      <c r="G2712" s="3">
        <v>43</v>
      </c>
      <c r="H2712" s="4" t="s">
        <v>28</v>
      </c>
      <c r="I2712">
        <v>64</v>
      </c>
      <c r="J2712">
        <v>0</v>
      </c>
      <c r="K2712">
        <v>0</v>
      </c>
      <c r="L2712" s="3">
        <v>0</v>
      </c>
      <c r="M2712" s="3">
        <v>0</v>
      </c>
      <c r="N2712">
        <v>0</v>
      </c>
      <c r="O2712">
        <v>0</v>
      </c>
      <c r="P2712">
        <v>0</v>
      </c>
      <c r="Q2712">
        <v>30</v>
      </c>
      <c r="R2712" s="3">
        <v>0</v>
      </c>
      <c r="S2712" s="3">
        <v>0</v>
      </c>
      <c r="T2712">
        <v>0</v>
      </c>
      <c r="U2712">
        <v>0</v>
      </c>
      <c r="V2712" s="3">
        <v>0</v>
      </c>
      <c r="W2712" s="3">
        <v>0</v>
      </c>
      <c r="X2712">
        <v>0</v>
      </c>
      <c r="Y2712" t="s">
        <v>2161</v>
      </c>
    </row>
    <row r="2713" spans="1:25" hidden="1" x14ac:dyDescent="0.25">
      <c r="A2713" t="s">
        <v>33</v>
      </c>
      <c r="B2713" t="s">
        <v>106</v>
      </c>
      <c r="C2713" t="s">
        <v>57</v>
      </c>
      <c r="D2713" t="s">
        <v>27</v>
      </c>
      <c r="E2713" s="2">
        <v>45988</v>
      </c>
      <c r="F2713" s="2">
        <v>45988</v>
      </c>
      <c r="G2713" s="3">
        <v>28</v>
      </c>
      <c r="H2713" s="4" t="s">
        <v>28</v>
      </c>
      <c r="I2713">
        <v>46</v>
      </c>
      <c r="J2713">
        <v>0</v>
      </c>
      <c r="K2713">
        <v>0</v>
      </c>
      <c r="L2713" s="3">
        <v>0</v>
      </c>
      <c r="M2713" s="3">
        <v>0</v>
      </c>
      <c r="N2713">
        <v>0</v>
      </c>
      <c r="O2713">
        <v>0</v>
      </c>
      <c r="P2713">
        <v>0</v>
      </c>
      <c r="Q2713">
        <v>0</v>
      </c>
      <c r="R2713" s="3">
        <v>0</v>
      </c>
      <c r="S2713" s="3">
        <v>0</v>
      </c>
      <c r="T2713">
        <v>0</v>
      </c>
      <c r="U2713">
        <v>0</v>
      </c>
      <c r="V2713" s="3">
        <v>0</v>
      </c>
      <c r="W2713" s="3">
        <v>0</v>
      </c>
      <c r="X2713">
        <v>0</v>
      </c>
      <c r="Y2713" t="s">
        <v>2162</v>
      </c>
    </row>
    <row r="2714" spans="1:25" hidden="1" x14ac:dyDescent="0.25">
      <c r="A2714" t="s">
        <v>38</v>
      </c>
      <c r="B2714" t="s">
        <v>108</v>
      </c>
      <c r="C2714" t="s">
        <v>27</v>
      </c>
      <c r="D2714" t="s">
        <v>27</v>
      </c>
      <c r="E2714" s="2">
        <v>45988</v>
      </c>
      <c r="F2714" s="2">
        <v>45988</v>
      </c>
      <c r="G2714" s="3">
        <v>30</v>
      </c>
      <c r="H2714" s="4" t="s">
        <v>28</v>
      </c>
      <c r="I2714">
        <v>44</v>
      </c>
      <c r="J2714">
        <v>0</v>
      </c>
      <c r="K2714">
        <v>0</v>
      </c>
      <c r="L2714" s="3">
        <v>0</v>
      </c>
      <c r="M2714" s="3">
        <v>0</v>
      </c>
      <c r="N2714">
        <v>0</v>
      </c>
      <c r="O2714">
        <v>0</v>
      </c>
      <c r="P2714">
        <v>0</v>
      </c>
      <c r="Q2714">
        <v>44</v>
      </c>
      <c r="R2714" s="3">
        <v>0</v>
      </c>
      <c r="S2714" s="3">
        <v>0</v>
      </c>
      <c r="T2714">
        <v>0</v>
      </c>
      <c r="U2714">
        <v>0</v>
      </c>
      <c r="V2714" s="3">
        <v>0</v>
      </c>
      <c r="W2714" s="3">
        <v>0</v>
      </c>
      <c r="X2714">
        <v>0</v>
      </c>
      <c r="Y2714" t="s">
        <v>2163</v>
      </c>
    </row>
    <row r="2715" spans="1:25" hidden="1" x14ac:dyDescent="0.25">
      <c r="A2715" t="s">
        <v>1454</v>
      </c>
      <c r="B2715" t="s">
        <v>1455</v>
      </c>
      <c r="C2715" t="s">
        <v>27</v>
      </c>
      <c r="D2715" t="s">
        <v>27</v>
      </c>
      <c r="E2715" s="2">
        <v>45988</v>
      </c>
      <c r="F2715" s="2">
        <v>45988</v>
      </c>
      <c r="G2715" s="3">
        <v>27</v>
      </c>
      <c r="H2715" s="4" t="s">
        <v>28</v>
      </c>
      <c r="I2715">
        <v>28</v>
      </c>
      <c r="J2715">
        <v>0</v>
      </c>
      <c r="K2715">
        <v>0</v>
      </c>
      <c r="L2715" s="3">
        <v>1</v>
      </c>
      <c r="M2715" s="3">
        <v>0</v>
      </c>
      <c r="N2715">
        <v>0</v>
      </c>
      <c r="O2715">
        <v>0</v>
      </c>
      <c r="P2715">
        <v>0</v>
      </c>
      <c r="Q2715">
        <v>28</v>
      </c>
      <c r="R2715" s="3">
        <v>0</v>
      </c>
      <c r="S2715" s="3">
        <v>0</v>
      </c>
      <c r="T2715">
        <v>0</v>
      </c>
      <c r="U2715">
        <v>0</v>
      </c>
      <c r="V2715" s="3">
        <v>0</v>
      </c>
      <c r="W2715" s="3">
        <v>0</v>
      </c>
      <c r="X2715">
        <v>0</v>
      </c>
      <c r="Y2715" t="s">
        <v>2164</v>
      </c>
    </row>
    <row r="2716" spans="1:25" hidden="1" x14ac:dyDescent="0.25">
      <c r="A2716" t="s">
        <v>40</v>
      </c>
      <c r="B2716" t="s">
        <v>110</v>
      </c>
      <c r="C2716" t="s">
        <v>27</v>
      </c>
      <c r="D2716" t="s">
        <v>27</v>
      </c>
      <c r="E2716" s="2">
        <v>45988</v>
      </c>
      <c r="F2716" s="2">
        <v>45988</v>
      </c>
      <c r="G2716" s="3">
        <v>120</v>
      </c>
      <c r="H2716" s="4" t="s">
        <v>28</v>
      </c>
      <c r="I2716">
        <v>56</v>
      </c>
      <c r="J2716">
        <v>0</v>
      </c>
      <c r="K2716">
        <v>0</v>
      </c>
      <c r="L2716" s="3">
        <v>1</v>
      </c>
      <c r="M2716" s="3">
        <v>0</v>
      </c>
      <c r="N2716">
        <v>1</v>
      </c>
      <c r="O2716">
        <v>0</v>
      </c>
      <c r="P2716">
        <v>0</v>
      </c>
      <c r="Q2716">
        <v>30</v>
      </c>
      <c r="R2716" s="3">
        <v>0</v>
      </c>
      <c r="S2716" s="3">
        <v>0</v>
      </c>
      <c r="T2716">
        <v>0</v>
      </c>
      <c r="U2716">
        <v>0</v>
      </c>
      <c r="V2716" s="3">
        <v>0</v>
      </c>
      <c r="W2716" s="3">
        <v>0</v>
      </c>
      <c r="X2716">
        <v>0</v>
      </c>
      <c r="Y2716" t="s">
        <v>2149</v>
      </c>
    </row>
    <row r="2717" spans="1:25" hidden="1" x14ac:dyDescent="0.25">
      <c r="A2717" t="s">
        <v>36</v>
      </c>
      <c r="B2717" t="s">
        <v>110</v>
      </c>
      <c r="C2717" t="s">
        <v>27</v>
      </c>
      <c r="D2717" t="s">
        <v>27</v>
      </c>
      <c r="E2717" s="2">
        <v>45988</v>
      </c>
      <c r="F2717" s="2">
        <v>45988</v>
      </c>
      <c r="G2717" s="3">
        <v>120</v>
      </c>
      <c r="H2717" s="4" t="s">
        <v>28</v>
      </c>
      <c r="I2717">
        <v>56</v>
      </c>
      <c r="J2717">
        <v>0</v>
      </c>
      <c r="K2717">
        <v>0</v>
      </c>
      <c r="L2717" s="3">
        <v>1</v>
      </c>
      <c r="M2717" s="3">
        <v>0</v>
      </c>
      <c r="N2717">
        <v>1</v>
      </c>
      <c r="O2717">
        <v>0</v>
      </c>
      <c r="P2717">
        <v>0</v>
      </c>
      <c r="Q2717">
        <v>30</v>
      </c>
      <c r="R2717" s="3">
        <v>0</v>
      </c>
      <c r="S2717" s="3">
        <v>0</v>
      </c>
      <c r="T2717">
        <v>0</v>
      </c>
      <c r="U2717">
        <v>0</v>
      </c>
      <c r="V2717" s="3">
        <v>0</v>
      </c>
      <c r="W2717" s="3">
        <v>0</v>
      </c>
      <c r="X2717">
        <v>0</v>
      </c>
      <c r="Y2717" t="s">
        <v>2149</v>
      </c>
    </row>
    <row r="2718" spans="1:25" hidden="1" x14ac:dyDescent="0.25">
      <c r="A2718" t="s">
        <v>41</v>
      </c>
      <c r="B2718" t="s">
        <v>112</v>
      </c>
      <c r="C2718" t="s">
        <v>42</v>
      </c>
      <c r="D2718" t="s">
        <v>27</v>
      </c>
      <c r="E2718" s="2">
        <v>45988</v>
      </c>
      <c r="F2718" s="2">
        <v>45988</v>
      </c>
      <c r="G2718" s="3">
        <v>33</v>
      </c>
      <c r="H2718" s="4" t="s">
        <v>28</v>
      </c>
      <c r="I2718">
        <v>40</v>
      </c>
      <c r="J2718">
        <v>0</v>
      </c>
      <c r="K2718">
        <v>0</v>
      </c>
      <c r="L2718" s="3">
        <v>1</v>
      </c>
      <c r="M2718" s="3">
        <v>0</v>
      </c>
      <c r="N2718">
        <v>0</v>
      </c>
      <c r="O2718">
        <v>0</v>
      </c>
      <c r="P2718">
        <v>0</v>
      </c>
      <c r="Q2718">
        <v>4</v>
      </c>
      <c r="R2718" s="3">
        <v>0</v>
      </c>
      <c r="S2718" s="3">
        <v>0</v>
      </c>
      <c r="T2718">
        <v>0</v>
      </c>
      <c r="U2718">
        <v>0</v>
      </c>
      <c r="V2718" s="3">
        <v>0</v>
      </c>
      <c r="W2718" s="3">
        <v>0</v>
      </c>
      <c r="X2718">
        <v>0</v>
      </c>
      <c r="Y2718" t="s">
        <v>2165</v>
      </c>
    </row>
    <row r="2719" spans="1:25" hidden="1" x14ac:dyDescent="0.25">
      <c r="A2719" t="s">
        <v>43</v>
      </c>
      <c r="B2719" t="s">
        <v>114</v>
      </c>
      <c r="C2719" t="s">
        <v>44</v>
      </c>
      <c r="D2719" t="s">
        <v>27</v>
      </c>
      <c r="E2719" s="2">
        <v>45988</v>
      </c>
      <c r="F2719" s="2">
        <v>45988</v>
      </c>
      <c r="G2719" s="3">
        <v>24</v>
      </c>
      <c r="H2719" s="4" t="s">
        <v>28</v>
      </c>
      <c r="I2719">
        <v>45</v>
      </c>
      <c r="J2719">
        <v>0</v>
      </c>
      <c r="K2719">
        <v>0</v>
      </c>
      <c r="L2719" s="3">
        <v>1</v>
      </c>
      <c r="M2719" s="3">
        <v>0</v>
      </c>
      <c r="N2719">
        <v>0</v>
      </c>
      <c r="O2719">
        <v>0</v>
      </c>
      <c r="P2719">
        <v>0</v>
      </c>
      <c r="Q2719">
        <v>0</v>
      </c>
      <c r="R2719" s="3">
        <v>0</v>
      </c>
      <c r="S2719" s="3">
        <v>0</v>
      </c>
      <c r="T2719">
        <v>0</v>
      </c>
      <c r="U2719">
        <v>0</v>
      </c>
      <c r="V2719" s="3">
        <v>0</v>
      </c>
      <c r="W2719" s="3">
        <v>0</v>
      </c>
      <c r="X2719">
        <v>0</v>
      </c>
      <c r="Y2719" t="s">
        <v>2166</v>
      </c>
    </row>
    <row r="2720" spans="1:25" hidden="1" x14ac:dyDescent="0.25">
      <c r="A2720" t="s">
        <v>2118</v>
      </c>
      <c r="B2720" t="s">
        <v>2119</v>
      </c>
      <c r="C2720" t="s">
        <v>27</v>
      </c>
      <c r="D2720" t="s">
        <v>27</v>
      </c>
      <c r="E2720" s="2">
        <v>45988</v>
      </c>
      <c r="F2720" s="2">
        <v>45988</v>
      </c>
      <c r="G2720" s="3">
        <v>31</v>
      </c>
      <c r="H2720" s="4" t="s">
        <v>28</v>
      </c>
      <c r="I2720">
        <v>27</v>
      </c>
      <c r="J2720">
        <v>0</v>
      </c>
      <c r="K2720">
        <v>0</v>
      </c>
      <c r="L2720" s="3">
        <v>1</v>
      </c>
      <c r="M2720" s="3">
        <v>0</v>
      </c>
      <c r="N2720">
        <v>0</v>
      </c>
      <c r="O2720">
        <v>0</v>
      </c>
      <c r="P2720">
        <v>0</v>
      </c>
      <c r="Q2720">
        <v>27</v>
      </c>
      <c r="R2720" s="3">
        <v>0</v>
      </c>
      <c r="S2720" s="3">
        <v>0</v>
      </c>
      <c r="T2720">
        <v>0</v>
      </c>
      <c r="U2720">
        <v>0</v>
      </c>
      <c r="V2720" s="3">
        <v>0</v>
      </c>
      <c r="W2720" s="3">
        <v>0</v>
      </c>
      <c r="X2720">
        <v>0</v>
      </c>
      <c r="Y2720" t="s">
        <v>2167</v>
      </c>
    </row>
    <row r="2721" spans="1:25" hidden="1" x14ac:dyDescent="0.25">
      <c r="A2721" t="s">
        <v>45</v>
      </c>
      <c r="B2721" t="s">
        <v>116</v>
      </c>
      <c r="C2721" t="s">
        <v>46</v>
      </c>
      <c r="D2721" t="s">
        <v>27</v>
      </c>
      <c r="E2721" s="2">
        <v>45988</v>
      </c>
      <c r="F2721" s="2">
        <v>45988</v>
      </c>
      <c r="G2721" s="3">
        <v>57</v>
      </c>
      <c r="H2721" s="4" t="s">
        <v>28</v>
      </c>
      <c r="I2721">
        <v>27</v>
      </c>
      <c r="J2721">
        <v>0</v>
      </c>
      <c r="K2721">
        <v>0</v>
      </c>
      <c r="L2721" s="3">
        <v>0</v>
      </c>
      <c r="M2721" s="3">
        <v>0</v>
      </c>
      <c r="N2721">
        <v>0</v>
      </c>
      <c r="O2721">
        <v>0</v>
      </c>
      <c r="P2721">
        <v>0</v>
      </c>
      <c r="Q2721">
        <v>6</v>
      </c>
      <c r="R2721" s="3">
        <v>0</v>
      </c>
      <c r="S2721" s="3">
        <v>0</v>
      </c>
      <c r="T2721">
        <v>0</v>
      </c>
      <c r="U2721">
        <v>0</v>
      </c>
      <c r="V2721" s="3">
        <v>0</v>
      </c>
      <c r="W2721" s="3">
        <v>0</v>
      </c>
      <c r="X2721">
        <v>0</v>
      </c>
      <c r="Y2721" t="s">
        <v>2168</v>
      </c>
    </row>
    <row r="2722" spans="1:25" hidden="1" x14ac:dyDescent="0.25">
      <c r="A2722" t="s">
        <v>47</v>
      </c>
      <c r="B2722" t="s">
        <v>137</v>
      </c>
      <c r="C2722" t="s">
        <v>27</v>
      </c>
      <c r="D2722" t="s">
        <v>27</v>
      </c>
      <c r="E2722" s="2">
        <v>45988</v>
      </c>
      <c r="F2722" s="2">
        <v>45988</v>
      </c>
      <c r="G2722" s="3">
        <v>34</v>
      </c>
      <c r="H2722" s="4" t="s">
        <v>28</v>
      </c>
      <c r="I2722">
        <v>45</v>
      </c>
      <c r="J2722">
        <v>0</v>
      </c>
      <c r="K2722">
        <v>0</v>
      </c>
      <c r="L2722" s="3">
        <v>0</v>
      </c>
      <c r="M2722" s="3">
        <v>0</v>
      </c>
      <c r="N2722">
        <v>0</v>
      </c>
      <c r="O2722">
        <v>0</v>
      </c>
      <c r="P2722">
        <v>0</v>
      </c>
      <c r="Q2722">
        <v>0</v>
      </c>
      <c r="R2722" s="3">
        <v>0</v>
      </c>
      <c r="S2722" s="3">
        <v>0</v>
      </c>
      <c r="T2722">
        <v>0</v>
      </c>
      <c r="U2722">
        <v>0</v>
      </c>
      <c r="V2722" s="3">
        <v>0</v>
      </c>
      <c r="W2722" s="3">
        <v>0</v>
      </c>
      <c r="X2722">
        <v>0</v>
      </c>
      <c r="Y2722" t="s">
        <v>2169</v>
      </c>
    </row>
    <row r="2723" spans="1:25" hidden="1" x14ac:dyDescent="0.25">
      <c r="A2723" t="s">
        <v>34</v>
      </c>
      <c r="B2723" t="s">
        <v>137</v>
      </c>
      <c r="C2723" t="s">
        <v>27</v>
      </c>
      <c r="D2723" t="s">
        <v>27</v>
      </c>
      <c r="E2723" s="2">
        <v>45988</v>
      </c>
      <c r="F2723" s="2">
        <v>45988</v>
      </c>
      <c r="G2723" s="3">
        <v>34</v>
      </c>
      <c r="H2723" s="4" t="s">
        <v>28</v>
      </c>
      <c r="I2723">
        <v>45</v>
      </c>
      <c r="J2723">
        <v>0</v>
      </c>
      <c r="K2723">
        <v>0</v>
      </c>
      <c r="L2723" s="3">
        <v>0</v>
      </c>
      <c r="M2723" s="3">
        <v>0</v>
      </c>
      <c r="N2723">
        <v>0</v>
      </c>
      <c r="O2723">
        <v>0</v>
      </c>
      <c r="P2723">
        <v>0</v>
      </c>
      <c r="Q2723">
        <v>0</v>
      </c>
      <c r="R2723" s="3">
        <v>0</v>
      </c>
      <c r="S2723" s="3">
        <v>0</v>
      </c>
      <c r="T2723">
        <v>0</v>
      </c>
      <c r="U2723">
        <v>0</v>
      </c>
      <c r="V2723" s="3">
        <v>0</v>
      </c>
      <c r="W2723" s="3">
        <v>0</v>
      </c>
      <c r="X2723">
        <v>0</v>
      </c>
      <c r="Y2723" t="s">
        <v>2169</v>
      </c>
    </row>
    <row r="2724" spans="1:25" hidden="1" x14ac:dyDescent="0.25">
      <c r="A2724" t="s">
        <v>49</v>
      </c>
      <c r="B2724" t="s">
        <v>118</v>
      </c>
      <c r="C2724" t="s">
        <v>50</v>
      </c>
      <c r="D2724" t="s">
        <v>27</v>
      </c>
      <c r="E2724" s="2">
        <v>45988</v>
      </c>
      <c r="F2724" s="2">
        <v>45988</v>
      </c>
      <c r="G2724" s="3">
        <v>26</v>
      </c>
      <c r="H2724" s="4" t="s">
        <v>28</v>
      </c>
      <c r="I2724">
        <v>55</v>
      </c>
      <c r="J2724">
        <v>0</v>
      </c>
      <c r="K2724">
        <v>0</v>
      </c>
      <c r="L2724" s="3">
        <v>1</v>
      </c>
      <c r="M2724" s="3">
        <v>1</v>
      </c>
      <c r="N2724">
        <v>0</v>
      </c>
      <c r="O2724">
        <v>1</v>
      </c>
      <c r="P2724">
        <v>0</v>
      </c>
      <c r="Q2724">
        <v>65</v>
      </c>
      <c r="R2724" s="3">
        <v>0</v>
      </c>
      <c r="S2724" s="3">
        <v>0</v>
      </c>
      <c r="T2724">
        <v>0</v>
      </c>
      <c r="U2724">
        <v>0</v>
      </c>
      <c r="V2724" s="3">
        <v>0</v>
      </c>
      <c r="W2724" s="3">
        <v>0</v>
      </c>
      <c r="X2724">
        <v>0</v>
      </c>
      <c r="Y2724" t="s">
        <v>2170</v>
      </c>
    </row>
    <row r="2725" spans="1:25" hidden="1" x14ac:dyDescent="0.25">
      <c r="A2725" t="s">
        <v>51</v>
      </c>
      <c r="B2725" t="s">
        <v>120</v>
      </c>
      <c r="C2725" t="s">
        <v>55</v>
      </c>
      <c r="D2725" t="s">
        <v>27</v>
      </c>
      <c r="E2725" s="2">
        <v>45988</v>
      </c>
      <c r="F2725" s="2">
        <v>45988</v>
      </c>
      <c r="G2725" s="3">
        <v>70</v>
      </c>
      <c r="H2725" s="4" t="s">
        <v>28</v>
      </c>
      <c r="I2725">
        <v>45</v>
      </c>
      <c r="J2725">
        <v>0</v>
      </c>
      <c r="K2725">
        <v>0</v>
      </c>
      <c r="L2725" s="3">
        <v>0</v>
      </c>
      <c r="M2725" s="3">
        <v>0</v>
      </c>
      <c r="N2725">
        <v>0</v>
      </c>
      <c r="O2725">
        <v>0</v>
      </c>
      <c r="P2725">
        <v>0</v>
      </c>
      <c r="Q2725">
        <v>0</v>
      </c>
      <c r="R2725" s="3">
        <v>0</v>
      </c>
      <c r="S2725" s="3">
        <v>0</v>
      </c>
      <c r="T2725">
        <v>0</v>
      </c>
      <c r="U2725">
        <v>0</v>
      </c>
      <c r="V2725" s="3">
        <v>0</v>
      </c>
      <c r="W2725" s="3">
        <v>0</v>
      </c>
      <c r="X2725">
        <v>0</v>
      </c>
      <c r="Y2725" t="s">
        <v>2171</v>
      </c>
    </row>
    <row r="2726" spans="1:25" hidden="1" x14ac:dyDescent="0.25">
      <c r="A2726" t="s">
        <v>54</v>
      </c>
      <c r="B2726" t="s">
        <v>122</v>
      </c>
      <c r="C2726" t="s">
        <v>52</v>
      </c>
      <c r="D2726" t="s">
        <v>27</v>
      </c>
      <c r="E2726" s="2">
        <v>45988</v>
      </c>
      <c r="F2726" s="2">
        <v>45988</v>
      </c>
      <c r="G2726" s="3">
        <v>40</v>
      </c>
      <c r="H2726" s="4" t="s">
        <v>28</v>
      </c>
      <c r="I2726">
        <v>36</v>
      </c>
      <c r="J2726">
        <v>0</v>
      </c>
      <c r="K2726">
        <v>0</v>
      </c>
      <c r="L2726" s="3">
        <v>0</v>
      </c>
      <c r="M2726" s="3">
        <v>0</v>
      </c>
      <c r="N2726">
        <v>0</v>
      </c>
      <c r="O2726">
        <v>0</v>
      </c>
      <c r="P2726">
        <v>0</v>
      </c>
      <c r="Q2726">
        <v>2</v>
      </c>
      <c r="R2726" s="3">
        <v>0</v>
      </c>
      <c r="S2726" s="3">
        <v>0</v>
      </c>
      <c r="T2726">
        <v>0</v>
      </c>
      <c r="U2726">
        <v>0</v>
      </c>
      <c r="V2726" s="3">
        <v>0</v>
      </c>
      <c r="W2726" s="3">
        <v>0</v>
      </c>
      <c r="X2726">
        <v>0</v>
      </c>
      <c r="Y2726" t="s">
        <v>2172</v>
      </c>
    </row>
    <row r="2727" spans="1:25" hidden="1" x14ac:dyDescent="0.25">
      <c r="A2727" t="s">
        <v>48</v>
      </c>
      <c r="B2727" t="s">
        <v>149</v>
      </c>
      <c r="C2727" t="s">
        <v>37</v>
      </c>
      <c r="D2727" t="s">
        <v>27</v>
      </c>
      <c r="E2727" s="2">
        <v>45988</v>
      </c>
      <c r="F2727" s="2">
        <v>45988</v>
      </c>
      <c r="G2727" s="3">
        <v>29</v>
      </c>
      <c r="H2727" s="4" t="s">
        <v>28</v>
      </c>
      <c r="I2727">
        <v>37</v>
      </c>
      <c r="J2727">
        <v>0</v>
      </c>
      <c r="K2727">
        <v>0</v>
      </c>
      <c r="L2727" s="3">
        <v>0</v>
      </c>
      <c r="M2727" s="3">
        <v>0</v>
      </c>
      <c r="N2727">
        <v>0</v>
      </c>
      <c r="O2727">
        <v>0</v>
      </c>
      <c r="P2727">
        <v>0</v>
      </c>
      <c r="Q2727">
        <v>0</v>
      </c>
      <c r="R2727" s="3">
        <v>0</v>
      </c>
      <c r="S2727" s="3">
        <v>0</v>
      </c>
      <c r="T2727">
        <v>0</v>
      </c>
      <c r="U2727">
        <v>0</v>
      </c>
      <c r="V2727" s="3">
        <v>0</v>
      </c>
      <c r="W2727" s="3">
        <v>0</v>
      </c>
      <c r="X2727">
        <v>0</v>
      </c>
      <c r="Y2727" t="s">
        <v>2173</v>
      </c>
    </row>
    <row r="2728" spans="1:25" hidden="1" x14ac:dyDescent="0.25">
      <c r="A2728" t="s">
        <v>58</v>
      </c>
      <c r="B2728" t="s">
        <v>144</v>
      </c>
      <c r="C2728" t="s">
        <v>26</v>
      </c>
      <c r="D2728" t="s">
        <v>27</v>
      </c>
      <c r="E2728" s="2">
        <v>45988</v>
      </c>
      <c r="F2728" s="2">
        <v>45988</v>
      </c>
      <c r="G2728" s="3">
        <v>46</v>
      </c>
      <c r="H2728" s="4" t="s">
        <v>28</v>
      </c>
      <c r="I2728">
        <v>52</v>
      </c>
      <c r="J2728">
        <v>0</v>
      </c>
      <c r="K2728">
        <v>0</v>
      </c>
      <c r="L2728" s="3">
        <v>0</v>
      </c>
      <c r="M2728" s="3">
        <v>0</v>
      </c>
      <c r="N2728">
        <v>1</v>
      </c>
      <c r="O2728">
        <v>0</v>
      </c>
      <c r="P2728">
        <v>0</v>
      </c>
      <c r="Q2728">
        <v>0</v>
      </c>
      <c r="R2728" s="3">
        <v>0</v>
      </c>
      <c r="S2728" s="3">
        <v>0</v>
      </c>
      <c r="T2728">
        <v>0</v>
      </c>
      <c r="U2728">
        <v>0</v>
      </c>
      <c r="V2728" s="3">
        <v>0</v>
      </c>
      <c r="W2728" s="3">
        <v>0</v>
      </c>
      <c r="X2728">
        <v>0</v>
      </c>
      <c r="Y2728" t="s">
        <v>2174</v>
      </c>
    </row>
    <row r="2729" spans="1:25" hidden="1" x14ac:dyDescent="0.25">
      <c r="A2729" t="s">
        <v>25</v>
      </c>
      <c r="B2729" t="s">
        <v>106</v>
      </c>
      <c r="C2729" t="s">
        <v>27</v>
      </c>
      <c r="D2729" t="s">
        <v>27</v>
      </c>
      <c r="E2729" s="2">
        <v>45988</v>
      </c>
      <c r="F2729" s="2">
        <v>45988</v>
      </c>
      <c r="G2729" s="3">
        <v>47</v>
      </c>
      <c r="H2729" s="4" t="s">
        <v>2055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2174</v>
      </c>
    </row>
    <row r="2730" spans="1:25" hidden="1" x14ac:dyDescent="0.25">
      <c r="A2730" t="s">
        <v>27</v>
      </c>
      <c r="B2730" t="s">
        <v>182</v>
      </c>
      <c r="C2730" t="s">
        <v>489</v>
      </c>
      <c r="D2730" t="s">
        <v>27</v>
      </c>
      <c r="E2730" s="2">
        <v>45988</v>
      </c>
      <c r="F2730" s="2">
        <v>45988</v>
      </c>
      <c r="G2730" s="3">
        <v>48</v>
      </c>
      <c r="H2730" s="4" t="s">
        <v>2143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2174</v>
      </c>
    </row>
    <row r="2731" spans="1:25" hidden="1" x14ac:dyDescent="0.25">
      <c r="A2731" t="s">
        <v>438</v>
      </c>
      <c r="B2731" t="s">
        <v>184</v>
      </c>
      <c r="C2731" t="s">
        <v>27</v>
      </c>
      <c r="D2731" t="s">
        <v>27</v>
      </c>
      <c r="E2731" s="2">
        <v>45988</v>
      </c>
      <c r="F2731" s="2">
        <v>45988</v>
      </c>
      <c r="G2731" s="3">
        <v>49</v>
      </c>
      <c r="H2731" s="4" t="s">
        <v>2143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2174</v>
      </c>
    </row>
    <row r="2732" spans="1:25" hidden="1" x14ac:dyDescent="0.25">
      <c r="A2732" t="s">
        <v>55</v>
      </c>
      <c r="B2732" t="s">
        <v>2072</v>
      </c>
      <c r="C2732" t="s">
        <v>233</v>
      </c>
      <c r="D2732" t="s">
        <v>27</v>
      </c>
      <c r="E2732" s="2">
        <v>45989</v>
      </c>
      <c r="F2732" s="2">
        <v>45989</v>
      </c>
      <c r="G2732" s="3">
        <v>46</v>
      </c>
      <c r="H2732" s="4" t="s">
        <v>28</v>
      </c>
      <c r="I2732">
        <v>42</v>
      </c>
      <c r="J2732">
        <v>0</v>
      </c>
      <c r="K2732">
        <v>0</v>
      </c>
      <c r="L2732" s="3">
        <v>1</v>
      </c>
      <c r="M2732" s="3">
        <v>0</v>
      </c>
      <c r="N2732">
        <v>1</v>
      </c>
      <c r="O2732">
        <v>0</v>
      </c>
      <c r="P2732">
        <v>0</v>
      </c>
      <c r="Q2732">
        <v>0</v>
      </c>
      <c r="R2732" s="3">
        <v>0</v>
      </c>
      <c r="S2732" s="3">
        <v>0</v>
      </c>
      <c r="T2732">
        <v>0</v>
      </c>
      <c r="U2732">
        <v>0</v>
      </c>
      <c r="V2732" s="3">
        <v>0</v>
      </c>
      <c r="W2732" s="3">
        <v>0</v>
      </c>
      <c r="X2732">
        <v>0</v>
      </c>
      <c r="Y2732" t="s">
        <v>2175</v>
      </c>
    </row>
    <row r="2733" spans="1:25" hidden="1" x14ac:dyDescent="0.25">
      <c r="A2733" t="s">
        <v>25</v>
      </c>
      <c r="B2733" t="s">
        <v>96</v>
      </c>
      <c r="C2733" t="s">
        <v>26</v>
      </c>
      <c r="D2733" t="s">
        <v>27</v>
      </c>
      <c r="E2733" s="2">
        <v>45989</v>
      </c>
      <c r="F2733" s="2">
        <v>45989</v>
      </c>
      <c r="G2733" s="3">
        <v>53</v>
      </c>
      <c r="H2733" s="4" t="s">
        <v>28</v>
      </c>
      <c r="I2733">
        <v>86</v>
      </c>
      <c r="J2733">
        <v>0</v>
      </c>
      <c r="K2733">
        <v>0</v>
      </c>
      <c r="L2733" s="3">
        <v>1</v>
      </c>
      <c r="M2733" s="3">
        <v>0</v>
      </c>
      <c r="N2733">
        <v>0</v>
      </c>
      <c r="O2733">
        <v>0</v>
      </c>
      <c r="P2733">
        <v>0</v>
      </c>
      <c r="Q2733">
        <v>0</v>
      </c>
      <c r="R2733" s="3">
        <v>0</v>
      </c>
      <c r="S2733" s="3">
        <v>0</v>
      </c>
      <c r="T2733">
        <v>0</v>
      </c>
      <c r="U2733">
        <v>0</v>
      </c>
      <c r="V2733" s="3">
        <v>0</v>
      </c>
      <c r="W2733" s="3">
        <v>0</v>
      </c>
      <c r="X2733">
        <v>0</v>
      </c>
      <c r="Y2733" t="s">
        <v>2176</v>
      </c>
    </row>
    <row r="2734" spans="1:25" hidden="1" x14ac:dyDescent="0.25">
      <c r="A2734" t="s">
        <v>29</v>
      </c>
      <c r="B2734" t="s">
        <v>100</v>
      </c>
      <c r="C2734" t="s">
        <v>95</v>
      </c>
      <c r="D2734" t="s">
        <v>27</v>
      </c>
      <c r="E2734" s="2">
        <v>45989</v>
      </c>
      <c r="F2734" s="2">
        <v>45989</v>
      </c>
      <c r="G2734" s="3">
        <v>68</v>
      </c>
      <c r="H2734" s="4" t="s">
        <v>28</v>
      </c>
      <c r="I2734">
        <v>74</v>
      </c>
      <c r="J2734">
        <v>94</v>
      </c>
      <c r="K2734">
        <v>0</v>
      </c>
      <c r="L2734" s="3">
        <v>1</v>
      </c>
      <c r="M2734" s="3">
        <v>0</v>
      </c>
      <c r="N2734">
        <v>0</v>
      </c>
      <c r="O2734">
        <v>0</v>
      </c>
      <c r="P2734">
        <v>0</v>
      </c>
      <c r="Q2734">
        <v>20</v>
      </c>
      <c r="R2734" s="3">
        <v>0</v>
      </c>
      <c r="S2734" s="3">
        <v>0</v>
      </c>
      <c r="T2734">
        <v>0</v>
      </c>
      <c r="U2734">
        <v>0</v>
      </c>
      <c r="V2734" s="3">
        <v>0</v>
      </c>
      <c r="W2734" s="3">
        <v>0</v>
      </c>
      <c r="X2734">
        <v>0</v>
      </c>
      <c r="Y2734" t="s">
        <v>2177</v>
      </c>
    </row>
    <row r="2735" spans="1:25" hidden="1" x14ac:dyDescent="0.25">
      <c r="A2735" t="s">
        <v>344</v>
      </c>
      <c r="B2735" t="s">
        <v>100</v>
      </c>
      <c r="C2735" t="s">
        <v>35</v>
      </c>
      <c r="D2735" t="s">
        <v>27</v>
      </c>
      <c r="E2735" s="2">
        <v>45989</v>
      </c>
      <c r="F2735" s="2">
        <v>45989</v>
      </c>
      <c r="G2735" s="3">
        <v>47</v>
      </c>
      <c r="H2735" s="4" t="s">
        <v>28</v>
      </c>
      <c r="I2735">
        <v>51</v>
      </c>
      <c r="J2735">
        <v>0</v>
      </c>
      <c r="K2735">
        <v>0</v>
      </c>
      <c r="L2735" s="3">
        <v>0</v>
      </c>
      <c r="M2735" s="3">
        <v>0</v>
      </c>
      <c r="N2735">
        <v>0</v>
      </c>
      <c r="O2735">
        <v>0</v>
      </c>
      <c r="P2735">
        <v>0</v>
      </c>
      <c r="Q2735">
        <v>0</v>
      </c>
      <c r="R2735" s="3">
        <v>0</v>
      </c>
      <c r="S2735" s="3">
        <v>0</v>
      </c>
      <c r="T2735">
        <v>0</v>
      </c>
      <c r="U2735">
        <v>0</v>
      </c>
      <c r="V2735" s="3">
        <v>0</v>
      </c>
      <c r="W2735" s="3">
        <v>0</v>
      </c>
      <c r="X2735">
        <v>0</v>
      </c>
      <c r="Y2735" t="s">
        <v>2111</v>
      </c>
    </row>
    <row r="2736" spans="1:25" hidden="1" x14ac:dyDescent="0.25">
      <c r="A2736" t="s">
        <v>31</v>
      </c>
      <c r="B2736" t="s">
        <v>104</v>
      </c>
      <c r="C2736" t="s">
        <v>32</v>
      </c>
      <c r="D2736" t="s">
        <v>27</v>
      </c>
      <c r="E2736" s="2">
        <v>45989</v>
      </c>
      <c r="F2736" s="2">
        <v>45989</v>
      </c>
      <c r="G2736" s="3">
        <v>46</v>
      </c>
      <c r="H2736" s="4" t="s">
        <v>28</v>
      </c>
      <c r="I2736">
        <v>71</v>
      </c>
      <c r="J2736">
        <v>0</v>
      </c>
      <c r="K2736">
        <v>0</v>
      </c>
      <c r="L2736" s="3">
        <v>0</v>
      </c>
      <c r="M2736" s="3">
        <v>0</v>
      </c>
      <c r="N2736">
        <v>0</v>
      </c>
      <c r="O2736">
        <v>0</v>
      </c>
      <c r="P2736">
        <v>0</v>
      </c>
      <c r="Q2736">
        <v>30</v>
      </c>
      <c r="R2736" s="3">
        <v>0</v>
      </c>
      <c r="S2736" s="3">
        <v>0</v>
      </c>
      <c r="T2736">
        <v>0</v>
      </c>
      <c r="U2736">
        <v>0</v>
      </c>
      <c r="V2736" s="3">
        <v>0</v>
      </c>
      <c r="W2736" s="3">
        <v>0</v>
      </c>
      <c r="X2736">
        <v>0</v>
      </c>
      <c r="Y2736" t="s">
        <v>2178</v>
      </c>
    </row>
    <row r="2737" spans="1:25" hidden="1" x14ac:dyDescent="0.25">
      <c r="A2737" t="s">
        <v>33</v>
      </c>
      <c r="B2737" t="s">
        <v>106</v>
      </c>
      <c r="C2737" t="s">
        <v>57</v>
      </c>
      <c r="D2737" t="s">
        <v>27</v>
      </c>
      <c r="E2737" s="2">
        <v>45989</v>
      </c>
      <c r="F2737" s="2">
        <v>45989</v>
      </c>
      <c r="G2737" s="3">
        <v>26</v>
      </c>
      <c r="H2737" s="4" t="s">
        <v>28</v>
      </c>
      <c r="I2737">
        <v>54</v>
      </c>
      <c r="J2737">
        <v>0</v>
      </c>
      <c r="K2737">
        <v>0</v>
      </c>
      <c r="L2737" s="3">
        <v>0</v>
      </c>
      <c r="M2737" s="3">
        <v>0</v>
      </c>
      <c r="N2737">
        <v>0</v>
      </c>
      <c r="O2737">
        <v>0</v>
      </c>
      <c r="P2737">
        <v>0</v>
      </c>
      <c r="Q2737">
        <v>20</v>
      </c>
      <c r="R2737" s="3">
        <v>0</v>
      </c>
      <c r="S2737" s="3">
        <v>0</v>
      </c>
      <c r="T2737">
        <v>0</v>
      </c>
      <c r="U2737">
        <v>0</v>
      </c>
      <c r="V2737" s="3">
        <v>0</v>
      </c>
      <c r="W2737" s="3">
        <v>0</v>
      </c>
      <c r="X2737">
        <v>0</v>
      </c>
      <c r="Y2737" t="s">
        <v>2179</v>
      </c>
    </row>
    <row r="2738" spans="1:25" hidden="1" x14ac:dyDescent="0.25">
      <c r="A2738" t="s">
        <v>2180</v>
      </c>
      <c r="B2738" t="s">
        <v>2181</v>
      </c>
      <c r="C2738" t="s">
        <v>37</v>
      </c>
      <c r="D2738" t="s">
        <v>27</v>
      </c>
      <c r="E2738" s="2">
        <v>45989</v>
      </c>
      <c r="F2738" s="2">
        <v>45989</v>
      </c>
      <c r="G2738" s="3">
        <v>271</v>
      </c>
      <c r="H2738" s="4" t="s">
        <v>28</v>
      </c>
      <c r="I2738">
        <v>82</v>
      </c>
      <c r="J2738">
        <v>0</v>
      </c>
      <c r="K2738">
        <v>0</v>
      </c>
      <c r="L2738" s="3">
        <v>1</v>
      </c>
      <c r="M2738" s="3">
        <v>0</v>
      </c>
      <c r="N2738">
        <v>0</v>
      </c>
      <c r="O2738">
        <v>0</v>
      </c>
      <c r="P2738">
        <v>0</v>
      </c>
      <c r="Q2738">
        <v>0</v>
      </c>
      <c r="R2738" s="3">
        <v>0</v>
      </c>
      <c r="S2738" s="3">
        <v>0</v>
      </c>
      <c r="T2738">
        <v>0</v>
      </c>
      <c r="U2738">
        <v>0</v>
      </c>
      <c r="V2738" s="3">
        <v>0</v>
      </c>
      <c r="W2738" s="3">
        <v>0</v>
      </c>
      <c r="X2738">
        <v>0</v>
      </c>
      <c r="Y2738" t="s">
        <v>2182</v>
      </c>
    </row>
    <row r="2739" spans="1:25" hidden="1" x14ac:dyDescent="0.25">
      <c r="A2739" t="s">
        <v>38</v>
      </c>
      <c r="B2739" t="s">
        <v>108</v>
      </c>
      <c r="C2739" t="s">
        <v>27</v>
      </c>
      <c r="D2739" t="s">
        <v>27</v>
      </c>
      <c r="E2739" s="2">
        <v>45989</v>
      </c>
      <c r="F2739" s="2">
        <v>45989</v>
      </c>
      <c r="G2739" s="3">
        <v>36</v>
      </c>
      <c r="H2739" s="4" t="s">
        <v>28</v>
      </c>
      <c r="I2739">
        <v>53</v>
      </c>
      <c r="J2739">
        <v>0</v>
      </c>
      <c r="K2739">
        <v>0</v>
      </c>
      <c r="L2739" s="3">
        <v>0</v>
      </c>
      <c r="M2739" s="3">
        <v>0</v>
      </c>
      <c r="N2739">
        <v>0</v>
      </c>
      <c r="O2739">
        <v>0</v>
      </c>
      <c r="P2739">
        <v>0</v>
      </c>
      <c r="Q2739">
        <v>53</v>
      </c>
      <c r="R2739" s="3">
        <v>0</v>
      </c>
      <c r="S2739" s="3">
        <v>0</v>
      </c>
      <c r="T2739">
        <v>0</v>
      </c>
      <c r="U2739">
        <v>0</v>
      </c>
      <c r="V2739" s="3">
        <v>0</v>
      </c>
      <c r="W2739" s="3">
        <v>0</v>
      </c>
      <c r="X2739">
        <v>0</v>
      </c>
      <c r="Y2739" t="s">
        <v>2183</v>
      </c>
    </row>
    <row r="2740" spans="1:25" hidden="1" x14ac:dyDescent="0.25">
      <c r="A2740" t="s">
        <v>40</v>
      </c>
      <c r="B2740" t="s">
        <v>110</v>
      </c>
      <c r="C2740" t="s">
        <v>27</v>
      </c>
      <c r="D2740" t="s">
        <v>27</v>
      </c>
      <c r="E2740" s="2">
        <v>45989</v>
      </c>
      <c r="F2740" s="2">
        <v>45989</v>
      </c>
      <c r="G2740" s="3">
        <v>125</v>
      </c>
      <c r="H2740" s="4" t="s">
        <v>28</v>
      </c>
      <c r="I2740">
        <v>76</v>
      </c>
      <c r="J2740">
        <v>0</v>
      </c>
      <c r="K2740">
        <v>0</v>
      </c>
      <c r="L2740" s="3">
        <v>1</v>
      </c>
      <c r="M2740" s="3">
        <v>0</v>
      </c>
      <c r="N2740">
        <v>1</v>
      </c>
      <c r="O2740">
        <v>0</v>
      </c>
      <c r="P2740">
        <v>0</v>
      </c>
      <c r="Q2740">
        <v>30</v>
      </c>
      <c r="R2740" s="3">
        <v>0</v>
      </c>
      <c r="S2740" s="3">
        <v>0</v>
      </c>
      <c r="T2740">
        <v>0</v>
      </c>
      <c r="U2740">
        <v>0</v>
      </c>
      <c r="V2740" s="3">
        <v>0</v>
      </c>
      <c r="W2740" s="3">
        <v>0</v>
      </c>
      <c r="X2740">
        <v>0</v>
      </c>
      <c r="Y2740" t="s">
        <v>2184</v>
      </c>
    </row>
    <row r="2741" spans="1:25" hidden="1" x14ac:dyDescent="0.25">
      <c r="A2741" t="s">
        <v>36</v>
      </c>
      <c r="B2741" t="s">
        <v>110</v>
      </c>
      <c r="C2741" t="s">
        <v>27</v>
      </c>
      <c r="D2741" t="s">
        <v>27</v>
      </c>
      <c r="E2741" s="2">
        <v>45989</v>
      </c>
      <c r="F2741" s="2">
        <v>45989</v>
      </c>
      <c r="G2741" s="3">
        <v>125</v>
      </c>
      <c r="H2741" s="4" t="s">
        <v>28</v>
      </c>
      <c r="I2741">
        <v>76</v>
      </c>
      <c r="J2741">
        <v>0</v>
      </c>
      <c r="K2741">
        <v>0</v>
      </c>
      <c r="L2741" s="3">
        <v>1</v>
      </c>
      <c r="M2741" s="3">
        <v>0</v>
      </c>
      <c r="N2741">
        <v>1</v>
      </c>
      <c r="O2741">
        <v>0</v>
      </c>
      <c r="P2741">
        <v>0</v>
      </c>
      <c r="Q2741">
        <v>30</v>
      </c>
      <c r="R2741" s="3">
        <v>0</v>
      </c>
      <c r="S2741" s="3">
        <v>0</v>
      </c>
      <c r="T2741">
        <v>0</v>
      </c>
      <c r="U2741">
        <v>0</v>
      </c>
      <c r="V2741" s="3">
        <v>0</v>
      </c>
      <c r="W2741" s="3">
        <v>0</v>
      </c>
      <c r="X2741">
        <v>0</v>
      </c>
      <c r="Y2741" t="s">
        <v>2184</v>
      </c>
    </row>
    <row r="2742" spans="1:25" hidden="1" x14ac:dyDescent="0.25">
      <c r="A2742" t="s">
        <v>1454</v>
      </c>
      <c r="B2742" t="s">
        <v>1455</v>
      </c>
      <c r="C2742" t="s">
        <v>27</v>
      </c>
      <c r="D2742" t="s">
        <v>27</v>
      </c>
      <c r="E2742" s="2">
        <v>45989</v>
      </c>
      <c r="F2742" s="2">
        <v>45989</v>
      </c>
      <c r="G2742" s="3">
        <v>35</v>
      </c>
      <c r="H2742" s="4" t="s">
        <v>28</v>
      </c>
      <c r="I2742">
        <v>44</v>
      </c>
      <c r="J2742">
        <v>0</v>
      </c>
      <c r="K2742">
        <v>0</v>
      </c>
      <c r="L2742" s="3">
        <v>1</v>
      </c>
      <c r="M2742" s="3">
        <v>0</v>
      </c>
      <c r="N2742">
        <v>0</v>
      </c>
      <c r="O2742">
        <v>0</v>
      </c>
      <c r="P2742">
        <v>0</v>
      </c>
      <c r="Q2742">
        <v>44</v>
      </c>
      <c r="R2742" s="3">
        <v>0</v>
      </c>
      <c r="S2742" s="3">
        <v>0</v>
      </c>
      <c r="T2742">
        <v>0</v>
      </c>
      <c r="U2742">
        <v>0</v>
      </c>
      <c r="V2742" s="3">
        <v>0</v>
      </c>
      <c r="W2742" s="3">
        <v>0</v>
      </c>
      <c r="X2742">
        <v>0</v>
      </c>
      <c r="Y2742" t="s">
        <v>2185</v>
      </c>
    </row>
    <row r="2743" spans="1:25" hidden="1" x14ac:dyDescent="0.25">
      <c r="A2743" t="s">
        <v>41</v>
      </c>
      <c r="B2743" t="s">
        <v>112</v>
      </c>
      <c r="C2743" t="s">
        <v>42</v>
      </c>
      <c r="D2743" t="s">
        <v>27</v>
      </c>
      <c r="E2743" s="2">
        <v>45989</v>
      </c>
      <c r="F2743" s="2">
        <v>45989</v>
      </c>
      <c r="G2743" s="3">
        <v>30</v>
      </c>
      <c r="H2743" s="4" t="s">
        <v>28</v>
      </c>
      <c r="I2743">
        <v>51</v>
      </c>
      <c r="J2743">
        <v>0</v>
      </c>
      <c r="K2743">
        <v>0</v>
      </c>
      <c r="L2743" s="3">
        <v>1</v>
      </c>
      <c r="M2743" s="3">
        <v>0</v>
      </c>
      <c r="N2743">
        <v>0</v>
      </c>
      <c r="O2743">
        <v>0</v>
      </c>
      <c r="P2743">
        <v>0</v>
      </c>
      <c r="Q2743">
        <v>1</v>
      </c>
      <c r="R2743" s="3">
        <v>0</v>
      </c>
      <c r="S2743" s="3">
        <v>0</v>
      </c>
      <c r="T2743">
        <v>0</v>
      </c>
      <c r="U2743">
        <v>0</v>
      </c>
      <c r="V2743" s="3">
        <v>0</v>
      </c>
      <c r="W2743" s="3">
        <v>0</v>
      </c>
      <c r="X2743">
        <v>0</v>
      </c>
      <c r="Y2743" t="s">
        <v>2186</v>
      </c>
    </row>
    <row r="2744" spans="1:25" hidden="1" x14ac:dyDescent="0.25">
      <c r="A2744" t="s">
        <v>43</v>
      </c>
      <c r="B2744" t="s">
        <v>114</v>
      </c>
      <c r="C2744" t="s">
        <v>44</v>
      </c>
      <c r="D2744" t="s">
        <v>27</v>
      </c>
      <c r="E2744" s="2">
        <v>45989</v>
      </c>
      <c r="F2744" s="2">
        <v>45989</v>
      </c>
      <c r="G2744" s="3">
        <v>37</v>
      </c>
      <c r="H2744" s="4" t="s">
        <v>28</v>
      </c>
      <c r="I2744">
        <v>69</v>
      </c>
      <c r="J2744">
        <v>0</v>
      </c>
      <c r="K2744">
        <v>0</v>
      </c>
      <c r="L2744" s="3">
        <v>0</v>
      </c>
      <c r="M2744" s="3">
        <v>0</v>
      </c>
      <c r="N2744">
        <v>0</v>
      </c>
      <c r="O2744">
        <v>0</v>
      </c>
      <c r="P2744">
        <v>0</v>
      </c>
      <c r="Q2744">
        <v>0</v>
      </c>
      <c r="R2744" s="3">
        <v>0</v>
      </c>
      <c r="S2744" s="3">
        <v>0</v>
      </c>
      <c r="T2744">
        <v>0</v>
      </c>
      <c r="U2744">
        <v>0</v>
      </c>
      <c r="V2744" s="3">
        <v>0</v>
      </c>
      <c r="W2744" s="3">
        <v>0</v>
      </c>
      <c r="X2744">
        <v>0</v>
      </c>
      <c r="Y2744" t="s">
        <v>2187</v>
      </c>
    </row>
    <row r="2745" spans="1:25" hidden="1" x14ac:dyDescent="0.25">
      <c r="A2745" t="s">
        <v>45</v>
      </c>
      <c r="B2745" t="s">
        <v>116</v>
      </c>
      <c r="C2745" t="s">
        <v>46</v>
      </c>
      <c r="D2745" t="s">
        <v>27</v>
      </c>
      <c r="E2745" s="2">
        <v>45989</v>
      </c>
      <c r="F2745" s="2">
        <v>45989</v>
      </c>
      <c r="G2745" s="3">
        <v>48</v>
      </c>
      <c r="H2745" s="4" t="s">
        <v>28</v>
      </c>
      <c r="I2745">
        <v>80</v>
      </c>
      <c r="J2745">
        <v>0</v>
      </c>
      <c r="K2745">
        <v>0</v>
      </c>
      <c r="L2745" s="3">
        <v>1</v>
      </c>
      <c r="M2745" s="3">
        <v>0</v>
      </c>
      <c r="N2745">
        <v>0</v>
      </c>
      <c r="O2745">
        <v>0</v>
      </c>
      <c r="P2745">
        <v>0</v>
      </c>
      <c r="Q2745">
        <v>9</v>
      </c>
      <c r="R2745" s="3">
        <v>0</v>
      </c>
      <c r="S2745" s="3">
        <v>0</v>
      </c>
      <c r="T2745">
        <v>0</v>
      </c>
      <c r="U2745">
        <v>0</v>
      </c>
      <c r="V2745" s="3">
        <v>0</v>
      </c>
      <c r="W2745" s="3">
        <v>0</v>
      </c>
      <c r="X2745">
        <v>0</v>
      </c>
      <c r="Y2745" t="s">
        <v>2188</v>
      </c>
    </row>
    <row r="2746" spans="1:25" hidden="1" x14ac:dyDescent="0.25">
      <c r="A2746" t="s">
        <v>47</v>
      </c>
      <c r="B2746" t="s">
        <v>137</v>
      </c>
      <c r="C2746" t="s">
        <v>27</v>
      </c>
      <c r="D2746" t="s">
        <v>27</v>
      </c>
      <c r="E2746" s="2">
        <v>45989</v>
      </c>
      <c r="F2746" s="2">
        <v>45989</v>
      </c>
      <c r="G2746" s="3">
        <v>33</v>
      </c>
      <c r="H2746" s="4" t="s">
        <v>28</v>
      </c>
      <c r="I2746">
        <v>72</v>
      </c>
      <c r="J2746">
        <v>2</v>
      </c>
      <c r="K2746">
        <v>0</v>
      </c>
      <c r="L2746" s="3">
        <v>0</v>
      </c>
      <c r="M2746" s="3">
        <v>0</v>
      </c>
      <c r="N2746">
        <v>0</v>
      </c>
      <c r="O2746">
        <v>0</v>
      </c>
      <c r="P2746">
        <v>0</v>
      </c>
      <c r="Q2746">
        <v>20</v>
      </c>
      <c r="R2746" s="3">
        <v>0</v>
      </c>
      <c r="S2746" s="3">
        <v>0</v>
      </c>
      <c r="T2746">
        <v>0</v>
      </c>
      <c r="U2746">
        <v>0</v>
      </c>
      <c r="V2746" s="3">
        <v>0</v>
      </c>
      <c r="W2746" s="3">
        <v>0</v>
      </c>
      <c r="X2746">
        <v>2</v>
      </c>
      <c r="Y2746" t="s">
        <v>2189</v>
      </c>
    </row>
    <row r="2747" spans="1:25" hidden="1" x14ac:dyDescent="0.25">
      <c r="A2747" t="s">
        <v>34</v>
      </c>
      <c r="B2747" t="s">
        <v>137</v>
      </c>
      <c r="C2747" t="s">
        <v>27</v>
      </c>
      <c r="D2747" t="s">
        <v>27</v>
      </c>
      <c r="E2747" s="2">
        <v>45989</v>
      </c>
      <c r="F2747" s="2">
        <v>45989</v>
      </c>
      <c r="G2747" s="3">
        <v>33</v>
      </c>
      <c r="H2747" s="4" t="s">
        <v>28</v>
      </c>
      <c r="I2747">
        <v>72</v>
      </c>
      <c r="J2747">
        <v>2</v>
      </c>
      <c r="K2747">
        <v>0</v>
      </c>
      <c r="L2747" s="3">
        <v>0</v>
      </c>
      <c r="M2747" s="3">
        <v>0</v>
      </c>
      <c r="N2747">
        <v>0</v>
      </c>
      <c r="O2747">
        <v>0</v>
      </c>
      <c r="P2747">
        <v>0</v>
      </c>
      <c r="Q2747">
        <v>20</v>
      </c>
      <c r="R2747" s="3">
        <v>0</v>
      </c>
      <c r="S2747" s="3">
        <v>0</v>
      </c>
      <c r="T2747">
        <v>0</v>
      </c>
      <c r="U2747">
        <v>0</v>
      </c>
      <c r="V2747" s="3">
        <v>0</v>
      </c>
      <c r="W2747" s="3">
        <v>0</v>
      </c>
      <c r="X2747">
        <v>2</v>
      </c>
      <c r="Y2747" t="s">
        <v>2189</v>
      </c>
    </row>
    <row r="2748" spans="1:25" hidden="1" x14ac:dyDescent="0.25">
      <c r="A2748" t="s">
        <v>49</v>
      </c>
      <c r="B2748" t="s">
        <v>118</v>
      </c>
      <c r="C2748" t="s">
        <v>50</v>
      </c>
      <c r="D2748" t="s">
        <v>27</v>
      </c>
      <c r="E2748" s="2">
        <v>45989</v>
      </c>
      <c r="F2748" s="2">
        <v>45989</v>
      </c>
      <c r="G2748" s="3">
        <v>24</v>
      </c>
      <c r="H2748" s="4" t="s">
        <v>28</v>
      </c>
      <c r="I2748">
        <v>36</v>
      </c>
      <c r="J2748">
        <v>0</v>
      </c>
      <c r="K2748">
        <v>0</v>
      </c>
      <c r="L2748" s="3">
        <v>1</v>
      </c>
      <c r="M2748" s="3">
        <v>1</v>
      </c>
      <c r="N2748">
        <v>0</v>
      </c>
      <c r="O2748">
        <v>0</v>
      </c>
      <c r="P2748">
        <v>0</v>
      </c>
      <c r="Q2748">
        <v>36</v>
      </c>
      <c r="R2748" s="3">
        <v>0</v>
      </c>
      <c r="S2748" s="3">
        <v>0</v>
      </c>
      <c r="T2748">
        <v>0</v>
      </c>
      <c r="U2748">
        <v>0</v>
      </c>
      <c r="V2748" s="3">
        <v>0</v>
      </c>
      <c r="W2748" s="3">
        <v>0</v>
      </c>
      <c r="X2748">
        <v>0</v>
      </c>
      <c r="Y2748" t="s">
        <v>2190</v>
      </c>
    </row>
    <row r="2749" spans="1:25" hidden="1" x14ac:dyDescent="0.25">
      <c r="A2749" t="s">
        <v>54</v>
      </c>
      <c r="B2749" t="s">
        <v>122</v>
      </c>
      <c r="C2749" t="s">
        <v>52</v>
      </c>
      <c r="D2749" t="s">
        <v>27</v>
      </c>
      <c r="E2749" s="2">
        <v>45989</v>
      </c>
      <c r="F2749" s="2">
        <v>45989</v>
      </c>
      <c r="G2749" s="3">
        <v>34</v>
      </c>
      <c r="H2749" s="4" t="s">
        <v>28</v>
      </c>
      <c r="I2749">
        <v>57</v>
      </c>
      <c r="J2749">
        <v>0</v>
      </c>
      <c r="K2749">
        <v>0</v>
      </c>
      <c r="L2749" s="3">
        <v>0</v>
      </c>
      <c r="M2749" s="3">
        <v>0</v>
      </c>
      <c r="N2749">
        <v>0</v>
      </c>
      <c r="O2749">
        <v>0</v>
      </c>
      <c r="P2749">
        <v>0</v>
      </c>
      <c r="Q2749">
        <v>2</v>
      </c>
      <c r="R2749" s="3">
        <v>0</v>
      </c>
      <c r="S2749" s="3">
        <v>0</v>
      </c>
      <c r="T2749">
        <v>0</v>
      </c>
      <c r="U2749">
        <v>0</v>
      </c>
      <c r="V2749" s="3">
        <v>0</v>
      </c>
      <c r="W2749" s="3">
        <v>0</v>
      </c>
      <c r="X2749">
        <v>1</v>
      </c>
      <c r="Y2749" t="s">
        <v>2191</v>
      </c>
    </row>
    <row r="2750" spans="1:25" hidden="1" x14ac:dyDescent="0.25">
      <c r="A2750" t="s">
        <v>58</v>
      </c>
      <c r="B2750" t="s">
        <v>144</v>
      </c>
      <c r="C2750" t="s">
        <v>489</v>
      </c>
      <c r="D2750" t="s">
        <v>27</v>
      </c>
      <c r="E2750" s="2">
        <v>45989</v>
      </c>
      <c r="F2750" s="2">
        <v>45989</v>
      </c>
      <c r="G2750" s="3">
        <v>25</v>
      </c>
      <c r="H2750" s="4" t="s">
        <v>28</v>
      </c>
      <c r="I2750">
        <v>78</v>
      </c>
      <c r="J2750">
        <v>0</v>
      </c>
      <c r="K2750">
        <v>0</v>
      </c>
      <c r="L2750" s="3">
        <v>1</v>
      </c>
      <c r="M2750" s="3">
        <v>0</v>
      </c>
      <c r="N2750">
        <v>0</v>
      </c>
      <c r="O2750">
        <v>0</v>
      </c>
      <c r="P2750">
        <v>0</v>
      </c>
      <c r="Q2750">
        <v>39</v>
      </c>
      <c r="R2750" s="3">
        <v>0</v>
      </c>
      <c r="S2750" s="3">
        <v>0</v>
      </c>
      <c r="T2750">
        <v>0</v>
      </c>
      <c r="U2750">
        <v>0</v>
      </c>
      <c r="V2750" s="3">
        <v>0</v>
      </c>
      <c r="W2750" s="3">
        <v>0</v>
      </c>
      <c r="X2750">
        <v>1</v>
      </c>
      <c r="Y2750" t="s">
        <v>2192</v>
      </c>
    </row>
    <row r="2751" spans="1:25" hidden="1" x14ac:dyDescent="0.25">
      <c r="A2751" t="s">
        <v>48</v>
      </c>
      <c r="B2751" t="s">
        <v>106</v>
      </c>
      <c r="C2751" t="s">
        <v>27</v>
      </c>
      <c r="D2751" t="s">
        <v>27</v>
      </c>
      <c r="E2751" s="2">
        <v>45989</v>
      </c>
      <c r="F2751" s="2">
        <v>45989</v>
      </c>
      <c r="G2751" s="3">
        <v>26</v>
      </c>
      <c r="H2751" s="4" t="s">
        <v>2143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</row>
    <row r="2752" spans="1:25" hidden="1" x14ac:dyDescent="0.25">
      <c r="A2752" t="s">
        <v>51</v>
      </c>
      <c r="B2752" t="s">
        <v>182</v>
      </c>
      <c r="C2752" t="s">
        <v>27</v>
      </c>
      <c r="D2752" t="s">
        <v>27</v>
      </c>
      <c r="E2752" s="2">
        <v>45989</v>
      </c>
      <c r="F2752" s="2">
        <v>45989</v>
      </c>
      <c r="G2752" s="3">
        <v>27</v>
      </c>
      <c r="H2752" s="4" t="s">
        <v>763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</row>
    <row r="2753" spans="1:25" hidden="1" x14ac:dyDescent="0.25">
      <c r="A2753" t="s">
        <v>438</v>
      </c>
      <c r="B2753" t="s">
        <v>184</v>
      </c>
      <c r="C2753" t="s">
        <v>27</v>
      </c>
      <c r="D2753" t="s">
        <v>27</v>
      </c>
      <c r="E2753" s="2">
        <v>45989</v>
      </c>
      <c r="F2753" s="2">
        <v>45989</v>
      </c>
      <c r="G2753" s="3">
        <v>28</v>
      </c>
      <c r="H2753" s="4" t="s">
        <v>763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</row>
    <row r="2754" spans="1:25" hidden="1" x14ac:dyDescent="0.25">
      <c r="A2754" t="s">
        <v>41</v>
      </c>
      <c r="B2754" t="s">
        <v>112</v>
      </c>
      <c r="C2754" t="s">
        <v>42</v>
      </c>
      <c r="D2754" t="s">
        <v>27</v>
      </c>
      <c r="E2754" s="2">
        <v>45990</v>
      </c>
      <c r="F2754" s="2">
        <v>45990</v>
      </c>
      <c r="G2754" s="3">
        <v>65</v>
      </c>
      <c r="H2754" t="s">
        <v>28</v>
      </c>
      <c r="I2754">
        <v>0</v>
      </c>
      <c r="J2754">
        <v>0</v>
      </c>
      <c r="K2754">
        <v>0</v>
      </c>
      <c r="L2754" s="3">
        <v>0</v>
      </c>
      <c r="M2754" s="3">
        <v>0</v>
      </c>
      <c r="N2754">
        <v>0</v>
      </c>
      <c r="O2754">
        <v>0</v>
      </c>
      <c r="P2754">
        <v>0</v>
      </c>
      <c r="Q2754">
        <v>69</v>
      </c>
      <c r="R2754" s="3">
        <v>1</v>
      </c>
      <c r="S2754" s="3">
        <v>0</v>
      </c>
      <c r="T2754">
        <v>73</v>
      </c>
      <c r="U2754">
        <v>59</v>
      </c>
      <c r="V2754" s="3">
        <v>1</v>
      </c>
      <c r="W2754" s="3">
        <v>0</v>
      </c>
      <c r="X2754">
        <v>6</v>
      </c>
      <c r="Y2754" t="s">
        <v>2193</v>
      </c>
    </row>
    <row r="2755" spans="1:25" hidden="1" x14ac:dyDescent="0.25">
      <c r="A2755" t="s">
        <v>51</v>
      </c>
      <c r="B2755" t="s">
        <v>120</v>
      </c>
      <c r="C2755" t="s">
        <v>55</v>
      </c>
      <c r="D2755" t="s">
        <v>27</v>
      </c>
      <c r="E2755" s="2">
        <v>45990</v>
      </c>
      <c r="F2755" s="2">
        <v>45990</v>
      </c>
      <c r="G2755" s="3">
        <v>208</v>
      </c>
      <c r="H2755" t="s">
        <v>28</v>
      </c>
      <c r="I2755">
        <v>0</v>
      </c>
      <c r="J2755">
        <v>0</v>
      </c>
      <c r="K2755">
        <v>0</v>
      </c>
      <c r="L2755" s="3">
        <v>0</v>
      </c>
      <c r="M2755" s="3">
        <v>0</v>
      </c>
      <c r="N2755">
        <v>0</v>
      </c>
      <c r="O2755">
        <v>0</v>
      </c>
      <c r="P2755">
        <v>0</v>
      </c>
      <c r="Q2755">
        <v>0</v>
      </c>
      <c r="R2755" s="3">
        <v>1</v>
      </c>
      <c r="S2755" s="3">
        <v>0</v>
      </c>
      <c r="T2755">
        <v>10</v>
      </c>
      <c r="U2755">
        <v>92</v>
      </c>
      <c r="V2755" s="3">
        <v>1</v>
      </c>
      <c r="W2755" s="3">
        <v>0</v>
      </c>
      <c r="X2755">
        <v>0</v>
      </c>
      <c r="Y2755" t="s">
        <v>2194</v>
      </c>
    </row>
    <row r="2756" spans="1:25" hidden="1" x14ac:dyDescent="0.25">
      <c r="A2756" t="s">
        <v>33</v>
      </c>
      <c r="B2756" t="s">
        <v>106</v>
      </c>
      <c r="C2756" t="s">
        <v>55</v>
      </c>
      <c r="D2756" t="s">
        <v>27</v>
      </c>
      <c r="E2756" s="2">
        <v>45991</v>
      </c>
      <c r="F2756" s="2">
        <v>45991</v>
      </c>
      <c r="G2756" s="3">
        <v>394</v>
      </c>
      <c r="H2756" t="s">
        <v>28</v>
      </c>
      <c r="I2756">
        <v>0</v>
      </c>
      <c r="J2756">
        <v>0</v>
      </c>
      <c r="K2756">
        <v>0</v>
      </c>
      <c r="L2756" s="3">
        <v>0</v>
      </c>
      <c r="M2756" s="3">
        <v>0</v>
      </c>
      <c r="N2756">
        <v>0</v>
      </c>
      <c r="O2756">
        <v>0</v>
      </c>
      <c r="P2756">
        <v>0</v>
      </c>
      <c r="Q2756">
        <v>0</v>
      </c>
      <c r="R2756" s="3">
        <v>0</v>
      </c>
      <c r="S2756" s="3">
        <v>1</v>
      </c>
      <c r="T2756">
        <v>27</v>
      </c>
      <c r="U2756">
        <v>83</v>
      </c>
      <c r="V2756" s="3">
        <v>0</v>
      </c>
      <c r="W2756" s="3">
        <v>1</v>
      </c>
      <c r="X2756">
        <v>3</v>
      </c>
      <c r="Y2756" t="s">
        <v>2195</v>
      </c>
    </row>
    <row r="2757" spans="1:25" hidden="1" x14ac:dyDescent="0.25">
      <c r="A2757" t="s">
        <v>344</v>
      </c>
      <c r="B2757" t="s">
        <v>182</v>
      </c>
      <c r="C2757" t="s">
        <v>37</v>
      </c>
      <c r="D2757" t="s">
        <v>27</v>
      </c>
      <c r="E2757" s="2">
        <v>45991</v>
      </c>
      <c r="F2757" s="2">
        <v>45991</v>
      </c>
      <c r="G2757" s="3">
        <v>395</v>
      </c>
      <c r="H2757" t="s">
        <v>28</v>
      </c>
      <c r="I2757">
        <v>0</v>
      </c>
      <c r="J2757">
        <v>0</v>
      </c>
      <c r="K2757">
        <v>0</v>
      </c>
      <c r="L2757" s="3">
        <v>0</v>
      </c>
      <c r="M2757" s="3">
        <v>0</v>
      </c>
      <c r="N2757">
        <v>0</v>
      </c>
      <c r="O2757">
        <v>0</v>
      </c>
      <c r="P2757">
        <v>0</v>
      </c>
      <c r="Q2757">
        <v>0</v>
      </c>
      <c r="R2757" s="3">
        <v>0</v>
      </c>
      <c r="S2757" s="3">
        <v>1</v>
      </c>
      <c r="T2757">
        <v>42</v>
      </c>
      <c r="U2757">
        <v>80</v>
      </c>
      <c r="V2757" s="3">
        <v>0</v>
      </c>
      <c r="W2757" s="3">
        <v>1</v>
      </c>
      <c r="X2757" s="3">
        <v>3</v>
      </c>
      <c r="Y2757" t="s">
        <v>2195</v>
      </c>
    </row>
    <row r="2758" spans="1:25" hidden="1" x14ac:dyDescent="0.25">
      <c r="A2758" t="s">
        <v>25</v>
      </c>
      <c r="B2758" t="s">
        <v>96</v>
      </c>
      <c r="C2758" t="s">
        <v>26</v>
      </c>
      <c r="D2758" t="s">
        <v>27</v>
      </c>
      <c r="E2758" s="2">
        <v>45992</v>
      </c>
      <c r="F2758" s="2">
        <v>45992</v>
      </c>
      <c r="G2758" s="3">
        <v>44</v>
      </c>
      <c r="H2758" s="4" t="s">
        <v>28</v>
      </c>
      <c r="I2758">
        <v>76</v>
      </c>
      <c r="J2758">
        <v>0</v>
      </c>
      <c r="K2758">
        <v>0</v>
      </c>
      <c r="L2758" s="3">
        <v>1</v>
      </c>
      <c r="M2758" s="3">
        <v>0</v>
      </c>
      <c r="N2758">
        <v>1</v>
      </c>
      <c r="O2758">
        <v>0</v>
      </c>
      <c r="P2758">
        <v>0</v>
      </c>
      <c r="Q2758">
        <v>0</v>
      </c>
      <c r="R2758" s="3">
        <v>0</v>
      </c>
      <c r="S2758" s="3">
        <v>0</v>
      </c>
      <c r="T2758">
        <v>0</v>
      </c>
      <c r="U2758">
        <v>0</v>
      </c>
      <c r="V2758" s="3">
        <v>0</v>
      </c>
      <c r="W2758" s="3">
        <v>0</v>
      </c>
      <c r="X2758">
        <v>0</v>
      </c>
      <c r="Y2758" t="s">
        <v>2196</v>
      </c>
    </row>
    <row r="2759" spans="1:25" hidden="1" x14ac:dyDescent="0.25">
      <c r="A2759" t="s">
        <v>56</v>
      </c>
      <c r="B2759" t="s">
        <v>98</v>
      </c>
      <c r="C2759" t="s">
        <v>37</v>
      </c>
      <c r="D2759" t="s">
        <v>27</v>
      </c>
      <c r="E2759" s="2">
        <v>45992</v>
      </c>
      <c r="F2759" s="2">
        <v>45992</v>
      </c>
      <c r="G2759" s="3">
        <v>30</v>
      </c>
      <c r="H2759" s="4" t="s">
        <v>28</v>
      </c>
      <c r="I2759">
        <v>87</v>
      </c>
      <c r="J2759">
        <v>0</v>
      </c>
      <c r="K2759">
        <v>0</v>
      </c>
      <c r="L2759" s="3">
        <v>1</v>
      </c>
      <c r="M2759" s="3">
        <v>0</v>
      </c>
      <c r="N2759">
        <v>0</v>
      </c>
      <c r="O2759">
        <v>0</v>
      </c>
      <c r="P2759">
        <v>0</v>
      </c>
      <c r="Q2759">
        <v>10</v>
      </c>
      <c r="R2759" s="3">
        <v>0</v>
      </c>
      <c r="S2759" s="3">
        <v>0</v>
      </c>
      <c r="T2759">
        <v>0</v>
      </c>
      <c r="U2759">
        <v>0</v>
      </c>
      <c r="V2759" s="3">
        <v>0</v>
      </c>
      <c r="W2759" s="3">
        <v>0</v>
      </c>
      <c r="X2759">
        <v>0</v>
      </c>
      <c r="Y2759" t="s">
        <v>2197</v>
      </c>
    </row>
    <row r="2760" spans="1:25" hidden="1" x14ac:dyDescent="0.25">
      <c r="A2760" t="s">
        <v>29</v>
      </c>
      <c r="B2760" t="s">
        <v>100</v>
      </c>
      <c r="C2760" t="s">
        <v>95</v>
      </c>
      <c r="D2760" t="s">
        <v>27</v>
      </c>
      <c r="E2760" s="2">
        <v>45992</v>
      </c>
      <c r="F2760" s="2">
        <v>45992</v>
      </c>
      <c r="G2760" s="3">
        <v>36</v>
      </c>
      <c r="H2760" s="4" t="s">
        <v>28</v>
      </c>
      <c r="I2760">
        <v>120</v>
      </c>
      <c r="J2760">
        <v>0</v>
      </c>
      <c r="K2760">
        <v>0</v>
      </c>
      <c r="L2760" s="3">
        <v>1</v>
      </c>
      <c r="M2760" s="3">
        <v>0</v>
      </c>
      <c r="N2760">
        <v>0</v>
      </c>
      <c r="O2760">
        <v>0</v>
      </c>
      <c r="P2760">
        <v>0</v>
      </c>
      <c r="Q2760">
        <v>18</v>
      </c>
      <c r="R2760" s="3">
        <v>0</v>
      </c>
      <c r="S2760" s="3">
        <v>0</v>
      </c>
      <c r="T2760">
        <v>0</v>
      </c>
      <c r="U2760">
        <v>0</v>
      </c>
      <c r="V2760" s="3">
        <v>0</v>
      </c>
      <c r="W2760" s="3">
        <v>0</v>
      </c>
      <c r="X2760">
        <v>0</v>
      </c>
      <c r="Y2760" t="s">
        <v>2198</v>
      </c>
    </row>
    <row r="2761" spans="1:25" hidden="1" x14ac:dyDescent="0.25">
      <c r="A2761" t="s">
        <v>344</v>
      </c>
      <c r="B2761" t="s">
        <v>100</v>
      </c>
      <c r="C2761" t="s">
        <v>35</v>
      </c>
      <c r="D2761" t="s">
        <v>27</v>
      </c>
      <c r="E2761" s="2">
        <v>45992</v>
      </c>
      <c r="F2761" s="2">
        <v>45992</v>
      </c>
      <c r="G2761" s="3">
        <v>47</v>
      </c>
      <c r="H2761" s="4" t="s">
        <v>28</v>
      </c>
      <c r="I2761">
        <v>42</v>
      </c>
      <c r="J2761">
        <v>0</v>
      </c>
      <c r="K2761">
        <v>0</v>
      </c>
      <c r="L2761" s="3">
        <v>0</v>
      </c>
      <c r="M2761" s="3">
        <v>0</v>
      </c>
      <c r="N2761">
        <v>0</v>
      </c>
      <c r="O2761">
        <v>0</v>
      </c>
      <c r="P2761">
        <v>0</v>
      </c>
      <c r="Q2761">
        <v>0</v>
      </c>
      <c r="R2761" s="3">
        <v>0</v>
      </c>
      <c r="S2761" s="3">
        <v>0</v>
      </c>
      <c r="T2761">
        <v>0</v>
      </c>
      <c r="U2761">
        <v>0</v>
      </c>
      <c r="V2761" s="3">
        <v>0</v>
      </c>
      <c r="W2761" s="3">
        <v>0</v>
      </c>
      <c r="X2761">
        <v>0</v>
      </c>
      <c r="Y2761" t="s">
        <v>2111</v>
      </c>
    </row>
    <row r="2762" spans="1:25" hidden="1" x14ac:dyDescent="0.25">
      <c r="A2762" t="s">
        <v>31</v>
      </c>
      <c r="B2762" t="s">
        <v>104</v>
      </c>
      <c r="C2762" t="s">
        <v>32</v>
      </c>
      <c r="D2762" t="s">
        <v>27</v>
      </c>
      <c r="E2762" s="2">
        <v>45992</v>
      </c>
      <c r="F2762" s="2">
        <v>45992</v>
      </c>
      <c r="G2762" s="3">
        <v>50</v>
      </c>
      <c r="H2762" s="4" t="s">
        <v>28</v>
      </c>
      <c r="I2762">
        <v>92</v>
      </c>
      <c r="J2762">
        <v>0</v>
      </c>
      <c r="K2762">
        <v>0</v>
      </c>
      <c r="L2762" s="3">
        <v>0</v>
      </c>
      <c r="M2762" s="3">
        <v>0</v>
      </c>
      <c r="N2762">
        <v>0</v>
      </c>
      <c r="O2762">
        <v>0</v>
      </c>
      <c r="P2762">
        <v>0</v>
      </c>
      <c r="Q2762">
        <v>30</v>
      </c>
      <c r="R2762" s="3">
        <v>0</v>
      </c>
      <c r="S2762" s="3">
        <v>0</v>
      </c>
      <c r="T2762">
        <v>0</v>
      </c>
      <c r="U2762">
        <v>0</v>
      </c>
      <c r="V2762" s="3">
        <v>0</v>
      </c>
      <c r="W2762" s="3">
        <v>0</v>
      </c>
      <c r="X2762">
        <v>1</v>
      </c>
      <c r="Y2762" t="s">
        <v>2199</v>
      </c>
    </row>
    <row r="2763" spans="1:25" hidden="1" x14ac:dyDescent="0.25">
      <c r="A2763" t="s">
        <v>33</v>
      </c>
      <c r="B2763" t="s">
        <v>106</v>
      </c>
      <c r="C2763" t="s">
        <v>57</v>
      </c>
      <c r="D2763" t="s">
        <v>27</v>
      </c>
      <c r="E2763" s="2">
        <v>45992</v>
      </c>
      <c r="F2763" s="2">
        <v>45992</v>
      </c>
      <c r="G2763" s="3">
        <v>26</v>
      </c>
      <c r="H2763" s="4" t="s">
        <v>28</v>
      </c>
      <c r="I2763">
        <v>66</v>
      </c>
      <c r="J2763">
        <v>0</v>
      </c>
      <c r="K2763">
        <v>0</v>
      </c>
      <c r="L2763" s="3">
        <v>0</v>
      </c>
      <c r="M2763" s="3">
        <v>0</v>
      </c>
      <c r="N2763">
        <v>0</v>
      </c>
      <c r="O2763">
        <v>0</v>
      </c>
      <c r="P2763">
        <v>0</v>
      </c>
      <c r="Q2763">
        <v>20</v>
      </c>
      <c r="R2763" s="3">
        <v>0</v>
      </c>
      <c r="S2763" s="3">
        <v>0</v>
      </c>
      <c r="T2763">
        <v>0</v>
      </c>
      <c r="U2763">
        <v>0</v>
      </c>
      <c r="V2763" s="3">
        <v>0</v>
      </c>
      <c r="W2763" s="3">
        <v>0</v>
      </c>
      <c r="X2763">
        <v>0</v>
      </c>
      <c r="Y2763" t="s">
        <v>2200</v>
      </c>
    </row>
    <row r="2764" spans="1:25" hidden="1" x14ac:dyDescent="0.25">
      <c r="A2764" t="s">
        <v>38</v>
      </c>
      <c r="B2764" t="s">
        <v>108</v>
      </c>
      <c r="C2764" t="s">
        <v>27</v>
      </c>
      <c r="D2764" t="s">
        <v>27</v>
      </c>
      <c r="E2764" s="2">
        <v>45992</v>
      </c>
      <c r="F2764" s="2">
        <v>45992</v>
      </c>
      <c r="G2764" s="3">
        <v>38</v>
      </c>
      <c r="H2764" s="4" t="s">
        <v>28</v>
      </c>
      <c r="I2764">
        <v>53</v>
      </c>
      <c r="J2764">
        <v>0</v>
      </c>
      <c r="K2764">
        <v>0</v>
      </c>
      <c r="L2764" s="3">
        <v>0</v>
      </c>
      <c r="M2764" s="3">
        <v>0</v>
      </c>
      <c r="N2764">
        <v>0</v>
      </c>
      <c r="O2764">
        <v>0</v>
      </c>
      <c r="P2764">
        <v>0</v>
      </c>
      <c r="Q2764">
        <v>53</v>
      </c>
      <c r="R2764" s="3">
        <v>0</v>
      </c>
      <c r="S2764" s="3">
        <v>0</v>
      </c>
      <c r="T2764">
        <v>0</v>
      </c>
      <c r="U2764">
        <v>0</v>
      </c>
      <c r="V2764" s="3">
        <v>0</v>
      </c>
      <c r="W2764" s="3">
        <v>0</v>
      </c>
      <c r="X2764">
        <v>0</v>
      </c>
      <c r="Y2764" t="s">
        <v>2201</v>
      </c>
    </row>
    <row r="2765" spans="1:25" hidden="1" x14ac:dyDescent="0.25">
      <c r="A2765" t="s">
        <v>1454</v>
      </c>
      <c r="B2765" t="s">
        <v>1455</v>
      </c>
      <c r="C2765" t="s">
        <v>27</v>
      </c>
      <c r="D2765" t="s">
        <v>27</v>
      </c>
      <c r="E2765" s="2">
        <v>45992</v>
      </c>
      <c r="F2765" s="2">
        <v>45992</v>
      </c>
      <c r="G2765" s="3">
        <v>47</v>
      </c>
      <c r="H2765" s="4" t="s">
        <v>28</v>
      </c>
      <c r="I2765">
        <v>48</v>
      </c>
      <c r="J2765">
        <v>0</v>
      </c>
      <c r="K2765">
        <v>0</v>
      </c>
      <c r="L2765" s="3">
        <v>1</v>
      </c>
      <c r="M2765" s="3">
        <v>0</v>
      </c>
      <c r="N2765">
        <v>0</v>
      </c>
      <c r="O2765">
        <v>0</v>
      </c>
      <c r="P2765">
        <v>0</v>
      </c>
      <c r="Q2765">
        <v>48</v>
      </c>
      <c r="R2765" s="3">
        <v>0</v>
      </c>
      <c r="S2765" s="3">
        <v>0</v>
      </c>
      <c r="T2765">
        <v>0</v>
      </c>
      <c r="U2765">
        <v>0</v>
      </c>
      <c r="V2765" s="3">
        <v>0</v>
      </c>
      <c r="W2765" s="3">
        <v>0</v>
      </c>
      <c r="X2765">
        <v>0</v>
      </c>
      <c r="Y2765" t="s">
        <v>2202</v>
      </c>
    </row>
    <row r="2766" spans="1:25" hidden="1" x14ac:dyDescent="0.25">
      <c r="A2766" t="s">
        <v>40</v>
      </c>
      <c r="B2766" t="s">
        <v>110</v>
      </c>
      <c r="C2766" t="s">
        <v>27</v>
      </c>
      <c r="D2766" t="s">
        <v>27</v>
      </c>
      <c r="E2766" s="2">
        <v>45992</v>
      </c>
      <c r="F2766" s="2">
        <v>45992</v>
      </c>
      <c r="G2766" s="3">
        <v>125</v>
      </c>
      <c r="H2766" s="4" t="s">
        <v>28</v>
      </c>
      <c r="I2766">
        <v>67</v>
      </c>
      <c r="J2766">
        <v>0</v>
      </c>
      <c r="K2766">
        <v>0</v>
      </c>
      <c r="L2766" s="3">
        <v>1</v>
      </c>
      <c r="M2766" s="3">
        <v>0</v>
      </c>
      <c r="N2766">
        <v>1</v>
      </c>
      <c r="O2766">
        <v>0</v>
      </c>
      <c r="P2766">
        <v>0</v>
      </c>
      <c r="Q2766">
        <v>30</v>
      </c>
      <c r="R2766" s="3">
        <v>0</v>
      </c>
      <c r="S2766" s="3">
        <v>0</v>
      </c>
      <c r="T2766">
        <v>0</v>
      </c>
      <c r="U2766">
        <v>0</v>
      </c>
      <c r="V2766" s="3">
        <v>0</v>
      </c>
      <c r="W2766" s="3">
        <v>0</v>
      </c>
      <c r="X2766">
        <v>0</v>
      </c>
      <c r="Y2766" t="s">
        <v>2184</v>
      </c>
    </row>
    <row r="2767" spans="1:25" hidden="1" x14ac:dyDescent="0.25">
      <c r="A2767" t="s">
        <v>36</v>
      </c>
      <c r="B2767" t="s">
        <v>110</v>
      </c>
      <c r="C2767" t="s">
        <v>27</v>
      </c>
      <c r="D2767" t="s">
        <v>27</v>
      </c>
      <c r="E2767" s="2">
        <v>45992</v>
      </c>
      <c r="F2767" s="2">
        <v>45992</v>
      </c>
      <c r="G2767" s="3">
        <v>125</v>
      </c>
      <c r="H2767" s="4" t="s">
        <v>28</v>
      </c>
      <c r="I2767">
        <v>67</v>
      </c>
      <c r="J2767">
        <v>0</v>
      </c>
      <c r="K2767">
        <v>0</v>
      </c>
      <c r="L2767" s="3">
        <v>1</v>
      </c>
      <c r="M2767" s="3">
        <v>0</v>
      </c>
      <c r="N2767">
        <v>1</v>
      </c>
      <c r="O2767">
        <v>0</v>
      </c>
      <c r="P2767">
        <v>0</v>
      </c>
      <c r="Q2767">
        <v>30</v>
      </c>
      <c r="R2767" s="3">
        <v>0</v>
      </c>
      <c r="S2767" s="3">
        <v>0</v>
      </c>
      <c r="T2767">
        <v>0</v>
      </c>
      <c r="U2767">
        <v>0</v>
      </c>
      <c r="V2767" s="3">
        <v>0</v>
      </c>
      <c r="W2767" s="3">
        <v>0</v>
      </c>
      <c r="X2767">
        <v>0</v>
      </c>
      <c r="Y2767" t="s">
        <v>2184</v>
      </c>
    </row>
    <row r="2768" spans="1:25" hidden="1" x14ac:dyDescent="0.25">
      <c r="A2768" t="s">
        <v>41</v>
      </c>
      <c r="B2768" t="s">
        <v>112</v>
      </c>
      <c r="C2768" t="s">
        <v>42</v>
      </c>
      <c r="D2768" t="s">
        <v>27</v>
      </c>
      <c r="E2768" s="2">
        <v>45992</v>
      </c>
      <c r="F2768" s="2">
        <v>45992</v>
      </c>
      <c r="G2768" s="3">
        <v>40</v>
      </c>
      <c r="H2768" s="4" t="s">
        <v>28</v>
      </c>
      <c r="I2768">
        <v>44</v>
      </c>
      <c r="J2768">
        <v>0</v>
      </c>
      <c r="K2768">
        <v>0</v>
      </c>
      <c r="L2768" s="3">
        <v>1</v>
      </c>
      <c r="M2768" s="3">
        <v>0</v>
      </c>
      <c r="N2768">
        <v>0</v>
      </c>
      <c r="O2768">
        <v>0</v>
      </c>
      <c r="P2768">
        <v>0</v>
      </c>
      <c r="Q2768">
        <v>0</v>
      </c>
      <c r="R2768" s="3">
        <v>0</v>
      </c>
      <c r="S2768" s="3">
        <v>0</v>
      </c>
      <c r="T2768">
        <v>0</v>
      </c>
      <c r="U2768">
        <v>0</v>
      </c>
      <c r="V2768" s="3">
        <v>0</v>
      </c>
      <c r="W2768" s="3">
        <v>0</v>
      </c>
      <c r="X2768">
        <v>0</v>
      </c>
      <c r="Y2768" t="s">
        <v>2203</v>
      </c>
    </row>
    <row r="2769" spans="1:25" hidden="1" x14ac:dyDescent="0.25">
      <c r="A2769" t="s">
        <v>43</v>
      </c>
      <c r="B2769" t="s">
        <v>114</v>
      </c>
      <c r="C2769" t="s">
        <v>44</v>
      </c>
      <c r="D2769" t="s">
        <v>27</v>
      </c>
      <c r="E2769" s="2">
        <v>45992</v>
      </c>
      <c r="F2769" s="2">
        <v>45992</v>
      </c>
      <c r="G2769" s="3">
        <v>36</v>
      </c>
      <c r="H2769" s="4" t="s">
        <v>28</v>
      </c>
      <c r="I2769">
        <v>49</v>
      </c>
      <c r="J2769">
        <v>0</v>
      </c>
      <c r="K2769">
        <v>0</v>
      </c>
      <c r="L2769" s="3">
        <v>1</v>
      </c>
      <c r="M2769" s="3">
        <v>0</v>
      </c>
      <c r="N2769">
        <v>0</v>
      </c>
      <c r="O2769">
        <v>0</v>
      </c>
      <c r="P2769">
        <v>0</v>
      </c>
      <c r="Q2769">
        <v>0</v>
      </c>
      <c r="R2769" s="3">
        <v>0</v>
      </c>
      <c r="S2769" s="3">
        <v>0</v>
      </c>
      <c r="T2769">
        <v>0</v>
      </c>
      <c r="U2769">
        <v>0</v>
      </c>
      <c r="V2769" s="3">
        <v>0</v>
      </c>
      <c r="W2769" s="3">
        <v>0</v>
      </c>
      <c r="X2769">
        <v>0</v>
      </c>
      <c r="Y2769" t="s">
        <v>2204</v>
      </c>
    </row>
    <row r="2770" spans="1:25" hidden="1" x14ac:dyDescent="0.25">
      <c r="A2770" t="s">
        <v>2118</v>
      </c>
      <c r="B2770" t="s">
        <v>2119</v>
      </c>
      <c r="C2770" t="s">
        <v>27</v>
      </c>
      <c r="D2770" t="s">
        <v>27</v>
      </c>
      <c r="E2770" s="2">
        <v>45992</v>
      </c>
      <c r="F2770" s="2">
        <v>45992</v>
      </c>
      <c r="G2770" s="3">
        <v>45</v>
      </c>
      <c r="H2770" s="4" t="s">
        <v>28</v>
      </c>
      <c r="I2770">
        <v>38</v>
      </c>
      <c r="J2770">
        <v>0</v>
      </c>
      <c r="K2770">
        <v>0</v>
      </c>
      <c r="L2770" s="3">
        <v>1</v>
      </c>
      <c r="M2770" s="3">
        <v>0</v>
      </c>
      <c r="N2770">
        <v>0</v>
      </c>
      <c r="O2770">
        <v>0</v>
      </c>
      <c r="P2770">
        <v>0</v>
      </c>
      <c r="Q2770">
        <v>38</v>
      </c>
      <c r="R2770" s="3">
        <v>0</v>
      </c>
      <c r="S2770" s="3">
        <v>0</v>
      </c>
      <c r="T2770">
        <v>0</v>
      </c>
      <c r="U2770">
        <v>0</v>
      </c>
      <c r="V2770" s="3">
        <v>0</v>
      </c>
      <c r="W2770" s="3">
        <v>0</v>
      </c>
      <c r="X2770">
        <v>0</v>
      </c>
      <c r="Y2770" t="s">
        <v>2205</v>
      </c>
    </row>
    <row r="2771" spans="1:25" hidden="1" x14ac:dyDescent="0.25">
      <c r="A2771" t="s">
        <v>45</v>
      </c>
      <c r="B2771" t="s">
        <v>116</v>
      </c>
      <c r="C2771" t="s">
        <v>46</v>
      </c>
      <c r="D2771" t="s">
        <v>27</v>
      </c>
      <c r="E2771" s="2">
        <v>45992</v>
      </c>
      <c r="F2771" s="2">
        <v>45992</v>
      </c>
      <c r="G2771" s="3">
        <v>53</v>
      </c>
      <c r="H2771" s="4" t="s">
        <v>28</v>
      </c>
      <c r="I2771">
        <v>68</v>
      </c>
      <c r="J2771">
        <v>4</v>
      </c>
      <c r="K2771">
        <v>0</v>
      </c>
      <c r="L2771" s="3">
        <v>1</v>
      </c>
      <c r="M2771" s="3">
        <v>0</v>
      </c>
      <c r="N2771">
        <v>0</v>
      </c>
      <c r="O2771">
        <v>0</v>
      </c>
      <c r="P2771">
        <v>0</v>
      </c>
      <c r="Q2771">
        <v>9</v>
      </c>
      <c r="R2771" s="3">
        <v>0</v>
      </c>
      <c r="S2771" s="3">
        <v>0</v>
      </c>
      <c r="T2771">
        <v>0</v>
      </c>
      <c r="U2771">
        <v>0</v>
      </c>
      <c r="V2771" s="3">
        <v>0</v>
      </c>
      <c r="W2771" s="3">
        <v>0</v>
      </c>
      <c r="X2771">
        <v>0</v>
      </c>
      <c r="Y2771" t="s">
        <v>2206</v>
      </c>
    </row>
    <row r="2772" spans="1:25" hidden="1" x14ac:dyDescent="0.25">
      <c r="A2772" t="s">
        <v>47</v>
      </c>
      <c r="B2772" t="s">
        <v>137</v>
      </c>
      <c r="C2772" t="s">
        <v>27</v>
      </c>
      <c r="D2772" t="s">
        <v>27</v>
      </c>
      <c r="E2772" s="2">
        <v>45992</v>
      </c>
      <c r="F2772" s="2">
        <v>45992</v>
      </c>
      <c r="G2772" s="3">
        <v>84</v>
      </c>
      <c r="H2772" s="4" t="s">
        <v>28</v>
      </c>
      <c r="I2772">
        <v>46</v>
      </c>
      <c r="J2772">
        <v>0</v>
      </c>
      <c r="K2772">
        <v>0</v>
      </c>
      <c r="L2772" s="3">
        <v>0</v>
      </c>
      <c r="M2772" s="3">
        <v>0</v>
      </c>
      <c r="N2772">
        <v>0</v>
      </c>
      <c r="O2772">
        <v>0</v>
      </c>
      <c r="P2772">
        <v>0</v>
      </c>
      <c r="Q2772">
        <v>15</v>
      </c>
      <c r="R2772" s="3">
        <v>0</v>
      </c>
      <c r="S2772" s="3">
        <v>0</v>
      </c>
      <c r="T2772">
        <v>0</v>
      </c>
      <c r="U2772">
        <v>0</v>
      </c>
      <c r="V2772" s="3">
        <v>0</v>
      </c>
      <c r="W2772" s="3">
        <v>0</v>
      </c>
      <c r="X2772">
        <v>0</v>
      </c>
      <c r="Y2772" t="s">
        <v>2207</v>
      </c>
    </row>
    <row r="2773" spans="1:25" hidden="1" x14ac:dyDescent="0.25">
      <c r="A2773" t="s">
        <v>34</v>
      </c>
      <c r="B2773" t="s">
        <v>137</v>
      </c>
      <c r="C2773" t="s">
        <v>27</v>
      </c>
      <c r="D2773" t="s">
        <v>27</v>
      </c>
      <c r="E2773" s="2">
        <v>45992</v>
      </c>
      <c r="F2773" s="2">
        <v>45992</v>
      </c>
      <c r="G2773" s="3">
        <v>84</v>
      </c>
      <c r="H2773" s="4" t="s">
        <v>28</v>
      </c>
      <c r="I2773">
        <v>46</v>
      </c>
      <c r="J2773">
        <v>0</v>
      </c>
      <c r="K2773">
        <v>0</v>
      </c>
      <c r="L2773" s="3">
        <v>0</v>
      </c>
      <c r="M2773" s="3">
        <v>0</v>
      </c>
      <c r="N2773">
        <v>0</v>
      </c>
      <c r="O2773">
        <v>0</v>
      </c>
      <c r="P2773">
        <v>0</v>
      </c>
      <c r="Q2773">
        <v>15</v>
      </c>
      <c r="R2773" s="3">
        <v>0</v>
      </c>
      <c r="S2773" s="3">
        <v>0</v>
      </c>
      <c r="T2773">
        <v>0</v>
      </c>
      <c r="U2773">
        <v>0</v>
      </c>
      <c r="V2773" s="3">
        <v>0</v>
      </c>
      <c r="W2773" s="3">
        <v>0</v>
      </c>
      <c r="X2773">
        <v>0</v>
      </c>
      <c r="Y2773" t="s">
        <v>2207</v>
      </c>
    </row>
    <row r="2774" spans="1:25" hidden="1" x14ac:dyDescent="0.25">
      <c r="A2774" t="s">
        <v>49</v>
      </c>
      <c r="B2774" t="s">
        <v>118</v>
      </c>
      <c r="C2774" t="s">
        <v>50</v>
      </c>
      <c r="D2774" t="s">
        <v>27</v>
      </c>
      <c r="E2774" s="2">
        <v>45992</v>
      </c>
      <c r="F2774" s="2">
        <v>45992</v>
      </c>
      <c r="G2774" s="3">
        <v>23</v>
      </c>
      <c r="H2774" s="4" t="s">
        <v>28</v>
      </c>
      <c r="I2774">
        <v>26</v>
      </c>
      <c r="J2774">
        <v>0</v>
      </c>
      <c r="K2774">
        <v>0</v>
      </c>
      <c r="L2774" s="3">
        <v>1</v>
      </c>
      <c r="M2774" s="3">
        <v>1</v>
      </c>
      <c r="N2774">
        <v>0</v>
      </c>
      <c r="O2774">
        <v>1</v>
      </c>
      <c r="P2774">
        <v>0</v>
      </c>
      <c r="Q2774">
        <v>26</v>
      </c>
      <c r="R2774" s="3">
        <v>0</v>
      </c>
      <c r="S2774" s="3">
        <v>0</v>
      </c>
      <c r="T2774">
        <v>0</v>
      </c>
      <c r="U2774">
        <v>0</v>
      </c>
      <c r="V2774" s="3">
        <v>0</v>
      </c>
      <c r="W2774" s="3">
        <v>0</v>
      </c>
      <c r="X2774">
        <v>0</v>
      </c>
      <c r="Y2774" t="s">
        <v>2208</v>
      </c>
    </row>
    <row r="2775" spans="1:25" hidden="1" x14ac:dyDescent="0.25">
      <c r="A2775" t="s">
        <v>51</v>
      </c>
      <c r="B2775" t="s">
        <v>120</v>
      </c>
      <c r="C2775" t="s">
        <v>55</v>
      </c>
      <c r="D2775" t="s">
        <v>27</v>
      </c>
      <c r="E2775" s="2">
        <v>45992</v>
      </c>
      <c r="F2775" s="2">
        <v>45992</v>
      </c>
      <c r="G2775" s="3">
        <v>75</v>
      </c>
      <c r="H2775" s="4" t="s">
        <v>28</v>
      </c>
      <c r="I2775">
        <v>41</v>
      </c>
      <c r="J2775">
        <v>0</v>
      </c>
      <c r="K2775">
        <v>0</v>
      </c>
      <c r="L2775" s="3">
        <v>1</v>
      </c>
      <c r="M2775" s="3">
        <v>0</v>
      </c>
      <c r="N2775">
        <v>1</v>
      </c>
      <c r="O2775">
        <v>0</v>
      </c>
      <c r="P2775">
        <v>0</v>
      </c>
      <c r="Q2775">
        <v>0</v>
      </c>
      <c r="R2775" s="3">
        <v>0</v>
      </c>
      <c r="S2775" s="3">
        <v>0</v>
      </c>
      <c r="T2775">
        <v>0</v>
      </c>
      <c r="U2775">
        <v>0</v>
      </c>
      <c r="V2775" s="3">
        <v>0</v>
      </c>
      <c r="W2775" s="3">
        <v>0</v>
      </c>
      <c r="X2775">
        <v>0</v>
      </c>
      <c r="Y2775" t="s">
        <v>2209</v>
      </c>
    </row>
    <row r="2776" spans="1:25" hidden="1" x14ac:dyDescent="0.25">
      <c r="A2776" t="s">
        <v>54</v>
      </c>
      <c r="B2776" t="s">
        <v>122</v>
      </c>
      <c r="C2776" t="s">
        <v>52</v>
      </c>
      <c r="D2776" t="s">
        <v>27</v>
      </c>
      <c r="E2776" s="2">
        <v>45992</v>
      </c>
      <c r="F2776" s="2">
        <v>45992</v>
      </c>
      <c r="G2776" s="3">
        <v>46</v>
      </c>
      <c r="H2776" s="4" t="s">
        <v>28</v>
      </c>
      <c r="I2776">
        <v>44</v>
      </c>
      <c r="J2776">
        <v>0</v>
      </c>
      <c r="K2776">
        <v>0</v>
      </c>
      <c r="L2776" s="3">
        <v>0</v>
      </c>
      <c r="M2776" s="3">
        <v>0</v>
      </c>
      <c r="N2776">
        <v>0</v>
      </c>
      <c r="O2776">
        <v>0</v>
      </c>
      <c r="P2776">
        <v>0</v>
      </c>
      <c r="Q2776">
        <v>2</v>
      </c>
      <c r="R2776" s="3">
        <v>0</v>
      </c>
      <c r="S2776" s="3">
        <v>0</v>
      </c>
      <c r="T2776">
        <v>0</v>
      </c>
      <c r="U2776">
        <v>0</v>
      </c>
      <c r="V2776" s="3">
        <v>0</v>
      </c>
      <c r="W2776" s="3">
        <v>0</v>
      </c>
      <c r="X2776">
        <v>0</v>
      </c>
      <c r="Y2776" t="s">
        <v>2210</v>
      </c>
    </row>
    <row r="2777" spans="1:25" hidden="1" x14ac:dyDescent="0.25">
      <c r="A2777" t="s">
        <v>58</v>
      </c>
      <c r="B2777" t="s">
        <v>144</v>
      </c>
      <c r="C2777" t="s">
        <v>489</v>
      </c>
      <c r="D2777" t="s">
        <v>27</v>
      </c>
      <c r="E2777" s="2">
        <v>45992</v>
      </c>
      <c r="F2777" s="2">
        <v>45992</v>
      </c>
      <c r="G2777" s="3">
        <v>46</v>
      </c>
      <c r="H2777" s="4" t="s">
        <v>28</v>
      </c>
      <c r="I2777">
        <v>66</v>
      </c>
      <c r="J2777">
        <v>40</v>
      </c>
      <c r="K2777">
        <v>0</v>
      </c>
      <c r="L2777" s="3">
        <v>1</v>
      </c>
      <c r="M2777" s="3">
        <v>0</v>
      </c>
      <c r="N2777">
        <v>0</v>
      </c>
      <c r="O2777">
        <v>0</v>
      </c>
      <c r="P2777">
        <v>0</v>
      </c>
      <c r="Q2777">
        <v>0</v>
      </c>
      <c r="R2777" s="3">
        <v>0</v>
      </c>
      <c r="S2777" s="3">
        <v>0</v>
      </c>
      <c r="T2777">
        <v>0</v>
      </c>
      <c r="U2777">
        <v>0</v>
      </c>
      <c r="V2777" s="3">
        <v>0</v>
      </c>
      <c r="W2777" s="3">
        <v>0</v>
      </c>
      <c r="X2777">
        <v>3</v>
      </c>
      <c r="Y2777" t="s">
        <v>2211</v>
      </c>
    </row>
    <row r="2778" spans="1:25" hidden="1" x14ac:dyDescent="0.25">
      <c r="A2778" t="s">
        <v>25</v>
      </c>
      <c r="B2778" t="s">
        <v>96</v>
      </c>
      <c r="C2778" t="s">
        <v>26</v>
      </c>
      <c r="D2778" t="s">
        <v>27</v>
      </c>
      <c r="E2778" s="2">
        <v>45993</v>
      </c>
      <c r="F2778" s="2">
        <v>45993</v>
      </c>
      <c r="G2778" s="3">
        <v>50</v>
      </c>
      <c r="H2778" t="s">
        <v>28</v>
      </c>
      <c r="I2778">
        <v>62</v>
      </c>
      <c r="J2778">
        <v>0</v>
      </c>
      <c r="K2778">
        <v>0</v>
      </c>
      <c r="L2778" s="3">
        <v>1</v>
      </c>
      <c r="M2778" s="3">
        <v>0</v>
      </c>
      <c r="N2778">
        <v>1</v>
      </c>
      <c r="O2778">
        <v>0</v>
      </c>
      <c r="P2778">
        <v>0</v>
      </c>
      <c r="Q2778">
        <v>0</v>
      </c>
      <c r="R2778" s="3">
        <v>0</v>
      </c>
      <c r="S2778" s="3">
        <v>0</v>
      </c>
      <c r="T2778">
        <v>0</v>
      </c>
      <c r="U2778">
        <v>0</v>
      </c>
      <c r="V2778" s="3">
        <v>0</v>
      </c>
      <c r="W2778" s="3">
        <v>0</v>
      </c>
      <c r="X2778">
        <v>0</v>
      </c>
      <c r="Y2778" t="s">
        <v>2212</v>
      </c>
    </row>
    <row r="2779" spans="1:25" hidden="1" x14ac:dyDescent="0.25">
      <c r="A2779" t="s">
        <v>56</v>
      </c>
      <c r="B2779" t="s">
        <v>98</v>
      </c>
      <c r="C2779" t="s">
        <v>37</v>
      </c>
      <c r="D2779" t="s">
        <v>27</v>
      </c>
      <c r="E2779" s="2">
        <v>45993</v>
      </c>
      <c r="F2779" s="2">
        <v>45993</v>
      </c>
      <c r="G2779" s="3">
        <v>54</v>
      </c>
      <c r="H2779" t="s">
        <v>28</v>
      </c>
      <c r="I2779">
        <v>35</v>
      </c>
      <c r="J2779">
        <v>0</v>
      </c>
      <c r="K2779">
        <v>0</v>
      </c>
      <c r="L2779" s="3">
        <v>1</v>
      </c>
      <c r="M2779" s="3">
        <v>0</v>
      </c>
      <c r="N2779">
        <v>0</v>
      </c>
      <c r="O2779">
        <v>0</v>
      </c>
      <c r="P2779">
        <v>0</v>
      </c>
      <c r="Q2779">
        <v>10</v>
      </c>
      <c r="R2779" s="3">
        <v>0</v>
      </c>
      <c r="S2779" s="3">
        <v>0</v>
      </c>
      <c r="T2779">
        <v>0</v>
      </c>
      <c r="U2779">
        <v>0</v>
      </c>
      <c r="V2779" s="3">
        <v>0</v>
      </c>
      <c r="W2779" s="3">
        <v>0</v>
      </c>
      <c r="X2779">
        <v>0</v>
      </c>
      <c r="Y2779" t="s">
        <v>2213</v>
      </c>
    </row>
    <row r="2780" spans="1:25" hidden="1" x14ac:dyDescent="0.25">
      <c r="A2780" t="s">
        <v>29</v>
      </c>
      <c r="B2780" t="s">
        <v>100</v>
      </c>
      <c r="C2780" t="s">
        <v>95</v>
      </c>
      <c r="D2780" t="s">
        <v>27</v>
      </c>
      <c r="E2780" s="2">
        <v>45993</v>
      </c>
      <c r="F2780" s="2">
        <v>45993</v>
      </c>
      <c r="G2780" s="3">
        <v>38</v>
      </c>
      <c r="H2780" t="s">
        <v>28</v>
      </c>
      <c r="I2780">
        <v>55</v>
      </c>
      <c r="J2780">
        <v>0</v>
      </c>
      <c r="K2780">
        <v>0</v>
      </c>
      <c r="L2780" s="3">
        <v>0</v>
      </c>
      <c r="M2780" s="3">
        <v>0</v>
      </c>
      <c r="N2780">
        <v>0</v>
      </c>
      <c r="O2780">
        <v>0</v>
      </c>
      <c r="P2780">
        <v>15</v>
      </c>
      <c r="Q2780">
        <v>20</v>
      </c>
      <c r="R2780" s="3">
        <v>0</v>
      </c>
      <c r="S2780" s="3">
        <v>0</v>
      </c>
      <c r="T2780">
        <v>0</v>
      </c>
      <c r="U2780">
        <v>0</v>
      </c>
      <c r="V2780" s="3">
        <v>0</v>
      </c>
      <c r="W2780" s="3">
        <v>0</v>
      </c>
      <c r="X2780">
        <v>0</v>
      </c>
      <c r="Y2780" t="s">
        <v>2214</v>
      </c>
    </row>
    <row r="2781" spans="1:25" hidden="1" x14ac:dyDescent="0.25">
      <c r="A2781" t="s">
        <v>344</v>
      </c>
      <c r="B2781" t="s">
        <v>102</v>
      </c>
      <c r="C2781" t="s">
        <v>35</v>
      </c>
      <c r="D2781" t="s">
        <v>27</v>
      </c>
      <c r="E2781" s="2">
        <v>45993</v>
      </c>
      <c r="F2781" s="2">
        <v>45993</v>
      </c>
      <c r="G2781" s="3">
        <v>45</v>
      </c>
      <c r="H2781" s="4" t="s">
        <v>28</v>
      </c>
      <c r="I2781">
        <v>46</v>
      </c>
      <c r="J2781">
        <v>0</v>
      </c>
      <c r="K2781">
        <v>0</v>
      </c>
      <c r="L2781" s="3">
        <v>0</v>
      </c>
      <c r="M2781" s="3">
        <v>0</v>
      </c>
      <c r="N2781">
        <v>0</v>
      </c>
      <c r="O2781">
        <v>0</v>
      </c>
      <c r="P2781">
        <v>0</v>
      </c>
      <c r="Q2781">
        <v>2</v>
      </c>
      <c r="R2781" s="3">
        <v>0</v>
      </c>
      <c r="S2781" s="3">
        <v>0</v>
      </c>
      <c r="T2781">
        <v>0</v>
      </c>
      <c r="U2781">
        <v>0</v>
      </c>
      <c r="V2781" s="3">
        <v>0</v>
      </c>
      <c r="W2781" s="3">
        <v>0</v>
      </c>
      <c r="X2781">
        <v>0</v>
      </c>
      <c r="Y2781" t="s">
        <v>2215</v>
      </c>
    </row>
    <row r="2782" spans="1:25" hidden="1" x14ac:dyDescent="0.25">
      <c r="A2782" t="s">
        <v>31</v>
      </c>
      <c r="B2782" t="s">
        <v>104</v>
      </c>
      <c r="C2782" t="s">
        <v>55</v>
      </c>
      <c r="D2782" t="s">
        <v>27</v>
      </c>
      <c r="E2782" s="2">
        <v>45993</v>
      </c>
      <c r="F2782" s="2">
        <v>45993</v>
      </c>
      <c r="G2782" s="3">
        <v>48</v>
      </c>
      <c r="H2782" t="s">
        <v>28</v>
      </c>
      <c r="I2782">
        <v>68</v>
      </c>
      <c r="J2782">
        <v>0</v>
      </c>
      <c r="K2782">
        <v>0</v>
      </c>
      <c r="L2782" s="3">
        <v>0</v>
      </c>
      <c r="M2782" s="3">
        <v>0</v>
      </c>
      <c r="N2782">
        <v>0</v>
      </c>
      <c r="O2782">
        <v>0</v>
      </c>
      <c r="P2782">
        <v>0</v>
      </c>
      <c r="Q2782">
        <v>30</v>
      </c>
      <c r="R2782" s="3">
        <v>0</v>
      </c>
      <c r="S2782" s="3">
        <v>0</v>
      </c>
      <c r="T2782">
        <v>0</v>
      </c>
      <c r="U2782">
        <v>0</v>
      </c>
      <c r="V2782" s="3">
        <v>0</v>
      </c>
      <c r="W2782" s="3">
        <v>0</v>
      </c>
      <c r="X2782">
        <v>0</v>
      </c>
      <c r="Y2782" t="s">
        <v>2216</v>
      </c>
    </row>
    <row r="2783" spans="1:25" hidden="1" x14ac:dyDescent="0.25">
      <c r="A2783" t="s">
        <v>38</v>
      </c>
      <c r="B2783" t="s">
        <v>108</v>
      </c>
      <c r="C2783" t="s">
        <v>27</v>
      </c>
      <c r="D2783" t="s">
        <v>27</v>
      </c>
      <c r="E2783" s="2">
        <v>45993</v>
      </c>
      <c r="F2783" s="2">
        <v>45993</v>
      </c>
      <c r="G2783" s="3">
        <v>36</v>
      </c>
      <c r="H2783" t="s">
        <v>28</v>
      </c>
      <c r="I2783">
        <v>34</v>
      </c>
      <c r="J2783">
        <v>0</v>
      </c>
      <c r="K2783">
        <v>0</v>
      </c>
      <c r="L2783" s="3">
        <v>0</v>
      </c>
      <c r="M2783" s="3">
        <v>0</v>
      </c>
      <c r="N2783">
        <v>0</v>
      </c>
      <c r="O2783">
        <v>0</v>
      </c>
      <c r="P2783">
        <v>0</v>
      </c>
      <c r="Q2783">
        <v>34</v>
      </c>
      <c r="R2783" s="3">
        <v>0</v>
      </c>
      <c r="S2783" s="3">
        <v>0</v>
      </c>
      <c r="T2783">
        <v>0</v>
      </c>
      <c r="U2783">
        <v>0</v>
      </c>
      <c r="V2783" s="3">
        <v>0</v>
      </c>
      <c r="W2783" s="3">
        <v>0</v>
      </c>
      <c r="X2783">
        <v>0</v>
      </c>
      <c r="Y2783" t="s">
        <v>2217</v>
      </c>
    </row>
    <row r="2784" spans="1:25" hidden="1" x14ac:dyDescent="0.25">
      <c r="A2784" t="s">
        <v>40</v>
      </c>
      <c r="B2784" t="s">
        <v>110</v>
      </c>
      <c r="C2784" t="s">
        <v>27</v>
      </c>
      <c r="D2784" t="s">
        <v>27</v>
      </c>
      <c r="E2784" s="2">
        <v>45993</v>
      </c>
      <c r="F2784" s="2">
        <v>45993</v>
      </c>
      <c r="G2784" s="3">
        <v>88</v>
      </c>
      <c r="H2784" t="s">
        <v>28</v>
      </c>
      <c r="I2784">
        <v>64</v>
      </c>
      <c r="J2784">
        <v>0</v>
      </c>
      <c r="K2784">
        <v>0</v>
      </c>
      <c r="L2784" s="3">
        <v>1</v>
      </c>
      <c r="M2784" s="3">
        <v>0</v>
      </c>
      <c r="N2784">
        <v>1</v>
      </c>
      <c r="O2784">
        <v>0</v>
      </c>
      <c r="P2784">
        <v>0</v>
      </c>
      <c r="Q2784">
        <v>0</v>
      </c>
      <c r="R2784" s="3">
        <v>0</v>
      </c>
      <c r="S2784" s="3">
        <v>0</v>
      </c>
      <c r="T2784">
        <v>0</v>
      </c>
      <c r="U2784">
        <v>0</v>
      </c>
      <c r="V2784" s="3">
        <v>0</v>
      </c>
      <c r="W2784" s="3">
        <v>0</v>
      </c>
      <c r="X2784">
        <v>0</v>
      </c>
      <c r="Y2784" t="s">
        <v>2218</v>
      </c>
    </row>
    <row r="2785" spans="1:25" hidden="1" x14ac:dyDescent="0.25">
      <c r="A2785" t="s">
        <v>36</v>
      </c>
      <c r="B2785" t="s">
        <v>110</v>
      </c>
      <c r="C2785" t="s">
        <v>27</v>
      </c>
      <c r="D2785" t="s">
        <v>27</v>
      </c>
      <c r="E2785" s="2">
        <v>45993</v>
      </c>
      <c r="F2785" s="2">
        <v>45993</v>
      </c>
      <c r="G2785" s="3">
        <v>88</v>
      </c>
      <c r="H2785" t="s">
        <v>28</v>
      </c>
      <c r="I2785">
        <v>64</v>
      </c>
      <c r="J2785">
        <v>0</v>
      </c>
      <c r="K2785">
        <v>0</v>
      </c>
      <c r="L2785" s="3">
        <v>1</v>
      </c>
      <c r="M2785" s="3">
        <v>0</v>
      </c>
      <c r="N2785">
        <v>1</v>
      </c>
      <c r="O2785">
        <v>0</v>
      </c>
      <c r="P2785">
        <v>0</v>
      </c>
      <c r="Q2785">
        <v>0</v>
      </c>
      <c r="R2785" s="3">
        <v>0</v>
      </c>
      <c r="S2785" s="3">
        <v>0</v>
      </c>
      <c r="T2785">
        <v>0</v>
      </c>
      <c r="U2785">
        <v>0</v>
      </c>
      <c r="V2785" s="3">
        <v>0</v>
      </c>
      <c r="W2785" s="3">
        <v>0</v>
      </c>
      <c r="X2785">
        <v>0</v>
      </c>
      <c r="Y2785" t="s">
        <v>2218</v>
      </c>
    </row>
    <row r="2786" spans="1:25" hidden="1" x14ac:dyDescent="0.25">
      <c r="A2786" t="s">
        <v>1454</v>
      </c>
      <c r="B2786" t="s">
        <v>1455</v>
      </c>
      <c r="C2786" t="s">
        <v>27</v>
      </c>
      <c r="D2786" t="s">
        <v>27</v>
      </c>
      <c r="E2786" s="2">
        <v>45993</v>
      </c>
      <c r="F2786" s="2">
        <v>45993</v>
      </c>
      <c r="G2786" s="3">
        <v>51</v>
      </c>
      <c r="H2786" t="s">
        <v>28</v>
      </c>
      <c r="I2786">
        <v>33</v>
      </c>
      <c r="J2786">
        <v>0</v>
      </c>
      <c r="K2786">
        <v>0</v>
      </c>
      <c r="L2786" s="3">
        <v>1</v>
      </c>
      <c r="M2786" s="3">
        <v>0</v>
      </c>
      <c r="N2786">
        <v>0</v>
      </c>
      <c r="O2786">
        <v>0</v>
      </c>
      <c r="P2786">
        <v>0</v>
      </c>
      <c r="Q2786">
        <v>33</v>
      </c>
      <c r="R2786" s="3">
        <v>0</v>
      </c>
      <c r="S2786" s="3">
        <v>0</v>
      </c>
      <c r="T2786">
        <v>0</v>
      </c>
      <c r="U2786">
        <v>0</v>
      </c>
      <c r="V2786" s="3">
        <v>0</v>
      </c>
      <c r="W2786" s="3">
        <v>0</v>
      </c>
      <c r="X2786">
        <v>0</v>
      </c>
      <c r="Y2786" t="s">
        <v>2219</v>
      </c>
    </row>
    <row r="2787" spans="1:25" hidden="1" x14ac:dyDescent="0.25">
      <c r="A2787" t="s">
        <v>41</v>
      </c>
      <c r="B2787" t="s">
        <v>112</v>
      </c>
      <c r="C2787" t="s">
        <v>42</v>
      </c>
      <c r="D2787" t="s">
        <v>27</v>
      </c>
      <c r="E2787" s="2">
        <v>45993</v>
      </c>
      <c r="F2787" s="2">
        <v>45993</v>
      </c>
      <c r="G2787" s="3">
        <v>41</v>
      </c>
      <c r="H2787" t="s">
        <v>28</v>
      </c>
      <c r="I2787">
        <v>49</v>
      </c>
      <c r="J2787">
        <v>0</v>
      </c>
      <c r="K2787">
        <v>0</v>
      </c>
      <c r="L2787" s="3">
        <v>1</v>
      </c>
      <c r="M2787" s="3">
        <v>0</v>
      </c>
      <c r="N2787">
        <v>0</v>
      </c>
      <c r="O2787">
        <v>0</v>
      </c>
      <c r="P2787">
        <v>0</v>
      </c>
      <c r="Q2787">
        <v>5</v>
      </c>
      <c r="R2787" s="3">
        <v>0</v>
      </c>
      <c r="S2787" s="3">
        <v>0</v>
      </c>
      <c r="T2787">
        <v>0</v>
      </c>
      <c r="U2787">
        <v>0</v>
      </c>
      <c r="V2787" s="3">
        <v>0</v>
      </c>
      <c r="W2787" s="3">
        <v>0</v>
      </c>
      <c r="X2787">
        <v>0</v>
      </c>
      <c r="Y2787" t="s">
        <v>2220</v>
      </c>
    </row>
    <row r="2788" spans="1:25" hidden="1" x14ac:dyDescent="0.25">
      <c r="A2788" t="s">
        <v>43</v>
      </c>
      <c r="B2788" t="s">
        <v>114</v>
      </c>
      <c r="C2788" t="s">
        <v>44</v>
      </c>
      <c r="D2788" t="s">
        <v>27</v>
      </c>
      <c r="E2788" s="2">
        <v>45993</v>
      </c>
      <c r="F2788" s="2">
        <v>45993</v>
      </c>
      <c r="G2788" s="3">
        <v>48</v>
      </c>
      <c r="H2788" t="s">
        <v>28</v>
      </c>
      <c r="I2788">
        <v>76</v>
      </c>
      <c r="J2788">
        <v>0</v>
      </c>
      <c r="K2788">
        <v>0</v>
      </c>
      <c r="L2788" s="3">
        <v>1</v>
      </c>
      <c r="M2788" s="3">
        <v>0</v>
      </c>
      <c r="N2788">
        <v>0</v>
      </c>
      <c r="O2788">
        <v>0</v>
      </c>
      <c r="P2788">
        <v>0</v>
      </c>
      <c r="Q2788">
        <v>0</v>
      </c>
      <c r="R2788" s="3">
        <v>0</v>
      </c>
      <c r="S2788" s="3">
        <v>0</v>
      </c>
      <c r="T2788">
        <v>0</v>
      </c>
      <c r="U2788">
        <v>0</v>
      </c>
      <c r="V2788" s="3">
        <v>0</v>
      </c>
      <c r="W2788" s="3">
        <v>0</v>
      </c>
      <c r="X2788">
        <v>0</v>
      </c>
      <c r="Y2788" t="s">
        <v>2221</v>
      </c>
    </row>
    <row r="2789" spans="1:25" hidden="1" x14ac:dyDescent="0.25">
      <c r="A2789" t="s">
        <v>2118</v>
      </c>
      <c r="B2789" t="s">
        <v>2119</v>
      </c>
      <c r="C2789" t="s">
        <v>27</v>
      </c>
      <c r="D2789" t="s">
        <v>27</v>
      </c>
      <c r="E2789" s="2">
        <v>45993</v>
      </c>
      <c r="F2789" s="2">
        <v>45993</v>
      </c>
      <c r="G2789" s="3">
        <v>32</v>
      </c>
      <c r="H2789" t="s">
        <v>28</v>
      </c>
      <c r="I2789">
        <v>28</v>
      </c>
      <c r="J2789">
        <v>0</v>
      </c>
      <c r="K2789">
        <v>0</v>
      </c>
      <c r="L2789" s="3">
        <v>1</v>
      </c>
      <c r="M2789" s="3">
        <v>0</v>
      </c>
      <c r="N2789">
        <v>0</v>
      </c>
      <c r="O2789">
        <v>0</v>
      </c>
      <c r="P2789">
        <v>0</v>
      </c>
      <c r="Q2789">
        <v>28</v>
      </c>
      <c r="R2789" s="3">
        <v>0</v>
      </c>
      <c r="S2789" s="3">
        <v>0</v>
      </c>
      <c r="T2789">
        <v>0</v>
      </c>
      <c r="U2789">
        <v>0</v>
      </c>
      <c r="V2789" s="3">
        <v>0</v>
      </c>
      <c r="W2789" s="3">
        <v>0</v>
      </c>
      <c r="X2789">
        <v>0</v>
      </c>
      <c r="Y2789" t="s">
        <v>2222</v>
      </c>
    </row>
    <row r="2790" spans="1:25" hidden="1" x14ac:dyDescent="0.25">
      <c r="A2790" t="s">
        <v>45</v>
      </c>
      <c r="B2790" t="s">
        <v>116</v>
      </c>
      <c r="C2790" t="s">
        <v>46</v>
      </c>
      <c r="D2790" t="s">
        <v>27</v>
      </c>
      <c r="E2790" s="2">
        <v>45993</v>
      </c>
      <c r="F2790" s="2">
        <v>45993</v>
      </c>
      <c r="G2790" s="3">
        <v>42</v>
      </c>
      <c r="H2790" t="s">
        <v>28</v>
      </c>
      <c r="I2790">
        <v>45</v>
      </c>
      <c r="J2790">
        <v>0</v>
      </c>
      <c r="K2790">
        <v>0</v>
      </c>
      <c r="L2790" s="3">
        <v>0</v>
      </c>
      <c r="M2790" s="3">
        <v>0</v>
      </c>
      <c r="N2790">
        <v>0</v>
      </c>
      <c r="O2790">
        <v>0</v>
      </c>
      <c r="P2790">
        <v>0</v>
      </c>
      <c r="Q2790">
        <v>0</v>
      </c>
      <c r="R2790" s="3">
        <v>0</v>
      </c>
      <c r="S2790" s="3">
        <v>0</v>
      </c>
      <c r="T2790">
        <v>0</v>
      </c>
      <c r="U2790">
        <v>0</v>
      </c>
      <c r="V2790" s="3">
        <v>0</v>
      </c>
      <c r="W2790" s="3">
        <v>0</v>
      </c>
      <c r="X2790">
        <v>0</v>
      </c>
      <c r="Y2790" t="s">
        <v>2223</v>
      </c>
    </row>
    <row r="2791" spans="1:25" hidden="1" x14ac:dyDescent="0.25">
      <c r="A2791" t="s">
        <v>47</v>
      </c>
      <c r="B2791" t="s">
        <v>137</v>
      </c>
      <c r="C2791" t="s">
        <v>27</v>
      </c>
      <c r="D2791" t="s">
        <v>27</v>
      </c>
      <c r="E2791" s="2">
        <v>45993</v>
      </c>
      <c r="F2791" s="2">
        <v>45993</v>
      </c>
      <c r="G2791" s="3">
        <v>65</v>
      </c>
      <c r="H2791" t="s">
        <v>28</v>
      </c>
      <c r="I2791">
        <v>65</v>
      </c>
      <c r="J2791">
        <v>0</v>
      </c>
      <c r="K2791">
        <v>0</v>
      </c>
      <c r="L2791" s="3">
        <v>1</v>
      </c>
      <c r="M2791" s="3">
        <v>0</v>
      </c>
      <c r="N2791">
        <v>0</v>
      </c>
      <c r="O2791">
        <v>0</v>
      </c>
      <c r="P2791">
        <v>0</v>
      </c>
      <c r="Q2791">
        <v>18</v>
      </c>
      <c r="R2791" s="3">
        <v>0</v>
      </c>
      <c r="S2791" s="3">
        <v>0</v>
      </c>
      <c r="T2791">
        <v>0</v>
      </c>
      <c r="U2791">
        <v>0</v>
      </c>
      <c r="V2791" s="3">
        <v>0</v>
      </c>
      <c r="W2791" s="3">
        <v>0</v>
      </c>
      <c r="X2791">
        <v>0</v>
      </c>
      <c r="Y2791" t="s">
        <v>2224</v>
      </c>
    </row>
    <row r="2792" spans="1:25" hidden="1" x14ac:dyDescent="0.25">
      <c r="A2792" t="s">
        <v>34</v>
      </c>
      <c r="B2792" t="s">
        <v>137</v>
      </c>
      <c r="C2792" t="s">
        <v>27</v>
      </c>
      <c r="D2792" t="s">
        <v>27</v>
      </c>
      <c r="E2792" s="2">
        <v>45993</v>
      </c>
      <c r="F2792" s="2">
        <v>45993</v>
      </c>
      <c r="G2792" s="3">
        <v>65</v>
      </c>
      <c r="H2792" t="s">
        <v>28</v>
      </c>
      <c r="I2792">
        <v>65</v>
      </c>
      <c r="J2792">
        <v>0</v>
      </c>
      <c r="K2792">
        <v>0</v>
      </c>
      <c r="L2792" s="3">
        <v>1</v>
      </c>
      <c r="M2792" s="3">
        <v>0</v>
      </c>
      <c r="N2792">
        <v>0</v>
      </c>
      <c r="O2792">
        <v>0</v>
      </c>
      <c r="P2792">
        <v>0</v>
      </c>
      <c r="Q2792">
        <v>18</v>
      </c>
      <c r="R2792" s="3">
        <v>0</v>
      </c>
      <c r="S2792" s="3">
        <v>0</v>
      </c>
      <c r="T2792">
        <v>0</v>
      </c>
      <c r="U2792">
        <v>0</v>
      </c>
      <c r="V2792" s="3">
        <v>0</v>
      </c>
      <c r="W2792" s="3">
        <v>0</v>
      </c>
      <c r="X2792">
        <v>0</v>
      </c>
      <c r="Y2792" t="s">
        <v>2224</v>
      </c>
    </row>
    <row r="2793" spans="1:25" hidden="1" x14ac:dyDescent="0.25">
      <c r="A2793" t="s">
        <v>49</v>
      </c>
      <c r="B2793" t="s">
        <v>118</v>
      </c>
      <c r="C2793" t="s">
        <v>50</v>
      </c>
      <c r="D2793" t="s">
        <v>27</v>
      </c>
      <c r="E2793" s="2">
        <v>45993</v>
      </c>
      <c r="F2793" s="2">
        <v>45993</v>
      </c>
      <c r="G2793" s="3">
        <v>22</v>
      </c>
      <c r="H2793" t="s">
        <v>28</v>
      </c>
      <c r="I2793">
        <v>59</v>
      </c>
      <c r="J2793">
        <v>0</v>
      </c>
      <c r="K2793">
        <v>0</v>
      </c>
      <c r="L2793" s="3">
        <v>1</v>
      </c>
      <c r="M2793" s="3">
        <v>1</v>
      </c>
      <c r="N2793">
        <v>0</v>
      </c>
      <c r="O2793">
        <v>1</v>
      </c>
      <c r="P2793">
        <v>0</v>
      </c>
      <c r="Q2793">
        <v>59</v>
      </c>
      <c r="R2793" s="3">
        <v>0</v>
      </c>
      <c r="S2793" s="3">
        <v>0</v>
      </c>
      <c r="T2793">
        <v>0</v>
      </c>
      <c r="U2793">
        <v>0</v>
      </c>
      <c r="V2793" s="3">
        <v>0</v>
      </c>
      <c r="W2793" s="3">
        <v>0</v>
      </c>
      <c r="X2793">
        <v>0</v>
      </c>
      <c r="Y2793" t="s">
        <v>2225</v>
      </c>
    </row>
    <row r="2794" spans="1:25" hidden="1" x14ac:dyDescent="0.25">
      <c r="A2794" t="s">
        <v>54</v>
      </c>
      <c r="B2794" t="s">
        <v>122</v>
      </c>
      <c r="C2794" t="s">
        <v>52</v>
      </c>
      <c r="D2794" t="s">
        <v>27</v>
      </c>
      <c r="E2794" s="2">
        <v>45993</v>
      </c>
      <c r="F2794" s="2">
        <v>45993</v>
      </c>
      <c r="G2794" s="3">
        <v>38</v>
      </c>
      <c r="H2794" t="s">
        <v>28</v>
      </c>
      <c r="I2794">
        <v>52</v>
      </c>
      <c r="J2794">
        <v>0</v>
      </c>
      <c r="K2794">
        <v>0</v>
      </c>
      <c r="L2794" s="3">
        <v>0</v>
      </c>
      <c r="M2794" s="3">
        <v>0</v>
      </c>
      <c r="N2794">
        <v>0</v>
      </c>
      <c r="O2794">
        <v>0</v>
      </c>
      <c r="P2794">
        <v>0</v>
      </c>
      <c r="Q2794">
        <v>2</v>
      </c>
      <c r="R2794" s="3">
        <v>0</v>
      </c>
      <c r="S2794" s="3">
        <v>0</v>
      </c>
      <c r="T2794">
        <v>0</v>
      </c>
      <c r="U2794">
        <v>0</v>
      </c>
      <c r="V2794" s="3">
        <v>0</v>
      </c>
      <c r="W2794" s="3">
        <v>0</v>
      </c>
      <c r="X2794">
        <v>1</v>
      </c>
      <c r="Y2794" t="s">
        <v>2226</v>
      </c>
    </row>
    <row r="2795" spans="1:25" hidden="1" x14ac:dyDescent="0.25">
      <c r="A2795" t="s">
        <v>58</v>
      </c>
      <c r="B2795" t="s">
        <v>144</v>
      </c>
      <c r="C2795" t="s">
        <v>489</v>
      </c>
      <c r="D2795" t="s">
        <v>27</v>
      </c>
      <c r="E2795" s="2">
        <v>45993</v>
      </c>
      <c r="F2795" s="2">
        <v>45993</v>
      </c>
      <c r="G2795" s="3">
        <v>43</v>
      </c>
      <c r="H2795" t="s">
        <v>28</v>
      </c>
      <c r="I2795">
        <v>38</v>
      </c>
      <c r="J2795">
        <v>0</v>
      </c>
      <c r="K2795">
        <v>0</v>
      </c>
      <c r="L2795" s="3">
        <v>1</v>
      </c>
      <c r="M2795" s="3">
        <v>0</v>
      </c>
      <c r="N2795">
        <v>0</v>
      </c>
      <c r="O2795">
        <v>0</v>
      </c>
      <c r="P2795">
        <v>8</v>
      </c>
      <c r="Q2795">
        <v>12</v>
      </c>
      <c r="R2795" s="3">
        <v>0</v>
      </c>
      <c r="S2795" s="3">
        <v>0</v>
      </c>
      <c r="T2795">
        <v>0</v>
      </c>
      <c r="U2795">
        <v>0</v>
      </c>
      <c r="V2795" s="3">
        <v>0</v>
      </c>
      <c r="W2795" s="3">
        <v>0</v>
      </c>
      <c r="X2795">
        <v>1</v>
      </c>
      <c r="Y2795" t="s">
        <v>2227</v>
      </c>
    </row>
    <row r="2796" spans="1:25" hidden="1" x14ac:dyDescent="0.25">
      <c r="A2796" t="s">
        <v>33</v>
      </c>
      <c r="B2796" t="s">
        <v>106</v>
      </c>
      <c r="C2796" t="s">
        <v>27</v>
      </c>
      <c r="D2796" t="s">
        <v>27</v>
      </c>
      <c r="E2796" s="2">
        <v>45993</v>
      </c>
      <c r="F2796" s="2">
        <v>45993</v>
      </c>
      <c r="G2796" s="3">
        <v>43</v>
      </c>
      <c r="H2796" t="s">
        <v>1448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 t="s">
        <v>2227</v>
      </c>
    </row>
    <row r="2797" spans="1:25" hidden="1" x14ac:dyDescent="0.25">
      <c r="A2797" t="s">
        <v>48</v>
      </c>
      <c r="B2797" t="s">
        <v>182</v>
      </c>
      <c r="C2797" t="s">
        <v>27</v>
      </c>
      <c r="D2797" t="s">
        <v>27</v>
      </c>
      <c r="E2797" s="2">
        <v>45992</v>
      </c>
      <c r="F2797" s="2">
        <v>45992</v>
      </c>
      <c r="G2797" s="3">
        <v>43</v>
      </c>
      <c r="H2797" t="s">
        <v>28</v>
      </c>
      <c r="I2797">
        <v>35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2227</v>
      </c>
    </row>
    <row r="2798" spans="1:25" hidden="1" x14ac:dyDescent="0.25">
      <c r="A2798" t="s">
        <v>51</v>
      </c>
      <c r="B2798" t="s">
        <v>184</v>
      </c>
      <c r="C2798" t="s">
        <v>27</v>
      </c>
      <c r="D2798" t="s">
        <v>27</v>
      </c>
      <c r="E2798" s="2">
        <v>45993</v>
      </c>
      <c r="F2798" s="2">
        <v>45993</v>
      </c>
      <c r="G2798" s="3">
        <v>43</v>
      </c>
      <c r="H2798" t="s">
        <v>1448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2227</v>
      </c>
    </row>
    <row r="2799" spans="1:25" hidden="1" x14ac:dyDescent="0.25">
      <c r="A2799" t="s">
        <v>27</v>
      </c>
      <c r="B2799" t="s">
        <v>186</v>
      </c>
      <c r="C2799" t="s">
        <v>57</v>
      </c>
      <c r="D2799" t="s">
        <v>27</v>
      </c>
      <c r="E2799" s="2">
        <v>45993</v>
      </c>
      <c r="F2799" s="2">
        <v>45993</v>
      </c>
      <c r="G2799" s="3">
        <v>43</v>
      </c>
      <c r="H2799" t="s">
        <v>1448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2227</v>
      </c>
    </row>
    <row r="2800" spans="1:25" hidden="1" x14ac:dyDescent="0.25">
      <c r="A2800" t="s">
        <v>27</v>
      </c>
      <c r="B2800" t="s">
        <v>188</v>
      </c>
      <c r="C2800" t="s">
        <v>32</v>
      </c>
      <c r="D2800" t="s">
        <v>27</v>
      </c>
      <c r="E2800" s="2">
        <v>45993</v>
      </c>
      <c r="F2800" s="2">
        <v>45993</v>
      </c>
      <c r="G2800" s="3">
        <v>43</v>
      </c>
      <c r="H2800" t="s">
        <v>1651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2227</v>
      </c>
    </row>
    <row r="2801" spans="1:25" hidden="1" x14ac:dyDescent="0.25">
      <c r="A2801" t="s">
        <v>25</v>
      </c>
      <c r="B2801" t="s">
        <v>96</v>
      </c>
      <c r="C2801" t="s">
        <v>26</v>
      </c>
      <c r="D2801" t="s">
        <v>27</v>
      </c>
      <c r="E2801" s="2">
        <v>45994</v>
      </c>
      <c r="F2801" s="2">
        <v>45994</v>
      </c>
      <c r="G2801" s="3">
        <v>48</v>
      </c>
      <c r="H2801" t="s">
        <v>28</v>
      </c>
      <c r="I2801">
        <v>110</v>
      </c>
      <c r="J2801">
        <v>0</v>
      </c>
      <c r="K2801">
        <v>0</v>
      </c>
      <c r="L2801" s="3">
        <v>1</v>
      </c>
      <c r="M2801" s="3">
        <v>0</v>
      </c>
      <c r="N2801">
        <v>1</v>
      </c>
      <c r="O2801">
        <v>0</v>
      </c>
      <c r="P2801">
        <v>0</v>
      </c>
      <c r="Q2801">
        <v>0</v>
      </c>
      <c r="R2801" s="3">
        <v>0</v>
      </c>
      <c r="S2801" s="3">
        <v>0</v>
      </c>
      <c r="T2801">
        <v>0</v>
      </c>
      <c r="U2801">
        <v>0</v>
      </c>
      <c r="V2801" s="3">
        <v>0</v>
      </c>
      <c r="W2801" s="3">
        <v>0</v>
      </c>
      <c r="X2801">
        <v>0</v>
      </c>
      <c r="Y2801" t="s">
        <v>2228</v>
      </c>
    </row>
    <row r="2802" spans="1:25" hidden="1" x14ac:dyDescent="0.25">
      <c r="A2802" t="s">
        <v>56</v>
      </c>
      <c r="B2802" t="s">
        <v>98</v>
      </c>
      <c r="C2802" t="s">
        <v>37</v>
      </c>
      <c r="D2802" t="s">
        <v>27</v>
      </c>
      <c r="E2802" s="2">
        <v>45994</v>
      </c>
      <c r="F2802" s="2">
        <v>45994</v>
      </c>
      <c r="G2802" s="5">
        <v>2128</v>
      </c>
      <c r="H2802" t="s">
        <v>28</v>
      </c>
      <c r="I2802">
        <v>70</v>
      </c>
      <c r="J2802">
        <v>0</v>
      </c>
      <c r="K2802">
        <v>0</v>
      </c>
      <c r="L2802" s="3">
        <v>1</v>
      </c>
      <c r="M2802" s="3">
        <v>0</v>
      </c>
      <c r="N2802">
        <v>0</v>
      </c>
      <c r="O2802">
        <v>0</v>
      </c>
      <c r="P2802">
        <v>0</v>
      </c>
      <c r="Q2802">
        <v>10</v>
      </c>
      <c r="R2802" s="3">
        <v>0</v>
      </c>
      <c r="S2802" s="3">
        <v>0</v>
      </c>
      <c r="T2802">
        <v>0</v>
      </c>
      <c r="U2802">
        <v>0</v>
      </c>
      <c r="V2802" s="3">
        <v>0</v>
      </c>
      <c r="W2802" s="3">
        <v>0</v>
      </c>
      <c r="X2802">
        <v>0</v>
      </c>
      <c r="Y2802" t="s">
        <v>2229</v>
      </c>
    </row>
    <row r="2803" spans="1:25" hidden="1" x14ac:dyDescent="0.25">
      <c r="A2803" t="s">
        <v>29</v>
      </c>
      <c r="B2803" t="s">
        <v>100</v>
      </c>
      <c r="C2803" t="s">
        <v>95</v>
      </c>
      <c r="D2803" t="s">
        <v>27</v>
      </c>
      <c r="E2803" s="2">
        <v>45994</v>
      </c>
      <c r="F2803" s="2">
        <v>45994</v>
      </c>
      <c r="G2803" s="3">
        <v>26</v>
      </c>
      <c r="H2803" t="s">
        <v>28</v>
      </c>
      <c r="I2803">
        <v>40</v>
      </c>
      <c r="J2803">
        <v>0</v>
      </c>
      <c r="K2803">
        <v>0</v>
      </c>
      <c r="L2803" s="3">
        <v>1</v>
      </c>
      <c r="M2803" s="3">
        <v>0</v>
      </c>
      <c r="N2803">
        <v>0</v>
      </c>
      <c r="O2803">
        <v>0</v>
      </c>
      <c r="P2803">
        <v>0</v>
      </c>
      <c r="Q2803">
        <v>15</v>
      </c>
      <c r="R2803" s="3">
        <v>0</v>
      </c>
      <c r="S2803" s="3">
        <v>0</v>
      </c>
      <c r="T2803">
        <v>0</v>
      </c>
      <c r="U2803">
        <v>0</v>
      </c>
      <c r="V2803" s="3">
        <v>0</v>
      </c>
      <c r="W2803" s="3">
        <v>0</v>
      </c>
      <c r="X2803">
        <v>0</v>
      </c>
      <c r="Y2803" t="s">
        <v>2230</v>
      </c>
    </row>
    <row r="2804" spans="1:25" hidden="1" x14ac:dyDescent="0.25">
      <c r="A2804" t="s">
        <v>344</v>
      </c>
      <c r="B2804" t="s">
        <v>102</v>
      </c>
      <c r="C2804" t="s">
        <v>35</v>
      </c>
      <c r="D2804" t="s">
        <v>27</v>
      </c>
      <c r="E2804" s="2">
        <v>45994</v>
      </c>
      <c r="F2804" s="2">
        <v>45994</v>
      </c>
      <c r="G2804" s="3">
        <v>45</v>
      </c>
      <c r="H2804" s="4" t="s">
        <v>28</v>
      </c>
      <c r="I2804">
        <v>46</v>
      </c>
      <c r="J2804">
        <v>0</v>
      </c>
      <c r="K2804">
        <v>0</v>
      </c>
      <c r="L2804" s="3">
        <v>0</v>
      </c>
      <c r="M2804" s="3">
        <v>0</v>
      </c>
      <c r="N2804">
        <v>0</v>
      </c>
      <c r="O2804">
        <v>0</v>
      </c>
      <c r="P2804">
        <v>0</v>
      </c>
      <c r="Q2804">
        <v>2</v>
      </c>
      <c r="R2804" s="3">
        <v>0</v>
      </c>
      <c r="S2804" s="3">
        <v>0</v>
      </c>
      <c r="T2804">
        <v>0</v>
      </c>
      <c r="U2804">
        <v>0</v>
      </c>
      <c r="V2804" s="3">
        <v>0</v>
      </c>
      <c r="W2804" s="3">
        <v>0</v>
      </c>
      <c r="X2804">
        <v>0</v>
      </c>
      <c r="Y2804" t="s">
        <v>2215</v>
      </c>
    </row>
    <row r="2805" spans="1:25" hidden="1" x14ac:dyDescent="0.25">
      <c r="A2805" t="s">
        <v>31</v>
      </c>
      <c r="B2805" t="s">
        <v>104</v>
      </c>
      <c r="C2805" t="s">
        <v>32</v>
      </c>
      <c r="D2805" t="s">
        <v>27</v>
      </c>
      <c r="E2805" s="2">
        <v>45994</v>
      </c>
      <c r="F2805" s="2">
        <v>45994</v>
      </c>
      <c r="G2805" s="3">
        <v>60</v>
      </c>
      <c r="H2805" t="s">
        <v>28</v>
      </c>
      <c r="I2805">
        <v>88</v>
      </c>
      <c r="J2805">
        <v>0</v>
      </c>
      <c r="K2805">
        <v>0</v>
      </c>
      <c r="L2805" s="3">
        <v>0</v>
      </c>
      <c r="M2805" s="3">
        <v>0</v>
      </c>
      <c r="N2805">
        <v>0</v>
      </c>
      <c r="O2805">
        <v>0</v>
      </c>
      <c r="P2805">
        <v>0</v>
      </c>
      <c r="Q2805">
        <v>30</v>
      </c>
      <c r="R2805" s="3">
        <v>0</v>
      </c>
      <c r="S2805" s="3">
        <v>0</v>
      </c>
      <c r="T2805">
        <v>0</v>
      </c>
      <c r="U2805">
        <v>0</v>
      </c>
      <c r="V2805" s="3">
        <v>0</v>
      </c>
      <c r="W2805" s="3">
        <v>0</v>
      </c>
      <c r="X2805">
        <v>0</v>
      </c>
      <c r="Y2805" t="s">
        <v>2231</v>
      </c>
    </row>
    <row r="2806" spans="1:25" hidden="1" x14ac:dyDescent="0.25">
      <c r="A2806" t="s">
        <v>33</v>
      </c>
      <c r="B2806" t="s">
        <v>106</v>
      </c>
      <c r="C2806" t="s">
        <v>57</v>
      </c>
      <c r="D2806" t="s">
        <v>27</v>
      </c>
      <c r="E2806" s="2">
        <v>45994</v>
      </c>
      <c r="F2806" s="2">
        <v>45994</v>
      </c>
      <c r="G2806" s="3">
        <v>38</v>
      </c>
      <c r="H2806" t="s">
        <v>28</v>
      </c>
      <c r="I2806">
        <v>53</v>
      </c>
      <c r="J2806">
        <v>0</v>
      </c>
      <c r="K2806">
        <v>0</v>
      </c>
      <c r="L2806" s="3">
        <v>0</v>
      </c>
      <c r="M2806" s="3">
        <v>0</v>
      </c>
      <c r="N2806">
        <v>0</v>
      </c>
      <c r="O2806">
        <v>0</v>
      </c>
      <c r="P2806">
        <v>0</v>
      </c>
      <c r="Q2806">
        <v>20</v>
      </c>
      <c r="R2806" s="3">
        <v>0</v>
      </c>
      <c r="S2806" s="3">
        <v>0</v>
      </c>
      <c r="T2806">
        <v>0</v>
      </c>
      <c r="U2806">
        <v>0</v>
      </c>
      <c r="V2806" s="3">
        <v>0</v>
      </c>
      <c r="W2806" s="3">
        <v>0</v>
      </c>
      <c r="X2806">
        <v>0</v>
      </c>
      <c r="Y2806" t="s">
        <v>2232</v>
      </c>
    </row>
    <row r="2807" spans="1:25" hidden="1" x14ac:dyDescent="0.25">
      <c r="A2807" t="s">
        <v>40</v>
      </c>
      <c r="B2807" t="s">
        <v>110</v>
      </c>
      <c r="C2807" t="s">
        <v>27</v>
      </c>
      <c r="D2807" t="s">
        <v>27</v>
      </c>
      <c r="E2807" s="2">
        <v>45994</v>
      </c>
      <c r="F2807" s="2">
        <v>45994</v>
      </c>
      <c r="G2807" s="3">
        <v>74</v>
      </c>
      <c r="H2807" t="s">
        <v>28</v>
      </c>
      <c r="I2807">
        <v>81</v>
      </c>
      <c r="J2807">
        <v>0</v>
      </c>
      <c r="K2807">
        <v>0</v>
      </c>
      <c r="L2807" s="3">
        <v>1</v>
      </c>
      <c r="M2807" s="3">
        <v>0</v>
      </c>
      <c r="N2807">
        <v>1</v>
      </c>
      <c r="O2807">
        <v>0</v>
      </c>
      <c r="P2807">
        <v>0</v>
      </c>
      <c r="Q2807">
        <v>0</v>
      </c>
      <c r="R2807" s="3">
        <v>0</v>
      </c>
      <c r="S2807" s="3">
        <v>0</v>
      </c>
      <c r="T2807">
        <v>0</v>
      </c>
      <c r="U2807">
        <v>0</v>
      </c>
      <c r="V2807" s="3">
        <v>0</v>
      </c>
      <c r="W2807" s="3">
        <v>0</v>
      </c>
      <c r="X2807">
        <v>0</v>
      </c>
      <c r="Y2807" t="s">
        <v>2233</v>
      </c>
    </row>
    <row r="2808" spans="1:25" hidden="1" x14ac:dyDescent="0.25">
      <c r="A2808" t="s">
        <v>36</v>
      </c>
      <c r="B2808" t="s">
        <v>110</v>
      </c>
      <c r="C2808" t="s">
        <v>27</v>
      </c>
      <c r="D2808" t="s">
        <v>27</v>
      </c>
      <c r="E2808" s="2">
        <v>45994</v>
      </c>
      <c r="F2808" s="2">
        <v>45994</v>
      </c>
      <c r="G2808" s="3">
        <v>74</v>
      </c>
      <c r="H2808" t="s">
        <v>28</v>
      </c>
      <c r="I2808">
        <v>81</v>
      </c>
      <c r="J2808">
        <v>0</v>
      </c>
      <c r="K2808">
        <v>0</v>
      </c>
      <c r="L2808" s="3">
        <v>1</v>
      </c>
      <c r="M2808" s="3">
        <v>0</v>
      </c>
      <c r="N2808">
        <v>1</v>
      </c>
      <c r="O2808">
        <v>0</v>
      </c>
      <c r="P2808">
        <v>0</v>
      </c>
      <c r="Q2808">
        <v>0</v>
      </c>
      <c r="R2808" s="3">
        <v>0</v>
      </c>
      <c r="S2808" s="3">
        <v>0</v>
      </c>
      <c r="T2808">
        <v>0</v>
      </c>
      <c r="U2808">
        <v>0</v>
      </c>
      <c r="V2808" s="3">
        <v>0</v>
      </c>
      <c r="W2808" s="3">
        <v>0</v>
      </c>
      <c r="X2808">
        <v>0</v>
      </c>
      <c r="Y2808" t="s">
        <v>2233</v>
      </c>
    </row>
    <row r="2809" spans="1:25" hidden="1" x14ac:dyDescent="0.25">
      <c r="A2809" t="s">
        <v>1454</v>
      </c>
      <c r="B2809" t="s">
        <v>1455</v>
      </c>
      <c r="C2809" t="s">
        <v>27</v>
      </c>
      <c r="D2809" t="s">
        <v>27</v>
      </c>
      <c r="E2809" s="2">
        <v>45994</v>
      </c>
      <c r="F2809" s="2">
        <v>45994</v>
      </c>
      <c r="G2809" s="3">
        <v>36</v>
      </c>
      <c r="H2809" t="s">
        <v>28</v>
      </c>
      <c r="I2809">
        <v>48</v>
      </c>
      <c r="J2809">
        <v>0</v>
      </c>
      <c r="K2809">
        <v>0</v>
      </c>
      <c r="L2809" s="3">
        <v>1</v>
      </c>
      <c r="M2809" s="3">
        <v>0</v>
      </c>
      <c r="N2809">
        <v>0</v>
      </c>
      <c r="O2809">
        <v>0</v>
      </c>
      <c r="P2809">
        <v>0</v>
      </c>
      <c r="Q2809">
        <v>48</v>
      </c>
      <c r="R2809" s="3">
        <v>0</v>
      </c>
      <c r="S2809" s="3">
        <v>0</v>
      </c>
      <c r="T2809">
        <v>0</v>
      </c>
      <c r="U2809">
        <v>0</v>
      </c>
      <c r="V2809" s="3">
        <v>0</v>
      </c>
      <c r="W2809" s="3">
        <v>0</v>
      </c>
      <c r="X2809">
        <v>0</v>
      </c>
      <c r="Y2809" t="s">
        <v>2234</v>
      </c>
    </row>
    <row r="2810" spans="1:25" hidden="1" x14ac:dyDescent="0.25">
      <c r="A2810" t="s">
        <v>41</v>
      </c>
      <c r="B2810" t="s">
        <v>112</v>
      </c>
      <c r="C2810" t="s">
        <v>42</v>
      </c>
      <c r="D2810" t="s">
        <v>27</v>
      </c>
      <c r="E2810" s="2">
        <v>45994</v>
      </c>
      <c r="F2810" s="2">
        <v>45994</v>
      </c>
      <c r="G2810" s="3">
        <v>35</v>
      </c>
      <c r="H2810" t="s">
        <v>28</v>
      </c>
      <c r="I2810">
        <v>46</v>
      </c>
      <c r="J2810">
        <v>0</v>
      </c>
      <c r="K2810">
        <v>0</v>
      </c>
      <c r="L2810" s="3">
        <v>1</v>
      </c>
      <c r="M2810" s="3">
        <v>0</v>
      </c>
      <c r="N2810">
        <v>0</v>
      </c>
      <c r="O2810">
        <v>0</v>
      </c>
      <c r="P2810">
        <v>0</v>
      </c>
      <c r="Q2810">
        <v>0</v>
      </c>
      <c r="R2810" s="3">
        <v>0</v>
      </c>
      <c r="S2810" s="3">
        <v>0</v>
      </c>
      <c r="T2810">
        <v>0</v>
      </c>
      <c r="U2810">
        <v>0</v>
      </c>
      <c r="V2810" s="3">
        <v>0</v>
      </c>
      <c r="W2810" s="3">
        <v>0</v>
      </c>
      <c r="X2810">
        <v>0</v>
      </c>
      <c r="Y2810" t="s">
        <v>2235</v>
      </c>
    </row>
    <row r="2811" spans="1:25" hidden="1" x14ac:dyDescent="0.25">
      <c r="A2811" t="s">
        <v>43</v>
      </c>
      <c r="B2811" t="s">
        <v>114</v>
      </c>
      <c r="C2811" t="s">
        <v>44</v>
      </c>
      <c r="D2811" t="s">
        <v>27</v>
      </c>
      <c r="E2811" s="2">
        <v>45994</v>
      </c>
      <c r="F2811" s="2">
        <v>45994</v>
      </c>
      <c r="G2811" s="3">
        <v>39</v>
      </c>
      <c r="H2811" t="s">
        <v>28</v>
      </c>
      <c r="I2811">
        <v>49</v>
      </c>
      <c r="J2811">
        <v>0</v>
      </c>
      <c r="K2811">
        <v>0</v>
      </c>
      <c r="L2811" s="3">
        <v>0</v>
      </c>
      <c r="M2811" s="3">
        <v>0</v>
      </c>
      <c r="N2811">
        <v>0</v>
      </c>
      <c r="O2811">
        <v>0</v>
      </c>
      <c r="P2811">
        <v>0</v>
      </c>
      <c r="Q2811">
        <v>0</v>
      </c>
      <c r="R2811" s="3">
        <v>0</v>
      </c>
      <c r="S2811" s="3">
        <v>0</v>
      </c>
      <c r="T2811">
        <v>0</v>
      </c>
      <c r="U2811">
        <v>0</v>
      </c>
      <c r="V2811" s="3">
        <v>0</v>
      </c>
      <c r="W2811" s="3">
        <v>0</v>
      </c>
      <c r="X2811">
        <v>0</v>
      </c>
      <c r="Y2811" t="s">
        <v>2236</v>
      </c>
    </row>
    <row r="2812" spans="1:25" hidden="1" x14ac:dyDescent="0.25">
      <c r="A2812" t="s">
        <v>2118</v>
      </c>
      <c r="B2812" t="s">
        <v>2119</v>
      </c>
      <c r="C2812" t="s">
        <v>27</v>
      </c>
      <c r="D2812" t="s">
        <v>27</v>
      </c>
      <c r="E2812" s="2">
        <v>45994</v>
      </c>
      <c r="F2812" s="2">
        <v>45994</v>
      </c>
      <c r="G2812" s="3">
        <v>35</v>
      </c>
      <c r="H2812" t="s">
        <v>28</v>
      </c>
      <c r="I2812">
        <v>36</v>
      </c>
      <c r="J2812">
        <v>0</v>
      </c>
      <c r="K2812">
        <v>0</v>
      </c>
      <c r="L2812" s="3">
        <v>1</v>
      </c>
      <c r="M2812" s="3">
        <v>0</v>
      </c>
      <c r="N2812">
        <v>0</v>
      </c>
      <c r="O2812">
        <v>0</v>
      </c>
      <c r="P2812">
        <v>0</v>
      </c>
      <c r="Q2812">
        <v>36</v>
      </c>
      <c r="R2812" s="3">
        <v>0</v>
      </c>
      <c r="S2812" s="3">
        <v>0</v>
      </c>
      <c r="T2812">
        <v>0</v>
      </c>
      <c r="U2812">
        <v>0</v>
      </c>
      <c r="V2812" s="3">
        <v>0</v>
      </c>
      <c r="W2812" s="3">
        <v>0</v>
      </c>
      <c r="X2812">
        <v>0</v>
      </c>
      <c r="Y2812" t="s">
        <v>2237</v>
      </c>
    </row>
    <row r="2813" spans="1:25" hidden="1" x14ac:dyDescent="0.25">
      <c r="A2813" t="s">
        <v>45</v>
      </c>
      <c r="B2813" t="s">
        <v>116</v>
      </c>
      <c r="C2813" t="s">
        <v>46</v>
      </c>
      <c r="D2813" t="s">
        <v>27</v>
      </c>
      <c r="E2813" s="2">
        <v>45994</v>
      </c>
      <c r="F2813" s="2">
        <v>45994</v>
      </c>
      <c r="G2813" s="3">
        <v>61</v>
      </c>
      <c r="H2813" t="s">
        <v>28</v>
      </c>
      <c r="I2813">
        <v>74</v>
      </c>
      <c r="J2813">
        <v>0</v>
      </c>
      <c r="K2813">
        <v>0</v>
      </c>
      <c r="L2813" s="3">
        <v>1</v>
      </c>
      <c r="M2813" s="3">
        <v>0</v>
      </c>
      <c r="N2813">
        <v>0</v>
      </c>
      <c r="O2813">
        <v>0</v>
      </c>
      <c r="P2813">
        <v>0</v>
      </c>
      <c r="Q2813">
        <v>0</v>
      </c>
      <c r="R2813" s="3">
        <v>0</v>
      </c>
      <c r="S2813" s="3">
        <v>0</v>
      </c>
      <c r="T2813">
        <v>0</v>
      </c>
      <c r="U2813">
        <v>0</v>
      </c>
      <c r="V2813" s="3">
        <v>0</v>
      </c>
      <c r="W2813" s="3">
        <v>0</v>
      </c>
      <c r="X2813">
        <v>0</v>
      </c>
      <c r="Y2813" t="s">
        <v>2238</v>
      </c>
    </row>
    <row r="2814" spans="1:25" hidden="1" x14ac:dyDescent="0.25">
      <c r="A2814" t="s">
        <v>47</v>
      </c>
      <c r="B2814" t="s">
        <v>137</v>
      </c>
      <c r="C2814" t="s">
        <v>27</v>
      </c>
      <c r="D2814" t="s">
        <v>27</v>
      </c>
      <c r="E2814" s="2">
        <v>45994</v>
      </c>
      <c r="F2814" s="2">
        <v>45994</v>
      </c>
      <c r="G2814" s="3">
        <v>32</v>
      </c>
      <c r="H2814" t="s">
        <v>28</v>
      </c>
      <c r="I2814">
        <v>62</v>
      </c>
      <c r="J2814">
        <v>0</v>
      </c>
      <c r="K2814">
        <v>0</v>
      </c>
      <c r="L2814" s="3">
        <v>1</v>
      </c>
      <c r="M2814" s="3">
        <v>0</v>
      </c>
      <c r="N2814">
        <v>0</v>
      </c>
      <c r="O2814">
        <v>0</v>
      </c>
      <c r="P2814">
        <v>0</v>
      </c>
      <c r="Q2814">
        <v>18</v>
      </c>
      <c r="R2814" s="3">
        <v>0</v>
      </c>
      <c r="S2814" s="3">
        <v>0</v>
      </c>
      <c r="T2814">
        <v>0</v>
      </c>
      <c r="U2814">
        <v>0</v>
      </c>
      <c r="V2814" s="3">
        <v>0</v>
      </c>
      <c r="W2814" s="3">
        <v>0</v>
      </c>
      <c r="X2814">
        <v>0</v>
      </c>
      <c r="Y2814" t="s">
        <v>2239</v>
      </c>
    </row>
    <row r="2815" spans="1:25" hidden="1" x14ac:dyDescent="0.25">
      <c r="A2815" t="s">
        <v>34</v>
      </c>
      <c r="B2815" t="s">
        <v>137</v>
      </c>
      <c r="C2815" t="s">
        <v>27</v>
      </c>
      <c r="D2815" t="s">
        <v>27</v>
      </c>
      <c r="E2815" s="2">
        <v>45994</v>
      </c>
      <c r="F2815" s="2">
        <v>45994</v>
      </c>
      <c r="G2815" s="3">
        <v>32</v>
      </c>
      <c r="H2815" t="s">
        <v>28</v>
      </c>
      <c r="I2815">
        <v>62</v>
      </c>
      <c r="J2815">
        <v>0</v>
      </c>
      <c r="K2815">
        <v>0</v>
      </c>
      <c r="L2815" s="3">
        <v>1</v>
      </c>
      <c r="M2815" s="3">
        <v>0</v>
      </c>
      <c r="N2815">
        <v>0</v>
      </c>
      <c r="O2815">
        <v>0</v>
      </c>
      <c r="P2815">
        <v>0</v>
      </c>
      <c r="Q2815">
        <v>18</v>
      </c>
      <c r="R2815" s="3">
        <v>0</v>
      </c>
      <c r="S2815" s="3">
        <v>0</v>
      </c>
      <c r="T2815">
        <v>0</v>
      </c>
      <c r="U2815">
        <v>0</v>
      </c>
      <c r="V2815" s="3">
        <v>0</v>
      </c>
      <c r="W2815" s="3">
        <v>0</v>
      </c>
      <c r="X2815">
        <v>0</v>
      </c>
      <c r="Y2815" t="s">
        <v>2239</v>
      </c>
    </row>
    <row r="2816" spans="1:25" hidden="1" x14ac:dyDescent="0.25">
      <c r="A2816" t="s">
        <v>49</v>
      </c>
      <c r="B2816" t="s">
        <v>118</v>
      </c>
      <c r="C2816" t="s">
        <v>50</v>
      </c>
      <c r="D2816" t="s">
        <v>27</v>
      </c>
      <c r="E2816" s="2">
        <v>45994</v>
      </c>
      <c r="F2816" s="2">
        <v>45994</v>
      </c>
      <c r="G2816" s="3">
        <v>28</v>
      </c>
      <c r="H2816" t="s">
        <v>28</v>
      </c>
      <c r="I2816">
        <v>37</v>
      </c>
      <c r="J2816">
        <v>0</v>
      </c>
      <c r="K2816">
        <v>0</v>
      </c>
      <c r="L2816" s="3">
        <v>1</v>
      </c>
      <c r="M2816" s="3">
        <v>1</v>
      </c>
      <c r="N2816">
        <v>0</v>
      </c>
      <c r="O2816">
        <v>0</v>
      </c>
      <c r="P2816">
        <v>0</v>
      </c>
      <c r="Q2816">
        <v>37</v>
      </c>
      <c r="R2816" s="3">
        <v>0</v>
      </c>
      <c r="S2816" s="3">
        <v>0</v>
      </c>
      <c r="T2816">
        <v>0</v>
      </c>
      <c r="U2816">
        <v>0</v>
      </c>
      <c r="V2816" s="3">
        <v>0</v>
      </c>
      <c r="W2816" s="3">
        <v>0</v>
      </c>
      <c r="X2816">
        <v>0</v>
      </c>
      <c r="Y2816" t="s">
        <v>2240</v>
      </c>
    </row>
    <row r="2817" spans="1:25" hidden="1" x14ac:dyDescent="0.25">
      <c r="A2817" t="s">
        <v>51</v>
      </c>
      <c r="B2817" t="s">
        <v>120</v>
      </c>
      <c r="C2817" t="s">
        <v>55</v>
      </c>
      <c r="D2817" t="s">
        <v>27</v>
      </c>
      <c r="E2817" s="2">
        <v>45994</v>
      </c>
      <c r="F2817" s="2">
        <v>45994</v>
      </c>
      <c r="G2817" s="3">
        <v>61</v>
      </c>
      <c r="H2817" t="s">
        <v>28</v>
      </c>
      <c r="I2817">
        <v>43</v>
      </c>
      <c r="J2817">
        <v>0</v>
      </c>
      <c r="K2817">
        <v>0</v>
      </c>
      <c r="L2817" s="3">
        <v>1</v>
      </c>
      <c r="M2817" s="3">
        <v>0</v>
      </c>
      <c r="N2817">
        <v>1</v>
      </c>
      <c r="O2817">
        <v>0</v>
      </c>
      <c r="P2817">
        <v>0</v>
      </c>
      <c r="Q2817">
        <v>0</v>
      </c>
      <c r="R2817" s="3">
        <v>0</v>
      </c>
      <c r="S2817" s="3">
        <v>0</v>
      </c>
      <c r="T2817">
        <v>0</v>
      </c>
      <c r="U2817">
        <v>0</v>
      </c>
      <c r="V2817" s="3">
        <v>0</v>
      </c>
      <c r="W2817" s="3">
        <v>0</v>
      </c>
      <c r="X2817">
        <v>0</v>
      </c>
      <c r="Y2817" t="s">
        <v>2241</v>
      </c>
    </row>
    <row r="2818" spans="1:25" hidden="1" x14ac:dyDescent="0.25">
      <c r="A2818" t="s">
        <v>54</v>
      </c>
      <c r="B2818" t="s">
        <v>122</v>
      </c>
      <c r="C2818" t="s">
        <v>52</v>
      </c>
      <c r="D2818" t="s">
        <v>27</v>
      </c>
      <c r="E2818" s="2">
        <v>45994</v>
      </c>
      <c r="F2818" s="2">
        <v>45994</v>
      </c>
      <c r="G2818" s="3">
        <v>35</v>
      </c>
      <c r="H2818" t="s">
        <v>28</v>
      </c>
      <c r="I2818">
        <v>42</v>
      </c>
      <c r="J2818">
        <v>0</v>
      </c>
      <c r="K2818">
        <v>0</v>
      </c>
      <c r="L2818" s="3">
        <v>0</v>
      </c>
      <c r="M2818" s="3">
        <v>0</v>
      </c>
      <c r="N2818">
        <v>0</v>
      </c>
      <c r="O2818">
        <v>0</v>
      </c>
      <c r="P2818">
        <v>0</v>
      </c>
      <c r="Q2818">
        <v>2</v>
      </c>
      <c r="R2818" s="3">
        <v>0</v>
      </c>
      <c r="S2818" s="3">
        <v>0</v>
      </c>
      <c r="T2818">
        <v>0</v>
      </c>
      <c r="U2818">
        <v>0</v>
      </c>
      <c r="V2818" s="3">
        <v>0</v>
      </c>
      <c r="W2818" s="3">
        <v>0</v>
      </c>
      <c r="X2818">
        <v>1</v>
      </c>
      <c r="Y2818" t="s">
        <v>2242</v>
      </c>
    </row>
    <row r="2819" spans="1:25" hidden="1" x14ac:dyDescent="0.25">
      <c r="A2819" t="s">
        <v>58</v>
      </c>
      <c r="B2819" t="s">
        <v>144</v>
      </c>
      <c r="C2819" t="s">
        <v>489</v>
      </c>
      <c r="D2819" t="s">
        <v>27</v>
      </c>
      <c r="E2819" s="2">
        <v>45994</v>
      </c>
      <c r="F2819" s="2">
        <v>45994</v>
      </c>
      <c r="G2819" s="3">
        <v>25</v>
      </c>
      <c r="H2819" t="s">
        <v>28</v>
      </c>
      <c r="I2819">
        <v>80</v>
      </c>
      <c r="J2819">
        <v>0</v>
      </c>
      <c r="K2819">
        <v>0</v>
      </c>
      <c r="L2819" s="3">
        <v>1</v>
      </c>
      <c r="M2819" s="3">
        <v>0</v>
      </c>
      <c r="N2819">
        <v>0</v>
      </c>
      <c r="O2819">
        <v>0</v>
      </c>
      <c r="P2819">
        <v>0</v>
      </c>
      <c r="Q2819">
        <v>38</v>
      </c>
      <c r="R2819" s="3">
        <v>0</v>
      </c>
      <c r="S2819" s="3">
        <v>0</v>
      </c>
      <c r="T2819">
        <v>0</v>
      </c>
      <c r="U2819">
        <v>0</v>
      </c>
      <c r="V2819" s="3">
        <v>0</v>
      </c>
      <c r="W2819" s="3">
        <v>0</v>
      </c>
      <c r="X2819">
        <v>1</v>
      </c>
      <c r="Y2819" t="s">
        <v>2243</v>
      </c>
    </row>
    <row r="2820" spans="1:25" hidden="1" x14ac:dyDescent="0.25">
      <c r="A2820" t="s">
        <v>48</v>
      </c>
      <c r="B2820" t="s">
        <v>182</v>
      </c>
      <c r="C2820" t="s">
        <v>27</v>
      </c>
      <c r="D2820" t="s">
        <v>27</v>
      </c>
      <c r="E2820" s="2">
        <v>45993</v>
      </c>
      <c r="F2820" s="2">
        <v>45993</v>
      </c>
      <c r="G2820" s="3">
        <v>43</v>
      </c>
      <c r="H2820" t="s">
        <v>28</v>
      </c>
      <c r="I2820">
        <v>35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2227</v>
      </c>
    </row>
    <row r="2821" spans="1:25" hidden="1" x14ac:dyDescent="0.25">
      <c r="A2821" t="s">
        <v>48</v>
      </c>
      <c r="B2821" t="s">
        <v>106</v>
      </c>
      <c r="C2821" t="s">
        <v>27</v>
      </c>
      <c r="D2821" t="s">
        <v>27</v>
      </c>
      <c r="E2821" s="2">
        <v>45994</v>
      </c>
      <c r="F2821" s="2">
        <v>45994</v>
      </c>
      <c r="G2821" s="3">
        <v>25</v>
      </c>
      <c r="H2821" t="s">
        <v>1448</v>
      </c>
      <c r="I2821">
        <v>0</v>
      </c>
      <c r="J2821">
        <v>0</v>
      </c>
      <c r="K2821">
        <v>0</v>
      </c>
      <c r="L2821" s="3">
        <v>0</v>
      </c>
      <c r="M2821" s="3">
        <v>0</v>
      </c>
      <c r="N2821">
        <v>0</v>
      </c>
      <c r="O2821">
        <v>0</v>
      </c>
      <c r="P2821">
        <v>0</v>
      </c>
      <c r="Q2821">
        <v>0</v>
      </c>
      <c r="R2821" s="3">
        <v>0</v>
      </c>
      <c r="S2821" s="3">
        <v>0</v>
      </c>
      <c r="T2821">
        <v>0</v>
      </c>
      <c r="U2821">
        <v>0</v>
      </c>
      <c r="V2821" s="3">
        <v>0</v>
      </c>
      <c r="W2821" s="3">
        <v>0</v>
      </c>
      <c r="X2821" s="3">
        <v>0</v>
      </c>
      <c r="Y2821" t="s">
        <v>2243</v>
      </c>
    </row>
    <row r="2822" spans="1:25" hidden="1" x14ac:dyDescent="0.25">
      <c r="A2822" t="s">
        <v>25</v>
      </c>
      <c r="B2822" t="s">
        <v>96</v>
      </c>
      <c r="C2822" t="s">
        <v>26</v>
      </c>
      <c r="D2822" t="s">
        <v>27</v>
      </c>
      <c r="E2822" s="2">
        <v>45995</v>
      </c>
      <c r="F2822" s="2">
        <v>45995</v>
      </c>
      <c r="G2822" s="3">
        <v>50</v>
      </c>
      <c r="H2822" s="4" t="s">
        <v>28</v>
      </c>
      <c r="I2822">
        <v>55</v>
      </c>
      <c r="J2822">
        <v>0</v>
      </c>
      <c r="K2822">
        <v>0</v>
      </c>
      <c r="L2822" s="3">
        <v>0</v>
      </c>
      <c r="M2822" s="3">
        <v>0</v>
      </c>
      <c r="N2822">
        <v>1</v>
      </c>
      <c r="O2822">
        <v>0</v>
      </c>
      <c r="P2822">
        <v>0</v>
      </c>
      <c r="Q2822">
        <v>0</v>
      </c>
      <c r="R2822" s="3">
        <v>0</v>
      </c>
      <c r="S2822" s="3">
        <v>0</v>
      </c>
      <c r="T2822">
        <v>0</v>
      </c>
      <c r="U2822">
        <v>0</v>
      </c>
      <c r="V2822" s="3">
        <v>0</v>
      </c>
      <c r="W2822" s="3">
        <v>0</v>
      </c>
      <c r="X2822">
        <v>0</v>
      </c>
      <c r="Y2822" t="s">
        <v>2244</v>
      </c>
    </row>
    <row r="2823" spans="1:25" hidden="1" x14ac:dyDescent="0.25">
      <c r="A2823" t="s">
        <v>56</v>
      </c>
      <c r="B2823" t="s">
        <v>98</v>
      </c>
      <c r="C2823" t="s">
        <v>37</v>
      </c>
      <c r="D2823" t="s">
        <v>27</v>
      </c>
      <c r="E2823" s="2">
        <v>45995</v>
      </c>
      <c r="F2823" s="2">
        <v>45995</v>
      </c>
      <c r="G2823" s="3">
        <v>32</v>
      </c>
      <c r="H2823" s="4" t="s">
        <v>28</v>
      </c>
      <c r="I2823">
        <v>40</v>
      </c>
      <c r="J2823">
        <v>0</v>
      </c>
      <c r="K2823">
        <v>0</v>
      </c>
      <c r="L2823" s="3">
        <v>1</v>
      </c>
      <c r="M2823" s="3">
        <v>0</v>
      </c>
      <c r="N2823">
        <v>0</v>
      </c>
      <c r="O2823">
        <v>0</v>
      </c>
      <c r="P2823">
        <v>0</v>
      </c>
      <c r="Q2823">
        <v>10</v>
      </c>
      <c r="R2823" s="3">
        <v>0</v>
      </c>
      <c r="S2823" s="3">
        <v>0</v>
      </c>
      <c r="T2823">
        <v>0</v>
      </c>
      <c r="U2823">
        <v>0</v>
      </c>
      <c r="V2823" s="3">
        <v>0</v>
      </c>
      <c r="W2823" s="3">
        <v>0</v>
      </c>
      <c r="X2823">
        <v>0</v>
      </c>
      <c r="Y2823" t="s">
        <v>2245</v>
      </c>
    </row>
    <row r="2824" spans="1:25" hidden="1" x14ac:dyDescent="0.25">
      <c r="A2824" t="s">
        <v>344</v>
      </c>
      <c r="B2824" t="s">
        <v>102</v>
      </c>
      <c r="C2824" t="s">
        <v>35</v>
      </c>
      <c r="D2824" t="s">
        <v>27</v>
      </c>
      <c r="E2824" s="2">
        <v>45995</v>
      </c>
      <c r="F2824" s="2">
        <v>45995</v>
      </c>
      <c r="G2824" s="3">
        <v>45</v>
      </c>
      <c r="H2824" s="4" t="s">
        <v>28</v>
      </c>
      <c r="I2824">
        <v>46</v>
      </c>
      <c r="J2824">
        <v>0</v>
      </c>
      <c r="K2824">
        <v>0</v>
      </c>
      <c r="L2824" s="3">
        <v>0</v>
      </c>
      <c r="M2824" s="3">
        <v>0</v>
      </c>
      <c r="N2824">
        <v>0</v>
      </c>
      <c r="O2824">
        <v>0</v>
      </c>
      <c r="P2824">
        <v>0</v>
      </c>
      <c r="Q2824">
        <v>2</v>
      </c>
      <c r="R2824" s="3">
        <v>0</v>
      </c>
      <c r="S2824" s="3">
        <v>0</v>
      </c>
      <c r="T2824">
        <v>0</v>
      </c>
      <c r="U2824">
        <v>0</v>
      </c>
      <c r="V2824" s="3">
        <v>0</v>
      </c>
      <c r="W2824" s="3">
        <v>0</v>
      </c>
      <c r="X2824">
        <v>0</v>
      </c>
      <c r="Y2824" t="s">
        <v>2215</v>
      </c>
    </row>
    <row r="2825" spans="1:25" hidden="1" x14ac:dyDescent="0.25">
      <c r="A2825" t="s">
        <v>31</v>
      </c>
      <c r="B2825" t="s">
        <v>104</v>
      </c>
      <c r="C2825" t="s">
        <v>32</v>
      </c>
      <c r="D2825" t="s">
        <v>27</v>
      </c>
      <c r="E2825" s="2">
        <v>45995</v>
      </c>
      <c r="F2825" s="2">
        <v>45995</v>
      </c>
      <c r="G2825" s="3">
        <v>43</v>
      </c>
      <c r="H2825" s="4" t="s">
        <v>28</v>
      </c>
      <c r="I2825">
        <v>68</v>
      </c>
      <c r="J2825">
        <v>0</v>
      </c>
      <c r="K2825">
        <v>0</v>
      </c>
      <c r="L2825" s="3">
        <v>0</v>
      </c>
      <c r="M2825" s="3">
        <v>0</v>
      </c>
      <c r="N2825">
        <v>0</v>
      </c>
      <c r="O2825">
        <v>0</v>
      </c>
      <c r="P2825">
        <v>0</v>
      </c>
      <c r="Q2825">
        <v>35</v>
      </c>
      <c r="R2825" s="3">
        <v>0</v>
      </c>
      <c r="S2825" s="3">
        <v>0</v>
      </c>
      <c r="T2825">
        <v>0</v>
      </c>
      <c r="U2825">
        <v>0</v>
      </c>
      <c r="V2825" s="3">
        <v>0</v>
      </c>
      <c r="W2825" s="3">
        <v>0</v>
      </c>
      <c r="X2825">
        <v>3</v>
      </c>
      <c r="Y2825" t="s">
        <v>2246</v>
      </c>
    </row>
    <row r="2826" spans="1:25" hidden="1" x14ac:dyDescent="0.25">
      <c r="A2826" t="s">
        <v>33</v>
      </c>
      <c r="B2826" t="s">
        <v>106</v>
      </c>
      <c r="C2826" t="s">
        <v>57</v>
      </c>
      <c r="D2826" t="s">
        <v>27</v>
      </c>
      <c r="E2826" s="2">
        <v>45995</v>
      </c>
      <c r="F2826" s="2">
        <v>45995</v>
      </c>
      <c r="G2826" s="3">
        <v>25</v>
      </c>
      <c r="H2826" s="4" t="s">
        <v>28</v>
      </c>
      <c r="I2826">
        <v>44</v>
      </c>
      <c r="J2826">
        <v>0</v>
      </c>
      <c r="K2826">
        <v>0</v>
      </c>
      <c r="L2826" s="3">
        <v>0</v>
      </c>
      <c r="M2826" s="3">
        <v>0</v>
      </c>
      <c r="N2826">
        <v>0</v>
      </c>
      <c r="O2826">
        <v>0</v>
      </c>
      <c r="P2826">
        <v>0</v>
      </c>
      <c r="Q2826">
        <v>0</v>
      </c>
      <c r="R2826" s="3">
        <v>0</v>
      </c>
      <c r="S2826" s="3">
        <v>0</v>
      </c>
      <c r="T2826">
        <v>0</v>
      </c>
      <c r="U2826">
        <v>0</v>
      </c>
      <c r="V2826" s="3">
        <v>0</v>
      </c>
      <c r="W2826" s="3">
        <v>0</v>
      </c>
      <c r="X2826">
        <v>0</v>
      </c>
      <c r="Y2826" t="s">
        <v>2247</v>
      </c>
    </row>
    <row r="2827" spans="1:25" hidden="1" x14ac:dyDescent="0.25">
      <c r="A2827" t="s">
        <v>38</v>
      </c>
      <c r="B2827" t="s">
        <v>108</v>
      </c>
      <c r="C2827" t="s">
        <v>27</v>
      </c>
      <c r="D2827" t="s">
        <v>27</v>
      </c>
      <c r="E2827" s="2">
        <v>45995</v>
      </c>
      <c r="F2827" s="2">
        <v>45995</v>
      </c>
      <c r="G2827" s="3">
        <v>46</v>
      </c>
      <c r="H2827" s="4" t="s">
        <v>28</v>
      </c>
      <c r="I2827">
        <v>35</v>
      </c>
      <c r="J2827">
        <v>0</v>
      </c>
      <c r="K2827">
        <v>0</v>
      </c>
      <c r="L2827" s="3">
        <v>0</v>
      </c>
      <c r="M2827" s="3">
        <v>0</v>
      </c>
      <c r="N2827">
        <v>0</v>
      </c>
      <c r="O2827">
        <v>0</v>
      </c>
      <c r="P2827">
        <v>0</v>
      </c>
      <c r="Q2827">
        <v>35</v>
      </c>
      <c r="R2827" s="3">
        <v>0</v>
      </c>
      <c r="S2827" s="3">
        <v>0</v>
      </c>
      <c r="T2827">
        <v>0</v>
      </c>
      <c r="U2827">
        <v>0</v>
      </c>
      <c r="V2827" s="3">
        <v>0</v>
      </c>
      <c r="W2827" s="3">
        <v>0</v>
      </c>
      <c r="X2827">
        <v>0</v>
      </c>
      <c r="Y2827" t="s">
        <v>2248</v>
      </c>
    </row>
    <row r="2828" spans="1:25" hidden="1" x14ac:dyDescent="0.25">
      <c r="A2828" t="s">
        <v>1454</v>
      </c>
      <c r="B2828" t="s">
        <v>1455</v>
      </c>
      <c r="C2828" t="s">
        <v>27</v>
      </c>
      <c r="D2828" t="s">
        <v>27</v>
      </c>
      <c r="E2828" s="2">
        <v>45995</v>
      </c>
      <c r="F2828" s="2">
        <v>45995</v>
      </c>
      <c r="G2828" s="3">
        <v>46</v>
      </c>
      <c r="H2828" s="4" t="s">
        <v>28</v>
      </c>
      <c r="I2828">
        <v>31</v>
      </c>
      <c r="J2828">
        <v>0</v>
      </c>
      <c r="K2828">
        <v>0</v>
      </c>
      <c r="L2828" s="3">
        <v>1</v>
      </c>
      <c r="M2828" s="3">
        <v>0</v>
      </c>
      <c r="N2828">
        <v>0</v>
      </c>
      <c r="O2828">
        <v>0</v>
      </c>
      <c r="P2828">
        <v>0</v>
      </c>
      <c r="Q2828">
        <v>31</v>
      </c>
      <c r="R2828" s="3">
        <v>0</v>
      </c>
      <c r="S2828" s="3">
        <v>0</v>
      </c>
      <c r="T2828">
        <v>0</v>
      </c>
      <c r="U2828">
        <v>0</v>
      </c>
      <c r="V2828" s="3">
        <v>0</v>
      </c>
      <c r="W2828" s="3">
        <v>0</v>
      </c>
      <c r="X2828">
        <v>0</v>
      </c>
      <c r="Y2828" t="s">
        <v>2249</v>
      </c>
    </row>
    <row r="2829" spans="1:25" hidden="1" x14ac:dyDescent="0.25">
      <c r="A2829" t="s">
        <v>41</v>
      </c>
      <c r="B2829" t="s">
        <v>112</v>
      </c>
      <c r="C2829" t="s">
        <v>42</v>
      </c>
      <c r="D2829" t="s">
        <v>27</v>
      </c>
      <c r="E2829" s="2">
        <v>45995</v>
      </c>
      <c r="F2829" s="2">
        <v>45995</v>
      </c>
      <c r="G2829" s="3">
        <v>59</v>
      </c>
      <c r="H2829" s="4" t="s">
        <v>28</v>
      </c>
      <c r="I2829">
        <v>40</v>
      </c>
      <c r="J2829">
        <v>0</v>
      </c>
      <c r="K2829">
        <v>0</v>
      </c>
      <c r="L2829" s="3">
        <v>1</v>
      </c>
      <c r="M2829" s="3">
        <v>0</v>
      </c>
      <c r="N2829">
        <v>0</v>
      </c>
      <c r="O2829">
        <v>0</v>
      </c>
      <c r="P2829">
        <v>0</v>
      </c>
      <c r="Q2829">
        <v>4</v>
      </c>
      <c r="R2829" s="3">
        <v>0</v>
      </c>
      <c r="S2829" s="3">
        <v>0</v>
      </c>
      <c r="T2829">
        <v>0</v>
      </c>
      <c r="U2829">
        <v>0</v>
      </c>
      <c r="V2829" s="3">
        <v>0</v>
      </c>
      <c r="W2829" s="3">
        <v>0</v>
      </c>
      <c r="X2829">
        <v>0</v>
      </c>
      <c r="Y2829" t="s">
        <v>2250</v>
      </c>
    </row>
    <row r="2830" spans="1:25" hidden="1" x14ac:dyDescent="0.25">
      <c r="A2830" t="s">
        <v>43</v>
      </c>
      <c r="B2830" t="s">
        <v>114</v>
      </c>
      <c r="C2830" t="s">
        <v>44</v>
      </c>
      <c r="D2830" t="s">
        <v>27</v>
      </c>
      <c r="E2830" s="2">
        <v>45995</v>
      </c>
      <c r="F2830" s="2">
        <v>45995</v>
      </c>
      <c r="G2830" s="3">
        <v>57</v>
      </c>
      <c r="H2830" s="4" t="s">
        <v>28</v>
      </c>
      <c r="I2830">
        <v>62</v>
      </c>
      <c r="J2830">
        <v>0</v>
      </c>
      <c r="K2830">
        <v>0</v>
      </c>
      <c r="L2830" s="3">
        <v>0</v>
      </c>
      <c r="M2830" s="3">
        <v>0</v>
      </c>
      <c r="N2830">
        <v>0</v>
      </c>
      <c r="O2830">
        <v>0</v>
      </c>
      <c r="P2830">
        <v>0</v>
      </c>
      <c r="Q2830">
        <v>0</v>
      </c>
      <c r="R2830" s="3">
        <v>0</v>
      </c>
      <c r="S2830" s="3">
        <v>0</v>
      </c>
      <c r="T2830">
        <v>0</v>
      </c>
      <c r="U2830">
        <v>0</v>
      </c>
      <c r="V2830" s="3">
        <v>0</v>
      </c>
      <c r="W2830" s="3">
        <v>0</v>
      </c>
      <c r="X2830">
        <v>0</v>
      </c>
      <c r="Y2830" t="s">
        <v>2251</v>
      </c>
    </row>
    <row r="2831" spans="1:25" hidden="1" x14ac:dyDescent="0.25">
      <c r="A2831" t="s">
        <v>2118</v>
      </c>
      <c r="B2831" t="s">
        <v>2119</v>
      </c>
      <c r="C2831" t="s">
        <v>27</v>
      </c>
      <c r="D2831" t="s">
        <v>27</v>
      </c>
      <c r="E2831" s="2">
        <v>45995</v>
      </c>
      <c r="F2831" s="2">
        <v>45995</v>
      </c>
      <c r="G2831" s="3">
        <v>35</v>
      </c>
      <c r="H2831" s="4" t="s">
        <v>28</v>
      </c>
      <c r="I2831">
        <v>23</v>
      </c>
      <c r="J2831">
        <v>0</v>
      </c>
      <c r="K2831">
        <v>0</v>
      </c>
      <c r="L2831" s="3">
        <v>1</v>
      </c>
      <c r="M2831" s="3">
        <v>0</v>
      </c>
      <c r="N2831">
        <v>0</v>
      </c>
      <c r="O2831">
        <v>0</v>
      </c>
      <c r="P2831">
        <v>0</v>
      </c>
      <c r="Q2831">
        <v>23</v>
      </c>
      <c r="R2831" s="3">
        <v>0</v>
      </c>
      <c r="S2831" s="3">
        <v>0</v>
      </c>
      <c r="T2831">
        <v>0</v>
      </c>
      <c r="U2831">
        <v>0</v>
      </c>
      <c r="V2831" s="3">
        <v>0</v>
      </c>
      <c r="W2831" s="3">
        <v>0</v>
      </c>
      <c r="X2831">
        <v>0</v>
      </c>
      <c r="Y2831" t="s">
        <v>2252</v>
      </c>
    </row>
    <row r="2832" spans="1:25" hidden="1" x14ac:dyDescent="0.25">
      <c r="A2832" t="s">
        <v>45</v>
      </c>
      <c r="B2832" t="s">
        <v>116</v>
      </c>
      <c r="C2832" t="s">
        <v>46</v>
      </c>
      <c r="D2832" t="s">
        <v>27</v>
      </c>
      <c r="E2832" s="2">
        <v>45995</v>
      </c>
      <c r="F2832" s="2">
        <v>45995</v>
      </c>
      <c r="G2832" s="3">
        <v>69</v>
      </c>
      <c r="H2832" s="4" t="s">
        <v>28</v>
      </c>
      <c r="I2832">
        <v>71</v>
      </c>
      <c r="J2832">
        <v>0</v>
      </c>
      <c r="K2832">
        <v>0</v>
      </c>
      <c r="L2832" s="3">
        <v>0</v>
      </c>
      <c r="M2832" s="3">
        <v>0</v>
      </c>
      <c r="N2832">
        <v>0</v>
      </c>
      <c r="O2832">
        <v>0</v>
      </c>
      <c r="P2832">
        <v>0</v>
      </c>
      <c r="Q2832">
        <v>0</v>
      </c>
      <c r="R2832" s="3">
        <v>0</v>
      </c>
      <c r="S2832" s="3">
        <v>0</v>
      </c>
      <c r="T2832">
        <v>0</v>
      </c>
      <c r="U2832">
        <v>0</v>
      </c>
      <c r="V2832" s="3">
        <v>0</v>
      </c>
      <c r="W2832" s="3">
        <v>0</v>
      </c>
      <c r="X2832">
        <v>0</v>
      </c>
      <c r="Y2832" t="s">
        <v>2253</v>
      </c>
    </row>
    <row r="2833" spans="1:25" hidden="1" x14ac:dyDescent="0.25">
      <c r="A2833" t="s">
        <v>47</v>
      </c>
      <c r="B2833" t="s">
        <v>137</v>
      </c>
      <c r="C2833" t="s">
        <v>27</v>
      </c>
      <c r="D2833" t="s">
        <v>27</v>
      </c>
      <c r="E2833" s="2">
        <v>45995</v>
      </c>
      <c r="F2833" s="2">
        <v>45995</v>
      </c>
      <c r="G2833" s="3">
        <v>31</v>
      </c>
      <c r="H2833" s="4" t="s">
        <v>28</v>
      </c>
      <c r="I2833">
        <v>55</v>
      </c>
      <c r="J2833">
        <v>0</v>
      </c>
      <c r="K2833">
        <v>0</v>
      </c>
      <c r="L2833" s="3">
        <v>0</v>
      </c>
      <c r="M2833" s="3">
        <v>0</v>
      </c>
      <c r="N2833">
        <v>0</v>
      </c>
      <c r="O2833">
        <v>0</v>
      </c>
      <c r="P2833">
        <v>0</v>
      </c>
      <c r="Q2833">
        <v>20</v>
      </c>
      <c r="R2833" s="3">
        <v>0</v>
      </c>
      <c r="S2833" s="3">
        <v>0</v>
      </c>
      <c r="T2833">
        <v>0</v>
      </c>
      <c r="U2833">
        <v>0</v>
      </c>
      <c r="V2833" s="3">
        <v>0</v>
      </c>
      <c r="W2833" s="3">
        <v>0</v>
      </c>
      <c r="X2833">
        <v>0</v>
      </c>
      <c r="Y2833" t="s">
        <v>2254</v>
      </c>
    </row>
    <row r="2834" spans="1:25" hidden="1" x14ac:dyDescent="0.25">
      <c r="A2834" t="s">
        <v>34</v>
      </c>
      <c r="B2834" t="s">
        <v>137</v>
      </c>
      <c r="C2834" t="s">
        <v>27</v>
      </c>
      <c r="D2834" t="s">
        <v>27</v>
      </c>
      <c r="E2834" s="2">
        <v>45995</v>
      </c>
      <c r="F2834" s="2">
        <v>45995</v>
      </c>
      <c r="G2834" s="3">
        <v>31</v>
      </c>
      <c r="H2834" s="4" t="s">
        <v>28</v>
      </c>
      <c r="I2834">
        <v>55</v>
      </c>
      <c r="J2834">
        <v>0</v>
      </c>
      <c r="K2834">
        <v>0</v>
      </c>
      <c r="L2834" s="3">
        <v>0</v>
      </c>
      <c r="M2834" s="3">
        <v>0</v>
      </c>
      <c r="N2834">
        <v>0</v>
      </c>
      <c r="O2834">
        <v>0</v>
      </c>
      <c r="P2834">
        <v>0</v>
      </c>
      <c r="Q2834">
        <v>20</v>
      </c>
      <c r="R2834" s="3">
        <v>0</v>
      </c>
      <c r="S2834" s="3">
        <v>0</v>
      </c>
      <c r="T2834">
        <v>0</v>
      </c>
      <c r="U2834">
        <v>0</v>
      </c>
      <c r="V2834" s="3">
        <v>0</v>
      </c>
      <c r="W2834" s="3">
        <v>0</v>
      </c>
      <c r="X2834">
        <v>0</v>
      </c>
      <c r="Y2834" t="s">
        <v>2254</v>
      </c>
    </row>
    <row r="2835" spans="1:25" hidden="1" x14ac:dyDescent="0.25">
      <c r="A2835" t="s">
        <v>40</v>
      </c>
      <c r="B2835" t="s">
        <v>110</v>
      </c>
      <c r="C2835" t="s">
        <v>27</v>
      </c>
      <c r="D2835" t="s">
        <v>27</v>
      </c>
      <c r="E2835" s="2">
        <v>45995</v>
      </c>
      <c r="F2835" s="2">
        <v>45995</v>
      </c>
      <c r="G2835" s="3">
        <v>72</v>
      </c>
      <c r="H2835" s="4" t="s">
        <v>28</v>
      </c>
      <c r="I2835">
        <v>53</v>
      </c>
      <c r="J2835">
        <v>0</v>
      </c>
      <c r="K2835">
        <v>0</v>
      </c>
      <c r="L2835" s="3">
        <v>1</v>
      </c>
      <c r="M2835" s="3">
        <v>0</v>
      </c>
      <c r="N2835">
        <v>1</v>
      </c>
      <c r="O2835">
        <v>0</v>
      </c>
      <c r="P2835">
        <v>0</v>
      </c>
      <c r="Q2835">
        <v>0</v>
      </c>
      <c r="R2835" s="3">
        <v>0</v>
      </c>
      <c r="S2835" s="3">
        <v>0</v>
      </c>
      <c r="T2835">
        <v>0</v>
      </c>
      <c r="U2835">
        <v>0</v>
      </c>
      <c r="V2835" s="3">
        <v>0</v>
      </c>
      <c r="W2835" s="3">
        <v>0</v>
      </c>
      <c r="X2835">
        <v>0</v>
      </c>
      <c r="Y2835" t="s">
        <v>2255</v>
      </c>
    </row>
    <row r="2836" spans="1:25" hidden="1" x14ac:dyDescent="0.25">
      <c r="A2836" t="s">
        <v>36</v>
      </c>
      <c r="B2836" t="s">
        <v>110</v>
      </c>
      <c r="C2836" t="s">
        <v>27</v>
      </c>
      <c r="D2836" t="s">
        <v>27</v>
      </c>
      <c r="E2836" s="2">
        <v>45995</v>
      </c>
      <c r="F2836" s="2">
        <v>45995</v>
      </c>
      <c r="G2836" s="3">
        <v>72</v>
      </c>
      <c r="H2836" s="4" t="s">
        <v>28</v>
      </c>
      <c r="I2836">
        <v>53</v>
      </c>
      <c r="J2836">
        <v>0</v>
      </c>
      <c r="K2836">
        <v>0</v>
      </c>
      <c r="L2836" s="3">
        <v>1</v>
      </c>
      <c r="M2836" s="3">
        <v>0</v>
      </c>
      <c r="N2836">
        <v>1</v>
      </c>
      <c r="O2836">
        <v>0</v>
      </c>
      <c r="P2836">
        <v>0</v>
      </c>
      <c r="Q2836">
        <v>0</v>
      </c>
      <c r="R2836" s="3">
        <v>0</v>
      </c>
      <c r="S2836" s="3">
        <v>0</v>
      </c>
      <c r="T2836">
        <v>0</v>
      </c>
      <c r="U2836">
        <v>0</v>
      </c>
      <c r="V2836" s="3">
        <v>0</v>
      </c>
      <c r="W2836" s="3">
        <v>0</v>
      </c>
      <c r="X2836">
        <v>0</v>
      </c>
      <c r="Y2836" t="s">
        <v>2255</v>
      </c>
    </row>
    <row r="2837" spans="1:25" hidden="1" x14ac:dyDescent="0.25">
      <c r="A2837" t="s">
        <v>49</v>
      </c>
      <c r="B2837" t="s">
        <v>118</v>
      </c>
      <c r="C2837" t="s">
        <v>50</v>
      </c>
      <c r="D2837" t="s">
        <v>27</v>
      </c>
      <c r="E2837" s="2">
        <v>45995</v>
      </c>
      <c r="F2837" s="2">
        <v>45995</v>
      </c>
      <c r="G2837" s="3">
        <v>47</v>
      </c>
      <c r="H2837" s="4" t="s">
        <v>28</v>
      </c>
      <c r="I2837">
        <v>64</v>
      </c>
      <c r="J2837">
        <v>0</v>
      </c>
      <c r="K2837">
        <v>0</v>
      </c>
      <c r="L2837" s="3">
        <v>1</v>
      </c>
      <c r="M2837" s="3">
        <v>1</v>
      </c>
      <c r="N2837">
        <v>0</v>
      </c>
      <c r="O2837">
        <v>1</v>
      </c>
      <c r="P2837">
        <v>0</v>
      </c>
      <c r="Q2837">
        <v>64</v>
      </c>
      <c r="R2837" s="3">
        <v>0</v>
      </c>
      <c r="S2837" s="3">
        <v>0</v>
      </c>
      <c r="T2837">
        <v>0</v>
      </c>
      <c r="U2837">
        <v>0</v>
      </c>
      <c r="V2837" s="3">
        <v>0</v>
      </c>
      <c r="W2837" s="3">
        <v>0</v>
      </c>
      <c r="X2837">
        <v>0</v>
      </c>
      <c r="Y2837" t="s">
        <v>2256</v>
      </c>
    </row>
    <row r="2838" spans="1:25" hidden="1" x14ac:dyDescent="0.25">
      <c r="A2838" t="s">
        <v>51</v>
      </c>
      <c r="B2838" t="s">
        <v>120</v>
      </c>
      <c r="C2838" t="s">
        <v>55</v>
      </c>
      <c r="D2838" t="s">
        <v>27</v>
      </c>
      <c r="E2838" s="2">
        <v>45995</v>
      </c>
      <c r="F2838" s="2">
        <v>45995</v>
      </c>
      <c r="G2838" s="3">
        <v>59</v>
      </c>
      <c r="H2838" s="4" t="s">
        <v>28</v>
      </c>
      <c r="I2838">
        <v>44</v>
      </c>
      <c r="J2838">
        <v>0</v>
      </c>
      <c r="K2838">
        <v>0</v>
      </c>
      <c r="L2838" s="3">
        <v>1</v>
      </c>
      <c r="M2838" s="3">
        <v>0</v>
      </c>
      <c r="N2838">
        <v>1</v>
      </c>
      <c r="O2838">
        <v>0</v>
      </c>
      <c r="P2838">
        <v>0</v>
      </c>
      <c r="Q2838">
        <v>0</v>
      </c>
      <c r="R2838" s="3">
        <v>0</v>
      </c>
      <c r="S2838" s="3">
        <v>0</v>
      </c>
      <c r="T2838">
        <v>0</v>
      </c>
      <c r="U2838">
        <v>0</v>
      </c>
      <c r="V2838" s="3">
        <v>0</v>
      </c>
      <c r="W2838" s="3">
        <v>0</v>
      </c>
      <c r="X2838">
        <v>0</v>
      </c>
      <c r="Y2838" t="s">
        <v>2257</v>
      </c>
    </row>
    <row r="2839" spans="1:25" hidden="1" x14ac:dyDescent="0.25">
      <c r="A2839" t="s">
        <v>54</v>
      </c>
      <c r="B2839" t="s">
        <v>122</v>
      </c>
      <c r="C2839" t="s">
        <v>52</v>
      </c>
      <c r="D2839" t="s">
        <v>27</v>
      </c>
      <c r="E2839" s="2">
        <v>45995</v>
      </c>
      <c r="F2839" s="2">
        <v>45995</v>
      </c>
      <c r="G2839" s="3">
        <v>43</v>
      </c>
      <c r="H2839" s="4" t="s">
        <v>28</v>
      </c>
      <c r="I2839">
        <v>17</v>
      </c>
      <c r="J2839">
        <v>0</v>
      </c>
      <c r="K2839">
        <v>0</v>
      </c>
      <c r="L2839" s="3">
        <v>0</v>
      </c>
      <c r="M2839" s="3">
        <v>0</v>
      </c>
      <c r="N2839">
        <v>0</v>
      </c>
      <c r="O2839">
        <v>0</v>
      </c>
      <c r="P2839">
        <v>0</v>
      </c>
      <c r="Q2839">
        <v>2</v>
      </c>
      <c r="R2839" s="3">
        <v>0</v>
      </c>
      <c r="S2839" s="3">
        <v>0</v>
      </c>
      <c r="T2839">
        <v>0</v>
      </c>
      <c r="U2839">
        <v>0</v>
      </c>
      <c r="V2839" s="3">
        <v>0</v>
      </c>
      <c r="W2839" s="3">
        <v>0</v>
      </c>
      <c r="X2839">
        <v>0</v>
      </c>
      <c r="Y2839" t="s">
        <v>2258</v>
      </c>
    </row>
    <row r="2840" spans="1:25" hidden="1" x14ac:dyDescent="0.25">
      <c r="A2840" t="s">
        <v>48</v>
      </c>
      <c r="B2840" t="s">
        <v>149</v>
      </c>
      <c r="C2840" t="s">
        <v>95</v>
      </c>
      <c r="D2840" t="s">
        <v>27</v>
      </c>
      <c r="E2840" s="2">
        <v>45995</v>
      </c>
      <c r="F2840" s="2">
        <v>45995</v>
      </c>
      <c r="G2840" s="3">
        <v>28</v>
      </c>
      <c r="H2840" s="4" t="s">
        <v>28</v>
      </c>
      <c r="I2840">
        <v>22</v>
      </c>
      <c r="J2840">
        <v>0</v>
      </c>
      <c r="K2840">
        <v>0</v>
      </c>
      <c r="L2840" s="3">
        <v>0</v>
      </c>
      <c r="M2840" s="3">
        <v>0</v>
      </c>
      <c r="N2840">
        <v>0</v>
      </c>
      <c r="O2840">
        <v>0</v>
      </c>
      <c r="P2840">
        <v>5</v>
      </c>
      <c r="Q2840">
        <v>5</v>
      </c>
      <c r="R2840" s="3">
        <v>0</v>
      </c>
      <c r="S2840" s="3">
        <v>0</v>
      </c>
      <c r="T2840">
        <v>0</v>
      </c>
      <c r="U2840">
        <v>0</v>
      </c>
      <c r="V2840" s="3">
        <v>0</v>
      </c>
      <c r="W2840" s="3">
        <v>0</v>
      </c>
      <c r="X2840">
        <v>0</v>
      </c>
      <c r="Y2840" t="s">
        <v>2259</v>
      </c>
    </row>
    <row r="2841" spans="1:25" hidden="1" x14ac:dyDescent="0.25">
      <c r="A2841" t="s">
        <v>29</v>
      </c>
      <c r="B2841" t="s">
        <v>149</v>
      </c>
      <c r="C2841" t="s">
        <v>27</v>
      </c>
      <c r="D2841" t="s">
        <v>27</v>
      </c>
      <c r="E2841" s="2">
        <v>45995</v>
      </c>
      <c r="F2841" s="2">
        <v>45995</v>
      </c>
      <c r="G2841" s="3">
        <v>134</v>
      </c>
      <c r="H2841" s="4" t="s">
        <v>763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t="s">
        <v>2260</v>
      </c>
    </row>
    <row r="2842" spans="1:25" hidden="1" x14ac:dyDescent="0.25">
      <c r="A2842" t="s">
        <v>58</v>
      </c>
      <c r="B2842" t="s">
        <v>739</v>
      </c>
      <c r="C2842" t="s">
        <v>489</v>
      </c>
      <c r="D2842" t="s">
        <v>27</v>
      </c>
      <c r="E2842" s="2">
        <v>45995</v>
      </c>
      <c r="F2842" s="2">
        <v>45995</v>
      </c>
      <c r="G2842" s="3">
        <v>135</v>
      </c>
      <c r="H2842" s="4" t="s">
        <v>1448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2260</v>
      </c>
    </row>
    <row r="2843" spans="1:25" hidden="1" x14ac:dyDescent="0.25">
      <c r="A2843" t="s">
        <v>25</v>
      </c>
      <c r="B2843" t="s">
        <v>96</v>
      </c>
      <c r="C2843" t="s">
        <v>26</v>
      </c>
      <c r="D2843" t="s">
        <v>27</v>
      </c>
      <c r="E2843" s="2">
        <v>45996</v>
      </c>
      <c r="F2843" s="2">
        <v>45996</v>
      </c>
      <c r="G2843" s="3">
        <v>66</v>
      </c>
      <c r="H2843" s="4" t="s">
        <v>28</v>
      </c>
      <c r="I2843">
        <v>74</v>
      </c>
      <c r="J2843">
        <v>0</v>
      </c>
      <c r="K2843">
        <v>0</v>
      </c>
      <c r="L2843" s="3">
        <v>1</v>
      </c>
      <c r="M2843" s="3">
        <v>0</v>
      </c>
      <c r="N2843">
        <v>1</v>
      </c>
      <c r="O2843">
        <v>0</v>
      </c>
      <c r="P2843">
        <v>0</v>
      </c>
      <c r="Q2843">
        <v>0</v>
      </c>
      <c r="R2843" s="3">
        <v>0</v>
      </c>
      <c r="S2843" s="3">
        <v>0</v>
      </c>
      <c r="T2843">
        <v>0</v>
      </c>
      <c r="U2843">
        <v>0</v>
      </c>
      <c r="V2843" s="3">
        <v>0</v>
      </c>
      <c r="W2843" s="3">
        <v>0</v>
      </c>
      <c r="X2843">
        <v>0</v>
      </c>
      <c r="Y2843" t="s">
        <v>2261</v>
      </c>
    </row>
    <row r="2844" spans="1:25" hidden="1" x14ac:dyDescent="0.25">
      <c r="A2844" t="s">
        <v>56</v>
      </c>
      <c r="B2844" t="s">
        <v>98</v>
      </c>
      <c r="C2844" t="s">
        <v>37</v>
      </c>
      <c r="D2844" t="s">
        <v>27</v>
      </c>
      <c r="E2844" s="2">
        <v>45996</v>
      </c>
      <c r="F2844" s="2">
        <v>45996</v>
      </c>
      <c r="G2844" s="3">
        <v>33</v>
      </c>
      <c r="H2844" s="4" t="s">
        <v>28</v>
      </c>
      <c r="I2844">
        <v>85</v>
      </c>
      <c r="J2844">
        <v>0</v>
      </c>
      <c r="K2844">
        <v>0</v>
      </c>
      <c r="L2844" s="3">
        <v>1</v>
      </c>
      <c r="M2844" s="3">
        <v>0</v>
      </c>
      <c r="N2844">
        <v>0</v>
      </c>
      <c r="O2844">
        <v>0</v>
      </c>
      <c r="P2844">
        <v>0</v>
      </c>
      <c r="Q2844">
        <v>10</v>
      </c>
      <c r="R2844" s="3">
        <v>0</v>
      </c>
      <c r="S2844" s="3">
        <v>0</v>
      </c>
      <c r="T2844">
        <v>0</v>
      </c>
      <c r="U2844">
        <v>0</v>
      </c>
      <c r="V2844" s="3">
        <v>0</v>
      </c>
      <c r="W2844" s="3">
        <v>0</v>
      </c>
      <c r="X2844">
        <v>0</v>
      </c>
      <c r="Y2844" t="s">
        <v>2262</v>
      </c>
    </row>
    <row r="2845" spans="1:25" hidden="1" x14ac:dyDescent="0.25">
      <c r="A2845" t="s">
        <v>344</v>
      </c>
      <c r="B2845" t="s">
        <v>102</v>
      </c>
      <c r="C2845" t="s">
        <v>35</v>
      </c>
      <c r="D2845" t="s">
        <v>27</v>
      </c>
      <c r="E2845" s="2">
        <v>45996</v>
      </c>
      <c r="F2845" s="2">
        <v>45996</v>
      </c>
      <c r="G2845" s="3">
        <v>45</v>
      </c>
      <c r="H2845" s="4" t="s">
        <v>28</v>
      </c>
      <c r="I2845">
        <v>49</v>
      </c>
      <c r="J2845">
        <v>0</v>
      </c>
      <c r="K2845">
        <v>0</v>
      </c>
      <c r="L2845" s="3">
        <v>0</v>
      </c>
      <c r="M2845" s="3">
        <v>0</v>
      </c>
      <c r="N2845">
        <v>0</v>
      </c>
      <c r="O2845">
        <v>0</v>
      </c>
      <c r="P2845">
        <v>0</v>
      </c>
      <c r="Q2845">
        <v>2</v>
      </c>
      <c r="R2845" s="3">
        <v>0</v>
      </c>
      <c r="S2845" s="3">
        <v>0</v>
      </c>
      <c r="T2845">
        <v>0</v>
      </c>
      <c r="U2845">
        <v>0</v>
      </c>
      <c r="V2845" s="3">
        <v>0</v>
      </c>
      <c r="W2845" s="3">
        <v>0</v>
      </c>
      <c r="X2845">
        <v>0</v>
      </c>
      <c r="Y2845" t="s">
        <v>2215</v>
      </c>
    </row>
    <row r="2846" spans="1:25" hidden="1" x14ac:dyDescent="0.25">
      <c r="A2846" t="s">
        <v>33</v>
      </c>
      <c r="B2846" t="s">
        <v>106</v>
      </c>
      <c r="C2846" t="s">
        <v>57</v>
      </c>
      <c r="D2846" t="s">
        <v>27</v>
      </c>
      <c r="E2846" s="2">
        <v>45996</v>
      </c>
      <c r="F2846" s="2">
        <v>45996</v>
      </c>
      <c r="G2846" s="3">
        <v>37</v>
      </c>
      <c r="H2846" s="4" t="s">
        <v>28</v>
      </c>
      <c r="I2846">
        <v>55</v>
      </c>
      <c r="J2846">
        <v>0</v>
      </c>
      <c r="K2846">
        <v>0</v>
      </c>
      <c r="L2846" s="3">
        <v>0</v>
      </c>
      <c r="M2846" s="3">
        <v>0</v>
      </c>
      <c r="N2846">
        <v>0</v>
      </c>
      <c r="O2846">
        <v>0</v>
      </c>
      <c r="P2846">
        <v>0</v>
      </c>
      <c r="Q2846">
        <v>20</v>
      </c>
      <c r="R2846" s="3">
        <v>0</v>
      </c>
      <c r="S2846" s="3">
        <v>0</v>
      </c>
      <c r="T2846">
        <v>0</v>
      </c>
      <c r="U2846">
        <v>0</v>
      </c>
      <c r="V2846" s="3">
        <v>0</v>
      </c>
      <c r="W2846" s="3">
        <v>0</v>
      </c>
      <c r="X2846">
        <v>0</v>
      </c>
      <c r="Y2846" t="s">
        <v>2263</v>
      </c>
    </row>
    <row r="2847" spans="1:25" hidden="1" x14ac:dyDescent="0.25">
      <c r="A2847" t="s">
        <v>34</v>
      </c>
      <c r="B2847" t="s">
        <v>247</v>
      </c>
      <c r="C2847" t="s">
        <v>32</v>
      </c>
      <c r="D2847" t="s">
        <v>27</v>
      </c>
      <c r="E2847" s="2">
        <v>45996</v>
      </c>
      <c r="F2847" s="2">
        <v>45996</v>
      </c>
      <c r="G2847" s="3">
        <v>39</v>
      </c>
      <c r="H2847" s="4" t="s">
        <v>28</v>
      </c>
      <c r="I2847">
        <v>90</v>
      </c>
      <c r="J2847">
        <v>0</v>
      </c>
      <c r="K2847">
        <v>0</v>
      </c>
      <c r="L2847" s="3">
        <v>1</v>
      </c>
      <c r="M2847" s="3">
        <v>0</v>
      </c>
      <c r="N2847">
        <v>0</v>
      </c>
      <c r="O2847">
        <v>0</v>
      </c>
      <c r="P2847">
        <v>0</v>
      </c>
      <c r="Q2847">
        <v>46</v>
      </c>
      <c r="R2847" s="3">
        <v>0</v>
      </c>
      <c r="S2847" s="3">
        <v>0</v>
      </c>
      <c r="T2847">
        <v>0</v>
      </c>
      <c r="U2847">
        <v>0</v>
      </c>
      <c r="V2847" s="3">
        <v>0</v>
      </c>
      <c r="W2847" s="3">
        <v>0</v>
      </c>
      <c r="X2847">
        <v>3</v>
      </c>
      <c r="Y2847" t="s">
        <v>2264</v>
      </c>
    </row>
    <row r="2848" spans="1:25" hidden="1" x14ac:dyDescent="0.25">
      <c r="A2848" t="s">
        <v>38</v>
      </c>
      <c r="B2848" t="s">
        <v>108</v>
      </c>
      <c r="C2848" t="s">
        <v>27</v>
      </c>
      <c r="D2848" t="s">
        <v>27</v>
      </c>
      <c r="E2848" s="2">
        <v>45996</v>
      </c>
      <c r="F2848" s="2">
        <v>45996</v>
      </c>
      <c r="G2848" s="3">
        <v>33</v>
      </c>
      <c r="H2848" s="4" t="s">
        <v>28</v>
      </c>
      <c r="I2848">
        <v>55</v>
      </c>
      <c r="J2848">
        <v>0</v>
      </c>
      <c r="K2848">
        <v>0</v>
      </c>
      <c r="L2848" s="3">
        <v>0</v>
      </c>
      <c r="M2848" s="3">
        <v>0</v>
      </c>
      <c r="N2848">
        <v>0</v>
      </c>
      <c r="O2848">
        <v>0</v>
      </c>
      <c r="P2848">
        <v>0</v>
      </c>
      <c r="Q2848">
        <v>55</v>
      </c>
      <c r="R2848" s="3">
        <v>0</v>
      </c>
      <c r="S2848" s="3">
        <v>0</v>
      </c>
      <c r="T2848">
        <v>0</v>
      </c>
      <c r="U2848">
        <v>0</v>
      </c>
      <c r="V2848" s="3">
        <v>0</v>
      </c>
      <c r="W2848" s="3">
        <v>0</v>
      </c>
      <c r="X2848">
        <v>0</v>
      </c>
      <c r="Y2848" t="s">
        <v>2265</v>
      </c>
    </row>
    <row r="2849" spans="1:25" hidden="1" x14ac:dyDescent="0.25">
      <c r="A2849" t="s">
        <v>1454</v>
      </c>
      <c r="B2849" t="s">
        <v>1455</v>
      </c>
      <c r="C2849" t="s">
        <v>27</v>
      </c>
      <c r="D2849" t="s">
        <v>27</v>
      </c>
      <c r="E2849" s="2">
        <v>45996</v>
      </c>
      <c r="F2849" s="2">
        <v>45996</v>
      </c>
      <c r="G2849" s="3">
        <v>108</v>
      </c>
      <c r="H2849" s="4" t="s">
        <v>28</v>
      </c>
      <c r="I2849">
        <v>48</v>
      </c>
      <c r="J2849">
        <v>0</v>
      </c>
      <c r="K2849">
        <v>0</v>
      </c>
      <c r="L2849" s="3">
        <v>1</v>
      </c>
      <c r="M2849" s="3">
        <v>0</v>
      </c>
      <c r="N2849">
        <v>0</v>
      </c>
      <c r="O2849">
        <v>0</v>
      </c>
      <c r="P2849">
        <v>0</v>
      </c>
      <c r="Q2849">
        <v>48</v>
      </c>
      <c r="R2849" s="3">
        <v>0</v>
      </c>
      <c r="S2849" s="3">
        <v>0</v>
      </c>
      <c r="T2849">
        <v>0</v>
      </c>
      <c r="U2849">
        <v>0</v>
      </c>
      <c r="V2849" s="3">
        <v>0</v>
      </c>
      <c r="W2849" s="3">
        <v>0</v>
      </c>
      <c r="X2849">
        <v>0</v>
      </c>
      <c r="Y2849" t="s">
        <v>2266</v>
      </c>
    </row>
    <row r="2850" spans="1:25" hidden="1" x14ac:dyDescent="0.25">
      <c r="A2850" t="s">
        <v>40</v>
      </c>
      <c r="B2850" t="s">
        <v>110</v>
      </c>
      <c r="C2850" t="s">
        <v>27</v>
      </c>
      <c r="D2850" t="s">
        <v>27</v>
      </c>
      <c r="E2850" s="2">
        <v>45996</v>
      </c>
      <c r="F2850" s="2">
        <v>45996</v>
      </c>
      <c r="G2850" s="3">
        <v>72</v>
      </c>
      <c r="H2850" s="4" t="s">
        <v>28</v>
      </c>
      <c r="I2850">
        <v>53</v>
      </c>
      <c r="J2850">
        <v>0</v>
      </c>
      <c r="K2850">
        <v>0</v>
      </c>
      <c r="L2850" s="3">
        <v>1</v>
      </c>
      <c r="M2850" s="3">
        <v>0</v>
      </c>
      <c r="N2850">
        <v>1</v>
      </c>
      <c r="O2850">
        <v>0</v>
      </c>
      <c r="P2850">
        <v>0</v>
      </c>
      <c r="Q2850">
        <v>0</v>
      </c>
      <c r="R2850" s="3">
        <v>0</v>
      </c>
      <c r="S2850" s="3">
        <v>0</v>
      </c>
      <c r="T2850">
        <v>0</v>
      </c>
      <c r="U2850">
        <v>0</v>
      </c>
      <c r="V2850" s="3">
        <v>0</v>
      </c>
      <c r="W2850" s="3">
        <v>0</v>
      </c>
      <c r="X2850">
        <v>0</v>
      </c>
      <c r="Y2850" t="s">
        <v>2255</v>
      </c>
    </row>
    <row r="2851" spans="1:25" hidden="1" x14ac:dyDescent="0.25">
      <c r="A2851" t="s">
        <v>36</v>
      </c>
      <c r="B2851" t="s">
        <v>110</v>
      </c>
      <c r="C2851" t="s">
        <v>27</v>
      </c>
      <c r="D2851" t="s">
        <v>27</v>
      </c>
      <c r="E2851" s="2">
        <v>45996</v>
      </c>
      <c r="F2851" s="2">
        <v>45996</v>
      </c>
      <c r="G2851" s="3">
        <v>72</v>
      </c>
      <c r="H2851" s="4" t="s">
        <v>28</v>
      </c>
      <c r="I2851">
        <v>53</v>
      </c>
      <c r="J2851">
        <v>0</v>
      </c>
      <c r="K2851">
        <v>0</v>
      </c>
      <c r="L2851" s="3">
        <v>1</v>
      </c>
      <c r="M2851" s="3">
        <v>0</v>
      </c>
      <c r="N2851">
        <v>1</v>
      </c>
      <c r="O2851">
        <v>0</v>
      </c>
      <c r="P2851">
        <v>0</v>
      </c>
      <c r="Q2851">
        <v>0</v>
      </c>
      <c r="R2851" s="3">
        <v>0</v>
      </c>
      <c r="S2851" s="3">
        <v>0</v>
      </c>
      <c r="T2851">
        <v>0</v>
      </c>
      <c r="U2851">
        <v>0</v>
      </c>
      <c r="V2851" s="3">
        <v>0</v>
      </c>
      <c r="W2851" s="3">
        <v>0</v>
      </c>
      <c r="X2851">
        <v>0</v>
      </c>
      <c r="Y2851" t="s">
        <v>2255</v>
      </c>
    </row>
    <row r="2852" spans="1:25" hidden="1" x14ac:dyDescent="0.25">
      <c r="A2852" t="s">
        <v>41</v>
      </c>
      <c r="B2852" t="s">
        <v>112</v>
      </c>
      <c r="C2852" t="s">
        <v>42</v>
      </c>
      <c r="D2852" t="s">
        <v>27</v>
      </c>
      <c r="E2852" s="2">
        <v>45996</v>
      </c>
      <c r="F2852" s="2">
        <v>45996</v>
      </c>
      <c r="G2852" s="3">
        <v>40</v>
      </c>
      <c r="H2852" s="4" t="s">
        <v>28</v>
      </c>
      <c r="I2852">
        <v>53</v>
      </c>
      <c r="J2852">
        <v>0</v>
      </c>
      <c r="K2852">
        <v>0</v>
      </c>
      <c r="L2852" s="3">
        <v>1</v>
      </c>
      <c r="M2852" s="3">
        <v>0</v>
      </c>
      <c r="N2852">
        <v>0</v>
      </c>
      <c r="O2852">
        <v>0</v>
      </c>
      <c r="P2852">
        <v>0</v>
      </c>
      <c r="Q2852">
        <v>1</v>
      </c>
      <c r="R2852" s="3">
        <v>0</v>
      </c>
      <c r="S2852" s="3">
        <v>0</v>
      </c>
      <c r="T2852">
        <v>0</v>
      </c>
      <c r="U2852">
        <v>0</v>
      </c>
      <c r="V2852" s="3">
        <v>0</v>
      </c>
      <c r="W2852" s="3">
        <v>0</v>
      </c>
      <c r="X2852">
        <v>0</v>
      </c>
      <c r="Y2852" t="s">
        <v>2267</v>
      </c>
    </row>
    <row r="2853" spans="1:25" hidden="1" x14ac:dyDescent="0.25">
      <c r="A2853" t="s">
        <v>43</v>
      </c>
      <c r="B2853" t="s">
        <v>114</v>
      </c>
      <c r="C2853" t="s">
        <v>44</v>
      </c>
      <c r="D2853" t="s">
        <v>27</v>
      </c>
      <c r="E2853" s="2">
        <v>45996</v>
      </c>
      <c r="F2853" s="2">
        <v>45996</v>
      </c>
      <c r="G2853" s="3">
        <v>28</v>
      </c>
      <c r="H2853" s="4" t="s">
        <v>28</v>
      </c>
      <c r="I2853">
        <v>61</v>
      </c>
      <c r="J2853">
        <v>0</v>
      </c>
      <c r="K2853">
        <v>0</v>
      </c>
      <c r="L2853" s="3">
        <v>1</v>
      </c>
      <c r="M2853" s="3">
        <v>0</v>
      </c>
      <c r="N2853">
        <v>0</v>
      </c>
      <c r="O2853">
        <v>0</v>
      </c>
      <c r="P2853">
        <v>0</v>
      </c>
      <c r="Q2853">
        <v>0</v>
      </c>
      <c r="R2853" s="3">
        <v>0</v>
      </c>
      <c r="S2853" s="3">
        <v>0</v>
      </c>
      <c r="T2853">
        <v>0</v>
      </c>
      <c r="U2853">
        <v>0</v>
      </c>
      <c r="V2853" s="3">
        <v>0</v>
      </c>
      <c r="W2853" s="3">
        <v>0</v>
      </c>
      <c r="X2853">
        <v>0</v>
      </c>
      <c r="Y2853" t="s">
        <v>2268</v>
      </c>
    </row>
    <row r="2854" spans="1:25" hidden="1" x14ac:dyDescent="0.25">
      <c r="A2854" t="s">
        <v>2118</v>
      </c>
      <c r="B2854" t="s">
        <v>2119</v>
      </c>
      <c r="C2854" t="s">
        <v>27</v>
      </c>
      <c r="D2854" t="s">
        <v>27</v>
      </c>
      <c r="E2854" s="2">
        <v>45996</v>
      </c>
      <c r="F2854" s="2">
        <v>45996</v>
      </c>
      <c r="G2854" s="3">
        <v>38</v>
      </c>
      <c r="H2854" s="4" t="s">
        <v>28</v>
      </c>
      <c r="I2854">
        <v>37</v>
      </c>
      <c r="J2854">
        <v>0</v>
      </c>
      <c r="K2854">
        <v>0</v>
      </c>
      <c r="L2854" s="3">
        <v>1</v>
      </c>
      <c r="M2854" s="3">
        <v>0</v>
      </c>
      <c r="N2854">
        <v>0</v>
      </c>
      <c r="O2854">
        <v>0</v>
      </c>
      <c r="P2854">
        <v>0</v>
      </c>
      <c r="Q2854">
        <v>37</v>
      </c>
      <c r="R2854" s="3">
        <v>0</v>
      </c>
      <c r="S2854" s="3">
        <v>0</v>
      </c>
      <c r="T2854">
        <v>0</v>
      </c>
      <c r="U2854">
        <v>0</v>
      </c>
      <c r="V2854" s="3">
        <v>0</v>
      </c>
      <c r="W2854" s="3">
        <v>0</v>
      </c>
      <c r="X2854">
        <v>0</v>
      </c>
      <c r="Y2854" t="s">
        <v>2269</v>
      </c>
    </row>
    <row r="2855" spans="1:25" hidden="1" x14ac:dyDescent="0.25">
      <c r="A2855" t="s">
        <v>45</v>
      </c>
      <c r="B2855" t="s">
        <v>116</v>
      </c>
      <c r="C2855" t="s">
        <v>46</v>
      </c>
      <c r="D2855" t="s">
        <v>27</v>
      </c>
      <c r="E2855" s="2">
        <v>45996</v>
      </c>
      <c r="F2855" s="2">
        <v>45996</v>
      </c>
      <c r="G2855" s="3">
        <v>55</v>
      </c>
      <c r="H2855" s="4" t="s">
        <v>28</v>
      </c>
      <c r="I2855">
        <v>69</v>
      </c>
      <c r="J2855">
        <v>0</v>
      </c>
      <c r="K2855">
        <v>0</v>
      </c>
      <c r="L2855" s="3">
        <v>1</v>
      </c>
      <c r="M2855" s="3">
        <v>0</v>
      </c>
      <c r="N2855">
        <v>0</v>
      </c>
      <c r="O2855">
        <v>0</v>
      </c>
      <c r="P2855">
        <v>0</v>
      </c>
      <c r="Q2855">
        <v>15</v>
      </c>
      <c r="R2855" s="3">
        <v>0</v>
      </c>
      <c r="S2855" s="3">
        <v>0</v>
      </c>
      <c r="T2855">
        <v>0</v>
      </c>
      <c r="U2855">
        <v>0</v>
      </c>
      <c r="V2855" s="3">
        <v>0</v>
      </c>
      <c r="W2855" s="3">
        <v>0</v>
      </c>
      <c r="X2855">
        <v>0</v>
      </c>
      <c r="Y2855" t="s">
        <v>2270</v>
      </c>
    </row>
    <row r="2856" spans="1:25" hidden="1" x14ac:dyDescent="0.25">
      <c r="A2856" t="s">
        <v>47</v>
      </c>
      <c r="B2856" t="s">
        <v>137</v>
      </c>
      <c r="C2856" t="s">
        <v>2271</v>
      </c>
      <c r="D2856" t="s">
        <v>27</v>
      </c>
      <c r="E2856" s="2">
        <v>45996</v>
      </c>
      <c r="F2856" s="2">
        <v>45996</v>
      </c>
      <c r="G2856" s="3">
        <v>103</v>
      </c>
      <c r="H2856" s="4" t="s">
        <v>28</v>
      </c>
      <c r="I2856">
        <v>57</v>
      </c>
      <c r="J2856">
        <v>0</v>
      </c>
      <c r="K2856">
        <v>0</v>
      </c>
      <c r="L2856" s="3">
        <v>1</v>
      </c>
      <c r="M2856" s="3">
        <v>0</v>
      </c>
      <c r="N2856">
        <v>0</v>
      </c>
      <c r="O2856">
        <v>0</v>
      </c>
      <c r="P2856">
        <v>0</v>
      </c>
      <c r="Q2856">
        <v>5</v>
      </c>
      <c r="R2856" s="3">
        <v>0</v>
      </c>
      <c r="S2856" s="3">
        <v>0</v>
      </c>
      <c r="T2856">
        <v>0</v>
      </c>
      <c r="U2856">
        <v>0</v>
      </c>
      <c r="V2856" s="3">
        <v>0</v>
      </c>
      <c r="W2856" s="3">
        <v>0</v>
      </c>
      <c r="X2856">
        <v>0</v>
      </c>
      <c r="Y2856" t="s">
        <v>2272</v>
      </c>
    </row>
    <row r="2857" spans="1:25" hidden="1" x14ac:dyDescent="0.25">
      <c r="A2857" t="s">
        <v>49</v>
      </c>
      <c r="B2857" t="s">
        <v>118</v>
      </c>
      <c r="C2857" t="s">
        <v>50</v>
      </c>
      <c r="D2857" t="s">
        <v>27</v>
      </c>
      <c r="E2857" s="2">
        <v>45996</v>
      </c>
      <c r="F2857" s="2">
        <v>45996</v>
      </c>
      <c r="G2857" s="3">
        <v>32</v>
      </c>
      <c r="H2857" s="4" t="s">
        <v>28</v>
      </c>
      <c r="I2857">
        <v>36</v>
      </c>
      <c r="J2857">
        <v>0</v>
      </c>
      <c r="K2857">
        <v>0</v>
      </c>
      <c r="L2857" s="3">
        <v>1</v>
      </c>
      <c r="M2857" s="3">
        <v>1</v>
      </c>
      <c r="N2857">
        <v>0</v>
      </c>
      <c r="O2857">
        <v>0</v>
      </c>
      <c r="P2857">
        <v>0</v>
      </c>
      <c r="Q2857">
        <v>36</v>
      </c>
      <c r="R2857" s="3">
        <v>0</v>
      </c>
      <c r="S2857" s="3">
        <v>0</v>
      </c>
      <c r="T2857">
        <v>0</v>
      </c>
      <c r="U2857">
        <v>0</v>
      </c>
      <c r="V2857" s="3">
        <v>0</v>
      </c>
      <c r="W2857" s="3">
        <v>0</v>
      </c>
      <c r="X2857">
        <v>0</v>
      </c>
      <c r="Y2857" t="s">
        <v>2273</v>
      </c>
    </row>
    <row r="2858" spans="1:25" hidden="1" x14ac:dyDescent="0.25">
      <c r="A2858" t="s">
        <v>51</v>
      </c>
      <c r="B2858" t="s">
        <v>120</v>
      </c>
      <c r="C2858" t="s">
        <v>55</v>
      </c>
      <c r="D2858" t="s">
        <v>27</v>
      </c>
      <c r="E2858" s="2">
        <v>45996</v>
      </c>
      <c r="F2858" s="2">
        <v>45996</v>
      </c>
      <c r="G2858" s="3">
        <v>50</v>
      </c>
      <c r="H2858" s="4" t="s">
        <v>28</v>
      </c>
      <c r="I2858">
        <v>40</v>
      </c>
      <c r="J2858">
        <v>0</v>
      </c>
      <c r="K2858">
        <v>0</v>
      </c>
      <c r="L2858" s="3">
        <v>1</v>
      </c>
      <c r="M2858" s="3">
        <v>0</v>
      </c>
      <c r="N2858">
        <v>1</v>
      </c>
      <c r="O2858">
        <v>0</v>
      </c>
      <c r="P2858">
        <v>0</v>
      </c>
      <c r="Q2858">
        <v>0</v>
      </c>
      <c r="R2858" s="3">
        <v>0</v>
      </c>
      <c r="S2858" s="3">
        <v>0</v>
      </c>
      <c r="T2858">
        <v>0</v>
      </c>
      <c r="U2858">
        <v>0</v>
      </c>
      <c r="V2858" s="3">
        <v>0</v>
      </c>
      <c r="W2858" s="3">
        <v>0</v>
      </c>
      <c r="X2858">
        <v>0</v>
      </c>
      <c r="Y2858" t="s">
        <v>2274</v>
      </c>
    </row>
    <row r="2859" spans="1:25" hidden="1" x14ac:dyDescent="0.25">
      <c r="A2859" t="s">
        <v>54</v>
      </c>
      <c r="B2859" t="s">
        <v>122</v>
      </c>
      <c r="C2859" t="s">
        <v>52</v>
      </c>
      <c r="D2859" t="s">
        <v>27</v>
      </c>
      <c r="E2859" s="2">
        <v>45996</v>
      </c>
      <c r="F2859" s="2">
        <v>45996</v>
      </c>
      <c r="G2859" s="3">
        <v>35</v>
      </c>
      <c r="H2859" s="4" t="s">
        <v>28</v>
      </c>
      <c r="I2859">
        <v>59</v>
      </c>
      <c r="J2859">
        <v>0</v>
      </c>
      <c r="K2859">
        <v>0</v>
      </c>
      <c r="L2859" s="3">
        <v>0</v>
      </c>
      <c r="M2859" s="3">
        <v>0</v>
      </c>
      <c r="N2859">
        <v>0</v>
      </c>
      <c r="O2859">
        <v>0</v>
      </c>
      <c r="P2859">
        <v>0</v>
      </c>
      <c r="Q2859">
        <v>2</v>
      </c>
      <c r="R2859" s="3">
        <v>0</v>
      </c>
      <c r="S2859" s="3">
        <v>0</v>
      </c>
      <c r="T2859">
        <v>0</v>
      </c>
      <c r="U2859">
        <v>0</v>
      </c>
      <c r="V2859" s="3">
        <v>0</v>
      </c>
      <c r="W2859" s="3">
        <v>0</v>
      </c>
      <c r="X2859">
        <v>0</v>
      </c>
      <c r="Y2859" t="s">
        <v>2275</v>
      </c>
    </row>
    <row r="2860" spans="1:25" hidden="1" x14ac:dyDescent="0.25">
      <c r="A2860" t="s">
        <v>48</v>
      </c>
      <c r="B2860" t="s">
        <v>149</v>
      </c>
      <c r="C2860" t="s">
        <v>95</v>
      </c>
      <c r="D2860" t="s">
        <v>27</v>
      </c>
      <c r="E2860" s="2">
        <v>45996</v>
      </c>
      <c r="F2860" s="2">
        <v>45996</v>
      </c>
      <c r="G2860" s="3">
        <v>24</v>
      </c>
      <c r="H2860" s="4" t="s">
        <v>28</v>
      </c>
      <c r="I2860">
        <v>70</v>
      </c>
      <c r="J2860">
        <v>0</v>
      </c>
      <c r="K2860">
        <v>0</v>
      </c>
      <c r="L2860" s="3">
        <v>1</v>
      </c>
      <c r="M2860" s="3">
        <v>0</v>
      </c>
      <c r="N2860">
        <v>0</v>
      </c>
      <c r="O2860">
        <v>0</v>
      </c>
      <c r="P2860">
        <v>15</v>
      </c>
      <c r="Q2860">
        <v>20</v>
      </c>
      <c r="R2860" s="3">
        <v>0</v>
      </c>
      <c r="S2860" s="3">
        <v>0</v>
      </c>
      <c r="T2860">
        <v>0</v>
      </c>
      <c r="U2860">
        <v>0</v>
      </c>
      <c r="V2860" s="3">
        <v>0</v>
      </c>
      <c r="W2860" s="3">
        <v>0</v>
      </c>
      <c r="X2860">
        <v>0</v>
      </c>
      <c r="Y2860" t="s">
        <v>2276</v>
      </c>
    </row>
    <row r="2861" spans="1:25" hidden="1" x14ac:dyDescent="0.25">
      <c r="A2861" t="s">
        <v>58</v>
      </c>
      <c r="B2861" t="s">
        <v>144</v>
      </c>
      <c r="C2861" t="s">
        <v>489</v>
      </c>
      <c r="D2861" t="s">
        <v>27</v>
      </c>
      <c r="E2861" s="2">
        <v>45996</v>
      </c>
      <c r="F2861" s="2">
        <v>45996</v>
      </c>
      <c r="G2861" s="3">
        <v>32</v>
      </c>
      <c r="H2861" s="4" t="s">
        <v>28</v>
      </c>
      <c r="I2861">
        <v>80</v>
      </c>
      <c r="J2861">
        <v>0</v>
      </c>
      <c r="K2861">
        <v>0</v>
      </c>
      <c r="L2861" s="3">
        <v>1</v>
      </c>
      <c r="M2861" s="3">
        <v>0</v>
      </c>
      <c r="N2861">
        <v>0</v>
      </c>
      <c r="O2861">
        <v>0</v>
      </c>
      <c r="P2861">
        <v>8</v>
      </c>
      <c r="Q2861">
        <v>35</v>
      </c>
      <c r="R2861" s="3">
        <v>0</v>
      </c>
      <c r="S2861" s="3">
        <v>0</v>
      </c>
      <c r="T2861">
        <v>0</v>
      </c>
      <c r="U2861">
        <v>0</v>
      </c>
      <c r="V2861" s="3">
        <v>0</v>
      </c>
      <c r="W2861" s="3">
        <v>0</v>
      </c>
      <c r="X2861">
        <v>1</v>
      </c>
      <c r="Y2861" t="s">
        <v>2277</v>
      </c>
    </row>
    <row r="2862" spans="1:25" hidden="1" x14ac:dyDescent="0.25">
      <c r="A2862" t="s">
        <v>31</v>
      </c>
      <c r="B2862" t="s">
        <v>106</v>
      </c>
      <c r="C2862" t="s">
        <v>27</v>
      </c>
      <c r="D2862" t="s">
        <v>27</v>
      </c>
      <c r="E2862" s="2">
        <v>45996</v>
      </c>
      <c r="F2862" s="2">
        <v>45996</v>
      </c>
      <c r="G2862" s="3">
        <v>33</v>
      </c>
      <c r="H2862" s="4" t="s">
        <v>763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2277</v>
      </c>
    </row>
    <row r="2863" spans="1:25" hidden="1" x14ac:dyDescent="0.25">
      <c r="A2863" t="s">
        <v>29</v>
      </c>
      <c r="B2863" t="s">
        <v>182</v>
      </c>
      <c r="C2863" t="s">
        <v>27</v>
      </c>
      <c r="D2863" t="s">
        <v>27</v>
      </c>
      <c r="E2863" s="2">
        <v>45996</v>
      </c>
      <c r="F2863" s="2">
        <v>45996</v>
      </c>
      <c r="G2863" s="3">
        <v>34</v>
      </c>
      <c r="H2863" s="4" t="s">
        <v>763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2277</v>
      </c>
    </row>
    <row r="2864" spans="1:25" hidden="1" x14ac:dyDescent="0.25">
      <c r="A2864" t="s">
        <v>41</v>
      </c>
      <c r="B2864" t="s">
        <v>112</v>
      </c>
      <c r="C2864" t="s">
        <v>42</v>
      </c>
      <c r="D2864" t="s">
        <v>27</v>
      </c>
      <c r="E2864" s="2">
        <v>45997</v>
      </c>
      <c r="F2864" s="2">
        <v>45997</v>
      </c>
      <c r="G2864" s="3">
        <v>100</v>
      </c>
      <c r="H2864" t="s">
        <v>28</v>
      </c>
      <c r="I2864">
        <v>0</v>
      </c>
      <c r="J2864">
        <v>0</v>
      </c>
      <c r="K2864">
        <v>0</v>
      </c>
      <c r="L2864" s="3">
        <v>0</v>
      </c>
      <c r="M2864" s="3">
        <v>0</v>
      </c>
      <c r="N2864">
        <v>0</v>
      </c>
      <c r="O2864">
        <v>0</v>
      </c>
      <c r="P2864">
        <v>0</v>
      </c>
      <c r="Q2864">
        <v>35</v>
      </c>
      <c r="R2864" s="3">
        <v>1</v>
      </c>
      <c r="S2864" s="3">
        <v>0</v>
      </c>
      <c r="T2864">
        <v>35</v>
      </c>
      <c r="U2864">
        <v>21</v>
      </c>
      <c r="V2864" s="3">
        <v>1</v>
      </c>
      <c r="W2864" s="3">
        <v>0</v>
      </c>
      <c r="X2864">
        <v>4</v>
      </c>
      <c r="Y2864" t="s">
        <v>2278</v>
      </c>
    </row>
    <row r="2865" spans="1:25" hidden="1" x14ac:dyDescent="0.25">
      <c r="A2865" t="s">
        <v>54</v>
      </c>
      <c r="B2865" t="s">
        <v>122</v>
      </c>
      <c r="C2865" t="s">
        <v>52</v>
      </c>
      <c r="D2865" t="s">
        <v>27</v>
      </c>
      <c r="E2865" s="2">
        <v>45997</v>
      </c>
      <c r="F2865" s="2">
        <v>45997</v>
      </c>
      <c r="G2865" s="3">
        <v>78</v>
      </c>
      <c r="H2865" t="s">
        <v>28</v>
      </c>
      <c r="I2865">
        <v>0</v>
      </c>
      <c r="J2865">
        <v>0</v>
      </c>
      <c r="K2865">
        <v>0</v>
      </c>
      <c r="L2865" s="3">
        <v>0</v>
      </c>
      <c r="M2865" s="3">
        <v>0</v>
      </c>
      <c r="N2865">
        <v>0</v>
      </c>
      <c r="O2865">
        <v>0</v>
      </c>
      <c r="P2865">
        <v>0</v>
      </c>
      <c r="Q2865">
        <v>0</v>
      </c>
      <c r="R2865" s="3">
        <v>1</v>
      </c>
      <c r="S2865" s="3">
        <v>0</v>
      </c>
      <c r="T2865">
        <v>46</v>
      </c>
      <c r="U2865">
        <v>41</v>
      </c>
      <c r="V2865" s="3">
        <v>1</v>
      </c>
      <c r="W2865" s="3">
        <v>0</v>
      </c>
      <c r="X2865">
        <v>0</v>
      </c>
      <c r="Y2865" t="s">
        <v>2279</v>
      </c>
    </row>
    <row r="2866" spans="1:25" hidden="1" x14ac:dyDescent="0.25">
      <c r="A2866" t="s">
        <v>33</v>
      </c>
      <c r="B2866" t="s">
        <v>106</v>
      </c>
      <c r="C2866" t="s">
        <v>55</v>
      </c>
      <c r="D2866" t="s">
        <v>27</v>
      </c>
      <c r="E2866" s="2">
        <v>45998</v>
      </c>
      <c r="F2866" s="2">
        <v>45998</v>
      </c>
      <c r="G2866" s="3">
        <v>217</v>
      </c>
      <c r="H2866" t="s">
        <v>28</v>
      </c>
      <c r="I2866">
        <v>0</v>
      </c>
      <c r="J2866">
        <v>0</v>
      </c>
      <c r="K2866">
        <v>0</v>
      </c>
      <c r="L2866" s="3">
        <v>1</v>
      </c>
      <c r="M2866" s="3">
        <v>0</v>
      </c>
      <c r="N2866">
        <v>0</v>
      </c>
      <c r="O2866">
        <v>0</v>
      </c>
      <c r="P2866">
        <v>0</v>
      </c>
      <c r="Q2866">
        <v>61</v>
      </c>
      <c r="R2866" s="3">
        <v>0</v>
      </c>
      <c r="S2866" s="3">
        <v>1</v>
      </c>
      <c r="T2866">
        <v>106</v>
      </c>
      <c r="U2866">
        <v>136</v>
      </c>
      <c r="V2866" s="3">
        <v>0</v>
      </c>
      <c r="W2866" s="3">
        <v>1</v>
      </c>
      <c r="X2866">
        <v>15</v>
      </c>
      <c r="Y2866" t="s">
        <v>2280</v>
      </c>
    </row>
    <row r="2867" spans="1:25" hidden="1" x14ac:dyDescent="0.25">
      <c r="A2867" t="s">
        <v>48</v>
      </c>
      <c r="B2867" t="s">
        <v>149</v>
      </c>
      <c r="C2867" t="s">
        <v>52</v>
      </c>
      <c r="D2867" t="s">
        <v>27</v>
      </c>
      <c r="E2867" s="2">
        <v>45998</v>
      </c>
      <c r="F2867" s="2">
        <v>45998</v>
      </c>
      <c r="G2867" s="3">
        <v>92</v>
      </c>
      <c r="H2867" t="s">
        <v>28</v>
      </c>
      <c r="I2867">
        <v>0</v>
      </c>
      <c r="J2867">
        <v>0</v>
      </c>
      <c r="K2867">
        <v>0</v>
      </c>
      <c r="L2867" s="3">
        <v>0</v>
      </c>
      <c r="M2867" s="3">
        <v>0</v>
      </c>
      <c r="N2867">
        <v>0</v>
      </c>
      <c r="O2867">
        <v>0</v>
      </c>
      <c r="P2867">
        <v>0</v>
      </c>
      <c r="Q2867">
        <v>0</v>
      </c>
      <c r="R2867" s="3">
        <v>0</v>
      </c>
      <c r="S2867" s="3">
        <v>1</v>
      </c>
      <c r="T2867">
        <v>61</v>
      </c>
      <c r="U2867">
        <v>159</v>
      </c>
      <c r="V2867" s="3">
        <v>0</v>
      </c>
      <c r="W2867" s="3">
        <v>1</v>
      </c>
      <c r="X2867">
        <v>19</v>
      </c>
      <c r="Y2867" t="s">
        <v>2281</v>
      </c>
    </row>
    <row r="2868" spans="1:25" hidden="1" x14ac:dyDescent="0.25">
      <c r="A2868" t="s">
        <v>33</v>
      </c>
      <c r="B2868" t="s">
        <v>106</v>
      </c>
      <c r="C2868" t="s">
        <v>55</v>
      </c>
      <c r="D2868" t="s">
        <v>27</v>
      </c>
      <c r="E2868" s="24">
        <v>45881</v>
      </c>
      <c r="F2868" s="24">
        <v>45881</v>
      </c>
      <c r="G2868" s="3">
        <v>71</v>
      </c>
      <c r="H2868" t="s">
        <v>28</v>
      </c>
      <c r="I2868">
        <v>0</v>
      </c>
      <c r="J2868">
        <v>0</v>
      </c>
      <c r="K2868">
        <v>0</v>
      </c>
      <c r="L2868" s="3">
        <v>1</v>
      </c>
      <c r="M2868" s="3">
        <v>0</v>
      </c>
      <c r="N2868">
        <v>0</v>
      </c>
      <c r="O2868">
        <v>0</v>
      </c>
      <c r="P2868">
        <v>0</v>
      </c>
      <c r="Q2868">
        <v>0</v>
      </c>
      <c r="R2868" s="3">
        <v>0</v>
      </c>
      <c r="S2868" s="3">
        <v>1</v>
      </c>
      <c r="T2868">
        <v>11</v>
      </c>
      <c r="U2868">
        <v>79</v>
      </c>
      <c r="V2868" s="3">
        <v>0</v>
      </c>
      <c r="W2868" s="3">
        <v>1</v>
      </c>
      <c r="X2868">
        <v>3</v>
      </c>
      <c r="Y2868" t="s">
        <v>2282</v>
      </c>
    </row>
    <row r="2869" spans="1:25" hidden="1" x14ac:dyDescent="0.25">
      <c r="A2869" t="s">
        <v>344</v>
      </c>
      <c r="B2869" t="s">
        <v>102</v>
      </c>
      <c r="C2869" t="s">
        <v>37</v>
      </c>
      <c r="D2869" t="s">
        <v>27</v>
      </c>
      <c r="E2869" s="2">
        <v>45999</v>
      </c>
      <c r="F2869" s="2">
        <v>45999</v>
      </c>
      <c r="G2869" s="3">
        <v>45</v>
      </c>
      <c r="H2869" s="4" t="s">
        <v>28</v>
      </c>
      <c r="I2869">
        <v>0</v>
      </c>
      <c r="J2869">
        <v>0</v>
      </c>
      <c r="K2869">
        <v>0</v>
      </c>
      <c r="L2869" s="3">
        <v>0</v>
      </c>
      <c r="M2869" s="3">
        <v>0</v>
      </c>
      <c r="N2869">
        <v>0</v>
      </c>
      <c r="O2869">
        <v>0</v>
      </c>
      <c r="P2869">
        <v>0</v>
      </c>
      <c r="Q2869">
        <v>0</v>
      </c>
      <c r="R2869" s="3">
        <v>0</v>
      </c>
      <c r="S2869" s="3">
        <v>1</v>
      </c>
      <c r="T2869">
        <v>176</v>
      </c>
      <c r="U2869">
        <v>0</v>
      </c>
      <c r="V2869" s="3">
        <v>0</v>
      </c>
      <c r="W2869" s="3">
        <v>0</v>
      </c>
      <c r="X2869">
        <v>0</v>
      </c>
      <c r="Y2869" t="s">
        <v>2215</v>
      </c>
    </row>
    <row r="2870" spans="1:25" hidden="1" x14ac:dyDescent="0.25">
      <c r="A2870" t="s">
        <v>33</v>
      </c>
      <c r="B2870" t="s">
        <v>102</v>
      </c>
      <c r="C2870" t="s">
        <v>55</v>
      </c>
      <c r="D2870" t="s">
        <v>27</v>
      </c>
      <c r="E2870" s="2">
        <v>45999</v>
      </c>
      <c r="F2870" s="2">
        <v>45999</v>
      </c>
      <c r="G2870" s="3">
        <v>45</v>
      </c>
      <c r="H2870" s="4" t="s">
        <v>28</v>
      </c>
      <c r="I2870">
        <v>0</v>
      </c>
      <c r="J2870">
        <v>0</v>
      </c>
      <c r="K2870">
        <v>0</v>
      </c>
      <c r="L2870" s="3">
        <v>0</v>
      </c>
      <c r="M2870" s="3">
        <v>0</v>
      </c>
      <c r="N2870">
        <v>0</v>
      </c>
      <c r="O2870">
        <v>0</v>
      </c>
      <c r="P2870">
        <v>0</v>
      </c>
      <c r="Q2870">
        <v>0</v>
      </c>
      <c r="R2870" s="3">
        <v>0</v>
      </c>
      <c r="S2870" s="3">
        <v>1</v>
      </c>
      <c r="T2870">
        <v>90</v>
      </c>
      <c r="U2870">
        <v>0</v>
      </c>
      <c r="V2870" s="3">
        <v>0</v>
      </c>
      <c r="W2870" s="3">
        <v>0</v>
      </c>
      <c r="X2870">
        <v>3</v>
      </c>
      <c r="Y2870" t="s">
        <v>2215</v>
      </c>
    </row>
    <row r="2871" spans="1:25" hidden="1" x14ac:dyDescent="0.25">
      <c r="A2871" t="s">
        <v>25</v>
      </c>
      <c r="B2871" t="s">
        <v>96</v>
      </c>
      <c r="C2871" t="s">
        <v>26</v>
      </c>
      <c r="D2871" t="s">
        <v>27</v>
      </c>
      <c r="E2871" s="2">
        <v>46000</v>
      </c>
      <c r="F2871" s="2">
        <v>46000</v>
      </c>
      <c r="G2871" s="3">
        <v>66</v>
      </c>
      <c r="H2871" s="4" t="s">
        <v>28</v>
      </c>
      <c r="I2871">
        <v>74</v>
      </c>
      <c r="J2871">
        <v>0</v>
      </c>
      <c r="K2871">
        <v>0</v>
      </c>
      <c r="L2871" s="3">
        <v>1</v>
      </c>
      <c r="M2871" s="3">
        <v>0</v>
      </c>
      <c r="N2871">
        <v>1</v>
      </c>
      <c r="O2871">
        <v>0</v>
      </c>
      <c r="P2871">
        <v>0</v>
      </c>
      <c r="Q2871">
        <v>0</v>
      </c>
      <c r="R2871" s="3">
        <v>0</v>
      </c>
      <c r="S2871" s="3">
        <v>0</v>
      </c>
      <c r="T2871">
        <v>0</v>
      </c>
      <c r="U2871">
        <v>0</v>
      </c>
      <c r="V2871" s="3">
        <v>0</v>
      </c>
      <c r="W2871" s="3">
        <v>0</v>
      </c>
      <c r="X2871">
        <v>0</v>
      </c>
      <c r="Y2871" t="s">
        <v>2261</v>
      </c>
    </row>
    <row r="2872" spans="1:25" hidden="1" x14ac:dyDescent="0.25">
      <c r="A2872" t="s">
        <v>56</v>
      </c>
      <c r="B2872" t="s">
        <v>98</v>
      </c>
      <c r="C2872" t="s">
        <v>37</v>
      </c>
      <c r="D2872" t="s">
        <v>27</v>
      </c>
      <c r="E2872" s="2">
        <v>46000</v>
      </c>
      <c r="F2872" s="2">
        <v>46000</v>
      </c>
      <c r="G2872" s="3">
        <v>52</v>
      </c>
      <c r="H2872" s="4" t="s">
        <v>28</v>
      </c>
      <c r="I2872">
        <v>34</v>
      </c>
      <c r="J2872">
        <v>22</v>
      </c>
      <c r="K2872">
        <v>0</v>
      </c>
      <c r="L2872" s="3">
        <v>1</v>
      </c>
      <c r="M2872" s="3">
        <v>0</v>
      </c>
      <c r="N2872">
        <v>0</v>
      </c>
      <c r="O2872">
        <v>0</v>
      </c>
      <c r="P2872">
        <v>0</v>
      </c>
      <c r="Q2872">
        <v>10</v>
      </c>
      <c r="R2872" s="3">
        <v>0</v>
      </c>
      <c r="S2872" s="3">
        <v>0</v>
      </c>
      <c r="T2872">
        <v>0</v>
      </c>
      <c r="U2872">
        <v>0</v>
      </c>
      <c r="V2872" s="3">
        <v>0</v>
      </c>
      <c r="W2872" s="3">
        <v>0</v>
      </c>
      <c r="X2872">
        <v>0</v>
      </c>
      <c r="Y2872" t="s">
        <v>2283</v>
      </c>
    </row>
    <row r="2873" spans="1:25" hidden="1" x14ac:dyDescent="0.25">
      <c r="A2873" t="s">
        <v>29</v>
      </c>
      <c r="B2873" t="s">
        <v>100</v>
      </c>
      <c r="C2873" t="s">
        <v>95</v>
      </c>
      <c r="D2873" t="s">
        <v>27</v>
      </c>
      <c r="E2873" s="2">
        <v>46000</v>
      </c>
      <c r="F2873" s="2">
        <v>46000</v>
      </c>
      <c r="G2873" s="3">
        <v>50</v>
      </c>
      <c r="H2873" s="4" t="s">
        <v>28</v>
      </c>
      <c r="I2873">
        <v>54</v>
      </c>
      <c r="J2873">
        <v>117</v>
      </c>
      <c r="K2873">
        <v>0</v>
      </c>
      <c r="L2873" s="3">
        <v>0</v>
      </c>
      <c r="M2873" s="3">
        <v>0</v>
      </c>
      <c r="N2873">
        <v>0</v>
      </c>
      <c r="O2873">
        <v>0</v>
      </c>
      <c r="P2873">
        <v>5</v>
      </c>
      <c r="Q2873">
        <v>10</v>
      </c>
      <c r="R2873" s="3">
        <v>0</v>
      </c>
      <c r="S2873" s="3">
        <v>0</v>
      </c>
      <c r="T2873">
        <v>0</v>
      </c>
      <c r="U2873">
        <v>0</v>
      </c>
      <c r="V2873" s="3">
        <v>0</v>
      </c>
      <c r="W2873" s="3">
        <v>0</v>
      </c>
      <c r="X2873">
        <v>0</v>
      </c>
      <c r="Y2873" t="s">
        <v>2284</v>
      </c>
    </row>
    <row r="2874" spans="1:25" hidden="1" x14ac:dyDescent="0.25">
      <c r="A2874" t="s">
        <v>344</v>
      </c>
      <c r="B2874" t="s">
        <v>102</v>
      </c>
      <c r="C2874" t="s">
        <v>35</v>
      </c>
      <c r="D2874" t="s">
        <v>27</v>
      </c>
      <c r="E2874" s="2">
        <v>46000</v>
      </c>
      <c r="F2874" s="2">
        <v>46000</v>
      </c>
      <c r="G2874" s="3">
        <v>45</v>
      </c>
      <c r="H2874" s="4" t="s">
        <v>28</v>
      </c>
      <c r="I2874">
        <v>49</v>
      </c>
      <c r="J2874">
        <v>117</v>
      </c>
      <c r="K2874">
        <v>0</v>
      </c>
      <c r="L2874" s="3">
        <v>0</v>
      </c>
      <c r="M2874" s="3">
        <v>0</v>
      </c>
      <c r="N2874">
        <v>0</v>
      </c>
      <c r="O2874">
        <v>0</v>
      </c>
      <c r="P2874">
        <v>0</v>
      </c>
      <c r="Q2874">
        <v>2</v>
      </c>
      <c r="R2874" s="3">
        <v>0</v>
      </c>
      <c r="S2874" s="3">
        <v>0</v>
      </c>
      <c r="T2874">
        <v>0</v>
      </c>
      <c r="U2874">
        <v>0</v>
      </c>
      <c r="V2874" s="3">
        <v>0</v>
      </c>
      <c r="W2874" s="3">
        <v>0</v>
      </c>
      <c r="X2874">
        <v>0</v>
      </c>
      <c r="Y2874" t="s">
        <v>2215</v>
      </c>
    </row>
    <row r="2875" spans="1:25" hidden="1" x14ac:dyDescent="0.25">
      <c r="A2875" t="s">
        <v>31</v>
      </c>
      <c r="B2875" t="s">
        <v>104</v>
      </c>
      <c r="C2875" t="s">
        <v>32</v>
      </c>
      <c r="D2875" t="s">
        <v>27</v>
      </c>
      <c r="E2875" s="2">
        <v>46000</v>
      </c>
      <c r="F2875" s="2">
        <v>46000</v>
      </c>
      <c r="G2875" s="3">
        <v>53</v>
      </c>
      <c r="H2875" s="4" t="s">
        <v>28</v>
      </c>
      <c r="I2875">
        <v>49</v>
      </c>
      <c r="J2875">
        <v>0</v>
      </c>
      <c r="K2875">
        <v>0</v>
      </c>
      <c r="L2875" s="3">
        <v>0</v>
      </c>
      <c r="M2875" s="3">
        <v>0</v>
      </c>
      <c r="N2875">
        <v>0</v>
      </c>
      <c r="O2875">
        <v>0</v>
      </c>
      <c r="P2875">
        <v>0</v>
      </c>
      <c r="Q2875">
        <v>38</v>
      </c>
      <c r="R2875" s="3">
        <v>0</v>
      </c>
      <c r="S2875" s="3">
        <v>0</v>
      </c>
      <c r="T2875">
        <v>0</v>
      </c>
      <c r="U2875">
        <v>0</v>
      </c>
      <c r="V2875" s="3">
        <v>0</v>
      </c>
      <c r="W2875" s="3">
        <v>0</v>
      </c>
      <c r="X2875">
        <v>1</v>
      </c>
      <c r="Y2875" t="s">
        <v>2285</v>
      </c>
    </row>
    <row r="2876" spans="1:25" hidden="1" x14ac:dyDescent="0.25">
      <c r="A2876" t="s">
        <v>33</v>
      </c>
      <c r="B2876" t="s">
        <v>106</v>
      </c>
      <c r="C2876" t="s">
        <v>46</v>
      </c>
      <c r="D2876" t="s">
        <v>27</v>
      </c>
      <c r="E2876" s="2">
        <v>46000</v>
      </c>
      <c r="F2876" s="2">
        <v>46000</v>
      </c>
      <c r="G2876" s="3">
        <v>31</v>
      </c>
      <c r="H2876" s="4" t="s">
        <v>28</v>
      </c>
      <c r="I2876">
        <v>63</v>
      </c>
      <c r="J2876">
        <v>0</v>
      </c>
      <c r="K2876">
        <v>0</v>
      </c>
      <c r="L2876" s="3">
        <v>0</v>
      </c>
      <c r="M2876" s="3">
        <v>0</v>
      </c>
      <c r="N2876">
        <v>0</v>
      </c>
      <c r="O2876">
        <v>0</v>
      </c>
      <c r="P2876">
        <v>0</v>
      </c>
      <c r="Q2876">
        <v>0</v>
      </c>
      <c r="R2876" s="3">
        <v>0</v>
      </c>
      <c r="S2876" s="3">
        <v>0</v>
      </c>
      <c r="T2876">
        <v>0</v>
      </c>
      <c r="U2876">
        <v>0</v>
      </c>
      <c r="V2876" s="3">
        <v>0</v>
      </c>
      <c r="W2876" s="3">
        <v>0</v>
      </c>
      <c r="X2876">
        <v>0</v>
      </c>
      <c r="Y2876" t="s">
        <v>2286</v>
      </c>
    </row>
    <row r="2877" spans="1:25" hidden="1" x14ac:dyDescent="0.25">
      <c r="A2877" t="s">
        <v>38</v>
      </c>
      <c r="B2877" t="s">
        <v>108</v>
      </c>
      <c r="C2877" t="s">
        <v>27</v>
      </c>
      <c r="D2877" t="s">
        <v>27</v>
      </c>
      <c r="E2877" s="2">
        <v>46000</v>
      </c>
      <c r="F2877" s="2">
        <v>46000</v>
      </c>
      <c r="G2877" s="3">
        <v>32</v>
      </c>
      <c r="H2877" s="4" t="s">
        <v>28</v>
      </c>
      <c r="I2877">
        <v>36</v>
      </c>
      <c r="J2877">
        <v>0</v>
      </c>
      <c r="K2877">
        <v>0</v>
      </c>
      <c r="L2877" s="3">
        <v>0</v>
      </c>
      <c r="M2877" s="3">
        <v>0</v>
      </c>
      <c r="N2877">
        <v>0</v>
      </c>
      <c r="O2877">
        <v>0</v>
      </c>
      <c r="P2877">
        <v>0</v>
      </c>
      <c r="Q2877">
        <v>36</v>
      </c>
      <c r="R2877" s="3">
        <v>0</v>
      </c>
      <c r="S2877" s="3">
        <v>0</v>
      </c>
      <c r="T2877">
        <v>0</v>
      </c>
      <c r="U2877">
        <v>0</v>
      </c>
      <c r="V2877" s="3">
        <v>0</v>
      </c>
      <c r="W2877" s="3">
        <v>0</v>
      </c>
      <c r="X2877">
        <v>0</v>
      </c>
      <c r="Y2877" t="s">
        <v>2287</v>
      </c>
    </row>
    <row r="2878" spans="1:25" hidden="1" x14ac:dyDescent="0.25">
      <c r="A2878" t="s">
        <v>40</v>
      </c>
      <c r="B2878" t="s">
        <v>110</v>
      </c>
      <c r="C2878" t="s">
        <v>27</v>
      </c>
      <c r="D2878" t="s">
        <v>27</v>
      </c>
      <c r="E2878" s="2">
        <v>46000</v>
      </c>
      <c r="F2878" s="2">
        <v>46000</v>
      </c>
      <c r="G2878" s="3">
        <v>72</v>
      </c>
      <c r="H2878" s="4" t="s">
        <v>28</v>
      </c>
      <c r="I2878">
        <v>53</v>
      </c>
      <c r="J2878">
        <v>0</v>
      </c>
      <c r="K2878">
        <v>0</v>
      </c>
      <c r="L2878" s="3">
        <v>1</v>
      </c>
      <c r="M2878" s="3">
        <v>0</v>
      </c>
      <c r="N2878">
        <v>1</v>
      </c>
      <c r="O2878">
        <v>0</v>
      </c>
      <c r="P2878">
        <v>0</v>
      </c>
      <c r="Q2878">
        <v>0</v>
      </c>
      <c r="R2878" s="3">
        <v>0</v>
      </c>
      <c r="S2878" s="3">
        <v>0</v>
      </c>
      <c r="T2878">
        <v>0</v>
      </c>
      <c r="U2878">
        <v>0</v>
      </c>
      <c r="V2878" s="3">
        <v>0</v>
      </c>
      <c r="W2878" s="3">
        <v>0</v>
      </c>
      <c r="X2878">
        <v>0</v>
      </c>
      <c r="Y2878" t="s">
        <v>2255</v>
      </c>
    </row>
    <row r="2879" spans="1:25" hidden="1" x14ac:dyDescent="0.25">
      <c r="A2879" t="s">
        <v>36</v>
      </c>
      <c r="B2879" t="s">
        <v>110</v>
      </c>
      <c r="C2879" t="s">
        <v>27</v>
      </c>
      <c r="D2879" t="s">
        <v>27</v>
      </c>
      <c r="E2879" s="2">
        <v>46000</v>
      </c>
      <c r="F2879" s="2">
        <v>46000</v>
      </c>
      <c r="G2879" s="3">
        <v>72</v>
      </c>
      <c r="H2879" s="4" t="s">
        <v>28</v>
      </c>
      <c r="I2879">
        <v>53</v>
      </c>
      <c r="J2879">
        <v>0</v>
      </c>
      <c r="K2879">
        <v>0</v>
      </c>
      <c r="L2879" s="3">
        <v>1</v>
      </c>
      <c r="M2879" s="3">
        <v>0</v>
      </c>
      <c r="N2879">
        <v>1</v>
      </c>
      <c r="O2879">
        <v>0</v>
      </c>
      <c r="P2879">
        <v>0</v>
      </c>
      <c r="Q2879">
        <v>0</v>
      </c>
      <c r="R2879" s="3">
        <v>0</v>
      </c>
      <c r="S2879" s="3">
        <v>0</v>
      </c>
      <c r="T2879">
        <v>0</v>
      </c>
      <c r="U2879">
        <v>0</v>
      </c>
      <c r="V2879" s="3">
        <v>0</v>
      </c>
      <c r="W2879" s="3">
        <v>0</v>
      </c>
      <c r="X2879">
        <v>0</v>
      </c>
      <c r="Y2879" t="s">
        <v>2255</v>
      </c>
    </row>
    <row r="2880" spans="1:25" hidden="1" x14ac:dyDescent="0.25">
      <c r="A2880" t="s">
        <v>1454</v>
      </c>
      <c r="B2880" t="s">
        <v>1455</v>
      </c>
      <c r="C2880" t="s">
        <v>27</v>
      </c>
      <c r="D2880" t="s">
        <v>27</v>
      </c>
      <c r="E2880" s="2">
        <v>46000</v>
      </c>
      <c r="F2880" s="2">
        <v>46000</v>
      </c>
      <c r="G2880" s="3">
        <v>42</v>
      </c>
      <c r="H2880" s="4" t="s">
        <v>28</v>
      </c>
      <c r="I2880">
        <v>35</v>
      </c>
      <c r="J2880">
        <v>0</v>
      </c>
      <c r="K2880">
        <v>0</v>
      </c>
      <c r="L2880" s="3">
        <v>1</v>
      </c>
      <c r="M2880" s="3">
        <v>0</v>
      </c>
      <c r="N2880">
        <v>0</v>
      </c>
      <c r="O2880">
        <v>0</v>
      </c>
      <c r="P2880">
        <v>0</v>
      </c>
      <c r="Q2880">
        <v>35</v>
      </c>
      <c r="R2880" s="3">
        <v>0</v>
      </c>
      <c r="S2880" s="3">
        <v>0</v>
      </c>
      <c r="T2880">
        <v>0</v>
      </c>
      <c r="U2880">
        <v>0</v>
      </c>
      <c r="V2880" s="3">
        <v>0</v>
      </c>
      <c r="W2880" s="3">
        <v>0</v>
      </c>
      <c r="X2880">
        <v>0</v>
      </c>
      <c r="Y2880" t="s">
        <v>2288</v>
      </c>
    </row>
    <row r="2881" spans="1:25" hidden="1" x14ac:dyDescent="0.25">
      <c r="A2881" t="s">
        <v>41</v>
      </c>
      <c r="B2881" t="s">
        <v>112</v>
      </c>
      <c r="C2881" t="s">
        <v>42</v>
      </c>
      <c r="D2881" t="s">
        <v>27</v>
      </c>
      <c r="E2881" s="2">
        <v>46000</v>
      </c>
      <c r="F2881" s="2">
        <v>46000</v>
      </c>
      <c r="G2881" s="3">
        <v>69</v>
      </c>
      <c r="H2881" s="4" t="s">
        <v>28</v>
      </c>
      <c r="I2881">
        <v>37</v>
      </c>
      <c r="J2881">
        <v>0</v>
      </c>
      <c r="K2881">
        <v>0</v>
      </c>
      <c r="L2881" s="3">
        <v>1</v>
      </c>
      <c r="M2881" s="3">
        <v>0</v>
      </c>
      <c r="N2881">
        <v>0</v>
      </c>
      <c r="O2881">
        <v>0</v>
      </c>
      <c r="P2881">
        <v>0</v>
      </c>
      <c r="Q2881">
        <v>1</v>
      </c>
      <c r="R2881" s="3">
        <v>0</v>
      </c>
      <c r="S2881" s="3">
        <v>0</v>
      </c>
      <c r="T2881">
        <v>0</v>
      </c>
      <c r="U2881">
        <v>0</v>
      </c>
      <c r="V2881" s="3">
        <v>0</v>
      </c>
      <c r="W2881" s="3">
        <v>0</v>
      </c>
      <c r="X2881">
        <v>0</v>
      </c>
      <c r="Y2881" t="s">
        <v>2289</v>
      </c>
    </row>
    <row r="2882" spans="1:25" hidden="1" x14ac:dyDescent="0.25">
      <c r="A2882" t="s">
        <v>43</v>
      </c>
      <c r="B2882" t="s">
        <v>114</v>
      </c>
      <c r="C2882" t="s">
        <v>44</v>
      </c>
      <c r="D2882" t="s">
        <v>27</v>
      </c>
      <c r="E2882" s="2">
        <v>46000</v>
      </c>
      <c r="F2882" s="2">
        <v>46000</v>
      </c>
      <c r="G2882" s="3">
        <v>29</v>
      </c>
      <c r="H2882" s="4" t="s">
        <v>28</v>
      </c>
      <c r="I2882">
        <v>69</v>
      </c>
      <c r="J2882">
        <v>0</v>
      </c>
      <c r="K2882">
        <v>0</v>
      </c>
      <c r="L2882" s="3">
        <v>1</v>
      </c>
      <c r="M2882" s="3">
        <v>0</v>
      </c>
      <c r="N2882">
        <v>0</v>
      </c>
      <c r="O2882">
        <v>0</v>
      </c>
      <c r="P2882">
        <v>0</v>
      </c>
      <c r="Q2882">
        <v>0</v>
      </c>
      <c r="R2882" s="3">
        <v>0</v>
      </c>
      <c r="S2882" s="3">
        <v>0</v>
      </c>
      <c r="T2882">
        <v>0</v>
      </c>
      <c r="U2882">
        <v>0</v>
      </c>
      <c r="V2882" s="3">
        <v>0</v>
      </c>
      <c r="W2882" s="3">
        <v>0</v>
      </c>
      <c r="X2882">
        <v>0</v>
      </c>
      <c r="Y2882" t="s">
        <v>2290</v>
      </c>
    </row>
    <row r="2883" spans="1:25" hidden="1" x14ac:dyDescent="0.25">
      <c r="A2883" t="s">
        <v>2118</v>
      </c>
      <c r="B2883" t="s">
        <v>2119</v>
      </c>
      <c r="C2883" t="s">
        <v>27</v>
      </c>
      <c r="D2883" t="s">
        <v>27</v>
      </c>
      <c r="E2883" s="2">
        <v>46000</v>
      </c>
      <c r="F2883" s="2">
        <v>46000</v>
      </c>
      <c r="G2883" s="3">
        <v>36</v>
      </c>
      <c r="H2883" s="4" t="s">
        <v>28</v>
      </c>
      <c r="I2883">
        <v>27</v>
      </c>
      <c r="J2883">
        <v>0</v>
      </c>
      <c r="K2883">
        <v>0</v>
      </c>
      <c r="L2883" s="3">
        <v>1</v>
      </c>
      <c r="M2883" s="3">
        <v>0</v>
      </c>
      <c r="N2883">
        <v>0</v>
      </c>
      <c r="O2883">
        <v>0</v>
      </c>
      <c r="P2883">
        <v>0</v>
      </c>
      <c r="Q2883">
        <v>27</v>
      </c>
      <c r="R2883" s="3">
        <v>0</v>
      </c>
      <c r="S2883" s="3">
        <v>0</v>
      </c>
      <c r="T2883">
        <v>0</v>
      </c>
      <c r="U2883">
        <v>0</v>
      </c>
      <c r="V2883" s="3">
        <v>0</v>
      </c>
      <c r="W2883" s="3">
        <v>0</v>
      </c>
      <c r="X2883">
        <v>0</v>
      </c>
      <c r="Y2883" t="s">
        <v>2291</v>
      </c>
    </row>
    <row r="2884" spans="1:25" hidden="1" x14ac:dyDescent="0.25">
      <c r="A2884" t="s">
        <v>47</v>
      </c>
      <c r="B2884" t="s">
        <v>137</v>
      </c>
      <c r="C2884" t="s">
        <v>57</v>
      </c>
      <c r="D2884" t="s">
        <v>27</v>
      </c>
      <c r="E2884" s="2">
        <v>46000</v>
      </c>
      <c r="F2884" s="2">
        <v>46000</v>
      </c>
      <c r="G2884" s="3">
        <v>115</v>
      </c>
      <c r="H2884" s="4" t="s">
        <v>28</v>
      </c>
      <c r="I2884">
        <v>46</v>
      </c>
      <c r="J2884">
        <v>4</v>
      </c>
      <c r="K2884">
        <v>0</v>
      </c>
      <c r="L2884" s="3">
        <v>0</v>
      </c>
      <c r="M2884" s="3">
        <v>0</v>
      </c>
      <c r="N2884">
        <v>0</v>
      </c>
      <c r="O2884">
        <v>0</v>
      </c>
      <c r="P2884">
        <v>0</v>
      </c>
      <c r="Q2884">
        <v>11</v>
      </c>
      <c r="R2884" s="3">
        <v>0</v>
      </c>
      <c r="S2884" s="3">
        <v>0</v>
      </c>
      <c r="T2884">
        <v>0</v>
      </c>
      <c r="U2884">
        <v>0</v>
      </c>
      <c r="V2884" s="3">
        <v>0</v>
      </c>
      <c r="W2884" s="3">
        <v>0</v>
      </c>
      <c r="X2884">
        <v>0</v>
      </c>
      <c r="Y2884" t="s">
        <v>2292</v>
      </c>
    </row>
    <row r="2885" spans="1:25" hidden="1" x14ac:dyDescent="0.25">
      <c r="A2885" t="s">
        <v>49</v>
      </c>
      <c r="B2885" t="s">
        <v>118</v>
      </c>
      <c r="C2885" t="s">
        <v>50</v>
      </c>
      <c r="D2885" t="s">
        <v>27</v>
      </c>
      <c r="E2885" s="2">
        <v>46000</v>
      </c>
      <c r="F2885" s="2">
        <v>46000</v>
      </c>
      <c r="G2885" s="3">
        <v>53</v>
      </c>
      <c r="H2885" s="4" t="s">
        <v>28</v>
      </c>
      <c r="I2885">
        <v>53</v>
      </c>
      <c r="J2885">
        <v>0</v>
      </c>
      <c r="K2885">
        <v>0</v>
      </c>
      <c r="L2885" s="3">
        <v>1</v>
      </c>
      <c r="M2885" s="3">
        <v>1</v>
      </c>
      <c r="N2885">
        <v>0</v>
      </c>
      <c r="O2885">
        <v>1</v>
      </c>
      <c r="P2885">
        <v>0</v>
      </c>
      <c r="Q2885">
        <v>53</v>
      </c>
      <c r="R2885" s="3">
        <v>0</v>
      </c>
      <c r="S2885" s="3">
        <v>0</v>
      </c>
      <c r="T2885">
        <v>0</v>
      </c>
      <c r="U2885">
        <v>0</v>
      </c>
      <c r="V2885" s="3">
        <v>0</v>
      </c>
      <c r="W2885" s="3">
        <v>0</v>
      </c>
      <c r="X2885">
        <v>0</v>
      </c>
      <c r="Y2885" t="s">
        <v>2293</v>
      </c>
    </row>
    <row r="2886" spans="1:25" hidden="1" x14ac:dyDescent="0.25">
      <c r="A2886" t="s">
        <v>54</v>
      </c>
      <c r="B2886" t="s">
        <v>122</v>
      </c>
      <c r="C2886" t="s">
        <v>52</v>
      </c>
      <c r="D2886" t="s">
        <v>27</v>
      </c>
      <c r="E2886" s="2">
        <v>46000</v>
      </c>
      <c r="F2886" s="2">
        <v>46000</v>
      </c>
      <c r="G2886" s="3">
        <v>35</v>
      </c>
      <c r="H2886" s="4" t="s">
        <v>28</v>
      </c>
      <c r="I2886">
        <v>59</v>
      </c>
      <c r="J2886">
        <v>0</v>
      </c>
      <c r="K2886">
        <v>0</v>
      </c>
      <c r="L2886" s="3">
        <v>0</v>
      </c>
      <c r="M2886" s="3">
        <v>0</v>
      </c>
      <c r="N2886">
        <v>0</v>
      </c>
      <c r="O2886">
        <v>0</v>
      </c>
      <c r="P2886">
        <v>0</v>
      </c>
      <c r="Q2886">
        <v>2</v>
      </c>
      <c r="R2886" s="3">
        <v>0</v>
      </c>
      <c r="S2886" s="3">
        <v>0</v>
      </c>
      <c r="T2886">
        <v>0</v>
      </c>
      <c r="U2886">
        <v>0</v>
      </c>
      <c r="V2886" s="3">
        <v>0</v>
      </c>
      <c r="W2886" s="3">
        <v>0</v>
      </c>
      <c r="X2886">
        <v>0</v>
      </c>
      <c r="Y2886" t="s">
        <v>2275</v>
      </c>
    </row>
    <row r="2887" spans="1:25" hidden="1" x14ac:dyDescent="0.25">
      <c r="A2887" t="s">
        <v>48</v>
      </c>
      <c r="B2887" t="s">
        <v>149</v>
      </c>
      <c r="C2887" t="s">
        <v>2294</v>
      </c>
      <c r="D2887" t="s">
        <v>27</v>
      </c>
      <c r="E2887" s="2">
        <v>46000</v>
      </c>
      <c r="F2887" s="2">
        <v>46000</v>
      </c>
      <c r="G2887" s="3">
        <v>47</v>
      </c>
      <c r="H2887" s="4" t="s">
        <v>28</v>
      </c>
      <c r="I2887">
        <v>4</v>
      </c>
      <c r="J2887">
        <v>20</v>
      </c>
      <c r="K2887">
        <v>0</v>
      </c>
      <c r="L2887" s="3">
        <v>0</v>
      </c>
      <c r="M2887" s="3">
        <v>0</v>
      </c>
      <c r="N2887">
        <v>0</v>
      </c>
      <c r="O2887">
        <v>0</v>
      </c>
      <c r="P2887">
        <v>0</v>
      </c>
      <c r="Q2887">
        <v>15</v>
      </c>
      <c r="R2887" s="3">
        <v>0</v>
      </c>
      <c r="S2887" s="3">
        <v>0</v>
      </c>
      <c r="T2887">
        <v>0</v>
      </c>
      <c r="U2887">
        <v>0</v>
      </c>
      <c r="V2887" s="3">
        <v>0</v>
      </c>
      <c r="W2887" s="3">
        <v>0</v>
      </c>
      <c r="X2887">
        <v>0</v>
      </c>
      <c r="Y2887" t="s">
        <v>2295</v>
      </c>
    </row>
    <row r="2888" spans="1:25" hidden="1" x14ac:dyDescent="0.25">
      <c r="A2888" t="s">
        <v>58</v>
      </c>
      <c r="B2888" t="s">
        <v>144</v>
      </c>
      <c r="C2888" t="s">
        <v>55</v>
      </c>
      <c r="D2888" t="s">
        <v>27</v>
      </c>
      <c r="E2888" s="2">
        <v>46000</v>
      </c>
      <c r="F2888" s="2">
        <v>46000</v>
      </c>
      <c r="G2888" s="3">
        <v>39</v>
      </c>
      <c r="H2888" s="4" t="s">
        <v>28</v>
      </c>
      <c r="I2888">
        <v>30</v>
      </c>
      <c r="J2888">
        <v>0</v>
      </c>
      <c r="K2888">
        <v>0</v>
      </c>
      <c r="L2888" s="3">
        <v>1</v>
      </c>
      <c r="M2888" s="3">
        <v>0</v>
      </c>
      <c r="N2888">
        <v>0</v>
      </c>
      <c r="O2888">
        <v>0</v>
      </c>
      <c r="P2888">
        <v>0</v>
      </c>
      <c r="Q2888">
        <v>0</v>
      </c>
      <c r="R2888" s="3">
        <v>0</v>
      </c>
      <c r="S2888" s="3">
        <v>0</v>
      </c>
      <c r="T2888">
        <v>0</v>
      </c>
      <c r="U2888">
        <v>0</v>
      </c>
      <c r="V2888" s="3">
        <v>0</v>
      </c>
      <c r="W2888" s="3">
        <v>0</v>
      </c>
      <c r="X2888">
        <v>0</v>
      </c>
      <c r="Y2888" t="s">
        <v>2296</v>
      </c>
    </row>
    <row r="2889" spans="1:25" hidden="1" x14ac:dyDescent="0.25">
      <c r="A2889" t="s">
        <v>34</v>
      </c>
      <c r="B2889" t="s">
        <v>106</v>
      </c>
      <c r="C2889" t="s">
        <v>27</v>
      </c>
      <c r="D2889" t="s">
        <v>27</v>
      </c>
      <c r="E2889" s="2">
        <v>46000</v>
      </c>
      <c r="F2889" s="2">
        <v>46000</v>
      </c>
      <c r="G2889" s="3">
        <v>40</v>
      </c>
      <c r="H2889" s="4" t="s">
        <v>2143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2296</v>
      </c>
    </row>
    <row r="2890" spans="1:25" hidden="1" x14ac:dyDescent="0.25">
      <c r="A2890" t="s">
        <v>51</v>
      </c>
      <c r="B2890" t="s">
        <v>182</v>
      </c>
      <c r="C2890" t="s">
        <v>27</v>
      </c>
      <c r="D2890" t="s">
        <v>27</v>
      </c>
      <c r="E2890" s="2">
        <v>46000</v>
      </c>
      <c r="F2890" s="2">
        <v>46000</v>
      </c>
      <c r="G2890" s="3">
        <v>41</v>
      </c>
      <c r="H2890" s="4" t="s">
        <v>1154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2296</v>
      </c>
    </row>
    <row r="2891" spans="1:25" hidden="1" x14ac:dyDescent="0.25">
      <c r="A2891" t="s">
        <v>45</v>
      </c>
      <c r="B2891" t="s">
        <v>184</v>
      </c>
      <c r="C2891" t="s">
        <v>27</v>
      </c>
      <c r="D2891" t="s">
        <v>27</v>
      </c>
      <c r="E2891" s="2">
        <v>46000</v>
      </c>
      <c r="F2891" s="2">
        <v>46000</v>
      </c>
      <c r="G2891" s="3">
        <v>42</v>
      </c>
      <c r="H2891" s="4" t="s">
        <v>28</v>
      </c>
      <c r="I2891">
        <v>30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2296</v>
      </c>
    </row>
    <row r="2892" spans="1:25" hidden="1" x14ac:dyDescent="0.25">
      <c r="A2892" t="s">
        <v>25</v>
      </c>
      <c r="B2892" t="s">
        <v>96</v>
      </c>
      <c r="C2892" t="s">
        <v>26</v>
      </c>
      <c r="D2892" t="s">
        <v>27</v>
      </c>
      <c r="E2892" s="2">
        <v>46001</v>
      </c>
      <c r="F2892" s="2">
        <v>46001</v>
      </c>
      <c r="G2892" s="3">
        <v>39</v>
      </c>
      <c r="H2892" t="s">
        <v>28</v>
      </c>
      <c r="I2892">
        <v>72</v>
      </c>
      <c r="J2892">
        <v>0</v>
      </c>
      <c r="K2892">
        <v>0</v>
      </c>
      <c r="L2892" s="3">
        <v>1</v>
      </c>
      <c r="M2892" s="3">
        <v>0</v>
      </c>
      <c r="N2892">
        <v>1</v>
      </c>
      <c r="O2892">
        <v>0</v>
      </c>
      <c r="P2892">
        <v>0</v>
      </c>
      <c r="Q2892">
        <v>0</v>
      </c>
      <c r="R2892" s="3">
        <v>0</v>
      </c>
      <c r="S2892" s="3">
        <v>0</v>
      </c>
      <c r="T2892">
        <v>0</v>
      </c>
      <c r="U2892">
        <v>0</v>
      </c>
      <c r="V2892" s="3">
        <v>0</v>
      </c>
      <c r="W2892" s="3">
        <v>0</v>
      </c>
      <c r="X2892">
        <v>0</v>
      </c>
      <c r="Y2892" t="s">
        <v>2297</v>
      </c>
    </row>
    <row r="2893" spans="1:25" hidden="1" x14ac:dyDescent="0.25">
      <c r="A2893" t="s">
        <v>56</v>
      </c>
      <c r="B2893" t="s">
        <v>98</v>
      </c>
      <c r="C2893" t="s">
        <v>37</v>
      </c>
      <c r="D2893" t="s">
        <v>27</v>
      </c>
      <c r="E2893" s="2">
        <v>46001</v>
      </c>
      <c r="F2893" s="2">
        <v>46001</v>
      </c>
      <c r="G2893" s="3">
        <v>32</v>
      </c>
      <c r="H2893" t="s">
        <v>28</v>
      </c>
      <c r="I2893">
        <v>66</v>
      </c>
      <c r="J2893">
        <v>0</v>
      </c>
      <c r="K2893">
        <v>0</v>
      </c>
      <c r="L2893" s="3">
        <v>1</v>
      </c>
      <c r="M2893" s="3">
        <v>0</v>
      </c>
      <c r="N2893">
        <v>0</v>
      </c>
      <c r="O2893">
        <v>0</v>
      </c>
      <c r="P2893">
        <v>0</v>
      </c>
      <c r="Q2893">
        <v>10</v>
      </c>
      <c r="R2893" s="3">
        <v>0</v>
      </c>
      <c r="S2893" s="3">
        <v>0</v>
      </c>
      <c r="T2893">
        <v>0</v>
      </c>
      <c r="U2893">
        <v>0</v>
      </c>
      <c r="V2893" s="3">
        <v>0</v>
      </c>
      <c r="W2893" s="3">
        <v>0</v>
      </c>
      <c r="X2893">
        <v>0</v>
      </c>
      <c r="Y2893" t="s">
        <v>2298</v>
      </c>
    </row>
    <row r="2894" spans="1:25" hidden="1" x14ac:dyDescent="0.25">
      <c r="A2894" t="s">
        <v>94</v>
      </c>
      <c r="B2894" t="s">
        <v>98</v>
      </c>
      <c r="C2894" t="s">
        <v>37</v>
      </c>
      <c r="D2894" t="s">
        <v>27</v>
      </c>
      <c r="E2894" s="2">
        <v>46001</v>
      </c>
      <c r="F2894" s="2">
        <v>46001</v>
      </c>
      <c r="G2894" s="3">
        <v>32</v>
      </c>
      <c r="H2894" t="s">
        <v>28</v>
      </c>
      <c r="I2894">
        <v>66</v>
      </c>
      <c r="J2894">
        <v>0</v>
      </c>
      <c r="K2894">
        <v>0</v>
      </c>
      <c r="L2894" s="3">
        <v>1</v>
      </c>
      <c r="M2894" s="3">
        <v>0</v>
      </c>
      <c r="N2894">
        <v>0</v>
      </c>
      <c r="O2894">
        <v>0</v>
      </c>
      <c r="P2894">
        <v>0</v>
      </c>
      <c r="Q2894">
        <v>10</v>
      </c>
      <c r="R2894" s="3">
        <v>0</v>
      </c>
      <c r="S2894" s="3">
        <v>0</v>
      </c>
      <c r="T2894">
        <v>0</v>
      </c>
      <c r="U2894">
        <v>0</v>
      </c>
      <c r="V2894" s="3">
        <v>0</v>
      </c>
      <c r="W2894" s="3">
        <v>0</v>
      </c>
      <c r="X2894">
        <v>5</v>
      </c>
      <c r="Y2894" t="s">
        <v>2298</v>
      </c>
    </row>
    <row r="2895" spans="1:25" hidden="1" x14ac:dyDescent="0.25">
      <c r="A2895" t="s">
        <v>29</v>
      </c>
      <c r="B2895" t="s">
        <v>100</v>
      </c>
      <c r="C2895" t="s">
        <v>95</v>
      </c>
      <c r="D2895" t="s">
        <v>27</v>
      </c>
      <c r="E2895" s="2">
        <v>46001</v>
      </c>
      <c r="F2895" s="2">
        <v>46001</v>
      </c>
      <c r="G2895" s="3">
        <v>50</v>
      </c>
      <c r="H2895" s="4" t="s">
        <v>28</v>
      </c>
      <c r="I2895">
        <v>30</v>
      </c>
      <c r="J2895">
        <v>0</v>
      </c>
      <c r="K2895">
        <v>0</v>
      </c>
      <c r="L2895" s="3">
        <v>1</v>
      </c>
      <c r="M2895" s="3">
        <v>0</v>
      </c>
      <c r="N2895">
        <v>0</v>
      </c>
      <c r="O2895">
        <v>0</v>
      </c>
      <c r="P2895">
        <v>5</v>
      </c>
      <c r="Q2895">
        <v>10</v>
      </c>
      <c r="R2895" s="3">
        <v>0</v>
      </c>
      <c r="S2895" s="3">
        <v>0</v>
      </c>
      <c r="T2895">
        <v>0</v>
      </c>
      <c r="U2895">
        <v>0</v>
      </c>
      <c r="V2895" s="3">
        <v>0</v>
      </c>
      <c r="W2895" s="3">
        <v>0</v>
      </c>
      <c r="X2895">
        <v>0</v>
      </c>
      <c r="Y2895" t="s">
        <v>2284</v>
      </c>
    </row>
    <row r="2896" spans="1:25" hidden="1" x14ac:dyDescent="0.25">
      <c r="A2896" t="s">
        <v>344</v>
      </c>
      <c r="B2896" t="s">
        <v>102</v>
      </c>
      <c r="C2896" t="s">
        <v>94</v>
      </c>
      <c r="D2896" t="s">
        <v>27</v>
      </c>
      <c r="E2896" s="2">
        <v>46001</v>
      </c>
      <c r="F2896" s="2">
        <v>46001</v>
      </c>
      <c r="G2896" s="3">
        <v>45</v>
      </c>
      <c r="H2896" s="4" t="s">
        <v>28</v>
      </c>
      <c r="I2896">
        <v>49</v>
      </c>
      <c r="J2896">
        <v>0</v>
      </c>
      <c r="K2896">
        <v>0</v>
      </c>
      <c r="L2896" s="3">
        <v>0</v>
      </c>
      <c r="M2896" s="3">
        <v>0</v>
      </c>
      <c r="N2896">
        <v>0</v>
      </c>
      <c r="O2896">
        <v>0</v>
      </c>
      <c r="P2896">
        <v>0</v>
      </c>
      <c r="Q2896">
        <v>2</v>
      </c>
      <c r="R2896" s="3">
        <v>0</v>
      </c>
      <c r="S2896" s="3">
        <v>0</v>
      </c>
      <c r="T2896">
        <v>0</v>
      </c>
      <c r="U2896">
        <v>0</v>
      </c>
      <c r="V2896" s="3">
        <v>0</v>
      </c>
      <c r="W2896" s="3">
        <v>0</v>
      </c>
      <c r="X2896">
        <v>5</v>
      </c>
      <c r="Y2896" t="s">
        <v>2215</v>
      </c>
    </row>
    <row r="2897" spans="1:25" hidden="1" x14ac:dyDescent="0.25">
      <c r="A2897" t="s">
        <v>94</v>
      </c>
      <c r="B2897" t="s">
        <v>102</v>
      </c>
      <c r="C2897" t="s">
        <v>35</v>
      </c>
      <c r="D2897" t="s">
        <v>27</v>
      </c>
      <c r="E2897" s="2">
        <v>46001</v>
      </c>
      <c r="F2897" s="2">
        <v>46001</v>
      </c>
      <c r="G2897" s="3">
        <v>45</v>
      </c>
      <c r="H2897" s="4" t="s">
        <v>28</v>
      </c>
      <c r="I2897">
        <v>49</v>
      </c>
      <c r="J2897">
        <v>0</v>
      </c>
      <c r="K2897">
        <v>0</v>
      </c>
      <c r="L2897" s="3">
        <v>0</v>
      </c>
      <c r="M2897" s="3">
        <v>0</v>
      </c>
      <c r="N2897">
        <v>0</v>
      </c>
      <c r="O2897">
        <v>0</v>
      </c>
      <c r="P2897">
        <v>0</v>
      </c>
      <c r="Q2897">
        <v>2</v>
      </c>
      <c r="R2897" s="3">
        <v>0</v>
      </c>
      <c r="S2897" s="3">
        <v>0</v>
      </c>
      <c r="T2897">
        <v>0</v>
      </c>
      <c r="U2897">
        <v>0</v>
      </c>
      <c r="V2897" s="3">
        <v>0</v>
      </c>
      <c r="W2897" s="3">
        <v>0</v>
      </c>
      <c r="X2897">
        <v>0</v>
      </c>
      <c r="Y2897" t="s">
        <v>2215</v>
      </c>
    </row>
    <row r="2898" spans="1:25" hidden="1" x14ac:dyDescent="0.25">
      <c r="A2898" t="s">
        <v>31</v>
      </c>
      <c r="B2898" t="s">
        <v>104</v>
      </c>
      <c r="C2898" t="s">
        <v>32</v>
      </c>
      <c r="D2898" t="s">
        <v>27</v>
      </c>
      <c r="E2898" s="2">
        <v>46001</v>
      </c>
      <c r="F2898" s="2">
        <v>46001</v>
      </c>
      <c r="G2898" s="3">
        <v>82</v>
      </c>
      <c r="H2898" t="s">
        <v>28</v>
      </c>
      <c r="I2898">
        <v>92</v>
      </c>
      <c r="J2898">
        <v>0</v>
      </c>
      <c r="K2898">
        <v>0</v>
      </c>
      <c r="L2898" s="3">
        <v>1</v>
      </c>
      <c r="M2898" s="3">
        <v>0</v>
      </c>
      <c r="N2898">
        <v>0</v>
      </c>
      <c r="O2898">
        <v>0</v>
      </c>
      <c r="P2898">
        <v>0</v>
      </c>
      <c r="Q2898">
        <v>39</v>
      </c>
      <c r="R2898" s="3">
        <v>0</v>
      </c>
      <c r="S2898" s="3">
        <v>0</v>
      </c>
      <c r="T2898">
        <v>0</v>
      </c>
      <c r="U2898">
        <v>0</v>
      </c>
      <c r="V2898" s="3">
        <v>0</v>
      </c>
      <c r="W2898" s="3">
        <v>0</v>
      </c>
      <c r="X2898">
        <v>1</v>
      </c>
      <c r="Y2898" t="s">
        <v>2299</v>
      </c>
    </row>
    <row r="2899" spans="1:25" hidden="1" x14ac:dyDescent="0.25">
      <c r="A2899" t="s">
        <v>33</v>
      </c>
      <c r="B2899" t="s">
        <v>106</v>
      </c>
      <c r="C2899" t="s">
        <v>57</v>
      </c>
      <c r="D2899" t="s">
        <v>27</v>
      </c>
      <c r="E2899" s="2">
        <v>46001</v>
      </c>
      <c r="F2899" s="2">
        <v>46001</v>
      </c>
      <c r="G2899" s="3">
        <v>100</v>
      </c>
      <c r="H2899" t="s">
        <v>28</v>
      </c>
      <c r="I2899">
        <v>56</v>
      </c>
      <c r="J2899">
        <v>0</v>
      </c>
      <c r="K2899">
        <v>0</v>
      </c>
      <c r="L2899" s="3">
        <v>0</v>
      </c>
      <c r="M2899" s="3">
        <v>0</v>
      </c>
      <c r="N2899">
        <v>0</v>
      </c>
      <c r="O2899">
        <v>0</v>
      </c>
      <c r="P2899">
        <v>0</v>
      </c>
      <c r="Q2899">
        <v>20</v>
      </c>
      <c r="R2899" s="3">
        <v>0</v>
      </c>
      <c r="S2899" s="3">
        <v>0</v>
      </c>
      <c r="T2899">
        <v>0</v>
      </c>
      <c r="U2899">
        <v>0</v>
      </c>
      <c r="V2899" s="3">
        <v>0</v>
      </c>
      <c r="W2899" s="3">
        <v>0</v>
      </c>
      <c r="X2899">
        <v>0</v>
      </c>
      <c r="Y2899" t="s">
        <v>2300</v>
      </c>
    </row>
    <row r="2900" spans="1:25" hidden="1" x14ac:dyDescent="0.25">
      <c r="A2900" t="s">
        <v>38</v>
      </c>
      <c r="B2900" t="s">
        <v>108</v>
      </c>
      <c r="C2900" t="s">
        <v>27</v>
      </c>
      <c r="D2900" t="s">
        <v>27</v>
      </c>
      <c r="E2900" s="2">
        <v>46001</v>
      </c>
      <c r="F2900" s="2">
        <v>46001</v>
      </c>
      <c r="G2900" s="3">
        <v>33</v>
      </c>
      <c r="H2900" t="s">
        <v>28</v>
      </c>
      <c r="I2900">
        <v>59</v>
      </c>
      <c r="J2900">
        <v>0</v>
      </c>
      <c r="K2900">
        <v>0</v>
      </c>
      <c r="L2900" s="3">
        <v>0</v>
      </c>
      <c r="M2900" s="3">
        <v>0</v>
      </c>
      <c r="N2900">
        <v>0</v>
      </c>
      <c r="O2900">
        <v>0</v>
      </c>
      <c r="P2900">
        <v>0</v>
      </c>
      <c r="Q2900">
        <v>59</v>
      </c>
      <c r="R2900" s="3">
        <v>0</v>
      </c>
      <c r="S2900" s="3">
        <v>0</v>
      </c>
      <c r="T2900">
        <v>0</v>
      </c>
      <c r="U2900">
        <v>0</v>
      </c>
      <c r="V2900" s="3">
        <v>0</v>
      </c>
      <c r="W2900" s="3">
        <v>0</v>
      </c>
      <c r="X2900">
        <v>0</v>
      </c>
      <c r="Y2900" t="s">
        <v>2301</v>
      </c>
    </row>
    <row r="2901" spans="1:25" hidden="1" x14ac:dyDescent="0.25">
      <c r="A2901" t="s">
        <v>40</v>
      </c>
      <c r="B2901" t="s">
        <v>110</v>
      </c>
      <c r="C2901" t="s">
        <v>27</v>
      </c>
      <c r="D2901" t="s">
        <v>27</v>
      </c>
      <c r="E2901" s="2">
        <v>46001</v>
      </c>
      <c r="F2901" s="2">
        <v>46001</v>
      </c>
      <c r="G2901" s="3">
        <v>92</v>
      </c>
      <c r="H2901" t="s">
        <v>28</v>
      </c>
      <c r="I2901">
        <v>88</v>
      </c>
      <c r="J2901">
        <v>0</v>
      </c>
      <c r="K2901">
        <v>0</v>
      </c>
      <c r="L2901" s="3">
        <v>1</v>
      </c>
      <c r="M2901" s="3">
        <v>0</v>
      </c>
      <c r="N2901">
        <v>1</v>
      </c>
      <c r="O2901">
        <v>0</v>
      </c>
      <c r="P2901">
        <v>0</v>
      </c>
      <c r="Q2901">
        <v>30</v>
      </c>
      <c r="R2901" s="3">
        <v>0</v>
      </c>
      <c r="S2901" s="3">
        <v>0</v>
      </c>
      <c r="T2901">
        <v>0</v>
      </c>
      <c r="U2901">
        <v>0</v>
      </c>
      <c r="V2901" s="3">
        <v>0</v>
      </c>
      <c r="W2901" s="3">
        <v>0</v>
      </c>
      <c r="X2901">
        <v>0</v>
      </c>
      <c r="Y2901" t="s">
        <v>2302</v>
      </c>
    </row>
    <row r="2902" spans="1:25" hidden="1" x14ac:dyDescent="0.25">
      <c r="A2902" t="s">
        <v>36</v>
      </c>
      <c r="B2902" t="s">
        <v>110</v>
      </c>
      <c r="C2902" t="s">
        <v>27</v>
      </c>
      <c r="D2902" t="s">
        <v>27</v>
      </c>
      <c r="E2902" s="2">
        <v>46001</v>
      </c>
      <c r="F2902" s="2">
        <v>46001</v>
      </c>
      <c r="G2902" s="3">
        <v>92</v>
      </c>
      <c r="H2902" t="s">
        <v>28</v>
      </c>
      <c r="I2902">
        <v>88</v>
      </c>
      <c r="J2902">
        <v>0</v>
      </c>
      <c r="K2902">
        <v>0</v>
      </c>
      <c r="L2902" s="3">
        <v>1</v>
      </c>
      <c r="M2902" s="3">
        <v>0</v>
      </c>
      <c r="N2902">
        <v>1</v>
      </c>
      <c r="O2902">
        <v>0</v>
      </c>
      <c r="P2902">
        <v>0</v>
      </c>
      <c r="Q2902">
        <v>30</v>
      </c>
      <c r="R2902" s="3">
        <v>0</v>
      </c>
      <c r="S2902" s="3">
        <v>0</v>
      </c>
      <c r="T2902">
        <v>0</v>
      </c>
      <c r="U2902">
        <v>0</v>
      </c>
      <c r="V2902" s="3">
        <v>0</v>
      </c>
      <c r="W2902" s="3">
        <v>0</v>
      </c>
      <c r="X2902">
        <v>3</v>
      </c>
      <c r="Y2902" t="s">
        <v>2302</v>
      </c>
    </row>
    <row r="2903" spans="1:25" hidden="1" x14ac:dyDescent="0.25">
      <c r="A2903" t="s">
        <v>1454</v>
      </c>
      <c r="B2903" t="s">
        <v>1455</v>
      </c>
      <c r="C2903" t="s">
        <v>27</v>
      </c>
      <c r="D2903" t="s">
        <v>27</v>
      </c>
      <c r="E2903" s="2">
        <v>46001</v>
      </c>
      <c r="F2903" s="2">
        <v>46001</v>
      </c>
      <c r="G2903" s="3">
        <v>53</v>
      </c>
      <c r="H2903" t="s">
        <v>28</v>
      </c>
      <c r="I2903">
        <v>48</v>
      </c>
      <c r="J2903">
        <v>0</v>
      </c>
      <c r="K2903">
        <v>0</v>
      </c>
      <c r="L2903" s="3">
        <v>1</v>
      </c>
      <c r="M2903" s="3">
        <v>0</v>
      </c>
      <c r="N2903">
        <v>0</v>
      </c>
      <c r="O2903">
        <v>0</v>
      </c>
      <c r="P2903">
        <v>0</v>
      </c>
      <c r="Q2903">
        <v>48</v>
      </c>
      <c r="R2903" s="3">
        <v>0</v>
      </c>
      <c r="S2903" s="3">
        <v>0</v>
      </c>
      <c r="T2903">
        <v>0</v>
      </c>
      <c r="U2903">
        <v>0</v>
      </c>
      <c r="V2903" s="3">
        <v>0</v>
      </c>
      <c r="W2903" s="3">
        <v>0</v>
      </c>
      <c r="X2903">
        <v>0</v>
      </c>
      <c r="Y2903" t="s">
        <v>2303</v>
      </c>
    </row>
    <row r="2904" spans="1:25" hidden="1" x14ac:dyDescent="0.25">
      <c r="A2904" t="s">
        <v>48</v>
      </c>
      <c r="B2904" t="s">
        <v>112</v>
      </c>
      <c r="C2904" t="s">
        <v>42</v>
      </c>
      <c r="D2904" t="s">
        <v>27</v>
      </c>
      <c r="E2904" s="2">
        <v>46001</v>
      </c>
      <c r="F2904" s="2">
        <v>46001</v>
      </c>
      <c r="G2904" s="3">
        <v>41</v>
      </c>
      <c r="H2904" t="s">
        <v>28</v>
      </c>
      <c r="I2904">
        <v>46</v>
      </c>
      <c r="J2904">
        <v>0</v>
      </c>
      <c r="K2904">
        <v>0</v>
      </c>
      <c r="L2904" s="3">
        <v>1</v>
      </c>
      <c r="M2904" s="3">
        <v>0</v>
      </c>
      <c r="N2904">
        <v>0</v>
      </c>
      <c r="O2904">
        <v>0</v>
      </c>
      <c r="P2904">
        <v>0</v>
      </c>
      <c r="Q2904">
        <v>0</v>
      </c>
      <c r="R2904" s="3">
        <v>0</v>
      </c>
      <c r="S2904" s="3">
        <v>0</v>
      </c>
      <c r="T2904">
        <v>0</v>
      </c>
      <c r="U2904">
        <v>0</v>
      </c>
      <c r="V2904" s="3">
        <v>0</v>
      </c>
      <c r="W2904" s="3">
        <v>0</v>
      </c>
      <c r="X2904">
        <v>0</v>
      </c>
      <c r="Y2904" t="s">
        <v>2304</v>
      </c>
    </row>
    <row r="2905" spans="1:25" hidden="1" x14ac:dyDescent="0.25">
      <c r="A2905" t="s">
        <v>43</v>
      </c>
      <c r="B2905" t="s">
        <v>114</v>
      </c>
      <c r="C2905" t="s">
        <v>44</v>
      </c>
      <c r="D2905" t="s">
        <v>27</v>
      </c>
      <c r="E2905" s="2">
        <v>46001</v>
      </c>
      <c r="F2905" s="2">
        <v>46001</v>
      </c>
      <c r="G2905" s="3">
        <v>29</v>
      </c>
      <c r="H2905" t="s">
        <v>28</v>
      </c>
      <c r="I2905">
        <v>45</v>
      </c>
      <c r="J2905">
        <v>0</v>
      </c>
      <c r="K2905">
        <v>0</v>
      </c>
      <c r="L2905" s="3">
        <v>1</v>
      </c>
      <c r="M2905" s="3">
        <v>0</v>
      </c>
      <c r="N2905">
        <v>0</v>
      </c>
      <c r="O2905">
        <v>0</v>
      </c>
      <c r="P2905">
        <v>0</v>
      </c>
      <c r="Q2905">
        <v>0</v>
      </c>
      <c r="R2905" s="3">
        <v>0</v>
      </c>
      <c r="S2905" s="3">
        <v>0</v>
      </c>
      <c r="T2905">
        <v>0</v>
      </c>
      <c r="U2905">
        <v>0</v>
      </c>
      <c r="V2905" s="3">
        <v>0</v>
      </c>
      <c r="W2905" s="3">
        <v>0</v>
      </c>
      <c r="X2905">
        <v>0</v>
      </c>
      <c r="Y2905" t="s">
        <v>2305</v>
      </c>
    </row>
    <row r="2906" spans="1:25" hidden="1" x14ac:dyDescent="0.25">
      <c r="A2906" t="s">
        <v>2118</v>
      </c>
      <c r="B2906" t="s">
        <v>2119</v>
      </c>
      <c r="C2906" t="s">
        <v>27</v>
      </c>
      <c r="D2906" t="s">
        <v>27</v>
      </c>
      <c r="E2906" s="2">
        <v>46001</v>
      </c>
      <c r="F2906" s="2">
        <v>46001</v>
      </c>
      <c r="G2906" s="3">
        <v>33</v>
      </c>
      <c r="H2906" t="s">
        <v>28</v>
      </c>
      <c r="I2906">
        <v>42</v>
      </c>
      <c r="J2906">
        <v>0</v>
      </c>
      <c r="K2906">
        <v>0</v>
      </c>
      <c r="L2906" s="3">
        <v>1</v>
      </c>
      <c r="M2906" s="3">
        <v>0</v>
      </c>
      <c r="N2906">
        <v>0</v>
      </c>
      <c r="O2906">
        <v>0</v>
      </c>
      <c r="P2906">
        <v>0</v>
      </c>
      <c r="Q2906">
        <v>42</v>
      </c>
      <c r="R2906" s="3">
        <v>0</v>
      </c>
      <c r="S2906" s="3">
        <v>0</v>
      </c>
      <c r="T2906">
        <v>0</v>
      </c>
      <c r="U2906">
        <v>0</v>
      </c>
      <c r="V2906" s="3">
        <v>0</v>
      </c>
      <c r="W2906" s="3">
        <v>0</v>
      </c>
      <c r="X2906">
        <v>0</v>
      </c>
      <c r="Y2906" t="s">
        <v>2306</v>
      </c>
    </row>
    <row r="2907" spans="1:25" hidden="1" x14ac:dyDescent="0.25">
      <c r="A2907" t="s">
        <v>45</v>
      </c>
      <c r="B2907" t="s">
        <v>116</v>
      </c>
      <c r="C2907" t="s">
        <v>46</v>
      </c>
      <c r="D2907" t="s">
        <v>27</v>
      </c>
      <c r="E2907" s="2">
        <v>46001</v>
      </c>
      <c r="F2907" s="2">
        <v>46001</v>
      </c>
      <c r="G2907" s="3">
        <v>69</v>
      </c>
      <c r="H2907" t="s">
        <v>28</v>
      </c>
      <c r="I2907">
        <v>71</v>
      </c>
      <c r="J2907">
        <v>0</v>
      </c>
      <c r="K2907">
        <v>0</v>
      </c>
      <c r="L2907" s="3">
        <v>0</v>
      </c>
      <c r="M2907" s="3">
        <v>0</v>
      </c>
      <c r="N2907">
        <v>0</v>
      </c>
      <c r="O2907">
        <v>0</v>
      </c>
      <c r="P2907">
        <v>0</v>
      </c>
      <c r="Q2907">
        <v>0</v>
      </c>
      <c r="R2907" s="3">
        <v>0</v>
      </c>
      <c r="S2907" s="3">
        <v>0</v>
      </c>
      <c r="T2907">
        <v>0</v>
      </c>
      <c r="U2907">
        <v>0</v>
      </c>
      <c r="V2907" s="3">
        <v>0</v>
      </c>
      <c r="W2907" s="3">
        <v>0</v>
      </c>
      <c r="X2907">
        <v>0</v>
      </c>
      <c r="Y2907" t="s">
        <v>2253</v>
      </c>
    </row>
    <row r="2908" spans="1:25" hidden="1" x14ac:dyDescent="0.25">
      <c r="A2908" t="s">
        <v>47</v>
      </c>
      <c r="B2908" t="s">
        <v>137</v>
      </c>
      <c r="C2908" t="s">
        <v>2294</v>
      </c>
      <c r="D2908" t="s">
        <v>27</v>
      </c>
      <c r="E2908" s="2">
        <v>46001</v>
      </c>
      <c r="F2908" s="2">
        <v>46001</v>
      </c>
      <c r="G2908" s="3">
        <v>115</v>
      </c>
      <c r="H2908" t="s">
        <v>28</v>
      </c>
      <c r="I2908">
        <v>49</v>
      </c>
      <c r="J2908">
        <v>4</v>
      </c>
      <c r="K2908">
        <v>0</v>
      </c>
      <c r="L2908" s="3">
        <v>1</v>
      </c>
      <c r="M2908" s="3">
        <v>0</v>
      </c>
      <c r="N2908">
        <v>0</v>
      </c>
      <c r="O2908">
        <v>0</v>
      </c>
      <c r="P2908">
        <v>0</v>
      </c>
      <c r="Q2908">
        <v>11</v>
      </c>
      <c r="R2908" s="3">
        <v>0</v>
      </c>
      <c r="S2908" s="3">
        <v>0</v>
      </c>
      <c r="T2908">
        <v>0</v>
      </c>
      <c r="U2908">
        <v>0</v>
      </c>
      <c r="V2908" s="3">
        <v>0</v>
      </c>
      <c r="W2908" s="3">
        <v>0</v>
      </c>
      <c r="X2908">
        <v>0</v>
      </c>
      <c r="Y2908" t="s">
        <v>2292</v>
      </c>
    </row>
    <row r="2909" spans="1:25" hidden="1" x14ac:dyDescent="0.25">
      <c r="A2909" t="s">
        <v>49</v>
      </c>
      <c r="B2909" t="s">
        <v>118</v>
      </c>
      <c r="C2909" t="s">
        <v>50</v>
      </c>
      <c r="D2909" t="s">
        <v>27</v>
      </c>
      <c r="E2909" s="2">
        <v>46001</v>
      </c>
      <c r="F2909" s="2">
        <v>46001</v>
      </c>
      <c r="G2909" s="3">
        <v>42</v>
      </c>
      <c r="H2909" t="s">
        <v>28</v>
      </c>
      <c r="I2909">
        <v>37</v>
      </c>
      <c r="J2909">
        <v>0</v>
      </c>
      <c r="K2909">
        <v>0</v>
      </c>
      <c r="L2909" s="3">
        <v>1</v>
      </c>
      <c r="M2909" s="3">
        <v>1</v>
      </c>
      <c r="N2909">
        <v>0</v>
      </c>
      <c r="O2909">
        <v>0</v>
      </c>
      <c r="P2909">
        <v>0</v>
      </c>
      <c r="Q2909">
        <v>37</v>
      </c>
      <c r="R2909" s="3">
        <v>0</v>
      </c>
      <c r="S2909" s="3">
        <v>0</v>
      </c>
      <c r="T2909">
        <v>0</v>
      </c>
      <c r="U2909">
        <v>0</v>
      </c>
      <c r="V2909" s="3">
        <v>0</v>
      </c>
      <c r="W2909" s="3">
        <v>0</v>
      </c>
      <c r="X2909">
        <v>0</v>
      </c>
      <c r="Y2909" t="s">
        <v>2307</v>
      </c>
    </row>
    <row r="2910" spans="1:25" hidden="1" x14ac:dyDescent="0.25">
      <c r="A2910" t="s">
        <v>51</v>
      </c>
      <c r="B2910" t="s">
        <v>120</v>
      </c>
      <c r="C2910" t="s">
        <v>55</v>
      </c>
      <c r="D2910" t="s">
        <v>27</v>
      </c>
      <c r="E2910" s="2">
        <v>46001</v>
      </c>
      <c r="F2910" s="2">
        <v>46001</v>
      </c>
      <c r="G2910" s="3">
        <v>73</v>
      </c>
      <c r="H2910" t="s">
        <v>28</v>
      </c>
      <c r="I2910">
        <v>37</v>
      </c>
      <c r="J2910">
        <v>0</v>
      </c>
      <c r="K2910">
        <v>0</v>
      </c>
      <c r="L2910" s="3">
        <v>1</v>
      </c>
      <c r="M2910" s="3">
        <v>0</v>
      </c>
      <c r="N2910">
        <v>1</v>
      </c>
      <c r="O2910">
        <v>0</v>
      </c>
      <c r="P2910">
        <v>0</v>
      </c>
      <c r="Q2910">
        <v>0</v>
      </c>
      <c r="R2910" s="3">
        <v>0</v>
      </c>
      <c r="S2910" s="3">
        <v>0</v>
      </c>
      <c r="T2910">
        <v>0</v>
      </c>
      <c r="U2910">
        <v>0</v>
      </c>
      <c r="V2910" s="3">
        <v>0</v>
      </c>
      <c r="W2910" s="3">
        <v>0</v>
      </c>
      <c r="X2910">
        <v>0</v>
      </c>
      <c r="Y2910" t="s">
        <v>2308</v>
      </c>
    </row>
    <row r="2911" spans="1:25" hidden="1" x14ac:dyDescent="0.25">
      <c r="A2911" t="s">
        <v>54</v>
      </c>
      <c r="B2911" t="s">
        <v>122</v>
      </c>
      <c r="C2911" t="s">
        <v>52</v>
      </c>
      <c r="D2911" t="s">
        <v>27</v>
      </c>
      <c r="E2911" s="2">
        <v>46001</v>
      </c>
      <c r="F2911" s="2">
        <v>46001</v>
      </c>
      <c r="G2911" s="3">
        <v>41</v>
      </c>
      <c r="H2911" t="s">
        <v>28</v>
      </c>
      <c r="I2911">
        <v>34</v>
      </c>
      <c r="J2911">
        <v>0</v>
      </c>
      <c r="K2911">
        <v>0</v>
      </c>
      <c r="L2911" s="3">
        <v>0</v>
      </c>
      <c r="M2911" s="3">
        <v>0</v>
      </c>
      <c r="N2911">
        <v>0</v>
      </c>
      <c r="O2911">
        <v>0</v>
      </c>
      <c r="P2911">
        <v>0</v>
      </c>
      <c r="Q2911">
        <v>2</v>
      </c>
      <c r="R2911" s="3">
        <v>0</v>
      </c>
      <c r="S2911" s="3">
        <v>0</v>
      </c>
      <c r="T2911">
        <v>0</v>
      </c>
      <c r="U2911">
        <v>0</v>
      </c>
      <c r="V2911" s="3">
        <v>0</v>
      </c>
      <c r="W2911" s="3">
        <v>0</v>
      </c>
      <c r="X2911">
        <v>1</v>
      </c>
      <c r="Y2911" t="s">
        <v>2309</v>
      </c>
    </row>
    <row r="2912" spans="1:25" hidden="1" x14ac:dyDescent="0.25">
      <c r="A2912" t="s">
        <v>58</v>
      </c>
      <c r="B2912" t="s">
        <v>144</v>
      </c>
      <c r="C2912" t="s">
        <v>2310</v>
      </c>
      <c r="D2912" t="s">
        <v>27</v>
      </c>
      <c r="E2912" s="2">
        <v>46001</v>
      </c>
      <c r="F2912" s="2">
        <v>46001</v>
      </c>
      <c r="G2912" s="3">
        <v>39</v>
      </c>
      <c r="H2912" t="s">
        <v>28</v>
      </c>
      <c r="I2912">
        <v>90</v>
      </c>
      <c r="J2912">
        <v>0</v>
      </c>
      <c r="K2912">
        <v>0</v>
      </c>
      <c r="L2912" s="3">
        <v>1</v>
      </c>
      <c r="M2912" s="3">
        <v>0</v>
      </c>
      <c r="N2912">
        <v>0</v>
      </c>
      <c r="O2912">
        <v>0</v>
      </c>
      <c r="P2912">
        <v>0</v>
      </c>
      <c r="Q2912">
        <v>40</v>
      </c>
      <c r="R2912" s="3">
        <v>0</v>
      </c>
      <c r="S2912" s="3">
        <v>0</v>
      </c>
      <c r="T2912">
        <v>0</v>
      </c>
      <c r="U2912">
        <v>0</v>
      </c>
      <c r="V2912" s="3">
        <v>0</v>
      </c>
      <c r="W2912" s="3">
        <v>0</v>
      </c>
      <c r="X2912">
        <v>0</v>
      </c>
      <c r="Y2912" t="s">
        <v>2311</v>
      </c>
    </row>
    <row r="2913" spans="1:25" hidden="1" x14ac:dyDescent="0.25">
      <c r="A2913" t="s">
        <v>41</v>
      </c>
      <c r="B2913" t="s">
        <v>106</v>
      </c>
      <c r="C2913" t="s">
        <v>27</v>
      </c>
      <c r="D2913" t="s">
        <v>27</v>
      </c>
      <c r="E2913" s="2">
        <v>46001</v>
      </c>
      <c r="F2913" s="2">
        <v>46001</v>
      </c>
      <c r="G2913" s="3">
        <v>40</v>
      </c>
      <c r="H2913" t="s">
        <v>2312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2311</v>
      </c>
    </row>
    <row r="2914" spans="1:25" hidden="1" x14ac:dyDescent="0.25">
      <c r="A2914" t="s">
        <v>344</v>
      </c>
      <c r="B2914" t="s">
        <v>182</v>
      </c>
      <c r="C2914" t="s">
        <v>37</v>
      </c>
      <c r="D2914" t="s">
        <v>27</v>
      </c>
      <c r="E2914" s="2">
        <v>46002</v>
      </c>
      <c r="F2914" s="2">
        <v>46001</v>
      </c>
      <c r="G2914" s="3">
        <v>41</v>
      </c>
      <c r="H2914" t="s">
        <v>28</v>
      </c>
      <c r="I2914">
        <v>47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2</v>
      </c>
      <c r="Y2914" t="s">
        <v>2311</v>
      </c>
    </row>
    <row r="2915" spans="1:25" hidden="1" x14ac:dyDescent="0.25">
      <c r="A2915" t="s">
        <v>25</v>
      </c>
      <c r="B2915" t="s">
        <v>96</v>
      </c>
      <c r="C2915" t="s">
        <v>26</v>
      </c>
      <c r="D2915" t="s">
        <v>27</v>
      </c>
      <c r="E2915" s="2">
        <v>46002</v>
      </c>
      <c r="F2915" s="2">
        <v>46002</v>
      </c>
      <c r="G2915" s="3">
        <v>63</v>
      </c>
      <c r="H2915" s="4" t="s">
        <v>28</v>
      </c>
      <c r="I2915">
        <v>50</v>
      </c>
      <c r="J2915">
        <v>0</v>
      </c>
      <c r="K2915">
        <v>0</v>
      </c>
      <c r="L2915" s="3">
        <v>1</v>
      </c>
      <c r="M2915" s="3">
        <v>0</v>
      </c>
      <c r="N2915">
        <v>1</v>
      </c>
      <c r="O2915">
        <v>0</v>
      </c>
      <c r="P2915">
        <v>0</v>
      </c>
      <c r="Q2915">
        <v>0</v>
      </c>
      <c r="R2915" s="3">
        <v>0</v>
      </c>
      <c r="S2915" s="3">
        <v>0</v>
      </c>
      <c r="T2915">
        <v>0</v>
      </c>
      <c r="U2915">
        <v>0</v>
      </c>
      <c r="V2915" s="3">
        <v>0</v>
      </c>
      <c r="W2915" s="3">
        <v>0</v>
      </c>
      <c r="X2915">
        <v>0</v>
      </c>
      <c r="Y2915" t="s">
        <v>2313</v>
      </c>
    </row>
    <row r="2916" spans="1:25" hidden="1" x14ac:dyDescent="0.25">
      <c r="A2916" t="s">
        <v>56</v>
      </c>
      <c r="B2916" t="s">
        <v>98</v>
      </c>
      <c r="C2916" t="s">
        <v>37</v>
      </c>
      <c r="D2916" t="s">
        <v>27</v>
      </c>
      <c r="E2916" s="2">
        <v>46002</v>
      </c>
      <c r="F2916" s="2">
        <v>46002</v>
      </c>
      <c r="G2916" s="3">
        <v>30</v>
      </c>
      <c r="H2916" s="4" t="s">
        <v>28</v>
      </c>
      <c r="I2916">
        <v>40</v>
      </c>
      <c r="J2916">
        <v>0</v>
      </c>
      <c r="K2916">
        <v>0</v>
      </c>
      <c r="L2916" s="3">
        <v>1</v>
      </c>
      <c r="M2916" s="3">
        <v>0</v>
      </c>
      <c r="N2916">
        <v>0</v>
      </c>
      <c r="O2916">
        <v>0</v>
      </c>
      <c r="P2916">
        <v>0</v>
      </c>
      <c r="Q2916">
        <v>10</v>
      </c>
      <c r="R2916" s="3">
        <v>0</v>
      </c>
      <c r="S2916" s="3">
        <v>0</v>
      </c>
      <c r="T2916">
        <v>0</v>
      </c>
      <c r="U2916">
        <v>0</v>
      </c>
      <c r="V2916" s="3">
        <v>0</v>
      </c>
      <c r="W2916" s="3">
        <v>0</v>
      </c>
      <c r="X2916">
        <v>0</v>
      </c>
      <c r="Y2916" t="s">
        <v>2314</v>
      </c>
    </row>
    <row r="2917" spans="1:25" hidden="1" x14ac:dyDescent="0.25">
      <c r="A2917" t="s">
        <v>29</v>
      </c>
      <c r="B2917" t="s">
        <v>100</v>
      </c>
      <c r="C2917" t="s">
        <v>95</v>
      </c>
      <c r="D2917" t="s">
        <v>27</v>
      </c>
      <c r="E2917" s="2">
        <v>46002</v>
      </c>
      <c r="F2917" s="2">
        <v>46002</v>
      </c>
      <c r="G2917" s="3">
        <v>50</v>
      </c>
      <c r="H2917" s="4" t="s">
        <v>28</v>
      </c>
      <c r="I2917">
        <v>30</v>
      </c>
      <c r="J2917">
        <v>0</v>
      </c>
      <c r="K2917">
        <v>0</v>
      </c>
      <c r="L2917" s="3">
        <v>1</v>
      </c>
      <c r="M2917" s="3">
        <v>0</v>
      </c>
      <c r="N2917">
        <v>0</v>
      </c>
      <c r="O2917">
        <v>0</v>
      </c>
      <c r="P2917">
        <v>5</v>
      </c>
      <c r="Q2917">
        <v>10</v>
      </c>
      <c r="R2917" s="3">
        <v>0</v>
      </c>
      <c r="S2917" s="3">
        <v>0</v>
      </c>
      <c r="T2917">
        <v>0</v>
      </c>
      <c r="U2917">
        <v>0</v>
      </c>
      <c r="V2917" s="3">
        <v>0</v>
      </c>
      <c r="W2917" s="3">
        <v>0</v>
      </c>
      <c r="X2917">
        <v>0</v>
      </c>
      <c r="Y2917" t="s">
        <v>2284</v>
      </c>
    </row>
    <row r="2918" spans="1:25" hidden="1" x14ac:dyDescent="0.25">
      <c r="A2918" t="s">
        <v>344</v>
      </c>
      <c r="B2918" t="s">
        <v>102</v>
      </c>
      <c r="C2918" t="s">
        <v>35</v>
      </c>
      <c r="D2918" t="s">
        <v>27</v>
      </c>
      <c r="E2918" s="2">
        <v>46003</v>
      </c>
      <c r="F2918" s="2">
        <v>46003</v>
      </c>
      <c r="G2918" s="3">
        <v>45</v>
      </c>
      <c r="H2918" s="4" t="s">
        <v>28</v>
      </c>
      <c r="I2918">
        <v>49</v>
      </c>
      <c r="J2918">
        <v>0</v>
      </c>
      <c r="K2918">
        <v>0</v>
      </c>
      <c r="L2918" s="3">
        <v>0</v>
      </c>
      <c r="M2918" s="3">
        <v>0</v>
      </c>
      <c r="N2918">
        <v>0</v>
      </c>
      <c r="O2918">
        <v>0</v>
      </c>
      <c r="P2918">
        <v>0</v>
      </c>
      <c r="Q2918">
        <v>2</v>
      </c>
      <c r="R2918" s="3">
        <v>0</v>
      </c>
      <c r="S2918" s="3">
        <v>0</v>
      </c>
      <c r="T2918">
        <v>0</v>
      </c>
      <c r="U2918">
        <v>0</v>
      </c>
      <c r="V2918" s="3">
        <v>0</v>
      </c>
      <c r="W2918" s="3">
        <v>0</v>
      </c>
      <c r="X2918">
        <v>0</v>
      </c>
      <c r="Y2918" t="s">
        <v>2215</v>
      </c>
    </row>
    <row r="2919" spans="1:25" hidden="1" x14ac:dyDescent="0.25">
      <c r="A2919" t="s">
        <v>31</v>
      </c>
      <c r="B2919" t="s">
        <v>104</v>
      </c>
      <c r="C2919" t="s">
        <v>32</v>
      </c>
      <c r="D2919" t="s">
        <v>27</v>
      </c>
      <c r="E2919" s="2">
        <v>46002</v>
      </c>
      <c r="F2919" s="2">
        <v>46002</v>
      </c>
      <c r="G2919" s="3">
        <v>48</v>
      </c>
      <c r="H2919" s="4" t="s">
        <v>28</v>
      </c>
      <c r="I2919">
        <v>67</v>
      </c>
      <c r="J2919">
        <v>0</v>
      </c>
      <c r="K2919">
        <v>0</v>
      </c>
      <c r="L2919" s="3">
        <v>1</v>
      </c>
      <c r="M2919" s="3">
        <v>0</v>
      </c>
      <c r="N2919">
        <v>0</v>
      </c>
      <c r="O2919">
        <v>0</v>
      </c>
      <c r="P2919">
        <v>0</v>
      </c>
      <c r="Q2919">
        <v>38</v>
      </c>
      <c r="R2919" s="3">
        <v>0</v>
      </c>
      <c r="S2919" s="3">
        <v>0</v>
      </c>
      <c r="T2919">
        <v>0</v>
      </c>
      <c r="U2919">
        <v>0</v>
      </c>
      <c r="V2919" s="3">
        <v>0</v>
      </c>
      <c r="W2919" s="3">
        <v>0</v>
      </c>
      <c r="X2919">
        <v>1</v>
      </c>
      <c r="Y2919" t="s">
        <v>2315</v>
      </c>
    </row>
    <row r="2920" spans="1:25" hidden="1" x14ac:dyDescent="0.25">
      <c r="A2920" t="s">
        <v>33</v>
      </c>
      <c r="B2920" t="s">
        <v>106</v>
      </c>
      <c r="C2920" t="s">
        <v>57</v>
      </c>
      <c r="D2920" t="s">
        <v>27</v>
      </c>
      <c r="E2920" s="2">
        <v>46002</v>
      </c>
      <c r="F2920" s="2">
        <v>46002</v>
      </c>
      <c r="G2920" s="3">
        <v>34</v>
      </c>
      <c r="H2920" s="4" t="s">
        <v>28</v>
      </c>
      <c r="I2920">
        <v>50</v>
      </c>
      <c r="J2920">
        <v>0</v>
      </c>
      <c r="K2920">
        <v>0</v>
      </c>
      <c r="L2920" s="3">
        <v>0</v>
      </c>
      <c r="M2920" s="3">
        <v>0</v>
      </c>
      <c r="N2920">
        <v>0</v>
      </c>
      <c r="O2920">
        <v>0</v>
      </c>
      <c r="P2920">
        <v>0</v>
      </c>
      <c r="Q2920">
        <v>0</v>
      </c>
      <c r="R2920" s="3">
        <v>0</v>
      </c>
      <c r="S2920" s="3">
        <v>0</v>
      </c>
      <c r="T2920">
        <v>0</v>
      </c>
      <c r="U2920">
        <v>0</v>
      </c>
      <c r="V2920" s="3">
        <v>0</v>
      </c>
      <c r="W2920" s="3">
        <v>0</v>
      </c>
      <c r="X2920">
        <v>0</v>
      </c>
      <c r="Y2920" t="s">
        <v>2316</v>
      </c>
    </row>
    <row r="2921" spans="1:25" hidden="1" x14ac:dyDescent="0.25">
      <c r="A2921" t="s">
        <v>38</v>
      </c>
      <c r="B2921" t="s">
        <v>108</v>
      </c>
      <c r="C2921" t="s">
        <v>27</v>
      </c>
      <c r="D2921" t="s">
        <v>27</v>
      </c>
      <c r="E2921" s="2">
        <v>46002</v>
      </c>
      <c r="F2921" s="2">
        <v>46002</v>
      </c>
      <c r="G2921" s="3">
        <v>35</v>
      </c>
      <c r="H2921" s="4" t="s">
        <v>28</v>
      </c>
      <c r="I2921">
        <v>35</v>
      </c>
      <c r="J2921">
        <v>0</v>
      </c>
      <c r="K2921">
        <v>0</v>
      </c>
      <c r="L2921" s="3">
        <v>0</v>
      </c>
      <c r="M2921" s="3">
        <v>0</v>
      </c>
      <c r="N2921">
        <v>0</v>
      </c>
      <c r="O2921">
        <v>0</v>
      </c>
      <c r="P2921">
        <v>0</v>
      </c>
      <c r="Q2921">
        <v>35</v>
      </c>
      <c r="R2921" s="3">
        <v>0</v>
      </c>
      <c r="S2921" s="3">
        <v>0</v>
      </c>
      <c r="T2921">
        <v>0</v>
      </c>
      <c r="U2921">
        <v>0</v>
      </c>
      <c r="V2921" s="3">
        <v>0</v>
      </c>
      <c r="W2921" s="3">
        <v>0</v>
      </c>
      <c r="X2921">
        <v>0</v>
      </c>
      <c r="Y2921" t="s">
        <v>2317</v>
      </c>
    </row>
    <row r="2922" spans="1:25" hidden="1" x14ac:dyDescent="0.25">
      <c r="A2922" t="s">
        <v>40</v>
      </c>
      <c r="B2922" t="s">
        <v>110</v>
      </c>
      <c r="C2922" t="s">
        <v>27</v>
      </c>
      <c r="D2922" t="s">
        <v>27</v>
      </c>
      <c r="E2922" s="2">
        <v>46002</v>
      </c>
      <c r="F2922" s="2">
        <v>46002</v>
      </c>
      <c r="G2922" s="3">
        <v>80</v>
      </c>
      <c r="H2922" s="4" t="s">
        <v>28</v>
      </c>
      <c r="I2922">
        <v>50</v>
      </c>
      <c r="J2922">
        <v>0</v>
      </c>
      <c r="K2922">
        <v>0</v>
      </c>
      <c r="L2922" s="3">
        <v>1</v>
      </c>
      <c r="M2922" s="3">
        <v>0</v>
      </c>
      <c r="N2922">
        <v>1</v>
      </c>
      <c r="O2922">
        <v>0</v>
      </c>
      <c r="P2922">
        <v>0</v>
      </c>
      <c r="Q2922">
        <v>0</v>
      </c>
      <c r="R2922" s="3">
        <v>0</v>
      </c>
      <c r="S2922" s="3">
        <v>0</v>
      </c>
      <c r="T2922">
        <v>0</v>
      </c>
      <c r="U2922">
        <v>0</v>
      </c>
      <c r="V2922" s="3">
        <v>0</v>
      </c>
      <c r="W2922" s="3">
        <v>0</v>
      </c>
      <c r="X2922">
        <v>0</v>
      </c>
      <c r="Y2922" t="s">
        <v>2318</v>
      </c>
    </row>
    <row r="2923" spans="1:25" hidden="1" x14ac:dyDescent="0.25">
      <c r="A2923" t="s">
        <v>36</v>
      </c>
      <c r="B2923" t="s">
        <v>110</v>
      </c>
      <c r="C2923" t="s">
        <v>27</v>
      </c>
      <c r="D2923" t="s">
        <v>27</v>
      </c>
      <c r="E2923" s="2">
        <v>46002</v>
      </c>
      <c r="F2923" s="2">
        <v>46002</v>
      </c>
      <c r="G2923" s="3">
        <v>80</v>
      </c>
      <c r="H2923" s="4" t="s">
        <v>28</v>
      </c>
      <c r="I2923">
        <v>50</v>
      </c>
      <c r="J2923">
        <v>0</v>
      </c>
      <c r="K2923">
        <v>0</v>
      </c>
      <c r="L2923" s="3">
        <v>1</v>
      </c>
      <c r="M2923" s="3">
        <v>0</v>
      </c>
      <c r="N2923">
        <v>1</v>
      </c>
      <c r="O2923">
        <v>0</v>
      </c>
      <c r="P2923">
        <v>0</v>
      </c>
      <c r="Q2923">
        <v>0</v>
      </c>
      <c r="R2923" s="3">
        <v>0</v>
      </c>
      <c r="S2923" s="3">
        <v>0</v>
      </c>
      <c r="T2923">
        <v>0</v>
      </c>
      <c r="U2923">
        <v>0</v>
      </c>
      <c r="V2923" s="3">
        <v>0</v>
      </c>
      <c r="W2923" s="3">
        <v>0</v>
      </c>
      <c r="X2923">
        <v>3</v>
      </c>
      <c r="Y2923" t="s">
        <v>2318</v>
      </c>
    </row>
    <row r="2924" spans="1:25" hidden="1" x14ac:dyDescent="0.25">
      <c r="A2924" t="s">
        <v>1454</v>
      </c>
      <c r="B2924" t="s">
        <v>1455</v>
      </c>
      <c r="C2924" t="s">
        <v>27</v>
      </c>
      <c r="D2924" t="s">
        <v>27</v>
      </c>
      <c r="E2924" s="2">
        <v>46002</v>
      </c>
      <c r="F2924" s="2">
        <v>46002</v>
      </c>
      <c r="G2924" s="3">
        <v>41</v>
      </c>
      <c r="H2924" s="4" t="s">
        <v>28</v>
      </c>
      <c r="I2924">
        <v>37</v>
      </c>
      <c r="J2924">
        <v>0</v>
      </c>
      <c r="K2924">
        <v>0</v>
      </c>
      <c r="L2924" s="3">
        <v>1</v>
      </c>
      <c r="M2924" s="3">
        <v>0</v>
      </c>
      <c r="N2924">
        <v>0</v>
      </c>
      <c r="O2924">
        <v>0</v>
      </c>
      <c r="P2924">
        <v>0</v>
      </c>
      <c r="Q2924">
        <v>37</v>
      </c>
      <c r="R2924" s="3">
        <v>0</v>
      </c>
      <c r="S2924" s="3">
        <v>0</v>
      </c>
      <c r="T2924">
        <v>0</v>
      </c>
      <c r="U2924">
        <v>0</v>
      </c>
      <c r="V2924" s="3">
        <v>0</v>
      </c>
      <c r="W2924" s="3">
        <v>0</v>
      </c>
      <c r="X2924">
        <v>0</v>
      </c>
      <c r="Y2924" t="s">
        <v>2319</v>
      </c>
    </row>
    <row r="2925" spans="1:25" hidden="1" x14ac:dyDescent="0.25">
      <c r="A2925" t="s">
        <v>41</v>
      </c>
      <c r="B2925" t="s">
        <v>112</v>
      </c>
      <c r="C2925" t="s">
        <v>42</v>
      </c>
      <c r="D2925" t="s">
        <v>27</v>
      </c>
      <c r="E2925" s="2">
        <v>46002</v>
      </c>
      <c r="F2925" s="2">
        <v>46002</v>
      </c>
      <c r="G2925" s="3">
        <v>72</v>
      </c>
      <c r="H2925" s="4" t="s">
        <v>28</v>
      </c>
      <c r="I2925">
        <v>40</v>
      </c>
      <c r="J2925">
        <v>0</v>
      </c>
      <c r="K2925">
        <v>0</v>
      </c>
      <c r="L2925" s="3">
        <v>1</v>
      </c>
      <c r="M2925" s="3">
        <v>0</v>
      </c>
      <c r="N2925">
        <v>0</v>
      </c>
      <c r="O2925">
        <v>0</v>
      </c>
      <c r="P2925">
        <v>0</v>
      </c>
      <c r="Q2925">
        <v>4</v>
      </c>
      <c r="R2925" s="3">
        <v>0</v>
      </c>
      <c r="S2925" s="3">
        <v>0</v>
      </c>
      <c r="T2925">
        <v>0</v>
      </c>
      <c r="U2925">
        <v>0</v>
      </c>
      <c r="V2925" s="3">
        <v>0</v>
      </c>
      <c r="W2925" s="3">
        <v>0</v>
      </c>
      <c r="X2925">
        <v>0</v>
      </c>
      <c r="Y2925" t="s">
        <v>2320</v>
      </c>
    </row>
    <row r="2926" spans="1:25" hidden="1" x14ac:dyDescent="0.25">
      <c r="A2926" t="s">
        <v>43</v>
      </c>
      <c r="B2926" t="s">
        <v>114</v>
      </c>
      <c r="C2926" t="s">
        <v>44</v>
      </c>
      <c r="D2926" t="s">
        <v>27</v>
      </c>
      <c r="E2926" s="2">
        <v>46002</v>
      </c>
      <c r="F2926" s="2">
        <v>46002</v>
      </c>
      <c r="G2926" s="3">
        <v>24</v>
      </c>
      <c r="H2926" s="4" t="s">
        <v>28</v>
      </c>
      <c r="I2926">
        <v>58</v>
      </c>
      <c r="J2926">
        <v>0</v>
      </c>
      <c r="K2926">
        <v>0</v>
      </c>
      <c r="L2926" s="3">
        <v>1</v>
      </c>
      <c r="M2926" s="3">
        <v>0</v>
      </c>
      <c r="N2926">
        <v>0</v>
      </c>
      <c r="O2926">
        <v>0</v>
      </c>
      <c r="P2926">
        <v>0</v>
      </c>
      <c r="Q2926">
        <v>0</v>
      </c>
      <c r="R2926" s="3">
        <v>0</v>
      </c>
      <c r="S2926" s="3">
        <v>0</v>
      </c>
      <c r="T2926">
        <v>0</v>
      </c>
      <c r="U2926">
        <v>0</v>
      </c>
      <c r="V2926" s="3">
        <v>0</v>
      </c>
      <c r="W2926" s="3">
        <v>0</v>
      </c>
      <c r="X2926">
        <v>0</v>
      </c>
      <c r="Y2926" t="s">
        <v>2321</v>
      </c>
    </row>
    <row r="2927" spans="1:25" hidden="1" x14ac:dyDescent="0.25">
      <c r="A2927" t="s">
        <v>45</v>
      </c>
      <c r="B2927" t="s">
        <v>116</v>
      </c>
      <c r="C2927" t="s">
        <v>46</v>
      </c>
      <c r="D2927" t="s">
        <v>27</v>
      </c>
      <c r="E2927" s="2">
        <v>46002</v>
      </c>
      <c r="F2927" s="2">
        <v>46002</v>
      </c>
      <c r="G2927" s="3">
        <v>39</v>
      </c>
      <c r="H2927" s="4" t="s">
        <v>28</v>
      </c>
      <c r="I2927">
        <v>35</v>
      </c>
      <c r="J2927">
        <v>0</v>
      </c>
      <c r="K2927">
        <v>0</v>
      </c>
      <c r="L2927" s="3">
        <v>0</v>
      </c>
      <c r="M2927" s="3">
        <v>0</v>
      </c>
      <c r="N2927">
        <v>0</v>
      </c>
      <c r="O2927">
        <v>0</v>
      </c>
      <c r="P2927">
        <v>0</v>
      </c>
      <c r="Q2927">
        <v>0</v>
      </c>
      <c r="R2927" s="3">
        <v>0</v>
      </c>
      <c r="S2927" s="3">
        <v>0</v>
      </c>
      <c r="T2927">
        <v>0</v>
      </c>
      <c r="U2927">
        <v>0</v>
      </c>
      <c r="V2927" s="3">
        <v>0</v>
      </c>
      <c r="W2927" s="3">
        <v>0</v>
      </c>
      <c r="X2927">
        <v>0</v>
      </c>
      <c r="Y2927" t="s">
        <v>2322</v>
      </c>
    </row>
    <row r="2928" spans="1:25" hidden="1" x14ac:dyDescent="0.25">
      <c r="A2928" t="s">
        <v>47</v>
      </c>
      <c r="B2928" t="s">
        <v>137</v>
      </c>
      <c r="C2928" t="s">
        <v>2310</v>
      </c>
      <c r="D2928" t="s">
        <v>27</v>
      </c>
      <c r="E2928" s="2">
        <v>46002</v>
      </c>
      <c r="F2928" s="2">
        <v>46002</v>
      </c>
      <c r="G2928" s="3">
        <v>93</v>
      </c>
      <c r="H2928" s="4" t="s">
        <v>28</v>
      </c>
      <c r="I2928">
        <v>64</v>
      </c>
      <c r="J2928">
        <v>0</v>
      </c>
      <c r="K2928">
        <v>0</v>
      </c>
      <c r="L2928" s="3">
        <v>1</v>
      </c>
      <c r="M2928" s="3">
        <v>0</v>
      </c>
      <c r="N2928">
        <v>0</v>
      </c>
      <c r="O2928">
        <v>0</v>
      </c>
      <c r="P2928">
        <v>0</v>
      </c>
      <c r="Q2928">
        <v>22</v>
      </c>
      <c r="R2928" s="3">
        <v>0</v>
      </c>
      <c r="S2928" s="3">
        <v>0</v>
      </c>
      <c r="T2928">
        <v>0</v>
      </c>
      <c r="U2928">
        <v>0</v>
      </c>
      <c r="V2928" s="3">
        <v>0</v>
      </c>
      <c r="W2928" s="3">
        <v>0</v>
      </c>
      <c r="X2928">
        <v>0</v>
      </c>
      <c r="Y2928" t="s">
        <v>2323</v>
      </c>
    </row>
    <row r="2929" spans="1:25" hidden="1" x14ac:dyDescent="0.25">
      <c r="A2929" t="s">
        <v>49</v>
      </c>
      <c r="B2929" t="s">
        <v>118</v>
      </c>
      <c r="C2929" t="s">
        <v>50</v>
      </c>
      <c r="D2929" t="s">
        <v>27</v>
      </c>
      <c r="E2929" s="2">
        <v>46002</v>
      </c>
      <c r="F2929" s="2">
        <v>46002</v>
      </c>
      <c r="G2929" s="3">
        <v>34</v>
      </c>
      <c r="H2929" s="4" t="s">
        <v>28</v>
      </c>
      <c r="I2929">
        <v>60</v>
      </c>
      <c r="J2929">
        <v>0</v>
      </c>
      <c r="K2929">
        <v>0</v>
      </c>
      <c r="L2929" s="3">
        <v>1</v>
      </c>
      <c r="M2929" s="3">
        <v>1</v>
      </c>
      <c r="N2929">
        <v>0</v>
      </c>
      <c r="O2929">
        <v>1</v>
      </c>
      <c r="P2929">
        <v>0</v>
      </c>
      <c r="Q2929">
        <v>60</v>
      </c>
      <c r="R2929" s="3">
        <v>0</v>
      </c>
      <c r="S2929" s="3">
        <v>0</v>
      </c>
      <c r="T2929">
        <v>0</v>
      </c>
      <c r="U2929">
        <v>0</v>
      </c>
      <c r="V2929" s="3">
        <v>0</v>
      </c>
      <c r="W2929" s="3">
        <v>0</v>
      </c>
      <c r="X2929">
        <v>0</v>
      </c>
      <c r="Y2929" t="s">
        <v>2324</v>
      </c>
    </row>
    <row r="2930" spans="1:25" hidden="1" x14ac:dyDescent="0.25">
      <c r="A2930" t="s">
        <v>51</v>
      </c>
      <c r="B2930" t="s">
        <v>120</v>
      </c>
      <c r="C2930" t="s">
        <v>55</v>
      </c>
      <c r="D2930" t="s">
        <v>27</v>
      </c>
      <c r="E2930" s="2">
        <v>46002</v>
      </c>
      <c r="F2930" s="2">
        <v>46002</v>
      </c>
      <c r="G2930" s="3">
        <v>58</v>
      </c>
      <c r="H2930" s="4" t="s">
        <v>28</v>
      </c>
      <c r="I2930">
        <v>43</v>
      </c>
      <c r="J2930">
        <v>0</v>
      </c>
      <c r="K2930">
        <v>0</v>
      </c>
      <c r="L2930" s="3">
        <v>1</v>
      </c>
      <c r="M2930" s="3">
        <v>0</v>
      </c>
      <c r="N2930">
        <v>1</v>
      </c>
      <c r="O2930">
        <v>0</v>
      </c>
      <c r="P2930">
        <v>0</v>
      </c>
      <c r="Q2930">
        <v>0</v>
      </c>
      <c r="R2930" s="3">
        <v>0</v>
      </c>
      <c r="S2930" s="3">
        <v>0</v>
      </c>
      <c r="T2930">
        <v>0</v>
      </c>
      <c r="U2930">
        <v>0</v>
      </c>
      <c r="V2930" s="3">
        <v>0</v>
      </c>
      <c r="W2930" s="3">
        <v>0</v>
      </c>
      <c r="X2930">
        <v>0</v>
      </c>
      <c r="Y2930" t="s">
        <v>2325</v>
      </c>
    </row>
    <row r="2931" spans="1:25" hidden="1" x14ac:dyDescent="0.25">
      <c r="A2931" t="s">
        <v>54</v>
      </c>
      <c r="B2931" t="s">
        <v>122</v>
      </c>
      <c r="C2931" t="s">
        <v>52</v>
      </c>
      <c r="D2931" t="s">
        <v>27</v>
      </c>
      <c r="E2931" s="2">
        <v>46002</v>
      </c>
      <c r="F2931" s="2">
        <v>46002</v>
      </c>
      <c r="G2931" s="3">
        <v>35</v>
      </c>
      <c r="H2931" s="4" t="s">
        <v>28</v>
      </c>
      <c r="I2931">
        <v>63</v>
      </c>
      <c r="J2931">
        <v>0</v>
      </c>
      <c r="K2931">
        <v>0</v>
      </c>
      <c r="L2931" s="3">
        <v>0</v>
      </c>
      <c r="M2931" s="3">
        <v>0</v>
      </c>
      <c r="N2931">
        <v>0</v>
      </c>
      <c r="O2931">
        <v>0</v>
      </c>
      <c r="P2931">
        <v>0</v>
      </c>
      <c r="Q2931">
        <v>2</v>
      </c>
      <c r="R2931" s="3">
        <v>0</v>
      </c>
      <c r="S2931" s="3">
        <v>0</v>
      </c>
      <c r="T2931">
        <v>0</v>
      </c>
      <c r="U2931">
        <v>0</v>
      </c>
      <c r="V2931" s="3">
        <v>0</v>
      </c>
      <c r="W2931" s="3">
        <v>0</v>
      </c>
      <c r="X2931">
        <v>0</v>
      </c>
      <c r="Y2931" t="s">
        <v>2326</v>
      </c>
    </row>
    <row r="2932" spans="1:25" hidden="1" x14ac:dyDescent="0.25">
      <c r="A2932" t="s">
        <v>58</v>
      </c>
      <c r="B2932" t="s">
        <v>123</v>
      </c>
      <c r="C2932" t="s">
        <v>27</v>
      </c>
      <c r="D2932" t="s">
        <v>27</v>
      </c>
      <c r="E2932" s="2">
        <v>46002</v>
      </c>
      <c r="F2932" s="2">
        <v>46002</v>
      </c>
      <c r="G2932" s="3">
        <v>36</v>
      </c>
      <c r="H2932" s="4" t="s">
        <v>28</v>
      </c>
      <c r="I2932">
        <v>45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2326</v>
      </c>
    </row>
    <row r="2933" spans="1:25" hidden="1" x14ac:dyDescent="0.25">
      <c r="A2933" t="s">
        <v>2294</v>
      </c>
      <c r="B2933" t="s">
        <v>98</v>
      </c>
      <c r="C2933" t="s">
        <v>27</v>
      </c>
      <c r="D2933" t="s">
        <v>27</v>
      </c>
      <c r="E2933" s="2">
        <v>46002</v>
      </c>
      <c r="F2933" s="2">
        <v>46002</v>
      </c>
      <c r="G2933" s="3">
        <v>37</v>
      </c>
      <c r="H2933" s="4" t="s">
        <v>28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2326</v>
      </c>
    </row>
    <row r="2934" spans="1:25" hidden="1" x14ac:dyDescent="0.25">
      <c r="A2934" t="s">
        <v>48</v>
      </c>
      <c r="B2934" t="s">
        <v>125</v>
      </c>
      <c r="C2934" t="s">
        <v>27</v>
      </c>
      <c r="D2934" t="s">
        <v>27</v>
      </c>
      <c r="E2934" s="2">
        <v>46002</v>
      </c>
      <c r="F2934" s="2">
        <v>46002</v>
      </c>
      <c r="G2934" s="3">
        <v>38</v>
      </c>
      <c r="H2934" s="4" t="s">
        <v>28</v>
      </c>
      <c r="I2934">
        <v>45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2326</v>
      </c>
    </row>
    <row r="2935" spans="1:25" hidden="1" x14ac:dyDescent="0.25">
      <c r="A2935" t="s">
        <v>25</v>
      </c>
      <c r="B2935" t="s">
        <v>96</v>
      </c>
      <c r="C2935" t="s">
        <v>26</v>
      </c>
      <c r="D2935" t="s">
        <v>27</v>
      </c>
      <c r="E2935" s="2">
        <v>46003</v>
      </c>
      <c r="F2935" s="2">
        <v>46003</v>
      </c>
      <c r="G2935" s="3">
        <v>44</v>
      </c>
      <c r="H2935" t="s">
        <v>28</v>
      </c>
      <c r="I2935">
        <v>56</v>
      </c>
      <c r="J2935">
        <v>0</v>
      </c>
      <c r="K2935">
        <v>0</v>
      </c>
      <c r="L2935" s="3">
        <v>1</v>
      </c>
      <c r="M2935" s="3">
        <v>0</v>
      </c>
      <c r="N2935">
        <v>1</v>
      </c>
      <c r="O2935">
        <v>0</v>
      </c>
      <c r="P2935">
        <v>0</v>
      </c>
      <c r="Q2935">
        <v>0</v>
      </c>
      <c r="R2935" s="3">
        <v>0</v>
      </c>
      <c r="S2935" s="3">
        <v>0</v>
      </c>
      <c r="T2935">
        <v>0</v>
      </c>
      <c r="U2935">
        <v>0</v>
      </c>
      <c r="V2935" s="3">
        <v>0</v>
      </c>
      <c r="W2935" s="3">
        <v>0</v>
      </c>
      <c r="X2935">
        <v>0</v>
      </c>
      <c r="Y2935" t="s">
        <v>2327</v>
      </c>
    </row>
    <row r="2936" spans="1:25" hidden="1" x14ac:dyDescent="0.25">
      <c r="A2936" t="s">
        <v>56</v>
      </c>
      <c r="B2936" t="s">
        <v>98</v>
      </c>
      <c r="C2936" t="s">
        <v>37</v>
      </c>
      <c r="D2936" t="s">
        <v>27</v>
      </c>
      <c r="E2936" s="2">
        <v>46003</v>
      </c>
      <c r="F2936" s="2">
        <v>46003</v>
      </c>
      <c r="G2936" s="3">
        <v>27</v>
      </c>
      <c r="H2936" t="s">
        <v>28</v>
      </c>
      <c r="I2936">
        <v>85</v>
      </c>
      <c r="J2936">
        <v>0</v>
      </c>
      <c r="K2936">
        <v>0</v>
      </c>
      <c r="L2936" s="3">
        <v>1</v>
      </c>
      <c r="M2936" s="3">
        <v>0</v>
      </c>
      <c r="N2936">
        <v>0</v>
      </c>
      <c r="O2936">
        <v>0</v>
      </c>
      <c r="P2936">
        <v>0</v>
      </c>
      <c r="Q2936">
        <v>10</v>
      </c>
      <c r="R2936" s="3">
        <v>0</v>
      </c>
      <c r="S2936" s="3">
        <v>0</v>
      </c>
      <c r="T2936">
        <v>0</v>
      </c>
      <c r="U2936">
        <v>0</v>
      </c>
      <c r="V2936" s="3">
        <v>0</v>
      </c>
      <c r="W2936" s="3">
        <v>0</v>
      </c>
      <c r="X2936">
        <v>0</v>
      </c>
      <c r="Y2936" t="s">
        <v>2328</v>
      </c>
    </row>
    <row r="2937" spans="1:25" hidden="1" x14ac:dyDescent="0.25">
      <c r="A2937" t="s">
        <v>29</v>
      </c>
      <c r="B2937" t="s">
        <v>100</v>
      </c>
      <c r="C2937" t="s">
        <v>95</v>
      </c>
      <c r="D2937" t="s">
        <v>27</v>
      </c>
      <c r="E2937" s="2">
        <v>46003</v>
      </c>
      <c r="F2937" s="2">
        <v>46003</v>
      </c>
      <c r="G2937" s="3">
        <v>80</v>
      </c>
      <c r="H2937" t="s">
        <v>28</v>
      </c>
      <c r="I2937">
        <v>65</v>
      </c>
      <c r="J2937">
        <v>50</v>
      </c>
      <c r="K2937">
        <v>0</v>
      </c>
      <c r="L2937" s="3">
        <v>1</v>
      </c>
      <c r="M2937" s="3">
        <v>0</v>
      </c>
      <c r="N2937">
        <v>0</v>
      </c>
      <c r="O2937">
        <v>0</v>
      </c>
      <c r="P2937">
        <v>0</v>
      </c>
      <c r="Q2937">
        <v>17</v>
      </c>
      <c r="R2937" s="3">
        <v>0</v>
      </c>
      <c r="S2937" s="3">
        <v>0</v>
      </c>
      <c r="T2937">
        <v>0</v>
      </c>
      <c r="U2937">
        <v>0</v>
      </c>
      <c r="V2937" s="3">
        <v>0</v>
      </c>
      <c r="W2937" s="3">
        <v>0</v>
      </c>
      <c r="X2937">
        <v>0</v>
      </c>
      <c r="Y2937" t="s">
        <v>2329</v>
      </c>
    </row>
    <row r="2938" spans="1:25" hidden="1" x14ac:dyDescent="0.25">
      <c r="A2938" t="s">
        <v>344</v>
      </c>
      <c r="B2938" t="s">
        <v>102</v>
      </c>
      <c r="C2938" t="s">
        <v>35</v>
      </c>
      <c r="D2938" t="s">
        <v>27</v>
      </c>
      <c r="E2938" s="2">
        <v>46003</v>
      </c>
      <c r="F2938" s="2">
        <v>46003</v>
      </c>
      <c r="G2938" s="3">
        <v>45</v>
      </c>
      <c r="H2938" s="4" t="s">
        <v>28</v>
      </c>
      <c r="I2938">
        <v>49</v>
      </c>
      <c r="J2938">
        <v>0</v>
      </c>
      <c r="K2938">
        <v>0</v>
      </c>
      <c r="L2938" s="3">
        <v>0</v>
      </c>
      <c r="M2938" s="3">
        <v>0</v>
      </c>
      <c r="N2938">
        <v>0</v>
      </c>
      <c r="O2938">
        <v>0</v>
      </c>
      <c r="P2938">
        <v>0</v>
      </c>
      <c r="Q2938">
        <v>2</v>
      </c>
      <c r="R2938" s="3">
        <v>0</v>
      </c>
      <c r="S2938" s="3">
        <v>0</v>
      </c>
      <c r="T2938">
        <v>0</v>
      </c>
      <c r="U2938">
        <v>0</v>
      </c>
      <c r="V2938" s="3">
        <v>0</v>
      </c>
      <c r="W2938" s="3">
        <v>0</v>
      </c>
      <c r="X2938">
        <v>0</v>
      </c>
      <c r="Y2938" t="s">
        <v>2215</v>
      </c>
    </row>
    <row r="2939" spans="1:25" hidden="1" x14ac:dyDescent="0.25">
      <c r="A2939" t="s">
        <v>31</v>
      </c>
      <c r="B2939" t="s">
        <v>104</v>
      </c>
      <c r="C2939" t="s">
        <v>32</v>
      </c>
      <c r="D2939" t="s">
        <v>27</v>
      </c>
      <c r="E2939" s="2">
        <v>46003</v>
      </c>
      <c r="F2939" s="2">
        <v>46003</v>
      </c>
      <c r="G2939" s="3">
        <v>42</v>
      </c>
      <c r="H2939" t="s">
        <v>28</v>
      </c>
      <c r="I2939">
        <v>78</v>
      </c>
      <c r="J2939">
        <v>0</v>
      </c>
      <c r="K2939">
        <v>0</v>
      </c>
      <c r="L2939" s="3">
        <v>0</v>
      </c>
      <c r="M2939" s="3">
        <v>0</v>
      </c>
      <c r="N2939">
        <v>0</v>
      </c>
      <c r="O2939">
        <v>0</v>
      </c>
      <c r="P2939">
        <v>0</v>
      </c>
      <c r="Q2939">
        <v>38</v>
      </c>
      <c r="R2939" s="3">
        <v>0</v>
      </c>
      <c r="S2939" s="3">
        <v>0</v>
      </c>
      <c r="T2939">
        <v>0</v>
      </c>
      <c r="U2939">
        <v>0</v>
      </c>
      <c r="V2939" s="3">
        <v>0</v>
      </c>
      <c r="W2939" s="3">
        <v>0</v>
      </c>
      <c r="X2939">
        <v>1</v>
      </c>
      <c r="Y2939" t="s">
        <v>2330</v>
      </c>
    </row>
    <row r="2940" spans="1:25" hidden="1" x14ac:dyDescent="0.25">
      <c r="A2940" t="s">
        <v>33</v>
      </c>
      <c r="B2940" t="s">
        <v>106</v>
      </c>
      <c r="C2940" t="s">
        <v>57</v>
      </c>
      <c r="D2940" t="s">
        <v>27</v>
      </c>
      <c r="E2940" s="2">
        <v>46003</v>
      </c>
      <c r="F2940" s="2">
        <v>46003</v>
      </c>
      <c r="G2940" s="3">
        <v>24</v>
      </c>
      <c r="H2940" s="4" t="s">
        <v>28</v>
      </c>
      <c r="I2940">
        <v>55</v>
      </c>
      <c r="J2940">
        <v>0</v>
      </c>
      <c r="K2940">
        <v>0</v>
      </c>
      <c r="L2940" s="3">
        <v>0</v>
      </c>
      <c r="M2940" s="3">
        <v>0</v>
      </c>
      <c r="N2940">
        <v>0</v>
      </c>
      <c r="O2940">
        <v>0</v>
      </c>
      <c r="P2940">
        <v>0</v>
      </c>
      <c r="Q2940">
        <v>20</v>
      </c>
      <c r="R2940" s="3">
        <v>0</v>
      </c>
      <c r="S2940" s="3">
        <v>0</v>
      </c>
      <c r="T2940">
        <v>0</v>
      </c>
      <c r="U2940">
        <v>0</v>
      </c>
      <c r="V2940" s="3">
        <v>0</v>
      </c>
      <c r="W2940" s="3">
        <v>0</v>
      </c>
      <c r="X2940">
        <v>0</v>
      </c>
      <c r="Y2940" t="s">
        <v>2331</v>
      </c>
    </row>
    <row r="2941" spans="1:25" hidden="1" x14ac:dyDescent="0.25">
      <c r="A2941" t="s">
        <v>38</v>
      </c>
      <c r="B2941" t="s">
        <v>108</v>
      </c>
      <c r="C2941" t="s">
        <v>27</v>
      </c>
      <c r="D2941" t="s">
        <v>27</v>
      </c>
      <c r="E2941" s="2">
        <v>46003</v>
      </c>
      <c r="F2941" s="2">
        <v>46003</v>
      </c>
      <c r="G2941" s="3">
        <v>37</v>
      </c>
      <c r="H2941" t="s">
        <v>28</v>
      </c>
      <c r="I2941">
        <v>58</v>
      </c>
      <c r="J2941">
        <v>0</v>
      </c>
      <c r="K2941">
        <v>0</v>
      </c>
      <c r="L2941" s="3">
        <v>0</v>
      </c>
      <c r="M2941" s="3">
        <v>0</v>
      </c>
      <c r="N2941">
        <v>0</v>
      </c>
      <c r="O2941">
        <v>0</v>
      </c>
      <c r="P2941">
        <v>0</v>
      </c>
      <c r="Q2941">
        <v>58</v>
      </c>
      <c r="R2941" s="3">
        <v>0</v>
      </c>
      <c r="S2941" s="3">
        <v>0</v>
      </c>
      <c r="T2941">
        <v>0</v>
      </c>
      <c r="U2941">
        <v>0</v>
      </c>
      <c r="V2941" s="3">
        <v>0</v>
      </c>
      <c r="W2941" s="3">
        <v>0</v>
      </c>
      <c r="X2941">
        <v>0</v>
      </c>
      <c r="Y2941" t="s">
        <v>2332</v>
      </c>
    </row>
    <row r="2942" spans="1:25" hidden="1" x14ac:dyDescent="0.25">
      <c r="A2942" t="s">
        <v>40</v>
      </c>
      <c r="B2942" t="s">
        <v>110</v>
      </c>
      <c r="C2942" t="s">
        <v>27</v>
      </c>
      <c r="D2942" t="s">
        <v>27</v>
      </c>
      <c r="E2942" s="2">
        <v>46003</v>
      </c>
      <c r="F2942" s="2">
        <v>46003</v>
      </c>
      <c r="G2942" s="3">
        <v>87</v>
      </c>
      <c r="H2942" t="s">
        <v>28</v>
      </c>
      <c r="I2942">
        <v>65</v>
      </c>
      <c r="J2942">
        <v>74</v>
      </c>
      <c r="K2942">
        <v>0</v>
      </c>
      <c r="L2942" s="3">
        <v>1</v>
      </c>
      <c r="M2942" s="3">
        <v>0</v>
      </c>
      <c r="N2942">
        <v>1</v>
      </c>
      <c r="O2942">
        <v>0</v>
      </c>
      <c r="P2942">
        <v>0</v>
      </c>
      <c r="Q2942">
        <v>30</v>
      </c>
      <c r="R2942" s="3">
        <v>0</v>
      </c>
      <c r="S2942" s="3">
        <v>0</v>
      </c>
      <c r="T2942">
        <v>0</v>
      </c>
      <c r="U2942">
        <v>0</v>
      </c>
      <c r="V2942" s="3">
        <v>0</v>
      </c>
      <c r="W2942" s="3">
        <v>0</v>
      </c>
      <c r="X2942">
        <v>0</v>
      </c>
      <c r="Y2942" t="s">
        <v>2333</v>
      </c>
    </row>
    <row r="2943" spans="1:25" hidden="1" x14ac:dyDescent="0.25">
      <c r="A2943" t="s">
        <v>36</v>
      </c>
      <c r="B2943" t="s">
        <v>110</v>
      </c>
      <c r="C2943" t="s">
        <v>27</v>
      </c>
      <c r="D2943" t="s">
        <v>27</v>
      </c>
      <c r="E2943" s="2">
        <v>46003</v>
      </c>
      <c r="F2943" s="2">
        <v>46003</v>
      </c>
      <c r="G2943" s="3">
        <v>87</v>
      </c>
      <c r="H2943" t="s">
        <v>28</v>
      </c>
      <c r="I2943">
        <v>65</v>
      </c>
      <c r="J2943">
        <v>74</v>
      </c>
      <c r="K2943">
        <v>0</v>
      </c>
      <c r="L2943" s="3">
        <v>1</v>
      </c>
      <c r="M2943" s="3">
        <v>0</v>
      </c>
      <c r="N2943">
        <v>1</v>
      </c>
      <c r="O2943">
        <v>0</v>
      </c>
      <c r="P2943">
        <v>0</v>
      </c>
      <c r="Q2943">
        <v>30</v>
      </c>
      <c r="R2943" s="3">
        <v>0</v>
      </c>
      <c r="S2943" s="3">
        <v>0</v>
      </c>
      <c r="T2943">
        <v>0</v>
      </c>
      <c r="U2943">
        <v>0</v>
      </c>
      <c r="V2943" s="3">
        <v>0</v>
      </c>
      <c r="W2943" s="3">
        <v>0</v>
      </c>
      <c r="X2943">
        <v>0</v>
      </c>
      <c r="Y2943" t="s">
        <v>2333</v>
      </c>
    </row>
    <row r="2944" spans="1:25" hidden="1" x14ac:dyDescent="0.25">
      <c r="A2944" t="s">
        <v>1454</v>
      </c>
      <c r="B2944" t="s">
        <v>1455</v>
      </c>
      <c r="C2944" t="s">
        <v>27</v>
      </c>
      <c r="D2944" t="s">
        <v>27</v>
      </c>
      <c r="E2944" s="2">
        <v>46003</v>
      </c>
      <c r="F2944" s="2">
        <v>46003</v>
      </c>
      <c r="G2944" s="3">
        <v>48</v>
      </c>
      <c r="H2944" t="s">
        <v>28</v>
      </c>
      <c r="I2944">
        <v>48</v>
      </c>
      <c r="J2944">
        <v>0</v>
      </c>
      <c r="K2944">
        <v>0</v>
      </c>
      <c r="L2944" s="3">
        <v>1</v>
      </c>
      <c r="M2944" s="3">
        <v>0</v>
      </c>
      <c r="N2944">
        <v>0</v>
      </c>
      <c r="O2944">
        <v>0</v>
      </c>
      <c r="P2944">
        <v>0</v>
      </c>
      <c r="Q2944">
        <v>48</v>
      </c>
      <c r="R2944" s="3">
        <v>0</v>
      </c>
      <c r="S2944" s="3">
        <v>0</v>
      </c>
      <c r="T2944">
        <v>0</v>
      </c>
      <c r="U2944">
        <v>0</v>
      </c>
      <c r="V2944" s="3">
        <v>0</v>
      </c>
      <c r="W2944" s="3">
        <v>0</v>
      </c>
      <c r="X2944">
        <v>0</v>
      </c>
      <c r="Y2944" t="s">
        <v>2334</v>
      </c>
    </row>
    <row r="2945" spans="1:25" hidden="1" x14ac:dyDescent="0.25">
      <c r="A2945" t="s">
        <v>41</v>
      </c>
      <c r="B2945" t="s">
        <v>112</v>
      </c>
      <c r="C2945" t="s">
        <v>42</v>
      </c>
      <c r="D2945" t="s">
        <v>27</v>
      </c>
      <c r="E2945" s="2">
        <v>46003</v>
      </c>
      <c r="F2945" s="2">
        <v>46003</v>
      </c>
      <c r="G2945" s="3">
        <v>41</v>
      </c>
      <c r="H2945" t="s">
        <v>28</v>
      </c>
      <c r="I2945">
        <v>41</v>
      </c>
      <c r="J2945">
        <v>0</v>
      </c>
      <c r="K2945">
        <v>0</v>
      </c>
      <c r="L2945" s="3">
        <v>1</v>
      </c>
      <c r="M2945" s="3">
        <v>0</v>
      </c>
      <c r="N2945">
        <v>0</v>
      </c>
      <c r="O2945">
        <v>0</v>
      </c>
      <c r="P2945">
        <v>0</v>
      </c>
      <c r="Q2945">
        <v>1</v>
      </c>
      <c r="R2945" s="3">
        <v>0</v>
      </c>
      <c r="S2945" s="3">
        <v>0</v>
      </c>
      <c r="T2945">
        <v>0</v>
      </c>
      <c r="U2945">
        <v>0</v>
      </c>
      <c r="V2945" s="3">
        <v>0</v>
      </c>
      <c r="W2945" s="3">
        <v>0</v>
      </c>
      <c r="X2945">
        <v>0</v>
      </c>
      <c r="Y2945" t="s">
        <v>2335</v>
      </c>
    </row>
    <row r="2946" spans="1:25" hidden="1" x14ac:dyDescent="0.25">
      <c r="A2946" t="s">
        <v>43</v>
      </c>
      <c r="B2946" t="s">
        <v>114</v>
      </c>
      <c r="C2946" t="s">
        <v>44</v>
      </c>
      <c r="D2946" t="s">
        <v>27</v>
      </c>
      <c r="E2946" s="2">
        <v>46003</v>
      </c>
      <c r="F2946" s="2">
        <v>46003</v>
      </c>
      <c r="G2946" s="3">
        <v>33</v>
      </c>
      <c r="H2946" t="s">
        <v>28</v>
      </c>
      <c r="I2946">
        <v>60</v>
      </c>
      <c r="J2946">
        <v>0</v>
      </c>
      <c r="K2946">
        <v>0</v>
      </c>
      <c r="L2946" s="3">
        <v>0</v>
      </c>
      <c r="M2946" s="3">
        <v>0</v>
      </c>
      <c r="N2946">
        <v>0</v>
      </c>
      <c r="O2946">
        <v>0</v>
      </c>
      <c r="P2946">
        <v>0</v>
      </c>
      <c r="Q2946">
        <v>0</v>
      </c>
      <c r="R2946" s="3">
        <v>0</v>
      </c>
      <c r="S2946" s="3">
        <v>0</v>
      </c>
      <c r="T2946">
        <v>0</v>
      </c>
      <c r="U2946">
        <v>0</v>
      </c>
      <c r="V2946" s="3">
        <v>0</v>
      </c>
      <c r="W2946" s="3">
        <v>0</v>
      </c>
      <c r="X2946">
        <v>0</v>
      </c>
      <c r="Y2946" t="s">
        <v>2336</v>
      </c>
    </row>
    <row r="2947" spans="1:25" hidden="1" x14ac:dyDescent="0.25">
      <c r="A2947" t="s">
        <v>2118</v>
      </c>
      <c r="B2947" t="s">
        <v>2119</v>
      </c>
      <c r="C2947" t="s">
        <v>27</v>
      </c>
      <c r="D2947" t="s">
        <v>27</v>
      </c>
      <c r="E2947" s="2">
        <v>46003</v>
      </c>
      <c r="F2947" s="2">
        <v>46003</v>
      </c>
      <c r="G2947" s="3">
        <v>31</v>
      </c>
      <c r="H2947" t="s">
        <v>28</v>
      </c>
      <c r="I2947">
        <v>69</v>
      </c>
      <c r="J2947">
        <v>0</v>
      </c>
      <c r="K2947">
        <v>0</v>
      </c>
      <c r="L2947" s="3">
        <v>1</v>
      </c>
      <c r="M2947" s="3">
        <v>0</v>
      </c>
      <c r="N2947">
        <v>0</v>
      </c>
      <c r="O2947">
        <v>0</v>
      </c>
      <c r="P2947">
        <v>0</v>
      </c>
      <c r="Q2947">
        <v>41</v>
      </c>
      <c r="R2947" s="3">
        <v>0</v>
      </c>
      <c r="S2947" s="3">
        <v>0</v>
      </c>
      <c r="T2947">
        <v>0</v>
      </c>
      <c r="U2947">
        <v>0</v>
      </c>
      <c r="V2947" s="3">
        <v>0</v>
      </c>
      <c r="W2947" s="3">
        <v>0</v>
      </c>
      <c r="X2947">
        <v>0</v>
      </c>
      <c r="Y2947" t="s">
        <v>2337</v>
      </c>
    </row>
    <row r="2948" spans="1:25" hidden="1" x14ac:dyDescent="0.25">
      <c r="A2948" t="s">
        <v>45</v>
      </c>
      <c r="B2948" t="s">
        <v>116</v>
      </c>
      <c r="C2948" t="s">
        <v>46</v>
      </c>
      <c r="D2948" t="s">
        <v>27</v>
      </c>
      <c r="E2948" s="2">
        <v>46003</v>
      </c>
      <c r="F2948" s="2">
        <v>46003</v>
      </c>
      <c r="G2948" s="3">
        <v>57</v>
      </c>
      <c r="H2948" t="s">
        <v>28</v>
      </c>
      <c r="I2948">
        <v>71</v>
      </c>
      <c r="J2948">
        <v>0</v>
      </c>
      <c r="K2948">
        <v>0</v>
      </c>
      <c r="L2948" s="3">
        <v>1</v>
      </c>
      <c r="M2948" s="3">
        <v>0</v>
      </c>
      <c r="N2948">
        <v>0</v>
      </c>
      <c r="O2948">
        <v>0</v>
      </c>
      <c r="P2948">
        <v>0</v>
      </c>
      <c r="Q2948">
        <v>14</v>
      </c>
      <c r="R2948" s="3">
        <v>0</v>
      </c>
      <c r="S2948" s="3">
        <v>0</v>
      </c>
      <c r="T2948">
        <v>0</v>
      </c>
      <c r="U2948">
        <v>0</v>
      </c>
      <c r="V2948" s="3">
        <v>0</v>
      </c>
      <c r="W2948" s="3">
        <v>0</v>
      </c>
      <c r="X2948">
        <v>0</v>
      </c>
      <c r="Y2948" t="s">
        <v>2338</v>
      </c>
    </row>
    <row r="2949" spans="1:25" hidden="1" x14ac:dyDescent="0.25">
      <c r="A2949" t="s">
        <v>47</v>
      </c>
      <c r="B2949" t="s">
        <v>137</v>
      </c>
      <c r="C2949" t="s">
        <v>2310</v>
      </c>
      <c r="D2949" t="s">
        <v>27</v>
      </c>
      <c r="E2949" s="2">
        <v>46003</v>
      </c>
      <c r="F2949" s="2">
        <v>46003</v>
      </c>
      <c r="G2949" s="3">
        <v>115</v>
      </c>
      <c r="H2949" t="s">
        <v>28</v>
      </c>
      <c r="I2949">
        <v>40</v>
      </c>
      <c r="J2949">
        <v>5</v>
      </c>
      <c r="K2949">
        <v>0</v>
      </c>
      <c r="L2949" s="3">
        <v>0</v>
      </c>
      <c r="M2949" s="3">
        <v>0</v>
      </c>
      <c r="N2949">
        <v>0</v>
      </c>
      <c r="O2949">
        <v>0</v>
      </c>
      <c r="P2949">
        <v>0</v>
      </c>
      <c r="Q2949">
        <v>0</v>
      </c>
      <c r="R2949" s="3">
        <v>0</v>
      </c>
      <c r="S2949" s="3">
        <v>0</v>
      </c>
      <c r="T2949">
        <v>0</v>
      </c>
      <c r="U2949">
        <v>0</v>
      </c>
      <c r="V2949" s="3">
        <v>0</v>
      </c>
      <c r="W2949" s="3">
        <v>0</v>
      </c>
      <c r="X2949">
        <v>0</v>
      </c>
      <c r="Y2949" t="s">
        <v>2339</v>
      </c>
    </row>
    <row r="2950" spans="1:25" hidden="1" x14ac:dyDescent="0.25">
      <c r="A2950" t="s">
        <v>49</v>
      </c>
      <c r="B2950" t="s">
        <v>118</v>
      </c>
      <c r="C2950" t="s">
        <v>50</v>
      </c>
      <c r="D2950" t="s">
        <v>27</v>
      </c>
      <c r="E2950" s="2">
        <v>46003</v>
      </c>
      <c r="F2950" s="2">
        <v>46003</v>
      </c>
      <c r="G2950" s="3">
        <v>35</v>
      </c>
      <c r="H2950" t="s">
        <v>28</v>
      </c>
      <c r="I2950">
        <v>36</v>
      </c>
      <c r="J2950">
        <v>0</v>
      </c>
      <c r="K2950">
        <v>0</v>
      </c>
      <c r="L2950" s="3">
        <v>1</v>
      </c>
      <c r="M2950" s="3">
        <v>1</v>
      </c>
      <c r="N2950">
        <v>0</v>
      </c>
      <c r="O2950">
        <v>0</v>
      </c>
      <c r="P2950">
        <v>0</v>
      </c>
      <c r="Q2950">
        <v>36</v>
      </c>
      <c r="R2950" s="3">
        <v>0</v>
      </c>
      <c r="S2950" s="3">
        <v>0</v>
      </c>
      <c r="T2950">
        <v>0</v>
      </c>
      <c r="U2950">
        <v>0</v>
      </c>
      <c r="V2950" s="3">
        <v>0</v>
      </c>
      <c r="W2950" s="3">
        <v>0</v>
      </c>
      <c r="X2950">
        <v>0</v>
      </c>
      <c r="Y2950" t="s">
        <v>2340</v>
      </c>
    </row>
    <row r="2951" spans="1:25" hidden="1" x14ac:dyDescent="0.25">
      <c r="A2951" t="s">
        <v>51</v>
      </c>
      <c r="B2951" t="s">
        <v>120</v>
      </c>
      <c r="C2951" t="s">
        <v>55</v>
      </c>
      <c r="D2951" t="s">
        <v>27</v>
      </c>
      <c r="E2951" s="2">
        <v>46003</v>
      </c>
      <c r="F2951" s="2">
        <v>46003</v>
      </c>
      <c r="G2951" s="3">
        <v>66</v>
      </c>
      <c r="H2951" t="s">
        <v>28</v>
      </c>
      <c r="I2951">
        <v>37</v>
      </c>
      <c r="J2951">
        <v>0</v>
      </c>
      <c r="K2951">
        <v>0</v>
      </c>
      <c r="L2951" s="3">
        <v>1</v>
      </c>
      <c r="M2951" s="3">
        <v>0</v>
      </c>
      <c r="N2951">
        <v>1</v>
      </c>
      <c r="O2951">
        <v>0</v>
      </c>
      <c r="P2951">
        <v>0</v>
      </c>
      <c r="Q2951">
        <v>0</v>
      </c>
      <c r="R2951" s="3">
        <v>0</v>
      </c>
      <c r="S2951" s="3">
        <v>0</v>
      </c>
      <c r="T2951">
        <v>0</v>
      </c>
      <c r="U2951">
        <v>0</v>
      </c>
      <c r="V2951" s="3">
        <v>0</v>
      </c>
      <c r="W2951" s="3">
        <v>0</v>
      </c>
      <c r="X2951">
        <v>0</v>
      </c>
      <c r="Y2951" t="s">
        <v>2341</v>
      </c>
    </row>
    <row r="2952" spans="1:25" hidden="1" x14ac:dyDescent="0.25">
      <c r="A2952" t="s">
        <v>54</v>
      </c>
      <c r="B2952" t="s">
        <v>122</v>
      </c>
      <c r="C2952" t="s">
        <v>52</v>
      </c>
      <c r="D2952" t="s">
        <v>27</v>
      </c>
      <c r="E2952" s="2">
        <v>46003</v>
      </c>
      <c r="F2952" s="2">
        <v>46003</v>
      </c>
      <c r="G2952" s="3">
        <v>57</v>
      </c>
      <c r="H2952" t="s">
        <v>28</v>
      </c>
      <c r="I2952">
        <v>71</v>
      </c>
      <c r="J2952">
        <v>0</v>
      </c>
      <c r="K2952">
        <v>0</v>
      </c>
      <c r="L2952" s="3">
        <v>0</v>
      </c>
      <c r="M2952" s="3">
        <v>0</v>
      </c>
      <c r="N2952">
        <v>0</v>
      </c>
      <c r="O2952">
        <v>0</v>
      </c>
      <c r="P2952">
        <v>0</v>
      </c>
      <c r="Q2952">
        <v>2</v>
      </c>
      <c r="R2952" s="3">
        <v>0</v>
      </c>
      <c r="S2952" s="3">
        <v>0</v>
      </c>
      <c r="T2952">
        <v>0</v>
      </c>
      <c r="U2952">
        <v>0</v>
      </c>
      <c r="V2952" s="3">
        <v>0</v>
      </c>
      <c r="W2952" s="3">
        <v>0</v>
      </c>
      <c r="X2952">
        <v>1</v>
      </c>
      <c r="Y2952" t="s">
        <v>2342</v>
      </c>
    </row>
    <row r="2953" spans="1:25" hidden="1" x14ac:dyDescent="0.25">
      <c r="A2953" t="s">
        <v>58</v>
      </c>
      <c r="B2953" t="s">
        <v>144</v>
      </c>
      <c r="C2953" t="s">
        <v>27</v>
      </c>
      <c r="D2953" t="s">
        <v>27</v>
      </c>
      <c r="E2953" s="2">
        <v>46003</v>
      </c>
      <c r="F2953" s="2">
        <v>46003</v>
      </c>
      <c r="G2953" s="3">
        <v>84</v>
      </c>
      <c r="H2953" t="s">
        <v>28</v>
      </c>
      <c r="I2953">
        <v>67</v>
      </c>
      <c r="J2953">
        <v>6</v>
      </c>
      <c r="K2953">
        <v>0</v>
      </c>
      <c r="L2953" s="3">
        <v>1</v>
      </c>
      <c r="M2953" s="3">
        <v>0</v>
      </c>
      <c r="N2953">
        <v>0</v>
      </c>
      <c r="O2953">
        <v>0</v>
      </c>
      <c r="P2953">
        <v>0</v>
      </c>
      <c r="Q2953">
        <v>0</v>
      </c>
      <c r="R2953" s="3">
        <v>0</v>
      </c>
      <c r="S2953" s="3">
        <v>0</v>
      </c>
      <c r="T2953">
        <v>0</v>
      </c>
      <c r="U2953">
        <v>0</v>
      </c>
      <c r="V2953" s="3">
        <v>0</v>
      </c>
      <c r="W2953" s="3">
        <v>0</v>
      </c>
      <c r="X2953">
        <v>0</v>
      </c>
      <c r="Y2953" t="s">
        <v>2343</v>
      </c>
    </row>
    <row r="2954" spans="1:25" hidden="1" x14ac:dyDescent="0.25">
      <c r="A2954" t="s">
        <v>48</v>
      </c>
      <c r="B2954" t="s">
        <v>144</v>
      </c>
      <c r="C2954" t="s">
        <v>27</v>
      </c>
      <c r="D2954" t="s">
        <v>27</v>
      </c>
      <c r="E2954" s="2">
        <v>46003</v>
      </c>
      <c r="F2954" s="2">
        <v>46003</v>
      </c>
      <c r="G2954" s="3">
        <v>84</v>
      </c>
      <c r="H2954" t="s">
        <v>28</v>
      </c>
      <c r="I2954">
        <v>67</v>
      </c>
      <c r="J2954">
        <v>6</v>
      </c>
      <c r="K2954">
        <v>0</v>
      </c>
      <c r="L2954" s="3">
        <v>1</v>
      </c>
      <c r="M2954" s="3">
        <v>0</v>
      </c>
      <c r="N2954">
        <v>0</v>
      </c>
      <c r="O2954">
        <v>0</v>
      </c>
      <c r="P2954">
        <v>0</v>
      </c>
      <c r="Q2954">
        <v>0</v>
      </c>
      <c r="R2954" s="3">
        <v>0</v>
      </c>
      <c r="S2954" s="3">
        <v>0</v>
      </c>
      <c r="T2954">
        <v>0</v>
      </c>
      <c r="U2954">
        <v>0</v>
      </c>
      <c r="V2954" s="3">
        <v>0</v>
      </c>
      <c r="W2954" s="3">
        <v>0</v>
      </c>
      <c r="X2954">
        <v>0</v>
      </c>
      <c r="Y2954" t="s">
        <v>2343</v>
      </c>
    </row>
    <row r="2955" spans="1:25" hidden="1" x14ac:dyDescent="0.25">
      <c r="A2955" t="s">
        <v>56</v>
      </c>
      <c r="B2955" t="s">
        <v>98</v>
      </c>
      <c r="C2955" t="s">
        <v>37</v>
      </c>
      <c r="D2955" t="s">
        <v>27</v>
      </c>
      <c r="E2955" s="2">
        <v>46004</v>
      </c>
      <c r="F2955" s="2">
        <v>46004</v>
      </c>
      <c r="G2955" s="3">
        <v>116</v>
      </c>
      <c r="H2955" t="s">
        <v>28</v>
      </c>
      <c r="I2955">
        <v>0</v>
      </c>
      <c r="J2955">
        <v>0</v>
      </c>
      <c r="K2955">
        <v>0</v>
      </c>
      <c r="L2955" s="3">
        <v>1</v>
      </c>
      <c r="M2955" s="3">
        <v>0</v>
      </c>
      <c r="N2955">
        <v>0</v>
      </c>
      <c r="O2955">
        <v>0</v>
      </c>
      <c r="P2955">
        <v>0</v>
      </c>
      <c r="Q2955">
        <v>10</v>
      </c>
      <c r="R2955" s="3">
        <v>1</v>
      </c>
      <c r="S2955" s="3">
        <v>0</v>
      </c>
      <c r="T2955">
        <v>25</v>
      </c>
      <c r="U2955">
        <v>100</v>
      </c>
      <c r="V2955" s="3">
        <v>1</v>
      </c>
      <c r="W2955" s="3">
        <v>0</v>
      </c>
      <c r="X2955">
        <v>12</v>
      </c>
      <c r="Y2955" t="s">
        <v>2344</v>
      </c>
    </row>
    <row r="2956" spans="1:25" hidden="1" x14ac:dyDescent="0.25">
      <c r="A2956" t="s">
        <v>41</v>
      </c>
      <c r="B2956" t="s">
        <v>112</v>
      </c>
      <c r="C2956" t="s">
        <v>42</v>
      </c>
      <c r="D2956" t="s">
        <v>27</v>
      </c>
      <c r="E2956" s="2">
        <v>46004</v>
      </c>
      <c r="F2956" s="2">
        <v>46004</v>
      </c>
      <c r="G2956" s="3">
        <v>94</v>
      </c>
      <c r="H2956" t="s">
        <v>28</v>
      </c>
      <c r="I2956">
        <v>0</v>
      </c>
      <c r="J2956">
        <v>0</v>
      </c>
      <c r="K2956">
        <v>0</v>
      </c>
      <c r="L2956" s="3">
        <v>0</v>
      </c>
      <c r="M2956" s="3">
        <v>0</v>
      </c>
      <c r="N2956">
        <v>0</v>
      </c>
      <c r="O2956">
        <v>0</v>
      </c>
      <c r="P2956">
        <v>0</v>
      </c>
      <c r="Q2956">
        <v>19</v>
      </c>
      <c r="R2956" s="3">
        <v>1</v>
      </c>
      <c r="S2956" s="3">
        <v>0</v>
      </c>
      <c r="T2956">
        <v>19</v>
      </c>
      <c r="U2956">
        <v>103</v>
      </c>
      <c r="V2956" s="3">
        <v>1</v>
      </c>
      <c r="W2956" s="3">
        <v>0</v>
      </c>
      <c r="X2956">
        <v>9</v>
      </c>
      <c r="Y2956" t="s">
        <v>2345</v>
      </c>
    </row>
    <row r="2957" spans="1:25" hidden="1" x14ac:dyDescent="0.25">
      <c r="A2957" t="s">
        <v>56</v>
      </c>
      <c r="B2957" t="s">
        <v>98</v>
      </c>
      <c r="C2957" t="s">
        <v>37</v>
      </c>
      <c r="D2957" t="s">
        <v>27</v>
      </c>
      <c r="E2957" s="2">
        <v>46005</v>
      </c>
      <c r="F2957" s="2">
        <v>46005</v>
      </c>
      <c r="G2957" s="3">
        <v>61</v>
      </c>
      <c r="H2957" t="s">
        <v>28</v>
      </c>
      <c r="I2957">
        <v>0</v>
      </c>
      <c r="J2957">
        <v>0</v>
      </c>
      <c r="K2957">
        <v>0</v>
      </c>
      <c r="L2957" s="3">
        <v>0</v>
      </c>
      <c r="M2957" s="3">
        <v>0</v>
      </c>
      <c r="N2957">
        <v>0</v>
      </c>
      <c r="O2957">
        <v>0</v>
      </c>
      <c r="P2957">
        <v>0</v>
      </c>
      <c r="Q2957">
        <v>10</v>
      </c>
      <c r="R2957" s="3">
        <v>0</v>
      </c>
      <c r="S2957" s="3">
        <v>1</v>
      </c>
      <c r="T2957">
        <v>22</v>
      </c>
      <c r="U2957">
        <v>122</v>
      </c>
      <c r="V2957" s="3">
        <v>0</v>
      </c>
      <c r="W2957" s="3">
        <v>1</v>
      </c>
      <c r="X2957">
        <v>12</v>
      </c>
      <c r="Y2957" t="s">
        <v>2346</v>
      </c>
    </row>
    <row r="2958" spans="1:25" hidden="1" x14ac:dyDescent="0.25">
      <c r="A2958" t="s">
        <v>33</v>
      </c>
      <c r="B2958" t="s">
        <v>106</v>
      </c>
      <c r="C2958" t="s">
        <v>55</v>
      </c>
      <c r="D2958" t="s">
        <v>27</v>
      </c>
      <c r="E2958" s="2">
        <v>46005</v>
      </c>
      <c r="F2958" s="2">
        <v>46005</v>
      </c>
      <c r="G2958" s="3">
        <v>156</v>
      </c>
      <c r="H2958" t="s">
        <v>28</v>
      </c>
      <c r="I2958">
        <v>0</v>
      </c>
      <c r="J2958">
        <v>0</v>
      </c>
      <c r="K2958">
        <v>0</v>
      </c>
      <c r="L2958" s="3">
        <v>0</v>
      </c>
      <c r="M2958" s="3">
        <v>0</v>
      </c>
      <c r="N2958">
        <v>1</v>
      </c>
      <c r="O2958">
        <v>0</v>
      </c>
      <c r="P2958">
        <v>0</v>
      </c>
      <c r="Q2958">
        <v>0</v>
      </c>
      <c r="R2958" s="3">
        <v>0</v>
      </c>
      <c r="S2958" s="3">
        <v>1</v>
      </c>
      <c r="T2958">
        <v>11</v>
      </c>
      <c r="U2958">
        <v>68</v>
      </c>
      <c r="V2958" s="3">
        <v>0</v>
      </c>
      <c r="W2958" s="3">
        <v>1</v>
      </c>
      <c r="X2958">
        <v>4</v>
      </c>
      <c r="Y2958" t="s">
        <v>2347</v>
      </c>
    </row>
    <row r="2959" spans="1:25" hidden="1" x14ac:dyDescent="0.25">
      <c r="A2959" t="s">
        <v>41</v>
      </c>
      <c r="B2959" t="s">
        <v>112</v>
      </c>
      <c r="C2959" t="s">
        <v>42</v>
      </c>
      <c r="D2959" t="s">
        <v>27</v>
      </c>
      <c r="E2959" s="2">
        <v>46005</v>
      </c>
      <c r="F2959" s="2">
        <v>46005</v>
      </c>
      <c r="G2959" s="3">
        <v>107</v>
      </c>
      <c r="H2959" t="s">
        <v>28</v>
      </c>
      <c r="I2959">
        <v>0</v>
      </c>
      <c r="J2959">
        <v>0</v>
      </c>
      <c r="K2959">
        <v>0</v>
      </c>
      <c r="L2959" s="3">
        <v>0</v>
      </c>
      <c r="M2959" s="3">
        <v>0</v>
      </c>
      <c r="N2959">
        <v>0</v>
      </c>
      <c r="O2959">
        <v>0</v>
      </c>
      <c r="P2959">
        <v>0</v>
      </c>
      <c r="Q2959">
        <v>10</v>
      </c>
      <c r="R2959" s="3">
        <v>0</v>
      </c>
      <c r="S2959" s="3">
        <v>1</v>
      </c>
      <c r="T2959">
        <v>10</v>
      </c>
      <c r="U2959">
        <v>120</v>
      </c>
      <c r="V2959" s="3">
        <v>0</v>
      </c>
      <c r="W2959" s="3">
        <v>1</v>
      </c>
      <c r="X2959">
        <v>6</v>
      </c>
      <c r="Y2959" t="s">
        <v>2348</v>
      </c>
    </row>
    <row r="2960" spans="1:25" hidden="1" x14ac:dyDescent="0.25">
      <c r="A2960" t="s">
        <v>25</v>
      </c>
      <c r="B2960" t="s">
        <v>96</v>
      </c>
      <c r="C2960" t="s">
        <v>26</v>
      </c>
      <c r="D2960" t="s">
        <v>27</v>
      </c>
      <c r="E2960" s="2">
        <v>46006</v>
      </c>
      <c r="F2960" s="2">
        <v>46006</v>
      </c>
      <c r="G2960" s="3">
        <v>80</v>
      </c>
      <c r="H2960" s="4" t="s">
        <v>28</v>
      </c>
      <c r="I2960">
        <v>26</v>
      </c>
      <c r="J2960">
        <v>0</v>
      </c>
      <c r="K2960">
        <v>0</v>
      </c>
      <c r="L2960" s="3">
        <v>1</v>
      </c>
      <c r="M2960" s="3">
        <v>0</v>
      </c>
      <c r="N2960">
        <v>1</v>
      </c>
      <c r="O2960">
        <v>0</v>
      </c>
      <c r="P2960">
        <v>0</v>
      </c>
      <c r="Q2960">
        <v>0</v>
      </c>
      <c r="R2960" s="3">
        <v>0</v>
      </c>
      <c r="S2960" s="3">
        <v>0</v>
      </c>
      <c r="T2960">
        <v>0</v>
      </c>
      <c r="U2960">
        <v>0</v>
      </c>
      <c r="V2960" s="3">
        <v>0</v>
      </c>
      <c r="W2960" s="3">
        <v>0</v>
      </c>
      <c r="X2960">
        <v>0</v>
      </c>
      <c r="Y2960" t="s">
        <v>2349</v>
      </c>
    </row>
    <row r="2961" spans="1:25" hidden="1" x14ac:dyDescent="0.25">
      <c r="A2961" t="s">
        <v>56</v>
      </c>
      <c r="B2961" t="s">
        <v>98</v>
      </c>
      <c r="C2961" t="s">
        <v>37</v>
      </c>
      <c r="D2961" t="s">
        <v>27</v>
      </c>
      <c r="E2961" s="2">
        <v>46006</v>
      </c>
      <c r="F2961" s="2">
        <v>46006</v>
      </c>
      <c r="G2961" s="3">
        <v>53</v>
      </c>
      <c r="H2961" s="4" t="s">
        <v>28</v>
      </c>
      <c r="I2961">
        <v>33</v>
      </c>
      <c r="J2961">
        <v>0</v>
      </c>
      <c r="K2961">
        <v>0</v>
      </c>
      <c r="L2961" s="3">
        <v>1</v>
      </c>
      <c r="M2961" s="3">
        <v>0</v>
      </c>
      <c r="N2961">
        <v>0</v>
      </c>
      <c r="O2961">
        <v>0</v>
      </c>
      <c r="P2961">
        <v>0</v>
      </c>
      <c r="Q2961">
        <v>10</v>
      </c>
      <c r="R2961" s="3">
        <v>0</v>
      </c>
      <c r="S2961" s="3">
        <v>0</v>
      </c>
      <c r="T2961">
        <v>0</v>
      </c>
      <c r="U2961">
        <v>0</v>
      </c>
      <c r="V2961" s="3">
        <v>0</v>
      </c>
      <c r="W2961" s="3">
        <v>0</v>
      </c>
      <c r="X2961">
        <v>0</v>
      </c>
      <c r="Y2961" t="s">
        <v>2350</v>
      </c>
    </row>
    <row r="2962" spans="1:25" hidden="1" x14ac:dyDescent="0.25">
      <c r="A2962" t="s">
        <v>29</v>
      </c>
      <c r="B2962" t="s">
        <v>100</v>
      </c>
      <c r="C2962" t="s">
        <v>95</v>
      </c>
      <c r="D2962" t="s">
        <v>27</v>
      </c>
      <c r="E2962" s="2">
        <v>46006</v>
      </c>
      <c r="F2962" s="2">
        <v>46006</v>
      </c>
      <c r="G2962" s="3">
        <v>33</v>
      </c>
      <c r="H2962" s="4" t="s">
        <v>28</v>
      </c>
      <c r="I2962">
        <v>31</v>
      </c>
      <c r="J2962">
        <v>0</v>
      </c>
      <c r="K2962">
        <v>0</v>
      </c>
      <c r="L2962" s="3">
        <v>1</v>
      </c>
      <c r="M2962" s="3">
        <v>0</v>
      </c>
      <c r="N2962">
        <v>0</v>
      </c>
      <c r="O2962">
        <v>0</v>
      </c>
      <c r="P2962">
        <v>0</v>
      </c>
      <c r="Q2962">
        <v>15</v>
      </c>
      <c r="R2962" s="3">
        <v>0</v>
      </c>
      <c r="S2962" s="3">
        <v>0</v>
      </c>
      <c r="T2962">
        <v>0</v>
      </c>
      <c r="U2962">
        <v>0</v>
      </c>
      <c r="V2962" s="3">
        <v>0</v>
      </c>
      <c r="W2962" s="3">
        <v>0</v>
      </c>
      <c r="X2962">
        <v>20</v>
      </c>
      <c r="Y2962" t="s">
        <v>2351</v>
      </c>
    </row>
    <row r="2963" spans="1:25" hidden="1" x14ac:dyDescent="0.25">
      <c r="A2963" t="s">
        <v>344</v>
      </c>
      <c r="B2963" t="s">
        <v>102</v>
      </c>
      <c r="C2963" t="s">
        <v>35</v>
      </c>
      <c r="D2963" t="s">
        <v>27</v>
      </c>
      <c r="E2963" s="2">
        <v>46006</v>
      </c>
      <c r="F2963" s="2">
        <v>46006</v>
      </c>
      <c r="G2963" s="3">
        <v>45</v>
      </c>
      <c r="H2963" s="4" t="s">
        <v>28</v>
      </c>
      <c r="I2963">
        <v>21</v>
      </c>
      <c r="J2963">
        <v>0</v>
      </c>
      <c r="K2963">
        <v>0</v>
      </c>
      <c r="L2963" s="3">
        <v>0</v>
      </c>
      <c r="M2963" s="3">
        <v>0</v>
      </c>
      <c r="N2963">
        <v>0</v>
      </c>
      <c r="O2963">
        <v>0</v>
      </c>
      <c r="P2963">
        <v>0</v>
      </c>
      <c r="Q2963">
        <v>2</v>
      </c>
      <c r="R2963" s="3">
        <v>0</v>
      </c>
      <c r="S2963" s="3">
        <v>0</v>
      </c>
      <c r="T2963">
        <v>0</v>
      </c>
      <c r="U2963">
        <v>0</v>
      </c>
      <c r="V2963" s="3">
        <v>0</v>
      </c>
      <c r="W2963" s="3">
        <v>0</v>
      </c>
      <c r="X2963">
        <v>0</v>
      </c>
      <c r="Y2963" t="s">
        <v>2215</v>
      </c>
    </row>
    <row r="2964" spans="1:25" hidden="1" x14ac:dyDescent="0.25">
      <c r="A2964" t="s">
        <v>31</v>
      </c>
      <c r="B2964" t="s">
        <v>104</v>
      </c>
      <c r="C2964" t="s">
        <v>32</v>
      </c>
      <c r="D2964" t="s">
        <v>27</v>
      </c>
      <c r="E2964" s="2">
        <v>46006</v>
      </c>
      <c r="F2964" s="2">
        <v>46006</v>
      </c>
      <c r="G2964" s="3">
        <v>96</v>
      </c>
      <c r="H2964" s="4" t="s">
        <v>28</v>
      </c>
      <c r="I2964">
        <v>76</v>
      </c>
      <c r="J2964">
        <v>0</v>
      </c>
      <c r="K2964">
        <v>0</v>
      </c>
      <c r="L2964" s="3">
        <v>0</v>
      </c>
      <c r="M2964" s="3">
        <v>0</v>
      </c>
      <c r="N2964">
        <v>0</v>
      </c>
      <c r="O2964">
        <v>0</v>
      </c>
      <c r="P2964">
        <v>3</v>
      </c>
      <c r="Q2964">
        <v>38</v>
      </c>
      <c r="R2964" s="3">
        <v>0</v>
      </c>
      <c r="S2964" s="3">
        <v>0</v>
      </c>
      <c r="T2964">
        <v>0</v>
      </c>
      <c r="U2964">
        <v>0</v>
      </c>
      <c r="V2964" s="3">
        <v>0</v>
      </c>
      <c r="W2964" s="3">
        <v>0</v>
      </c>
      <c r="X2964">
        <v>0</v>
      </c>
      <c r="Y2964" t="s">
        <v>2352</v>
      </c>
    </row>
    <row r="2965" spans="1:25" hidden="1" x14ac:dyDescent="0.25">
      <c r="A2965" t="s">
        <v>33</v>
      </c>
      <c r="B2965" t="s">
        <v>106</v>
      </c>
      <c r="C2965" t="s">
        <v>57</v>
      </c>
      <c r="D2965" t="s">
        <v>27</v>
      </c>
      <c r="E2965" s="2">
        <v>46006</v>
      </c>
      <c r="F2965" s="2">
        <v>46006</v>
      </c>
      <c r="G2965" s="3">
        <v>24</v>
      </c>
      <c r="H2965" s="4" t="s">
        <v>28</v>
      </c>
      <c r="I2965">
        <v>64</v>
      </c>
      <c r="J2965">
        <v>0</v>
      </c>
      <c r="K2965">
        <v>0</v>
      </c>
      <c r="L2965" s="3">
        <v>0</v>
      </c>
      <c r="M2965" s="3">
        <v>0</v>
      </c>
      <c r="N2965">
        <v>0</v>
      </c>
      <c r="O2965">
        <v>0</v>
      </c>
      <c r="P2965">
        <v>0</v>
      </c>
      <c r="Q2965">
        <v>20</v>
      </c>
      <c r="R2965" s="3">
        <v>0</v>
      </c>
      <c r="S2965" s="3">
        <v>0</v>
      </c>
      <c r="T2965">
        <v>0</v>
      </c>
      <c r="U2965">
        <v>0</v>
      </c>
      <c r="V2965" s="3">
        <v>0</v>
      </c>
      <c r="W2965" s="3">
        <v>0</v>
      </c>
      <c r="X2965">
        <v>0</v>
      </c>
      <c r="Y2965" t="s">
        <v>2331</v>
      </c>
    </row>
    <row r="2966" spans="1:25" hidden="1" x14ac:dyDescent="0.25">
      <c r="A2966" t="s">
        <v>38</v>
      </c>
      <c r="B2966" t="s">
        <v>108</v>
      </c>
      <c r="C2966" t="s">
        <v>27</v>
      </c>
      <c r="D2966" t="s">
        <v>27</v>
      </c>
      <c r="E2966" s="2">
        <v>46006</v>
      </c>
      <c r="F2966" s="2">
        <v>46006</v>
      </c>
      <c r="G2966" s="3">
        <v>50</v>
      </c>
      <c r="H2966" s="4" t="s">
        <v>28</v>
      </c>
      <c r="I2966">
        <v>64</v>
      </c>
      <c r="J2966">
        <v>0</v>
      </c>
      <c r="K2966">
        <v>0</v>
      </c>
      <c r="L2966" s="3">
        <v>0</v>
      </c>
      <c r="M2966" s="3">
        <v>0</v>
      </c>
      <c r="N2966">
        <v>0</v>
      </c>
      <c r="O2966">
        <v>0</v>
      </c>
      <c r="P2966">
        <v>0</v>
      </c>
      <c r="Q2966">
        <v>64</v>
      </c>
      <c r="R2966" s="3">
        <v>0</v>
      </c>
      <c r="S2966" s="3">
        <v>0</v>
      </c>
      <c r="T2966">
        <v>0</v>
      </c>
      <c r="U2966">
        <v>0</v>
      </c>
      <c r="V2966" s="3">
        <v>0</v>
      </c>
      <c r="W2966" s="3">
        <v>0</v>
      </c>
      <c r="X2966">
        <v>0</v>
      </c>
      <c r="Y2966" t="s">
        <v>2353</v>
      </c>
    </row>
    <row r="2967" spans="1:25" hidden="1" x14ac:dyDescent="0.25">
      <c r="A2967" t="s">
        <v>40</v>
      </c>
      <c r="B2967" t="s">
        <v>110</v>
      </c>
      <c r="C2967" t="s">
        <v>27</v>
      </c>
      <c r="D2967" t="s">
        <v>27</v>
      </c>
      <c r="E2967" s="2">
        <v>46006</v>
      </c>
      <c r="F2967" s="2">
        <v>46006</v>
      </c>
      <c r="G2967" s="3">
        <v>120</v>
      </c>
      <c r="H2967" s="4" t="s">
        <v>28</v>
      </c>
      <c r="I2967">
        <v>76</v>
      </c>
      <c r="J2967">
        <v>0</v>
      </c>
      <c r="K2967">
        <v>0</v>
      </c>
      <c r="L2967" s="3">
        <v>1</v>
      </c>
      <c r="M2967" s="3">
        <v>0</v>
      </c>
      <c r="N2967">
        <v>1</v>
      </c>
      <c r="O2967">
        <v>0</v>
      </c>
      <c r="P2967">
        <v>0</v>
      </c>
      <c r="Q2967">
        <v>30</v>
      </c>
      <c r="R2967" s="3">
        <v>0</v>
      </c>
      <c r="S2967" s="3">
        <v>0</v>
      </c>
      <c r="T2967">
        <v>0</v>
      </c>
      <c r="U2967">
        <v>0</v>
      </c>
      <c r="V2967" s="3">
        <v>0</v>
      </c>
      <c r="W2967" s="3">
        <v>0</v>
      </c>
      <c r="X2967">
        <v>0</v>
      </c>
      <c r="Y2967" t="s">
        <v>2354</v>
      </c>
    </row>
    <row r="2968" spans="1:25" hidden="1" x14ac:dyDescent="0.25">
      <c r="A2968" t="s">
        <v>36</v>
      </c>
      <c r="B2968" t="s">
        <v>110</v>
      </c>
      <c r="C2968" t="s">
        <v>27</v>
      </c>
      <c r="D2968" t="s">
        <v>27</v>
      </c>
      <c r="E2968" s="2">
        <v>46006</v>
      </c>
      <c r="F2968" s="2">
        <v>46006</v>
      </c>
      <c r="G2968" s="3">
        <v>120</v>
      </c>
      <c r="H2968" s="4" t="s">
        <v>28</v>
      </c>
      <c r="I2968">
        <v>76</v>
      </c>
      <c r="J2968">
        <v>0</v>
      </c>
      <c r="K2968">
        <v>0</v>
      </c>
      <c r="L2968" s="3">
        <v>1</v>
      </c>
      <c r="M2968" s="3">
        <v>0</v>
      </c>
      <c r="N2968">
        <v>1</v>
      </c>
      <c r="O2968">
        <v>0</v>
      </c>
      <c r="P2968">
        <v>0</v>
      </c>
      <c r="Q2968">
        <v>30</v>
      </c>
      <c r="R2968" s="3">
        <v>0</v>
      </c>
      <c r="S2968" s="3">
        <v>0</v>
      </c>
      <c r="T2968">
        <v>0</v>
      </c>
      <c r="U2968">
        <v>0</v>
      </c>
      <c r="V2968" s="3">
        <v>0</v>
      </c>
      <c r="W2968" s="3">
        <v>0</v>
      </c>
      <c r="X2968">
        <v>0</v>
      </c>
      <c r="Y2968" t="s">
        <v>2354</v>
      </c>
    </row>
    <row r="2969" spans="1:25" hidden="1" x14ac:dyDescent="0.25">
      <c r="A2969" t="s">
        <v>1454</v>
      </c>
      <c r="B2969" t="s">
        <v>1455</v>
      </c>
      <c r="C2969" t="s">
        <v>27</v>
      </c>
      <c r="D2969" t="s">
        <v>27</v>
      </c>
      <c r="E2969" s="2">
        <v>46006</v>
      </c>
      <c r="F2969" s="2">
        <v>46006</v>
      </c>
      <c r="G2969" s="3">
        <v>53</v>
      </c>
      <c r="H2969" s="4" t="s">
        <v>28</v>
      </c>
      <c r="I2969">
        <v>48</v>
      </c>
      <c r="J2969">
        <v>0</v>
      </c>
      <c r="K2969">
        <v>0</v>
      </c>
      <c r="L2969" s="3">
        <v>1</v>
      </c>
      <c r="M2969" s="3">
        <v>0</v>
      </c>
      <c r="N2969">
        <v>0</v>
      </c>
      <c r="O2969">
        <v>0</v>
      </c>
      <c r="P2969">
        <v>0</v>
      </c>
      <c r="Q2969">
        <v>48</v>
      </c>
      <c r="R2969" s="3">
        <v>0</v>
      </c>
      <c r="S2969" s="3">
        <v>0</v>
      </c>
      <c r="T2969">
        <v>0</v>
      </c>
      <c r="U2969">
        <v>0</v>
      </c>
      <c r="V2969" s="3">
        <v>0</v>
      </c>
      <c r="W2969" s="3">
        <v>0</v>
      </c>
      <c r="X2969">
        <v>0</v>
      </c>
      <c r="Y2969" t="s">
        <v>2355</v>
      </c>
    </row>
    <row r="2970" spans="1:25" hidden="1" x14ac:dyDescent="0.25">
      <c r="A2970" t="s">
        <v>41</v>
      </c>
      <c r="B2970" t="s">
        <v>112</v>
      </c>
      <c r="C2970" t="s">
        <v>42</v>
      </c>
      <c r="D2970" t="s">
        <v>27</v>
      </c>
      <c r="E2970" s="2">
        <v>46006</v>
      </c>
      <c r="F2970" s="2">
        <v>46006</v>
      </c>
      <c r="G2970" s="3">
        <v>50</v>
      </c>
      <c r="H2970" s="4" t="s">
        <v>28</v>
      </c>
      <c r="I2970">
        <v>40</v>
      </c>
      <c r="J2970">
        <v>0</v>
      </c>
      <c r="K2970">
        <v>0</v>
      </c>
      <c r="L2970" s="3">
        <v>1</v>
      </c>
      <c r="M2970" s="3">
        <v>0</v>
      </c>
      <c r="N2970">
        <v>0</v>
      </c>
      <c r="O2970">
        <v>0</v>
      </c>
      <c r="P2970">
        <v>0</v>
      </c>
      <c r="Q2970">
        <v>4</v>
      </c>
      <c r="R2970" s="3">
        <v>0</v>
      </c>
      <c r="S2970" s="3">
        <v>0</v>
      </c>
      <c r="T2970">
        <v>0</v>
      </c>
      <c r="U2970">
        <v>0</v>
      </c>
      <c r="V2970" s="3">
        <v>0</v>
      </c>
      <c r="W2970" s="3">
        <v>0</v>
      </c>
      <c r="X2970">
        <v>0</v>
      </c>
      <c r="Y2970" t="s">
        <v>2356</v>
      </c>
    </row>
    <row r="2971" spans="1:25" hidden="1" x14ac:dyDescent="0.25">
      <c r="A2971" t="s">
        <v>43</v>
      </c>
      <c r="B2971" t="s">
        <v>114</v>
      </c>
      <c r="C2971" t="s">
        <v>44</v>
      </c>
      <c r="D2971" t="s">
        <v>27</v>
      </c>
      <c r="E2971" s="2">
        <v>46006</v>
      </c>
      <c r="F2971" s="2">
        <v>46006</v>
      </c>
      <c r="G2971" s="3">
        <v>23</v>
      </c>
      <c r="H2971" s="4" t="s">
        <v>28</v>
      </c>
      <c r="I2971">
        <v>28</v>
      </c>
      <c r="J2971">
        <v>0</v>
      </c>
      <c r="K2971">
        <v>0</v>
      </c>
      <c r="L2971" s="3">
        <v>0</v>
      </c>
      <c r="M2971" s="3">
        <v>0</v>
      </c>
      <c r="N2971">
        <v>0</v>
      </c>
      <c r="O2971">
        <v>0</v>
      </c>
      <c r="P2971">
        <v>0</v>
      </c>
      <c r="Q2971">
        <v>0</v>
      </c>
      <c r="R2971" s="3">
        <v>0</v>
      </c>
      <c r="S2971" s="3">
        <v>0</v>
      </c>
      <c r="T2971">
        <v>0</v>
      </c>
      <c r="U2971">
        <v>0</v>
      </c>
      <c r="V2971" s="3">
        <v>0</v>
      </c>
      <c r="W2971" s="3">
        <v>0</v>
      </c>
      <c r="X2971">
        <v>0</v>
      </c>
      <c r="Y2971" t="s">
        <v>2357</v>
      </c>
    </row>
    <row r="2972" spans="1:25" hidden="1" x14ac:dyDescent="0.25">
      <c r="A2972" t="s">
        <v>2118</v>
      </c>
      <c r="B2972" t="s">
        <v>2119</v>
      </c>
      <c r="C2972" t="s">
        <v>27</v>
      </c>
      <c r="D2972" t="s">
        <v>27</v>
      </c>
      <c r="E2972" s="2">
        <v>46006</v>
      </c>
      <c r="F2972" s="2">
        <v>46006</v>
      </c>
      <c r="G2972" s="3">
        <v>57</v>
      </c>
      <c r="H2972" s="4" t="s">
        <v>28</v>
      </c>
      <c r="I2972">
        <v>39</v>
      </c>
      <c r="J2972">
        <v>0</v>
      </c>
      <c r="K2972">
        <v>0</v>
      </c>
      <c r="L2972" s="3">
        <v>1</v>
      </c>
      <c r="M2972" s="3">
        <v>0</v>
      </c>
      <c r="N2972">
        <v>0</v>
      </c>
      <c r="O2972">
        <v>0</v>
      </c>
      <c r="P2972">
        <v>0</v>
      </c>
      <c r="Q2972">
        <v>39</v>
      </c>
      <c r="R2972" s="3">
        <v>0</v>
      </c>
      <c r="S2972" s="3">
        <v>0</v>
      </c>
      <c r="T2972">
        <v>0</v>
      </c>
      <c r="U2972">
        <v>0</v>
      </c>
      <c r="V2972" s="3">
        <v>0</v>
      </c>
      <c r="W2972" s="3">
        <v>0</v>
      </c>
      <c r="X2972">
        <v>0</v>
      </c>
      <c r="Y2972" t="s">
        <v>2358</v>
      </c>
    </row>
    <row r="2973" spans="1:25" hidden="1" x14ac:dyDescent="0.25">
      <c r="A2973" t="s">
        <v>45</v>
      </c>
      <c r="B2973" t="s">
        <v>116</v>
      </c>
      <c r="C2973" t="s">
        <v>46</v>
      </c>
      <c r="D2973" t="s">
        <v>27</v>
      </c>
      <c r="E2973" s="2">
        <v>46006</v>
      </c>
      <c r="F2973" s="2">
        <v>46006</v>
      </c>
      <c r="G2973" s="3">
        <v>77</v>
      </c>
      <c r="H2973" s="4" t="s">
        <v>28</v>
      </c>
      <c r="I2973">
        <v>48</v>
      </c>
      <c r="J2973">
        <v>0</v>
      </c>
      <c r="K2973">
        <v>0</v>
      </c>
      <c r="L2973" s="3">
        <v>1</v>
      </c>
      <c r="M2973" s="3">
        <v>0</v>
      </c>
      <c r="N2973">
        <v>0</v>
      </c>
      <c r="O2973">
        <v>0</v>
      </c>
      <c r="P2973">
        <v>0</v>
      </c>
      <c r="Q2973">
        <v>8</v>
      </c>
      <c r="R2973" s="3">
        <v>0</v>
      </c>
      <c r="S2973" s="3">
        <v>0</v>
      </c>
      <c r="T2973">
        <v>0</v>
      </c>
      <c r="U2973">
        <v>0</v>
      </c>
      <c r="V2973" s="3">
        <v>0</v>
      </c>
      <c r="W2973" s="3">
        <v>0</v>
      </c>
      <c r="X2973">
        <v>0</v>
      </c>
      <c r="Y2973" t="s">
        <v>2359</v>
      </c>
    </row>
    <row r="2974" spans="1:25" hidden="1" x14ac:dyDescent="0.25">
      <c r="A2974" t="s">
        <v>47</v>
      </c>
      <c r="B2974" t="s">
        <v>137</v>
      </c>
      <c r="C2974" t="s">
        <v>2310</v>
      </c>
      <c r="D2974" t="s">
        <v>27</v>
      </c>
      <c r="E2974" s="2">
        <v>46006</v>
      </c>
      <c r="F2974" s="2">
        <v>46006</v>
      </c>
      <c r="G2974" s="3">
        <v>52</v>
      </c>
      <c r="H2974" s="4" t="s">
        <v>28</v>
      </c>
      <c r="I2974">
        <v>23</v>
      </c>
      <c r="J2974">
        <v>0</v>
      </c>
      <c r="K2974">
        <v>0</v>
      </c>
      <c r="L2974" s="3">
        <v>0</v>
      </c>
      <c r="M2974" s="3">
        <v>0</v>
      </c>
      <c r="N2974">
        <v>0</v>
      </c>
      <c r="O2974">
        <v>0</v>
      </c>
      <c r="P2974">
        <v>0</v>
      </c>
      <c r="Q2974">
        <v>0</v>
      </c>
      <c r="R2974" s="3">
        <v>0</v>
      </c>
      <c r="S2974" s="3">
        <v>0</v>
      </c>
      <c r="T2974">
        <v>0</v>
      </c>
      <c r="U2974">
        <v>0</v>
      </c>
      <c r="V2974" s="3">
        <v>0</v>
      </c>
      <c r="W2974" s="3">
        <v>0</v>
      </c>
      <c r="X2974">
        <v>0</v>
      </c>
      <c r="Y2974" t="s">
        <v>2360</v>
      </c>
    </row>
    <row r="2975" spans="1:25" hidden="1" x14ac:dyDescent="0.25">
      <c r="A2975" t="s">
        <v>49</v>
      </c>
      <c r="B2975" t="s">
        <v>118</v>
      </c>
      <c r="C2975" t="s">
        <v>50</v>
      </c>
      <c r="D2975" t="s">
        <v>27</v>
      </c>
      <c r="E2975" s="2">
        <v>46006</v>
      </c>
      <c r="F2975" s="2">
        <v>46006</v>
      </c>
      <c r="G2975" s="3">
        <v>41</v>
      </c>
      <c r="H2975" s="4" t="s">
        <v>28</v>
      </c>
      <c r="I2975">
        <v>41</v>
      </c>
      <c r="J2975">
        <v>0</v>
      </c>
      <c r="K2975">
        <v>0</v>
      </c>
      <c r="L2975" s="3">
        <v>1</v>
      </c>
      <c r="M2975" s="3">
        <v>1</v>
      </c>
      <c r="N2975">
        <v>0</v>
      </c>
      <c r="O2975">
        <v>0</v>
      </c>
      <c r="P2975">
        <v>0</v>
      </c>
      <c r="Q2975">
        <v>28</v>
      </c>
      <c r="R2975" s="3">
        <v>0</v>
      </c>
      <c r="S2975" s="3">
        <v>0</v>
      </c>
      <c r="T2975">
        <v>0</v>
      </c>
      <c r="U2975">
        <v>0</v>
      </c>
      <c r="V2975" s="3">
        <v>0</v>
      </c>
      <c r="W2975" s="3">
        <v>0</v>
      </c>
      <c r="X2975">
        <v>0</v>
      </c>
      <c r="Y2975" t="s">
        <v>2361</v>
      </c>
    </row>
    <row r="2976" spans="1:25" hidden="1" x14ac:dyDescent="0.25">
      <c r="A2976" t="s">
        <v>54</v>
      </c>
      <c r="B2976" t="s">
        <v>122</v>
      </c>
      <c r="C2976" t="s">
        <v>52</v>
      </c>
      <c r="D2976" t="s">
        <v>27</v>
      </c>
      <c r="E2976" s="2">
        <v>46006</v>
      </c>
      <c r="F2976" s="2">
        <v>46006</v>
      </c>
      <c r="G2976" s="3">
        <v>42</v>
      </c>
      <c r="H2976" s="4" t="s">
        <v>28</v>
      </c>
      <c r="I2976">
        <v>27</v>
      </c>
      <c r="J2976">
        <v>0</v>
      </c>
      <c r="K2976">
        <v>0</v>
      </c>
      <c r="L2976" s="3">
        <v>0</v>
      </c>
      <c r="M2976" s="3">
        <v>0</v>
      </c>
      <c r="N2976">
        <v>0</v>
      </c>
      <c r="O2976">
        <v>0</v>
      </c>
      <c r="P2976">
        <v>0</v>
      </c>
      <c r="Q2976">
        <v>2</v>
      </c>
      <c r="R2976" s="3">
        <v>0</v>
      </c>
      <c r="S2976" s="3">
        <v>0</v>
      </c>
      <c r="T2976">
        <v>0</v>
      </c>
      <c r="U2976">
        <v>0</v>
      </c>
      <c r="V2976" s="3">
        <v>0</v>
      </c>
      <c r="W2976" s="3">
        <v>0</v>
      </c>
      <c r="X2976">
        <v>1</v>
      </c>
      <c r="Y2976" t="s">
        <v>2362</v>
      </c>
    </row>
    <row r="2977" spans="1:25" hidden="1" x14ac:dyDescent="0.25">
      <c r="A2977" t="s">
        <v>48</v>
      </c>
      <c r="B2977" t="s">
        <v>149</v>
      </c>
      <c r="C2977" t="s">
        <v>55</v>
      </c>
      <c r="D2977" t="s">
        <v>27</v>
      </c>
      <c r="E2977" s="2">
        <v>46006</v>
      </c>
      <c r="F2977" s="2">
        <v>46006</v>
      </c>
      <c r="G2977" s="3">
        <v>75</v>
      </c>
      <c r="H2977" s="4" t="s">
        <v>28</v>
      </c>
      <c r="I2977">
        <v>35</v>
      </c>
      <c r="J2977">
        <v>0</v>
      </c>
      <c r="K2977">
        <v>0</v>
      </c>
      <c r="L2977" s="3">
        <v>1</v>
      </c>
      <c r="M2977" s="3">
        <v>0</v>
      </c>
      <c r="N2977">
        <v>1</v>
      </c>
      <c r="O2977">
        <v>0</v>
      </c>
      <c r="P2977">
        <v>0</v>
      </c>
      <c r="Q2977">
        <v>0</v>
      </c>
      <c r="R2977" s="3">
        <v>0</v>
      </c>
      <c r="S2977" s="3">
        <v>0</v>
      </c>
      <c r="T2977">
        <v>0</v>
      </c>
      <c r="U2977">
        <v>0</v>
      </c>
      <c r="V2977" s="3">
        <v>0</v>
      </c>
      <c r="W2977" s="3">
        <v>0</v>
      </c>
      <c r="X2977">
        <v>0</v>
      </c>
      <c r="Y2977" t="s">
        <v>2363</v>
      </c>
    </row>
    <row r="2978" spans="1:25" hidden="1" x14ac:dyDescent="0.25">
      <c r="A2978" t="s">
        <v>58</v>
      </c>
      <c r="B2978" t="s">
        <v>144</v>
      </c>
      <c r="C2978" t="s">
        <v>2126</v>
      </c>
      <c r="D2978" t="s">
        <v>27</v>
      </c>
      <c r="E2978" s="2">
        <v>46006</v>
      </c>
      <c r="F2978" s="2">
        <v>46006</v>
      </c>
      <c r="G2978" s="3">
        <v>63</v>
      </c>
      <c r="H2978" s="4" t="s">
        <v>28</v>
      </c>
      <c r="I2978">
        <v>58</v>
      </c>
      <c r="J2978">
        <v>0</v>
      </c>
      <c r="K2978">
        <v>0</v>
      </c>
      <c r="L2978" s="3">
        <v>1</v>
      </c>
      <c r="M2978" s="3">
        <v>0</v>
      </c>
      <c r="N2978">
        <v>0</v>
      </c>
      <c r="O2978">
        <v>0</v>
      </c>
      <c r="P2978">
        <v>0</v>
      </c>
      <c r="Q2978">
        <v>0</v>
      </c>
      <c r="R2978" s="3">
        <v>0</v>
      </c>
      <c r="S2978" s="3">
        <v>0</v>
      </c>
      <c r="T2978">
        <v>0</v>
      </c>
      <c r="U2978">
        <v>0</v>
      </c>
      <c r="V2978" s="3">
        <v>0</v>
      </c>
      <c r="W2978" s="3">
        <v>0</v>
      </c>
      <c r="X2978">
        <v>0</v>
      </c>
      <c r="Y2978" t="s">
        <v>2364</v>
      </c>
    </row>
    <row r="2979" spans="1:25" hidden="1" x14ac:dyDescent="0.25">
      <c r="A2979" t="s">
        <v>25</v>
      </c>
      <c r="B2979" t="s">
        <v>96</v>
      </c>
      <c r="C2979" t="s">
        <v>26</v>
      </c>
      <c r="D2979" t="s">
        <v>27</v>
      </c>
      <c r="E2979" s="2">
        <v>46007</v>
      </c>
      <c r="F2979" s="2">
        <v>46007</v>
      </c>
      <c r="G2979" s="3">
        <v>120</v>
      </c>
      <c r="H2979" s="4" t="s">
        <v>28</v>
      </c>
      <c r="I2979">
        <v>30</v>
      </c>
      <c r="J2979">
        <v>0</v>
      </c>
      <c r="K2979">
        <v>0</v>
      </c>
      <c r="L2979" s="3">
        <v>1</v>
      </c>
      <c r="M2979" s="3">
        <v>0</v>
      </c>
      <c r="N2979">
        <v>1</v>
      </c>
      <c r="O2979">
        <v>0</v>
      </c>
      <c r="P2979">
        <v>0</v>
      </c>
      <c r="Q2979">
        <v>0</v>
      </c>
      <c r="R2979" s="3">
        <v>0</v>
      </c>
      <c r="S2979" s="3">
        <v>0</v>
      </c>
      <c r="T2979">
        <v>0</v>
      </c>
      <c r="U2979">
        <v>0</v>
      </c>
      <c r="V2979" s="3">
        <v>0</v>
      </c>
      <c r="W2979" s="3">
        <v>0</v>
      </c>
      <c r="X2979">
        <v>0</v>
      </c>
      <c r="Y2979" t="s">
        <v>2365</v>
      </c>
    </row>
    <row r="2980" spans="1:25" hidden="1" x14ac:dyDescent="0.25">
      <c r="A2980" t="s">
        <v>454</v>
      </c>
      <c r="B2980" t="s">
        <v>100</v>
      </c>
      <c r="C2980" t="s">
        <v>95</v>
      </c>
      <c r="D2980" t="s">
        <v>27</v>
      </c>
      <c r="E2980" s="2">
        <v>46007</v>
      </c>
      <c r="F2980" s="2">
        <v>46007</v>
      </c>
      <c r="G2980" s="3">
        <v>29</v>
      </c>
      <c r="H2980" s="4" t="s">
        <v>28</v>
      </c>
      <c r="I2980">
        <v>36</v>
      </c>
      <c r="J2980">
        <v>0</v>
      </c>
      <c r="K2980">
        <v>0</v>
      </c>
      <c r="L2980" s="3">
        <v>0</v>
      </c>
      <c r="M2980" s="3">
        <v>0</v>
      </c>
      <c r="N2980">
        <v>0</v>
      </c>
      <c r="O2980">
        <v>0</v>
      </c>
      <c r="P2980">
        <v>0</v>
      </c>
      <c r="Q2980">
        <v>11</v>
      </c>
      <c r="R2980" s="3">
        <v>0</v>
      </c>
      <c r="S2980" s="3">
        <v>0</v>
      </c>
      <c r="T2980">
        <v>0</v>
      </c>
      <c r="U2980">
        <v>0</v>
      </c>
      <c r="V2980" s="3">
        <v>0</v>
      </c>
      <c r="W2980" s="3">
        <v>0</v>
      </c>
      <c r="X2980">
        <v>0</v>
      </c>
      <c r="Y2980" t="s">
        <v>2366</v>
      </c>
    </row>
    <row r="2981" spans="1:25" hidden="1" x14ac:dyDescent="0.25">
      <c r="A2981" t="s">
        <v>344</v>
      </c>
      <c r="B2981" t="s">
        <v>102</v>
      </c>
      <c r="C2981" t="s">
        <v>35</v>
      </c>
      <c r="D2981" t="s">
        <v>27</v>
      </c>
      <c r="E2981" s="2">
        <v>46007</v>
      </c>
      <c r="F2981" s="2">
        <v>46007</v>
      </c>
      <c r="G2981" s="3">
        <v>45</v>
      </c>
      <c r="H2981" s="4" t="s">
        <v>28</v>
      </c>
      <c r="I2981">
        <v>48</v>
      </c>
      <c r="J2981">
        <v>0</v>
      </c>
      <c r="K2981">
        <v>0</v>
      </c>
      <c r="L2981" s="3">
        <v>0</v>
      </c>
      <c r="M2981" s="3">
        <v>0</v>
      </c>
      <c r="N2981">
        <v>0</v>
      </c>
      <c r="O2981">
        <v>0</v>
      </c>
      <c r="P2981">
        <v>0</v>
      </c>
      <c r="Q2981">
        <v>2</v>
      </c>
      <c r="R2981" s="3">
        <v>0</v>
      </c>
      <c r="S2981" s="3">
        <v>0</v>
      </c>
      <c r="T2981">
        <v>0</v>
      </c>
      <c r="U2981">
        <v>0</v>
      </c>
      <c r="V2981" s="3">
        <v>0</v>
      </c>
      <c r="W2981" s="3">
        <v>0</v>
      </c>
      <c r="X2981">
        <v>0</v>
      </c>
      <c r="Y2981" t="s">
        <v>2215</v>
      </c>
    </row>
    <row r="2982" spans="1:25" hidden="1" x14ac:dyDescent="0.25">
      <c r="A2982" t="s">
        <v>94</v>
      </c>
      <c r="B2982" t="s">
        <v>102</v>
      </c>
      <c r="C2982" t="s">
        <v>37</v>
      </c>
      <c r="D2982" t="s">
        <v>27</v>
      </c>
      <c r="E2982" s="2">
        <v>46007</v>
      </c>
      <c r="F2982" s="2">
        <v>46007</v>
      </c>
      <c r="G2982" s="3">
        <v>45</v>
      </c>
      <c r="H2982" s="4" t="s">
        <v>28</v>
      </c>
      <c r="I2982">
        <v>48</v>
      </c>
      <c r="J2982">
        <v>0</v>
      </c>
      <c r="K2982">
        <v>0</v>
      </c>
      <c r="L2982" s="3">
        <v>0</v>
      </c>
      <c r="M2982" s="3">
        <v>0</v>
      </c>
      <c r="N2982">
        <v>0</v>
      </c>
      <c r="O2982">
        <v>0</v>
      </c>
      <c r="P2982">
        <v>0</v>
      </c>
      <c r="Q2982">
        <v>2</v>
      </c>
      <c r="R2982" s="3">
        <v>0</v>
      </c>
      <c r="S2982" s="3">
        <v>0</v>
      </c>
      <c r="T2982">
        <v>0</v>
      </c>
      <c r="U2982">
        <v>0</v>
      </c>
      <c r="V2982" s="3">
        <v>0</v>
      </c>
      <c r="W2982" s="3">
        <v>0</v>
      </c>
      <c r="X2982">
        <v>0</v>
      </c>
      <c r="Y2982" t="s">
        <v>2215</v>
      </c>
    </row>
    <row r="2983" spans="1:25" hidden="1" x14ac:dyDescent="0.25">
      <c r="A2983" t="s">
        <v>31</v>
      </c>
      <c r="B2983" t="s">
        <v>104</v>
      </c>
      <c r="C2983" t="s">
        <v>32</v>
      </c>
      <c r="D2983" t="s">
        <v>27</v>
      </c>
      <c r="E2983" s="2">
        <v>46007</v>
      </c>
      <c r="F2983" s="2">
        <v>46007</v>
      </c>
      <c r="G2983" s="3">
        <v>51</v>
      </c>
      <c r="H2983" s="4" t="s">
        <v>28</v>
      </c>
      <c r="I2983">
        <v>52</v>
      </c>
      <c r="J2983">
        <v>8</v>
      </c>
      <c r="K2983">
        <v>0</v>
      </c>
      <c r="L2983" s="3">
        <v>0</v>
      </c>
      <c r="M2983" s="3">
        <v>0</v>
      </c>
      <c r="N2983">
        <v>0</v>
      </c>
      <c r="O2983">
        <v>0</v>
      </c>
      <c r="P2983">
        <v>0</v>
      </c>
      <c r="Q2983">
        <v>30</v>
      </c>
      <c r="R2983" s="3">
        <v>0</v>
      </c>
      <c r="S2983" s="3">
        <v>0</v>
      </c>
      <c r="T2983">
        <v>0</v>
      </c>
      <c r="U2983">
        <v>0</v>
      </c>
      <c r="V2983" s="3">
        <v>0</v>
      </c>
      <c r="W2983" s="3">
        <v>0</v>
      </c>
      <c r="X2983">
        <v>0</v>
      </c>
      <c r="Y2983" t="s">
        <v>2367</v>
      </c>
    </row>
    <row r="2984" spans="1:25" hidden="1" x14ac:dyDescent="0.25">
      <c r="A2984" t="s">
        <v>38</v>
      </c>
      <c r="B2984" t="s">
        <v>108</v>
      </c>
      <c r="C2984" t="s">
        <v>27</v>
      </c>
      <c r="D2984" t="s">
        <v>27</v>
      </c>
      <c r="E2984" s="2">
        <v>46007</v>
      </c>
      <c r="F2984" s="2">
        <v>46007</v>
      </c>
      <c r="G2984" s="3">
        <v>41</v>
      </c>
      <c r="H2984" s="4" t="s">
        <v>28</v>
      </c>
      <c r="I2984">
        <v>37</v>
      </c>
      <c r="J2984">
        <v>0</v>
      </c>
      <c r="K2984">
        <v>0</v>
      </c>
      <c r="L2984" s="3">
        <v>0</v>
      </c>
      <c r="M2984" s="3">
        <v>0</v>
      </c>
      <c r="N2984">
        <v>0</v>
      </c>
      <c r="O2984">
        <v>0</v>
      </c>
      <c r="P2984">
        <v>0</v>
      </c>
      <c r="Q2984">
        <v>33</v>
      </c>
      <c r="R2984" s="3">
        <v>0</v>
      </c>
      <c r="S2984" s="3">
        <v>0</v>
      </c>
      <c r="T2984">
        <v>0</v>
      </c>
      <c r="U2984">
        <v>0</v>
      </c>
      <c r="V2984" s="3">
        <v>0</v>
      </c>
      <c r="W2984" s="3">
        <v>0</v>
      </c>
      <c r="X2984">
        <v>0</v>
      </c>
      <c r="Y2984" t="s">
        <v>2368</v>
      </c>
    </row>
    <row r="2985" spans="1:25" hidden="1" x14ac:dyDescent="0.25">
      <c r="A2985" t="s">
        <v>40</v>
      </c>
      <c r="B2985" t="s">
        <v>110</v>
      </c>
      <c r="C2985" t="s">
        <v>27</v>
      </c>
      <c r="D2985" t="s">
        <v>27</v>
      </c>
      <c r="E2985" s="2">
        <v>46007</v>
      </c>
      <c r="F2985" s="2">
        <v>46007</v>
      </c>
      <c r="G2985" s="3">
        <v>86</v>
      </c>
      <c r="H2985" s="4" t="s">
        <v>28</v>
      </c>
      <c r="I2985">
        <v>48</v>
      </c>
      <c r="J2985">
        <v>0</v>
      </c>
      <c r="K2985">
        <v>0</v>
      </c>
      <c r="L2985" s="3">
        <v>1</v>
      </c>
      <c r="M2985" s="3">
        <v>0</v>
      </c>
      <c r="N2985">
        <v>1</v>
      </c>
      <c r="O2985">
        <v>0</v>
      </c>
      <c r="P2985">
        <v>0</v>
      </c>
      <c r="Q2985">
        <v>0</v>
      </c>
      <c r="R2985" s="3">
        <v>0</v>
      </c>
      <c r="S2985" s="3">
        <v>0</v>
      </c>
      <c r="T2985">
        <v>0</v>
      </c>
      <c r="U2985">
        <v>0</v>
      </c>
      <c r="V2985" s="3">
        <v>0</v>
      </c>
      <c r="W2985" s="3">
        <v>0</v>
      </c>
      <c r="X2985">
        <v>0</v>
      </c>
      <c r="Y2985" t="s">
        <v>2369</v>
      </c>
    </row>
    <row r="2986" spans="1:25" hidden="1" x14ac:dyDescent="0.25">
      <c r="A2986" t="s">
        <v>36</v>
      </c>
      <c r="B2986" t="s">
        <v>110</v>
      </c>
      <c r="C2986" t="s">
        <v>27</v>
      </c>
      <c r="D2986" t="s">
        <v>27</v>
      </c>
      <c r="E2986" s="2">
        <v>46007</v>
      </c>
      <c r="F2986" s="2">
        <v>46007</v>
      </c>
      <c r="G2986" s="3">
        <v>86</v>
      </c>
      <c r="H2986" s="4" t="s">
        <v>28</v>
      </c>
      <c r="I2986">
        <v>48</v>
      </c>
      <c r="J2986">
        <v>0</v>
      </c>
      <c r="K2986">
        <v>0</v>
      </c>
      <c r="L2986" s="3">
        <v>1</v>
      </c>
      <c r="M2986" s="3">
        <v>0</v>
      </c>
      <c r="N2986">
        <v>1</v>
      </c>
      <c r="O2986">
        <v>0</v>
      </c>
      <c r="P2986">
        <v>0</v>
      </c>
      <c r="Q2986">
        <v>0</v>
      </c>
      <c r="R2986" s="3">
        <v>0</v>
      </c>
      <c r="S2986" s="3">
        <v>0</v>
      </c>
      <c r="T2986">
        <v>0</v>
      </c>
      <c r="U2986">
        <v>0</v>
      </c>
      <c r="V2986" s="3">
        <v>0</v>
      </c>
      <c r="W2986" s="3">
        <v>0</v>
      </c>
      <c r="X2986">
        <v>0</v>
      </c>
      <c r="Y2986" t="s">
        <v>2369</v>
      </c>
    </row>
    <row r="2987" spans="1:25" hidden="1" x14ac:dyDescent="0.25">
      <c r="A2987" t="s">
        <v>1454</v>
      </c>
      <c r="B2987" t="s">
        <v>1455</v>
      </c>
      <c r="C2987" t="s">
        <v>27</v>
      </c>
      <c r="D2987" t="s">
        <v>27</v>
      </c>
      <c r="E2987" s="2">
        <v>46007</v>
      </c>
      <c r="F2987" s="2">
        <v>46007</v>
      </c>
      <c r="G2987" s="3">
        <v>46</v>
      </c>
      <c r="H2987" s="4" t="s">
        <v>28</v>
      </c>
      <c r="I2987">
        <v>38</v>
      </c>
      <c r="J2987">
        <v>0</v>
      </c>
      <c r="K2987">
        <v>0</v>
      </c>
      <c r="L2987" s="3">
        <v>1</v>
      </c>
      <c r="M2987" s="3">
        <v>0</v>
      </c>
      <c r="N2987">
        <v>0</v>
      </c>
      <c r="O2987">
        <v>0</v>
      </c>
      <c r="P2987">
        <v>0</v>
      </c>
      <c r="Q2987">
        <v>38</v>
      </c>
      <c r="R2987" s="3">
        <v>0</v>
      </c>
      <c r="S2987" s="3">
        <v>0</v>
      </c>
      <c r="T2987">
        <v>0</v>
      </c>
      <c r="U2987">
        <v>0</v>
      </c>
      <c r="V2987" s="3">
        <v>0</v>
      </c>
      <c r="W2987" s="3">
        <v>0</v>
      </c>
      <c r="X2987">
        <v>0</v>
      </c>
      <c r="Y2987" t="s">
        <v>2370</v>
      </c>
    </row>
    <row r="2988" spans="1:25" hidden="1" x14ac:dyDescent="0.25">
      <c r="A2988" t="s">
        <v>41</v>
      </c>
      <c r="B2988" t="s">
        <v>112</v>
      </c>
      <c r="C2988" t="s">
        <v>42</v>
      </c>
      <c r="D2988" t="s">
        <v>27</v>
      </c>
      <c r="E2988" s="2">
        <v>46007</v>
      </c>
      <c r="F2988" s="2">
        <v>46007</v>
      </c>
      <c r="G2988" s="3">
        <v>42</v>
      </c>
      <c r="H2988" s="4" t="s">
        <v>28</v>
      </c>
      <c r="I2988">
        <v>39</v>
      </c>
      <c r="J2988">
        <v>4</v>
      </c>
      <c r="K2988">
        <v>0</v>
      </c>
      <c r="L2988" s="3">
        <v>1</v>
      </c>
      <c r="M2988" s="3">
        <v>0</v>
      </c>
      <c r="N2988">
        <v>0</v>
      </c>
      <c r="O2988">
        <v>0</v>
      </c>
      <c r="P2988">
        <v>0</v>
      </c>
      <c r="Q2988">
        <v>1</v>
      </c>
      <c r="R2988" s="3">
        <v>0</v>
      </c>
      <c r="S2988" s="3">
        <v>0</v>
      </c>
      <c r="T2988">
        <v>0</v>
      </c>
      <c r="U2988">
        <v>0</v>
      </c>
      <c r="V2988" s="3">
        <v>0</v>
      </c>
      <c r="W2988" s="3">
        <v>0</v>
      </c>
      <c r="X2988">
        <v>0</v>
      </c>
      <c r="Y2988" t="s">
        <v>2371</v>
      </c>
    </row>
    <row r="2989" spans="1:25" hidden="1" x14ac:dyDescent="0.25">
      <c r="A2989" t="s">
        <v>43</v>
      </c>
      <c r="B2989" t="s">
        <v>114</v>
      </c>
      <c r="C2989" t="s">
        <v>44</v>
      </c>
      <c r="D2989" t="s">
        <v>27</v>
      </c>
      <c r="E2989" s="2">
        <v>46007</v>
      </c>
      <c r="F2989" s="2">
        <v>46007</v>
      </c>
      <c r="G2989" s="3">
        <v>25</v>
      </c>
      <c r="H2989" s="4" t="s">
        <v>28</v>
      </c>
      <c r="I2989">
        <v>73</v>
      </c>
      <c r="J2989">
        <v>0</v>
      </c>
      <c r="K2989">
        <v>0</v>
      </c>
      <c r="L2989" s="3">
        <v>1</v>
      </c>
      <c r="M2989" s="3">
        <v>0</v>
      </c>
      <c r="N2989">
        <v>0</v>
      </c>
      <c r="O2989">
        <v>0</v>
      </c>
      <c r="P2989">
        <v>0</v>
      </c>
      <c r="Q2989">
        <v>0</v>
      </c>
      <c r="R2989" s="3">
        <v>0</v>
      </c>
      <c r="S2989" s="3">
        <v>0</v>
      </c>
      <c r="T2989">
        <v>0</v>
      </c>
      <c r="U2989">
        <v>0</v>
      </c>
      <c r="V2989" s="3">
        <v>0</v>
      </c>
      <c r="W2989" s="3">
        <v>0</v>
      </c>
      <c r="X2989">
        <v>0</v>
      </c>
      <c r="Y2989" t="s">
        <v>2372</v>
      </c>
    </row>
    <row r="2990" spans="1:25" hidden="1" x14ac:dyDescent="0.25">
      <c r="A2990" t="s">
        <v>45</v>
      </c>
      <c r="B2990" t="s">
        <v>116</v>
      </c>
      <c r="C2990" t="s">
        <v>46</v>
      </c>
      <c r="D2990" t="s">
        <v>27</v>
      </c>
      <c r="E2990" s="2">
        <v>46007</v>
      </c>
      <c r="F2990" s="2">
        <v>46007</v>
      </c>
      <c r="G2990" s="3">
        <v>47</v>
      </c>
      <c r="H2990" s="4" t="s">
        <v>28</v>
      </c>
      <c r="I2990">
        <v>25</v>
      </c>
      <c r="J2990">
        <v>22</v>
      </c>
      <c r="K2990">
        <v>0</v>
      </c>
      <c r="L2990" s="3">
        <v>0</v>
      </c>
      <c r="M2990" s="3">
        <v>0</v>
      </c>
      <c r="N2990">
        <v>0</v>
      </c>
      <c r="O2990">
        <v>0</v>
      </c>
      <c r="P2990">
        <v>0</v>
      </c>
      <c r="Q2990">
        <v>0</v>
      </c>
      <c r="R2990" s="3">
        <v>0</v>
      </c>
      <c r="S2990" s="3">
        <v>0</v>
      </c>
      <c r="T2990">
        <v>0</v>
      </c>
      <c r="U2990">
        <v>0</v>
      </c>
      <c r="V2990" s="3">
        <v>0</v>
      </c>
      <c r="W2990" s="3">
        <v>0</v>
      </c>
      <c r="X2990">
        <v>0</v>
      </c>
      <c r="Y2990" t="s">
        <v>2373</v>
      </c>
    </row>
    <row r="2991" spans="1:25" hidden="1" x14ac:dyDescent="0.25">
      <c r="A2991" t="s">
        <v>47</v>
      </c>
      <c r="B2991" t="s">
        <v>137</v>
      </c>
      <c r="C2991" t="s">
        <v>2310</v>
      </c>
      <c r="D2991" t="s">
        <v>27</v>
      </c>
      <c r="E2991" s="2">
        <v>46007</v>
      </c>
      <c r="F2991" s="2">
        <v>46007</v>
      </c>
      <c r="G2991" s="3">
        <v>58</v>
      </c>
      <c r="H2991" s="4" t="s">
        <v>28</v>
      </c>
      <c r="I2991">
        <v>59</v>
      </c>
      <c r="J2991">
        <v>0</v>
      </c>
      <c r="K2991">
        <v>0</v>
      </c>
      <c r="L2991" s="3">
        <v>0</v>
      </c>
      <c r="M2991" s="3">
        <v>0</v>
      </c>
      <c r="N2991">
        <v>0</v>
      </c>
      <c r="O2991">
        <v>0</v>
      </c>
      <c r="P2991">
        <v>0</v>
      </c>
      <c r="Q2991">
        <v>0</v>
      </c>
      <c r="R2991" s="3">
        <v>0</v>
      </c>
      <c r="S2991" s="3">
        <v>0</v>
      </c>
      <c r="T2991">
        <v>0</v>
      </c>
      <c r="U2991">
        <v>0</v>
      </c>
      <c r="V2991" s="3">
        <v>0</v>
      </c>
      <c r="W2991" s="3">
        <v>0</v>
      </c>
      <c r="X2991">
        <v>0</v>
      </c>
      <c r="Y2991" t="s">
        <v>2374</v>
      </c>
    </row>
    <row r="2992" spans="1:25" hidden="1" x14ac:dyDescent="0.25">
      <c r="A2992" t="s">
        <v>49</v>
      </c>
      <c r="B2992" t="s">
        <v>118</v>
      </c>
      <c r="C2992" t="s">
        <v>50</v>
      </c>
      <c r="D2992" t="s">
        <v>27</v>
      </c>
      <c r="E2992" s="2">
        <v>46007</v>
      </c>
      <c r="F2992" s="2">
        <v>46007</v>
      </c>
      <c r="G2992" s="3">
        <v>24</v>
      </c>
      <c r="H2992" s="4" t="s">
        <v>28</v>
      </c>
      <c r="I2992">
        <v>51</v>
      </c>
      <c r="J2992">
        <v>0</v>
      </c>
      <c r="K2992">
        <v>0</v>
      </c>
      <c r="L2992" s="3">
        <v>1</v>
      </c>
      <c r="M2992" s="3">
        <v>1</v>
      </c>
      <c r="N2992">
        <v>0</v>
      </c>
      <c r="O2992">
        <v>1</v>
      </c>
      <c r="P2992">
        <v>0</v>
      </c>
      <c r="Q2992">
        <v>51</v>
      </c>
      <c r="R2992" s="3">
        <v>0</v>
      </c>
      <c r="S2992" s="3">
        <v>0</v>
      </c>
      <c r="T2992">
        <v>0</v>
      </c>
      <c r="U2992">
        <v>0</v>
      </c>
      <c r="V2992" s="3">
        <v>0</v>
      </c>
      <c r="W2992" s="3">
        <v>0</v>
      </c>
      <c r="X2992">
        <v>0</v>
      </c>
      <c r="Y2992" t="s">
        <v>2375</v>
      </c>
    </row>
    <row r="2993" spans="1:25" hidden="1" x14ac:dyDescent="0.25">
      <c r="A2993" t="s">
        <v>54</v>
      </c>
      <c r="B2993" t="s">
        <v>122</v>
      </c>
      <c r="C2993" t="s">
        <v>52</v>
      </c>
      <c r="D2993" t="s">
        <v>27</v>
      </c>
      <c r="E2993" s="2">
        <v>46007</v>
      </c>
      <c r="F2993" s="2">
        <v>46007</v>
      </c>
      <c r="G2993" s="3">
        <v>37</v>
      </c>
      <c r="H2993" s="4" t="s">
        <v>28</v>
      </c>
      <c r="I2993">
        <v>62</v>
      </c>
      <c r="J2993">
        <v>0</v>
      </c>
      <c r="K2993">
        <v>0</v>
      </c>
      <c r="L2993" s="3">
        <v>0</v>
      </c>
      <c r="M2993" s="3">
        <v>0</v>
      </c>
      <c r="N2993">
        <v>0</v>
      </c>
      <c r="O2993">
        <v>0</v>
      </c>
      <c r="P2993">
        <v>0</v>
      </c>
      <c r="Q2993">
        <v>2</v>
      </c>
      <c r="R2993" s="3">
        <v>0</v>
      </c>
      <c r="S2993" s="3">
        <v>0</v>
      </c>
      <c r="T2993">
        <v>0</v>
      </c>
      <c r="U2993">
        <v>0</v>
      </c>
      <c r="V2993" s="3">
        <v>0</v>
      </c>
      <c r="W2993" s="3">
        <v>0</v>
      </c>
      <c r="X2993">
        <v>0</v>
      </c>
      <c r="Y2993" t="s">
        <v>2376</v>
      </c>
    </row>
    <row r="2994" spans="1:25" hidden="1" x14ac:dyDescent="0.25">
      <c r="A2994" t="s">
        <v>58</v>
      </c>
      <c r="B2994" t="s">
        <v>144</v>
      </c>
      <c r="C2994" t="s">
        <v>58</v>
      </c>
      <c r="D2994" t="s">
        <v>27</v>
      </c>
      <c r="E2994" s="2">
        <v>46007</v>
      </c>
      <c r="F2994" s="2">
        <v>46007</v>
      </c>
      <c r="G2994" s="3">
        <v>43</v>
      </c>
      <c r="H2994" s="4" t="s">
        <v>28</v>
      </c>
      <c r="I2994">
        <v>19</v>
      </c>
      <c r="J2994">
        <v>2</v>
      </c>
      <c r="K2994">
        <v>0</v>
      </c>
      <c r="L2994" s="3">
        <v>1</v>
      </c>
      <c r="M2994" s="3">
        <v>0</v>
      </c>
      <c r="N2994">
        <v>0</v>
      </c>
      <c r="O2994">
        <v>0</v>
      </c>
      <c r="P2994">
        <v>0</v>
      </c>
      <c r="Q2994">
        <v>0</v>
      </c>
      <c r="R2994" s="3">
        <v>0</v>
      </c>
      <c r="S2994" s="3">
        <v>0</v>
      </c>
      <c r="T2994">
        <v>0</v>
      </c>
      <c r="U2994">
        <v>0</v>
      </c>
      <c r="V2994" s="3">
        <v>0</v>
      </c>
      <c r="W2994" s="3">
        <v>0</v>
      </c>
      <c r="X2994">
        <v>0</v>
      </c>
      <c r="Y2994" t="s">
        <v>2377</v>
      </c>
    </row>
    <row r="2995" spans="1:25" hidden="1" x14ac:dyDescent="0.25">
      <c r="A2995" s="1" t="s">
        <v>2378</v>
      </c>
      <c r="B2995" t="s">
        <v>106</v>
      </c>
      <c r="C2995" t="s">
        <v>27</v>
      </c>
      <c r="D2995" t="s">
        <v>27</v>
      </c>
      <c r="E2995" s="2">
        <v>46007</v>
      </c>
      <c r="F2995" s="2">
        <v>46007</v>
      </c>
      <c r="G2995" s="3">
        <v>44</v>
      </c>
      <c r="H2995" s="4" t="s">
        <v>28</v>
      </c>
      <c r="I2995">
        <v>62</v>
      </c>
      <c r="J2995">
        <v>0</v>
      </c>
      <c r="K2995">
        <v>0</v>
      </c>
      <c r="L2995" s="3">
        <v>0</v>
      </c>
      <c r="M2995" s="3">
        <v>0</v>
      </c>
      <c r="N2995">
        <v>0</v>
      </c>
      <c r="O2995">
        <v>0</v>
      </c>
      <c r="P2995">
        <v>0</v>
      </c>
      <c r="Q2995">
        <v>0</v>
      </c>
      <c r="R2995" s="3">
        <v>0</v>
      </c>
      <c r="S2995" s="3">
        <v>0</v>
      </c>
      <c r="T2995">
        <v>0</v>
      </c>
      <c r="U2995">
        <v>0</v>
      </c>
      <c r="V2995" s="3">
        <v>0</v>
      </c>
      <c r="W2995" s="3">
        <v>0</v>
      </c>
      <c r="X2995" s="3">
        <v>0</v>
      </c>
      <c r="Y2995" t="s">
        <v>2377</v>
      </c>
    </row>
    <row r="2996" spans="1:25" hidden="1" x14ac:dyDescent="0.25">
      <c r="A2996" t="s">
        <v>51</v>
      </c>
      <c r="B2996" t="s">
        <v>182</v>
      </c>
      <c r="C2996" t="s">
        <v>27</v>
      </c>
      <c r="D2996" t="s">
        <v>27</v>
      </c>
      <c r="E2996" s="2">
        <v>46007</v>
      </c>
      <c r="F2996" s="2">
        <v>46007</v>
      </c>
      <c r="G2996" s="3">
        <v>45</v>
      </c>
      <c r="H2996" s="4" t="s">
        <v>28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2377</v>
      </c>
    </row>
    <row r="2997" spans="1:25" hidden="1" x14ac:dyDescent="0.25">
      <c r="A2997" t="s">
        <v>48</v>
      </c>
      <c r="B2997" t="s">
        <v>184</v>
      </c>
      <c r="C2997" t="s">
        <v>27</v>
      </c>
      <c r="D2997" t="s">
        <v>27</v>
      </c>
      <c r="E2997" s="2">
        <v>46007</v>
      </c>
      <c r="F2997" s="2">
        <v>46007</v>
      </c>
      <c r="G2997" s="3">
        <v>46</v>
      </c>
      <c r="H2997" s="4" t="s">
        <v>28</v>
      </c>
      <c r="I2997">
        <v>45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2377</v>
      </c>
    </row>
    <row r="2998" spans="1:25" hidden="1" x14ac:dyDescent="0.25">
      <c r="A2998" t="s">
        <v>438</v>
      </c>
      <c r="B2998" t="s">
        <v>186</v>
      </c>
      <c r="C2998" t="s">
        <v>27</v>
      </c>
      <c r="D2998" t="s">
        <v>27</v>
      </c>
      <c r="E2998" s="2">
        <v>46007</v>
      </c>
      <c r="F2998" s="2">
        <v>46007</v>
      </c>
      <c r="G2998" s="3">
        <v>47</v>
      </c>
      <c r="H2998" s="4" t="s">
        <v>28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2377</v>
      </c>
    </row>
    <row r="2999" spans="1:25" hidden="1" x14ac:dyDescent="0.25">
      <c r="A2999" t="s">
        <v>29</v>
      </c>
      <c r="B2999" t="s">
        <v>188</v>
      </c>
      <c r="C2999" t="s">
        <v>27</v>
      </c>
      <c r="D2999" t="s">
        <v>27</v>
      </c>
      <c r="E2999" s="2">
        <v>46007</v>
      </c>
      <c r="F2999" s="2">
        <v>46007</v>
      </c>
      <c r="G2999" s="3">
        <v>48</v>
      </c>
      <c r="H2999" s="4" t="s">
        <v>28</v>
      </c>
      <c r="I2999">
        <v>40</v>
      </c>
      <c r="J2999">
        <v>0</v>
      </c>
      <c r="K2999">
        <v>0</v>
      </c>
      <c r="L2999" s="3">
        <v>0</v>
      </c>
      <c r="M2999" s="3">
        <v>0</v>
      </c>
      <c r="N2999">
        <v>0</v>
      </c>
      <c r="O2999">
        <v>0</v>
      </c>
      <c r="P2999">
        <v>0</v>
      </c>
      <c r="Q2999">
        <v>0</v>
      </c>
      <c r="R2999" s="3">
        <v>0</v>
      </c>
      <c r="S2999" s="3">
        <v>0</v>
      </c>
      <c r="T2999">
        <v>0</v>
      </c>
      <c r="U2999">
        <v>0</v>
      </c>
      <c r="V2999" s="3">
        <v>0</v>
      </c>
      <c r="W2999" s="3">
        <v>0</v>
      </c>
      <c r="X2999" s="3">
        <v>0</v>
      </c>
      <c r="Y2999" t="s">
        <v>2377</v>
      </c>
    </row>
    <row r="3000" spans="1:25" hidden="1" x14ac:dyDescent="0.25">
      <c r="A3000" t="s">
        <v>55</v>
      </c>
      <c r="B3000" t="s">
        <v>2072</v>
      </c>
      <c r="C3000" t="s">
        <v>2379</v>
      </c>
      <c r="D3000" t="s">
        <v>27</v>
      </c>
      <c r="E3000" s="2">
        <v>46008</v>
      </c>
      <c r="F3000" s="2">
        <v>46008</v>
      </c>
      <c r="G3000" s="3">
        <v>118</v>
      </c>
      <c r="H3000" t="s">
        <v>28</v>
      </c>
      <c r="I3000">
        <v>38</v>
      </c>
      <c r="J3000">
        <v>0</v>
      </c>
      <c r="K3000">
        <v>0</v>
      </c>
      <c r="L3000" s="3">
        <v>1</v>
      </c>
      <c r="M3000" s="3">
        <v>0</v>
      </c>
      <c r="N3000">
        <v>1</v>
      </c>
      <c r="O3000">
        <v>0</v>
      </c>
      <c r="P3000">
        <v>0</v>
      </c>
      <c r="Q3000">
        <v>0</v>
      </c>
      <c r="R3000" s="3">
        <v>0</v>
      </c>
      <c r="S3000" s="3">
        <v>0</v>
      </c>
      <c r="T3000">
        <v>0</v>
      </c>
      <c r="U3000">
        <v>0</v>
      </c>
      <c r="V3000" s="3">
        <v>0</v>
      </c>
      <c r="W3000" s="3">
        <v>0</v>
      </c>
      <c r="X3000">
        <v>0</v>
      </c>
      <c r="Y3000" t="s">
        <v>2380</v>
      </c>
    </row>
    <row r="3001" spans="1:25" hidden="1" x14ac:dyDescent="0.25">
      <c r="A3001" t="s">
        <v>25</v>
      </c>
      <c r="B3001" t="s">
        <v>96</v>
      </c>
      <c r="C3001" t="s">
        <v>26</v>
      </c>
      <c r="D3001" t="s">
        <v>27</v>
      </c>
      <c r="E3001" s="2">
        <v>46008</v>
      </c>
      <c r="F3001" s="2">
        <v>46008</v>
      </c>
      <c r="G3001" s="3">
        <v>34</v>
      </c>
      <c r="H3001" t="s">
        <v>28</v>
      </c>
      <c r="I3001">
        <v>65</v>
      </c>
      <c r="J3001">
        <v>0</v>
      </c>
      <c r="K3001">
        <v>0</v>
      </c>
      <c r="L3001" s="3">
        <v>1</v>
      </c>
      <c r="M3001" s="3">
        <v>0</v>
      </c>
      <c r="N3001">
        <v>1</v>
      </c>
      <c r="O3001">
        <v>0</v>
      </c>
      <c r="P3001">
        <v>0</v>
      </c>
      <c r="Q3001">
        <v>0</v>
      </c>
      <c r="R3001" s="3">
        <v>0</v>
      </c>
      <c r="S3001" s="3">
        <v>0</v>
      </c>
      <c r="T3001">
        <v>0</v>
      </c>
      <c r="U3001">
        <v>0</v>
      </c>
      <c r="V3001" s="3">
        <v>0</v>
      </c>
      <c r="W3001" s="3">
        <v>0</v>
      </c>
      <c r="X3001">
        <v>0</v>
      </c>
      <c r="Y3001" t="s">
        <v>2381</v>
      </c>
    </row>
    <row r="3002" spans="1:25" hidden="1" x14ac:dyDescent="0.25">
      <c r="A3002" t="s">
        <v>29</v>
      </c>
      <c r="B3002" t="s">
        <v>100</v>
      </c>
      <c r="C3002" t="s">
        <v>95</v>
      </c>
      <c r="D3002" t="s">
        <v>27</v>
      </c>
      <c r="E3002" s="2">
        <v>46008</v>
      </c>
      <c r="F3002" s="2">
        <v>46008</v>
      </c>
      <c r="G3002" s="3">
        <v>38</v>
      </c>
      <c r="H3002" t="s">
        <v>28</v>
      </c>
      <c r="I3002">
        <v>32</v>
      </c>
      <c r="J3002">
        <v>0</v>
      </c>
      <c r="K3002">
        <v>0</v>
      </c>
      <c r="L3002" s="3">
        <v>1</v>
      </c>
      <c r="M3002" s="3">
        <v>0</v>
      </c>
      <c r="N3002">
        <v>0</v>
      </c>
      <c r="O3002">
        <v>0</v>
      </c>
      <c r="P3002">
        <v>0</v>
      </c>
      <c r="Q3002">
        <v>12</v>
      </c>
      <c r="R3002" s="3">
        <v>0</v>
      </c>
      <c r="S3002" s="3">
        <v>0</v>
      </c>
      <c r="T3002">
        <v>0</v>
      </c>
      <c r="U3002">
        <v>0</v>
      </c>
      <c r="V3002" s="3">
        <v>0</v>
      </c>
      <c r="W3002" s="3">
        <v>0</v>
      </c>
      <c r="X3002">
        <v>0</v>
      </c>
      <c r="Y3002" t="s">
        <v>2382</v>
      </c>
    </row>
    <row r="3003" spans="1:25" hidden="1" x14ac:dyDescent="0.25">
      <c r="A3003" t="s">
        <v>344</v>
      </c>
      <c r="B3003" t="s">
        <v>102</v>
      </c>
      <c r="C3003" t="s">
        <v>35</v>
      </c>
      <c r="D3003" t="s">
        <v>27</v>
      </c>
      <c r="E3003" s="2">
        <v>46008</v>
      </c>
      <c r="F3003" s="2">
        <v>46008</v>
      </c>
      <c r="G3003" s="3">
        <v>45</v>
      </c>
      <c r="H3003" s="4" t="s">
        <v>28</v>
      </c>
      <c r="I3003">
        <v>29</v>
      </c>
      <c r="J3003">
        <v>0</v>
      </c>
      <c r="K3003">
        <v>0</v>
      </c>
      <c r="L3003" s="3">
        <v>0</v>
      </c>
      <c r="M3003" s="3">
        <v>0</v>
      </c>
      <c r="N3003">
        <v>0</v>
      </c>
      <c r="O3003">
        <v>0</v>
      </c>
      <c r="P3003">
        <v>0</v>
      </c>
      <c r="Q3003">
        <v>2</v>
      </c>
      <c r="R3003" s="3">
        <v>0</v>
      </c>
      <c r="S3003" s="3">
        <v>0</v>
      </c>
      <c r="T3003">
        <v>0</v>
      </c>
      <c r="U3003">
        <v>0</v>
      </c>
      <c r="V3003" s="3">
        <v>0</v>
      </c>
      <c r="W3003" s="3">
        <v>0</v>
      </c>
      <c r="X3003">
        <v>0</v>
      </c>
      <c r="Y3003" t="s">
        <v>2215</v>
      </c>
    </row>
    <row r="3004" spans="1:25" hidden="1" x14ac:dyDescent="0.25">
      <c r="A3004" t="s">
        <v>31</v>
      </c>
      <c r="B3004" t="s">
        <v>104</v>
      </c>
      <c r="C3004" t="s">
        <v>32</v>
      </c>
      <c r="D3004" t="s">
        <v>27</v>
      </c>
      <c r="E3004" s="2">
        <v>46008</v>
      </c>
      <c r="F3004" s="2">
        <v>46008</v>
      </c>
      <c r="G3004" s="3">
        <v>42</v>
      </c>
      <c r="H3004" t="s">
        <v>28</v>
      </c>
      <c r="I3004">
        <v>85</v>
      </c>
      <c r="J3004">
        <v>0</v>
      </c>
      <c r="K3004">
        <v>0</v>
      </c>
      <c r="L3004" s="3">
        <v>0</v>
      </c>
      <c r="M3004" s="3">
        <v>0</v>
      </c>
      <c r="N3004">
        <v>0</v>
      </c>
      <c r="O3004">
        <v>0</v>
      </c>
      <c r="P3004">
        <v>0</v>
      </c>
      <c r="Q3004">
        <v>30</v>
      </c>
      <c r="R3004" s="3">
        <v>0</v>
      </c>
      <c r="S3004" s="3">
        <v>0</v>
      </c>
      <c r="T3004">
        <v>0</v>
      </c>
      <c r="U3004">
        <v>0</v>
      </c>
      <c r="V3004" s="3">
        <v>0</v>
      </c>
      <c r="W3004" s="3">
        <v>0</v>
      </c>
      <c r="X3004">
        <v>0</v>
      </c>
      <c r="Y3004" t="s">
        <v>2383</v>
      </c>
    </row>
    <row r="3005" spans="1:25" hidden="1" x14ac:dyDescent="0.25">
      <c r="A3005" t="s">
        <v>33</v>
      </c>
      <c r="B3005" t="s">
        <v>106</v>
      </c>
      <c r="C3005" t="s">
        <v>57</v>
      </c>
      <c r="D3005" t="s">
        <v>27</v>
      </c>
      <c r="E3005" s="2">
        <v>46008</v>
      </c>
      <c r="F3005" s="2">
        <v>46008</v>
      </c>
      <c r="G3005" s="3">
        <v>24</v>
      </c>
      <c r="H3005" s="4" t="s">
        <v>28</v>
      </c>
      <c r="I3005">
        <v>64</v>
      </c>
      <c r="J3005">
        <v>0</v>
      </c>
      <c r="K3005">
        <v>0</v>
      </c>
      <c r="L3005" s="3">
        <v>0</v>
      </c>
      <c r="M3005" s="3">
        <v>0</v>
      </c>
      <c r="N3005">
        <v>0</v>
      </c>
      <c r="O3005">
        <v>0</v>
      </c>
      <c r="P3005">
        <v>0</v>
      </c>
      <c r="Q3005">
        <v>20</v>
      </c>
      <c r="R3005" s="3">
        <v>0</v>
      </c>
      <c r="S3005" s="3">
        <v>0</v>
      </c>
      <c r="T3005">
        <v>0</v>
      </c>
      <c r="U3005">
        <v>0</v>
      </c>
      <c r="V3005" s="3">
        <v>0</v>
      </c>
      <c r="W3005" s="3">
        <v>0</v>
      </c>
      <c r="X3005">
        <v>0</v>
      </c>
      <c r="Y3005" t="s">
        <v>2331</v>
      </c>
    </row>
    <row r="3006" spans="1:25" hidden="1" x14ac:dyDescent="0.25">
      <c r="A3006" t="s">
        <v>38</v>
      </c>
      <c r="B3006" t="s">
        <v>108</v>
      </c>
      <c r="C3006" t="s">
        <v>27</v>
      </c>
      <c r="D3006" t="s">
        <v>27</v>
      </c>
      <c r="E3006" s="2">
        <v>46008</v>
      </c>
      <c r="F3006" s="2">
        <v>46008</v>
      </c>
      <c r="G3006" s="3">
        <v>38</v>
      </c>
      <c r="H3006" t="s">
        <v>28</v>
      </c>
      <c r="I3006">
        <v>58</v>
      </c>
      <c r="J3006">
        <v>0</v>
      </c>
      <c r="K3006">
        <v>0</v>
      </c>
      <c r="L3006" s="3">
        <v>1</v>
      </c>
      <c r="M3006" s="3">
        <v>0</v>
      </c>
      <c r="N3006">
        <v>0</v>
      </c>
      <c r="O3006">
        <v>0</v>
      </c>
      <c r="P3006">
        <v>0</v>
      </c>
      <c r="Q3006">
        <v>58</v>
      </c>
      <c r="R3006" s="3">
        <v>0</v>
      </c>
      <c r="S3006" s="3">
        <v>0</v>
      </c>
      <c r="T3006">
        <v>0</v>
      </c>
      <c r="U3006">
        <v>0</v>
      </c>
      <c r="V3006" s="3">
        <v>0</v>
      </c>
      <c r="W3006" s="3">
        <v>0</v>
      </c>
      <c r="X3006">
        <v>0</v>
      </c>
      <c r="Y3006" t="s">
        <v>2384</v>
      </c>
    </row>
    <row r="3007" spans="1:25" hidden="1" x14ac:dyDescent="0.25">
      <c r="A3007" t="s">
        <v>40</v>
      </c>
      <c r="B3007" t="s">
        <v>110</v>
      </c>
      <c r="C3007" t="s">
        <v>27</v>
      </c>
      <c r="D3007" t="s">
        <v>27</v>
      </c>
      <c r="E3007" s="2">
        <v>46008</v>
      </c>
      <c r="F3007" s="2">
        <v>46008</v>
      </c>
      <c r="G3007" s="3">
        <v>78</v>
      </c>
      <c r="H3007" t="s">
        <v>28</v>
      </c>
      <c r="I3007">
        <v>65</v>
      </c>
      <c r="J3007">
        <v>0</v>
      </c>
      <c r="K3007">
        <v>0</v>
      </c>
      <c r="L3007" s="3">
        <v>1</v>
      </c>
      <c r="M3007" s="3">
        <v>0</v>
      </c>
      <c r="N3007">
        <v>1</v>
      </c>
      <c r="O3007">
        <v>0</v>
      </c>
      <c r="P3007">
        <v>0</v>
      </c>
      <c r="Q3007">
        <v>30</v>
      </c>
      <c r="R3007" s="3">
        <v>0</v>
      </c>
      <c r="S3007" s="3">
        <v>0</v>
      </c>
      <c r="T3007">
        <v>0</v>
      </c>
      <c r="U3007">
        <v>0</v>
      </c>
      <c r="V3007" s="3">
        <v>0</v>
      </c>
      <c r="W3007" s="3">
        <v>0</v>
      </c>
      <c r="X3007">
        <v>0</v>
      </c>
      <c r="Y3007" t="s">
        <v>2385</v>
      </c>
    </row>
    <row r="3008" spans="1:25" hidden="1" x14ac:dyDescent="0.25">
      <c r="A3008" t="s">
        <v>36</v>
      </c>
      <c r="B3008" t="s">
        <v>110</v>
      </c>
      <c r="C3008" t="s">
        <v>27</v>
      </c>
      <c r="D3008" t="s">
        <v>27</v>
      </c>
      <c r="E3008" s="2">
        <v>46008</v>
      </c>
      <c r="F3008" s="2">
        <v>46008</v>
      </c>
      <c r="G3008" s="3">
        <v>78</v>
      </c>
      <c r="H3008" t="s">
        <v>28</v>
      </c>
      <c r="I3008">
        <v>65</v>
      </c>
      <c r="J3008">
        <v>0</v>
      </c>
      <c r="K3008">
        <v>0</v>
      </c>
      <c r="L3008" s="3">
        <v>1</v>
      </c>
      <c r="M3008" s="3">
        <v>0</v>
      </c>
      <c r="N3008">
        <v>1</v>
      </c>
      <c r="O3008">
        <v>0</v>
      </c>
      <c r="P3008">
        <v>0</v>
      </c>
      <c r="Q3008">
        <v>30</v>
      </c>
      <c r="R3008" s="3">
        <v>0</v>
      </c>
      <c r="S3008" s="3">
        <v>0</v>
      </c>
      <c r="T3008">
        <v>0</v>
      </c>
      <c r="U3008">
        <v>0</v>
      </c>
      <c r="V3008" s="3">
        <v>0</v>
      </c>
      <c r="W3008" s="3">
        <v>0</v>
      </c>
      <c r="X3008">
        <v>0</v>
      </c>
      <c r="Y3008" t="s">
        <v>2385</v>
      </c>
    </row>
    <row r="3009" spans="1:25" hidden="1" x14ac:dyDescent="0.25">
      <c r="A3009" t="s">
        <v>1454</v>
      </c>
      <c r="B3009" t="s">
        <v>1455</v>
      </c>
      <c r="C3009" t="s">
        <v>27</v>
      </c>
      <c r="D3009" t="s">
        <v>27</v>
      </c>
      <c r="E3009" s="2">
        <v>46008</v>
      </c>
      <c r="F3009" s="2">
        <v>46008</v>
      </c>
      <c r="G3009" s="3">
        <v>35</v>
      </c>
      <c r="H3009" t="s">
        <v>28</v>
      </c>
      <c r="I3009">
        <v>48</v>
      </c>
      <c r="J3009">
        <v>0</v>
      </c>
      <c r="K3009">
        <v>0</v>
      </c>
      <c r="L3009" s="3">
        <v>1</v>
      </c>
      <c r="M3009" s="3">
        <v>0</v>
      </c>
      <c r="N3009">
        <v>0</v>
      </c>
      <c r="O3009">
        <v>0</v>
      </c>
      <c r="P3009">
        <v>0</v>
      </c>
      <c r="Q3009">
        <v>48</v>
      </c>
      <c r="R3009" s="3">
        <v>0</v>
      </c>
      <c r="S3009" s="3">
        <v>0</v>
      </c>
      <c r="T3009">
        <v>0</v>
      </c>
      <c r="U3009">
        <v>0</v>
      </c>
      <c r="V3009" s="3">
        <v>0</v>
      </c>
      <c r="W3009" s="3">
        <v>0</v>
      </c>
      <c r="X3009">
        <v>0</v>
      </c>
      <c r="Y3009" t="s">
        <v>2386</v>
      </c>
    </row>
    <row r="3010" spans="1:25" hidden="1" x14ac:dyDescent="0.25">
      <c r="A3010" t="s">
        <v>41</v>
      </c>
      <c r="B3010" t="s">
        <v>112</v>
      </c>
      <c r="C3010" t="s">
        <v>42</v>
      </c>
      <c r="D3010" t="s">
        <v>27</v>
      </c>
      <c r="E3010" s="2">
        <v>46008</v>
      </c>
      <c r="F3010" s="2">
        <v>46008</v>
      </c>
      <c r="G3010" s="3">
        <v>35</v>
      </c>
      <c r="H3010" t="s">
        <v>28</v>
      </c>
      <c r="I3010">
        <v>40</v>
      </c>
      <c r="J3010">
        <v>60</v>
      </c>
      <c r="K3010">
        <v>0</v>
      </c>
      <c r="L3010" s="3">
        <v>1</v>
      </c>
      <c r="M3010" s="3">
        <v>0</v>
      </c>
      <c r="N3010">
        <v>0</v>
      </c>
      <c r="O3010">
        <v>0</v>
      </c>
      <c r="P3010">
        <v>0</v>
      </c>
      <c r="Q3010">
        <v>0</v>
      </c>
      <c r="R3010" s="3">
        <v>0</v>
      </c>
      <c r="S3010" s="3">
        <v>0</v>
      </c>
      <c r="T3010">
        <v>0</v>
      </c>
      <c r="U3010">
        <v>0</v>
      </c>
      <c r="V3010" s="3">
        <v>0</v>
      </c>
      <c r="W3010" s="3">
        <v>0</v>
      </c>
      <c r="X3010">
        <v>0</v>
      </c>
      <c r="Y3010" t="s">
        <v>2387</v>
      </c>
    </row>
    <row r="3011" spans="1:25" hidden="1" x14ac:dyDescent="0.25">
      <c r="A3011" t="s">
        <v>43</v>
      </c>
      <c r="B3011" t="s">
        <v>114</v>
      </c>
      <c r="C3011" t="s">
        <v>44</v>
      </c>
      <c r="D3011" t="s">
        <v>27</v>
      </c>
      <c r="E3011" s="2">
        <v>46008</v>
      </c>
      <c r="F3011" s="2">
        <v>46008</v>
      </c>
      <c r="G3011" s="3">
        <v>27</v>
      </c>
      <c r="H3011" t="s">
        <v>28</v>
      </c>
      <c r="I3011">
        <v>43</v>
      </c>
      <c r="J3011">
        <v>0</v>
      </c>
      <c r="K3011">
        <v>0</v>
      </c>
      <c r="L3011" s="3">
        <v>0</v>
      </c>
      <c r="M3011" s="3">
        <v>0</v>
      </c>
      <c r="N3011">
        <v>0</v>
      </c>
      <c r="O3011">
        <v>0</v>
      </c>
      <c r="P3011">
        <v>0</v>
      </c>
      <c r="Q3011">
        <v>0</v>
      </c>
      <c r="R3011" s="3">
        <v>0</v>
      </c>
      <c r="S3011" s="3">
        <v>0</v>
      </c>
      <c r="T3011">
        <v>0</v>
      </c>
      <c r="U3011">
        <v>0</v>
      </c>
      <c r="V3011" s="3">
        <v>0</v>
      </c>
      <c r="W3011" s="3">
        <v>0</v>
      </c>
      <c r="X3011">
        <v>0</v>
      </c>
      <c r="Y3011" t="s">
        <v>2388</v>
      </c>
    </row>
    <row r="3012" spans="1:25" hidden="1" x14ac:dyDescent="0.25">
      <c r="A3012" t="s">
        <v>2118</v>
      </c>
      <c r="B3012" t="s">
        <v>2119</v>
      </c>
      <c r="C3012" t="s">
        <v>27</v>
      </c>
      <c r="D3012" t="s">
        <v>27</v>
      </c>
      <c r="E3012" s="2">
        <v>46008</v>
      </c>
      <c r="F3012" s="2">
        <v>46008</v>
      </c>
      <c r="G3012" s="3">
        <v>33</v>
      </c>
      <c r="H3012" t="s">
        <v>28</v>
      </c>
      <c r="I3012">
        <v>42</v>
      </c>
      <c r="J3012">
        <v>0</v>
      </c>
      <c r="K3012">
        <v>0</v>
      </c>
      <c r="L3012" s="3">
        <v>1</v>
      </c>
      <c r="M3012" s="3">
        <v>0</v>
      </c>
      <c r="N3012">
        <v>0</v>
      </c>
      <c r="O3012">
        <v>0</v>
      </c>
      <c r="P3012">
        <v>0</v>
      </c>
      <c r="Q3012">
        <v>42</v>
      </c>
      <c r="R3012" s="3">
        <v>0</v>
      </c>
      <c r="S3012" s="3">
        <v>0</v>
      </c>
      <c r="T3012">
        <v>0</v>
      </c>
      <c r="U3012">
        <v>0</v>
      </c>
      <c r="V3012" s="3">
        <v>0</v>
      </c>
      <c r="W3012" s="3">
        <v>0</v>
      </c>
      <c r="X3012">
        <v>0</v>
      </c>
      <c r="Y3012" t="s">
        <v>2389</v>
      </c>
    </row>
    <row r="3013" spans="1:25" hidden="1" x14ac:dyDescent="0.25">
      <c r="A3013" t="s">
        <v>45</v>
      </c>
      <c r="B3013" t="s">
        <v>116</v>
      </c>
      <c r="C3013" t="s">
        <v>46</v>
      </c>
      <c r="D3013" t="s">
        <v>27</v>
      </c>
      <c r="E3013" s="2">
        <v>46008</v>
      </c>
      <c r="F3013" s="2">
        <v>46008</v>
      </c>
      <c r="G3013" s="3">
        <v>49</v>
      </c>
      <c r="H3013" t="s">
        <v>28</v>
      </c>
      <c r="I3013">
        <v>74</v>
      </c>
      <c r="J3013">
        <v>0</v>
      </c>
      <c r="K3013">
        <v>0</v>
      </c>
      <c r="L3013" s="3">
        <v>1</v>
      </c>
      <c r="M3013" s="3">
        <v>0</v>
      </c>
      <c r="N3013">
        <v>0</v>
      </c>
      <c r="O3013">
        <v>0</v>
      </c>
      <c r="P3013">
        <v>0</v>
      </c>
      <c r="Q3013">
        <v>12</v>
      </c>
      <c r="R3013" s="3">
        <v>0</v>
      </c>
      <c r="S3013" s="3">
        <v>0</v>
      </c>
      <c r="T3013">
        <v>0</v>
      </c>
      <c r="U3013">
        <v>0</v>
      </c>
      <c r="V3013" s="3">
        <v>0</v>
      </c>
      <c r="W3013" s="3">
        <v>0</v>
      </c>
      <c r="X3013">
        <v>0</v>
      </c>
      <c r="Y3013" t="s">
        <v>2390</v>
      </c>
    </row>
    <row r="3014" spans="1:25" hidden="1" x14ac:dyDescent="0.25">
      <c r="A3014" t="s">
        <v>47</v>
      </c>
      <c r="B3014" t="s">
        <v>137</v>
      </c>
      <c r="C3014" t="s">
        <v>2310</v>
      </c>
      <c r="D3014" t="s">
        <v>27</v>
      </c>
      <c r="E3014" s="2">
        <v>46008</v>
      </c>
      <c r="F3014" s="2">
        <v>46008</v>
      </c>
      <c r="G3014" s="3">
        <v>56</v>
      </c>
      <c r="H3014" t="s">
        <v>28</v>
      </c>
      <c r="I3014">
        <v>32</v>
      </c>
      <c r="J3014">
        <v>0</v>
      </c>
      <c r="K3014">
        <v>0</v>
      </c>
      <c r="L3014" s="3">
        <v>0</v>
      </c>
      <c r="M3014" s="3">
        <v>0</v>
      </c>
      <c r="N3014">
        <v>0</v>
      </c>
      <c r="O3014">
        <v>0</v>
      </c>
      <c r="P3014">
        <v>0</v>
      </c>
      <c r="Q3014">
        <v>0</v>
      </c>
      <c r="R3014" s="3">
        <v>0</v>
      </c>
      <c r="S3014" s="3">
        <v>0</v>
      </c>
      <c r="T3014">
        <v>0</v>
      </c>
      <c r="U3014">
        <v>0</v>
      </c>
      <c r="V3014" s="3">
        <v>0</v>
      </c>
      <c r="W3014" s="3">
        <v>0</v>
      </c>
      <c r="X3014">
        <v>0</v>
      </c>
      <c r="Y3014" t="s">
        <v>2391</v>
      </c>
    </row>
    <row r="3015" spans="1:25" hidden="1" x14ac:dyDescent="0.25">
      <c r="A3015" t="s">
        <v>49</v>
      </c>
      <c r="B3015" t="s">
        <v>118</v>
      </c>
      <c r="C3015" t="s">
        <v>50</v>
      </c>
      <c r="D3015" t="s">
        <v>27</v>
      </c>
      <c r="E3015" s="2">
        <v>46008</v>
      </c>
      <c r="F3015" s="2">
        <v>46008</v>
      </c>
      <c r="G3015" s="3">
        <v>53</v>
      </c>
      <c r="H3015" t="s">
        <v>28</v>
      </c>
      <c r="I3015">
        <v>37</v>
      </c>
      <c r="J3015">
        <v>0</v>
      </c>
      <c r="K3015">
        <v>0</v>
      </c>
      <c r="L3015" s="3">
        <v>1</v>
      </c>
      <c r="M3015" s="3">
        <v>1</v>
      </c>
      <c r="N3015">
        <v>0</v>
      </c>
      <c r="O3015">
        <v>0</v>
      </c>
      <c r="P3015">
        <v>0</v>
      </c>
      <c r="Q3015">
        <v>37</v>
      </c>
      <c r="R3015" s="3">
        <v>0</v>
      </c>
      <c r="S3015" s="3">
        <v>0</v>
      </c>
      <c r="T3015">
        <v>0</v>
      </c>
      <c r="U3015">
        <v>0</v>
      </c>
      <c r="V3015" s="3">
        <v>0</v>
      </c>
      <c r="W3015" s="3">
        <v>0</v>
      </c>
      <c r="X3015">
        <v>0</v>
      </c>
      <c r="Y3015" t="s">
        <v>2392</v>
      </c>
    </row>
    <row r="3016" spans="1:25" hidden="1" x14ac:dyDescent="0.25">
      <c r="A3016" t="s">
        <v>54</v>
      </c>
      <c r="B3016" t="s">
        <v>122</v>
      </c>
      <c r="C3016" t="s">
        <v>52</v>
      </c>
      <c r="D3016" t="s">
        <v>27</v>
      </c>
      <c r="E3016" s="2">
        <v>46008</v>
      </c>
      <c r="F3016" s="2">
        <v>46008</v>
      </c>
      <c r="G3016" s="3">
        <v>37</v>
      </c>
      <c r="H3016" s="4" t="s">
        <v>28</v>
      </c>
      <c r="I3016">
        <v>48</v>
      </c>
      <c r="J3016">
        <v>0</v>
      </c>
      <c r="K3016">
        <v>0</v>
      </c>
      <c r="L3016" s="3">
        <v>0</v>
      </c>
      <c r="M3016" s="3">
        <v>0</v>
      </c>
      <c r="N3016">
        <v>0</v>
      </c>
      <c r="O3016">
        <v>0</v>
      </c>
      <c r="P3016">
        <v>0</v>
      </c>
      <c r="Q3016">
        <v>2</v>
      </c>
      <c r="R3016" s="3">
        <v>0</v>
      </c>
      <c r="S3016" s="3">
        <v>0</v>
      </c>
      <c r="T3016">
        <v>0</v>
      </c>
      <c r="U3016">
        <v>0</v>
      </c>
      <c r="V3016" s="3">
        <v>0</v>
      </c>
      <c r="W3016" s="3">
        <v>0</v>
      </c>
      <c r="X3016">
        <v>0</v>
      </c>
      <c r="Y3016" t="s">
        <v>2376</v>
      </c>
    </row>
    <row r="3017" spans="1:25" hidden="1" x14ac:dyDescent="0.25">
      <c r="A3017" t="s">
        <v>48</v>
      </c>
      <c r="B3017" t="s">
        <v>149</v>
      </c>
      <c r="C3017" t="s">
        <v>37</v>
      </c>
      <c r="D3017" t="s">
        <v>27</v>
      </c>
      <c r="E3017" s="2">
        <v>46008</v>
      </c>
      <c r="F3017" s="2">
        <v>46008</v>
      </c>
      <c r="G3017" s="3">
        <v>34</v>
      </c>
      <c r="H3017" t="s">
        <v>28</v>
      </c>
      <c r="I3017">
        <v>65</v>
      </c>
      <c r="J3017">
        <v>0</v>
      </c>
      <c r="K3017">
        <v>0</v>
      </c>
      <c r="L3017" s="3">
        <v>1</v>
      </c>
      <c r="M3017" s="3">
        <v>0</v>
      </c>
      <c r="N3017">
        <v>0</v>
      </c>
      <c r="O3017">
        <v>0</v>
      </c>
      <c r="P3017">
        <v>0</v>
      </c>
      <c r="Q3017">
        <v>4</v>
      </c>
      <c r="R3017" s="3">
        <v>0</v>
      </c>
      <c r="S3017" s="3">
        <v>0</v>
      </c>
      <c r="T3017">
        <v>0</v>
      </c>
      <c r="U3017">
        <v>0</v>
      </c>
      <c r="V3017" s="3">
        <v>0</v>
      </c>
      <c r="W3017" s="3">
        <v>0</v>
      </c>
      <c r="X3017">
        <v>0</v>
      </c>
      <c r="Y3017" t="s">
        <v>2393</v>
      </c>
    </row>
    <row r="3018" spans="1:25" hidden="1" x14ac:dyDescent="0.25">
      <c r="A3018" t="s">
        <v>58</v>
      </c>
      <c r="B3018" t="s">
        <v>144</v>
      </c>
      <c r="C3018" t="s">
        <v>2126</v>
      </c>
      <c r="D3018" t="s">
        <v>27</v>
      </c>
      <c r="E3018" s="2">
        <v>46008</v>
      </c>
      <c r="F3018" s="2">
        <v>46008</v>
      </c>
      <c r="G3018" s="3">
        <v>93</v>
      </c>
      <c r="H3018" t="s">
        <v>28</v>
      </c>
      <c r="I3018">
        <v>67</v>
      </c>
      <c r="J3018">
        <v>8</v>
      </c>
      <c r="K3018">
        <v>0</v>
      </c>
      <c r="L3018" s="3">
        <v>1</v>
      </c>
      <c r="M3018" s="3">
        <v>0</v>
      </c>
      <c r="N3018">
        <v>0</v>
      </c>
      <c r="O3018">
        <v>0</v>
      </c>
      <c r="P3018">
        <v>0</v>
      </c>
      <c r="Q3018">
        <v>40</v>
      </c>
      <c r="R3018" s="3">
        <v>0</v>
      </c>
      <c r="S3018" s="3">
        <v>0</v>
      </c>
      <c r="T3018">
        <v>0</v>
      </c>
      <c r="U3018">
        <v>0</v>
      </c>
      <c r="V3018" s="3">
        <v>0</v>
      </c>
      <c r="W3018" s="3">
        <v>0</v>
      </c>
      <c r="X3018">
        <v>0</v>
      </c>
      <c r="Y3018" t="s">
        <v>2394</v>
      </c>
    </row>
    <row r="3019" spans="1:25" hidden="1" x14ac:dyDescent="0.25">
      <c r="A3019" t="s">
        <v>55</v>
      </c>
      <c r="B3019" t="s">
        <v>2072</v>
      </c>
      <c r="C3019" t="s">
        <v>2379</v>
      </c>
      <c r="D3019" t="s">
        <v>27</v>
      </c>
      <c r="E3019" s="2">
        <v>46009</v>
      </c>
      <c r="F3019" s="2">
        <v>46009</v>
      </c>
      <c r="G3019" s="3">
        <v>29</v>
      </c>
      <c r="H3019" s="4" t="s">
        <v>28</v>
      </c>
      <c r="I3019">
        <v>39</v>
      </c>
      <c r="J3019">
        <v>0</v>
      </c>
      <c r="K3019">
        <v>0</v>
      </c>
      <c r="L3019" s="3">
        <v>1</v>
      </c>
      <c r="M3019" s="3">
        <v>0</v>
      </c>
      <c r="N3019">
        <v>1</v>
      </c>
      <c r="O3019">
        <v>0</v>
      </c>
      <c r="P3019">
        <v>0</v>
      </c>
      <c r="Q3019">
        <v>0</v>
      </c>
      <c r="R3019" s="3">
        <v>0</v>
      </c>
      <c r="S3019" s="3">
        <v>0</v>
      </c>
      <c r="T3019">
        <v>0</v>
      </c>
      <c r="U3019">
        <v>0</v>
      </c>
      <c r="V3019" s="3">
        <v>0</v>
      </c>
      <c r="W3019" s="3">
        <v>0</v>
      </c>
      <c r="X3019">
        <v>0</v>
      </c>
      <c r="Y3019" t="s">
        <v>2395</v>
      </c>
    </row>
    <row r="3020" spans="1:25" hidden="1" x14ac:dyDescent="0.25">
      <c r="A3020" t="s">
        <v>25</v>
      </c>
      <c r="B3020" t="s">
        <v>96</v>
      </c>
      <c r="C3020" t="s">
        <v>26</v>
      </c>
      <c r="D3020" t="s">
        <v>27</v>
      </c>
      <c r="E3020" s="2">
        <v>46009</v>
      </c>
      <c r="F3020" s="2">
        <v>46009</v>
      </c>
      <c r="G3020" s="3">
        <v>35</v>
      </c>
      <c r="H3020" s="4" t="s">
        <v>28</v>
      </c>
      <c r="I3020">
        <v>44</v>
      </c>
      <c r="J3020">
        <v>0</v>
      </c>
      <c r="K3020">
        <v>0</v>
      </c>
      <c r="L3020" s="3">
        <v>1</v>
      </c>
      <c r="M3020" s="3">
        <v>0</v>
      </c>
      <c r="N3020">
        <v>1</v>
      </c>
      <c r="O3020">
        <v>0</v>
      </c>
      <c r="P3020">
        <v>0</v>
      </c>
      <c r="Q3020">
        <v>0</v>
      </c>
      <c r="R3020" s="3">
        <v>0</v>
      </c>
      <c r="S3020" s="3">
        <v>0</v>
      </c>
      <c r="T3020">
        <v>0</v>
      </c>
      <c r="U3020">
        <v>0</v>
      </c>
      <c r="V3020" s="3">
        <v>0</v>
      </c>
      <c r="W3020" s="3">
        <v>0</v>
      </c>
      <c r="X3020">
        <v>0</v>
      </c>
      <c r="Y3020" t="s">
        <v>2396</v>
      </c>
    </row>
    <row r="3021" spans="1:25" hidden="1" x14ac:dyDescent="0.25">
      <c r="A3021" t="s">
        <v>29</v>
      </c>
      <c r="B3021" t="s">
        <v>100</v>
      </c>
      <c r="C3021" t="s">
        <v>29</v>
      </c>
      <c r="D3021" t="s">
        <v>27</v>
      </c>
      <c r="E3021" s="2">
        <v>46009</v>
      </c>
      <c r="F3021" s="2">
        <v>46009</v>
      </c>
      <c r="G3021" s="3">
        <v>40</v>
      </c>
      <c r="H3021" s="4" t="s">
        <v>28</v>
      </c>
      <c r="I3021">
        <v>25</v>
      </c>
      <c r="J3021">
        <v>0</v>
      </c>
      <c r="K3021">
        <v>0</v>
      </c>
      <c r="L3021" s="3">
        <v>0</v>
      </c>
      <c r="M3021" s="3">
        <v>0</v>
      </c>
      <c r="N3021">
        <v>0</v>
      </c>
      <c r="O3021">
        <v>0</v>
      </c>
      <c r="P3021">
        <v>0</v>
      </c>
      <c r="Q3021">
        <v>0</v>
      </c>
      <c r="R3021" s="3">
        <v>0</v>
      </c>
      <c r="S3021" s="3">
        <v>0</v>
      </c>
      <c r="T3021">
        <v>0</v>
      </c>
      <c r="U3021">
        <v>0</v>
      </c>
      <c r="V3021" s="3">
        <v>0</v>
      </c>
      <c r="W3021" s="3">
        <v>0</v>
      </c>
      <c r="X3021">
        <v>0</v>
      </c>
      <c r="Y3021" t="s">
        <v>2397</v>
      </c>
    </row>
    <row r="3022" spans="1:25" hidden="1" x14ac:dyDescent="0.25">
      <c r="A3022" t="s">
        <v>344</v>
      </c>
      <c r="B3022" t="s">
        <v>102</v>
      </c>
      <c r="C3022" t="s">
        <v>35</v>
      </c>
      <c r="D3022" t="s">
        <v>27</v>
      </c>
      <c r="E3022" s="2">
        <v>46009</v>
      </c>
      <c r="F3022" s="2">
        <v>46009</v>
      </c>
      <c r="G3022" s="3">
        <v>45</v>
      </c>
      <c r="H3022" s="4" t="s">
        <v>28</v>
      </c>
      <c r="I3022">
        <v>40</v>
      </c>
      <c r="J3022">
        <v>0</v>
      </c>
      <c r="K3022">
        <v>0</v>
      </c>
      <c r="L3022" s="3">
        <v>0</v>
      </c>
      <c r="M3022" s="3">
        <v>0</v>
      </c>
      <c r="N3022">
        <v>0</v>
      </c>
      <c r="O3022">
        <v>0</v>
      </c>
      <c r="P3022">
        <v>0</v>
      </c>
      <c r="Q3022">
        <v>2</v>
      </c>
      <c r="R3022" s="3">
        <v>0</v>
      </c>
      <c r="S3022" s="3">
        <v>0</v>
      </c>
      <c r="T3022">
        <v>0</v>
      </c>
      <c r="U3022">
        <v>0</v>
      </c>
      <c r="V3022" s="3">
        <v>0</v>
      </c>
      <c r="W3022" s="3">
        <v>0</v>
      </c>
      <c r="X3022">
        <v>0</v>
      </c>
      <c r="Y3022" t="s">
        <v>2215</v>
      </c>
    </row>
    <row r="3023" spans="1:25" hidden="1" x14ac:dyDescent="0.25">
      <c r="A3023" t="s">
        <v>31</v>
      </c>
      <c r="B3023" t="s">
        <v>104</v>
      </c>
      <c r="C3023" t="s">
        <v>32</v>
      </c>
      <c r="D3023" t="s">
        <v>27</v>
      </c>
      <c r="E3023" s="2">
        <v>46009</v>
      </c>
      <c r="F3023" s="2">
        <v>46009</v>
      </c>
      <c r="G3023" s="3">
        <v>60</v>
      </c>
      <c r="H3023" s="4" t="s">
        <v>28</v>
      </c>
      <c r="I3023">
        <v>62</v>
      </c>
      <c r="J3023">
        <v>0</v>
      </c>
      <c r="K3023">
        <v>0</v>
      </c>
      <c r="L3023" s="3">
        <v>0</v>
      </c>
      <c r="M3023" s="3">
        <v>0</v>
      </c>
      <c r="N3023">
        <v>0</v>
      </c>
      <c r="O3023">
        <v>0</v>
      </c>
      <c r="P3023">
        <v>0</v>
      </c>
      <c r="Q3023">
        <v>30</v>
      </c>
      <c r="R3023" s="3">
        <v>0</v>
      </c>
      <c r="S3023" s="3">
        <v>0</v>
      </c>
      <c r="T3023">
        <v>0</v>
      </c>
      <c r="U3023">
        <v>0</v>
      </c>
      <c r="V3023" s="3">
        <v>0</v>
      </c>
      <c r="W3023" s="3">
        <v>0</v>
      </c>
      <c r="X3023">
        <v>0</v>
      </c>
      <c r="Y3023" t="s">
        <v>2398</v>
      </c>
    </row>
    <row r="3024" spans="1:25" hidden="1" x14ac:dyDescent="0.25">
      <c r="A3024" t="s">
        <v>33</v>
      </c>
      <c r="B3024" t="s">
        <v>106</v>
      </c>
      <c r="C3024" t="s">
        <v>57</v>
      </c>
      <c r="D3024" t="s">
        <v>27</v>
      </c>
      <c r="E3024" s="2">
        <v>46009</v>
      </c>
      <c r="F3024" s="2">
        <v>46009</v>
      </c>
      <c r="G3024" s="3">
        <v>26</v>
      </c>
      <c r="H3024" s="4" t="s">
        <v>28</v>
      </c>
      <c r="I3024">
        <v>35</v>
      </c>
      <c r="J3024">
        <v>0</v>
      </c>
      <c r="K3024">
        <v>0</v>
      </c>
      <c r="L3024" s="3">
        <v>0</v>
      </c>
      <c r="M3024" s="3">
        <v>0</v>
      </c>
      <c r="N3024">
        <v>0</v>
      </c>
      <c r="O3024">
        <v>0</v>
      </c>
      <c r="P3024">
        <v>0</v>
      </c>
      <c r="Q3024">
        <v>0</v>
      </c>
      <c r="R3024" s="3">
        <v>0</v>
      </c>
      <c r="S3024" s="3">
        <v>0</v>
      </c>
      <c r="T3024">
        <v>0</v>
      </c>
      <c r="U3024">
        <v>0</v>
      </c>
      <c r="V3024" s="3">
        <v>0</v>
      </c>
      <c r="W3024" s="3">
        <v>0</v>
      </c>
      <c r="X3024">
        <v>0</v>
      </c>
      <c r="Y3024" t="s">
        <v>2399</v>
      </c>
    </row>
    <row r="3025" spans="1:25" hidden="1" x14ac:dyDescent="0.25">
      <c r="A3025" t="s">
        <v>38</v>
      </c>
      <c r="B3025" t="s">
        <v>108</v>
      </c>
      <c r="C3025" t="s">
        <v>27</v>
      </c>
      <c r="D3025" t="s">
        <v>27</v>
      </c>
      <c r="E3025" s="2">
        <v>46009</v>
      </c>
      <c r="F3025" s="2">
        <v>46009</v>
      </c>
      <c r="G3025" s="3">
        <v>34</v>
      </c>
      <c r="H3025" s="4" t="s">
        <v>28</v>
      </c>
      <c r="I3025">
        <v>29</v>
      </c>
      <c r="J3025">
        <v>0</v>
      </c>
      <c r="K3025">
        <v>0</v>
      </c>
      <c r="L3025" s="3">
        <v>0</v>
      </c>
      <c r="M3025" s="3">
        <v>0</v>
      </c>
      <c r="N3025">
        <v>0</v>
      </c>
      <c r="O3025">
        <v>0</v>
      </c>
      <c r="P3025">
        <v>0</v>
      </c>
      <c r="Q3025">
        <v>29</v>
      </c>
      <c r="R3025" s="3">
        <v>0</v>
      </c>
      <c r="S3025" s="3">
        <v>0</v>
      </c>
      <c r="T3025">
        <v>0</v>
      </c>
      <c r="U3025">
        <v>0</v>
      </c>
      <c r="V3025" s="3">
        <v>0</v>
      </c>
      <c r="W3025" s="3">
        <v>0</v>
      </c>
      <c r="X3025">
        <v>0</v>
      </c>
      <c r="Y3025" t="s">
        <v>2400</v>
      </c>
    </row>
    <row r="3026" spans="1:25" hidden="1" x14ac:dyDescent="0.25">
      <c r="A3026" t="s">
        <v>40</v>
      </c>
      <c r="B3026" t="s">
        <v>110</v>
      </c>
      <c r="C3026" t="s">
        <v>27</v>
      </c>
      <c r="D3026" t="s">
        <v>27</v>
      </c>
      <c r="E3026" s="2">
        <v>46009</v>
      </c>
      <c r="F3026" s="2">
        <v>46009</v>
      </c>
      <c r="G3026" s="3">
        <v>102</v>
      </c>
      <c r="H3026" s="4" t="s">
        <v>28</v>
      </c>
      <c r="I3026">
        <v>49</v>
      </c>
      <c r="J3026">
        <v>0</v>
      </c>
      <c r="K3026">
        <v>0</v>
      </c>
      <c r="L3026" s="3">
        <v>0</v>
      </c>
      <c r="M3026" s="3">
        <v>0</v>
      </c>
      <c r="N3026">
        <v>1</v>
      </c>
      <c r="O3026">
        <v>0</v>
      </c>
      <c r="P3026">
        <v>0</v>
      </c>
      <c r="Q3026">
        <v>0</v>
      </c>
      <c r="R3026" s="3">
        <v>0</v>
      </c>
      <c r="S3026" s="3">
        <v>0</v>
      </c>
      <c r="T3026">
        <v>0</v>
      </c>
      <c r="U3026">
        <v>0</v>
      </c>
      <c r="V3026" s="3">
        <v>0</v>
      </c>
      <c r="W3026" s="3">
        <v>0</v>
      </c>
      <c r="X3026">
        <v>0</v>
      </c>
      <c r="Y3026" t="s">
        <v>2401</v>
      </c>
    </row>
    <row r="3027" spans="1:25" hidden="1" x14ac:dyDescent="0.25">
      <c r="A3027" t="s">
        <v>36</v>
      </c>
      <c r="B3027" t="s">
        <v>110</v>
      </c>
      <c r="C3027" t="s">
        <v>27</v>
      </c>
      <c r="D3027" t="s">
        <v>27</v>
      </c>
      <c r="E3027" s="2">
        <v>46009</v>
      </c>
      <c r="F3027" s="2">
        <v>46009</v>
      </c>
      <c r="G3027" s="3">
        <v>102</v>
      </c>
      <c r="H3027" s="4" t="s">
        <v>28</v>
      </c>
      <c r="I3027">
        <v>49</v>
      </c>
      <c r="J3027">
        <v>0</v>
      </c>
      <c r="K3027">
        <v>0</v>
      </c>
      <c r="L3027" s="3">
        <v>0</v>
      </c>
      <c r="M3027" s="3">
        <v>0</v>
      </c>
      <c r="N3027">
        <v>1</v>
      </c>
      <c r="O3027">
        <v>0</v>
      </c>
      <c r="P3027">
        <v>0</v>
      </c>
      <c r="Q3027">
        <v>0</v>
      </c>
      <c r="R3027" s="3">
        <v>0</v>
      </c>
      <c r="S3027" s="3">
        <v>0</v>
      </c>
      <c r="T3027">
        <v>0</v>
      </c>
      <c r="U3027">
        <v>0</v>
      </c>
      <c r="V3027" s="3">
        <v>0</v>
      </c>
      <c r="W3027" s="3">
        <v>0</v>
      </c>
      <c r="X3027">
        <v>0</v>
      </c>
      <c r="Y3027" t="s">
        <v>2401</v>
      </c>
    </row>
    <row r="3028" spans="1:25" hidden="1" x14ac:dyDescent="0.25">
      <c r="A3028" t="s">
        <v>1454</v>
      </c>
      <c r="B3028" t="s">
        <v>1455</v>
      </c>
      <c r="C3028" t="s">
        <v>27</v>
      </c>
      <c r="D3028" t="s">
        <v>27</v>
      </c>
      <c r="E3028" s="2">
        <v>46009</v>
      </c>
      <c r="F3028" s="2">
        <v>46009</v>
      </c>
      <c r="G3028" s="3">
        <v>48</v>
      </c>
      <c r="H3028" s="4" t="s">
        <v>28</v>
      </c>
      <c r="I3028">
        <v>26</v>
      </c>
      <c r="J3028">
        <v>0</v>
      </c>
      <c r="K3028">
        <v>0</v>
      </c>
      <c r="L3028" s="3">
        <v>1</v>
      </c>
      <c r="M3028" s="3">
        <v>0</v>
      </c>
      <c r="N3028">
        <v>0</v>
      </c>
      <c r="O3028">
        <v>0</v>
      </c>
      <c r="P3028">
        <v>0</v>
      </c>
      <c r="Q3028">
        <v>26</v>
      </c>
      <c r="R3028" s="3">
        <v>0</v>
      </c>
      <c r="S3028" s="3">
        <v>0</v>
      </c>
      <c r="T3028">
        <v>0</v>
      </c>
      <c r="U3028">
        <v>0</v>
      </c>
      <c r="V3028" s="3">
        <v>0</v>
      </c>
      <c r="W3028" s="3">
        <v>0</v>
      </c>
      <c r="X3028">
        <v>0</v>
      </c>
      <c r="Y3028" t="s">
        <v>2402</v>
      </c>
    </row>
    <row r="3029" spans="1:25" hidden="1" x14ac:dyDescent="0.25">
      <c r="A3029" t="s">
        <v>41</v>
      </c>
      <c r="B3029" t="s">
        <v>112</v>
      </c>
      <c r="C3029" t="s">
        <v>42</v>
      </c>
      <c r="D3029" t="s">
        <v>27</v>
      </c>
      <c r="E3029" s="2">
        <v>46009</v>
      </c>
      <c r="F3029" s="2">
        <v>46009</v>
      </c>
      <c r="G3029" s="3">
        <v>34</v>
      </c>
      <c r="H3029" s="4" t="s">
        <v>28</v>
      </c>
      <c r="I3029">
        <v>40</v>
      </c>
      <c r="J3029">
        <v>0</v>
      </c>
      <c r="K3029">
        <v>0</v>
      </c>
      <c r="L3029" s="3">
        <v>1</v>
      </c>
      <c r="M3029" s="3">
        <v>0</v>
      </c>
      <c r="N3029">
        <v>0</v>
      </c>
      <c r="O3029">
        <v>0</v>
      </c>
      <c r="P3029">
        <v>0</v>
      </c>
      <c r="Q3029">
        <v>4</v>
      </c>
      <c r="R3029" s="3">
        <v>0</v>
      </c>
      <c r="S3029" s="3">
        <v>0</v>
      </c>
      <c r="T3029">
        <v>0</v>
      </c>
      <c r="U3029">
        <v>0</v>
      </c>
      <c r="V3029" s="3">
        <v>0</v>
      </c>
      <c r="W3029" s="3">
        <v>0</v>
      </c>
      <c r="X3029">
        <v>0</v>
      </c>
      <c r="Y3029" t="s">
        <v>2403</v>
      </c>
    </row>
    <row r="3030" spans="1:25" hidden="1" x14ac:dyDescent="0.25">
      <c r="A3030" t="s">
        <v>43</v>
      </c>
      <c r="B3030" t="s">
        <v>114</v>
      </c>
      <c r="C3030" t="s">
        <v>44</v>
      </c>
      <c r="D3030" t="s">
        <v>27</v>
      </c>
      <c r="E3030" s="2">
        <v>46009</v>
      </c>
      <c r="F3030" s="2">
        <v>46009</v>
      </c>
      <c r="G3030" s="3">
        <v>27</v>
      </c>
      <c r="H3030" s="4" t="s">
        <v>28</v>
      </c>
      <c r="I3030">
        <v>58</v>
      </c>
      <c r="J3030">
        <v>0</v>
      </c>
      <c r="K3030">
        <v>0</v>
      </c>
      <c r="L3030" s="3">
        <v>1</v>
      </c>
      <c r="M3030" s="3">
        <v>0</v>
      </c>
      <c r="N3030">
        <v>0</v>
      </c>
      <c r="O3030">
        <v>0</v>
      </c>
      <c r="P3030">
        <v>0</v>
      </c>
      <c r="Q3030">
        <v>0</v>
      </c>
      <c r="R3030" s="3">
        <v>0</v>
      </c>
      <c r="S3030" s="3">
        <v>0</v>
      </c>
      <c r="T3030">
        <v>0</v>
      </c>
      <c r="U3030">
        <v>0</v>
      </c>
      <c r="V3030" s="3">
        <v>0</v>
      </c>
      <c r="W3030" s="3">
        <v>0</v>
      </c>
      <c r="X3030">
        <v>0</v>
      </c>
      <c r="Y3030" t="s">
        <v>2404</v>
      </c>
    </row>
    <row r="3031" spans="1:25" hidden="1" x14ac:dyDescent="0.25">
      <c r="A3031" t="s">
        <v>45</v>
      </c>
      <c r="B3031" t="s">
        <v>116</v>
      </c>
      <c r="C3031" t="s">
        <v>46</v>
      </c>
      <c r="D3031" t="s">
        <v>27</v>
      </c>
      <c r="E3031" s="2">
        <v>46009</v>
      </c>
      <c r="F3031" s="2">
        <v>46009</v>
      </c>
      <c r="G3031" s="3">
        <v>41</v>
      </c>
      <c r="H3031" s="4" t="s">
        <v>28</v>
      </c>
      <c r="I3031">
        <v>37</v>
      </c>
      <c r="J3031">
        <v>0</v>
      </c>
      <c r="K3031">
        <v>0</v>
      </c>
      <c r="L3031" s="3">
        <v>0</v>
      </c>
      <c r="M3031" s="3">
        <v>0</v>
      </c>
      <c r="N3031">
        <v>0</v>
      </c>
      <c r="O3031">
        <v>0</v>
      </c>
      <c r="P3031">
        <v>0</v>
      </c>
      <c r="Q3031">
        <v>0</v>
      </c>
      <c r="R3031" s="3">
        <v>0</v>
      </c>
      <c r="S3031" s="3">
        <v>0</v>
      </c>
      <c r="T3031">
        <v>0</v>
      </c>
      <c r="U3031">
        <v>0</v>
      </c>
      <c r="V3031" s="3">
        <v>0</v>
      </c>
      <c r="W3031" s="3">
        <v>0</v>
      </c>
      <c r="X3031">
        <v>0</v>
      </c>
      <c r="Y3031" t="s">
        <v>2405</v>
      </c>
    </row>
    <row r="3032" spans="1:25" hidden="1" x14ac:dyDescent="0.25">
      <c r="A3032" t="s">
        <v>47</v>
      </c>
      <c r="B3032" t="s">
        <v>137</v>
      </c>
      <c r="C3032" t="s">
        <v>2310</v>
      </c>
      <c r="D3032" t="s">
        <v>27</v>
      </c>
      <c r="E3032" s="2">
        <v>46009</v>
      </c>
      <c r="F3032" s="2">
        <v>46009</v>
      </c>
      <c r="G3032" s="3">
        <v>51</v>
      </c>
      <c r="H3032" s="4" t="s">
        <v>28</v>
      </c>
      <c r="I3032">
        <v>41</v>
      </c>
      <c r="J3032">
        <v>0</v>
      </c>
      <c r="K3032">
        <v>0</v>
      </c>
      <c r="L3032" s="3">
        <v>0</v>
      </c>
      <c r="M3032" s="3">
        <v>0</v>
      </c>
      <c r="N3032">
        <v>0</v>
      </c>
      <c r="O3032">
        <v>0</v>
      </c>
      <c r="P3032">
        <v>0</v>
      </c>
      <c r="Q3032">
        <v>0</v>
      </c>
      <c r="R3032" s="3">
        <v>0</v>
      </c>
      <c r="S3032" s="3">
        <v>0</v>
      </c>
      <c r="T3032">
        <v>0</v>
      </c>
      <c r="U3032">
        <v>0</v>
      </c>
      <c r="V3032" s="3">
        <v>0</v>
      </c>
      <c r="W3032" s="3">
        <v>0</v>
      </c>
      <c r="X3032">
        <v>0</v>
      </c>
      <c r="Y3032" t="s">
        <v>2406</v>
      </c>
    </row>
    <row r="3033" spans="1:25" hidden="1" x14ac:dyDescent="0.25">
      <c r="A3033" t="s">
        <v>49</v>
      </c>
      <c r="B3033" t="s">
        <v>118</v>
      </c>
      <c r="C3033" t="s">
        <v>50</v>
      </c>
      <c r="D3033" t="s">
        <v>27</v>
      </c>
      <c r="E3033" s="2">
        <v>46009</v>
      </c>
      <c r="F3033" s="2">
        <v>46009</v>
      </c>
      <c r="G3033" s="3">
        <v>39</v>
      </c>
      <c r="H3033" s="4" t="s">
        <v>28</v>
      </c>
      <c r="I3033">
        <v>53</v>
      </c>
      <c r="J3033">
        <v>0</v>
      </c>
      <c r="K3033">
        <v>0</v>
      </c>
      <c r="L3033" s="3">
        <v>1</v>
      </c>
      <c r="M3033" s="3">
        <v>1</v>
      </c>
      <c r="N3033">
        <v>0</v>
      </c>
      <c r="O3033">
        <v>1</v>
      </c>
      <c r="P3033">
        <v>0</v>
      </c>
      <c r="Q3033">
        <v>58</v>
      </c>
      <c r="R3033" s="3">
        <v>0</v>
      </c>
      <c r="S3033" s="3">
        <v>0</v>
      </c>
      <c r="T3033">
        <v>0</v>
      </c>
      <c r="U3033">
        <v>0</v>
      </c>
      <c r="V3033" s="3">
        <v>0</v>
      </c>
      <c r="W3033" s="3">
        <v>0</v>
      </c>
      <c r="X3033">
        <v>0</v>
      </c>
      <c r="Y3033" t="s">
        <v>2407</v>
      </c>
    </row>
    <row r="3034" spans="1:25" hidden="1" x14ac:dyDescent="0.25">
      <c r="A3034" t="s">
        <v>54</v>
      </c>
      <c r="B3034" t="s">
        <v>122</v>
      </c>
      <c r="C3034" t="s">
        <v>52</v>
      </c>
      <c r="D3034" t="s">
        <v>27</v>
      </c>
      <c r="E3034" s="2">
        <v>46009</v>
      </c>
      <c r="F3034" s="2">
        <v>46009</v>
      </c>
      <c r="G3034" s="3">
        <v>34</v>
      </c>
      <c r="H3034" s="4" t="s">
        <v>28</v>
      </c>
      <c r="I3034">
        <v>52</v>
      </c>
      <c r="J3034">
        <v>0</v>
      </c>
      <c r="K3034">
        <v>0</v>
      </c>
      <c r="L3034" s="3">
        <v>0</v>
      </c>
      <c r="M3034" s="3">
        <v>0</v>
      </c>
      <c r="N3034">
        <v>0</v>
      </c>
      <c r="O3034">
        <v>0</v>
      </c>
      <c r="P3034">
        <v>0</v>
      </c>
      <c r="Q3034">
        <v>2</v>
      </c>
      <c r="R3034" s="3">
        <v>0</v>
      </c>
      <c r="S3034" s="3">
        <v>0</v>
      </c>
      <c r="T3034">
        <v>0</v>
      </c>
      <c r="U3034">
        <v>0</v>
      </c>
      <c r="V3034" s="3">
        <v>0</v>
      </c>
      <c r="W3034" s="3">
        <v>0</v>
      </c>
      <c r="X3034">
        <v>1</v>
      </c>
      <c r="Y3034" t="s">
        <v>2408</v>
      </c>
    </row>
    <row r="3035" spans="1:25" hidden="1" x14ac:dyDescent="0.25">
      <c r="A3035" t="s">
        <v>48</v>
      </c>
      <c r="B3035" t="s">
        <v>149</v>
      </c>
      <c r="C3035" t="s">
        <v>37</v>
      </c>
      <c r="D3035" t="s">
        <v>27</v>
      </c>
      <c r="E3035" s="2">
        <v>46009</v>
      </c>
      <c r="F3035" s="2">
        <v>46009</v>
      </c>
      <c r="G3035" s="3">
        <v>25</v>
      </c>
      <c r="H3035" s="4" t="s">
        <v>28</v>
      </c>
      <c r="I3035">
        <v>40</v>
      </c>
      <c r="J3035">
        <v>0</v>
      </c>
      <c r="K3035">
        <v>0</v>
      </c>
      <c r="L3035" s="3">
        <v>0</v>
      </c>
      <c r="M3035" s="3">
        <v>0</v>
      </c>
      <c r="N3035">
        <v>0</v>
      </c>
      <c r="O3035">
        <v>0</v>
      </c>
      <c r="P3035">
        <v>0</v>
      </c>
      <c r="Q3035">
        <v>0</v>
      </c>
      <c r="R3035" s="3">
        <v>0</v>
      </c>
      <c r="S3035" s="3">
        <v>0</v>
      </c>
      <c r="T3035">
        <v>0</v>
      </c>
      <c r="U3035">
        <v>0</v>
      </c>
      <c r="V3035" s="3">
        <v>0</v>
      </c>
      <c r="W3035" s="3">
        <v>0</v>
      </c>
      <c r="X3035">
        <v>0</v>
      </c>
      <c r="Y3035" t="s">
        <v>2409</v>
      </c>
    </row>
    <row r="3036" spans="1:25" hidden="1" x14ac:dyDescent="0.25">
      <c r="A3036" t="s">
        <v>58</v>
      </c>
      <c r="B3036" t="s">
        <v>739</v>
      </c>
      <c r="C3036" t="s">
        <v>27</v>
      </c>
      <c r="D3036" t="s">
        <v>27</v>
      </c>
      <c r="E3036" s="2">
        <v>46009</v>
      </c>
      <c r="F3036" s="2">
        <v>46009</v>
      </c>
      <c r="G3036" s="3">
        <v>26</v>
      </c>
      <c r="H3036" s="4" t="s">
        <v>180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2409</v>
      </c>
    </row>
    <row r="3037" spans="1:25" hidden="1" x14ac:dyDescent="0.25">
      <c r="A3037" t="s">
        <v>95</v>
      </c>
      <c r="B3037" t="s">
        <v>755</v>
      </c>
      <c r="C3037" t="s">
        <v>27</v>
      </c>
      <c r="D3037" t="s">
        <v>27</v>
      </c>
      <c r="E3037" s="2">
        <v>46009</v>
      </c>
      <c r="F3037" s="2">
        <v>46009</v>
      </c>
      <c r="G3037" s="3">
        <v>27</v>
      </c>
      <c r="H3037" s="4" t="s">
        <v>180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2409</v>
      </c>
    </row>
    <row r="3038" spans="1:25" hidden="1" x14ac:dyDescent="0.25">
      <c r="A3038" t="s">
        <v>55</v>
      </c>
      <c r="B3038" t="s">
        <v>2072</v>
      </c>
      <c r="C3038" t="s">
        <v>2379</v>
      </c>
      <c r="D3038" t="s">
        <v>27</v>
      </c>
      <c r="E3038" s="2">
        <v>46010</v>
      </c>
      <c r="F3038" s="2">
        <v>46010</v>
      </c>
      <c r="G3038" s="3">
        <v>41</v>
      </c>
      <c r="H3038" s="4" t="s">
        <v>28</v>
      </c>
      <c r="I3038">
        <v>35</v>
      </c>
      <c r="J3038">
        <v>0</v>
      </c>
      <c r="K3038">
        <v>0</v>
      </c>
      <c r="L3038" s="3">
        <v>1</v>
      </c>
      <c r="M3038" s="3">
        <v>0</v>
      </c>
      <c r="N3038">
        <v>1</v>
      </c>
      <c r="O3038">
        <v>0</v>
      </c>
      <c r="P3038">
        <v>0</v>
      </c>
      <c r="Q3038">
        <v>0</v>
      </c>
      <c r="R3038" s="3">
        <v>0</v>
      </c>
      <c r="S3038" s="3">
        <v>0</v>
      </c>
      <c r="T3038">
        <v>0</v>
      </c>
      <c r="U3038">
        <v>0</v>
      </c>
      <c r="V3038" s="3">
        <v>0</v>
      </c>
      <c r="W3038" s="3">
        <v>0</v>
      </c>
      <c r="X3038">
        <v>0</v>
      </c>
      <c r="Y3038" t="s">
        <v>2410</v>
      </c>
    </row>
    <row r="3039" spans="1:25" hidden="1" x14ac:dyDescent="0.25">
      <c r="A3039" t="s">
        <v>25</v>
      </c>
      <c r="B3039" t="s">
        <v>96</v>
      </c>
      <c r="C3039" t="s">
        <v>26</v>
      </c>
      <c r="D3039" t="s">
        <v>27</v>
      </c>
      <c r="E3039" s="2">
        <v>46010</v>
      </c>
      <c r="F3039" s="2">
        <v>46010</v>
      </c>
      <c r="G3039" s="3">
        <v>43</v>
      </c>
      <c r="H3039" s="4" t="s">
        <v>28</v>
      </c>
      <c r="I3039">
        <v>63</v>
      </c>
      <c r="J3039">
        <v>0</v>
      </c>
      <c r="K3039">
        <v>0</v>
      </c>
      <c r="L3039" s="3">
        <v>1</v>
      </c>
      <c r="M3039" s="3">
        <v>0</v>
      </c>
      <c r="N3039">
        <v>1</v>
      </c>
      <c r="O3039">
        <v>0</v>
      </c>
      <c r="P3039">
        <v>0</v>
      </c>
      <c r="Q3039">
        <v>0</v>
      </c>
      <c r="R3039" s="3">
        <v>0</v>
      </c>
      <c r="S3039" s="3">
        <v>0</v>
      </c>
      <c r="T3039">
        <v>0</v>
      </c>
      <c r="U3039">
        <v>0</v>
      </c>
      <c r="V3039" s="3">
        <v>0</v>
      </c>
      <c r="W3039" s="3">
        <v>0</v>
      </c>
      <c r="X3039">
        <v>0</v>
      </c>
      <c r="Y3039" t="s">
        <v>2411</v>
      </c>
    </row>
    <row r="3040" spans="1:25" hidden="1" x14ac:dyDescent="0.25">
      <c r="A3040" t="s">
        <v>29</v>
      </c>
      <c r="B3040" t="s">
        <v>100</v>
      </c>
      <c r="C3040" t="s">
        <v>95</v>
      </c>
      <c r="D3040" t="s">
        <v>27</v>
      </c>
      <c r="E3040" s="2">
        <v>46010</v>
      </c>
      <c r="F3040" s="2">
        <v>46010</v>
      </c>
      <c r="G3040" s="3">
        <v>33</v>
      </c>
      <c r="H3040" s="4" t="s">
        <v>28</v>
      </c>
      <c r="I3040">
        <v>62</v>
      </c>
      <c r="J3040">
        <v>0</v>
      </c>
      <c r="K3040">
        <v>0</v>
      </c>
      <c r="L3040" s="3">
        <v>1</v>
      </c>
      <c r="M3040" s="3">
        <v>0</v>
      </c>
      <c r="N3040">
        <v>0</v>
      </c>
      <c r="O3040">
        <v>0</v>
      </c>
      <c r="P3040">
        <v>0</v>
      </c>
      <c r="Q3040">
        <v>20</v>
      </c>
      <c r="R3040" s="3">
        <v>0</v>
      </c>
      <c r="S3040" s="3">
        <v>0</v>
      </c>
      <c r="T3040">
        <v>0</v>
      </c>
      <c r="U3040">
        <v>0</v>
      </c>
      <c r="V3040" s="3">
        <v>0</v>
      </c>
      <c r="W3040" s="3">
        <v>0</v>
      </c>
      <c r="X3040">
        <v>0</v>
      </c>
      <c r="Y3040" t="s">
        <v>2412</v>
      </c>
    </row>
    <row r="3041" spans="1:25" hidden="1" x14ac:dyDescent="0.25">
      <c r="A3041" t="s">
        <v>344</v>
      </c>
      <c r="B3041" t="s">
        <v>102</v>
      </c>
      <c r="C3041" t="s">
        <v>35</v>
      </c>
      <c r="D3041" t="s">
        <v>27</v>
      </c>
      <c r="E3041" s="2">
        <v>46010</v>
      </c>
      <c r="F3041" s="2">
        <v>46009</v>
      </c>
      <c r="G3041" s="3">
        <v>45</v>
      </c>
      <c r="H3041" s="4" t="s">
        <v>28</v>
      </c>
      <c r="I3041">
        <v>40</v>
      </c>
      <c r="J3041">
        <v>0</v>
      </c>
      <c r="K3041">
        <v>0</v>
      </c>
      <c r="L3041" s="3">
        <v>0</v>
      </c>
      <c r="M3041" s="3">
        <v>0</v>
      </c>
      <c r="N3041">
        <v>0</v>
      </c>
      <c r="O3041">
        <v>0</v>
      </c>
      <c r="P3041">
        <v>0</v>
      </c>
      <c r="Q3041">
        <v>2</v>
      </c>
      <c r="R3041" s="3">
        <v>0</v>
      </c>
      <c r="S3041" s="3">
        <v>0</v>
      </c>
      <c r="T3041">
        <v>0</v>
      </c>
      <c r="U3041">
        <v>0</v>
      </c>
      <c r="V3041" s="3">
        <v>0</v>
      </c>
      <c r="W3041" s="3">
        <v>0</v>
      </c>
      <c r="X3041">
        <v>0</v>
      </c>
      <c r="Y3041" t="s">
        <v>2215</v>
      </c>
    </row>
    <row r="3042" spans="1:25" hidden="1" x14ac:dyDescent="0.25">
      <c r="A3042" t="s">
        <v>31</v>
      </c>
      <c r="B3042" t="s">
        <v>104</v>
      </c>
      <c r="C3042" t="s">
        <v>32</v>
      </c>
      <c r="D3042" t="s">
        <v>27</v>
      </c>
      <c r="E3042" s="2">
        <v>46010</v>
      </c>
      <c r="F3042" s="2">
        <v>46010</v>
      </c>
      <c r="G3042" s="3">
        <v>58</v>
      </c>
      <c r="H3042" s="4" t="s">
        <v>28</v>
      </c>
      <c r="I3042">
        <v>82</v>
      </c>
      <c r="J3042">
        <v>2</v>
      </c>
      <c r="K3042">
        <v>0</v>
      </c>
      <c r="L3042" s="3">
        <v>0</v>
      </c>
      <c r="M3042" s="3">
        <v>0</v>
      </c>
      <c r="N3042">
        <v>0</v>
      </c>
      <c r="O3042">
        <v>0</v>
      </c>
      <c r="P3042">
        <v>0</v>
      </c>
      <c r="Q3042">
        <v>30</v>
      </c>
      <c r="R3042" s="3">
        <v>0</v>
      </c>
      <c r="S3042" s="3">
        <v>0</v>
      </c>
      <c r="T3042">
        <v>0</v>
      </c>
      <c r="U3042">
        <v>0</v>
      </c>
      <c r="V3042" s="3">
        <v>0</v>
      </c>
      <c r="W3042" s="3">
        <v>0</v>
      </c>
      <c r="X3042">
        <v>0</v>
      </c>
      <c r="Y3042" t="s">
        <v>2413</v>
      </c>
    </row>
    <row r="3043" spans="1:25" hidden="1" x14ac:dyDescent="0.25">
      <c r="A3043" t="s">
        <v>33</v>
      </c>
      <c r="B3043" t="s">
        <v>106</v>
      </c>
      <c r="C3043" t="s">
        <v>57</v>
      </c>
      <c r="D3043" t="s">
        <v>27</v>
      </c>
      <c r="E3043" s="2">
        <v>46010</v>
      </c>
      <c r="F3043" s="2">
        <v>46010</v>
      </c>
      <c r="G3043" s="3">
        <v>28</v>
      </c>
      <c r="H3043" s="4" t="s">
        <v>28</v>
      </c>
      <c r="I3043">
        <v>50</v>
      </c>
      <c r="J3043">
        <v>0</v>
      </c>
      <c r="K3043">
        <v>0</v>
      </c>
      <c r="L3043" s="3">
        <v>0</v>
      </c>
      <c r="M3043" s="3">
        <v>0</v>
      </c>
      <c r="N3043">
        <v>0</v>
      </c>
      <c r="O3043">
        <v>0</v>
      </c>
      <c r="P3043">
        <v>0</v>
      </c>
      <c r="Q3043">
        <v>20</v>
      </c>
      <c r="R3043" s="3">
        <v>0</v>
      </c>
      <c r="S3043" s="3">
        <v>0</v>
      </c>
      <c r="T3043">
        <v>0</v>
      </c>
      <c r="U3043">
        <v>0</v>
      </c>
      <c r="V3043" s="3">
        <v>0</v>
      </c>
      <c r="W3043" s="3">
        <v>0</v>
      </c>
      <c r="X3043">
        <v>0</v>
      </c>
      <c r="Y3043" t="s">
        <v>2414</v>
      </c>
    </row>
    <row r="3044" spans="1:25" hidden="1" x14ac:dyDescent="0.25">
      <c r="A3044" t="s">
        <v>38</v>
      </c>
      <c r="B3044" t="s">
        <v>108</v>
      </c>
      <c r="C3044" t="s">
        <v>27</v>
      </c>
      <c r="D3044" t="s">
        <v>27</v>
      </c>
      <c r="E3044" s="2">
        <v>46010</v>
      </c>
      <c r="F3044" s="2">
        <v>46010</v>
      </c>
      <c r="G3044" s="3">
        <v>38</v>
      </c>
      <c r="H3044" s="4" t="s">
        <v>28</v>
      </c>
      <c r="I3044">
        <v>65</v>
      </c>
      <c r="J3044">
        <v>0</v>
      </c>
      <c r="K3044">
        <v>0</v>
      </c>
      <c r="L3044" s="3">
        <v>0</v>
      </c>
      <c r="M3044" s="3">
        <v>0</v>
      </c>
      <c r="N3044">
        <v>0</v>
      </c>
      <c r="O3044">
        <v>0</v>
      </c>
      <c r="P3044">
        <v>0</v>
      </c>
      <c r="Q3044">
        <v>65</v>
      </c>
      <c r="R3044" s="3">
        <v>0</v>
      </c>
      <c r="S3044" s="3">
        <v>0</v>
      </c>
      <c r="T3044">
        <v>0</v>
      </c>
      <c r="U3044">
        <v>0</v>
      </c>
      <c r="V3044" s="3">
        <v>0</v>
      </c>
      <c r="W3044" s="3">
        <v>0</v>
      </c>
      <c r="X3044">
        <v>0</v>
      </c>
      <c r="Y3044" t="s">
        <v>2415</v>
      </c>
    </row>
    <row r="3045" spans="1:25" hidden="1" x14ac:dyDescent="0.25">
      <c r="A3045" t="s">
        <v>40</v>
      </c>
      <c r="B3045" t="s">
        <v>110</v>
      </c>
      <c r="C3045" t="s">
        <v>27</v>
      </c>
      <c r="D3045" t="s">
        <v>27</v>
      </c>
      <c r="E3045" s="2">
        <v>46010</v>
      </c>
      <c r="F3045" s="2">
        <v>46010</v>
      </c>
      <c r="G3045" s="3">
        <v>90</v>
      </c>
      <c r="H3045" s="4" t="s">
        <v>28</v>
      </c>
      <c r="I3045">
        <v>65</v>
      </c>
      <c r="J3045">
        <v>0</v>
      </c>
      <c r="K3045">
        <v>0</v>
      </c>
      <c r="L3045" s="3">
        <v>1</v>
      </c>
      <c r="M3045" s="3">
        <v>0</v>
      </c>
      <c r="N3045">
        <v>1</v>
      </c>
      <c r="O3045">
        <v>0</v>
      </c>
      <c r="P3045">
        <v>0</v>
      </c>
      <c r="Q3045">
        <v>48</v>
      </c>
      <c r="R3045" s="3">
        <v>0</v>
      </c>
      <c r="S3045" s="3">
        <v>0</v>
      </c>
      <c r="T3045">
        <v>0</v>
      </c>
      <c r="U3045">
        <v>0</v>
      </c>
      <c r="V3045" s="3">
        <v>0</v>
      </c>
      <c r="W3045" s="3">
        <v>0</v>
      </c>
      <c r="X3045">
        <v>0</v>
      </c>
      <c r="Y3045" t="s">
        <v>2416</v>
      </c>
    </row>
    <row r="3046" spans="1:25" hidden="1" x14ac:dyDescent="0.25">
      <c r="A3046" t="s">
        <v>36</v>
      </c>
      <c r="B3046" t="s">
        <v>110</v>
      </c>
      <c r="C3046" t="s">
        <v>27</v>
      </c>
      <c r="D3046" t="s">
        <v>27</v>
      </c>
      <c r="E3046" s="2">
        <v>46010</v>
      </c>
      <c r="F3046" s="2">
        <v>46010</v>
      </c>
      <c r="G3046" s="3">
        <v>90</v>
      </c>
      <c r="H3046" s="4" t="s">
        <v>28</v>
      </c>
      <c r="I3046">
        <v>65</v>
      </c>
      <c r="J3046">
        <v>0</v>
      </c>
      <c r="K3046">
        <v>0</v>
      </c>
      <c r="L3046" s="3">
        <v>1</v>
      </c>
      <c r="M3046" s="3">
        <v>0</v>
      </c>
      <c r="N3046">
        <v>1</v>
      </c>
      <c r="O3046">
        <v>1</v>
      </c>
      <c r="P3046">
        <v>0</v>
      </c>
      <c r="Q3046">
        <v>48</v>
      </c>
      <c r="R3046" s="3">
        <v>0</v>
      </c>
      <c r="S3046" s="3">
        <v>0</v>
      </c>
      <c r="T3046">
        <v>0</v>
      </c>
      <c r="U3046">
        <v>0</v>
      </c>
      <c r="V3046" s="3">
        <v>0</v>
      </c>
      <c r="W3046" s="3">
        <v>0</v>
      </c>
      <c r="X3046">
        <v>0</v>
      </c>
      <c r="Y3046" t="s">
        <v>2416</v>
      </c>
    </row>
    <row r="3047" spans="1:25" hidden="1" x14ac:dyDescent="0.25">
      <c r="A3047" t="s">
        <v>1454</v>
      </c>
      <c r="B3047" t="s">
        <v>1455</v>
      </c>
      <c r="C3047" t="s">
        <v>27</v>
      </c>
      <c r="D3047" t="s">
        <v>27</v>
      </c>
      <c r="E3047" s="2">
        <v>46010</v>
      </c>
      <c r="F3047" s="2">
        <v>46010</v>
      </c>
      <c r="G3047" s="3">
        <v>47</v>
      </c>
      <c r="H3047" s="4" t="s">
        <v>28</v>
      </c>
      <c r="I3047">
        <v>48</v>
      </c>
      <c r="J3047">
        <v>0</v>
      </c>
      <c r="K3047">
        <v>0</v>
      </c>
      <c r="L3047" s="3">
        <v>1</v>
      </c>
      <c r="M3047" s="3">
        <v>0</v>
      </c>
      <c r="N3047">
        <v>0</v>
      </c>
      <c r="O3047">
        <v>0</v>
      </c>
      <c r="P3047">
        <v>0</v>
      </c>
      <c r="Q3047">
        <v>48</v>
      </c>
      <c r="R3047" s="3">
        <v>0</v>
      </c>
      <c r="S3047" s="3">
        <v>0</v>
      </c>
      <c r="T3047">
        <v>0</v>
      </c>
      <c r="U3047">
        <v>0</v>
      </c>
      <c r="V3047" s="3">
        <v>0</v>
      </c>
      <c r="W3047" s="3">
        <v>0</v>
      </c>
      <c r="X3047">
        <v>0</v>
      </c>
      <c r="Y3047" t="s">
        <v>2417</v>
      </c>
    </row>
    <row r="3048" spans="1:25" hidden="1" x14ac:dyDescent="0.25">
      <c r="A3048" t="s">
        <v>41</v>
      </c>
      <c r="B3048" t="s">
        <v>112</v>
      </c>
      <c r="C3048" t="s">
        <v>42</v>
      </c>
      <c r="D3048" t="s">
        <v>27</v>
      </c>
      <c r="E3048" s="2">
        <v>46010</v>
      </c>
      <c r="F3048" s="2">
        <v>46010</v>
      </c>
      <c r="G3048" s="3">
        <v>53</v>
      </c>
      <c r="H3048" s="4" t="s">
        <v>28</v>
      </c>
      <c r="I3048">
        <v>46</v>
      </c>
      <c r="J3048">
        <v>0</v>
      </c>
      <c r="K3048">
        <v>0</v>
      </c>
      <c r="L3048" s="3">
        <v>1</v>
      </c>
      <c r="M3048" s="3">
        <v>0</v>
      </c>
      <c r="N3048">
        <v>0</v>
      </c>
      <c r="O3048">
        <v>0</v>
      </c>
      <c r="P3048">
        <v>0</v>
      </c>
      <c r="Q3048">
        <v>1</v>
      </c>
      <c r="R3048" s="3">
        <v>0</v>
      </c>
      <c r="S3048" s="3">
        <v>0</v>
      </c>
      <c r="T3048">
        <v>0</v>
      </c>
      <c r="U3048">
        <v>0</v>
      </c>
      <c r="V3048" s="3">
        <v>0</v>
      </c>
      <c r="W3048" s="3">
        <v>0</v>
      </c>
      <c r="X3048">
        <v>0</v>
      </c>
      <c r="Y3048" t="s">
        <v>2418</v>
      </c>
    </row>
    <row r="3049" spans="1:25" hidden="1" x14ac:dyDescent="0.25">
      <c r="A3049" t="s">
        <v>43</v>
      </c>
      <c r="B3049" t="s">
        <v>114</v>
      </c>
      <c r="C3049" t="s">
        <v>44</v>
      </c>
      <c r="D3049" t="s">
        <v>27</v>
      </c>
      <c r="E3049" s="2">
        <v>46010</v>
      </c>
      <c r="F3049" s="2">
        <v>46010</v>
      </c>
      <c r="G3049" s="3">
        <v>29</v>
      </c>
      <c r="H3049" s="4" t="s">
        <v>28</v>
      </c>
      <c r="I3049">
        <v>56</v>
      </c>
      <c r="J3049">
        <v>0</v>
      </c>
      <c r="K3049">
        <v>0</v>
      </c>
      <c r="L3049" s="3">
        <v>1</v>
      </c>
      <c r="M3049" s="3">
        <v>0</v>
      </c>
      <c r="N3049">
        <v>0</v>
      </c>
      <c r="O3049">
        <v>0</v>
      </c>
      <c r="P3049">
        <v>0</v>
      </c>
      <c r="Q3049">
        <v>0</v>
      </c>
      <c r="R3049" s="3">
        <v>0</v>
      </c>
      <c r="S3049" s="3">
        <v>0</v>
      </c>
      <c r="T3049">
        <v>0</v>
      </c>
      <c r="U3049">
        <v>0</v>
      </c>
      <c r="V3049" s="3">
        <v>0</v>
      </c>
      <c r="W3049" s="3">
        <v>0</v>
      </c>
      <c r="X3049">
        <v>0</v>
      </c>
      <c r="Y3049" t="s">
        <v>2419</v>
      </c>
    </row>
    <row r="3050" spans="1:25" hidden="1" x14ac:dyDescent="0.25">
      <c r="A3050" t="s">
        <v>2118</v>
      </c>
      <c r="B3050" t="s">
        <v>2119</v>
      </c>
      <c r="C3050" t="s">
        <v>27</v>
      </c>
      <c r="D3050" t="s">
        <v>27</v>
      </c>
      <c r="E3050" s="2">
        <v>46010</v>
      </c>
      <c r="F3050" s="2">
        <v>46010</v>
      </c>
      <c r="G3050" s="3">
        <v>47</v>
      </c>
      <c r="H3050" s="4" t="s">
        <v>28</v>
      </c>
      <c r="I3050">
        <v>46</v>
      </c>
      <c r="J3050">
        <v>0</v>
      </c>
      <c r="K3050">
        <v>0</v>
      </c>
      <c r="L3050" s="3">
        <v>1</v>
      </c>
      <c r="M3050" s="3">
        <v>0</v>
      </c>
      <c r="N3050">
        <v>0</v>
      </c>
      <c r="O3050">
        <v>0</v>
      </c>
      <c r="P3050">
        <v>0</v>
      </c>
      <c r="Q3050">
        <v>46</v>
      </c>
      <c r="R3050" s="3">
        <v>0</v>
      </c>
      <c r="S3050" s="3">
        <v>0</v>
      </c>
      <c r="T3050">
        <v>0</v>
      </c>
      <c r="U3050">
        <v>0</v>
      </c>
      <c r="V3050" s="3">
        <v>0</v>
      </c>
      <c r="W3050" s="3">
        <v>0</v>
      </c>
      <c r="X3050">
        <v>0</v>
      </c>
      <c r="Y3050" t="s">
        <v>2420</v>
      </c>
    </row>
    <row r="3051" spans="1:25" hidden="1" x14ac:dyDescent="0.25">
      <c r="A3051" t="s">
        <v>45</v>
      </c>
      <c r="B3051" t="s">
        <v>116</v>
      </c>
      <c r="C3051" t="s">
        <v>46</v>
      </c>
      <c r="D3051" t="s">
        <v>27</v>
      </c>
      <c r="E3051" s="2">
        <v>46010</v>
      </c>
      <c r="F3051" s="2">
        <v>46010</v>
      </c>
      <c r="G3051" s="3">
        <v>49</v>
      </c>
      <c r="H3051" s="4" t="s">
        <v>28</v>
      </c>
      <c r="I3051">
        <v>65</v>
      </c>
      <c r="J3051">
        <v>0</v>
      </c>
      <c r="K3051">
        <v>0</v>
      </c>
      <c r="L3051" s="3">
        <v>1</v>
      </c>
      <c r="M3051" s="3">
        <v>0</v>
      </c>
      <c r="N3051">
        <v>0</v>
      </c>
      <c r="O3051">
        <v>0</v>
      </c>
      <c r="P3051">
        <v>0</v>
      </c>
      <c r="Q3051">
        <v>12</v>
      </c>
      <c r="R3051" s="3">
        <v>0</v>
      </c>
      <c r="S3051" s="3">
        <v>0</v>
      </c>
      <c r="T3051">
        <v>0</v>
      </c>
      <c r="U3051">
        <v>0</v>
      </c>
      <c r="V3051" s="3">
        <v>0</v>
      </c>
      <c r="W3051" s="3">
        <v>0</v>
      </c>
      <c r="X3051">
        <v>0</v>
      </c>
      <c r="Y3051" t="s">
        <v>2421</v>
      </c>
    </row>
    <row r="3052" spans="1:25" hidden="1" x14ac:dyDescent="0.25">
      <c r="A3052" t="s">
        <v>47</v>
      </c>
      <c r="B3052" t="s">
        <v>137</v>
      </c>
      <c r="C3052" t="s">
        <v>2310</v>
      </c>
      <c r="D3052" t="s">
        <v>27</v>
      </c>
      <c r="E3052" s="2">
        <v>46010</v>
      </c>
      <c r="F3052" s="2">
        <v>46010</v>
      </c>
      <c r="G3052" s="3">
        <v>336</v>
      </c>
      <c r="H3052" s="4" t="s">
        <v>28</v>
      </c>
      <c r="I3052">
        <v>60</v>
      </c>
      <c r="J3052">
        <v>0</v>
      </c>
      <c r="K3052">
        <v>0</v>
      </c>
      <c r="L3052" s="3">
        <v>0</v>
      </c>
      <c r="M3052" s="3">
        <v>1</v>
      </c>
      <c r="N3052">
        <v>0</v>
      </c>
      <c r="O3052">
        <v>0</v>
      </c>
      <c r="P3052">
        <v>0</v>
      </c>
      <c r="Q3052">
        <v>15</v>
      </c>
      <c r="R3052" s="3">
        <v>0</v>
      </c>
      <c r="S3052" s="3">
        <v>0</v>
      </c>
      <c r="T3052">
        <v>0</v>
      </c>
      <c r="U3052">
        <v>0</v>
      </c>
      <c r="V3052" s="3">
        <v>0</v>
      </c>
      <c r="W3052" s="3">
        <v>0</v>
      </c>
      <c r="X3052">
        <v>0</v>
      </c>
      <c r="Y3052" t="s">
        <v>2422</v>
      </c>
    </row>
    <row r="3053" spans="1:25" hidden="1" x14ac:dyDescent="0.25">
      <c r="A3053" t="s">
        <v>49</v>
      </c>
      <c r="B3053" t="s">
        <v>118</v>
      </c>
      <c r="C3053" t="s">
        <v>50</v>
      </c>
      <c r="D3053" t="s">
        <v>27</v>
      </c>
      <c r="E3053" s="2">
        <v>46010</v>
      </c>
      <c r="F3053" s="2">
        <v>46010</v>
      </c>
      <c r="G3053" s="3">
        <v>22</v>
      </c>
      <c r="H3053" s="4" t="s">
        <v>28</v>
      </c>
      <c r="I3053">
        <v>37</v>
      </c>
      <c r="J3053">
        <v>0</v>
      </c>
      <c r="K3053">
        <v>0</v>
      </c>
      <c r="L3053" s="3">
        <v>1</v>
      </c>
      <c r="M3053" s="3">
        <v>1</v>
      </c>
      <c r="N3053">
        <v>0</v>
      </c>
      <c r="O3053">
        <v>0</v>
      </c>
      <c r="P3053">
        <v>0</v>
      </c>
      <c r="Q3053">
        <v>37</v>
      </c>
      <c r="R3053" s="3">
        <v>0</v>
      </c>
      <c r="S3053" s="3">
        <v>0</v>
      </c>
      <c r="T3053">
        <v>0</v>
      </c>
      <c r="U3053">
        <v>0</v>
      </c>
      <c r="V3053" s="3">
        <v>0</v>
      </c>
      <c r="W3053" s="3">
        <v>0</v>
      </c>
      <c r="X3053">
        <v>0</v>
      </c>
      <c r="Y3053" t="s">
        <v>2423</v>
      </c>
    </row>
    <row r="3054" spans="1:25" hidden="1" x14ac:dyDescent="0.25">
      <c r="A3054" t="s">
        <v>54</v>
      </c>
      <c r="B3054" t="s">
        <v>122</v>
      </c>
      <c r="C3054" t="s">
        <v>52</v>
      </c>
      <c r="D3054" t="s">
        <v>27</v>
      </c>
      <c r="E3054" s="2">
        <v>46010</v>
      </c>
      <c r="F3054" s="2">
        <v>46010</v>
      </c>
      <c r="G3054" s="3">
        <v>37</v>
      </c>
      <c r="H3054" s="4" t="s">
        <v>28</v>
      </c>
      <c r="I3054">
        <v>72</v>
      </c>
      <c r="J3054">
        <v>0</v>
      </c>
      <c r="K3054">
        <v>0</v>
      </c>
      <c r="L3054" s="3">
        <v>0</v>
      </c>
      <c r="M3054" s="3">
        <v>0</v>
      </c>
      <c r="N3054">
        <v>0</v>
      </c>
      <c r="O3054">
        <v>0</v>
      </c>
      <c r="P3054">
        <v>0</v>
      </c>
      <c r="Q3054">
        <v>2</v>
      </c>
      <c r="R3054" s="3">
        <v>0</v>
      </c>
      <c r="S3054" s="3">
        <v>0</v>
      </c>
      <c r="T3054">
        <v>0</v>
      </c>
      <c r="U3054">
        <v>0</v>
      </c>
      <c r="V3054" s="3">
        <v>0</v>
      </c>
      <c r="W3054" s="3">
        <v>0</v>
      </c>
      <c r="X3054">
        <v>6</v>
      </c>
      <c r="Y3054" t="s">
        <v>2424</v>
      </c>
    </row>
    <row r="3055" spans="1:25" hidden="1" x14ac:dyDescent="0.25">
      <c r="A3055" t="s">
        <v>48</v>
      </c>
      <c r="B3055" t="s">
        <v>149</v>
      </c>
      <c r="C3055" t="s">
        <v>37</v>
      </c>
      <c r="D3055" t="s">
        <v>27</v>
      </c>
      <c r="E3055" s="2">
        <v>46010</v>
      </c>
      <c r="F3055" s="2">
        <v>46010</v>
      </c>
      <c r="G3055" s="3">
        <v>22</v>
      </c>
      <c r="H3055" s="4" t="s">
        <v>28</v>
      </c>
      <c r="I3055">
        <v>80</v>
      </c>
      <c r="J3055">
        <v>0</v>
      </c>
      <c r="K3055">
        <v>0</v>
      </c>
      <c r="L3055" s="3">
        <v>1</v>
      </c>
      <c r="M3055" s="3">
        <v>0</v>
      </c>
      <c r="N3055">
        <v>0</v>
      </c>
      <c r="O3055">
        <v>0</v>
      </c>
      <c r="P3055">
        <v>0</v>
      </c>
      <c r="Q3055">
        <v>0</v>
      </c>
      <c r="R3055" s="3">
        <v>0</v>
      </c>
      <c r="S3055" s="3">
        <v>0</v>
      </c>
      <c r="T3055">
        <v>0</v>
      </c>
      <c r="U3055">
        <v>0</v>
      </c>
      <c r="V3055" s="3">
        <v>0</v>
      </c>
      <c r="W3055" s="3">
        <v>0</v>
      </c>
      <c r="X3055">
        <v>0</v>
      </c>
      <c r="Y3055" t="s">
        <v>2425</v>
      </c>
    </row>
    <row r="3056" spans="1:25" hidden="1" x14ac:dyDescent="0.25">
      <c r="A3056" t="s">
        <v>58</v>
      </c>
      <c r="B3056" t="s">
        <v>144</v>
      </c>
      <c r="C3056" t="s">
        <v>2426</v>
      </c>
      <c r="D3056" t="s">
        <v>27</v>
      </c>
      <c r="E3056" s="2">
        <v>46010</v>
      </c>
      <c r="F3056" s="2">
        <v>46010</v>
      </c>
      <c r="G3056" s="3">
        <v>64</v>
      </c>
      <c r="H3056" s="4" t="s">
        <v>28</v>
      </c>
      <c r="I3056">
        <v>56</v>
      </c>
      <c r="J3056">
        <v>14</v>
      </c>
      <c r="K3056">
        <v>0</v>
      </c>
      <c r="L3056" s="3">
        <v>1</v>
      </c>
      <c r="M3056" s="3">
        <v>0</v>
      </c>
      <c r="N3056">
        <v>0</v>
      </c>
      <c r="O3056">
        <v>0</v>
      </c>
      <c r="P3056">
        <v>0</v>
      </c>
      <c r="Q3056">
        <v>40</v>
      </c>
      <c r="R3056" s="3">
        <v>0</v>
      </c>
      <c r="S3056" s="3">
        <v>0</v>
      </c>
      <c r="T3056">
        <v>0</v>
      </c>
      <c r="U3056">
        <v>0</v>
      </c>
      <c r="V3056" s="3">
        <v>0</v>
      </c>
      <c r="W3056" s="3">
        <v>0</v>
      </c>
      <c r="X3056">
        <v>0</v>
      </c>
      <c r="Y3056" t="s">
        <v>2427</v>
      </c>
    </row>
    <row r="3057" spans="1:25" hidden="1" x14ac:dyDescent="0.25">
      <c r="A3057" t="s">
        <v>41</v>
      </c>
      <c r="B3057" t="s">
        <v>112</v>
      </c>
      <c r="C3057" t="s">
        <v>42</v>
      </c>
      <c r="D3057" t="s">
        <v>27</v>
      </c>
      <c r="E3057" s="2">
        <v>46011</v>
      </c>
      <c r="F3057" s="2">
        <v>46011</v>
      </c>
      <c r="G3057" s="3">
        <v>142</v>
      </c>
      <c r="H3057" s="4" t="s">
        <v>28</v>
      </c>
      <c r="I3057">
        <v>0</v>
      </c>
      <c r="J3057">
        <v>0</v>
      </c>
      <c r="K3057">
        <v>0</v>
      </c>
      <c r="L3057" s="3">
        <v>0</v>
      </c>
      <c r="M3057" s="3">
        <v>0</v>
      </c>
      <c r="N3057">
        <v>0</v>
      </c>
      <c r="O3057">
        <v>0</v>
      </c>
      <c r="P3057">
        <v>0</v>
      </c>
      <c r="Q3057">
        <v>31</v>
      </c>
      <c r="R3057" s="3">
        <v>1</v>
      </c>
      <c r="S3057" s="3">
        <v>0</v>
      </c>
      <c r="T3057">
        <v>31</v>
      </c>
      <c r="U3057">
        <v>43</v>
      </c>
      <c r="V3057" s="3">
        <v>1</v>
      </c>
      <c r="W3057" s="3">
        <v>0</v>
      </c>
      <c r="X3057">
        <v>4</v>
      </c>
      <c r="Y3057" t="s">
        <v>2428</v>
      </c>
    </row>
    <row r="3058" spans="1:25" hidden="1" x14ac:dyDescent="0.25">
      <c r="A3058" t="s">
        <v>54</v>
      </c>
      <c r="B3058" t="s">
        <v>122</v>
      </c>
      <c r="C3058" t="s">
        <v>52</v>
      </c>
      <c r="D3058" t="s">
        <v>27</v>
      </c>
      <c r="E3058" s="2">
        <v>46011</v>
      </c>
      <c r="F3058" s="2">
        <v>46011</v>
      </c>
      <c r="G3058" s="3">
        <v>82</v>
      </c>
      <c r="H3058" s="4" t="s">
        <v>28</v>
      </c>
      <c r="I3058">
        <v>0</v>
      </c>
      <c r="J3058">
        <v>0</v>
      </c>
      <c r="K3058">
        <v>0</v>
      </c>
      <c r="L3058" s="3">
        <v>0</v>
      </c>
      <c r="M3058" s="3">
        <v>0</v>
      </c>
      <c r="N3058">
        <v>0</v>
      </c>
      <c r="O3058">
        <v>0</v>
      </c>
      <c r="P3058">
        <v>0</v>
      </c>
      <c r="Q3058">
        <v>0</v>
      </c>
      <c r="R3058" s="3">
        <v>1</v>
      </c>
      <c r="S3058" s="3">
        <v>0</v>
      </c>
      <c r="T3058">
        <v>22</v>
      </c>
      <c r="U3058">
        <v>41</v>
      </c>
      <c r="V3058" s="3">
        <v>1</v>
      </c>
      <c r="W3058" s="3">
        <v>0</v>
      </c>
      <c r="X3058">
        <v>10</v>
      </c>
      <c r="Y3058" t="s">
        <v>2429</v>
      </c>
    </row>
    <row r="3059" spans="1:25" hidden="1" x14ac:dyDescent="0.25">
      <c r="A3059" t="s">
        <v>33</v>
      </c>
      <c r="B3059" t="s">
        <v>106</v>
      </c>
      <c r="C3059" t="s">
        <v>55</v>
      </c>
      <c r="D3059" t="s">
        <v>27</v>
      </c>
      <c r="E3059" s="2">
        <v>46012</v>
      </c>
      <c r="F3059" s="2">
        <v>46012</v>
      </c>
      <c r="G3059" s="3">
        <v>750</v>
      </c>
      <c r="H3059" s="4" t="s">
        <v>28</v>
      </c>
      <c r="I3059">
        <v>0</v>
      </c>
      <c r="J3059">
        <v>0</v>
      </c>
      <c r="K3059">
        <v>0</v>
      </c>
      <c r="L3059" s="3">
        <v>0</v>
      </c>
      <c r="M3059" s="3">
        <v>0</v>
      </c>
      <c r="N3059">
        <v>0</v>
      </c>
      <c r="O3059">
        <v>0</v>
      </c>
      <c r="P3059">
        <v>0</v>
      </c>
      <c r="Q3059">
        <v>0</v>
      </c>
      <c r="R3059" s="3">
        <v>0</v>
      </c>
      <c r="S3059" s="3">
        <v>1</v>
      </c>
      <c r="T3059">
        <v>33</v>
      </c>
      <c r="U3059">
        <v>186</v>
      </c>
      <c r="V3059" s="3">
        <v>0</v>
      </c>
      <c r="W3059" s="3">
        <v>1</v>
      </c>
      <c r="X3059">
        <v>11</v>
      </c>
      <c r="Y3059" t="s">
        <v>2430</v>
      </c>
    </row>
    <row r="3060" spans="1:25" hidden="1" x14ac:dyDescent="0.25">
      <c r="A3060" t="s">
        <v>48</v>
      </c>
      <c r="B3060" t="s">
        <v>149</v>
      </c>
      <c r="C3060" t="s">
        <v>52</v>
      </c>
      <c r="D3060" t="s">
        <v>27</v>
      </c>
      <c r="E3060" s="2">
        <v>46012</v>
      </c>
      <c r="F3060" s="2">
        <v>46012</v>
      </c>
      <c r="G3060" s="3">
        <v>282</v>
      </c>
      <c r="H3060" s="4" t="s">
        <v>28</v>
      </c>
      <c r="I3060">
        <v>0</v>
      </c>
      <c r="J3060">
        <v>0</v>
      </c>
      <c r="K3060">
        <v>0</v>
      </c>
      <c r="L3060" s="3">
        <v>0</v>
      </c>
      <c r="M3060" s="3">
        <v>0</v>
      </c>
      <c r="N3060">
        <v>0</v>
      </c>
      <c r="O3060">
        <v>0</v>
      </c>
      <c r="P3060">
        <v>0</v>
      </c>
      <c r="Q3060">
        <v>0</v>
      </c>
      <c r="R3060" s="3">
        <v>0</v>
      </c>
      <c r="S3060" s="3">
        <v>1</v>
      </c>
      <c r="T3060">
        <v>26</v>
      </c>
      <c r="U3060">
        <v>160</v>
      </c>
      <c r="V3060" s="3">
        <v>0</v>
      </c>
      <c r="W3060" s="3">
        <v>1</v>
      </c>
      <c r="X3060">
        <v>17</v>
      </c>
      <c r="Y3060" t="s">
        <v>2431</v>
      </c>
    </row>
    <row r="3061" spans="1:25" hidden="1" x14ac:dyDescent="0.25">
      <c r="A3061" t="s">
        <v>27</v>
      </c>
      <c r="B3061" t="s">
        <v>2072</v>
      </c>
      <c r="C3061" t="s">
        <v>2379</v>
      </c>
      <c r="D3061" t="s">
        <v>27</v>
      </c>
      <c r="E3061" s="2">
        <v>46006</v>
      </c>
      <c r="F3061" s="2">
        <v>46006</v>
      </c>
      <c r="G3061" s="3">
        <v>39</v>
      </c>
      <c r="H3061" s="4" t="s">
        <v>28</v>
      </c>
      <c r="I3061" s="22">
        <v>21</v>
      </c>
      <c r="J3061">
        <v>0</v>
      </c>
      <c r="K3061">
        <v>0</v>
      </c>
      <c r="L3061" s="3">
        <v>0</v>
      </c>
      <c r="M3061" s="3">
        <v>0</v>
      </c>
      <c r="N3061">
        <v>0</v>
      </c>
      <c r="O3061">
        <v>0</v>
      </c>
      <c r="P3061">
        <v>0</v>
      </c>
      <c r="Q3061">
        <v>0</v>
      </c>
      <c r="R3061" s="3">
        <v>0</v>
      </c>
      <c r="S3061" s="3">
        <v>0</v>
      </c>
      <c r="T3061">
        <v>0</v>
      </c>
      <c r="U3061">
        <v>0</v>
      </c>
      <c r="V3061" s="3">
        <v>0</v>
      </c>
      <c r="W3061" s="3">
        <v>0</v>
      </c>
      <c r="X3061" s="3">
        <v>0</v>
      </c>
      <c r="Y3061" t="s">
        <v>2410</v>
      </c>
    </row>
    <row r="3062" spans="1:25" hidden="1" x14ac:dyDescent="0.25">
      <c r="A3062" t="s">
        <v>55</v>
      </c>
      <c r="B3062" t="s">
        <v>2072</v>
      </c>
      <c r="C3062" t="s">
        <v>2379</v>
      </c>
      <c r="D3062" t="s">
        <v>27</v>
      </c>
      <c r="E3062" s="2">
        <v>46013</v>
      </c>
      <c r="F3062" s="2">
        <v>46013</v>
      </c>
      <c r="G3062" s="3">
        <v>70</v>
      </c>
      <c r="H3062" s="4" t="s">
        <v>28</v>
      </c>
      <c r="I3062">
        <v>38</v>
      </c>
      <c r="J3062">
        <v>0</v>
      </c>
      <c r="K3062">
        <v>0</v>
      </c>
      <c r="L3062" s="3">
        <v>1</v>
      </c>
      <c r="M3062" s="3">
        <v>0</v>
      </c>
      <c r="N3062">
        <v>1</v>
      </c>
      <c r="O3062">
        <v>0</v>
      </c>
      <c r="P3062">
        <v>0</v>
      </c>
      <c r="Q3062">
        <v>0</v>
      </c>
      <c r="R3062" s="3">
        <v>0</v>
      </c>
      <c r="S3062" s="3">
        <v>0</v>
      </c>
      <c r="T3062">
        <v>0</v>
      </c>
      <c r="U3062">
        <v>0</v>
      </c>
      <c r="V3062" s="3">
        <v>0</v>
      </c>
      <c r="W3062" s="3">
        <v>0</v>
      </c>
      <c r="X3062">
        <v>0</v>
      </c>
      <c r="Y3062" t="s">
        <v>2432</v>
      </c>
    </row>
    <row r="3063" spans="1:25" hidden="1" x14ac:dyDescent="0.25">
      <c r="A3063" t="s">
        <v>25</v>
      </c>
      <c r="B3063" t="s">
        <v>96</v>
      </c>
      <c r="C3063" t="s">
        <v>26</v>
      </c>
      <c r="D3063" t="s">
        <v>27</v>
      </c>
      <c r="E3063" s="2">
        <v>46013</v>
      </c>
      <c r="F3063" s="2">
        <v>46013</v>
      </c>
      <c r="G3063" s="3">
        <v>36</v>
      </c>
      <c r="H3063" s="4" t="s">
        <v>28</v>
      </c>
      <c r="I3063">
        <v>41</v>
      </c>
      <c r="J3063">
        <v>0</v>
      </c>
      <c r="K3063">
        <v>0</v>
      </c>
      <c r="L3063" s="3">
        <v>1</v>
      </c>
      <c r="M3063" s="3">
        <v>0</v>
      </c>
      <c r="N3063">
        <v>1</v>
      </c>
      <c r="O3063">
        <v>0</v>
      </c>
      <c r="P3063">
        <v>0</v>
      </c>
      <c r="Q3063">
        <v>0</v>
      </c>
      <c r="R3063" s="3">
        <v>0</v>
      </c>
      <c r="S3063" s="3">
        <v>0</v>
      </c>
      <c r="T3063">
        <v>0</v>
      </c>
      <c r="U3063">
        <v>0</v>
      </c>
      <c r="V3063" s="3">
        <v>0</v>
      </c>
      <c r="W3063" s="3">
        <v>0</v>
      </c>
      <c r="X3063">
        <v>0</v>
      </c>
      <c r="Y3063" t="s">
        <v>2433</v>
      </c>
    </row>
    <row r="3064" spans="1:25" hidden="1" x14ac:dyDescent="0.25">
      <c r="A3064" t="s">
        <v>29</v>
      </c>
      <c r="B3064" t="s">
        <v>100</v>
      </c>
      <c r="C3064" t="s">
        <v>95</v>
      </c>
      <c r="D3064" t="s">
        <v>27</v>
      </c>
      <c r="E3064" s="2">
        <v>46013</v>
      </c>
      <c r="F3064" s="2">
        <v>46013</v>
      </c>
      <c r="G3064" s="3">
        <v>76</v>
      </c>
      <c r="H3064" s="4" t="s">
        <v>28</v>
      </c>
      <c r="I3064">
        <v>28</v>
      </c>
      <c r="J3064">
        <v>0</v>
      </c>
      <c r="K3064">
        <v>0</v>
      </c>
      <c r="L3064" s="3">
        <v>1</v>
      </c>
      <c r="M3064" s="3">
        <v>0</v>
      </c>
      <c r="N3064">
        <v>0</v>
      </c>
      <c r="O3064">
        <v>0</v>
      </c>
      <c r="P3064">
        <v>0</v>
      </c>
      <c r="Q3064">
        <v>10</v>
      </c>
      <c r="R3064" s="3">
        <v>0</v>
      </c>
      <c r="S3064" s="3">
        <v>0</v>
      </c>
      <c r="T3064">
        <v>0</v>
      </c>
      <c r="U3064">
        <v>0</v>
      </c>
      <c r="V3064" s="3">
        <v>0</v>
      </c>
      <c r="W3064" s="3">
        <v>0</v>
      </c>
      <c r="X3064">
        <v>0</v>
      </c>
      <c r="Y3064" t="s">
        <v>2434</v>
      </c>
    </row>
    <row r="3065" spans="1:25" hidden="1" x14ac:dyDescent="0.25">
      <c r="A3065" t="s">
        <v>344</v>
      </c>
      <c r="B3065" t="s">
        <v>100</v>
      </c>
      <c r="C3065" t="s">
        <v>35</v>
      </c>
      <c r="D3065" t="s">
        <v>27</v>
      </c>
      <c r="E3065" s="2">
        <v>46013</v>
      </c>
      <c r="F3065" s="2">
        <v>46013</v>
      </c>
      <c r="G3065" s="3">
        <v>76</v>
      </c>
      <c r="H3065" s="4" t="s">
        <v>28</v>
      </c>
      <c r="I3065">
        <v>36</v>
      </c>
      <c r="J3065">
        <v>0</v>
      </c>
      <c r="K3065">
        <v>0</v>
      </c>
      <c r="L3065" s="3">
        <v>0</v>
      </c>
      <c r="M3065" s="3">
        <v>0</v>
      </c>
      <c r="N3065">
        <v>0</v>
      </c>
      <c r="O3065">
        <v>0</v>
      </c>
      <c r="P3065">
        <v>0</v>
      </c>
      <c r="Q3065">
        <v>0</v>
      </c>
      <c r="R3065" s="3">
        <v>0</v>
      </c>
      <c r="S3065" s="3">
        <v>0</v>
      </c>
      <c r="T3065">
        <v>0</v>
      </c>
      <c r="U3065">
        <v>0</v>
      </c>
      <c r="V3065" s="3">
        <v>0</v>
      </c>
      <c r="W3065" s="3">
        <v>0</v>
      </c>
      <c r="X3065">
        <v>3</v>
      </c>
      <c r="Y3065" t="s">
        <v>2434</v>
      </c>
    </row>
    <row r="3066" spans="1:25" hidden="1" x14ac:dyDescent="0.25">
      <c r="A3066" t="s">
        <v>31</v>
      </c>
      <c r="B3066" t="s">
        <v>104</v>
      </c>
      <c r="C3066" t="s">
        <v>32</v>
      </c>
      <c r="D3066" t="s">
        <v>27</v>
      </c>
      <c r="E3066" s="2">
        <v>46013</v>
      </c>
      <c r="F3066" s="2">
        <v>46013</v>
      </c>
      <c r="G3066" s="3">
        <v>49</v>
      </c>
      <c r="H3066" s="4" t="s">
        <v>28</v>
      </c>
      <c r="I3066">
        <v>88</v>
      </c>
      <c r="J3066">
        <v>30</v>
      </c>
      <c r="K3066">
        <v>0</v>
      </c>
      <c r="L3066" s="3">
        <v>0</v>
      </c>
      <c r="M3066" s="3">
        <v>0</v>
      </c>
      <c r="N3066">
        <v>0</v>
      </c>
      <c r="O3066">
        <v>0</v>
      </c>
      <c r="P3066">
        <v>0</v>
      </c>
      <c r="Q3066">
        <v>30</v>
      </c>
      <c r="R3066" s="3">
        <v>0</v>
      </c>
      <c r="S3066" s="3">
        <v>0</v>
      </c>
      <c r="T3066">
        <v>0</v>
      </c>
      <c r="U3066">
        <v>0</v>
      </c>
      <c r="V3066" s="3">
        <v>0</v>
      </c>
      <c r="W3066" s="3">
        <v>0</v>
      </c>
      <c r="X3066" s="37">
        <v>1</v>
      </c>
      <c r="Y3066" t="s">
        <v>2435</v>
      </c>
    </row>
    <row r="3067" spans="1:25" hidden="1" x14ac:dyDescent="0.25">
      <c r="A3067" t="s">
        <v>33</v>
      </c>
      <c r="B3067" t="s">
        <v>106</v>
      </c>
      <c r="C3067" t="s">
        <v>57</v>
      </c>
      <c r="D3067" t="s">
        <v>27</v>
      </c>
      <c r="E3067" s="2">
        <v>46013</v>
      </c>
      <c r="F3067" s="2">
        <v>46013</v>
      </c>
      <c r="G3067" s="3">
        <v>36</v>
      </c>
      <c r="H3067" s="4" t="s">
        <v>28</v>
      </c>
      <c r="I3067">
        <v>65</v>
      </c>
      <c r="J3067">
        <v>0</v>
      </c>
      <c r="K3067">
        <v>0</v>
      </c>
      <c r="L3067" s="3">
        <v>0</v>
      </c>
      <c r="M3067" s="3">
        <v>0</v>
      </c>
      <c r="N3067">
        <v>0</v>
      </c>
      <c r="O3067">
        <v>0</v>
      </c>
      <c r="P3067">
        <v>0</v>
      </c>
      <c r="Q3067">
        <v>22</v>
      </c>
      <c r="R3067" s="3">
        <v>0</v>
      </c>
      <c r="S3067" s="3">
        <v>0</v>
      </c>
      <c r="T3067">
        <v>0</v>
      </c>
      <c r="U3067">
        <v>0</v>
      </c>
      <c r="V3067" s="3">
        <v>0</v>
      </c>
      <c r="W3067" s="3">
        <v>0</v>
      </c>
      <c r="X3067">
        <v>0</v>
      </c>
      <c r="Y3067" t="s">
        <v>2436</v>
      </c>
    </row>
    <row r="3068" spans="1:25" hidden="1" x14ac:dyDescent="0.25">
      <c r="A3068" t="s">
        <v>38</v>
      </c>
      <c r="B3068" t="s">
        <v>108</v>
      </c>
      <c r="C3068" t="s">
        <v>27</v>
      </c>
      <c r="D3068" t="s">
        <v>27</v>
      </c>
      <c r="E3068" s="2">
        <v>46013</v>
      </c>
      <c r="F3068" s="2">
        <v>46013</v>
      </c>
      <c r="G3068" s="3">
        <v>79</v>
      </c>
      <c r="H3068" s="4" t="s">
        <v>28</v>
      </c>
      <c r="I3068">
        <v>67</v>
      </c>
      <c r="J3068">
        <v>0</v>
      </c>
      <c r="K3068">
        <v>0</v>
      </c>
      <c r="L3068" s="3">
        <v>1</v>
      </c>
      <c r="M3068" s="3">
        <v>0</v>
      </c>
      <c r="N3068">
        <v>0</v>
      </c>
      <c r="O3068">
        <v>0</v>
      </c>
      <c r="P3068">
        <v>0</v>
      </c>
      <c r="Q3068">
        <v>67</v>
      </c>
      <c r="R3068" s="3">
        <v>0</v>
      </c>
      <c r="S3068" s="3">
        <v>0</v>
      </c>
      <c r="T3068">
        <v>0</v>
      </c>
      <c r="U3068">
        <v>0</v>
      </c>
      <c r="V3068" s="3">
        <v>0</v>
      </c>
      <c r="W3068" s="3">
        <v>0</v>
      </c>
      <c r="X3068">
        <v>0</v>
      </c>
      <c r="Y3068" t="s">
        <v>2437</v>
      </c>
    </row>
    <row r="3069" spans="1:25" hidden="1" x14ac:dyDescent="0.25">
      <c r="A3069" t="s">
        <v>40</v>
      </c>
      <c r="B3069" t="s">
        <v>110</v>
      </c>
      <c r="C3069" t="s">
        <v>2426</v>
      </c>
      <c r="D3069" t="s">
        <v>27</v>
      </c>
      <c r="E3069" s="2">
        <v>46013</v>
      </c>
      <c r="F3069" s="2">
        <v>46013</v>
      </c>
      <c r="G3069" s="3">
        <v>37</v>
      </c>
      <c r="H3069" s="4" t="s">
        <v>28</v>
      </c>
      <c r="I3069">
        <v>81</v>
      </c>
      <c r="J3069">
        <v>0</v>
      </c>
      <c r="K3069">
        <v>0</v>
      </c>
      <c r="L3069" s="3">
        <v>1</v>
      </c>
      <c r="M3069" s="3">
        <v>0</v>
      </c>
      <c r="N3069">
        <v>1</v>
      </c>
      <c r="O3069">
        <v>0</v>
      </c>
      <c r="P3069">
        <v>0</v>
      </c>
      <c r="Q3069">
        <v>48</v>
      </c>
      <c r="R3069" s="3">
        <v>0</v>
      </c>
      <c r="S3069" s="3">
        <v>0</v>
      </c>
      <c r="T3069">
        <v>0</v>
      </c>
      <c r="U3069">
        <v>0</v>
      </c>
      <c r="V3069" s="3">
        <v>0</v>
      </c>
      <c r="W3069" s="3">
        <v>0</v>
      </c>
      <c r="X3069">
        <v>0</v>
      </c>
      <c r="Y3069" t="s">
        <v>2438</v>
      </c>
    </row>
    <row r="3070" spans="1:25" hidden="1" x14ac:dyDescent="0.25">
      <c r="A3070" t="s">
        <v>1454</v>
      </c>
      <c r="B3070" t="s">
        <v>1455</v>
      </c>
      <c r="C3070" t="s">
        <v>27</v>
      </c>
      <c r="D3070" t="s">
        <v>27</v>
      </c>
      <c r="E3070" s="2">
        <v>46013</v>
      </c>
      <c r="F3070" s="2">
        <v>46013</v>
      </c>
      <c r="G3070" s="3">
        <v>51</v>
      </c>
      <c r="H3070" s="4" t="s">
        <v>28</v>
      </c>
      <c r="I3070">
        <v>50</v>
      </c>
      <c r="J3070">
        <v>0</v>
      </c>
      <c r="K3070">
        <v>0</v>
      </c>
      <c r="L3070" s="3">
        <v>1</v>
      </c>
      <c r="M3070" s="3">
        <v>0</v>
      </c>
      <c r="N3070">
        <v>0</v>
      </c>
      <c r="O3070">
        <v>0</v>
      </c>
      <c r="P3070">
        <v>0</v>
      </c>
      <c r="Q3070">
        <v>50</v>
      </c>
      <c r="R3070" s="3">
        <v>0</v>
      </c>
      <c r="S3070" s="3">
        <v>0</v>
      </c>
      <c r="T3070">
        <v>0</v>
      </c>
      <c r="U3070">
        <v>0</v>
      </c>
      <c r="V3070" s="3">
        <v>0</v>
      </c>
      <c r="W3070" s="3">
        <v>0</v>
      </c>
      <c r="X3070">
        <v>0</v>
      </c>
      <c r="Y3070" t="s">
        <v>2439</v>
      </c>
    </row>
    <row r="3071" spans="1:25" hidden="1" x14ac:dyDescent="0.25">
      <c r="A3071" t="s">
        <v>41</v>
      </c>
      <c r="B3071" t="s">
        <v>112</v>
      </c>
      <c r="C3071" t="s">
        <v>42</v>
      </c>
      <c r="D3071" t="s">
        <v>27</v>
      </c>
      <c r="E3071" s="2">
        <v>46013</v>
      </c>
      <c r="F3071" s="2">
        <v>46013</v>
      </c>
      <c r="G3071" s="3">
        <v>35</v>
      </c>
      <c r="H3071" s="4" t="s">
        <v>28</v>
      </c>
      <c r="I3071">
        <v>41</v>
      </c>
      <c r="J3071">
        <v>0</v>
      </c>
      <c r="K3071">
        <v>0</v>
      </c>
      <c r="L3071" s="3">
        <v>1</v>
      </c>
      <c r="M3071" s="3">
        <v>0</v>
      </c>
      <c r="N3071">
        <v>0</v>
      </c>
      <c r="O3071">
        <v>0</v>
      </c>
      <c r="P3071">
        <v>0</v>
      </c>
      <c r="Q3071">
        <v>4</v>
      </c>
      <c r="R3071" s="3">
        <v>0</v>
      </c>
      <c r="S3071" s="3">
        <v>0</v>
      </c>
      <c r="T3071">
        <v>0</v>
      </c>
      <c r="U3071">
        <v>0</v>
      </c>
      <c r="V3071" s="3">
        <v>0</v>
      </c>
      <c r="W3071" s="3">
        <v>0</v>
      </c>
      <c r="X3071">
        <v>0</v>
      </c>
      <c r="Y3071" t="s">
        <v>2440</v>
      </c>
    </row>
    <row r="3072" spans="1:25" hidden="1" x14ac:dyDescent="0.25">
      <c r="A3072" t="s">
        <v>43</v>
      </c>
      <c r="B3072" t="s">
        <v>114</v>
      </c>
      <c r="C3072" t="s">
        <v>44</v>
      </c>
      <c r="D3072" t="s">
        <v>27</v>
      </c>
      <c r="E3072" s="2">
        <v>46013</v>
      </c>
      <c r="F3072" s="2">
        <v>46013</v>
      </c>
      <c r="G3072" s="3">
        <v>23</v>
      </c>
      <c r="H3072" s="4" t="s">
        <v>28</v>
      </c>
      <c r="I3072">
        <v>45</v>
      </c>
      <c r="J3072">
        <v>0</v>
      </c>
      <c r="K3072">
        <v>0</v>
      </c>
      <c r="L3072" s="3">
        <v>0</v>
      </c>
      <c r="M3072" s="3">
        <v>0</v>
      </c>
      <c r="N3072">
        <v>0</v>
      </c>
      <c r="O3072">
        <v>0</v>
      </c>
      <c r="P3072">
        <v>0</v>
      </c>
      <c r="Q3072">
        <v>0</v>
      </c>
      <c r="R3072" s="3">
        <v>0</v>
      </c>
      <c r="S3072" s="3">
        <v>0</v>
      </c>
      <c r="T3072">
        <v>0</v>
      </c>
      <c r="U3072">
        <v>0</v>
      </c>
      <c r="V3072" s="3">
        <v>0</v>
      </c>
      <c r="W3072" s="3">
        <v>0</v>
      </c>
      <c r="X3072">
        <v>0</v>
      </c>
      <c r="Y3072" t="s">
        <v>2441</v>
      </c>
    </row>
    <row r="3073" spans="1:25" hidden="1" x14ac:dyDescent="0.25">
      <c r="A3073" t="s">
        <v>2118</v>
      </c>
      <c r="B3073" t="s">
        <v>2119</v>
      </c>
      <c r="C3073" t="s">
        <v>27</v>
      </c>
      <c r="D3073" t="s">
        <v>27</v>
      </c>
      <c r="E3073" s="2">
        <v>46013</v>
      </c>
      <c r="F3073" s="2">
        <v>46013</v>
      </c>
      <c r="G3073" s="3">
        <v>41</v>
      </c>
      <c r="H3073" s="4" t="s">
        <v>28</v>
      </c>
      <c r="I3073">
        <v>45</v>
      </c>
      <c r="J3073">
        <v>0</v>
      </c>
      <c r="K3073">
        <v>0</v>
      </c>
      <c r="L3073" s="3">
        <v>1</v>
      </c>
      <c r="M3073" s="3">
        <v>0</v>
      </c>
      <c r="N3073">
        <v>0</v>
      </c>
      <c r="O3073">
        <v>0</v>
      </c>
      <c r="P3073">
        <v>0</v>
      </c>
      <c r="Q3073">
        <v>45</v>
      </c>
      <c r="R3073" s="3">
        <v>0</v>
      </c>
      <c r="S3073" s="3">
        <v>0</v>
      </c>
      <c r="T3073">
        <v>0</v>
      </c>
      <c r="U3073">
        <v>0</v>
      </c>
      <c r="V3073" s="3">
        <v>0</v>
      </c>
      <c r="W3073" s="3">
        <v>0</v>
      </c>
      <c r="X3073">
        <v>0</v>
      </c>
      <c r="Y3073" t="s">
        <v>2442</v>
      </c>
    </row>
    <row r="3074" spans="1:25" hidden="1" x14ac:dyDescent="0.25">
      <c r="A3074" t="s">
        <v>45</v>
      </c>
      <c r="B3074" t="s">
        <v>116</v>
      </c>
      <c r="C3074" t="s">
        <v>46</v>
      </c>
      <c r="D3074" t="s">
        <v>27</v>
      </c>
      <c r="E3074" s="2">
        <v>46013</v>
      </c>
      <c r="F3074" s="2">
        <v>46013</v>
      </c>
      <c r="G3074" s="3">
        <v>56</v>
      </c>
      <c r="H3074" s="4" t="s">
        <v>28</v>
      </c>
      <c r="I3074">
        <v>63</v>
      </c>
      <c r="J3074">
        <v>0</v>
      </c>
      <c r="K3074">
        <v>0</v>
      </c>
      <c r="L3074" s="3">
        <v>1</v>
      </c>
      <c r="M3074" s="3">
        <v>0</v>
      </c>
      <c r="N3074">
        <v>0</v>
      </c>
      <c r="O3074">
        <v>0</v>
      </c>
      <c r="P3074">
        <v>0</v>
      </c>
      <c r="Q3074">
        <v>8</v>
      </c>
      <c r="R3074" s="3">
        <v>0</v>
      </c>
      <c r="S3074" s="3">
        <v>0</v>
      </c>
      <c r="T3074">
        <v>0</v>
      </c>
      <c r="U3074">
        <v>0</v>
      </c>
      <c r="V3074" s="3">
        <v>0</v>
      </c>
      <c r="W3074" s="3">
        <v>0</v>
      </c>
      <c r="X3074">
        <v>0</v>
      </c>
      <c r="Y3074" t="s">
        <v>2443</v>
      </c>
    </row>
    <row r="3075" spans="1:25" hidden="1" x14ac:dyDescent="0.25">
      <c r="A3075" t="s">
        <v>47</v>
      </c>
      <c r="B3075" t="s">
        <v>137</v>
      </c>
      <c r="C3075" t="s">
        <v>2310</v>
      </c>
      <c r="D3075" t="s">
        <v>27</v>
      </c>
      <c r="E3075" s="2">
        <v>46013</v>
      </c>
      <c r="F3075" s="2">
        <v>46013</v>
      </c>
      <c r="G3075" s="3">
        <v>115</v>
      </c>
      <c r="H3075" s="4" t="s">
        <v>28</v>
      </c>
      <c r="I3075">
        <v>42</v>
      </c>
      <c r="J3075">
        <v>0</v>
      </c>
      <c r="K3075">
        <v>0</v>
      </c>
      <c r="L3075" s="3">
        <v>0</v>
      </c>
      <c r="M3075" s="3">
        <v>1</v>
      </c>
      <c r="N3075">
        <v>0</v>
      </c>
      <c r="O3075">
        <v>0</v>
      </c>
      <c r="P3075">
        <v>0</v>
      </c>
      <c r="Q3075">
        <v>0</v>
      </c>
      <c r="R3075" s="3">
        <v>0</v>
      </c>
      <c r="S3075" s="3">
        <v>0</v>
      </c>
      <c r="T3075">
        <v>0</v>
      </c>
      <c r="U3075">
        <v>0</v>
      </c>
      <c r="V3075" s="3">
        <v>0</v>
      </c>
      <c r="W3075" s="3">
        <v>0</v>
      </c>
      <c r="X3075">
        <v>0</v>
      </c>
      <c r="Y3075" t="s">
        <v>2444</v>
      </c>
    </row>
    <row r="3076" spans="1:25" hidden="1" x14ac:dyDescent="0.25">
      <c r="A3076" t="s">
        <v>27</v>
      </c>
      <c r="B3076" t="s">
        <v>118</v>
      </c>
      <c r="C3076" t="s">
        <v>50</v>
      </c>
      <c r="D3076" t="s">
        <v>27</v>
      </c>
      <c r="E3076" s="2">
        <v>46013</v>
      </c>
      <c r="F3076" s="2">
        <v>46013</v>
      </c>
      <c r="G3076" s="3">
        <v>26</v>
      </c>
      <c r="H3076" s="4" t="s">
        <v>28</v>
      </c>
      <c r="I3076">
        <v>30</v>
      </c>
      <c r="J3076">
        <v>0</v>
      </c>
      <c r="K3076">
        <v>0</v>
      </c>
      <c r="L3076" s="3">
        <v>1</v>
      </c>
      <c r="M3076" s="3">
        <v>1</v>
      </c>
      <c r="N3076">
        <v>0</v>
      </c>
      <c r="O3076">
        <v>1</v>
      </c>
      <c r="P3076">
        <v>0</v>
      </c>
      <c r="Q3076">
        <v>30</v>
      </c>
      <c r="R3076" s="3">
        <v>0</v>
      </c>
      <c r="S3076" s="3">
        <v>0</v>
      </c>
      <c r="T3076">
        <v>0</v>
      </c>
      <c r="U3076">
        <v>0</v>
      </c>
      <c r="V3076" s="3">
        <v>0</v>
      </c>
      <c r="W3076" s="3">
        <v>0</v>
      </c>
      <c r="X3076">
        <v>0</v>
      </c>
      <c r="Y3076" t="s">
        <v>2445</v>
      </c>
    </row>
    <row r="3077" spans="1:25" hidden="1" x14ac:dyDescent="0.25">
      <c r="A3077" t="s">
        <v>54</v>
      </c>
      <c r="B3077" t="s">
        <v>122</v>
      </c>
      <c r="C3077" t="s">
        <v>52</v>
      </c>
      <c r="D3077" t="s">
        <v>27</v>
      </c>
      <c r="E3077" s="2">
        <v>46013</v>
      </c>
      <c r="F3077" s="2">
        <v>46013</v>
      </c>
      <c r="G3077" s="3">
        <v>36</v>
      </c>
      <c r="H3077" s="4" t="s">
        <v>28</v>
      </c>
      <c r="I3077">
        <v>37</v>
      </c>
      <c r="J3077">
        <v>0</v>
      </c>
      <c r="K3077">
        <v>0</v>
      </c>
      <c r="L3077" s="3">
        <v>0</v>
      </c>
      <c r="M3077" s="3">
        <v>0</v>
      </c>
      <c r="N3077">
        <v>0</v>
      </c>
      <c r="O3077">
        <v>0</v>
      </c>
      <c r="P3077">
        <v>0</v>
      </c>
      <c r="Q3077">
        <v>2</v>
      </c>
      <c r="R3077" s="3">
        <v>0</v>
      </c>
      <c r="S3077" s="3">
        <v>0</v>
      </c>
      <c r="T3077">
        <v>0</v>
      </c>
      <c r="U3077">
        <v>0</v>
      </c>
      <c r="V3077" s="3">
        <v>0</v>
      </c>
      <c r="W3077" s="3">
        <v>0</v>
      </c>
      <c r="X3077">
        <v>0</v>
      </c>
      <c r="Y3077" t="s">
        <v>2446</v>
      </c>
    </row>
    <row r="3078" spans="1:25" hidden="1" x14ac:dyDescent="0.25">
      <c r="A3078" t="s">
        <v>48</v>
      </c>
      <c r="B3078" t="s">
        <v>149</v>
      </c>
      <c r="C3078" t="s">
        <v>37</v>
      </c>
      <c r="D3078" t="s">
        <v>27</v>
      </c>
      <c r="E3078" s="2">
        <v>46013</v>
      </c>
      <c r="F3078" s="2">
        <v>46013</v>
      </c>
      <c r="G3078" s="3">
        <v>29</v>
      </c>
      <c r="H3078" s="4" t="s">
        <v>28</v>
      </c>
      <c r="I3078">
        <v>77</v>
      </c>
      <c r="J3078">
        <v>0</v>
      </c>
      <c r="K3078">
        <v>0</v>
      </c>
      <c r="L3078" s="3">
        <v>1</v>
      </c>
      <c r="M3078" s="3">
        <v>0</v>
      </c>
      <c r="N3078">
        <v>0</v>
      </c>
      <c r="O3078">
        <v>0</v>
      </c>
      <c r="P3078">
        <v>0</v>
      </c>
      <c r="Q3078">
        <v>2</v>
      </c>
      <c r="R3078" s="3">
        <v>0</v>
      </c>
      <c r="S3078" s="3">
        <v>0</v>
      </c>
      <c r="T3078">
        <v>0</v>
      </c>
      <c r="U3078">
        <v>0</v>
      </c>
      <c r="V3078" s="3">
        <v>0</v>
      </c>
      <c r="W3078" s="3">
        <v>0</v>
      </c>
      <c r="X3078">
        <v>0</v>
      </c>
      <c r="Y3078" t="s">
        <v>2447</v>
      </c>
    </row>
    <row r="3079" spans="1:25" hidden="1" x14ac:dyDescent="0.25">
      <c r="A3079" t="s">
        <v>58</v>
      </c>
      <c r="B3079" t="s">
        <v>144</v>
      </c>
      <c r="C3079" t="s">
        <v>2514</v>
      </c>
      <c r="D3079" t="s">
        <v>27</v>
      </c>
      <c r="E3079" s="2">
        <v>46013</v>
      </c>
      <c r="F3079" s="2">
        <v>46013</v>
      </c>
      <c r="G3079" s="3">
        <v>561</v>
      </c>
      <c r="H3079" s="4" t="s">
        <v>28</v>
      </c>
      <c r="I3079">
        <v>65</v>
      </c>
      <c r="J3079">
        <v>10</v>
      </c>
      <c r="K3079">
        <v>0</v>
      </c>
      <c r="L3079" s="3">
        <v>1</v>
      </c>
      <c r="M3079" s="3">
        <v>0</v>
      </c>
      <c r="N3079">
        <v>0</v>
      </c>
      <c r="O3079">
        <v>0</v>
      </c>
      <c r="P3079">
        <v>0</v>
      </c>
      <c r="Q3079">
        <v>0</v>
      </c>
      <c r="R3079" s="3">
        <v>0</v>
      </c>
      <c r="S3079" s="3">
        <v>0</v>
      </c>
      <c r="T3079">
        <v>0</v>
      </c>
      <c r="U3079">
        <v>0</v>
      </c>
      <c r="V3079" s="3">
        <v>0</v>
      </c>
      <c r="W3079" s="3">
        <v>0</v>
      </c>
      <c r="X3079">
        <v>0</v>
      </c>
      <c r="Y3079" t="s">
        <v>2449</v>
      </c>
    </row>
    <row r="3080" spans="1:25" hidden="1" x14ac:dyDescent="0.25">
      <c r="A3080" t="s">
        <v>51</v>
      </c>
      <c r="B3080" t="s">
        <v>120</v>
      </c>
      <c r="C3080" t="s">
        <v>27</v>
      </c>
      <c r="D3080" t="s">
        <v>27</v>
      </c>
      <c r="E3080" s="2">
        <v>46013</v>
      </c>
      <c r="F3080" s="2">
        <v>46013</v>
      </c>
      <c r="G3080" s="3">
        <v>60</v>
      </c>
      <c r="H3080" t="s">
        <v>180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2450</v>
      </c>
    </row>
    <row r="3081" spans="1:25" hidden="1" x14ac:dyDescent="0.25">
      <c r="A3081" t="s">
        <v>36</v>
      </c>
      <c r="B3081" t="s">
        <v>120</v>
      </c>
      <c r="C3081" t="s">
        <v>233</v>
      </c>
      <c r="D3081" t="s">
        <v>27</v>
      </c>
      <c r="E3081" s="2">
        <v>46013</v>
      </c>
      <c r="F3081" s="2">
        <v>46013</v>
      </c>
      <c r="G3081" s="3">
        <v>60</v>
      </c>
      <c r="H3081" t="s">
        <v>28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2</v>
      </c>
      <c r="Y3081" t="s">
        <v>2450</v>
      </c>
    </row>
    <row r="3082" spans="1:25" hidden="1" x14ac:dyDescent="0.25">
      <c r="A3082" t="s">
        <v>25</v>
      </c>
      <c r="B3082" t="s">
        <v>96</v>
      </c>
      <c r="C3082" t="s">
        <v>26</v>
      </c>
      <c r="D3082" t="s">
        <v>27</v>
      </c>
      <c r="E3082" s="2">
        <v>46014</v>
      </c>
      <c r="F3082" s="2">
        <v>46014</v>
      </c>
      <c r="G3082" s="3">
        <v>46</v>
      </c>
      <c r="H3082" s="4" t="s">
        <v>28</v>
      </c>
      <c r="I3082">
        <v>25</v>
      </c>
      <c r="J3082">
        <v>0</v>
      </c>
      <c r="K3082">
        <v>0</v>
      </c>
      <c r="L3082" s="3">
        <v>1</v>
      </c>
      <c r="M3082" s="3">
        <v>0</v>
      </c>
      <c r="N3082">
        <v>1</v>
      </c>
      <c r="O3082">
        <v>0</v>
      </c>
      <c r="P3082">
        <v>0</v>
      </c>
      <c r="Q3082">
        <v>0</v>
      </c>
      <c r="R3082" s="3">
        <v>0</v>
      </c>
      <c r="S3082" s="3">
        <v>0</v>
      </c>
      <c r="T3082">
        <v>0</v>
      </c>
      <c r="U3082">
        <v>0</v>
      </c>
      <c r="V3082" s="3">
        <v>0</v>
      </c>
      <c r="W3082" s="3">
        <v>0</v>
      </c>
      <c r="X3082">
        <v>0</v>
      </c>
      <c r="Y3082" t="s">
        <v>2451</v>
      </c>
    </row>
    <row r="3083" spans="1:25" hidden="1" x14ac:dyDescent="0.25">
      <c r="A3083" t="s">
        <v>29</v>
      </c>
      <c r="B3083" t="s">
        <v>100</v>
      </c>
      <c r="C3083" t="s">
        <v>95</v>
      </c>
      <c r="D3083" t="s">
        <v>27</v>
      </c>
      <c r="E3083" s="2">
        <v>46014</v>
      </c>
      <c r="F3083" s="2">
        <v>46014</v>
      </c>
      <c r="G3083" s="3">
        <v>48</v>
      </c>
      <c r="H3083" s="4" t="s">
        <v>28</v>
      </c>
      <c r="I3083">
        <v>52</v>
      </c>
      <c r="J3083">
        <v>0</v>
      </c>
      <c r="K3083">
        <v>0</v>
      </c>
      <c r="L3083" s="3">
        <v>0</v>
      </c>
      <c r="M3083" s="3">
        <v>0</v>
      </c>
      <c r="N3083">
        <v>0</v>
      </c>
      <c r="O3083">
        <v>0</v>
      </c>
      <c r="P3083">
        <v>5</v>
      </c>
      <c r="Q3083">
        <v>12</v>
      </c>
      <c r="R3083" s="3">
        <v>0</v>
      </c>
      <c r="S3083" s="3">
        <v>0</v>
      </c>
      <c r="T3083">
        <v>0</v>
      </c>
      <c r="U3083">
        <v>0</v>
      </c>
      <c r="V3083" s="3">
        <v>0</v>
      </c>
      <c r="W3083" s="3">
        <v>0</v>
      </c>
      <c r="X3083">
        <v>3</v>
      </c>
      <c r="Y3083" t="s">
        <v>2452</v>
      </c>
    </row>
    <row r="3084" spans="1:25" hidden="1" x14ac:dyDescent="0.25">
      <c r="A3084" t="s">
        <v>344</v>
      </c>
      <c r="B3084" t="s">
        <v>102</v>
      </c>
      <c r="C3084" t="s">
        <v>27</v>
      </c>
      <c r="D3084" t="s">
        <v>27</v>
      </c>
      <c r="E3084" s="2">
        <v>46014</v>
      </c>
      <c r="F3084" s="2">
        <v>46014</v>
      </c>
      <c r="G3084" s="3">
        <v>28</v>
      </c>
      <c r="H3084" s="4" t="s">
        <v>28</v>
      </c>
      <c r="I3084">
        <v>45</v>
      </c>
      <c r="J3084">
        <v>0</v>
      </c>
      <c r="K3084">
        <v>0</v>
      </c>
      <c r="L3084" s="3">
        <v>0</v>
      </c>
      <c r="M3084" s="3">
        <v>0</v>
      </c>
      <c r="N3084">
        <v>0</v>
      </c>
      <c r="O3084">
        <v>0</v>
      </c>
      <c r="P3084">
        <v>0</v>
      </c>
      <c r="Q3084">
        <v>0</v>
      </c>
      <c r="R3084" s="3">
        <v>0</v>
      </c>
      <c r="S3084" s="3">
        <v>0</v>
      </c>
      <c r="T3084">
        <v>0</v>
      </c>
      <c r="U3084">
        <v>0</v>
      </c>
      <c r="V3084" s="3">
        <v>0</v>
      </c>
      <c r="W3084" s="3">
        <v>0</v>
      </c>
      <c r="X3084">
        <v>0</v>
      </c>
      <c r="Y3084" t="s">
        <v>2453</v>
      </c>
    </row>
    <row r="3085" spans="1:25" hidden="1" x14ac:dyDescent="0.25">
      <c r="A3085" t="s">
        <v>27</v>
      </c>
      <c r="B3085" t="s">
        <v>102</v>
      </c>
      <c r="C3085" t="s">
        <v>344</v>
      </c>
      <c r="D3085" t="s">
        <v>27</v>
      </c>
      <c r="E3085" s="2">
        <v>46014</v>
      </c>
      <c r="F3085" s="2">
        <v>46014</v>
      </c>
      <c r="G3085" s="3">
        <v>28</v>
      </c>
      <c r="H3085" s="4" t="s">
        <v>28</v>
      </c>
      <c r="I3085">
        <v>45</v>
      </c>
      <c r="J3085">
        <v>0</v>
      </c>
      <c r="K3085">
        <v>0</v>
      </c>
      <c r="L3085" s="3">
        <v>0</v>
      </c>
      <c r="M3085" s="3">
        <v>0</v>
      </c>
      <c r="N3085">
        <v>0</v>
      </c>
      <c r="O3085">
        <v>0</v>
      </c>
      <c r="P3085">
        <v>0</v>
      </c>
      <c r="Q3085">
        <v>0</v>
      </c>
      <c r="R3085" s="3">
        <v>0</v>
      </c>
      <c r="S3085" s="3">
        <v>0</v>
      </c>
      <c r="T3085">
        <v>0</v>
      </c>
      <c r="U3085">
        <v>0</v>
      </c>
      <c r="V3085" s="3">
        <v>0</v>
      </c>
      <c r="W3085" s="3">
        <v>0</v>
      </c>
      <c r="X3085">
        <v>0</v>
      </c>
      <c r="Y3085" t="s">
        <v>2453</v>
      </c>
    </row>
    <row r="3086" spans="1:25" hidden="1" x14ac:dyDescent="0.25">
      <c r="A3086" t="s">
        <v>31</v>
      </c>
      <c r="B3086" t="s">
        <v>104</v>
      </c>
      <c r="C3086" t="s">
        <v>32</v>
      </c>
      <c r="D3086" t="s">
        <v>27</v>
      </c>
      <c r="E3086" s="2">
        <v>46014</v>
      </c>
      <c r="F3086" s="2">
        <v>46014</v>
      </c>
      <c r="G3086" s="3">
        <v>38</v>
      </c>
      <c r="H3086" s="4" t="s">
        <v>28</v>
      </c>
      <c r="I3086">
        <v>55</v>
      </c>
      <c r="J3086">
        <v>0</v>
      </c>
      <c r="K3086">
        <v>0</v>
      </c>
      <c r="L3086" s="3">
        <v>0</v>
      </c>
      <c r="M3086" s="3">
        <v>0</v>
      </c>
      <c r="N3086">
        <v>0</v>
      </c>
      <c r="O3086">
        <v>0</v>
      </c>
      <c r="P3086">
        <v>0</v>
      </c>
      <c r="Q3086">
        <v>30</v>
      </c>
      <c r="R3086" s="3">
        <v>0</v>
      </c>
      <c r="S3086" s="3">
        <v>0</v>
      </c>
      <c r="T3086">
        <v>0</v>
      </c>
      <c r="U3086">
        <v>0</v>
      </c>
      <c r="V3086" s="3">
        <v>0</v>
      </c>
      <c r="W3086" s="3">
        <v>0</v>
      </c>
      <c r="X3086" s="37">
        <v>0</v>
      </c>
      <c r="Y3086" t="s">
        <v>2454</v>
      </c>
    </row>
    <row r="3087" spans="1:25" hidden="1" x14ac:dyDescent="0.25">
      <c r="A3087" t="s">
        <v>33</v>
      </c>
      <c r="B3087" t="s">
        <v>106</v>
      </c>
      <c r="C3087" t="s">
        <v>46</v>
      </c>
      <c r="D3087" t="s">
        <v>27</v>
      </c>
      <c r="E3087" s="2">
        <v>46014</v>
      </c>
      <c r="F3087" s="2">
        <v>46014</v>
      </c>
      <c r="G3087" s="3">
        <v>25</v>
      </c>
      <c r="H3087" s="4" t="s">
        <v>28</v>
      </c>
      <c r="I3087">
        <v>34</v>
      </c>
      <c r="J3087">
        <v>0</v>
      </c>
      <c r="K3087">
        <v>0</v>
      </c>
      <c r="L3087" s="3">
        <v>0</v>
      </c>
      <c r="M3087" s="3">
        <v>0</v>
      </c>
      <c r="N3087">
        <v>0</v>
      </c>
      <c r="O3087">
        <v>0</v>
      </c>
      <c r="P3087">
        <v>0</v>
      </c>
      <c r="Q3087">
        <v>0</v>
      </c>
      <c r="R3087" s="3">
        <v>0</v>
      </c>
      <c r="S3087" s="3">
        <v>0</v>
      </c>
      <c r="T3087">
        <v>0</v>
      </c>
      <c r="U3087">
        <v>0</v>
      </c>
      <c r="V3087" s="3">
        <v>0</v>
      </c>
      <c r="W3087" s="3">
        <v>0</v>
      </c>
      <c r="X3087">
        <v>0</v>
      </c>
      <c r="Y3087" t="s">
        <v>2455</v>
      </c>
    </row>
    <row r="3088" spans="1:25" hidden="1" x14ac:dyDescent="0.25">
      <c r="A3088" t="s">
        <v>38</v>
      </c>
      <c r="B3088" t="s">
        <v>108</v>
      </c>
      <c r="C3088" t="s">
        <v>27</v>
      </c>
      <c r="D3088" t="s">
        <v>27</v>
      </c>
      <c r="E3088" s="2">
        <v>46014</v>
      </c>
      <c r="F3088" s="2">
        <v>46014</v>
      </c>
      <c r="G3088" s="3">
        <v>51</v>
      </c>
      <c r="H3088" s="4" t="s">
        <v>28</v>
      </c>
      <c r="I3088">
        <v>33</v>
      </c>
      <c r="J3088">
        <v>0</v>
      </c>
      <c r="K3088">
        <v>0</v>
      </c>
      <c r="L3088" s="3">
        <v>1</v>
      </c>
      <c r="M3088" s="3">
        <v>0</v>
      </c>
      <c r="N3088">
        <v>0</v>
      </c>
      <c r="O3088">
        <v>0</v>
      </c>
      <c r="P3088">
        <v>0</v>
      </c>
      <c r="Q3088">
        <v>33</v>
      </c>
      <c r="R3088" s="3">
        <v>0</v>
      </c>
      <c r="S3088" s="3">
        <v>0</v>
      </c>
      <c r="T3088">
        <v>0</v>
      </c>
      <c r="U3088">
        <v>0</v>
      </c>
      <c r="V3088" s="3">
        <v>0</v>
      </c>
      <c r="W3088" s="3">
        <v>0</v>
      </c>
      <c r="X3088">
        <v>0</v>
      </c>
      <c r="Y3088" t="s">
        <v>2456</v>
      </c>
    </row>
    <row r="3089" spans="1:25" ht="14.25" hidden="1" customHeight="1" x14ac:dyDescent="0.25">
      <c r="A3089" t="s">
        <v>40</v>
      </c>
      <c r="B3089" t="s">
        <v>110</v>
      </c>
      <c r="C3089" t="s">
        <v>2426</v>
      </c>
      <c r="D3089" t="s">
        <v>27</v>
      </c>
      <c r="E3089" s="2">
        <v>46014</v>
      </c>
      <c r="F3089" s="2">
        <v>46014</v>
      </c>
      <c r="G3089" s="3">
        <v>104</v>
      </c>
      <c r="H3089" s="4" t="s">
        <v>28</v>
      </c>
      <c r="I3089">
        <v>96</v>
      </c>
      <c r="J3089">
        <v>0</v>
      </c>
      <c r="K3089">
        <v>0</v>
      </c>
      <c r="L3089" s="3">
        <v>1</v>
      </c>
      <c r="M3089" s="3">
        <v>0</v>
      </c>
      <c r="N3089">
        <v>1</v>
      </c>
      <c r="O3089">
        <v>0</v>
      </c>
      <c r="P3089">
        <v>0</v>
      </c>
      <c r="Q3089">
        <v>48</v>
      </c>
      <c r="R3089" s="3">
        <v>0</v>
      </c>
      <c r="S3089" s="3">
        <v>0</v>
      </c>
      <c r="T3089">
        <v>0</v>
      </c>
      <c r="U3089">
        <v>0</v>
      </c>
      <c r="V3089" s="3">
        <v>0</v>
      </c>
      <c r="W3089" s="3">
        <v>0</v>
      </c>
      <c r="X3089">
        <v>0</v>
      </c>
      <c r="Y3089" t="s">
        <v>2457</v>
      </c>
    </row>
    <row r="3090" spans="1:25" hidden="1" x14ac:dyDescent="0.25">
      <c r="A3090" t="s">
        <v>1454</v>
      </c>
      <c r="B3090" t="s">
        <v>1455</v>
      </c>
      <c r="C3090" t="s">
        <v>27</v>
      </c>
      <c r="D3090" t="s">
        <v>27</v>
      </c>
      <c r="E3090" s="2">
        <v>46014</v>
      </c>
      <c r="F3090" s="2">
        <v>46014</v>
      </c>
      <c r="G3090" s="3">
        <v>72</v>
      </c>
      <c r="H3090" s="4" t="s">
        <v>28</v>
      </c>
      <c r="I3090">
        <v>28</v>
      </c>
      <c r="J3090">
        <v>0</v>
      </c>
      <c r="K3090">
        <v>0</v>
      </c>
      <c r="L3090" s="3">
        <v>1</v>
      </c>
      <c r="M3090" s="3">
        <v>0</v>
      </c>
      <c r="N3090">
        <v>0</v>
      </c>
      <c r="O3090">
        <v>0</v>
      </c>
      <c r="P3090">
        <v>0</v>
      </c>
      <c r="Q3090">
        <v>28</v>
      </c>
      <c r="R3090" s="3">
        <v>0</v>
      </c>
      <c r="S3090" s="3">
        <v>0</v>
      </c>
      <c r="T3090">
        <v>0</v>
      </c>
      <c r="U3090">
        <v>0</v>
      </c>
      <c r="V3090" s="3">
        <v>0</v>
      </c>
      <c r="W3090" s="3">
        <v>0</v>
      </c>
      <c r="X3090">
        <v>0</v>
      </c>
      <c r="Y3090" t="s">
        <v>2458</v>
      </c>
    </row>
    <row r="3091" spans="1:25" hidden="1" x14ac:dyDescent="0.25">
      <c r="A3091" t="s">
        <v>41</v>
      </c>
      <c r="B3091" t="s">
        <v>112</v>
      </c>
      <c r="C3091" t="s">
        <v>42</v>
      </c>
      <c r="D3091" t="s">
        <v>27</v>
      </c>
      <c r="E3091" s="2">
        <v>46014</v>
      </c>
      <c r="F3091" s="2">
        <v>46014</v>
      </c>
      <c r="G3091" s="3">
        <v>35</v>
      </c>
      <c r="H3091" s="4" t="s">
        <v>28</v>
      </c>
      <c r="I3091">
        <v>39</v>
      </c>
      <c r="J3091">
        <v>0</v>
      </c>
      <c r="K3091">
        <v>0</v>
      </c>
      <c r="L3091" s="3">
        <v>1</v>
      </c>
      <c r="M3091" s="3">
        <v>0</v>
      </c>
      <c r="N3091">
        <v>0</v>
      </c>
      <c r="O3091">
        <v>0</v>
      </c>
      <c r="P3091">
        <v>0</v>
      </c>
      <c r="Q3091">
        <v>1</v>
      </c>
      <c r="R3091" s="3">
        <v>0</v>
      </c>
      <c r="S3091" s="3">
        <v>0</v>
      </c>
      <c r="T3091">
        <v>0</v>
      </c>
      <c r="U3091">
        <v>0</v>
      </c>
      <c r="V3091" s="3">
        <v>0</v>
      </c>
      <c r="W3091" s="3">
        <v>0</v>
      </c>
      <c r="X3091">
        <v>0</v>
      </c>
      <c r="Y3091" t="s">
        <v>2459</v>
      </c>
    </row>
    <row r="3092" spans="1:25" hidden="1" x14ac:dyDescent="0.25">
      <c r="A3092" t="s">
        <v>43</v>
      </c>
      <c r="B3092" t="s">
        <v>114</v>
      </c>
      <c r="C3092" t="s">
        <v>44</v>
      </c>
      <c r="D3092" t="s">
        <v>27</v>
      </c>
      <c r="E3092" s="2">
        <v>46014</v>
      </c>
      <c r="F3092" s="2">
        <v>46014</v>
      </c>
      <c r="G3092" s="3">
        <v>24</v>
      </c>
      <c r="H3092" s="4" t="s">
        <v>28</v>
      </c>
      <c r="I3092">
        <v>76</v>
      </c>
      <c r="J3092">
        <v>0</v>
      </c>
      <c r="K3092">
        <v>0</v>
      </c>
      <c r="L3092" s="3">
        <v>1</v>
      </c>
      <c r="M3092" s="3">
        <v>0</v>
      </c>
      <c r="N3092">
        <v>0</v>
      </c>
      <c r="O3092">
        <v>0</v>
      </c>
      <c r="P3092">
        <v>0</v>
      </c>
      <c r="Q3092">
        <v>0</v>
      </c>
      <c r="R3092" s="3">
        <v>0</v>
      </c>
      <c r="S3092" s="3">
        <v>0</v>
      </c>
      <c r="T3092">
        <v>0</v>
      </c>
      <c r="U3092">
        <v>0</v>
      </c>
      <c r="V3092" s="3">
        <v>0</v>
      </c>
      <c r="W3092" s="3">
        <v>0</v>
      </c>
      <c r="X3092">
        <v>0</v>
      </c>
      <c r="Y3092" t="s">
        <v>2460</v>
      </c>
    </row>
    <row r="3093" spans="1:25" hidden="1" x14ac:dyDescent="0.25">
      <c r="A3093" t="s">
        <v>47</v>
      </c>
      <c r="B3093" t="s">
        <v>137</v>
      </c>
      <c r="C3093" t="s">
        <v>2310</v>
      </c>
      <c r="D3093" t="s">
        <v>27</v>
      </c>
      <c r="E3093" s="2">
        <v>46014</v>
      </c>
      <c r="F3093" s="2">
        <v>46014</v>
      </c>
      <c r="G3093" s="3">
        <v>422</v>
      </c>
      <c r="H3093" s="4" t="s">
        <v>28</v>
      </c>
      <c r="I3093">
        <v>57</v>
      </c>
      <c r="J3093">
        <v>0</v>
      </c>
      <c r="K3093">
        <v>0</v>
      </c>
      <c r="L3093" s="3">
        <v>1</v>
      </c>
      <c r="M3093" s="3">
        <v>1</v>
      </c>
      <c r="N3093">
        <v>0</v>
      </c>
      <c r="O3093">
        <v>0</v>
      </c>
      <c r="P3093">
        <v>0</v>
      </c>
      <c r="Q3093">
        <v>9</v>
      </c>
      <c r="R3093" s="3">
        <v>0</v>
      </c>
      <c r="S3093" s="3">
        <v>0</v>
      </c>
      <c r="T3093">
        <v>0</v>
      </c>
      <c r="U3093">
        <v>0</v>
      </c>
      <c r="V3093" s="3">
        <v>0</v>
      </c>
      <c r="W3093" s="3">
        <v>0</v>
      </c>
      <c r="X3093">
        <v>0</v>
      </c>
      <c r="Y3093" t="s">
        <v>2461</v>
      </c>
    </row>
    <row r="3094" spans="1:25" hidden="1" x14ac:dyDescent="0.25">
      <c r="A3094" t="s">
        <v>27</v>
      </c>
      <c r="B3094" t="s">
        <v>118</v>
      </c>
      <c r="C3094" t="s">
        <v>50</v>
      </c>
      <c r="D3094" t="s">
        <v>27</v>
      </c>
      <c r="E3094" s="2">
        <v>46014</v>
      </c>
      <c r="F3094" s="2">
        <v>46014</v>
      </c>
      <c r="G3094" s="3">
        <v>67</v>
      </c>
      <c r="H3094" s="4" t="s">
        <v>28</v>
      </c>
      <c r="I3094">
        <v>52</v>
      </c>
      <c r="J3094">
        <v>0</v>
      </c>
      <c r="K3094">
        <v>0</v>
      </c>
      <c r="L3094" s="3">
        <v>1</v>
      </c>
      <c r="M3094" s="3">
        <v>1</v>
      </c>
      <c r="N3094">
        <v>0</v>
      </c>
      <c r="O3094">
        <v>1</v>
      </c>
      <c r="P3094">
        <v>0</v>
      </c>
      <c r="Q3094">
        <v>52</v>
      </c>
      <c r="R3094" s="3">
        <v>0</v>
      </c>
      <c r="S3094" s="3">
        <v>0</v>
      </c>
      <c r="T3094">
        <v>0</v>
      </c>
      <c r="U3094">
        <v>0</v>
      </c>
      <c r="V3094" s="3">
        <v>0</v>
      </c>
      <c r="W3094" s="3">
        <v>0</v>
      </c>
      <c r="X3094">
        <v>0</v>
      </c>
      <c r="Y3094" t="s">
        <v>2462</v>
      </c>
    </row>
    <row r="3095" spans="1:25" hidden="1" x14ac:dyDescent="0.25">
      <c r="A3095" t="s">
        <v>48</v>
      </c>
      <c r="B3095" t="s">
        <v>149</v>
      </c>
      <c r="C3095" t="s">
        <v>37</v>
      </c>
      <c r="D3095" t="s">
        <v>27</v>
      </c>
      <c r="E3095" s="2">
        <v>46014</v>
      </c>
      <c r="F3095" s="2">
        <v>46014</v>
      </c>
      <c r="G3095" s="3">
        <v>39</v>
      </c>
      <c r="H3095" s="4" t="s">
        <v>28</v>
      </c>
      <c r="I3095">
        <v>30</v>
      </c>
      <c r="J3095">
        <v>0</v>
      </c>
      <c r="K3095">
        <v>0</v>
      </c>
      <c r="L3095" s="3">
        <v>0</v>
      </c>
      <c r="M3095" s="3">
        <v>0</v>
      </c>
      <c r="N3095">
        <v>0</v>
      </c>
      <c r="O3095">
        <v>0</v>
      </c>
      <c r="P3095">
        <v>0</v>
      </c>
      <c r="Q3095">
        <v>0</v>
      </c>
      <c r="R3095" s="3">
        <v>0</v>
      </c>
      <c r="S3095" s="3">
        <v>0</v>
      </c>
      <c r="T3095">
        <v>0</v>
      </c>
      <c r="U3095">
        <v>0</v>
      </c>
      <c r="V3095" s="3">
        <v>0</v>
      </c>
      <c r="W3095" s="3">
        <v>0</v>
      </c>
      <c r="X3095">
        <v>0</v>
      </c>
      <c r="Y3095" t="s">
        <v>2463</v>
      </c>
    </row>
    <row r="3096" spans="1:25" hidden="1" x14ac:dyDescent="0.25">
      <c r="A3096" t="s">
        <v>58</v>
      </c>
      <c r="B3096" t="s">
        <v>144</v>
      </c>
      <c r="C3096" t="s">
        <v>2514</v>
      </c>
      <c r="D3096" t="s">
        <v>27</v>
      </c>
      <c r="E3096" s="2">
        <v>46014</v>
      </c>
      <c r="F3096" s="2">
        <v>46014</v>
      </c>
      <c r="G3096" s="3">
        <v>105</v>
      </c>
      <c r="H3096" s="4" t="s">
        <v>28</v>
      </c>
      <c r="I3096">
        <v>25</v>
      </c>
      <c r="J3096">
        <v>0</v>
      </c>
      <c r="K3096">
        <v>0</v>
      </c>
      <c r="L3096" s="3">
        <v>0</v>
      </c>
      <c r="M3096" s="3">
        <v>0</v>
      </c>
      <c r="N3096">
        <v>0</v>
      </c>
      <c r="O3096">
        <v>0</v>
      </c>
      <c r="P3096">
        <v>0</v>
      </c>
      <c r="Q3096">
        <v>10</v>
      </c>
      <c r="R3096" s="3">
        <v>0</v>
      </c>
      <c r="S3096" s="3">
        <v>0</v>
      </c>
      <c r="T3096">
        <v>0</v>
      </c>
      <c r="U3096">
        <v>0</v>
      </c>
      <c r="V3096" s="3">
        <v>0</v>
      </c>
      <c r="W3096" s="3">
        <v>0</v>
      </c>
      <c r="X3096" s="1">
        <v>3</v>
      </c>
      <c r="Y3096" t="s">
        <v>2464</v>
      </c>
    </row>
    <row r="3097" spans="1:25" hidden="1" x14ac:dyDescent="0.25">
      <c r="A3097" t="s">
        <v>55</v>
      </c>
      <c r="B3097" t="s">
        <v>106</v>
      </c>
      <c r="C3097" t="s">
        <v>52</v>
      </c>
      <c r="D3097" t="s">
        <v>27</v>
      </c>
      <c r="E3097" s="2">
        <v>46014</v>
      </c>
      <c r="F3097" s="2">
        <v>46014</v>
      </c>
      <c r="G3097" s="3">
        <v>106</v>
      </c>
      <c r="H3097" s="4" t="s">
        <v>28</v>
      </c>
      <c r="I3097">
        <v>56</v>
      </c>
      <c r="J3097">
        <v>0</v>
      </c>
      <c r="K3097">
        <v>0</v>
      </c>
      <c r="L3097" s="3">
        <v>0</v>
      </c>
      <c r="M3097" s="3">
        <v>0</v>
      </c>
      <c r="N3097">
        <v>0</v>
      </c>
      <c r="O3097">
        <v>0</v>
      </c>
      <c r="P3097">
        <v>0</v>
      </c>
      <c r="Q3097">
        <v>0</v>
      </c>
      <c r="R3097" s="3">
        <v>0</v>
      </c>
      <c r="S3097" s="3">
        <v>0</v>
      </c>
      <c r="T3097">
        <v>0</v>
      </c>
      <c r="U3097">
        <v>0</v>
      </c>
      <c r="V3097" s="3">
        <v>0</v>
      </c>
      <c r="W3097" s="3">
        <v>0</v>
      </c>
      <c r="X3097" s="3">
        <v>0</v>
      </c>
      <c r="Y3097" t="s">
        <v>2464</v>
      </c>
    </row>
    <row r="3098" spans="1:25" hidden="1" x14ac:dyDescent="0.25">
      <c r="A3098" t="s">
        <v>45</v>
      </c>
      <c r="B3098" t="s">
        <v>182</v>
      </c>
      <c r="C3098" t="s">
        <v>27</v>
      </c>
      <c r="D3098" t="s">
        <v>27</v>
      </c>
      <c r="E3098" s="2">
        <v>46014</v>
      </c>
      <c r="F3098" s="2">
        <v>46014</v>
      </c>
      <c r="G3098" s="3">
        <v>106</v>
      </c>
      <c r="H3098" s="4" t="s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2464</v>
      </c>
    </row>
    <row r="3099" spans="1:25" hidden="1" x14ac:dyDescent="0.25">
      <c r="A3099" t="s">
        <v>27</v>
      </c>
      <c r="B3099" t="s">
        <v>184</v>
      </c>
      <c r="C3099" t="s">
        <v>27</v>
      </c>
      <c r="D3099" t="s">
        <v>27</v>
      </c>
      <c r="E3099" s="2">
        <v>46014</v>
      </c>
      <c r="F3099" s="2">
        <v>46014</v>
      </c>
      <c r="G3099" s="3">
        <v>106</v>
      </c>
      <c r="H3099" s="4" t="s">
        <v>28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2464</v>
      </c>
    </row>
    <row r="3100" spans="1:25" hidden="1" x14ac:dyDescent="0.25">
      <c r="A3100" t="s">
        <v>27</v>
      </c>
      <c r="B3100" t="s">
        <v>186</v>
      </c>
      <c r="C3100" t="s">
        <v>2379</v>
      </c>
      <c r="D3100" t="s">
        <v>27</v>
      </c>
      <c r="E3100" s="2">
        <v>46014</v>
      </c>
      <c r="F3100" s="2">
        <v>46014</v>
      </c>
      <c r="G3100" s="3">
        <v>107</v>
      </c>
      <c r="H3100" s="4" t="s">
        <v>28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2464</v>
      </c>
    </row>
    <row r="3101" spans="1:25" hidden="1" x14ac:dyDescent="0.25">
      <c r="A3101" t="s">
        <v>27</v>
      </c>
      <c r="B3101" t="s">
        <v>188</v>
      </c>
      <c r="C3101" t="s">
        <v>57</v>
      </c>
      <c r="D3101" t="s">
        <v>27</v>
      </c>
      <c r="E3101" s="2">
        <v>46014</v>
      </c>
      <c r="F3101" s="2">
        <v>46014</v>
      </c>
      <c r="G3101" s="3">
        <v>108</v>
      </c>
      <c r="H3101" s="4" t="s">
        <v>28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2464</v>
      </c>
    </row>
    <row r="3102" spans="1:25" hidden="1" x14ac:dyDescent="0.25">
      <c r="A3102" t="s">
        <v>54</v>
      </c>
      <c r="B3102" t="s">
        <v>120</v>
      </c>
      <c r="C3102" t="s">
        <v>27</v>
      </c>
      <c r="D3102" t="s">
        <v>27</v>
      </c>
      <c r="E3102" s="2">
        <v>46014</v>
      </c>
      <c r="F3102" s="2">
        <v>46014</v>
      </c>
      <c r="G3102" s="3">
        <v>108</v>
      </c>
      <c r="H3102" s="4" t="s">
        <v>180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2464</v>
      </c>
    </row>
    <row r="3103" spans="1:25" hidden="1" x14ac:dyDescent="0.25">
      <c r="A3103" t="s">
        <v>51</v>
      </c>
      <c r="B3103" t="s">
        <v>120</v>
      </c>
      <c r="C3103" t="s">
        <v>27</v>
      </c>
      <c r="D3103" t="s">
        <v>27</v>
      </c>
      <c r="E3103" s="2">
        <v>46014</v>
      </c>
      <c r="F3103" s="2">
        <v>46014</v>
      </c>
      <c r="G3103" s="3">
        <v>60</v>
      </c>
      <c r="H3103" t="s">
        <v>180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2450</v>
      </c>
    </row>
    <row r="3104" spans="1:25" hidden="1" x14ac:dyDescent="0.25">
      <c r="A3104" t="s">
        <v>36</v>
      </c>
      <c r="B3104" t="s">
        <v>182</v>
      </c>
      <c r="C3104" t="s">
        <v>27</v>
      </c>
      <c r="D3104" t="s">
        <v>27</v>
      </c>
      <c r="E3104" s="2">
        <v>46014</v>
      </c>
      <c r="F3104" s="2">
        <v>46014</v>
      </c>
      <c r="G3104" s="3">
        <v>123</v>
      </c>
      <c r="H3104" s="4" t="s">
        <v>1395</v>
      </c>
      <c r="I3104" s="1">
        <v>0</v>
      </c>
      <c r="J3104">
        <v>0</v>
      </c>
      <c r="L3104" s="3">
        <v>0</v>
      </c>
      <c r="M3104" s="3">
        <v>0</v>
      </c>
      <c r="N3104">
        <v>0</v>
      </c>
      <c r="O3104">
        <v>0</v>
      </c>
      <c r="P3104">
        <v>0</v>
      </c>
      <c r="Q3104">
        <v>0</v>
      </c>
      <c r="R3104" s="3">
        <v>0</v>
      </c>
      <c r="S3104" s="3">
        <v>0</v>
      </c>
      <c r="T3104">
        <v>0</v>
      </c>
      <c r="U3104">
        <v>0</v>
      </c>
      <c r="V3104" s="3">
        <v>0</v>
      </c>
      <c r="W3104" s="3"/>
      <c r="X3104" s="3">
        <v>0</v>
      </c>
      <c r="Y3104" t="s">
        <v>2465</v>
      </c>
    </row>
    <row r="3105" spans="1:25" hidden="1" x14ac:dyDescent="0.25">
      <c r="A3105" t="s">
        <v>25</v>
      </c>
      <c r="B3105" t="s">
        <v>96</v>
      </c>
      <c r="C3105" t="s">
        <v>26</v>
      </c>
      <c r="D3105" t="s">
        <v>27</v>
      </c>
      <c r="E3105" s="2">
        <v>46015</v>
      </c>
      <c r="F3105" s="2">
        <v>46015</v>
      </c>
      <c r="G3105" s="3">
        <v>46</v>
      </c>
      <c r="H3105" s="4" t="s">
        <v>28</v>
      </c>
      <c r="I3105">
        <v>25</v>
      </c>
      <c r="J3105">
        <v>0</v>
      </c>
      <c r="K3105">
        <v>0</v>
      </c>
      <c r="L3105" s="3">
        <v>0</v>
      </c>
      <c r="M3105" s="3">
        <v>0</v>
      </c>
      <c r="N3105">
        <v>1</v>
      </c>
      <c r="O3105">
        <v>0</v>
      </c>
      <c r="P3105">
        <v>0</v>
      </c>
      <c r="Q3105">
        <v>0</v>
      </c>
      <c r="R3105" s="3">
        <v>0</v>
      </c>
      <c r="S3105" s="3">
        <v>0</v>
      </c>
      <c r="T3105">
        <v>0</v>
      </c>
      <c r="U3105">
        <v>0</v>
      </c>
      <c r="V3105" s="3">
        <v>0</v>
      </c>
      <c r="W3105" s="3">
        <v>0</v>
      </c>
      <c r="X3105">
        <v>0</v>
      </c>
    </row>
    <row r="3106" spans="1:25" hidden="1" x14ac:dyDescent="0.25">
      <c r="A3106" t="s">
        <v>55</v>
      </c>
      <c r="B3106" t="s">
        <v>2072</v>
      </c>
      <c r="C3106" t="s">
        <v>2379</v>
      </c>
      <c r="D3106" t="s">
        <v>27</v>
      </c>
      <c r="E3106" s="2">
        <v>46015</v>
      </c>
      <c r="F3106" s="2">
        <v>46015</v>
      </c>
      <c r="G3106" s="3">
        <v>34</v>
      </c>
      <c r="H3106" s="4" t="s">
        <v>28</v>
      </c>
      <c r="I3106">
        <v>33</v>
      </c>
      <c r="J3106">
        <v>0</v>
      </c>
      <c r="K3106">
        <v>0</v>
      </c>
      <c r="L3106" s="3">
        <v>1</v>
      </c>
      <c r="M3106" s="3">
        <v>0</v>
      </c>
      <c r="N3106">
        <v>1</v>
      </c>
      <c r="O3106">
        <v>0</v>
      </c>
      <c r="P3106">
        <v>0</v>
      </c>
      <c r="Q3106">
        <v>0</v>
      </c>
      <c r="R3106" s="3">
        <v>0</v>
      </c>
      <c r="S3106" s="3">
        <v>0</v>
      </c>
      <c r="T3106">
        <v>0</v>
      </c>
      <c r="U3106">
        <v>0</v>
      </c>
      <c r="V3106" s="3">
        <v>0</v>
      </c>
      <c r="W3106" s="3">
        <v>0</v>
      </c>
      <c r="X3106">
        <v>0</v>
      </c>
    </row>
    <row r="3107" spans="1:25" hidden="1" x14ac:dyDescent="0.25">
      <c r="A3107" t="s">
        <v>344</v>
      </c>
      <c r="B3107" t="s">
        <v>102</v>
      </c>
      <c r="C3107" t="s">
        <v>35</v>
      </c>
      <c r="D3107" t="s">
        <v>27</v>
      </c>
      <c r="E3107" s="2">
        <v>46015</v>
      </c>
      <c r="F3107" s="2">
        <v>46015</v>
      </c>
      <c r="G3107" s="3">
        <v>28</v>
      </c>
      <c r="H3107" s="4" t="s">
        <v>28</v>
      </c>
      <c r="I3107">
        <v>45</v>
      </c>
      <c r="J3107">
        <v>0</v>
      </c>
      <c r="K3107">
        <v>0</v>
      </c>
      <c r="L3107" s="3">
        <v>0</v>
      </c>
      <c r="M3107" s="3">
        <v>0</v>
      </c>
      <c r="N3107">
        <v>0</v>
      </c>
      <c r="O3107">
        <v>0</v>
      </c>
      <c r="P3107">
        <v>0</v>
      </c>
      <c r="Q3107">
        <v>0</v>
      </c>
      <c r="R3107" s="3">
        <v>0</v>
      </c>
      <c r="S3107" s="3">
        <v>0</v>
      </c>
      <c r="T3107">
        <v>0</v>
      </c>
      <c r="U3107">
        <v>0</v>
      </c>
      <c r="V3107" s="3">
        <v>0</v>
      </c>
      <c r="W3107" s="3">
        <v>0</v>
      </c>
      <c r="X3107">
        <v>0</v>
      </c>
    </row>
    <row r="3108" spans="1:25" hidden="1" x14ac:dyDescent="0.25">
      <c r="A3108" t="s">
        <v>29</v>
      </c>
      <c r="B3108" t="s">
        <v>100</v>
      </c>
      <c r="C3108" t="s">
        <v>95</v>
      </c>
      <c r="D3108" t="s">
        <v>27</v>
      </c>
      <c r="E3108" s="2">
        <v>46015</v>
      </c>
      <c r="F3108" s="2">
        <v>46015</v>
      </c>
      <c r="G3108" s="3">
        <v>34</v>
      </c>
      <c r="H3108" s="4" t="s">
        <v>28</v>
      </c>
      <c r="I3108">
        <v>33</v>
      </c>
      <c r="J3108">
        <v>0</v>
      </c>
      <c r="K3108">
        <v>0</v>
      </c>
      <c r="L3108" s="3">
        <v>1</v>
      </c>
      <c r="M3108" s="3">
        <v>0</v>
      </c>
      <c r="N3108">
        <v>0</v>
      </c>
      <c r="O3108">
        <v>0</v>
      </c>
      <c r="P3108">
        <v>0</v>
      </c>
      <c r="Q3108">
        <v>4</v>
      </c>
      <c r="R3108" s="3">
        <v>0</v>
      </c>
      <c r="S3108" s="3">
        <v>0</v>
      </c>
      <c r="T3108">
        <v>0</v>
      </c>
      <c r="U3108">
        <v>0</v>
      </c>
      <c r="V3108" s="3">
        <v>0</v>
      </c>
      <c r="W3108" s="3">
        <v>0</v>
      </c>
      <c r="X3108" s="1">
        <v>3</v>
      </c>
      <c r="Y3108" t="s">
        <v>2452</v>
      </c>
    </row>
    <row r="3109" spans="1:25" hidden="1" x14ac:dyDescent="0.25">
      <c r="A3109" t="s">
        <v>31</v>
      </c>
      <c r="B3109" t="s">
        <v>104</v>
      </c>
      <c r="C3109" t="s">
        <v>32</v>
      </c>
      <c r="D3109" t="s">
        <v>27</v>
      </c>
      <c r="E3109" s="2">
        <v>46015</v>
      </c>
      <c r="F3109" s="2">
        <v>46015</v>
      </c>
      <c r="G3109" s="3">
        <v>64</v>
      </c>
      <c r="H3109" s="4" t="s">
        <v>28</v>
      </c>
      <c r="I3109">
        <v>87</v>
      </c>
      <c r="J3109">
        <v>0</v>
      </c>
      <c r="K3109">
        <v>0</v>
      </c>
      <c r="L3109" s="3">
        <v>0</v>
      </c>
      <c r="M3109" s="3">
        <v>0</v>
      </c>
      <c r="N3109">
        <v>0</v>
      </c>
      <c r="O3109">
        <v>0</v>
      </c>
      <c r="P3109">
        <v>0</v>
      </c>
      <c r="Q3109">
        <v>30</v>
      </c>
      <c r="R3109" s="3">
        <v>0</v>
      </c>
      <c r="S3109" s="3">
        <v>0</v>
      </c>
      <c r="T3109">
        <v>0</v>
      </c>
      <c r="U3109">
        <v>0</v>
      </c>
      <c r="V3109" s="3">
        <v>0</v>
      </c>
      <c r="W3109" s="3">
        <v>0</v>
      </c>
      <c r="X3109" s="38">
        <v>0</v>
      </c>
    </row>
    <row r="3110" spans="1:25" hidden="1" x14ac:dyDescent="0.25">
      <c r="A3110" t="s">
        <v>33</v>
      </c>
      <c r="B3110" t="s">
        <v>106</v>
      </c>
      <c r="C3110" t="s">
        <v>57</v>
      </c>
      <c r="D3110" t="s">
        <v>27</v>
      </c>
      <c r="E3110" s="2">
        <v>46015</v>
      </c>
      <c r="F3110" s="2">
        <v>46015</v>
      </c>
      <c r="G3110" s="3">
        <v>30</v>
      </c>
      <c r="H3110" s="4" t="s">
        <v>28</v>
      </c>
      <c r="I3110">
        <v>52</v>
      </c>
      <c r="J3110">
        <v>0</v>
      </c>
      <c r="K3110">
        <v>0</v>
      </c>
      <c r="L3110" s="3">
        <v>0</v>
      </c>
      <c r="M3110" s="3">
        <v>0</v>
      </c>
      <c r="N3110">
        <v>0</v>
      </c>
      <c r="O3110">
        <v>0</v>
      </c>
      <c r="P3110">
        <v>0</v>
      </c>
      <c r="Q3110">
        <v>20</v>
      </c>
      <c r="R3110" s="3">
        <v>0</v>
      </c>
      <c r="S3110" s="3">
        <v>0</v>
      </c>
      <c r="T3110">
        <v>0</v>
      </c>
      <c r="U3110">
        <v>0</v>
      </c>
      <c r="V3110" s="3">
        <v>0</v>
      </c>
      <c r="W3110" s="3">
        <v>0</v>
      </c>
      <c r="X3110" s="1">
        <v>0</v>
      </c>
    </row>
    <row r="3111" spans="1:25" hidden="1" x14ac:dyDescent="0.25">
      <c r="A3111" t="s">
        <v>38</v>
      </c>
      <c r="B3111" t="s">
        <v>108</v>
      </c>
      <c r="C3111" t="s">
        <v>27</v>
      </c>
      <c r="D3111" t="s">
        <v>27</v>
      </c>
      <c r="E3111" s="2">
        <v>46015</v>
      </c>
      <c r="F3111" s="2">
        <v>46015</v>
      </c>
      <c r="G3111" s="3">
        <v>52</v>
      </c>
      <c r="H3111" s="4" t="s">
        <v>28</v>
      </c>
      <c r="I3111">
        <v>73</v>
      </c>
      <c r="J3111">
        <v>0</v>
      </c>
      <c r="K3111">
        <v>0</v>
      </c>
      <c r="L3111" s="3">
        <v>1</v>
      </c>
      <c r="M3111" s="3">
        <v>0</v>
      </c>
      <c r="N3111">
        <v>0</v>
      </c>
      <c r="O3111">
        <v>0</v>
      </c>
      <c r="P3111">
        <v>0</v>
      </c>
      <c r="Q3111">
        <v>73</v>
      </c>
      <c r="R3111" s="3">
        <v>0</v>
      </c>
      <c r="S3111" s="3">
        <v>0</v>
      </c>
      <c r="T3111">
        <v>0</v>
      </c>
      <c r="U3111">
        <v>0</v>
      </c>
      <c r="V3111" s="3">
        <v>0</v>
      </c>
      <c r="W3111" s="3">
        <v>0</v>
      </c>
      <c r="X3111" s="1">
        <v>1</v>
      </c>
    </row>
    <row r="3112" spans="1:25" hidden="1" x14ac:dyDescent="0.25">
      <c r="A3112" t="s">
        <v>1454</v>
      </c>
      <c r="B3112" t="s">
        <v>1455</v>
      </c>
      <c r="C3112" t="s">
        <v>27</v>
      </c>
      <c r="D3112" t="s">
        <v>27</v>
      </c>
      <c r="E3112" s="2">
        <v>46015</v>
      </c>
      <c r="F3112" s="2">
        <v>46015</v>
      </c>
      <c r="G3112" s="3">
        <v>57</v>
      </c>
      <c r="H3112" s="4" t="s">
        <v>28</v>
      </c>
      <c r="I3112">
        <v>45</v>
      </c>
      <c r="J3112">
        <v>0</v>
      </c>
      <c r="K3112">
        <v>0</v>
      </c>
      <c r="L3112" s="3">
        <v>1</v>
      </c>
      <c r="M3112" s="3">
        <v>0</v>
      </c>
      <c r="N3112">
        <v>0</v>
      </c>
      <c r="O3112">
        <v>0</v>
      </c>
      <c r="P3112">
        <v>0</v>
      </c>
      <c r="Q3112">
        <v>45</v>
      </c>
      <c r="R3112" s="3">
        <v>0</v>
      </c>
      <c r="S3112" s="3">
        <v>0</v>
      </c>
      <c r="T3112">
        <v>0</v>
      </c>
      <c r="U3112">
        <v>0</v>
      </c>
      <c r="V3112" s="3">
        <v>0</v>
      </c>
      <c r="W3112" s="3">
        <v>0</v>
      </c>
      <c r="X3112" s="1">
        <v>0</v>
      </c>
    </row>
    <row r="3113" spans="1:25" hidden="1" x14ac:dyDescent="0.25">
      <c r="A3113" t="s">
        <v>41</v>
      </c>
      <c r="B3113" t="s">
        <v>112</v>
      </c>
      <c r="C3113" t="s">
        <v>42</v>
      </c>
      <c r="D3113" t="s">
        <v>27</v>
      </c>
      <c r="E3113" s="2">
        <v>46015</v>
      </c>
      <c r="F3113" s="2">
        <v>46015</v>
      </c>
      <c r="G3113" s="3">
        <v>35</v>
      </c>
      <c r="H3113" s="4" t="s">
        <v>28</v>
      </c>
      <c r="I3113">
        <v>39</v>
      </c>
      <c r="J3113">
        <v>0</v>
      </c>
      <c r="K3113">
        <v>0</v>
      </c>
      <c r="L3113" s="3">
        <v>1</v>
      </c>
      <c r="M3113" s="3">
        <v>0</v>
      </c>
      <c r="N3113">
        <v>0</v>
      </c>
      <c r="O3113">
        <v>0</v>
      </c>
      <c r="P3113">
        <v>0</v>
      </c>
      <c r="Q3113">
        <v>1</v>
      </c>
      <c r="R3113" s="3">
        <v>0</v>
      </c>
      <c r="S3113" s="3">
        <v>0</v>
      </c>
      <c r="T3113">
        <v>0</v>
      </c>
      <c r="U3113">
        <v>0</v>
      </c>
      <c r="V3113" s="3">
        <v>0</v>
      </c>
      <c r="W3113" s="3">
        <v>0</v>
      </c>
      <c r="X3113" s="1">
        <v>0</v>
      </c>
    </row>
    <row r="3114" spans="1:25" hidden="1" x14ac:dyDescent="0.25">
      <c r="A3114" t="s">
        <v>43</v>
      </c>
      <c r="B3114" t="s">
        <v>114</v>
      </c>
      <c r="C3114" t="s">
        <v>44</v>
      </c>
      <c r="D3114" t="s">
        <v>27</v>
      </c>
      <c r="E3114" s="2">
        <v>46015</v>
      </c>
      <c r="F3114" s="2">
        <v>46015</v>
      </c>
      <c r="G3114" s="3">
        <v>30</v>
      </c>
      <c r="H3114" s="4" t="s">
        <v>28</v>
      </c>
      <c r="I3114">
        <v>25</v>
      </c>
      <c r="J3114">
        <v>0</v>
      </c>
      <c r="K3114">
        <v>0</v>
      </c>
      <c r="L3114" s="3">
        <v>0</v>
      </c>
      <c r="M3114" s="3">
        <v>0</v>
      </c>
      <c r="N3114">
        <v>0</v>
      </c>
      <c r="O3114">
        <v>0</v>
      </c>
      <c r="P3114">
        <v>0</v>
      </c>
      <c r="Q3114">
        <v>0</v>
      </c>
      <c r="R3114" s="3">
        <v>0</v>
      </c>
      <c r="S3114" s="3">
        <v>0</v>
      </c>
      <c r="T3114">
        <v>0</v>
      </c>
      <c r="U3114">
        <v>0</v>
      </c>
      <c r="V3114" s="3">
        <v>0</v>
      </c>
      <c r="W3114" s="3">
        <v>0</v>
      </c>
      <c r="X3114" s="1">
        <v>0</v>
      </c>
    </row>
    <row r="3115" spans="1:25" hidden="1" x14ac:dyDescent="0.25">
      <c r="A3115" t="s">
        <v>2118</v>
      </c>
      <c r="B3115" t="s">
        <v>2119</v>
      </c>
      <c r="C3115" t="s">
        <v>27</v>
      </c>
      <c r="D3115" t="s">
        <v>27</v>
      </c>
      <c r="E3115" s="2">
        <v>46015</v>
      </c>
      <c r="F3115" s="2">
        <v>46015</v>
      </c>
      <c r="G3115" s="3">
        <v>73</v>
      </c>
      <c r="H3115" s="4" t="s">
        <v>28</v>
      </c>
      <c r="I3115">
        <v>47</v>
      </c>
      <c r="J3115">
        <v>0</v>
      </c>
      <c r="K3115">
        <v>0</v>
      </c>
      <c r="L3115" s="3">
        <v>1</v>
      </c>
      <c r="M3115" s="3">
        <v>0</v>
      </c>
      <c r="N3115">
        <v>0</v>
      </c>
      <c r="O3115">
        <v>0</v>
      </c>
      <c r="P3115">
        <v>0</v>
      </c>
      <c r="Q3115">
        <v>47</v>
      </c>
      <c r="R3115" s="3">
        <v>0</v>
      </c>
      <c r="S3115" s="3">
        <v>0</v>
      </c>
      <c r="T3115">
        <v>0</v>
      </c>
      <c r="U3115">
        <v>0</v>
      </c>
      <c r="V3115" s="3">
        <v>0</v>
      </c>
      <c r="W3115" s="3">
        <v>0</v>
      </c>
      <c r="X3115" s="1">
        <v>0</v>
      </c>
    </row>
    <row r="3116" spans="1:25" hidden="1" x14ac:dyDescent="0.25">
      <c r="A3116" t="s">
        <v>45</v>
      </c>
      <c r="B3116" t="s">
        <v>116</v>
      </c>
      <c r="C3116" t="s">
        <v>46</v>
      </c>
      <c r="D3116" t="s">
        <v>27</v>
      </c>
      <c r="E3116" s="2">
        <v>46015</v>
      </c>
      <c r="F3116" s="2">
        <v>46015</v>
      </c>
      <c r="G3116" s="3">
        <v>58</v>
      </c>
      <c r="H3116" s="4" t="s">
        <v>28</v>
      </c>
      <c r="I3116">
        <v>74</v>
      </c>
      <c r="J3116">
        <v>0</v>
      </c>
      <c r="K3116">
        <v>0</v>
      </c>
      <c r="L3116" s="3">
        <v>1</v>
      </c>
      <c r="M3116" s="3">
        <v>0</v>
      </c>
      <c r="N3116">
        <v>0</v>
      </c>
      <c r="O3116">
        <v>0</v>
      </c>
      <c r="P3116">
        <v>0</v>
      </c>
      <c r="Q3116">
        <v>14</v>
      </c>
      <c r="R3116" s="3">
        <v>0</v>
      </c>
      <c r="S3116" s="3">
        <v>0</v>
      </c>
      <c r="T3116">
        <v>0</v>
      </c>
      <c r="U3116">
        <v>0</v>
      </c>
      <c r="V3116" s="3">
        <v>0</v>
      </c>
      <c r="W3116" s="3">
        <v>0</v>
      </c>
      <c r="X3116" s="1">
        <v>0</v>
      </c>
    </row>
    <row r="3117" spans="1:25" hidden="1" x14ac:dyDescent="0.25">
      <c r="A3117" t="s">
        <v>47</v>
      </c>
      <c r="B3117" t="s">
        <v>137</v>
      </c>
      <c r="C3117" t="s">
        <v>2310</v>
      </c>
      <c r="D3117" t="s">
        <v>27</v>
      </c>
      <c r="E3117" s="2">
        <v>46015</v>
      </c>
      <c r="F3117" s="2">
        <v>46015</v>
      </c>
      <c r="G3117" s="3">
        <v>90</v>
      </c>
      <c r="H3117" s="4" t="s">
        <v>28</v>
      </c>
      <c r="I3117">
        <v>46</v>
      </c>
      <c r="J3117">
        <v>0</v>
      </c>
      <c r="K3117">
        <v>0</v>
      </c>
      <c r="L3117" s="3">
        <v>0</v>
      </c>
      <c r="M3117" s="3">
        <v>0</v>
      </c>
      <c r="N3117">
        <v>0</v>
      </c>
      <c r="O3117">
        <v>0</v>
      </c>
      <c r="P3117">
        <v>0</v>
      </c>
      <c r="Q3117">
        <v>3</v>
      </c>
      <c r="R3117" s="3">
        <v>0</v>
      </c>
      <c r="S3117" s="3">
        <v>0</v>
      </c>
      <c r="T3117">
        <v>0</v>
      </c>
      <c r="U3117">
        <v>0</v>
      </c>
      <c r="V3117" s="3">
        <v>0</v>
      </c>
      <c r="W3117" s="3">
        <v>0</v>
      </c>
      <c r="X3117" s="1">
        <v>0</v>
      </c>
    </row>
    <row r="3118" spans="1:25" hidden="1" x14ac:dyDescent="0.25">
      <c r="A3118" t="s">
        <v>27</v>
      </c>
      <c r="B3118" t="s">
        <v>118</v>
      </c>
      <c r="C3118" t="s">
        <v>50</v>
      </c>
      <c r="D3118" t="s">
        <v>27</v>
      </c>
      <c r="E3118" s="2">
        <v>46015</v>
      </c>
      <c r="F3118" s="2">
        <v>46015</v>
      </c>
      <c r="G3118" s="3">
        <v>25</v>
      </c>
      <c r="H3118" s="4" t="s">
        <v>28</v>
      </c>
      <c r="I3118">
        <v>38</v>
      </c>
      <c r="J3118">
        <v>0</v>
      </c>
      <c r="K3118">
        <v>0</v>
      </c>
      <c r="L3118" s="3">
        <v>1</v>
      </c>
      <c r="M3118" s="3">
        <v>1</v>
      </c>
      <c r="N3118">
        <v>0</v>
      </c>
      <c r="O3118">
        <v>0</v>
      </c>
      <c r="P3118">
        <v>0</v>
      </c>
      <c r="Q3118">
        <v>37</v>
      </c>
      <c r="R3118" s="3">
        <v>0</v>
      </c>
      <c r="S3118" s="3">
        <v>0</v>
      </c>
      <c r="T3118">
        <v>0</v>
      </c>
      <c r="U3118">
        <v>0</v>
      </c>
      <c r="V3118" s="3">
        <v>0</v>
      </c>
      <c r="W3118" s="3">
        <v>0</v>
      </c>
      <c r="X3118" s="1">
        <v>0</v>
      </c>
    </row>
    <row r="3119" spans="1:25" hidden="1" x14ac:dyDescent="0.25">
      <c r="A3119" t="s">
        <v>48</v>
      </c>
      <c r="B3119" t="s">
        <v>149</v>
      </c>
      <c r="C3119" t="s">
        <v>37</v>
      </c>
      <c r="D3119" t="s">
        <v>27</v>
      </c>
      <c r="E3119" s="2">
        <v>46015</v>
      </c>
      <c r="F3119" s="2">
        <v>46015</v>
      </c>
      <c r="G3119" s="3">
        <v>144</v>
      </c>
      <c r="H3119" s="4" t="s">
        <v>28</v>
      </c>
      <c r="I3119">
        <v>60</v>
      </c>
      <c r="J3119">
        <v>0</v>
      </c>
      <c r="K3119">
        <v>0</v>
      </c>
      <c r="L3119" s="3">
        <v>1</v>
      </c>
      <c r="M3119" s="3">
        <v>0</v>
      </c>
      <c r="N3119">
        <v>0</v>
      </c>
      <c r="O3119">
        <v>0</v>
      </c>
      <c r="P3119">
        <v>0</v>
      </c>
      <c r="Q3119">
        <v>0</v>
      </c>
      <c r="R3119" s="3">
        <v>0</v>
      </c>
      <c r="S3119" s="3">
        <v>0</v>
      </c>
      <c r="T3119">
        <v>0</v>
      </c>
      <c r="U3119">
        <v>0</v>
      </c>
      <c r="V3119" s="3">
        <v>0</v>
      </c>
      <c r="W3119" s="3">
        <v>0</v>
      </c>
      <c r="X3119" s="1">
        <v>0</v>
      </c>
    </row>
    <row r="3120" spans="1:25" hidden="1" x14ac:dyDescent="0.25">
      <c r="A3120" t="s">
        <v>58</v>
      </c>
      <c r="B3120" t="s">
        <v>144</v>
      </c>
      <c r="C3120" t="s">
        <v>2514</v>
      </c>
      <c r="D3120" t="s">
        <v>27</v>
      </c>
      <c r="E3120" s="2">
        <v>46015</v>
      </c>
      <c r="F3120" s="2">
        <v>46015</v>
      </c>
      <c r="G3120" s="3">
        <v>121</v>
      </c>
      <c r="H3120" s="4" t="s">
        <v>28</v>
      </c>
      <c r="I3120">
        <v>70</v>
      </c>
      <c r="J3120">
        <v>0</v>
      </c>
      <c r="K3120">
        <v>0</v>
      </c>
      <c r="L3120" s="3">
        <v>1</v>
      </c>
      <c r="M3120" s="3">
        <v>0</v>
      </c>
      <c r="N3120">
        <v>0</v>
      </c>
      <c r="O3120">
        <v>0</v>
      </c>
      <c r="P3120">
        <v>0</v>
      </c>
      <c r="Q3120">
        <v>40</v>
      </c>
      <c r="R3120" s="3">
        <v>0</v>
      </c>
      <c r="S3120" s="3">
        <v>0</v>
      </c>
      <c r="T3120">
        <v>0</v>
      </c>
      <c r="U3120">
        <v>0</v>
      </c>
      <c r="V3120" s="3">
        <v>0</v>
      </c>
      <c r="W3120" s="3">
        <v>0</v>
      </c>
      <c r="X3120" s="1">
        <v>3</v>
      </c>
    </row>
    <row r="3121" spans="1:25" hidden="1" x14ac:dyDescent="0.25">
      <c r="A3121" t="s">
        <v>54</v>
      </c>
      <c r="B3121" t="s">
        <v>106</v>
      </c>
      <c r="C3121" t="s">
        <v>52</v>
      </c>
      <c r="D3121" t="s">
        <v>27</v>
      </c>
      <c r="E3121" s="2">
        <v>46015</v>
      </c>
      <c r="F3121" s="2">
        <v>46015</v>
      </c>
      <c r="G3121" s="3">
        <v>122</v>
      </c>
      <c r="H3121" s="4" t="s">
        <v>28</v>
      </c>
      <c r="I3121">
        <v>23</v>
      </c>
      <c r="J3121">
        <v>0</v>
      </c>
      <c r="K3121">
        <v>0</v>
      </c>
      <c r="L3121" s="3">
        <v>0</v>
      </c>
      <c r="M3121" s="3">
        <v>0</v>
      </c>
      <c r="N3121">
        <v>0</v>
      </c>
      <c r="O3121">
        <v>0</v>
      </c>
      <c r="P3121">
        <v>0</v>
      </c>
      <c r="Q3121">
        <v>0</v>
      </c>
      <c r="R3121" s="3">
        <v>0</v>
      </c>
      <c r="S3121" s="3">
        <v>0</v>
      </c>
      <c r="T3121">
        <v>0</v>
      </c>
      <c r="U3121">
        <v>0</v>
      </c>
      <c r="V3121" s="3">
        <v>0</v>
      </c>
      <c r="W3121" s="3">
        <v>0</v>
      </c>
      <c r="X3121" s="3">
        <v>0</v>
      </c>
    </row>
    <row r="3122" spans="1:25" hidden="1" x14ac:dyDescent="0.25">
      <c r="A3122" t="s">
        <v>36</v>
      </c>
      <c r="B3122" t="s">
        <v>182</v>
      </c>
      <c r="C3122" t="s">
        <v>27</v>
      </c>
      <c r="D3122" t="s">
        <v>27</v>
      </c>
      <c r="E3122" s="2">
        <v>46015</v>
      </c>
      <c r="F3122" s="2">
        <v>46015</v>
      </c>
      <c r="G3122" s="3">
        <v>123</v>
      </c>
      <c r="H3122" s="4" t="s">
        <v>1395</v>
      </c>
      <c r="I3122" s="1">
        <v>0</v>
      </c>
      <c r="J3122">
        <v>0</v>
      </c>
      <c r="K3122">
        <v>0</v>
      </c>
      <c r="L3122" s="3">
        <v>0</v>
      </c>
      <c r="M3122" s="3">
        <v>0</v>
      </c>
      <c r="N3122">
        <v>0</v>
      </c>
      <c r="O3122">
        <v>0</v>
      </c>
      <c r="P3122">
        <v>0</v>
      </c>
      <c r="Q3122">
        <v>0</v>
      </c>
      <c r="R3122" s="3">
        <v>0</v>
      </c>
      <c r="S3122" s="3">
        <v>0</v>
      </c>
      <c r="T3122">
        <v>0</v>
      </c>
      <c r="U3122">
        <v>0</v>
      </c>
      <c r="V3122" s="3">
        <v>0</v>
      </c>
      <c r="W3122" s="3">
        <v>0</v>
      </c>
      <c r="X3122" s="3">
        <v>0</v>
      </c>
    </row>
    <row r="3123" spans="1:25" hidden="1" x14ac:dyDescent="0.25">
      <c r="A3123" t="s">
        <v>51</v>
      </c>
      <c r="B3123" t="s">
        <v>120</v>
      </c>
      <c r="C3123" t="s">
        <v>27</v>
      </c>
      <c r="D3123" t="s">
        <v>27</v>
      </c>
      <c r="E3123" s="2">
        <v>46015</v>
      </c>
      <c r="F3123" s="2">
        <v>46015</v>
      </c>
      <c r="G3123" s="3">
        <v>60</v>
      </c>
      <c r="H3123" t="s">
        <v>180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5" hidden="1" x14ac:dyDescent="0.25">
      <c r="A3124" t="s">
        <v>36</v>
      </c>
      <c r="B3124" t="s">
        <v>182</v>
      </c>
      <c r="C3124" t="s">
        <v>27</v>
      </c>
      <c r="D3124" t="s">
        <v>27</v>
      </c>
      <c r="E3124" s="2">
        <v>46015</v>
      </c>
      <c r="F3124" s="2">
        <v>46015</v>
      </c>
      <c r="G3124" s="3">
        <v>123</v>
      </c>
      <c r="H3124" s="4" t="s">
        <v>1395</v>
      </c>
      <c r="I3124" s="1">
        <v>0</v>
      </c>
      <c r="J3124">
        <v>0</v>
      </c>
      <c r="K3124">
        <v>0</v>
      </c>
      <c r="L3124" s="3">
        <v>0</v>
      </c>
      <c r="M3124" s="3">
        <v>0</v>
      </c>
      <c r="N3124">
        <v>0</v>
      </c>
      <c r="O3124">
        <v>0</v>
      </c>
      <c r="P3124">
        <v>0</v>
      </c>
      <c r="Q3124">
        <v>0</v>
      </c>
      <c r="R3124" s="3">
        <v>0</v>
      </c>
      <c r="S3124" s="3">
        <v>0</v>
      </c>
      <c r="T3124">
        <v>0</v>
      </c>
      <c r="U3124">
        <v>0</v>
      </c>
      <c r="V3124" s="3">
        <v>0</v>
      </c>
      <c r="W3124" s="3">
        <v>0</v>
      </c>
      <c r="X3124" s="3">
        <v>0</v>
      </c>
    </row>
    <row r="3125" spans="1:25" hidden="1" x14ac:dyDescent="0.25">
      <c r="A3125" t="s">
        <v>25</v>
      </c>
      <c r="B3125" t="s">
        <v>96</v>
      </c>
      <c r="C3125" t="s">
        <v>26</v>
      </c>
      <c r="D3125" t="s">
        <v>27</v>
      </c>
      <c r="E3125" s="2">
        <v>46016</v>
      </c>
      <c r="F3125" s="2">
        <v>46016</v>
      </c>
      <c r="G3125" s="3">
        <v>46</v>
      </c>
      <c r="H3125" s="4" t="s">
        <v>2466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2451</v>
      </c>
    </row>
    <row r="3126" spans="1:25" hidden="1" x14ac:dyDescent="0.25">
      <c r="A3126" t="s">
        <v>55</v>
      </c>
      <c r="B3126" t="s">
        <v>2072</v>
      </c>
      <c r="C3126" t="s">
        <v>2379</v>
      </c>
      <c r="D3126" t="s">
        <v>27</v>
      </c>
      <c r="E3126" s="2">
        <v>46016</v>
      </c>
      <c r="F3126" s="2">
        <v>46016</v>
      </c>
      <c r="G3126" s="3">
        <v>34</v>
      </c>
      <c r="H3126" s="4" t="s">
        <v>2466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2467</v>
      </c>
    </row>
    <row r="3127" spans="1:25" hidden="1" x14ac:dyDescent="0.25">
      <c r="A3127" t="s">
        <v>344</v>
      </c>
      <c r="B3127" t="s">
        <v>102</v>
      </c>
      <c r="C3127" t="s">
        <v>35</v>
      </c>
      <c r="D3127" t="s">
        <v>27</v>
      </c>
      <c r="E3127" s="2">
        <v>46016</v>
      </c>
      <c r="F3127" s="2">
        <v>46016</v>
      </c>
      <c r="G3127" s="3">
        <v>28</v>
      </c>
      <c r="H3127" s="4" t="s">
        <v>2466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2453</v>
      </c>
    </row>
    <row r="3128" spans="1:25" hidden="1" x14ac:dyDescent="0.25">
      <c r="A3128" t="s">
        <v>29</v>
      </c>
      <c r="B3128" t="s">
        <v>100</v>
      </c>
      <c r="C3128" t="s">
        <v>95</v>
      </c>
      <c r="D3128" t="s">
        <v>27</v>
      </c>
      <c r="E3128" s="2">
        <v>46016</v>
      </c>
      <c r="F3128" s="2">
        <v>46016</v>
      </c>
      <c r="G3128" s="3">
        <v>34</v>
      </c>
      <c r="H3128" s="4" t="s">
        <v>2466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2468</v>
      </c>
    </row>
    <row r="3129" spans="1:25" hidden="1" x14ac:dyDescent="0.25">
      <c r="A3129" t="s">
        <v>31</v>
      </c>
      <c r="B3129" t="s">
        <v>104</v>
      </c>
      <c r="C3129" t="s">
        <v>32</v>
      </c>
      <c r="D3129" t="s">
        <v>27</v>
      </c>
      <c r="E3129" s="2">
        <v>46016</v>
      </c>
      <c r="F3129" s="2">
        <v>46016</v>
      </c>
      <c r="G3129" s="3">
        <v>64</v>
      </c>
      <c r="H3129" s="4" t="s">
        <v>2466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 s="37">
        <v>0</v>
      </c>
      <c r="Y3129" t="s">
        <v>2469</v>
      </c>
    </row>
    <row r="3130" spans="1:25" hidden="1" x14ac:dyDescent="0.25">
      <c r="A3130" t="s">
        <v>33</v>
      </c>
      <c r="B3130" t="s">
        <v>106</v>
      </c>
      <c r="C3130" t="s">
        <v>57</v>
      </c>
      <c r="D3130" t="s">
        <v>27</v>
      </c>
      <c r="E3130" s="2">
        <v>46016</v>
      </c>
      <c r="F3130" s="2">
        <v>46016</v>
      </c>
      <c r="G3130" s="3">
        <v>30</v>
      </c>
      <c r="H3130" s="4" t="s">
        <v>2466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2470</v>
      </c>
    </row>
    <row r="3131" spans="1:25" hidden="1" x14ac:dyDescent="0.25">
      <c r="A3131" t="s">
        <v>38</v>
      </c>
      <c r="B3131" t="s">
        <v>108</v>
      </c>
      <c r="C3131" t="s">
        <v>27</v>
      </c>
      <c r="D3131" t="s">
        <v>27</v>
      </c>
      <c r="E3131" s="2">
        <v>46016</v>
      </c>
      <c r="F3131" s="2">
        <v>46016</v>
      </c>
      <c r="G3131" s="3">
        <v>52</v>
      </c>
      <c r="H3131" s="4" t="s">
        <v>2466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2471</v>
      </c>
    </row>
    <row r="3132" spans="1:25" hidden="1" x14ac:dyDescent="0.25">
      <c r="A3132" t="s">
        <v>1454</v>
      </c>
      <c r="B3132" t="s">
        <v>1455</v>
      </c>
      <c r="C3132" t="s">
        <v>27</v>
      </c>
      <c r="D3132" t="s">
        <v>27</v>
      </c>
      <c r="E3132" s="2">
        <v>46016</v>
      </c>
      <c r="F3132" s="2">
        <v>46016</v>
      </c>
      <c r="G3132" s="3">
        <v>57</v>
      </c>
      <c r="H3132" s="4" t="s">
        <v>2466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2472</v>
      </c>
    </row>
    <row r="3133" spans="1:25" hidden="1" x14ac:dyDescent="0.25">
      <c r="A3133" t="s">
        <v>41</v>
      </c>
      <c r="B3133" t="s">
        <v>112</v>
      </c>
      <c r="C3133" t="s">
        <v>42</v>
      </c>
      <c r="D3133" t="s">
        <v>27</v>
      </c>
      <c r="E3133" s="2">
        <v>46016</v>
      </c>
      <c r="F3133" s="2">
        <v>46016</v>
      </c>
      <c r="G3133" s="3">
        <v>35</v>
      </c>
      <c r="H3133" s="4" t="s">
        <v>28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2473</v>
      </c>
    </row>
    <row r="3134" spans="1:25" hidden="1" x14ac:dyDescent="0.25">
      <c r="A3134" t="s">
        <v>43</v>
      </c>
      <c r="B3134" t="s">
        <v>114</v>
      </c>
      <c r="C3134" t="s">
        <v>44</v>
      </c>
      <c r="D3134" t="s">
        <v>27</v>
      </c>
      <c r="E3134" s="2">
        <v>46016</v>
      </c>
      <c r="F3134" s="2">
        <v>46016</v>
      </c>
      <c r="G3134" s="3">
        <v>30</v>
      </c>
      <c r="H3134" s="4" t="s">
        <v>2466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2474</v>
      </c>
    </row>
    <row r="3135" spans="1:25" hidden="1" x14ac:dyDescent="0.25">
      <c r="A3135" t="s">
        <v>2118</v>
      </c>
      <c r="B3135" t="s">
        <v>2119</v>
      </c>
      <c r="C3135" t="s">
        <v>27</v>
      </c>
      <c r="D3135" t="s">
        <v>27</v>
      </c>
      <c r="E3135" s="2">
        <v>46016</v>
      </c>
      <c r="F3135" s="2">
        <v>46016</v>
      </c>
      <c r="G3135" s="3">
        <v>73</v>
      </c>
      <c r="H3135" s="4" t="s">
        <v>2466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2475</v>
      </c>
    </row>
    <row r="3136" spans="1:25" hidden="1" x14ac:dyDescent="0.25">
      <c r="A3136" t="s">
        <v>45</v>
      </c>
      <c r="B3136" t="s">
        <v>116</v>
      </c>
      <c r="C3136" t="s">
        <v>46</v>
      </c>
      <c r="D3136" t="s">
        <v>27</v>
      </c>
      <c r="E3136" s="2">
        <v>46016</v>
      </c>
      <c r="F3136" s="2">
        <v>46016</v>
      </c>
      <c r="G3136" s="3">
        <v>58</v>
      </c>
      <c r="H3136" s="4" t="s">
        <v>2466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2476</v>
      </c>
    </row>
    <row r="3137" spans="1:25" hidden="1" x14ac:dyDescent="0.25">
      <c r="A3137" t="s">
        <v>47</v>
      </c>
      <c r="B3137" t="s">
        <v>137</v>
      </c>
      <c r="C3137" t="s">
        <v>2310</v>
      </c>
      <c r="D3137" t="s">
        <v>27</v>
      </c>
      <c r="E3137" s="2">
        <v>46016</v>
      </c>
      <c r="F3137" s="2">
        <v>46016</v>
      </c>
      <c r="G3137" s="3">
        <v>90</v>
      </c>
      <c r="H3137" s="4" t="s">
        <v>2466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2477</v>
      </c>
    </row>
    <row r="3138" spans="1:25" hidden="1" x14ac:dyDescent="0.25">
      <c r="A3138" t="s">
        <v>27</v>
      </c>
      <c r="B3138" t="s">
        <v>118</v>
      </c>
      <c r="C3138" t="s">
        <v>50</v>
      </c>
      <c r="D3138" t="s">
        <v>27</v>
      </c>
      <c r="E3138" s="2">
        <v>46016</v>
      </c>
      <c r="F3138" s="2">
        <v>46016</v>
      </c>
      <c r="G3138" s="3">
        <v>25</v>
      </c>
      <c r="H3138" s="4" t="s">
        <v>2466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2478</v>
      </c>
    </row>
    <row r="3139" spans="1:25" hidden="1" x14ac:dyDescent="0.25">
      <c r="A3139" t="s">
        <v>48</v>
      </c>
      <c r="B3139" t="s">
        <v>149</v>
      </c>
      <c r="C3139" t="s">
        <v>37</v>
      </c>
      <c r="D3139" t="s">
        <v>27</v>
      </c>
      <c r="E3139" s="2">
        <v>46016</v>
      </c>
      <c r="F3139" s="2">
        <v>46016</v>
      </c>
      <c r="G3139" s="3">
        <v>144</v>
      </c>
      <c r="H3139" s="4" t="s">
        <v>2466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2479</v>
      </c>
    </row>
    <row r="3140" spans="1:25" hidden="1" x14ac:dyDescent="0.25">
      <c r="A3140" t="s">
        <v>58</v>
      </c>
      <c r="B3140" t="s">
        <v>144</v>
      </c>
      <c r="C3140" t="s">
        <v>2514</v>
      </c>
      <c r="D3140" t="s">
        <v>27</v>
      </c>
      <c r="E3140" s="2">
        <v>46016</v>
      </c>
      <c r="F3140" s="2">
        <v>46016</v>
      </c>
      <c r="G3140" s="3">
        <v>121</v>
      </c>
      <c r="H3140" s="4" t="s">
        <v>2466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2465</v>
      </c>
    </row>
    <row r="3141" spans="1:25" hidden="1" x14ac:dyDescent="0.25">
      <c r="A3141" t="s">
        <v>54</v>
      </c>
      <c r="B3141" t="s">
        <v>106</v>
      </c>
      <c r="C3141" t="s">
        <v>52</v>
      </c>
      <c r="D3141" t="s">
        <v>27</v>
      </c>
      <c r="E3141" s="2">
        <v>46016</v>
      </c>
      <c r="F3141" s="2">
        <v>46016</v>
      </c>
      <c r="G3141" s="3">
        <v>122</v>
      </c>
      <c r="H3141" s="4" t="s">
        <v>2466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2465</v>
      </c>
    </row>
    <row r="3142" spans="1:25" hidden="1" x14ac:dyDescent="0.25">
      <c r="A3142" t="s">
        <v>36</v>
      </c>
      <c r="B3142" t="s">
        <v>182</v>
      </c>
      <c r="C3142" t="s">
        <v>27</v>
      </c>
      <c r="D3142" t="s">
        <v>27</v>
      </c>
      <c r="E3142" s="2">
        <v>46016</v>
      </c>
      <c r="F3142" s="2">
        <v>46016</v>
      </c>
      <c r="G3142" s="3">
        <v>123</v>
      </c>
      <c r="H3142" s="4" t="s">
        <v>1395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t="s">
        <v>2465</v>
      </c>
    </row>
    <row r="3143" spans="1:25" hidden="1" x14ac:dyDescent="0.25">
      <c r="A3143" t="s">
        <v>51</v>
      </c>
      <c r="B3143" t="s">
        <v>120</v>
      </c>
      <c r="C3143" t="s">
        <v>27</v>
      </c>
      <c r="D3143" t="s">
        <v>27</v>
      </c>
      <c r="E3143" s="2">
        <v>46016</v>
      </c>
      <c r="F3143" s="2">
        <v>46016</v>
      </c>
      <c r="G3143" s="3">
        <v>60</v>
      </c>
      <c r="H3143" t="s">
        <v>180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2450</v>
      </c>
    </row>
    <row r="3144" spans="1:25" hidden="1" x14ac:dyDescent="0.25">
      <c r="A3144" t="s">
        <v>55</v>
      </c>
      <c r="B3144" t="s">
        <v>2072</v>
      </c>
      <c r="C3144" t="s">
        <v>2379</v>
      </c>
      <c r="D3144" t="s">
        <v>27</v>
      </c>
      <c r="E3144" s="2">
        <v>46017</v>
      </c>
      <c r="F3144" s="2">
        <v>46017</v>
      </c>
      <c r="G3144" s="3">
        <v>62</v>
      </c>
      <c r="H3144" s="4" t="s">
        <v>28</v>
      </c>
      <c r="I3144">
        <v>33</v>
      </c>
      <c r="J3144">
        <v>0</v>
      </c>
      <c r="K3144">
        <v>0</v>
      </c>
      <c r="L3144" s="3">
        <v>1</v>
      </c>
      <c r="M3144" s="3">
        <v>0</v>
      </c>
      <c r="N3144">
        <v>1</v>
      </c>
      <c r="O3144">
        <v>0</v>
      </c>
      <c r="P3144">
        <v>0</v>
      </c>
      <c r="Q3144">
        <v>0</v>
      </c>
      <c r="R3144" s="3">
        <v>0</v>
      </c>
      <c r="S3144" s="3">
        <v>0</v>
      </c>
      <c r="T3144">
        <v>0</v>
      </c>
      <c r="U3144">
        <v>0</v>
      </c>
      <c r="V3144" s="3">
        <v>0</v>
      </c>
      <c r="W3144" s="3">
        <v>0</v>
      </c>
      <c r="X3144">
        <v>0</v>
      </c>
      <c r="Y3144" t="s">
        <v>2480</v>
      </c>
    </row>
    <row r="3145" spans="1:25" hidden="1" x14ac:dyDescent="0.25">
      <c r="A3145" t="s">
        <v>25</v>
      </c>
      <c r="B3145" t="s">
        <v>96</v>
      </c>
      <c r="C3145" t="s">
        <v>26</v>
      </c>
      <c r="D3145" t="s">
        <v>27</v>
      </c>
      <c r="E3145" s="2">
        <v>46017</v>
      </c>
      <c r="F3145" s="2">
        <v>46017</v>
      </c>
      <c r="G3145" s="3">
        <v>33</v>
      </c>
      <c r="H3145" s="4" t="s">
        <v>28</v>
      </c>
      <c r="I3145">
        <v>51</v>
      </c>
      <c r="J3145">
        <v>0</v>
      </c>
      <c r="K3145">
        <v>0</v>
      </c>
      <c r="L3145" s="3">
        <v>1</v>
      </c>
      <c r="M3145" s="3">
        <v>0</v>
      </c>
      <c r="N3145">
        <v>1</v>
      </c>
      <c r="O3145">
        <v>0</v>
      </c>
      <c r="P3145">
        <v>0</v>
      </c>
      <c r="Q3145">
        <v>0</v>
      </c>
      <c r="R3145" s="3">
        <v>0</v>
      </c>
      <c r="S3145" s="3">
        <v>0</v>
      </c>
      <c r="T3145">
        <v>0</v>
      </c>
      <c r="U3145">
        <v>0</v>
      </c>
      <c r="V3145" s="3">
        <v>0</v>
      </c>
      <c r="W3145" s="3">
        <v>0</v>
      </c>
      <c r="X3145">
        <v>0</v>
      </c>
      <c r="Y3145" t="s">
        <v>2481</v>
      </c>
    </row>
    <row r="3146" spans="1:25" hidden="1" x14ac:dyDescent="0.25">
      <c r="A3146" t="s">
        <v>29</v>
      </c>
      <c r="B3146" t="s">
        <v>100</v>
      </c>
      <c r="C3146" t="s">
        <v>95</v>
      </c>
      <c r="D3146" t="s">
        <v>27</v>
      </c>
      <c r="E3146" s="2">
        <v>46017</v>
      </c>
      <c r="F3146" s="2">
        <v>46017</v>
      </c>
      <c r="G3146" s="3">
        <v>47</v>
      </c>
      <c r="H3146" s="4" t="s">
        <v>28</v>
      </c>
      <c r="I3146">
        <v>63</v>
      </c>
      <c r="J3146">
        <v>0</v>
      </c>
      <c r="K3146">
        <v>0</v>
      </c>
      <c r="L3146" s="3">
        <v>1</v>
      </c>
      <c r="M3146" s="3">
        <v>0</v>
      </c>
      <c r="N3146">
        <v>0</v>
      </c>
      <c r="O3146">
        <v>0</v>
      </c>
      <c r="P3146">
        <v>0</v>
      </c>
      <c r="Q3146">
        <v>0</v>
      </c>
      <c r="R3146" s="3">
        <v>0</v>
      </c>
      <c r="S3146" s="3">
        <v>0</v>
      </c>
      <c r="T3146">
        <v>0</v>
      </c>
      <c r="U3146">
        <v>0</v>
      </c>
      <c r="V3146" s="3">
        <v>0</v>
      </c>
      <c r="W3146" s="3">
        <v>0</v>
      </c>
      <c r="X3146">
        <v>0</v>
      </c>
      <c r="Y3146" t="s">
        <v>2482</v>
      </c>
    </row>
    <row r="3147" spans="1:25" hidden="1" x14ac:dyDescent="0.25">
      <c r="A3147" t="s">
        <v>344</v>
      </c>
      <c r="B3147" t="s">
        <v>102</v>
      </c>
      <c r="C3147" t="s">
        <v>35</v>
      </c>
      <c r="D3147" t="s">
        <v>27</v>
      </c>
      <c r="E3147" s="2">
        <v>46017</v>
      </c>
      <c r="F3147" s="2">
        <v>46017</v>
      </c>
      <c r="G3147" s="3">
        <v>28</v>
      </c>
      <c r="H3147" s="4" t="s">
        <v>28</v>
      </c>
      <c r="I3147">
        <v>45</v>
      </c>
      <c r="J3147">
        <v>0</v>
      </c>
      <c r="K3147">
        <v>0</v>
      </c>
      <c r="L3147" s="3">
        <v>0</v>
      </c>
      <c r="M3147" s="3">
        <v>0</v>
      </c>
      <c r="N3147">
        <v>0</v>
      </c>
      <c r="O3147">
        <v>0</v>
      </c>
      <c r="P3147">
        <v>0</v>
      </c>
      <c r="Q3147">
        <v>0</v>
      </c>
      <c r="R3147" s="3">
        <v>0</v>
      </c>
      <c r="S3147" s="3">
        <v>0</v>
      </c>
      <c r="T3147">
        <v>0</v>
      </c>
      <c r="U3147">
        <v>0</v>
      </c>
      <c r="V3147" s="3">
        <v>0</v>
      </c>
      <c r="W3147" s="3">
        <v>0</v>
      </c>
      <c r="X3147">
        <v>0</v>
      </c>
      <c r="Y3147" t="s">
        <v>2453</v>
      </c>
    </row>
    <row r="3148" spans="1:25" hidden="1" x14ac:dyDescent="0.25">
      <c r="A3148" t="s">
        <v>31</v>
      </c>
      <c r="B3148" t="s">
        <v>104</v>
      </c>
      <c r="C3148" t="s">
        <v>32</v>
      </c>
      <c r="D3148" t="s">
        <v>27</v>
      </c>
      <c r="E3148" s="2">
        <v>46017</v>
      </c>
      <c r="F3148" s="2">
        <v>46017</v>
      </c>
      <c r="G3148" s="3">
        <v>43</v>
      </c>
      <c r="H3148" s="4" t="s">
        <v>28</v>
      </c>
      <c r="I3148">
        <v>65</v>
      </c>
      <c r="J3148">
        <v>0</v>
      </c>
      <c r="K3148">
        <v>0</v>
      </c>
      <c r="L3148" s="3">
        <v>0</v>
      </c>
      <c r="M3148" s="3">
        <v>0</v>
      </c>
      <c r="N3148">
        <v>0</v>
      </c>
      <c r="O3148">
        <v>0</v>
      </c>
      <c r="P3148">
        <v>0</v>
      </c>
      <c r="Q3148">
        <v>0</v>
      </c>
      <c r="R3148" s="3">
        <v>0</v>
      </c>
      <c r="S3148" s="3">
        <v>0</v>
      </c>
      <c r="T3148">
        <v>0</v>
      </c>
      <c r="U3148">
        <v>0</v>
      </c>
      <c r="V3148" s="3">
        <v>0</v>
      </c>
      <c r="W3148" s="3">
        <v>0</v>
      </c>
      <c r="X3148" s="37">
        <v>0</v>
      </c>
      <c r="Y3148" t="s">
        <v>2483</v>
      </c>
    </row>
    <row r="3149" spans="1:25" hidden="1" x14ac:dyDescent="0.25">
      <c r="A3149" t="s">
        <v>33</v>
      </c>
      <c r="B3149" t="s">
        <v>106</v>
      </c>
      <c r="C3149" t="s">
        <v>57</v>
      </c>
      <c r="D3149" t="s">
        <v>27</v>
      </c>
      <c r="E3149" s="2">
        <v>46017</v>
      </c>
      <c r="F3149" s="2">
        <v>46017</v>
      </c>
      <c r="G3149" s="3">
        <v>43</v>
      </c>
      <c r="H3149" s="4" t="s">
        <v>28</v>
      </c>
      <c r="I3149">
        <v>50</v>
      </c>
      <c r="J3149">
        <v>0</v>
      </c>
      <c r="K3149">
        <v>0</v>
      </c>
      <c r="L3149" s="3">
        <v>0</v>
      </c>
      <c r="M3149" s="3">
        <v>0</v>
      </c>
      <c r="N3149">
        <v>0</v>
      </c>
      <c r="O3149">
        <v>0</v>
      </c>
      <c r="P3149">
        <v>0</v>
      </c>
      <c r="Q3149">
        <v>20</v>
      </c>
      <c r="R3149" s="3">
        <v>0</v>
      </c>
      <c r="S3149" s="3">
        <v>0</v>
      </c>
      <c r="T3149">
        <v>0</v>
      </c>
      <c r="U3149">
        <v>0</v>
      </c>
      <c r="V3149" s="3">
        <v>0</v>
      </c>
      <c r="W3149" s="3">
        <v>0</v>
      </c>
      <c r="X3149">
        <v>0</v>
      </c>
      <c r="Y3149" t="s">
        <v>2484</v>
      </c>
    </row>
    <row r="3150" spans="1:25" hidden="1" x14ac:dyDescent="0.25">
      <c r="A3150" t="s">
        <v>38</v>
      </c>
      <c r="B3150" t="s">
        <v>108</v>
      </c>
      <c r="C3150" t="s">
        <v>27</v>
      </c>
      <c r="D3150" t="s">
        <v>27</v>
      </c>
      <c r="E3150" s="2">
        <v>46017</v>
      </c>
      <c r="F3150" s="2">
        <v>46017</v>
      </c>
      <c r="G3150" s="3">
        <v>45</v>
      </c>
      <c r="H3150" s="4" t="s">
        <v>28</v>
      </c>
      <c r="I3150">
        <v>73</v>
      </c>
      <c r="J3150">
        <v>0</v>
      </c>
      <c r="K3150">
        <v>0</v>
      </c>
      <c r="L3150" s="3">
        <v>1</v>
      </c>
      <c r="M3150" s="3">
        <v>0</v>
      </c>
      <c r="N3150">
        <v>0</v>
      </c>
      <c r="O3150">
        <v>0</v>
      </c>
      <c r="P3150">
        <v>0</v>
      </c>
      <c r="Q3150">
        <v>73</v>
      </c>
      <c r="R3150" s="3">
        <v>0</v>
      </c>
      <c r="S3150" s="3">
        <v>0</v>
      </c>
      <c r="T3150">
        <v>0</v>
      </c>
      <c r="U3150">
        <v>0</v>
      </c>
      <c r="V3150" s="3">
        <v>0</v>
      </c>
      <c r="W3150" s="3">
        <v>0</v>
      </c>
      <c r="X3150">
        <v>1</v>
      </c>
      <c r="Y3150" t="s">
        <v>2485</v>
      </c>
    </row>
    <row r="3151" spans="1:25" ht="14.25" hidden="1" customHeight="1" x14ac:dyDescent="0.25">
      <c r="A3151" t="s">
        <v>40</v>
      </c>
      <c r="B3151" t="s">
        <v>110</v>
      </c>
      <c r="C3151" t="s">
        <v>2426</v>
      </c>
      <c r="D3151" t="s">
        <v>27</v>
      </c>
      <c r="E3151" s="2">
        <v>46015</v>
      </c>
      <c r="F3151" s="2">
        <v>46015</v>
      </c>
      <c r="G3151" s="3">
        <v>104</v>
      </c>
      <c r="H3151" s="4" t="s">
        <v>28</v>
      </c>
      <c r="I3151">
        <v>77</v>
      </c>
      <c r="J3151">
        <v>0</v>
      </c>
      <c r="K3151">
        <v>0</v>
      </c>
      <c r="L3151" s="3">
        <v>1</v>
      </c>
      <c r="M3151" s="3">
        <v>0</v>
      </c>
      <c r="N3151">
        <v>1</v>
      </c>
      <c r="O3151">
        <v>0</v>
      </c>
      <c r="P3151">
        <v>0</v>
      </c>
      <c r="Q3151">
        <v>48</v>
      </c>
      <c r="R3151" s="3">
        <v>0</v>
      </c>
      <c r="S3151" s="3">
        <v>0</v>
      </c>
      <c r="T3151">
        <v>0</v>
      </c>
      <c r="U3151">
        <v>0</v>
      </c>
      <c r="V3151" s="3">
        <v>0</v>
      </c>
      <c r="W3151" s="3">
        <v>0</v>
      </c>
      <c r="X3151">
        <v>0</v>
      </c>
      <c r="Y3151" t="s">
        <v>2457</v>
      </c>
    </row>
    <row r="3152" spans="1:25" hidden="1" x14ac:dyDescent="0.25">
      <c r="A3152" t="s">
        <v>40</v>
      </c>
      <c r="B3152" t="s">
        <v>110</v>
      </c>
      <c r="C3152" t="s">
        <v>2426</v>
      </c>
      <c r="D3152" t="s">
        <v>27</v>
      </c>
      <c r="E3152" s="2">
        <v>46017</v>
      </c>
      <c r="F3152" s="2">
        <v>46017</v>
      </c>
      <c r="G3152" s="3">
        <v>127</v>
      </c>
      <c r="H3152" s="4" t="s">
        <v>28</v>
      </c>
      <c r="I3152">
        <v>65</v>
      </c>
      <c r="J3152">
        <v>0</v>
      </c>
      <c r="K3152">
        <v>0</v>
      </c>
      <c r="L3152" s="3">
        <v>1</v>
      </c>
      <c r="M3152" s="3">
        <v>0</v>
      </c>
      <c r="N3152">
        <v>1</v>
      </c>
      <c r="O3152">
        <v>0</v>
      </c>
      <c r="P3152">
        <v>0</v>
      </c>
      <c r="Q3152">
        <v>48</v>
      </c>
      <c r="R3152" s="3">
        <v>0</v>
      </c>
      <c r="S3152" s="3">
        <v>0</v>
      </c>
      <c r="T3152">
        <v>0</v>
      </c>
      <c r="U3152">
        <v>0</v>
      </c>
      <c r="V3152" s="3">
        <v>0</v>
      </c>
      <c r="W3152" s="3">
        <v>0</v>
      </c>
      <c r="X3152">
        <v>0</v>
      </c>
      <c r="Y3152" t="s">
        <v>2486</v>
      </c>
    </row>
    <row r="3153" spans="1:25" hidden="1" x14ac:dyDescent="0.25">
      <c r="A3153" t="s">
        <v>1454</v>
      </c>
      <c r="B3153" t="s">
        <v>1455</v>
      </c>
      <c r="C3153" t="s">
        <v>27</v>
      </c>
      <c r="D3153" t="s">
        <v>27</v>
      </c>
      <c r="E3153" s="2">
        <v>46017</v>
      </c>
      <c r="F3153" s="2">
        <v>46017</v>
      </c>
      <c r="G3153" s="3">
        <v>36</v>
      </c>
      <c r="H3153" s="4" t="s">
        <v>28</v>
      </c>
      <c r="I3153">
        <v>42</v>
      </c>
      <c r="J3153">
        <v>0</v>
      </c>
      <c r="K3153">
        <v>0</v>
      </c>
      <c r="L3153" s="3">
        <v>1</v>
      </c>
      <c r="M3153" s="3">
        <v>0</v>
      </c>
      <c r="N3153">
        <v>0</v>
      </c>
      <c r="O3153">
        <v>0</v>
      </c>
      <c r="P3153">
        <v>0</v>
      </c>
      <c r="Q3153">
        <v>42</v>
      </c>
      <c r="R3153" s="3">
        <v>0</v>
      </c>
      <c r="S3153" s="3">
        <v>0</v>
      </c>
      <c r="T3153">
        <v>0</v>
      </c>
      <c r="U3153">
        <v>0</v>
      </c>
      <c r="V3153" s="3">
        <v>0</v>
      </c>
      <c r="W3153" s="3">
        <v>0</v>
      </c>
      <c r="X3153">
        <v>0</v>
      </c>
      <c r="Y3153" t="s">
        <v>2487</v>
      </c>
    </row>
    <row r="3154" spans="1:25" hidden="1" x14ac:dyDescent="0.25">
      <c r="A3154" t="s">
        <v>41</v>
      </c>
      <c r="B3154" t="s">
        <v>112</v>
      </c>
      <c r="C3154" t="s">
        <v>42</v>
      </c>
      <c r="D3154" t="s">
        <v>27</v>
      </c>
      <c r="E3154" s="2">
        <v>46017</v>
      </c>
      <c r="F3154" s="2">
        <v>46017</v>
      </c>
      <c r="G3154" s="3">
        <v>34</v>
      </c>
      <c r="H3154" s="4" t="s">
        <v>28</v>
      </c>
      <c r="I3154">
        <v>48</v>
      </c>
      <c r="J3154">
        <v>0</v>
      </c>
      <c r="K3154">
        <v>0</v>
      </c>
      <c r="L3154" s="3">
        <v>1</v>
      </c>
      <c r="M3154" s="3">
        <v>0</v>
      </c>
      <c r="N3154">
        <v>0</v>
      </c>
      <c r="O3154">
        <v>0</v>
      </c>
      <c r="P3154">
        <v>0</v>
      </c>
      <c r="Q3154">
        <v>1</v>
      </c>
      <c r="R3154" s="3">
        <v>0</v>
      </c>
      <c r="S3154" s="3">
        <v>0</v>
      </c>
      <c r="T3154">
        <v>0</v>
      </c>
      <c r="U3154">
        <v>0</v>
      </c>
      <c r="V3154" s="3">
        <v>0</v>
      </c>
      <c r="W3154" s="3">
        <v>0</v>
      </c>
      <c r="X3154">
        <v>0</v>
      </c>
      <c r="Y3154" t="s">
        <v>2488</v>
      </c>
    </row>
    <row r="3155" spans="1:25" hidden="1" x14ac:dyDescent="0.25">
      <c r="A3155" t="s">
        <v>43</v>
      </c>
      <c r="B3155" t="s">
        <v>114</v>
      </c>
      <c r="C3155" t="s">
        <v>44</v>
      </c>
      <c r="D3155" t="s">
        <v>27</v>
      </c>
      <c r="E3155" s="2">
        <v>46017</v>
      </c>
      <c r="F3155" s="2">
        <v>46017</v>
      </c>
      <c r="G3155" s="3">
        <v>29</v>
      </c>
      <c r="H3155" s="4" t="s">
        <v>28</v>
      </c>
      <c r="I3155">
        <v>36</v>
      </c>
      <c r="J3155">
        <v>0</v>
      </c>
      <c r="K3155">
        <v>0</v>
      </c>
      <c r="L3155" s="3">
        <v>1</v>
      </c>
      <c r="M3155" s="3">
        <v>0</v>
      </c>
      <c r="N3155">
        <v>0</v>
      </c>
      <c r="O3155">
        <v>0</v>
      </c>
      <c r="P3155">
        <v>0</v>
      </c>
      <c r="Q3155">
        <v>0</v>
      </c>
      <c r="R3155" s="3">
        <v>0</v>
      </c>
      <c r="S3155" s="3">
        <v>0</v>
      </c>
      <c r="T3155">
        <v>0</v>
      </c>
      <c r="U3155">
        <v>0</v>
      </c>
      <c r="V3155" s="3">
        <v>0</v>
      </c>
      <c r="W3155" s="3">
        <v>0</v>
      </c>
      <c r="X3155">
        <v>0</v>
      </c>
      <c r="Y3155" t="s">
        <v>2489</v>
      </c>
    </row>
    <row r="3156" spans="1:25" hidden="1" x14ac:dyDescent="0.25">
      <c r="A3156" t="s">
        <v>2118</v>
      </c>
      <c r="B3156" t="s">
        <v>2119</v>
      </c>
      <c r="C3156" t="s">
        <v>27</v>
      </c>
      <c r="D3156" t="s">
        <v>27</v>
      </c>
      <c r="E3156" s="2">
        <v>46017</v>
      </c>
      <c r="F3156" s="2">
        <v>46017</v>
      </c>
      <c r="G3156" s="3">
        <v>56</v>
      </c>
      <c r="H3156" s="4" t="s">
        <v>28</v>
      </c>
      <c r="I3156">
        <v>47</v>
      </c>
      <c r="J3156">
        <v>0</v>
      </c>
      <c r="K3156">
        <v>0</v>
      </c>
      <c r="L3156" s="3">
        <v>1</v>
      </c>
      <c r="M3156" s="3">
        <v>0</v>
      </c>
      <c r="N3156">
        <v>0</v>
      </c>
      <c r="O3156">
        <v>0</v>
      </c>
      <c r="P3156">
        <v>0</v>
      </c>
      <c r="Q3156">
        <v>47</v>
      </c>
      <c r="R3156" s="3">
        <v>0</v>
      </c>
      <c r="S3156" s="3">
        <v>0</v>
      </c>
      <c r="T3156">
        <v>0</v>
      </c>
      <c r="U3156">
        <v>0</v>
      </c>
      <c r="V3156" s="3">
        <v>0</v>
      </c>
      <c r="W3156" s="3">
        <v>0</v>
      </c>
      <c r="X3156">
        <v>0</v>
      </c>
      <c r="Y3156" t="s">
        <v>2490</v>
      </c>
    </row>
    <row r="3157" spans="1:25" hidden="1" x14ac:dyDescent="0.25">
      <c r="A3157" t="s">
        <v>45</v>
      </c>
      <c r="B3157" t="s">
        <v>116</v>
      </c>
      <c r="C3157" t="s">
        <v>46</v>
      </c>
      <c r="D3157" t="s">
        <v>27</v>
      </c>
      <c r="E3157" s="2">
        <v>46017</v>
      </c>
      <c r="F3157" s="2">
        <v>46017</v>
      </c>
      <c r="G3157" s="3">
        <v>45</v>
      </c>
      <c r="H3157" s="4" t="s">
        <v>28</v>
      </c>
      <c r="I3157">
        <v>63</v>
      </c>
      <c r="J3157">
        <v>0</v>
      </c>
      <c r="K3157">
        <v>0</v>
      </c>
      <c r="L3157" s="3">
        <v>1</v>
      </c>
      <c r="M3157" s="3">
        <v>0</v>
      </c>
      <c r="N3157">
        <v>0</v>
      </c>
      <c r="O3157">
        <v>0</v>
      </c>
      <c r="P3157">
        <v>0</v>
      </c>
      <c r="Q3157">
        <v>8</v>
      </c>
      <c r="R3157" s="3">
        <v>0</v>
      </c>
      <c r="S3157" s="3">
        <v>0</v>
      </c>
      <c r="T3157">
        <v>0</v>
      </c>
      <c r="U3157">
        <v>0</v>
      </c>
      <c r="V3157" s="3">
        <v>0</v>
      </c>
      <c r="W3157" s="3">
        <v>0</v>
      </c>
      <c r="X3157">
        <v>0</v>
      </c>
      <c r="Y3157" t="s">
        <v>2491</v>
      </c>
    </row>
    <row r="3158" spans="1:25" hidden="1" x14ac:dyDescent="0.25">
      <c r="A3158" t="s">
        <v>47</v>
      </c>
      <c r="B3158" t="s">
        <v>137</v>
      </c>
      <c r="C3158" t="s">
        <v>2310</v>
      </c>
      <c r="D3158" t="s">
        <v>27</v>
      </c>
      <c r="E3158" s="2">
        <v>46017</v>
      </c>
      <c r="F3158" s="2">
        <v>46017</v>
      </c>
      <c r="G3158" s="3">
        <v>45</v>
      </c>
      <c r="H3158" s="4" t="s">
        <v>28</v>
      </c>
      <c r="I3158">
        <v>46</v>
      </c>
      <c r="J3158">
        <v>0</v>
      </c>
      <c r="K3158">
        <v>0</v>
      </c>
      <c r="L3158" s="3">
        <v>0</v>
      </c>
      <c r="M3158" s="3">
        <v>0</v>
      </c>
      <c r="N3158">
        <v>0</v>
      </c>
      <c r="O3158">
        <v>0</v>
      </c>
      <c r="P3158">
        <v>0</v>
      </c>
      <c r="Q3158">
        <v>0</v>
      </c>
      <c r="R3158" s="3">
        <v>0</v>
      </c>
      <c r="S3158" s="3">
        <v>0</v>
      </c>
      <c r="T3158">
        <v>0</v>
      </c>
      <c r="U3158">
        <v>0</v>
      </c>
      <c r="V3158" s="3">
        <v>0</v>
      </c>
      <c r="W3158" s="3">
        <v>0</v>
      </c>
      <c r="X3158">
        <v>0</v>
      </c>
      <c r="Y3158" t="s">
        <v>2492</v>
      </c>
    </row>
    <row r="3159" spans="1:25" hidden="1" x14ac:dyDescent="0.25">
      <c r="A3159" t="s">
        <v>27</v>
      </c>
      <c r="B3159" t="s">
        <v>118</v>
      </c>
      <c r="C3159" t="s">
        <v>50</v>
      </c>
      <c r="D3159" t="s">
        <v>27</v>
      </c>
      <c r="E3159" s="2">
        <v>46017</v>
      </c>
      <c r="F3159" s="2">
        <v>46017</v>
      </c>
      <c r="G3159" s="3">
        <v>44</v>
      </c>
      <c r="H3159" s="4" t="s">
        <v>28</v>
      </c>
      <c r="I3159">
        <v>38</v>
      </c>
      <c r="J3159">
        <v>0</v>
      </c>
      <c r="K3159">
        <v>0</v>
      </c>
      <c r="L3159" s="3">
        <v>1</v>
      </c>
      <c r="M3159" s="3">
        <v>1</v>
      </c>
      <c r="N3159">
        <v>0</v>
      </c>
      <c r="O3159">
        <v>0</v>
      </c>
      <c r="P3159">
        <v>0</v>
      </c>
      <c r="Q3159">
        <v>38</v>
      </c>
      <c r="R3159" s="3">
        <v>0</v>
      </c>
      <c r="S3159" s="3">
        <v>0</v>
      </c>
      <c r="T3159">
        <v>0</v>
      </c>
      <c r="U3159">
        <v>0</v>
      </c>
      <c r="V3159" s="3">
        <v>0</v>
      </c>
      <c r="W3159" s="3">
        <v>0</v>
      </c>
      <c r="X3159">
        <v>0</v>
      </c>
      <c r="Y3159" t="s">
        <v>2493</v>
      </c>
    </row>
    <row r="3160" spans="1:25" hidden="1" x14ac:dyDescent="0.25">
      <c r="A3160" t="s">
        <v>54</v>
      </c>
      <c r="B3160" t="s">
        <v>122</v>
      </c>
      <c r="C3160" t="s">
        <v>52</v>
      </c>
      <c r="D3160" t="s">
        <v>27</v>
      </c>
      <c r="E3160" s="2">
        <v>46017</v>
      </c>
      <c r="F3160" s="2">
        <v>46017</v>
      </c>
      <c r="G3160" s="3">
        <v>40</v>
      </c>
      <c r="H3160" s="4" t="s">
        <v>28</v>
      </c>
      <c r="I3160">
        <v>58</v>
      </c>
      <c r="J3160">
        <v>0</v>
      </c>
      <c r="K3160">
        <v>0</v>
      </c>
      <c r="L3160" s="3">
        <v>0</v>
      </c>
      <c r="M3160" s="3">
        <v>0</v>
      </c>
      <c r="N3160">
        <v>0</v>
      </c>
      <c r="O3160">
        <v>0</v>
      </c>
      <c r="P3160">
        <v>0</v>
      </c>
      <c r="Q3160">
        <v>2</v>
      </c>
      <c r="R3160" s="3">
        <v>0</v>
      </c>
      <c r="S3160" s="3">
        <v>0</v>
      </c>
      <c r="T3160">
        <v>0</v>
      </c>
      <c r="U3160">
        <v>0</v>
      </c>
      <c r="V3160" s="3">
        <v>0</v>
      </c>
      <c r="W3160" s="3">
        <v>0</v>
      </c>
      <c r="X3160">
        <v>1</v>
      </c>
      <c r="Y3160" t="s">
        <v>2494</v>
      </c>
    </row>
    <row r="3161" spans="1:25" hidden="1" x14ac:dyDescent="0.25">
      <c r="A3161" t="s">
        <v>48</v>
      </c>
      <c r="B3161" t="s">
        <v>149</v>
      </c>
      <c r="C3161" t="s">
        <v>37</v>
      </c>
      <c r="D3161" t="s">
        <v>27</v>
      </c>
      <c r="E3161" s="2">
        <v>46017</v>
      </c>
      <c r="F3161" s="2">
        <v>46017</v>
      </c>
      <c r="G3161" s="3">
        <v>23</v>
      </c>
      <c r="H3161" s="4" t="s">
        <v>28</v>
      </c>
      <c r="I3161">
        <v>77</v>
      </c>
      <c r="J3161">
        <v>0</v>
      </c>
      <c r="K3161">
        <v>0</v>
      </c>
      <c r="L3161" s="3">
        <v>1</v>
      </c>
      <c r="M3161" s="3">
        <v>0</v>
      </c>
      <c r="N3161">
        <v>0</v>
      </c>
      <c r="O3161">
        <v>0</v>
      </c>
      <c r="P3161">
        <v>0</v>
      </c>
      <c r="Q3161">
        <v>10</v>
      </c>
      <c r="R3161" s="3">
        <v>0</v>
      </c>
      <c r="S3161" s="3">
        <v>0</v>
      </c>
      <c r="T3161">
        <v>0</v>
      </c>
      <c r="U3161">
        <v>0</v>
      </c>
      <c r="V3161" s="3">
        <v>0</v>
      </c>
      <c r="W3161" s="3">
        <v>0</v>
      </c>
      <c r="X3161">
        <v>0</v>
      </c>
      <c r="Y3161" t="s">
        <v>2495</v>
      </c>
    </row>
    <row r="3162" spans="1:25" hidden="1" x14ac:dyDescent="0.25">
      <c r="A3162" t="s">
        <v>58</v>
      </c>
      <c r="B3162" t="s">
        <v>144</v>
      </c>
      <c r="C3162" t="s">
        <v>2514</v>
      </c>
      <c r="D3162" t="s">
        <v>27</v>
      </c>
      <c r="E3162" s="2">
        <v>46017</v>
      </c>
      <c r="F3162" s="2">
        <v>46017</v>
      </c>
      <c r="G3162" s="3">
        <v>37</v>
      </c>
      <c r="H3162" s="4" t="s">
        <v>28</v>
      </c>
      <c r="I3162">
        <v>70</v>
      </c>
      <c r="J3162">
        <v>0</v>
      </c>
      <c r="K3162">
        <v>0</v>
      </c>
      <c r="L3162" s="3">
        <v>1</v>
      </c>
      <c r="M3162" s="3">
        <v>0</v>
      </c>
      <c r="N3162">
        <v>0</v>
      </c>
      <c r="O3162">
        <v>0</v>
      </c>
      <c r="P3162">
        <v>0</v>
      </c>
      <c r="Q3162">
        <v>40</v>
      </c>
      <c r="R3162" s="3">
        <v>0</v>
      </c>
      <c r="S3162" s="3">
        <v>0</v>
      </c>
      <c r="T3162">
        <v>0</v>
      </c>
      <c r="U3162">
        <v>0</v>
      </c>
      <c r="V3162" s="3">
        <v>0</v>
      </c>
      <c r="W3162" s="3">
        <v>0</v>
      </c>
      <c r="X3162">
        <v>0</v>
      </c>
      <c r="Y3162" t="s">
        <v>2496</v>
      </c>
    </row>
    <row r="3163" spans="1:25" hidden="1" x14ac:dyDescent="0.25">
      <c r="A3163" t="s">
        <v>36</v>
      </c>
      <c r="B3163" t="s">
        <v>106</v>
      </c>
      <c r="C3163" t="s">
        <v>27</v>
      </c>
      <c r="D3163" t="s">
        <v>27</v>
      </c>
      <c r="E3163" s="2">
        <v>46017</v>
      </c>
      <c r="F3163" s="2">
        <v>46017</v>
      </c>
      <c r="G3163" s="3">
        <v>37</v>
      </c>
      <c r="H3163" s="4" t="s">
        <v>1395</v>
      </c>
      <c r="I3163">
        <v>0</v>
      </c>
      <c r="J3163">
        <v>0</v>
      </c>
      <c r="K3163">
        <v>0</v>
      </c>
      <c r="L3163" s="3">
        <v>0</v>
      </c>
      <c r="M3163" s="3">
        <v>0</v>
      </c>
      <c r="N3163">
        <v>0</v>
      </c>
      <c r="O3163">
        <v>0</v>
      </c>
      <c r="P3163">
        <v>0</v>
      </c>
      <c r="Q3163">
        <v>0</v>
      </c>
      <c r="R3163" s="3">
        <v>0</v>
      </c>
      <c r="S3163" s="3">
        <v>0</v>
      </c>
      <c r="T3163">
        <v>0</v>
      </c>
      <c r="U3163">
        <v>0</v>
      </c>
      <c r="V3163" s="3">
        <v>0</v>
      </c>
      <c r="W3163" s="3">
        <v>0</v>
      </c>
      <c r="X3163" s="3">
        <v>0</v>
      </c>
      <c r="Y3163" t="s">
        <v>2450</v>
      </c>
    </row>
    <row r="3164" spans="1:25" hidden="1" x14ac:dyDescent="0.25">
      <c r="A3164" t="s">
        <v>51</v>
      </c>
      <c r="B3164" t="s">
        <v>120</v>
      </c>
      <c r="C3164" t="s">
        <v>27</v>
      </c>
      <c r="D3164" t="s">
        <v>27</v>
      </c>
      <c r="E3164" s="2">
        <v>46017</v>
      </c>
      <c r="F3164" s="2">
        <v>46017</v>
      </c>
      <c r="G3164" s="3">
        <v>60</v>
      </c>
      <c r="H3164" t="s">
        <v>180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2450</v>
      </c>
    </row>
    <row r="3165" spans="1:25" hidden="1" x14ac:dyDescent="0.25">
      <c r="A3165" t="s">
        <v>41</v>
      </c>
      <c r="B3165" t="s">
        <v>112</v>
      </c>
      <c r="C3165" t="s">
        <v>42</v>
      </c>
      <c r="D3165" t="s">
        <v>27</v>
      </c>
      <c r="E3165" s="2">
        <v>46018</v>
      </c>
      <c r="F3165" s="2">
        <v>46018</v>
      </c>
      <c r="G3165" s="3">
        <v>54</v>
      </c>
      <c r="H3165" t="s">
        <v>28</v>
      </c>
      <c r="I3165">
        <v>0</v>
      </c>
      <c r="J3165">
        <v>0</v>
      </c>
      <c r="K3165">
        <v>0</v>
      </c>
      <c r="L3165" s="3">
        <v>0</v>
      </c>
      <c r="M3165" s="3">
        <v>0</v>
      </c>
      <c r="N3165">
        <v>0</v>
      </c>
      <c r="O3165">
        <v>0</v>
      </c>
      <c r="P3165">
        <v>0</v>
      </c>
      <c r="Q3165">
        <v>20</v>
      </c>
      <c r="R3165" s="3">
        <v>1</v>
      </c>
      <c r="S3165" s="3">
        <v>0</v>
      </c>
      <c r="T3165">
        <v>20</v>
      </c>
      <c r="U3165">
        <v>24</v>
      </c>
      <c r="V3165" s="3">
        <v>1</v>
      </c>
      <c r="W3165" s="3">
        <v>0</v>
      </c>
      <c r="X3165">
        <v>2</v>
      </c>
      <c r="Y3165" t="s">
        <v>2497</v>
      </c>
    </row>
    <row r="3166" spans="1:25" hidden="1" x14ac:dyDescent="0.25">
      <c r="A3166" t="s">
        <v>54</v>
      </c>
      <c r="B3166" t="s">
        <v>122</v>
      </c>
      <c r="C3166" t="s">
        <v>52</v>
      </c>
      <c r="D3166" t="s">
        <v>27</v>
      </c>
      <c r="E3166" s="2">
        <v>46018</v>
      </c>
      <c r="F3166" s="2">
        <v>46018</v>
      </c>
      <c r="G3166" s="3">
        <v>47</v>
      </c>
      <c r="H3166" t="s">
        <v>28</v>
      </c>
      <c r="I3166">
        <v>0</v>
      </c>
      <c r="J3166">
        <v>0</v>
      </c>
      <c r="K3166">
        <v>0</v>
      </c>
      <c r="L3166" s="3">
        <v>0</v>
      </c>
      <c r="M3166" s="3">
        <v>0</v>
      </c>
      <c r="N3166">
        <v>0</v>
      </c>
      <c r="O3166">
        <v>0</v>
      </c>
      <c r="P3166">
        <v>0</v>
      </c>
      <c r="Q3166">
        <v>0</v>
      </c>
      <c r="R3166" s="3">
        <v>1</v>
      </c>
      <c r="S3166" s="3">
        <v>0</v>
      </c>
      <c r="T3166">
        <v>11</v>
      </c>
      <c r="U3166">
        <v>41</v>
      </c>
      <c r="V3166" s="3">
        <v>1</v>
      </c>
      <c r="W3166" s="3">
        <v>0</v>
      </c>
      <c r="X3166">
        <v>0</v>
      </c>
      <c r="Y3166" t="s">
        <v>2498</v>
      </c>
    </row>
    <row r="3167" spans="1:25" hidden="1" x14ac:dyDescent="0.25">
      <c r="A3167" t="s">
        <v>33</v>
      </c>
      <c r="B3167" t="s">
        <v>106</v>
      </c>
      <c r="C3167" t="s">
        <v>55</v>
      </c>
      <c r="D3167" t="s">
        <v>27</v>
      </c>
      <c r="E3167" s="2">
        <v>46019</v>
      </c>
      <c r="F3167" s="2">
        <v>46019</v>
      </c>
      <c r="G3167" s="3">
        <v>138</v>
      </c>
      <c r="H3167" t="s">
        <v>28</v>
      </c>
      <c r="I3167">
        <v>0</v>
      </c>
      <c r="J3167">
        <v>0</v>
      </c>
      <c r="K3167">
        <v>0</v>
      </c>
      <c r="L3167" s="3">
        <v>0</v>
      </c>
      <c r="M3167" s="3">
        <v>0</v>
      </c>
      <c r="N3167">
        <v>0</v>
      </c>
      <c r="O3167">
        <v>0</v>
      </c>
      <c r="P3167">
        <v>0</v>
      </c>
      <c r="Q3167">
        <v>0</v>
      </c>
      <c r="R3167" s="3">
        <v>0</v>
      </c>
      <c r="S3167" s="3">
        <v>1</v>
      </c>
      <c r="T3167">
        <v>9</v>
      </c>
      <c r="U3167">
        <v>48</v>
      </c>
      <c r="V3167" s="3">
        <v>0</v>
      </c>
      <c r="W3167" s="3">
        <v>1</v>
      </c>
      <c r="X3167">
        <v>0</v>
      </c>
      <c r="Y3167" t="s">
        <v>2499</v>
      </c>
    </row>
    <row r="3168" spans="1:25" hidden="1" x14ac:dyDescent="0.25">
      <c r="A3168" t="s">
        <v>55</v>
      </c>
      <c r="B3168" t="s">
        <v>2072</v>
      </c>
      <c r="C3168" t="s">
        <v>2379</v>
      </c>
      <c r="D3168" t="s">
        <v>27</v>
      </c>
      <c r="E3168" s="2">
        <v>46020</v>
      </c>
      <c r="F3168" s="2">
        <v>46020</v>
      </c>
      <c r="G3168" s="3">
        <v>62</v>
      </c>
      <c r="H3168" s="4" t="s">
        <v>28</v>
      </c>
      <c r="I3168">
        <v>33</v>
      </c>
      <c r="J3168">
        <v>0</v>
      </c>
      <c r="K3168">
        <v>0</v>
      </c>
      <c r="L3168" s="3">
        <v>1</v>
      </c>
      <c r="M3168" s="3">
        <v>0</v>
      </c>
      <c r="N3168">
        <v>1</v>
      </c>
      <c r="O3168">
        <v>0</v>
      </c>
      <c r="P3168">
        <v>0</v>
      </c>
      <c r="Q3168">
        <v>0</v>
      </c>
      <c r="R3168" s="3">
        <v>0</v>
      </c>
      <c r="S3168" s="3">
        <v>0</v>
      </c>
      <c r="T3168">
        <v>0</v>
      </c>
      <c r="U3168">
        <v>0</v>
      </c>
      <c r="V3168" s="3">
        <v>0</v>
      </c>
      <c r="W3168" s="3">
        <v>0</v>
      </c>
      <c r="X3168">
        <v>0</v>
      </c>
      <c r="Y3168" t="s">
        <v>2480</v>
      </c>
    </row>
    <row r="3169" spans="1:25" hidden="1" x14ac:dyDescent="0.25">
      <c r="A3169" t="s">
        <v>25</v>
      </c>
      <c r="B3169" t="s">
        <v>96</v>
      </c>
      <c r="C3169" t="s">
        <v>26</v>
      </c>
      <c r="D3169" t="s">
        <v>27</v>
      </c>
      <c r="E3169" s="2">
        <v>46020</v>
      </c>
      <c r="F3169" s="2">
        <v>46020</v>
      </c>
      <c r="G3169" s="3">
        <v>49</v>
      </c>
      <c r="H3169" s="4" t="s">
        <v>28</v>
      </c>
      <c r="I3169">
        <v>45</v>
      </c>
      <c r="J3169">
        <v>0</v>
      </c>
      <c r="K3169">
        <v>0</v>
      </c>
      <c r="L3169" s="3">
        <v>1</v>
      </c>
      <c r="M3169" s="3">
        <v>0</v>
      </c>
      <c r="N3169">
        <v>1</v>
      </c>
      <c r="O3169">
        <v>0</v>
      </c>
      <c r="P3169">
        <v>0</v>
      </c>
      <c r="Q3169">
        <v>0</v>
      </c>
      <c r="R3169" s="3">
        <v>0</v>
      </c>
      <c r="S3169" s="3">
        <v>0</v>
      </c>
      <c r="T3169">
        <v>0</v>
      </c>
      <c r="U3169">
        <v>0</v>
      </c>
      <c r="V3169" s="3">
        <v>0</v>
      </c>
      <c r="W3169" s="3">
        <v>0</v>
      </c>
      <c r="X3169">
        <v>0</v>
      </c>
      <c r="Y3169" t="s">
        <v>2500</v>
      </c>
    </row>
    <row r="3170" spans="1:25" hidden="1" x14ac:dyDescent="0.25">
      <c r="A3170" t="s">
        <v>29</v>
      </c>
      <c r="B3170" t="s">
        <v>100</v>
      </c>
      <c r="C3170" t="s">
        <v>95</v>
      </c>
      <c r="D3170" t="s">
        <v>27</v>
      </c>
      <c r="E3170" s="2">
        <v>46020</v>
      </c>
      <c r="F3170" s="2">
        <v>46020</v>
      </c>
      <c r="G3170" s="3">
        <v>32</v>
      </c>
      <c r="H3170" s="4" t="s">
        <v>28</v>
      </c>
      <c r="I3170">
        <v>26</v>
      </c>
      <c r="J3170">
        <v>0</v>
      </c>
      <c r="K3170">
        <v>0</v>
      </c>
      <c r="L3170" s="3">
        <v>1</v>
      </c>
      <c r="M3170" s="3">
        <v>0</v>
      </c>
      <c r="N3170">
        <v>0</v>
      </c>
      <c r="O3170">
        <v>0</v>
      </c>
      <c r="P3170">
        <v>5</v>
      </c>
      <c r="Q3170">
        <v>0</v>
      </c>
      <c r="R3170" s="3">
        <v>0</v>
      </c>
      <c r="S3170" s="3">
        <v>0</v>
      </c>
      <c r="T3170">
        <v>0</v>
      </c>
      <c r="U3170">
        <v>0</v>
      </c>
      <c r="V3170" s="3">
        <v>0</v>
      </c>
      <c r="W3170" s="3">
        <v>0</v>
      </c>
      <c r="X3170">
        <v>0</v>
      </c>
      <c r="Y3170" t="s">
        <v>2501</v>
      </c>
    </row>
    <row r="3171" spans="1:25" hidden="1" x14ac:dyDescent="0.25">
      <c r="A3171" t="s">
        <v>344</v>
      </c>
      <c r="B3171" t="s">
        <v>102</v>
      </c>
      <c r="C3171" t="s">
        <v>35</v>
      </c>
      <c r="D3171" t="s">
        <v>27</v>
      </c>
      <c r="E3171" s="2">
        <v>46020</v>
      </c>
      <c r="F3171" s="2">
        <v>46020</v>
      </c>
      <c r="G3171" s="3">
        <v>33</v>
      </c>
      <c r="H3171" s="4" t="s">
        <v>28</v>
      </c>
      <c r="I3171">
        <v>45</v>
      </c>
      <c r="J3171">
        <v>0</v>
      </c>
      <c r="K3171">
        <v>0</v>
      </c>
      <c r="L3171" s="3">
        <v>0</v>
      </c>
      <c r="M3171" s="3">
        <v>0</v>
      </c>
      <c r="N3171">
        <v>0</v>
      </c>
      <c r="O3171">
        <v>0</v>
      </c>
      <c r="P3171">
        <v>0</v>
      </c>
      <c r="Q3171">
        <v>0</v>
      </c>
      <c r="R3171" s="3">
        <v>0</v>
      </c>
      <c r="S3171" s="3">
        <v>0</v>
      </c>
      <c r="T3171">
        <v>0</v>
      </c>
      <c r="U3171">
        <v>0</v>
      </c>
      <c r="V3171" s="3">
        <v>0</v>
      </c>
      <c r="W3171" s="3">
        <v>0</v>
      </c>
      <c r="X3171">
        <v>0</v>
      </c>
      <c r="Y3171" t="s">
        <v>2453</v>
      </c>
    </row>
    <row r="3172" spans="1:25" hidden="1" x14ac:dyDescent="0.25">
      <c r="A3172" t="s">
        <v>31</v>
      </c>
      <c r="B3172" t="s">
        <v>104</v>
      </c>
      <c r="C3172" t="s">
        <v>32</v>
      </c>
      <c r="D3172" t="s">
        <v>27</v>
      </c>
      <c r="E3172" s="2">
        <v>46020</v>
      </c>
      <c r="F3172" s="2">
        <v>46020</v>
      </c>
      <c r="G3172" s="3">
        <v>47</v>
      </c>
      <c r="H3172" s="4" t="s">
        <v>28</v>
      </c>
      <c r="I3172">
        <v>84</v>
      </c>
      <c r="J3172">
        <v>0</v>
      </c>
      <c r="K3172">
        <v>0</v>
      </c>
      <c r="L3172" s="3">
        <v>0</v>
      </c>
      <c r="M3172" s="3">
        <v>0</v>
      </c>
      <c r="N3172">
        <v>0</v>
      </c>
      <c r="O3172">
        <v>0</v>
      </c>
      <c r="P3172">
        <v>0</v>
      </c>
      <c r="Q3172">
        <v>0</v>
      </c>
      <c r="R3172" s="3">
        <v>0</v>
      </c>
      <c r="S3172" s="3">
        <v>0</v>
      </c>
      <c r="T3172">
        <v>0</v>
      </c>
      <c r="U3172">
        <v>0</v>
      </c>
      <c r="V3172" s="3">
        <v>0</v>
      </c>
      <c r="W3172" s="3">
        <v>0</v>
      </c>
      <c r="X3172" s="37">
        <v>0</v>
      </c>
      <c r="Y3172" t="s">
        <v>2502</v>
      </c>
    </row>
    <row r="3173" spans="1:25" hidden="1" x14ac:dyDescent="0.25">
      <c r="A3173" t="s">
        <v>33</v>
      </c>
      <c r="B3173" t="s">
        <v>106</v>
      </c>
      <c r="C3173" t="s">
        <v>57</v>
      </c>
      <c r="D3173" t="s">
        <v>27</v>
      </c>
      <c r="E3173" s="2">
        <v>46020</v>
      </c>
      <c r="F3173" s="2">
        <v>46020</v>
      </c>
      <c r="G3173" s="3">
        <v>35</v>
      </c>
      <c r="H3173" s="4" t="s">
        <v>28</v>
      </c>
      <c r="I3173">
        <v>65</v>
      </c>
      <c r="J3173">
        <v>0</v>
      </c>
      <c r="K3173">
        <v>0</v>
      </c>
      <c r="L3173" s="3">
        <v>0</v>
      </c>
      <c r="M3173" s="3">
        <v>0</v>
      </c>
      <c r="N3173">
        <v>0</v>
      </c>
      <c r="O3173">
        <v>0</v>
      </c>
      <c r="P3173">
        <v>0</v>
      </c>
      <c r="Q3173">
        <v>20</v>
      </c>
      <c r="R3173" s="3">
        <v>0</v>
      </c>
      <c r="S3173" s="3">
        <v>0</v>
      </c>
      <c r="T3173">
        <v>0</v>
      </c>
      <c r="U3173">
        <v>0</v>
      </c>
      <c r="V3173" s="3">
        <v>0</v>
      </c>
      <c r="W3173" s="3">
        <v>0</v>
      </c>
      <c r="X3173">
        <v>0</v>
      </c>
      <c r="Y3173" t="s">
        <v>2503</v>
      </c>
    </row>
    <row r="3174" spans="1:25" hidden="1" x14ac:dyDescent="0.25">
      <c r="A3174" t="s">
        <v>38</v>
      </c>
      <c r="B3174" t="s">
        <v>108</v>
      </c>
      <c r="C3174" t="s">
        <v>27</v>
      </c>
      <c r="D3174" t="s">
        <v>27</v>
      </c>
      <c r="E3174" s="2">
        <v>46020</v>
      </c>
      <c r="F3174" s="2">
        <v>46020</v>
      </c>
      <c r="G3174" s="3">
        <v>51</v>
      </c>
      <c r="H3174" s="4" t="s">
        <v>28</v>
      </c>
      <c r="I3174">
        <v>75</v>
      </c>
      <c r="J3174">
        <v>0</v>
      </c>
      <c r="K3174">
        <v>0</v>
      </c>
      <c r="L3174" s="3">
        <v>1</v>
      </c>
      <c r="M3174" s="3">
        <v>0</v>
      </c>
      <c r="N3174">
        <v>0</v>
      </c>
      <c r="O3174">
        <v>0</v>
      </c>
      <c r="P3174">
        <v>0</v>
      </c>
      <c r="Q3174">
        <v>75</v>
      </c>
      <c r="R3174" s="3">
        <v>0</v>
      </c>
      <c r="S3174" s="3">
        <v>0</v>
      </c>
      <c r="T3174">
        <v>0</v>
      </c>
      <c r="U3174">
        <v>0</v>
      </c>
      <c r="V3174" s="3">
        <v>0</v>
      </c>
      <c r="W3174" s="3">
        <v>0</v>
      </c>
      <c r="X3174">
        <v>0</v>
      </c>
      <c r="Y3174" t="s">
        <v>2504</v>
      </c>
    </row>
    <row r="3175" spans="1:25" hidden="1" x14ac:dyDescent="0.25">
      <c r="A3175" t="s">
        <v>40</v>
      </c>
      <c r="B3175" t="s">
        <v>110</v>
      </c>
      <c r="C3175" t="s">
        <v>2426</v>
      </c>
      <c r="D3175" t="s">
        <v>27</v>
      </c>
      <c r="E3175" s="2">
        <v>46020</v>
      </c>
      <c r="F3175" s="2">
        <v>46020</v>
      </c>
      <c r="G3175" s="3">
        <v>188</v>
      </c>
      <c r="H3175" s="4" t="s">
        <v>28</v>
      </c>
      <c r="I3175">
        <v>63</v>
      </c>
      <c r="J3175">
        <v>0</v>
      </c>
      <c r="K3175">
        <v>0</v>
      </c>
      <c r="L3175" s="3">
        <v>1</v>
      </c>
      <c r="M3175" s="3">
        <v>0</v>
      </c>
      <c r="N3175">
        <v>1</v>
      </c>
      <c r="O3175">
        <v>0</v>
      </c>
      <c r="P3175">
        <v>0</v>
      </c>
      <c r="Q3175">
        <v>48</v>
      </c>
      <c r="R3175" s="3">
        <v>0</v>
      </c>
      <c r="S3175" s="3">
        <v>0</v>
      </c>
      <c r="T3175">
        <v>0</v>
      </c>
      <c r="U3175">
        <v>0</v>
      </c>
      <c r="V3175" s="3">
        <v>0</v>
      </c>
      <c r="W3175" s="3">
        <v>0</v>
      </c>
      <c r="X3175">
        <v>0</v>
      </c>
      <c r="Y3175" t="s">
        <v>2505</v>
      </c>
    </row>
    <row r="3176" spans="1:25" hidden="1" x14ac:dyDescent="0.25">
      <c r="A3176" t="s">
        <v>1454</v>
      </c>
      <c r="B3176" t="s">
        <v>1455</v>
      </c>
      <c r="C3176" t="s">
        <v>27</v>
      </c>
      <c r="D3176" t="s">
        <v>27</v>
      </c>
      <c r="E3176" s="2">
        <v>46020</v>
      </c>
      <c r="F3176" s="2">
        <v>46020</v>
      </c>
      <c r="G3176" s="3">
        <v>35</v>
      </c>
      <c r="H3176" s="4" t="s">
        <v>28</v>
      </c>
      <c r="I3176">
        <v>42</v>
      </c>
      <c r="J3176">
        <v>0</v>
      </c>
      <c r="K3176">
        <v>0</v>
      </c>
      <c r="L3176" s="3">
        <v>1</v>
      </c>
      <c r="M3176" s="3">
        <v>0</v>
      </c>
      <c r="N3176">
        <v>0</v>
      </c>
      <c r="O3176">
        <v>0</v>
      </c>
      <c r="P3176">
        <v>0</v>
      </c>
      <c r="Q3176">
        <v>42</v>
      </c>
      <c r="R3176" s="3">
        <v>0</v>
      </c>
      <c r="S3176" s="3">
        <v>0</v>
      </c>
      <c r="T3176">
        <v>0</v>
      </c>
      <c r="U3176">
        <v>0</v>
      </c>
      <c r="V3176" s="3">
        <v>0</v>
      </c>
      <c r="W3176" s="3">
        <v>0</v>
      </c>
      <c r="X3176">
        <v>0</v>
      </c>
      <c r="Y3176" t="s">
        <v>2506</v>
      </c>
    </row>
    <row r="3177" spans="1:25" hidden="1" x14ac:dyDescent="0.25">
      <c r="A3177" t="s">
        <v>41</v>
      </c>
      <c r="B3177" t="s">
        <v>112</v>
      </c>
      <c r="C3177" t="s">
        <v>42</v>
      </c>
      <c r="D3177" t="s">
        <v>27</v>
      </c>
      <c r="E3177" s="2">
        <v>46020</v>
      </c>
      <c r="F3177" s="2">
        <v>46020</v>
      </c>
      <c r="G3177" s="3">
        <v>55</v>
      </c>
      <c r="H3177" s="4" t="s">
        <v>28</v>
      </c>
      <c r="I3177">
        <v>41</v>
      </c>
      <c r="J3177">
        <v>0</v>
      </c>
      <c r="K3177">
        <v>0</v>
      </c>
      <c r="L3177" s="3">
        <v>1</v>
      </c>
      <c r="M3177" s="3">
        <v>0</v>
      </c>
      <c r="N3177">
        <v>0</v>
      </c>
      <c r="O3177">
        <v>0</v>
      </c>
      <c r="P3177">
        <v>0</v>
      </c>
      <c r="Q3177">
        <v>4</v>
      </c>
      <c r="R3177" s="3">
        <v>0</v>
      </c>
      <c r="S3177" s="3">
        <v>0</v>
      </c>
      <c r="T3177">
        <v>0</v>
      </c>
      <c r="U3177">
        <v>0</v>
      </c>
      <c r="V3177" s="3">
        <v>0</v>
      </c>
      <c r="W3177" s="3">
        <v>0</v>
      </c>
      <c r="X3177">
        <v>0</v>
      </c>
      <c r="Y3177" t="s">
        <v>2507</v>
      </c>
    </row>
    <row r="3178" spans="1:25" hidden="1" x14ac:dyDescent="0.25">
      <c r="A3178" t="s">
        <v>43</v>
      </c>
      <c r="B3178" t="s">
        <v>114</v>
      </c>
      <c r="C3178" t="s">
        <v>44</v>
      </c>
      <c r="D3178" t="s">
        <v>27</v>
      </c>
      <c r="E3178" s="2">
        <v>46020</v>
      </c>
      <c r="F3178" s="2">
        <v>46020</v>
      </c>
      <c r="G3178" s="3">
        <v>20</v>
      </c>
      <c r="H3178" s="4" t="s">
        <v>28</v>
      </c>
      <c r="I3178">
        <v>30</v>
      </c>
      <c r="J3178">
        <v>0</v>
      </c>
      <c r="K3178">
        <v>0</v>
      </c>
      <c r="L3178" s="3">
        <v>0</v>
      </c>
      <c r="M3178" s="3">
        <v>0</v>
      </c>
      <c r="N3178">
        <v>0</v>
      </c>
      <c r="O3178">
        <v>0</v>
      </c>
      <c r="P3178">
        <v>0</v>
      </c>
      <c r="Q3178">
        <v>0</v>
      </c>
      <c r="R3178" s="3">
        <v>0</v>
      </c>
      <c r="S3178" s="3">
        <v>0</v>
      </c>
      <c r="T3178">
        <v>0</v>
      </c>
      <c r="U3178">
        <v>0</v>
      </c>
      <c r="V3178" s="3">
        <v>0</v>
      </c>
      <c r="W3178" s="3">
        <v>0</v>
      </c>
      <c r="X3178">
        <v>0</v>
      </c>
      <c r="Y3178" t="s">
        <v>2508</v>
      </c>
    </row>
    <row r="3179" spans="1:25" hidden="1" x14ac:dyDescent="0.25">
      <c r="A3179" t="s">
        <v>2118</v>
      </c>
      <c r="B3179" t="s">
        <v>2119</v>
      </c>
      <c r="C3179" t="s">
        <v>27</v>
      </c>
      <c r="D3179" t="s">
        <v>27</v>
      </c>
      <c r="E3179" s="2">
        <v>46020</v>
      </c>
      <c r="F3179" s="2">
        <v>46020</v>
      </c>
      <c r="G3179" s="3">
        <v>30</v>
      </c>
      <c r="H3179" s="4" t="s">
        <v>28</v>
      </c>
      <c r="I3179">
        <v>48</v>
      </c>
      <c r="J3179">
        <v>0</v>
      </c>
      <c r="K3179">
        <v>0</v>
      </c>
      <c r="L3179" s="3">
        <v>1</v>
      </c>
      <c r="M3179" s="3">
        <v>0</v>
      </c>
      <c r="N3179">
        <v>0</v>
      </c>
      <c r="O3179">
        <v>0</v>
      </c>
      <c r="P3179">
        <v>0</v>
      </c>
      <c r="Q3179">
        <v>48</v>
      </c>
      <c r="R3179" s="3">
        <v>0</v>
      </c>
      <c r="S3179" s="3">
        <v>0</v>
      </c>
      <c r="T3179">
        <v>0</v>
      </c>
      <c r="U3179">
        <v>0</v>
      </c>
      <c r="V3179" s="3">
        <v>0</v>
      </c>
      <c r="W3179" s="3">
        <v>0</v>
      </c>
      <c r="X3179">
        <v>0</v>
      </c>
      <c r="Y3179" t="s">
        <v>2509</v>
      </c>
    </row>
    <row r="3180" spans="1:25" hidden="1" x14ac:dyDescent="0.25">
      <c r="A3180" t="s">
        <v>45</v>
      </c>
      <c r="B3180" t="s">
        <v>116</v>
      </c>
      <c r="C3180" t="s">
        <v>46</v>
      </c>
      <c r="D3180" t="s">
        <v>27</v>
      </c>
      <c r="E3180" s="2">
        <v>46020</v>
      </c>
      <c r="F3180" s="2">
        <v>46020</v>
      </c>
      <c r="G3180" s="3">
        <v>52</v>
      </c>
      <c r="H3180" s="4" t="s">
        <v>28</v>
      </c>
      <c r="I3180">
        <v>64</v>
      </c>
      <c r="J3180">
        <v>0</v>
      </c>
      <c r="K3180">
        <v>0</v>
      </c>
      <c r="L3180" s="3">
        <v>1</v>
      </c>
      <c r="M3180" s="3">
        <v>0</v>
      </c>
      <c r="N3180">
        <v>0</v>
      </c>
      <c r="O3180">
        <v>0</v>
      </c>
      <c r="P3180">
        <v>0</v>
      </c>
      <c r="Q3180">
        <v>12</v>
      </c>
      <c r="R3180" s="3">
        <v>0</v>
      </c>
      <c r="S3180" s="3">
        <v>0</v>
      </c>
      <c r="T3180">
        <v>0</v>
      </c>
      <c r="U3180">
        <v>0</v>
      </c>
      <c r="V3180" s="3">
        <v>0</v>
      </c>
      <c r="W3180" s="3">
        <v>0</v>
      </c>
      <c r="X3180">
        <v>0</v>
      </c>
      <c r="Y3180" t="s">
        <v>2510</v>
      </c>
    </row>
    <row r="3181" spans="1:25" hidden="1" x14ac:dyDescent="0.25">
      <c r="A3181" t="s">
        <v>47</v>
      </c>
      <c r="B3181" t="s">
        <v>137</v>
      </c>
      <c r="C3181" t="s">
        <v>2310</v>
      </c>
      <c r="D3181" t="s">
        <v>27</v>
      </c>
      <c r="E3181" s="2">
        <v>46020</v>
      </c>
      <c r="F3181" s="2">
        <v>46020</v>
      </c>
      <c r="G3181" s="5">
        <v>2185</v>
      </c>
      <c r="H3181" s="4" t="s">
        <v>28</v>
      </c>
      <c r="I3181">
        <v>38</v>
      </c>
      <c r="J3181">
        <v>0</v>
      </c>
      <c r="K3181">
        <v>0</v>
      </c>
      <c r="L3181" s="3">
        <v>0</v>
      </c>
      <c r="M3181" s="3">
        <v>0</v>
      </c>
      <c r="N3181">
        <v>0</v>
      </c>
      <c r="O3181">
        <v>0</v>
      </c>
      <c r="P3181">
        <v>0</v>
      </c>
      <c r="Q3181">
        <v>22</v>
      </c>
      <c r="R3181" s="3">
        <v>0</v>
      </c>
      <c r="S3181" s="3">
        <v>0</v>
      </c>
      <c r="T3181">
        <v>0</v>
      </c>
      <c r="U3181">
        <v>0</v>
      </c>
      <c r="V3181" s="3">
        <v>0</v>
      </c>
      <c r="W3181" s="3">
        <v>0</v>
      </c>
      <c r="X3181">
        <v>2</v>
      </c>
      <c r="Y3181" t="s">
        <v>2511</v>
      </c>
    </row>
    <row r="3182" spans="1:25" hidden="1" x14ac:dyDescent="0.25">
      <c r="A3182" t="s">
        <v>54</v>
      </c>
      <c r="B3182" t="s">
        <v>122</v>
      </c>
      <c r="C3182" t="s">
        <v>52</v>
      </c>
      <c r="D3182" t="s">
        <v>27</v>
      </c>
      <c r="E3182" s="2">
        <v>46020</v>
      </c>
      <c r="F3182" s="2">
        <v>46020</v>
      </c>
      <c r="G3182" s="3">
        <v>40</v>
      </c>
      <c r="H3182" s="4" t="s">
        <v>28</v>
      </c>
      <c r="I3182">
        <v>44</v>
      </c>
      <c r="J3182">
        <v>0</v>
      </c>
      <c r="K3182">
        <v>0</v>
      </c>
      <c r="L3182" s="3">
        <v>0</v>
      </c>
      <c r="M3182" s="3">
        <v>0</v>
      </c>
      <c r="N3182">
        <v>0</v>
      </c>
      <c r="O3182">
        <v>0</v>
      </c>
      <c r="P3182">
        <v>0</v>
      </c>
      <c r="Q3182">
        <v>2</v>
      </c>
      <c r="R3182" s="3">
        <v>0</v>
      </c>
      <c r="S3182" s="3">
        <v>0</v>
      </c>
      <c r="T3182">
        <v>0</v>
      </c>
      <c r="U3182">
        <v>0</v>
      </c>
      <c r="V3182" s="3">
        <v>0</v>
      </c>
      <c r="W3182" s="3">
        <v>0</v>
      </c>
      <c r="X3182">
        <v>1</v>
      </c>
      <c r="Y3182" t="s">
        <v>2494</v>
      </c>
    </row>
    <row r="3183" spans="1:25" hidden="1" x14ac:dyDescent="0.25">
      <c r="A3183" t="s">
        <v>27</v>
      </c>
      <c r="B3183" t="s">
        <v>118</v>
      </c>
      <c r="C3183" t="s">
        <v>50</v>
      </c>
      <c r="D3183" t="s">
        <v>27</v>
      </c>
      <c r="E3183" s="2">
        <v>46020</v>
      </c>
      <c r="F3183" s="2">
        <v>46020</v>
      </c>
      <c r="G3183" s="3">
        <v>31</v>
      </c>
      <c r="H3183" s="4" t="s">
        <v>28</v>
      </c>
      <c r="I3183">
        <v>25</v>
      </c>
      <c r="J3183">
        <v>0</v>
      </c>
      <c r="K3183">
        <v>0</v>
      </c>
      <c r="L3183" s="3">
        <v>1</v>
      </c>
      <c r="M3183" s="3">
        <v>1</v>
      </c>
      <c r="N3183">
        <v>0</v>
      </c>
      <c r="O3183">
        <v>0</v>
      </c>
      <c r="P3183">
        <v>0</v>
      </c>
      <c r="Q3183">
        <v>25</v>
      </c>
      <c r="R3183" s="3">
        <v>0</v>
      </c>
      <c r="S3183" s="3">
        <v>0</v>
      </c>
      <c r="T3183">
        <v>0</v>
      </c>
      <c r="U3183">
        <v>0</v>
      </c>
      <c r="V3183" s="3">
        <v>0</v>
      </c>
      <c r="W3183" s="3">
        <v>0</v>
      </c>
      <c r="X3183">
        <v>0</v>
      </c>
      <c r="Y3183" t="s">
        <v>2512</v>
      </c>
    </row>
    <row r="3184" spans="1:25" hidden="1" x14ac:dyDescent="0.25">
      <c r="A3184" t="s">
        <v>48</v>
      </c>
      <c r="B3184" t="s">
        <v>149</v>
      </c>
      <c r="C3184" t="s">
        <v>37</v>
      </c>
      <c r="D3184" t="s">
        <v>27</v>
      </c>
      <c r="E3184" s="2">
        <v>46020</v>
      </c>
      <c r="F3184" s="2">
        <v>46020</v>
      </c>
      <c r="G3184" s="3">
        <v>34</v>
      </c>
      <c r="H3184" s="4" t="s">
        <v>28</v>
      </c>
      <c r="I3184">
        <v>75</v>
      </c>
      <c r="J3184">
        <v>0</v>
      </c>
      <c r="K3184">
        <v>0</v>
      </c>
      <c r="L3184" s="3">
        <v>1</v>
      </c>
      <c r="M3184" s="3">
        <v>0</v>
      </c>
      <c r="N3184">
        <v>0</v>
      </c>
      <c r="O3184">
        <v>0</v>
      </c>
      <c r="P3184">
        <v>0</v>
      </c>
      <c r="Q3184">
        <v>10</v>
      </c>
      <c r="R3184" s="3">
        <v>0</v>
      </c>
      <c r="S3184" s="3">
        <v>0</v>
      </c>
      <c r="T3184">
        <v>0</v>
      </c>
      <c r="U3184">
        <v>0</v>
      </c>
      <c r="V3184" s="3">
        <v>0</v>
      </c>
      <c r="W3184" s="3">
        <v>0</v>
      </c>
      <c r="X3184">
        <v>0</v>
      </c>
      <c r="Y3184" t="s">
        <v>2513</v>
      </c>
    </row>
    <row r="3185" spans="1:25" hidden="1" x14ac:dyDescent="0.25">
      <c r="A3185" t="s">
        <v>58</v>
      </c>
      <c r="B3185" t="s">
        <v>144</v>
      </c>
      <c r="C3185" t="s">
        <v>2448</v>
      </c>
      <c r="D3185" t="s">
        <v>27</v>
      </c>
      <c r="E3185" s="2">
        <v>46018</v>
      </c>
      <c r="F3185" s="2">
        <v>46018</v>
      </c>
      <c r="G3185" s="3">
        <v>121</v>
      </c>
      <c r="H3185" s="4" t="s">
        <v>2466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2465</v>
      </c>
    </row>
    <row r="3186" spans="1:25" hidden="1" x14ac:dyDescent="0.25">
      <c r="A3186" t="s">
        <v>58</v>
      </c>
      <c r="B3186" t="s">
        <v>144</v>
      </c>
      <c r="C3186" t="s">
        <v>2448</v>
      </c>
      <c r="D3186" t="s">
        <v>27</v>
      </c>
      <c r="E3186" s="2">
        <v>46019</v>
      </c>
      <c r="F3186" s="2">
        <v>46019</v>
      </c>
      <c r="G3186" s="3">
        <v>121</v>
      </c>
      <c r="H3186" s="4" t="s">
        <v>2466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2465</v>
      </c>
    </row>
    <row r="3187" spans="1:25" hidden="1" x14ac:dyDescent="0.25">
      <c r="A3187" t="s">
        <v>51</v>
      </c>
      <c r="B3187" t="s">
        <v>120</v>
      </c>
      <c r="C3187" t="s">
        <v>27</v>
      </c>
      <c r="D3187" t="s">
        <v>27</v>
      </c>
      <c r="E3187" s="2">
        <v>46020</v>
      </c>
      <c r="F3187" s="2">
        <v>46020</v>
      </c>
      <c r="G3187" s="3">
        <v>60</v>
      </c>
      <c r="H3187" t="s">
        <v>1256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2450</v>
      </c>
    </row>
    <row r="3188" spans="1:25" hidden="1" x14ac:dyDescent="0.25">
      <c r="A3188" t="s">
        <v>36</v>
      </c>
      <c r="B3188" t="s">
        <v>106</v>
      </c>
      <c r="C3188" t="s">
        <v>27</v>
      </c>
      <c r="D3188" t="s">
        <v>27</v>
      </c>
      <c r="E3188" s="2">
        <v>46020</v>
      </c>
      <c r="F3188" s="2">
        <v>46020</v>
      </c>
      <c r="G3188" s="3">
        <v>37</v>
      </c>
      <c r="H3188" s="4" t="s">
        <v>1395</v>
      </c>
      <c r="I3188">
        <v>0</v>
      </c>
      <c r="J3188">
        <v>0</v>
      </c>
      <c r="K3188">
        <v>0</v>
      </c>
      <c r="L3188" s="3">
        <v>0</v>
      </c>
      <c r="M3188" s="3">
        <v>0</v>
      </c>
      <c r="N3188">
        <v>0</v>
      </c>
      <c r="O3188">
        <v>0</v>
      </c>
      <c r="P3188">
        <v>0</v>
      </c>
      <c r="Q3188">
        <v>0</v>
      </c>
      <c r="R3188" s="3">
        <v>0</v>
      </c>
      <c r="S3188" s="3">
        <v>0</v>
      </c>
      <c r="T3188">
        <v>0</v>
      </c>
      <c r="U3188">
        <v>0</v>
      </c>
      <c r="V3188" s="3">
        <v>0</v>
      </c>
      <c r="W3188" s="3">
        <v>0</v>
      </c>
      <c r="X3188" s="3">
        <v>0</v>
      </c>
      <c r="Y3188" t="s">
        <v>2450</v>
      </c>
    </row>
    <row r="3189" spans="1:25" hidden="1" x14ac:dyDescent="0.25">
      <c r="A3189" t="s">
        <v>25</v>
      </c>
      <c r="B3189" t="s">
        <v>96</v>
      </c>
      <c r="C3189" t="s">
        <v>26</v>
      </c>
      <c r="D3189" t="s">
        <v>27</v>
      </c>
      <c r="E3189" s="2">
        <v>46021</v>
      </c>
      <c r="F3189" s="2">
        <v>46021</v>
      </c>
      <c r="G3189" s="3">
        <v>40</v>
      </c>
      <c r="H3189" t="s">
        <v>28</v>
      </c>
      <c r="I3189">
        <v>50</v>
      </c>
      <c r="J3189">
        <v>0</v>
      </c>
      <c r="K3189">
        <v>0</v>
      </c>
      <c r="L3189" s="3">
        <v>1</v>
      </c>
      <c r="M3189" s="3">
        <v>0</v>
      </c>
      <c r="N3189">
        <v>1</v>
      </c>
      <c r="O3189">
        <v>0</v>
      </c>
      <c r="P3189">
        <v>0</v>
      </c>
      <c r="Q3189">
        <v>0</v>
      </c>
      <c r="R3189" s="3">
        <v>0</v>
      </c>
      <c r="S3189" s="3">
        <v>0</v>
      </c>
      <c r="T3189">
        <v>0</v>
      </c>
      <c r="U3189">
        <v>0</v>
      </c>
      <c r="V3189" s="3">
        <v>0</v>
      </c>
      <c r="W3189" s="3">
        <v>0</v>
      </c>
      <c r="X3189">
        <v>0</v>
      </c>
      <c r="Y3189" t="s">
        <v>2515</v>
      </c>
    </row>
    <row r="3190" spans="1:25" ht="14.25" hidden="1" customHeight="1" x14ac:dyDescent="0.25">
      <c r="A3190" t="s">
        <v>29</v>
      </c>
      <c r="B3190" t="s">
        <v>100</v>
      </c>
      <c r="C3190" t="s">
        <v>95</v>
      </c>
      <c r="D3190" t="s">
        <v>27</v>
      </c>
      <c r="E3190" s="2">
        <v>46021</v>
      </c>
      <c r="F3190" s="2">
        <v>46021</v>
      </c>
      <c r="G3190" s="3">
        <v>40</v>
      </c>
      <c r="H3190" t="s">
        <v>28</v>
      </c>
      <c r="I3190">
        <v>71</v>
      </c>
      <c r="J3190">
        <v>0</v>
      </c>
      <c r="K3190">
        <v>0</v>
      </c>
      <c r="L3190" s="3">
        <v>0</v>
      </c>
      <c r="M3190" s="3">
        <v>0</v>
      </c>
      <c r="N3190">
        <v>0</v>
      </c>
      <c r="O3190">
        <v>0</v>
      </c>
      <c r="P3190">
        <v>0</v>
      </c>
      <c r="Q3190">
        <v>14</v>
      </c>
      <c r="R3190" s="3">
        <v>0</v>
      </c>
      <c r="S3190" s="3">
        <v>0</v>
      </c>
      <c r="T3190">
        <v>0</v>
      </c>
      <c r="U3190">
        <v>0</v>
      </c>
      <c r="V3190" s="3">
        <v>0</v>
      </c>
      <c r="W3190" s="3">
        <v>0</v>
      </c>
      <c r="X3190">
        <v>0</v>
      </c>
      <c r="Y3190" t="s">
        <v>2516</v>
      </c>
    </row>
    <row r="3191" spans="1:25" hidden="1" x14ac:dyDescent="0.25">
      <c r="A3191" t="s">
        <v>344</v>
      </c>
      <c r="B3191" t="s">
        <v>102</v>
      </c>
      <c r="C3191" t="s">
        <v>35</v>
      </c>
      <c r="D3191" t="s">
        <v>27</v>
      </c>
      <c r="E3191" s="2">
        <v>46021</v>
      </c>
      <c r="F3191" s="2">
        <v>46021</v>
      </c>
      <c r="G3191" s="3">
        <v>33</v>
      </c>
      <c r="H3191" s="4" t="s">
        <v>28</v>
      </c>
      <c r="I3191">
        <v>45</v>
      </c>
      <c r="J3191">
        <v>0</v>
      </c>
      <c r="K3191">
        <v>0</v>
      </c>
      <c r="L3191" s="3">
        <v>0</v>
      </c>
      <c r="M3191" s="3">
        <v>0</v>
      </c>
      <c r="N3191">
        <v>0</v>
      </c>
      <c r="O3191">
        <v>0</v>
      </c>
      <c r="P3191">
        <v>0</v>
      </c>
      <c r="Q3191">
        <v>0</v>
      </c>
      <c r="R3191" s="3">
        <v>0</v>
      </c>
      <c r="S3191" s="3">
        <v>0</v>
      </c>
      <c r="T3191">
        <v>0</v>
      </c>
      <c r="U3191">
        <v>0</v>
      </c>
      <c r="V3191" s="3">
        <v>0</v>
      </c>
      <c r="W3191" s="3">
        <v>0</v>
      </c>
      <c r="X3191">
        <v>0</v>
      </c>
      <c r="Y3191" t="s">
        <v>2453</v>
      </c>
    </row>
    <row r="3192" spans="1:25" hidden="1" x14ac:dyDescent="0.25">
      <c r="A3192" t="s">
        <v>31</v>
      </c>
      <c r="B3192" t="s">
        <v>104</v>
      </c>
      <c r="C3192" t="s">
        <v>32</v>
      </c>
      <c r="D3192" t="s">
        <v>27</v>
      </c>
      <c r="E3192" s="2">
        <v>46021</v>
      </c>
      <c r="F3192" s="2">
        <v>46021</v>
      </c>
      <c r="G3192" s="3">
        <v>35</v>
      </c>
      <c r="H3192" t="s">
        <v>28</v>
      </c>
      <c r="I3192">
        <v>24</v>
      </c>
      <c r="J3192">
        <v>0</v>
      </c>
      <c r="K3192">
        <v>0</v>
      </c>
      <c r="L3192" s="3">
        <v>0</v>
      </c>
      <c r="M3192" s="3">
        <v>0</v>
      </c>
      <c r="N3192">
        <v>0</v>
      </c>
      <c r="O3192">
        <v>0</v>
      </c>
      <c r="P3192">
        <v>0</v>
      </c>
      <c r="Q3192">
        <v>0</v>
      </c>
      <c r="R3192" s="3">
        <v>0</v>
      </c>
      <c r="S3192" s="3">
        <v>0</v>
      </c>
      <c r="T3192">
        <v>0</v>
      </c>
      <c r="U3192">
        <v>0</v>
      </c>
      <c r="V3192" s="3">
        <v>0</v>
      </c>
      <c r="W3192" s="3">
        <v>0</v>
      </c>
      <c r="X3192" s="37">
        <v>0</v>
      </c>
      <c r="Y3192" t="s">
        <v>2517</v>
      </c>
    </row>
    <row r="3193" spans="1:25" hidden="1" x14ac:dyDescent="0.25">
      <c r="A3193" t="s">
        <v>38</v>
      </c>
      <c r="B3193" t="s">
        <v>108</v>
      </c>
      <c r="C3193" t="s">
        <v>27</v>
      </c>
      <c r="D3193" t="s">
        <v>27</v>
      </c>
      <c r="E3193" s="2">
        <v>46021</v>
      </c>
      <c r="F3193" s="2">
        <v>46021</v>
      </c>
      <c r="G3193" s="3">
        <v>56</v>
      </c>
      <c r="H3193" t="s">
        <v>28</v>
      </c>
      <c r="I3193">
        <v>33</v>
      </c>
      <c r="J3193">
        <v>0</v>
      </c>
      <c r="K3193">
        <v>0</v>
      </c>
      <c r="L3193" s="3">
        <v>1</v>
      </c>
      <c r="M3193" s="3">
        <v>0</v>
      </c>
      <c r="N3193">
        <v>0</v>
      </c>
      <c r="O3193">
        <v>0</v>
      </c>
      <c r="P3193">
        <v>0</v>
      </c>
      <c r="Q3193">
        <v>33</v>
      </c>
      <c r="R3193" s="3">
        <v>0</v>
      </c>
      <c r="S3193" s="3">
        <v>0</v>
      </c>
      <c r="T3193">
        <v>0</v>
      </c>
      <c r="U3193">
        <v>0</v>
      </c>
      <c r="V3193" s="3">
        <v>0</v>
      </c>
      <c r="W3193" s="3">
        <v>0</v>
      </c>
      <c r="X3193">
        <v>0</v>
      </c>
      <c r="Y3193" t="s">
        <v>2518</v>
      </c>
    </row>
    <row r="3194" spans="1:25" hidden="1" x14ac:dyDescent="0.25">
      <c r="A3194" t="s">
        <v>58</v>
      </c>
      <c r="B3194" t="s">
        <v>144</v>
      </c>
      <c r="C3194" t="s">
        <v>2514</v>
      </c>
      <c r="D3194" t="s">
        <v>27</v>
      </c>
      <c r="E3194" s="2">
        <v>46018</v>
      </c>
      <c r="F3194" s="2">
        <v>46018</v>
      </c>
      <c r="G3194" s="3">
        <v>121</v>
      </c>
      <c r="H3194" s="4" t="s">
        <v>2466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2465</v>
      </c>
    </row>
    <row r="3195" spans="1:25" hidden="1" x14ac:dyDescent="0.25">
      <c r="A3195" t="s">
        <v>58</v>
      </c>
      <c r="B3195" t="s">
        <v>144</v>
      </c>
      <c r="C3195" t="s">
        <v>2514</v>
      </c>
      <c r="D3195" t="s">
        <v>27</v>
      </c>
      <c r="E3195" s="2">
        <v>46019</v>
      </c>
      <c r="F3195" s="2">
        <v>46019</v>
      </c>
      <c r="G3195" s="3">
        <v>121</v>
      </c>
      <c r="H3195" s="4" t="s">
        <v>2466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2465</v>
      </c>
    </row>
    <row r="3196" spans="1:25" hidden="1" x14ac:dyDescent="0.25">
      <c r="A3196" t="s">
        <v>40</v>
      </c>
      <c r="B3196" t="s">
        <v>110</v>
      </c>
      <c r="C3196" t="s">
        <v>2514</v>
      </c>
      <c r="D3196" t="s">
        <v>27</v>
      </c>
      <c r="E3196" s="2">
        <v>46021</v>
      </c>
      <c r="F3196" s="2">
        <v>46021</v>
      </c>
      <c r="G3196" s="3">
        <v>35</v>
      </c>
      <c r="H3196" t="s">
        <v>28</v>
      </c>
      <c r="I3196">
        <v>86</v>
      </c>
      <c r="J3196">
        <v>0</v>
      </c>
      <c r="K3196">
        <v>0</v>
      </c>
      <c r="L3196" s="3">
        <v>1</v>
      </c>
      <c r="M3196" s="3">
        <v>0</v>
      </c>
      <c r="N3196">
        <v>1</v>
      </c>
      <c r="O3196">
        <v>0</v>
      </c>
      <c r="P3196">
        <v>0</v>
      </c>
      <c r="Q3196">
        <v>48</v>
      </c>
      <c r="R3196" s="3">
        <v>0</v>
      </c>
      <c r="S3196" s="3">
        <v>0</v>
      </c>
      <c r="T3196">
        <v>0</v>
      </c>
      <c r="U3196">
        <v>0</v>
      </c>
      <c r="V3196" s="3">
        <v>0</v>
      </c>
      <c r="W3196" s="3">
        <v>0</v>
      </c>
      <c r="X3196">
        <v>0</v>
      </c>
      <c r="Y3196" t="s">
        <v>2519</v>
      </c>
    </row>
    <row r="3197" spans="1:25" hidden="1" x14ac:dyDescent="0.25">
      <c r="A3197" t="s">
        <v>1454</v>
      </c>
      <c r="B3197" t="s">
        <v>1455</v>
      </c>
      <c r="C3197" t="s">
        <v>27</v>
      </c>
      <c r="D3197" t="s">
        <v>27</v>
      </c>
      <c r="E3197" s="2">
        <v>46021</v>
      </c>
      <c r="F3197" s="2">
        <v>46021</v>
      </c>
      <c r="G3197" s="3">
        <v>42</v>
      </c>
      <c r="H3197" t="s">
        <v>28</v>
      </c>
      <c r="I3197">
        <v>30</v>
      </c>
      <c r="J3197">
        <v>0</v>
      </c>
      <c r="K3197">
        <v>0</v>
      </c>
      <c r="L3197" s="3">
        <v>1</v>
      </c>
      <c r="M3197" s="3">
        <v>0</v>
      </c>
      <c r="N3197">
        <v>0</v>
      </c>
      <c r="O3197">
        <v>0</v>
      </c>
      <c r="P3197">
        <v>0</v>
      </c>
      <c r="Q3197">
        <v>30</v>
      </c>
      <c r="R3197" s="3">
        <v>0</v>
      </c>
      <c r="S3197" s="3">
        <v>0</v>
      </c>
      <c r="T3197">
        <v>0</v>
      </c>
      <c r="U3197">
        <v>0</v>
      </c>
      <c r="V3197" s="3">
        <v>0</v>
      </c>
      <c r="W3197" s="3">
        <v>0</v>
      </c>
      <c r="X3197">
        <v>0</v>
      </c>
      <c r="Y3197" t="s">
        <v>2520</v>
      </c>
    </row>
    <row r="3198" spans="1:25" hidden="1" x14ac:dyDescent="0.25">
      <c r="A3198" t="s">
        <v>41</v>
      </c>
      <c r="B3198" t="s">
        <v>112</v>
      </c>
      <c r="C3198" t="s">
        <v>42</v>
      </c>
      <c r="D3198" t="s">
        <v>27</v>
      </c>
      <c r="E3198" s="2">
        <v>46021</v>
      </c>
      <c r="F3198" s="2">
        <v>46021</v>
      </c>
      <c r="G3198" s="3">
        <v>38</v>
      </c>
      <c r="H3198" t="s">
        <v>28</v>
      </c>
      <c r="I3198">
        <v>40</v>
      </c>
      <c r="J3198">
        <v>0</v>
      </c>
      <c r="K3198">
        <v>0</v>
      </c>
      <c r="L3198" s="3">
        <v>1</v>
      </c>
      <c r="M3198" s="3">
        <v>0</v>
      </c>
      <c r="N3198">
        <v>0</v>
      </c>
      <c r="O3198">
        <v>0</v>
      </c>
      <c r="P3198">
        <v>0</v>
      </c>
      <c r="Q3198">
        <v>1</v>
      </c>
      <c r="R3198" s="3">
        <v>0</v>
      </c>
      <c r="S3198" s="3">
        <v>0</v>
      </c>
      <c r="T3198">
        <v>0</v>
      </c>
      <c r="U3198">
        <v>0</v>
      </c>
      <c r="V3198" s="3">
        <v>0</v>
      </c>
      <c r="W3198" s="3">
        <v>0</v>
      </c>
      <c r="X3198">
        <v>0</v>
      </c>
      <c r="Y3198" t="s">
        <v>2521</v>
      </c>
    </row>
    <row r="3199" spans="1:25" hidden="1" x14ac:dyDescent="0.25">
      <c r="A3199" t="s">
        <v>43</v>
      </c>
      <c r="B3199" t="s">
        <v>114</v>
      </c>
      <c r="C3199" t="s">
        <v>44</v>
      </c>
      <c r="D3199" t="s">
        <v>27</v>
      </c>
      <c r="E3199" s="2">
        <v>46021</v>
      </c>
      <c r="F3199" s="2">
        <v>46021</v>
      </c>
      <c r="G3199" s="3">
        <v>41</v>
      </c>
      <c r="H3199" t="s">
        <v>28</v>
      </c>
      <c r="I3199">
        <v>63</v>
      </c>
      <c r="J3199">
        <v>0</v>
      </c>
      <c r="K3199">
        <v>0</v>
      </c>
      <c r="L3199" s="3">
        <v>1</v>
      </c>
      <c r="M3199" s="3">
        <v>0</v>
      </c>
      <c r="N3199">
        <v>0</v>
      </c>
      <c r="O3199">
        <v>0</v>
      </c>
      <c r="P3199">
        <v>0</v>
      </c>
      <c r="Q3199">
        <v>0</v>
      </c>
      <c r="R3199" s="3">
        <v>0</v>
      </c>
      <c r="S3199" s="3">
        <v>0</v>
      </c>
      <c r="T3199">
        <v>0</v>
      </c>
      <c r="U3199">
        <v>0</v>
      </c>
      <c r="V3199" s="3">
        <v>0</v>
      </c>
      <c r="W3199" s="3">
        <v>0</v>
      </c>
      <c r="X3199">
        <v>0</v>
      </c>
      <c r="Y3199" t="s">
        <v>2522</v>
      </c>
    </row>
    <row r="3200" spans="1:25" hidden="1" x14ac:dyDescent="0.25">
      <c r="A3200" t="s">
        <v>45</v>
      </c>
      <c r="B3200" t="s">
        <v>116</v>
      </c>
      <c r="C3200" t="s">
        <v>46</v>
      </c>
      <c r="D3200" t="s">
        <v>27</v>
      </c>
      <c r="E3200" s="2">
        <v>46021</v>
      </c>
      <c r="F3200" s="2">
        <v>46021</v>
      </c>
      <c r="G3200" s="3">
        <v>48</v>
      </c>
      <c r="H3200" t="s">
        <v>28</v>
      </c>
      <c r="I3200">
        <v>34</v>
      </c>
      <c r="J3200">
        <v>0</v>
      </c>
      <c r="K3200">
        <v>0</v>
      </c>
      <c r="L3200" s="3">
        <v>0</v>
      </c>
      <c r="M3200" s="3">
        <v>0</v>
      </c>
      <c r="N3200">
        <v>0</v>
      </c>
      <c r="O3200">
        <v>0</v>
      </c>
      <c r="P3200">
        <v>0</v>
      </c>
      <c r="Q3200">
        <v>0</v>
      </c>
      <c r="R3200" s="3">
        <v>0</v>
      </c>
      <c r="S3200" s="3">
        <v>0</v>
      </c>
      <c r="T3200">
        <v>0</v>
      </c>
      <c r="U3200">
        <v>0</v>
      </c>
      <c r="V3200" s="3">
        <v>0</v>
      </c>
      <c r="W3200" s="3">
        <v>0</v>
      </c>
      <c r="X3200">
        <v>0</v>
      </c>
      <c r="Y3200" t="s">
        <v>2523</v>
      </c>
    </row>
    <row r="3201" spans="1:25" hidden="1" x14ac:dyDescent="0.25">
      <c r="A3201" t="s">
        <v>47</v>
      </c>
      <c r="B3201" t="s">
        <v>137</v>
      </c>
      <c r="C3201" t="s">
        <v>2310</v>
      </c>
      <c r="D3201" t="s">
        <v>27</v>
      </c>
      <c r="E3201" s="2">
        <v>46021</v>
      </c>
      <c r="F3201" s="2">
        <v>46021</v>
      </c>
      <c r="G3201" s="3">
        <v>153</v>
      </c>
      <c r="H3201" t="s">
        <v>28</v>
      </c>
      <c r="I3201">
        <v>56</v>
      </c>
      <c r="J3201">
        <v>0</v>
      </c>
      <c r="K3201">
        <v>0</v>
      </c>
      <c r="L3201" s="3">
        <v>0</v>
      </c>
      <c r="M3201" s="3">
        <v>0</v>
      </c>
      <c r="N3201">
        <v>0</v>
      </c>
      <c r="O3201">
        <v>0</v>
      </c>
      <c r="P3201">
        <v>0</v>
      </c>
      <c r="Q3201">
        <v>15</v>
      </c>
      <c r="R3201" s="3">
        <v>0</v>
      </c>
      <c r="S3201" s="3">
        <v>0</v>
      </c>
      <c r="T3201">
        <v>0</v>
      </c>
      <c r="U3201">
        <v>0</v>
      </c>
      <c r="V3201" s="3">
        <v>0</v>
      </c>
      <c r="W3201" s="3">
        <v>0</v>
      </c>
      <c r="X3201" s="13">
        <v>2</v>
      </c>
      <c r="Y3201" t="s">
        <v>2524</v>
      </c>
    </row>
    <row r="3202" spans="1:25" hidden="1" x14ac:dyDescent="0.25">
      <c r="A3202" t="s">
        <v>27</v>
      </c>
      <c r="B3202" t="s">
        <v>118</v>
      </c>
      <c r="C3202" t="s">
        <v>50</v>
      </c>
      <c r="D3202" t="s">
        <v>27</v>
      </c>
      <c r="E3202" s="2">
        <v>46021</v>
      </c>
      <c r="F3202" s="2">
        <v>46021</v>
      </c>
      <c r="G3202" s="3">
        <v>69</v>
      </c>
      <c r="H3202" t="s">
        <v>28</v>
      </c>
      <c r="I3202">
        <v>55</v>
      </c>
      <c r="J3202">
        <v>0</v>
      </c>
      <c r="K3202">
        <v>0</v>
      </c>
      <c r="L3202" s="3">
        <v>1</v>
      </c>
      <c r="M3202" s="3">
        <v>1</v>
      </c>
      <c r="N3202">
        <v>0</v>
      </c>
      <c r="O3202">
        <v>1</v>
      </c>
      <c r="P3202">
        <v>0</v>
      </c>
      <c r="Q3202">
        <v>55</v>
      </c>
      <c r="R3202" s="3">
        <v>0</v>
      </c>
      <c r="S3202" s="3">
        <v>0</v>
      </c>
      <c r="T3202">
        <v>0</v>
      </c>
      <c r="U3202">
        <v>0</v>
      </c>
      <c r="V3202" s="3">
        <v>0</v>
      </c>
      <c r="W3202" s="3">
        <v>0</v>
      </c>
      <c r="X3202">
        <v>0</v>
      </c>
      <c r="Y3202" t="s">
        <v>2525</v>
      </c>
    </row>
    <row r="3203" spans="1:25" hidden="1" x14ac:dyDescent="0.25">
      <c r="A3203" t="s">
        <v>54</v>
      </c>
      <c r="B3203" t="s">
        <v>122</v>
      </c>
      <c r="C3203" t="s">
        <v>52</v>
      </c>
      <c r="D3203" t="s">
        <v>27</v>
      </c>
      <c r="E3203" s="2">
        <v>46021</v>
      </c>
      <c r="F3203" s="2">
        <v>46021</v>
      </c>
      <c r="G3203" s="3">
        <v>40</v>
      </c>
      <c r="H3203" s="4" t="s">
        <v>28</v>
      </c>
      <c r="I3203">
        <v>48</v>
      </c>
      <c r="J3203">
        <v>0</v>
      </c>
      <c r="K3203">
        <v>0</v>
      </c>
      <c r="L3203" s="3">
        <v>0</v>
      </c>
      <c r="M3203" s="3">
        <v>0</v>
      </c>
      <c r="N3203">
        <v>0</v>
      </c>
      <c r="O3203">
        <v>0</v>
      </c>
      <c r="P3203">
        <v>0</v>
      </c>
      <c r="Q3203">
        <v>2</v>
      </c>
      <c r="R3203" s="3">
        <v>0</v>
      </c>
      <c r="S3203" s="3">
        <v>0</v>
      </c>
      <c r="T3203">
        <v>0</v>
      </c>
      <c r="U3203">
        <v>0</v>
      </c>
      <c r="V3203" s="3">
        <v>0</v>
      </c>
      <c r="W3203" s="3">
        <v>0</v>
      </c>
      <c r="X3203">
        <v>1</v>
      </c>
      <c r="Y3203" t="s">
        <v>2494</v>
      </c>
    </row>
    <row r="3204" spans="1:25" hidden="1" x14ac:dyDescent="0.25">
      <c r="A3204" t="s">
        <v>48</v>
      </c>
      <c r="B3204" t="s">
        <v>122</v>
      </c>
      <c r="C3204" s="1" t="s">
        <v>57</v>
      </c>
      <c r="D3204" t="s">
        <v>27</v>
      </c>
      <c r="E3204" s="2">
        <v>46021</v>
      </c>
      <c r="F3204" s="2">
        <v>46021</v>
      </c>
      <c r="G3204" s="3">
        <v>39</v>
      </c>
      <c r="H3204" t="s">
        <v>28</v>
      </c>
      <c r="I3204">
        <v>47</v>
      </c>
      <c r="J3204">
        <v>0</v>
      </c>
      <c r="K3204">
        <v>0</v>
      </c>
      <c r="L3204" s="3">
        <v>0</v>
      </c>
      <c r="M3204" s="3">
        <v>0</v>
      </c>
      <c r="N3204">
        <v>0</v>
      </c>
      <c r="O3204">
        <v>0</v>
      </c>
      <c r="P3204">
        <v>0</v>
      </c>
      <c r="Q3204">
        <v>2</v>
      </c>
      <c r="R3204" s="3">
        <v>0</v>
      </c>
      <c r="S3204" s="3">
        <v>0</v>
      </c>
      <c r="T3204">
        <v>0</v>
      </c>
      <c r="U3204">
        <v>0</v>
      </c>
      <c r="V3204" s="3">
        <v>0</v>
      </c>
      <c r="W3204" s="3">
        <v>0</v>
      </c>
      <c r="X3204">
        <v>1</v>
      </c>
      <c r="Y3204" t="s">
        <v>2526</v>
      </c>
    </row>
    <row r="3205" spans="1:25" hidden="1" x14ac:dyDescent="0.25">
      <c r="A3205" t="s">
        <v>58</v>
      </c>
      <c r="B3205" t="s">
        <v>144</v>
      </c>
      <c r="C3205" t="s">
        <v>2514</v>
      </c>
      <c r="D3205" t="s">
        <v>27</v>
      </c>
      <c r="E3205" s="2">
        <v>46020</v>
      </c>
      <c r="F3205" s="2">
        <v>46020</v>
      </c>
      <c r="G3205" s="3">
        <v>37</v>
      </c>
      <c r="H3205" s="4" t="s">
        <v>28</v>
      </c>
      <c r="I3205">
        <v>52</v>
      </c>
      <c r="J3205">
        <v>0</v>
      </c>
      <c r="K3205">
        <v>0</v>
      </c>
      <c r="L3205" s="3">
        <v>1</v>
      </c>
      <c r="M3205" s="3">
        <v>0</v>
      </c>
      <c r="N3205">
        <v>0</v>
      </c>
      <c r="O3205">
        <v>0</v>
      </c>
      <c r="P3205">
        <v>0</v>
      </c>
      <c r="Q3205">
        <v>40</v>
      </c>
      <c r="R3205" s="3">
        <v>0</v>
      </c>
      <c r="S3205" s="3">
        <v>0</v>
      </c>
      <c r="T3205">
        <v>0</v>
      </c>
      <c r="U3205">
        <v>0</v>
      </c>
      <c r="V3205" s="3">
        <v>0</v>
      </c>
      <c r="W3205" s="3">
        <v>0</v>
      </c>
      <c r="X3205">
        <v>0</v>
      </c>
      <c r="Y3205" t="s">
        <v>2496</v>
      </c>
    </row>
    <row r="3206" spans="1:25" hidden="1" x14ac:dyDescent="0.25">
      <c r="A3206" t="s">
        <v>58</v>
      </c>
      <c r="B3206" t="s">
        <v>149</v>
      </c>
      <c r="C3206" t="s">
        <v>27</v>
      </c>
      <c r="D3206" t="s">
        <v>27</v>
      </c>
      <c r="E3206" s="2">
        <v>46021</v>
      </c>
      <c r="F3206" s="2">
        <v>46021</v>
      </c>
      <c r="G3206" s="41">
        <v>53</v>
      </c>
      <c r="H3206" t="s">
        <v>28</v>
      </c>
      <c r="I3206">
        <v>28</v>
      </c>
      <c r="J3206">
        <v>0</v>
      </c>
      <c r="K3206">
        <v>0</v>
      </c>
      <c r="L3206" s="3">
        <v>0</v>
      </c>
      <c r="M3206" s="3">
        <v>0</v>
      </c>
      <c r="N3206">
        <v>0</v>
      </c>
      <c r="O3206">
        <v>0</v>
      </c>
      <c r="P3206">
        <v>0</v>
      </c>
      <c r="Q3206">
        <v>0</v>
      </c>
      <c r="R3206" s="3">
        <v>0</v>
      </c>
      <c r="S3206" s="3">
        <v>0</v>
      </c>
      <c r="T3206">
        <v>0</v>
      </c>
      <c r="U3206">
        <v>0</v>
      </c>
      <c r="V3206" s="3">
        <v>0</v>
      </c>
      <c r="W3206" s="3">
        <v>0</v>
      </c>
      <c r="X3206">
        <v>0</v>
      </c>
      <c r="Y3206" t="s">
        <v>2527</v>
      </c>
    </row>
    <row r="3207" spans="1:25" hidden="1" x14ac:dyDescent="0.25">
      <c r="A3207" t="s">
        <v>33</v>
      </c>
      <c r="B3207" t="s">
        <v>739</v>
      </c>
      <c r="C3207" t="s">
        <v>27</v>
      </c>
      <c r="D3207" t="s">
        <v>27</v>
      </c>
      <c r="E3207" s="2">
        <v>46021</v>
      </c>
      <c r="F3207" s="2">
        <v>46021</v>
      </c>
      <c r="G3207" s="41">
        <v>54</v>
      </c>
      <c r="H3207" t="s">
        <v>28</v>
      </c>
      <c r="I3207">
        <v>25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2527</v>
      </c>
    </row>
    <row r="3208" spans="1:25" hidden="1" x14ac:dyDescent="0.25">
      <c r="A3208" t="s">
        <v>27</v>
      </c>
      <c r="B3208" t="s">
        <v>755</v>
      </c>
      <c r="C3208" t="s">
        <v>2379</v>
      </c>
      <c r="D3208" t="s">
        <v>27</v>
      </c>
      <c r="E3208" s="2">
        <v>46021</v>
      </c>
      <c r="F3208" s="2">
        <v>46021</v>
      </c>
      <c r="G3208" s="41">
        <v>55</v>
      </c>
      <c r="H3208" t="s">
        <v>2143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2527</v>
      </c>
    </row>
    <row r="3209" spans="1:25" hidden="1" x14ac:dyDescent="0.25">
      <c r="A3209" t="s">
        <v>27</v>
      </c>
      <c r="B3209" t="s">
        <v>758</v>
      </c>
      <c r="C3209" t="s">
        <v>55</v>
      </c>
      <c r="D3209" t="s">
        <v>27</v>
      </c>
      <c r="E3209" s="2">
        <v>46021</v>
      </c>
      <c r="F3209" s="2">
        <v>46021</v>
      </c>
      <c r="G3209" s="41">
        <v>56</v>
      </c>
      <c r="H3209" t="s">
        <v>2143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2527</v>
      </c>
    </row>
    <row r="3210" spans="1:25" hidden="1" x14ac:dyDescent="0.25">
      <c r="A3210" t="s">
        <v>27</v>
      </c>
      <c r="B3210" t="s">
        <v>798</v>
      </c>
      <c r="C3210" t="s">
        <v>37</v>
      </c>
      <c r="D3210" t="s">
        <v>27</v>
      </c>
      <c r="E3210" s="2">
        <v>46021</v>
      </c>
      <c r="F3210" s="2">
        <v>46021</v>
      </c>
      <c r="G3210" s="41">
        <v>57</v>
      </c>
      <c r="H3210" t="s">
        <v>2143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2527</v>
      </c>
    </row>
    <row r="3211" spans="1:25" hidden="1" x14ac:dyDescent="0.25">
      <c r="A3211" t="s">
        <v>27</v>
      </c>
      <c r="B3211" t="s">
        <v>799</v>
      </c>
      <c r="C3211" t="s">
        <v>2426</v>
      </c>
      <c r="D3211" t="s">
        <v>27</v>
      </c>
      <c r="E3211" s="2">
        <v>46021</v>
      </c>
      <c r="F3211" s="2">
        <v>46021</v>
      </c>
      <c r="G3211" s="41">
        <v>58</v>
      </c>
      <c r="H3211" t="s">
        <v>1255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2527</v>
      </c>
    </row>
    <row r="3212" spans="1:25" hidden="1" x14ac:dyDescent="0.25">
      <c r="A3212" t="s">
        <v>51</v>
      </c>
      <c r="B3212" t="s">
        <v>120</v>
      </c>
      <c r="C3212" t="s">
        <v>27</v>
      </c>
      <c r="D3212" t="s">
        <v>27</v>
      </c>
      <c r="E3212" s="2">
        <v>46021</v>
      </c>
      <c r="F3212" s="2">
        <v>46021</v>
      </c>
      <c r="G3212" s="3">
        <v>60</v>
      </c>
      <c r="H3212" t="s">
        <v>1256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2450</v>
      </c>
    </row>
    <row r="3213" spans="1:25" hidden="1" x14ac:dyDescent="0.25">
      <c r="A3213" t="s">
        <v>36</v>
      </c>
      <c r="B3213" t="s">
        <v>106</v>
      </c>
      <c r="C3213" t="s">
        <v>27</v>
      </c>
      <c r="D3213" t="s">
        <v>27</v>
      </c>
      <c r="E3213" s="2">
        <v>46021</v>
      </c>
      <c r="F3213" s="2">
        <v>46021</v>
      </c>
      <c r="G3213" s="3">
        <v>37</v>
      </c>
      <c r="H3213" s="4" t="s">
        <v>1395</v>
      </c>
      <c r="I3213">
        <v>0</v>
      </c>
      <c r="J3213">
        <v>0</v>
      </c>
      <c r="K3213">
        <v>0</v>
      </c>
      <c r="L3213" s="3">
        <v>0</v>
      </c>
      <c r="M3213" s="3">
        <v>0</v>
      </c>
      <c r="N3213">
        <v>0</v>
      </c>
      <c r="O3213">
        <v>0</v>
      </c>
      <c r="P3213">
        <v>0</v>
      </c>
      <c r="Q3213">
        <v>0</v>
      </c>
      <c r="R3213" s="3">
        <v>0</v>
      </c>
      <c r="S3213" s="3">
        <v>0</v>
      </c>
      <c r="T3213">
        <v>0</v>
      </c>
      <c r="U3213">
        <v>0</v>
      </c>
      <c r="V3213" s="3">
        <v>0</v>
      </c>
      <c r="W3213" s="3">
        <v>0</v>
      </c>
      <c r="X3213" s="3">
        <v>0</v>
      </c>
      <c r="Y3213" t="s">
        <v>2450</v>
      </c>
    </row>
    <row r="3214" spans="1:25" hidden="1" x14ac:dyDescent="0.25">
      <c r="A3214" t="s">
        <v>55</v>
      </c>
      <c r="B3214" t="s">
        <v>2072</v>
      </c>
      <c r="C3214" t="s">
        <v>2379</v>
      </c>
      <c r="D3214" t="s">
        <v>27</v>
      </c>
      <c r="E3214" s="2">
        <v>46022</v>
      </c>
      <c r="F3214" s="2">
        <v>46022</v>
      </c>
      <c r="G3214" s="3">
        <v>71</v>
      </c>
      <c r="H3214" t="s">
        <v>28</v>
      </c>
      <c r="I3214">
        <v>34</v>
      </c>
      <c r="J3214">
        <v>0</v>
      </c>
      <c r="K3214">
        <v>0</v>
      </c>
      <c r="L3214" s="3">
        <v>1</v>
      </c>
      <c r="M3214" s="3">
        <v>0</v>
      </c>
      <c r="N3214">
        <v>1</v>
      </c>
      <c r="O3214">
        <v>0</v>
      </c>
      <c r="P3214">
        <v>0</v>
      </c>
      <c r="Q3214">
        <v>0</v>
      </c>
      <c r="R3214" s="3">
        <v>0</v>
      </c>
      <c r="S3214" s="3">
        <v>0</v>
      </c>
      <c r="T3214">
        <v>0</v>
      </c>
      <c r="U3214">
        <v>0</v>
      </c>
      <c r="V3214" s="3">
        <v>0</v>
      </c>
      <c r="W3214" s="3">
        <v>0</v>
      </c>
      <c r="X3214">
        <v>0</v>
      </c>
      <c r="Y3214" t="s">
        <v>2528</v>
      </c>
    </row>
    <row r="3215" spans="1:25" hidden="1" x14ac:dyDescent="0.25">
      <c r="A3215" t="s">
        <v>25</v>
      </c>
      <c r="B3215" t="s">
        <v>96</v>
      </c>
      <c r="C3215" t="s">
        <v>26</v>
      </c>
      <c r="D3215" t="s">
        <v>27</v>
      </c>
      <c r="E3215" s="2">
        <v>46022</v>
      </c>
      <c r="F3215" s="2">
        <v>46022</v>
      </c>
      <c r="G3215" s="3">
        <v>40</v>
      </c>
      <c r="H3215" t="s">
        <v>28</v>
      </c>
      <c r="I3215">
        <v>50</v>
      </c>
      <c r="J3215">
        <v>0</v>
      </c>
      <c r="K3215">
        <v>0</v>
      </c>
      <c r="L3215" s="3">
        <v>1</v>
      </c>
      <c r="M3215" s="3">
        <v>0</v>
      </c>
      <c r="N3215">
        <v>1</v>
      </c>
      <c r="O3215">
        <v>0</v>
      </c>
      <c r="P3215">
        <v>0</v>
      </c>
      <c r="Q3215">
        <v>0</v>
      </c>
      <c r="R3215" s="3">
        <v>0</v>
      </c>
      <c r="S3215" s="3">
        <v>0</v>
      </c>
      <c r="T3215">
        <v>0</v>
      </c>
      <c r="U3215">
        <v>0</v>
      </c>
      <c r="V3215" s="3">
        <v>0</v>
      </c>
      <c r="W3215" s="3">
        <v>0</v>
      </c>
      <c r="X3215">
        <v>0</v>
      </c>
      <c r="Y3215" t="s">
        <v>2515</v>
      </c>
    </row>
    <row r="3216" spans="1:25" hidden="1" x14ac:dyDescent="0.25">
      <c r="A3216" t="s">
        <v>29</v>
      </c>
      <c r="B3216" t="s">
        <v>100</v>
      </c>
      <c r="C3216" t="s">
        <v>95</v>
      </c>
      <c r="D3216" t="s">
        <v>27</v>
      </c>
      <c r="E3216" s="2">
        <v>46022</v>
      </c>
      <c r="F3216" s="2">
        <v>46022</v>
      </c>
      <c r="G3216" s="3">
        <v>43</v>
      </c>
      <c r="H3216" t="s">
        <v>28</v>
      </c>
      <c r="I3216">
        <v>31</v>
      </c>
      <c r="J3216">
        <v>0</v>
      </c>
      <c r="K3216">
        <v>0</v>
      </c>
      <c r="L3216" s="3">
        <v>1</v>
      </c>
      <c r="M3216" s="3">
        <v>0</v>
      </c>
      <c r="N3216">
        <v>0</v>
      </c>
      <c r="O3216">
        <v>0</v>
      </c>
      <c r="P3216">
        <v>0</v>
      </c>
      <c r="Q3216">
        <v>12</v>
      </c>
      <c r="R3216" s="3">
        <v>0</v>
      </c>
      <c r="S3216" s="3">
        <v>0</v>
      </c>
      <c r="T3216">
        <v>0</v>
      </c>
      <c r="U3216">
        <v>0</v>
      </c>
      <c r="V3216" s="3">
        <v>0</v>
      </c>
      <c r="W3216" s="3">
        <v>0</v>
      </c>
      <c r="X3216">
        <v>0</v>
      </c>
      <c r="Y3216" t="s">
        <v>2529</v>
      </c>
    </row>
    <row r="3217" spans="1:25" hidden="1" x14ac:dyDescent="0.25">
      <c r="A3217" t="s">
        <v>344</v>
      </c>
      <c r="B3217" t="s">
        <v>102</v>
      </c>
      <c r="C3217" t="s">
        <v>35</v>
      </c>
      <c r="D3217" t="s">
        <v>27</v>
      </c>
      <c r="E3217" s="2">
        <v>46022</v>
      </c>
      <c r="F3217" s="2">
        <v>46022</v>
      </c>
      <c r="G3217" s="3">
        <v>33</v>
      </c>
      <c r="H3217" s="4" t="s">
        <v>28</v>
      </c>
      <c r="I3217">
        <v>45</v>
      </c>
      <c r="J3217">
        <v>0</v>
      </c>
      <c r="K3217">
        <v>0</v>
      </c>
      <c r="L3217" s="3">
        <v>0</v>
      </c>
      <c r="M3217" s="3">
        <v>0</v>
      </c>
      <c r="N3217">
        <v>0</v>
      </c>
      <c r="O3217">
        <v>0</v>
      </c>
      <c r="P3217">
        <v>0</v>
      </c>
      <c r="Q3217">
        <v>0</v>
      </c>
      <c r="R3217" s="3">
        <v>0</v>
      </c>
      <c r="S3217" s="3">
        <v>0</v>
      </c>
      <c r="T3217">
        <v>0</v>
      </c>
      <c r="U3217">
        <v>0</v>
      </c>
      <c r="V3217" s="3">
        <v>0</v>
      </c>
      <c r="W3217" s="3">
        <v>0</v>
      </c>
      <c r="X3217">
        <v>0</v>
      </c>
      <c r="Y3217" t="s">
        <v>2453</v>
      </c>
    </row>
    <row r="3218" spans="1:25" hidden="1" x14ac:dyDescent="0.25">
      <c r="A3218" t="s">
        <v>31</v>
      </c>
      <c r="B3218" t="s">
        <v>104</v>
      </c>
      <c r="C3218" t="s">
        <v>32</v>
      </c>
      <c r="D3218" t="s">
        <v>27</v>
      </c>
      <c r="E3218" s="2">
        <v>46022</v>
      </c>
      <c r="F3218" s="2">
        <v>46022</v>
      </c>
      <c r="G3218" s="3">
        <v>37</v>
      </c>
      <c r="H3218" t="s">
        <v>28</v>
      </c>
      <c r="I3218">
        <v>83</v>
      </c>
      <c r="J3218">
        <v>0</v>
      </c>
      <c r="K3218">
        <v>0</v>
      </c>
      <c r="L3218" s="3">
        <v>0</v>
      </c>
      <c r="M3218" s="3">
        <v>0</v>
      </c>
      <c r="N3218">
        <v>0</v>
      </c>
      <c r="O3218">
        <v>0</v>
      </c>
      <c r="P3218">
        <v>0</v>
      </c>
      <c r="Q3218">
        <v>30</v>
      </c>
      <c r="R3218" s="3">
        <v>0</v>
      </c>
      <c r="S3218" s="3">
        <v>0</v>
      </c>
      <c r="T3218">
        <v>0</v>
      </c>
      <c r="U3218">
        <v>0</v>
      </c>
      <c r="V3218" s="3">
        <v>0</v>
      </c>
      <c r="W3218" s="3">
        <v>0</v>
      </c>
      <c r="X3218" s="37">
        <v>0</v>
      </c>
      <c r="Y3218" t="s">
        <v>2530</v>
      </c>
    </row>
    <row r="3219" spans="1:25" hidden="1" x14ac:dyDescent="0.25">
      <c r="A3219" t="s">
        <v>33</v>
      </c>
      <c r="B3219" t="s">
        <v>106</v>
      </c>
      <c r="C3219" t="s">
        <v>57</v>
      </c>
      <c r="D3219" t="s">
        <v>27</v>
      </c>
      <c r="E3219" s="2">
        <v>46022</v>
      </c>
      <c r="F3219" s="2">
        <v>46022</v>
      </c>
      <c r="G3219" s="3">
        <v>33</v>
      </c>
      <c r="H3219" t="s">
        <v>28</v>
      </c>
      <c r="I3219">
        <v>49</v>
      </c>
      <c r="J3219">
        <v>0</v>
      </c>
      <c r="K3219">
        <v>0</v>
      </c>
      <c r="L3219" s="3">
        <v>0</v>
      </c>
      <c r="M3219" s="3">
        <v>0</v>
      </c>
      <c r="N3219">
        <v>0</v>
      </c>
      <c r="O3219">
        <v>0</v>
      </c>
      <c r="P3219">
        <v>0</v>
      </c>
      <c r="Q3219">
        <v>21</v>
      </c>
      <c r="R3219" s="3">
        <v>0</v>
      </c>
      <c r="S3219" s="3">
        <v>0</v>
      </c>
      <c r="T3219">
        <v>0</v>
      </c>
      <c r="U3219">
        <v>0</v>
      </c>
      <c r="V3219" s="3">
        <v>0</v>
      </c>
      <c r="W3219" s="3">
        <v>0</v>
      </c>
      <c r="X3219">
        <v>0</v>
      </c>
      <c r="Y3219" t="s">
        <v>2531</v>
      </c>
    </row>
    <row r="3220" spans="1:25" hidden="1" x14ac:dyDescent="0.25">
      <c r="A3220" t="s">
        <v>38</v>
      </c>
      <c r="B3220" t="s">
        <v>108</v>
      </c>
      <c r="C3220" t="s">
        <v>27</v>
      </c>
      <c r="D3220" t="s">
        <v>27</v>
      </c>
      <c r="E3220" s="2">
        <v>46022</v>
      </c>
      <c r="F3220" s="2">
        <v>46022</v>
      </c>
      <c r="G3220" s="3">
        <v>45</v>
      </c>
      <c r="H3220" t="s">
        <v>28</v>
      </c>
      <c r="I3220">
        <v>75</v>
      </c>
      <c r="J3220">
        <v>0</v>
      </c>
      <c r="K3220">
        <v>0</v>
      </c>
      <c r="L3220" s="3">
        <v>1</v>
      </c>
      <c r="M3220" s="3">
        <v>0</v>
      </c>
      <c r="N3220">
        <v>0</v>
      </c>
      <c r="O3220">
        <v>0</v>
      </c>
      <c r="P3220">
        <v>0</v>
      </c>
      <c r="Q3220">
        <v>75</v>
      </c>
      <c r="R3220" s="3">
        <v>0</v>
      </c>
      <c r="S3220" s="3">
        <v>0</v>
      </c>
      <c r="T3220">
        <v>0</v>
      </c>
      <c r="U3220">
        <v>0</v>
      </c>
      <c r="V3220" s="3">
        <v>0</v>
      </c>
      <c r="W3220" s="3">
        <v>0</v>
      </c>
      <c r="X3220">
        <v>1</v>
      </c>
      <c r="Y3220" t="s">
        <v>2532</v>
      </c>
    </row>
    <row r="3221" spans="1:25" hidden="1" x14ac:dyDescent="0.25">
      <c r="A3221" t="s">
        <v>1454</v>
      </c>
      <c r="B3221" t="s">
        <v>1455</v>
      </c>
      <c r="C3221" t="s">
        <v>27</v>
      </c>
      <c r="D3221" t="s">
        <v>27</v>
      </c>
      <c r="E3221" s="2">
        <v>46022</v>
      </c>
      <c r="F3221" s="2">
        <v>46022</v>
      </c>
      <c r="G3221" s="3">
        <v>33</v>
      </c>
      <c r="H3221" t="s">
        <v>28</v>
      </c>
      <c r="I3221">
        <v>40</v>
      </c>
      <c r="J3221">
        <v>0</v>
      </c>
      <c r="K3221">
        <v>0</v>
      </c>
      <c r="L3221" s="3">
        <v>1</v>
      </c>
      <c r="M3221" s="3">
        <v>0</v>
      </c>
      <c r="N3221">
        <v>0</v>
      </c>
      <c r="O3221">
        <v>0</v>
      </c>
      <c r="P3221">
        <v>0</v>
      </c>
      <c r="Q3221">
        <v>40</v>
      </c>
      <c r="R3221" s="3">
        <v>0</v>
      </c>
      <c r="S3221" s="3">
        <v>0</v>
      </c>
      <c r="T3221">
        <v>0</v>
      </c>
      <c r="U3221">
        <v>0</v>
      </c>
      <c r="V3221" s="3">
        <v>0</v>
      </c>
      <c r="W3221" s="3">
        <v>0</v>
      </c>
      <c r="X3221">
        <v>0</v>
      </c>
      <c r="Y3221" t="s">
        <v>2533</v>
      </c>
    </row>
    <row r="3222" spans="1:25" hidden="1" x14ac:dyDescent="0.25">
      <c r="A3222" t="s">
        <v>40</v>
      </c>
      <c r="B3222" t="s">
        <v>110</v>
      </c>
      <c r="C3222" t="s">
        <v>2534</v>
      </c>
      <c r="D3222" t="s">
        <v>27</v>
      </c>
      <c r="E3222" s="2">
        <v>46022</v>
      </c>
      <c r="F3222" s="2">
        <v>46022</v>
      </c>
      <c r="G3222" s="3">
        <v>35</v>
      </c>
      <c r="H3222" t="s">
        <v>28</v>
      </c>
      <c r="I3222">
        <v>86</v>
      </c>
      <c r="J3222">
        <v>0</v>
      </c>
      <c r="K3222">
        <v>0</v>
      </c>
      <c r="L3222" s="3">
        <v>1</v>
      </c>
      <c r="M3222" s="3">
        <v>0</v>
      </c>
      <c r="N3222">
        <v>1</v>
      </c>
      <c r="O3222">
        <v>0</v>
      </c>
      <c r="P3222">
        <v>0</v>
      </c>
      <c r="Q3222">
        <v>48</v>
      </c>
      <c r="R3222" s="3">
        <v>0</v>
      </c>
      <c r="S3222" s="3">
        <v>0</v>
      </c>
      <c r="T3222">
        <v>0</v>
      </c>
      <c r="U3222">
        <v>0</v>
      </c>
      <c r="V3222" s="3">
        <v>0</v>
      </c>
      <c r="W3222" s="3">
        <v>0</v>
      </c>
      <c r="X3222">
        <v>0</v>
      </c>
      <c r="Y3222" t="s">
        <v>2519</v>
      </c>
    </row>
    <row r="3223" spans="1:25" hidden="1" x14ac:dyDescent="0.25">
      <c r="A3223" t="s">
        <v>41</v>
      </c>
      <c r="B3223" t="s">
        <v>112</v>
      </c>
      <c r="C3223" t="s">
        <v>42</v>
      </c>
      <c r="D3223" t="s">
        <v>27</v>
      </c>
      <c r="E3223" s="2">
        <v>46022</v>
      </c>
      <c r="F3223" s="2">
        <v>46022</v>
      </c>
      <c r="G3223" s="3">
        <v>63</v>
      </c>
      <c r="H3223" t="s">
        <v>28</v>
      </c>
      <c r="I3223">
        <v>45</v>
      </c>
      <c r="J3223">
        <v>0</v>
      </c>
      <c r="K3223">
        <v>0</v>
      </c>
      <c r="L3223" s="3">
        <v>1</v>
      </c>
      <c r="M3223" s="3">
        <v>0</v>
      </c>
      <c r="N3223">
        <v>0</v>
      </c>
      <c r="O3223">
        <v>0</v>
      </c>
      <c r="P3223">
        <v>0</v>
      </c>
      <c r="Q3223">
        <v>0</v>
      </c>
      <c r="R3223" s="3">
        <v>0</v>
      </c>
      <c r="S3223" s="3">
        <v>0</v>
      </c>
      <c r="T3223">
        <v>0</v>
      </c>
      <c r="U3223">
        <v>0</v>
      </c>
      <c r="V3223" s="3">
        <v>0</v>
      </c>
      <c r="W3223" s="3">
        <v>0</v>
      </c>
      <c r="X3223">
        <v>0</v>
      </c>
      <c r="Y3223" t="s">
        <v>2535</v>
      </c>
    </row>
    <row r="3224" spans="1:25" hidden="1" x14ac:dyDescent="0.25">
      <c r="A3224" t="s">
        <v>43</v>
      </c>
      <c r="B3224" t="s">
        <v>114</v>
      </c>
      <c r="C3224" t="s">
        <v>44</v>
      </c>
      <c r="D3224" t="s">
        <v>27</v>
      </c>
      <c r="E3224" s="2">
        <v>46022</v>
      </c>
      <c r="F3224" s="2">
        <v>46022</v>
      </c>
      <c r="G3224" s="3">
        <v>30</v>
      </c>
      <c r="H3224" t="s">
        <v>28</v>
      </c>
      <c r="I3224">
        <v>41</v>
      </c>
      <c r="J3224">
        <v>0</v>
      </c>
      <c r="K3224">
        <v>0</v>
      </c>
      <c r="L3224" s="3">
        <v>0</v>
      </c>
      <c r="M3224" s="3">
        <v>0</v>
      </c>
      <c r="N3224">
        <v>0</v>
      </c>
      <c r="O3224">
        <v>0</v>
      </c>
      <c r="P3224">
        <v>0</v>
      </c>
      <c r="Q3224">
        <v>0</v>
      </c>
      <c r="R3224" s="3">
        <v>0</v>
      </c>
      <c r="S3224" s="3">
        <v>0</v>
      </c>
      <c r="T3224">
        <v>0</v>
      </c>
      <c r="U3224">
        <v>0</v>
      </c>
      <c r="V3224" s="3">
        <v>0</v>
      </c>
      <c r="W3224" s="3">
        <v>0</v>
      </c>
      <c r="X3224">
        <v>0</v>
      </c>
      <c r="Y3224" t="s">
        <v>2536</v>
      </c>
    </row>
    <row r="3225" spans="1:25" hidden="1" x14ac:dyDescent="0.25">
      <c r="A3225" t="s">
        <v>2118</v>
      </c>
      <c r="B3225" t="s">
        <v>2119</v>
      </c>
      <c r="C3225" t="s">
        <v>27</v>
      </c>
      <c r="D3225" t="s">
        <v>27</v>
      </c>
      <c r="E3225" s="2">
        <v>46022</v>
      </c>
      <c r="F3225" s="2">
        <v>46022</v>
      </c>
      <c r="G3225" s="3">
        <v>67</v>
      </c>
      <c r="H3225" t="s">
        <v>28</v>
      </c>
      <c r="I3225">
        <v>44</v>
      </c>
      <c r="J3225">
        <v>0</v>
      </c>
      <c r="K3225">
        <v>0</v>
      </c>
      <c r="L3225" s="3">
        <v>1</v>
      </c>
      <c r="M3225" s="3">
        <v>0</v>
      </c>
      <c r="N3225">
        <v>0</v>
      </c>
      <c r="O3225">
        <v>0</v>
      </c>
      <c r="P3225">
        <v>0</v>
      </c>
      <c r="Q3225">
        <v>44</v>
      </c>
      <c r="R3225" s="3">
        <v>0</v>
      </c>
      <c r="S3225" s="3">
        <v>0</v>
      </c>
      <c r="T3225">
        <v>0</v>
      </c>
      <c r="U3225">
        <v>0</v>
      </c>
      <c r="V3225" s="3">
        <v>0</v>
      </c>
      <c r="W3225" s="3">
        <v>0</v>
      </c>
      <c r="X3225">
        <v>0</v>
      </c>
      <c r="Y3225" t="s">
        <v>2537</v>
      </c>
    </row>
    <row r="3226" spans="1:25" hidden="1" x14ac:dyDescent="0.25">
      <c r="A3226" t="s">
        <v>45</v>
      </c>
      <c r="B3226" t="s">
        <v>116</v>
      </c>
      <c r="C3226" t="s">
        <v>46</v>
      </c>
      <c r="D3226" t="s">
        <v>27</v>
      </c>
      <c r="E3226" s="2">
        <v>46022</v>
      </c>
      <c r="F3226" s="2">
        <v>46022</v>
      </c>
      <c r="G3226" s="3">
        <v>51</v>
      </c>
      <c r="H3226" t="s">
        <v>28</v>
      </c>
      <c r="I3226">
        <v>70</v>
      </c>
      <c r="J3226">
        <v>0</v>
      </c>
      <c r="K3226">
        <v>0</v>
      </c>
      <c r="L3226" s="3">
        <v>1</v>
      </c>
      <c r="M3226" s="3">
        <v>0</v>
      </c>
      <c r="N3226">
        <v>0</v>
      </c>
      <c r="O3226">
        <v>0</v>
      </c>
      <c r="P3226">
        <v>0</v>
      </c>
      <c r="Q3226">
        <v>14</v>
      </c>
      <c r="R3226" s="3">
        <v>0</v>
      </c>
      <c r="S3226" s="3">
        <v>0</v>
      </c>
      <c r="T3226">
        <v>0</v>
      </c>
      <c r="U3226">
        <v>0</v>
      </c>
      <c r="V3226" s="3">
        <v>0</v>
      </c>
      <c r="W3226" s="3">
        <v>0</v>
      </c>
      <c r="X3226">
        <v>0</v>
      </c>
      <c r="Y3226" t="s">
        <v>2538</v>
      </c>
    </row>
    <row r="3227" spans="1:25" hidden="1" x14ac:dyDescent="0.25">
      <c r="A3227" t="s">
        <v>47</v>
      </c>
      <c r="B3227" t="s">
        <v>137</v>
      </c>
      <c r="C3227" t="s">
        <v>2310</v>
      </c>
      <c r="D3227" t="s">
        <v>27</v>
      </c>
      <c r="E3227" s="2">
        <v>46022</v>
      </c>
      <c r="F3227" s="2">
        <v>46022</v>
      </c>
      <c r="G3227" s="3">
        <v>413</v>
      </c>
      <c r="H3227" t="s">
        <v>28</v>
      </c>
      <c r="I3227">
        <v>49</v>
      </c>
      <c r="J3227">
        <v>0</v>
      </c>
      <c r="K3227">
        <v>0</v>
      </c>
      <c r="L3227" s="3">
        <v>0</v>
      </c>
      <c r="M3227" s="3">
        <v>0</v>
      </c>
      <c r="N3227">
        <v>0</v>
      </c>
      <c r="O3227">
        <v>0</v>
      </c>
      <c r="P3227">
        <v>0</v>
      </c>
      <c r="Q3227">
        <v>12</v>
      </c>
      <c r="R3227" s="3">
        <v>0</v>
      </c>
      <c r="S3227" s="3">
        <v>0</v>
      </c>
      <c r="T3227">
        <v>0</v>
      </c>
      <c r="U3227">
        <v>0</v>
      </c>
      <c r="V3227" s="3">
        <v>0</v>
      </c>
      <c r="W3227" s="3">
        <v>0</v>
      </c>
      <c r="X3227">
        <v>2</v>
      </c>
      <c r="Y3227" t="s">
        <v>2539</v>
      </c>
    </row>
    <row r="3228" spans="1:25" hidden="1" x14ac:dyDescent="0.25">
      <c r="A3228" t="s">
        <v>54</v>
      </c>
      <c r="B3228" t="s">
        <v>122</v>
      </c>
      <c r="C3228" t="s">
        <v>52</v>
      </c>
      <c r="D3228" t="s">
        <v>27</v>
      </c>
      <c r="E3228" s="2">
        <v>46022</v>
      </c>
      <c r="F3228" s="2">
        <v>46022</v>
      </c>
      <c r="G3228" s="3">
        <v>40</v>
      </c>
      <c r="H3228" s="4" t="s">
        <v>28</v>
      </c>
      <c r="I3228">
        <v>13</v>
      </c>
      <c r="J3228">
        <v>0</v>
      </c>
      <c r="K3228">
        <v>0</v>
      </c>
      <c r="L3228" s="3">
        <v>0</v>
      </c>
      <c r="M3228" s="3">
        <v>0</v>
      </c>
      <c r="N3228">
        <v>0</v>
      </c>
      <c r="O3228">
        <v>0</v>
      </c>
      <c r="P3228">
        <v>0</v>
      </c>
      <c r="Q3228">
        <v>2</v>
      </c>
      <c r="R3228" s="3">
        <v>0</v>
      </c>
      <c r="S3228" s="3">
        <v>0</v>
      </c>
      <c r="T3228">
        <v>0</v>
      </c>
      <c r="U3228">
        <v>0</v>
      </c>
      <c r="V3228" s="3">
        <v>0</v>
      </c>
      <c r="W3228" s="3">
        <v>0</v>
      </c>
      <c r="X3228">
        <v>1</v>
      </c>
      <c r="Y3228" t="s">
        <v>2494</v>
      </c>
    </row>
    <row r="3229" spans="1:25" hidden="1" x14ac:dyDescent="0.25">
      <c r="A3229" t="s">
        <v>48</v>
      </c>
      <c r="B3229" t="s">
        <v>149</v>
      </c>
      <c r="C3229" t="s">
        <v>37</v>
      </c>
      <c r="D3229" t="s">
        <v>27</v>
      </c>
      <c r="E3229" s="2">
        <v>46022</v>
      </c>
      <c r="F3229" s="2">
        <v>46022</v>
      </c>
      <c r="G3229" s="3">
        <v>26</v>
      </c>
      <c r="H3229" t="s">
        <v>28</v>
      </c>
      <c r="I3229">
        <v>62</v>
      </c>
      <c r="J3229">
        <v>0</v>
      </c>
      <c r="K3229">
        <v>0</v>
      </c>
      <c r="L3229" s="3">
        <v>1</v>
      </c>
      <c r="M3229" s="3">
        <v>0</v>
      </c>
      <c r="N3229">
        <v>0</v>
      </c>
      <c r="O3229">
        <v>0</v>
      </c>
      <c r="P3229">
        <v>0</v>
      </c>
      <c r="Q3229">
        <v>10</v>
      </c>
      <c r="R3229" s="3">
        <v>0</v>
      </c>
      <c r="S3229" s="3">
        <v>0</v>
      </c>
      <c r="T3229">
        <v>0</v>
      </c>
      <c r="U3229">
        <v>0</v>
      </c>
      <c r="V3229" s="3">
        <v>0</v>
      </c>
      <c r="W3229" s="3">
        <v>0</v>
      </c>
      <c r="X3229">
        <v>0</v>
      </c>
      <c r="Y3229" t="s">
        <v>2540</v>
      </c>
    </row>
    <row r="3230" spans="1:25" hidden="1" x14ac:dyDescent="0.25">
      <c r="A3230" t="s">
        <v>27</v>
      </c>
      <c r="B3230" t="s">
        <v>149</v>
      </c>
      <c r="C3230" t="s">
        <v>58</v>
      </c>
      <c r="D3230" t="s">
        <v>27</v>
      </c>
      <c r="E3230" s="2">
        <v>46021</v>
      </c>
      <c r="F3230" s="2">
        <v>46021</v>
      </c>
      <c r="G3230" s="41">
        <v>53</v>
      </c>
      <c r="H3230" t="s">
        <v>28</v>
      </c>
      <c r="I3230">
        <v>28</v>
      </c>
      <c r="J3230">
        <v>0</v>
      </c>
      <c r="K3230">
        <v>0</v>
      </c>
      <c r="L3230" s="3">
        <v>0</v>
      </c>
      <c r="M3230" s="3">
        <v>0</v>
      </c>
      <c r="N3230">
        <v>0</v>
      </c>
      <c r="O3230">
        <v>0</v>
      </c>
      <c r="P3230">
        <v>0</v>
      </c>
      <c r="Q3230">
        <v>0</v>
      </c>
      <c r="R3230" s="3">
        <v>0</v>
      </c>
      <c r="S3230" s="3">
        <v>0</v>
      </c>
      <c r="T3230">
        <v>0</v>
      </c>
      <c r="U3230">
        <v>0</v>
      </c>
      <c r="V3230" s="3">
        <v>0</v>
      </c>
      <c r="W3230" s="3">
        <v>0</v>
      </c>
      <c r="X3230">
        <v>0</v>
      </c>
      <c r="Y3230" t="s">
        <v>2527</v>
      </c>
    </row>
    <row r="3231" spans="1:25" hidden="1" x14ac:dyDescent="0.25">
      <c r="A3231" t="s">
        <v>58</v>
      </c>
      <c r="B3231" t="s">
        <v>144</v>
      </c>
      <c r="C3231" t="s">
        <v>2514</v>
      </c>
      <c r="D3231" t="s">
        <v>27</v>
      </c>
      <c r="E3231" s="2">
        <v>46022</v>
      </c>
      <c r="F3231" s="2">
        <v>46022</v>
      </c>
      <c r="G3231" s="3">
        <v>115</v>
      </c>
      <c r="H3231" t="s">
        <v>28</v>
      </c>
      <c r="I3231">
        <v>70</v>
      </c>
      <c r="J3231">
        <v>0</v>
      </c>
      <c r="K3231">
        <v>0</v>
      </c>
      <c r="L3231" s="3">
        <v>1</v>
      </c>
      <c r="M3231" s="3">
        <v>0</v>
      </c>
      <c r="N3231">
        <v>0</v>
      </c>
      <c r="O3231">
        <v>0</v>
      </c>
      <c r="P3231">
        <v>0</v>
      </c>
      <c r="Q3231">
        <v>40</v>
      </c>
      <c r="R3231" s="3">
        <v>0</v>
      </c>
      <c r="S3231" s="3">
        <v>0</v>
      </c>
      <c r="T3231">
        <v>0</v>
      </c>
      <c r="U3231">
        <v>0</v>
      </c>
      <c r="V3231" s="3">
        <v>0</v>
      </c>
      <c r="W3231" s="3">
        <v>0</v>
      </c>
      <c r="X3231">
        <v>0</v>
      </c>
      <c r="Y3231" t="s">
        <v>2541</v>
      </c>
    </row>
    <row r="3232" spans="1:25" hidden="1" x14ac:dyDescent="0.25">
      <c r="A3232" t="s">
        <v>27</v>
      </c>
      <c r="B3232" t="s">
        <v>118</v>
      </c>
      <c r="C3232" t="s">
        <v>50</v>
      </c>
      <c r="D3232" t="s">
        <v>27</v>
      </c>
      <c r="E3232" s="2">
        <v>46022</v>
      </c>
      <c r="F3232" s="2">
        <v>46022</v>
      </c>
      <c r="G3232" s="3">
        <v>31</v>
      </c>
      <c r="H3232" s="4" t="s">
        <v>28</v>
      </c>
      <c r="I3232">
        <v>25</v>
      </c>
      <c r="J3232">
        <v>0</v>
      </c>
      <c r="K3232">
        <v>0</v>
      </c>
      <c r="L3232" s="3">
        <v>1</v>
      </c>
      <c r="M3232" s="3">
        <v>1</v>
      </c>
      <c r="N3232">
        <v>0</v>
      </c>
      <c r="O3232">
        <v>0</v>
      </c>
      <c r="P3232">
        <v>0</v>
      </c>
      <c r="Q3232">
        <v>25</v>
      </c>
      <c r="R3232" s="3">
        <v>0</v>
      </c>
      <c r="S3232" s="3">
        <v>0</v>
      </c>
      <c r="T3232">
        <v>0</v>
      </c>
      <c r="U3232">
        <v>0</v>
      </c>
      <c r="V3232" s="3">
        <v>0</v>
      </c>
      <c r="W3232" s="3">
        <v>0</v>
      </c>
      <c r="X3232">
        <v>0</v>
      </c>
      <c r="Y3232" t="s">
        <v>2512</v>
      </c>
    </row>
    <row r="3233" spans="1:25" hidden="1" x14ac:dyDescent="0.25">
      <c r="A3233" t="s">
        <v>51</v>
      </c>
      <c r="B3233" t="s">
        <v>120</v>
      </c>
      <c r="C3233" t="s">
        <v>27</v>
      </c>
      <c r="D3233" t="s">
        <v>27</v>
      </c>
      <c r="E3233" s="2">
        <v>46022</v>
      </c>
      <c r="F3233" s="2">
        <v>46022</v>
      </c>
      <c r="G3233" s="3">
        <v>60</v>
      </c>
      <c r="H3233" t="s">
        <v>1256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2450</v>
      </c>
    </row>
    <row r="3234" spans="1:25" hidden="1" x14ac:dyDescent="0.25">
      <c r="A3234" t="s">
        <v>36</v>
      </c>
      <c r="B3234" t="s">
        <v>106</v>
      </c>
      <c r="C3234" t="s">
        <v>27</v>
      </c>
      <c r="D3234" t="s">
        <v>27</v>
      </c>
      <c r="E3234" s="2">
        <v>46022</v>
      </c>
      <c r="F3234" s="2">
        <v>46022</v>
      </c>
      <c r="G3234" s="3">
        <v>37</v>
      </c>
      <c r="H3234" s="4" t="s">
        <v>1395</v>
      </c>
      <c r="I3234">
        <v>0</v>
      </c>
      <c r="J3234">
        <v>0</v>
      </c>
      <c r="K3234">
        <v>0</v>
      </c>
      <c r="L3234" s="3">
        <v>0</v>
      </c>
      <c r="M3234" s="3">
        <v>0</v>
      </c>
      <c r="N3234">
        <v>0</v>
      </c>
      <c r="O3234">
        <v>0</v>
      </c>
      <c r="P3234">
        <v>0</v>
      </c>
      <c r="Q3234">
        <v>0</v>
      </c>
      <c r="R3234" s="3">
        <v>0</v>
      </c>
      <c r="S3234" s="3">
        <v>0</v>
      </c>
      <c r="T3234">
        <v>0</v>
      </c>
      <c r="U3234">
        <v>0</v>
      </c>
      <c r="V3234" s="3">
        <v>0</v>
      </c>
      <c r="W3234" s="3">
        <v>0</v>
      </c>
      <c r="X3234" s="3">
        <v>0</v>
      </c>
      <c r="Y3234" t="s">
        <v>2450</v>
      </c>
    </row>
    <row r="3235" spans="1:25" hidden="1" x14ac:dyDescent="0.25">
      <c r="A3235" t="s">
        <v>55</v>
      </c>
      <c r="B3235" t="s">
        <v>2072</v>
      </c>
      <c r="C3235" t="s">
        <v>2379</v>
      </c>
      <c r="D3235" t="s">
        <v>27</v>
      </c>
      <c r="E3235" s="2">
        <v>46023</v>
      </c>
      <c r="F3235" s="2">
        <v>46023</v>
      </c>
      <c r="G3235" s="3">
        <v>71</v>
      </c>
      <c r="H3235" t="s">
        <v>2542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2528</v>
      </c>
    </row>
    <row r="3236" spans="1:25" hidden="1" x14ac:dyDescent="0.25">
      <c r="A3236" t="s">
        <v>25</v>
      </c>
      <c r="B3236" t="s">
        <v>96</v>
      </c>
      <c r="C3236" t="s">
        <v>26</v>
      </c>
      <c r="D3236" t="s">
        <v>27</v>
      </c>
      <c r="E3236" s="2">
        <v>46023</v>
      </c>
      <c r="F3236" s="2">
        <v>46023</v>
      </c>
      <c r="G3236" s="3">
        <v>40</v>
      </c>
      <c r="H3236" t="s">
        <v>2542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2515</v>
      </c>
    </row>
    <row r="3237" spans="1:25" hidden="1" x14ac:dyDescent="0.25">
      <c r="A3237" t="s">
        <v>29</v>
      </c>
      <c r="B3237" t="s">
        <v>100</v>
      </c>
      <c r="C3237" t="s">
        <v>95</v>
      </c>
      <c r="D3237" t="s">
        <v>27</v>
      </c>
      <c r="E3237" s="2">
        <v>46023</v>
      </c>
      <c r="F3237" s="2">
        <v>46023</v>
      </c>
      <c r="G3237" s="3">
        <v>43</v>
      </c>
      <c r="H3237" t="s">
        <v>2542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2529</v>
      </c>
    </row>
    <row r="3238" spans="1:25" hidden="1" x14ac:dyDescent="0.25">
      <c r="A3238" t="s">
        <v>94</v>
      </c>
      <c r="B3238" t="s">
        <v>102</v>
      </c>
      <c r="C3238" t="s">
        <v>35</v>
      </c>
      <c r="D3238" t="s">
        <v>27</v>
      </c>
      <c r="E3238" s="2">
        <v>46023</v>
      </c>
      <c r="F3238" s="2">
        <v>46023</v>
      </c>
      <c r="G3238" s="3">
        <v>33</v>
      </c>
      <c r="H3238" t="s">
        <v>2542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2453</v>
      </c>
    </row>
    <row r="3239" spans="1:25" hidden="1" x14ac:dyDescent="0.25">
      <c r="A3239" t="s">
        <v>31</v>
      </c>
      <c r="B3239" t="s">
        <v>104</v>
      </c>
      <c r="C3239" t="s">
        <v>32</v>
      </c>
      <c r="D3239" t="s">
        <v>27</v>
      </c>
      <c r="E3239" s="2">
        <v>46023</v>
      </c>
      <c r="F3239" s="2">
        <v>46023</v>
      </c>
      <c r="G3239" s="3">
        <v>37</v>
      </c>
      <c r="H3239" t="s">
        <v>2542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 s="37">
        <v>0</v>
      </c>
      <c r="Y3239" t="s">
        <v>2530</v>
      </c>
    </row>
    <row r="3240" spans="1:25" hidden="1" x14ac:dyDescent="0.25">
      <c r="A3240" t="s">
        <v>33</v>
      </c>
      <c r="B3240" t="s">
        <v>106</v>
      </c>
      <c r="C3240" t="s">
        <v>57</v>
      </c>
      <c r="D3240" t="s">
        <v>27</v>
      </c>
      <c r="E3240" s="2">
        <v>46023</v>
      </c>
      <c r="F3240" s="2">
        <v>46023</v>
      </c>
      <c r="G3240" s="3">
        <v>33</v>
      </c>
      <c r="H3240" t="s">
        <v>2542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2531</v>
      </c>
    </row>
    <row r="3241" spans="1:25" hidden="1" x14ac:dyDescent="0.25">
      <c r="A3241" t="s">
        <v>38</v>
      </c>
      <c r="B3241" t="s">
        <v>108</v>
      </c>
      <c r="C3241" t="s">
        <v>27</v>
      </c>
      <c r="D3241" t="s">
        <v>27</v>
      </c>
      <c r="E3241" s="2">
        <v>46023</v>
      </c>
      <c r="F3241" s="2">
        <v>46023</v>
      </c>
      <c r="G3241" s="3">
        <v>45</v>
      </c>
      <c r="H3241" t="s">
        <v>2542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2532</v>
      </c>
    </row>
    <row r="3242" spans="1:25" hidden="1" x14ac:dyDescent="0.25">
      <c r="A3242" t="s">
        <v>1454</v>
      </c>
      <c r="B3242" t="s">
        <v>1455</v>
      </c>
      <c r="C3242" t="s">
        <v>27</v>
      </c>
      <c r="D3242" t="s">
        <v>27</v>
      </c>
      <c r="E3242" s="2">
        <v>46023</v>
      </c>
      <c r="F3242" s="2">
        <v>46023</v>
      </c>
      <c r="G3242" s="3">
        <v>33</v>
      </c>
      <c r="H3242" t="s">
        <v>2542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2533</v>
      </c>
    </row>
    <row r="3243" spans="1:25" hidden="1" x14ac:dyDescent="0.25">
      <c r="A3243" t="s">
        <v>40</v>
      </c>
      <c r="B3243" t="s">
        <v>110</v>
      </c>
      <c r="C3243" t="s">
        <v>2534</v>
      </c>
      <c r="D3243" t="s">
        <v>27</v>
      </c>
      <c r="E3243" s="2">
        <v>46023</v>
      </c>
      <c r="F3243" s="2">
        <v>46023</v>
      </c>
      <c r="G3243" s="3">
        <v>35</v>
      </c>
      <c r="H3243" t="s">
        <v>2542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2519</v>
      </c>
    </row>
    <row r="3244" spans="1:25" hidden="1" x14ac:dyDescent="0.25">
      <c r="A3244" t="s">
        <v>41</v>
      </c>
      <c r="B3244" t="s">
        <v>112</v>
      </c>
      <c r="C3244" t="s">
        <v>42</v>
      </c>
      <c r="D3244" t="s">
        <v>27</v>
      </c>
      <c r="E3244" s="2">
        <v>46023</v>
      </c>
      <c r="F3244" s="2">
        <v>46023</v>
      </c>
      <c r="G3244" s="3">
        <v>63</v>
      </c>
      <c r="H3244" t="s">
        <v>2542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2535</v>
      </c>
    </row>
    <row r="3245" spans="1:25" hidden="1" x14ac:dyDescent="0.25">
      <c r="A3245" t="s">
        <v>344</v>
      </c>
      <c r="B3245" t="s">
        <v>114</v>
      </c>
      <c r="C3245" t="s">
        <v>44</v>
      </c>
      <c r="D3245" t="s">
        <v>27</v>
      </c>
      <c r="E3245" s="2">
        <v>46023</v>
      </c>
      <c r="F3245" s="2">
        <v>46023</v>
      </c>
      <c r="G3245" s="3">
        <v>30</v>
      </c>
      <c r="H3245" t="s">
        <v>28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45</v>
      </c>
      <c r="U3245">
        <v>0</v>
      </c>
      <c r="V3245">
        <v>0</v>
      </c>
      <c r="W3245">
        <v>0</v>
      </c>
      <c r="X3245">
        <v>0</v>
      </c>
      <c r="Y3245" t="s">
        <v>2536</v>
      </c>
    </row>
    <row r="3246" spans="1:25" hidden="1" x14ac:dyDescent="0.25">
      <c r="A3246" t="s">
        <v>2118</v>
      </c>
      <c r="B3246" t="s">
        <v>2119</v>
      </c>
      <c r="C3246" t="s">
        <v>27</v>
      </c>
      <c r="D3246" t="s">
        <v>27</v>
      </c>
      <c r="E3246" s="2">
        <v>46023</v>
      </c>
      <c r="F3246" s="2">
        <v>46023</v>
      </c>
      <c r="G3246" s="3">
        <v>67</v>
      </c>
      <c r="H3246" t="s">
        <v>2542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2537</v>
      </c>
    </row>
    <row r="3247" spans="1:25" hidden="1" x14ac:dyDescent="0.25">
      <c r="A3247" t="s">
        <v>45</v>
      </c>
      <c r="B3247" t="s">
        <v>116</v>
      </c>
      <c r="C3247" t="s">
        <v>46</v>
      </c>
      <c r="D3247" t="s">
        <v>27</v>
      </c>
      <c r="E3247" s="2">
        <v>46023</v>
      </c>
      <c r="F3247" s="2">
        <v>46023</v>
      </c>
      <c r="G3247" s="3">
        <v>51</v>
      </c>
      <c r="H3247" t="s">
        <v>2542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2538</v>
      </c>
    </row>
    <row r="3248" spans="1:25" hidden="1" x14ac:dyDescent="0.25">
      <c r="A3248" t="s">
        <v>47</v>
      </c>
      <c r="B3248" t="s">
        <v>137</v>
      </c>
      <c r="C3248" t="s">
        <v>2310</v>
      </c>
      <c r="D3248" t="s">
        <v>27</v>
      </c>
      <c r="E3248" s="2">
        <v>46023</v>
      </c>
      <c r="F3248" s="2">
        <v>46023</v>
      </c>
      <c r="G3248" s="3">
        <v>413</v>
      </c>
      <c r="H3248" t="s">
        <v>28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f>16+18+1+4+1+2</f>
        <v>42</v>
      </c>
      <c r="U3248">
        <v>0</v>
      </c>
      <c r="V3248">
        <v>0</v>
      </c>
      <c r="W3248">
        <v>0</v>
      </c>
      <c r="X3248">
        <v>0</v>
      </c>
      <c r="Y3248" t="s">
        <v>2539</v>
      </c>
    </row>
    <row r="3249" spans="1:25" hidden="1" x14ac:dyDescent="0.25">
      <c r="A3249" t="s">
        <v>54</v>
      </c>
      <c r="B3249" t="s">
        <v>122</v>
      </c>
      <c r="C3249" t="s">
        <v>52</v>
      </c>
      <c r="D3249" t="s">
        <v>27</v>
      </c>
      <c r="E3249" s="2">
        <v>46023</v>
      </c>
      <c r="F3249" s="2">
        <v>46023</v>
      </c>
      <c r="G3249" s="3">
        <v>40</v>
      </c>
      <c r="H3249" t="s">
        <v>2542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2494</v>
      </c>
    </row>
    <row r="3250" spans="1:25" hidden="1" x14ac:dyDescent="0.25">
      <c r="A3250" t="s">
        <v>48</v>
      </c>
      <c r="B3250" t="s">
        <v>149</v>
      </c>
      <c r="C3250" t="s">
        <v>37</v>
      </c>
      <c r="D3250" t="s">
        <v>27</v>
      </c>
      <c r="E3250" s="2">
        <v>46023</v>
      </c>
      <c r="F3250" s="2">
        <v>46023</v>
      </c>
      <c r="G3250" s="3">
        <v>26</v>
      </c>
      <c r="H3250" t="s">
        <v>2542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2540</v>
      </c>
    </row>
    <row r="3251" spans="1:25" hidden="1" x14ac:dyDescent="0.25">
      <c r="A3251" t="s">
        <v>58</v>
      </c>
      <c r="B3251" t="s">
        <v>144</v>
      </c>
      <c r="C3251" t="s">
        <v>2514</v>
      </c>
      <c r="D3251" t="s">
        <v>27</v>
      </c>
      <c r="E3251" s="2">
        <v>46023</v>
      </c>
      <c r="F3251" s="2">
        <v>46023</v>
      </c>
      <c r="G3251" s="3">
        <v>115</v>
      </c>
      <c r="H3251" t="s">
        <v>2542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2541</v>
      </c>
    </row>
    <row r="3252" spans="1:25" hidden="1" x14ac:dyDescent="0.25">
      <c r="A3252" t="s">
        <v>27</v>
      </c>
      <c r="B3252" t="s">
        <v>118</v>
      </c>
      <c r="C3252" t="s">
        <v>50</v>
      </c>
      <c r="D3252" t="s">
        <v>27</v>
      </c>
      <c r="E3252" s="2">
        <v>46023</v>
      </c>
      <c r="F3252" s="2">
        <v>46023</v>
      </c>
      <c r="G3252" s="3">
        <v>31</v>
      </c>
      <c r="H3252" t="s">
        <v>2542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2512</v>
      </c>
    </row>
    <row r="3253" spans="1:25" hidden="1" x14ac:dyDescent="0.25">
      <c r="A3253" t="s">
        <v>51</v>
      </c>
      <c r="B3253" t="s">
        <v>120</v>
      </c>
      <c r="C3253" t="s">
        <v>27</v>
      </c>
      <c r="D3253" t="s">
        <v>27</v>
      </c>
      <c r="E3253" s="2">
        <v>46023</v>
      </c>
      <c r="F3253" s="2">
        <v>46023</v>
      </c>
      <c r="G3253" s="3">
        <v>60</v>
      </c>
      <c r="H3253" t="s">
        <v>1256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2450</v>
      </c>
    </row>
    <row r="3254" spans="1:25" hidden="1" x14ac:dyDescent="0.25">
      <c r="A3254" t="s">
        <v>36</v>
      </c>
      <c r="B3254" t="s">
        <v>106</v>
      </c>
      <c r="C3254" t="s">
        <v>27</v>
      </c>
      <c r="D3254" t="s">
        <v>27</v>
      </c>
      <c r="E3254" s="2">
        <v>46023</v>
      </c>
      <c r="F3254" s="2">
        <v>46023</v>
      </c>
      <c r="G3254" s="3">
        <v>37</v>
      </c>
      <c r="H3254" s="4" t="s">
        <v>1395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2450</v>
      </c>
    </row>
    <row r="3255" spans="1:25" hidden="1" x14ac:dyDescent="0.25">
      <c r="A3255" t="s">
        <v>55</v>
      </c>
      <c r="B3255" t="s">
        <v>2072</v>
      </c>
      <c r="C3255" t="s">
        <v>27</v>
      </c>
      <c r="D3255" t="s">
        <v>27</v>
      </c>
      <c r="E3255" s="2">
        <v>46024</v>
      </c>
      <c r="F3255" s="2">
        <v>46024</v>
      </c>
      <c r="G3255" s="3">
        <v>27</v>
      </c>
      <c r="H3255" t="s">
        <v>28</v>
      </c>
      <c r="I3255">
        <v>35</v>
      </c>
      <c r="J3255">
        <v>0</v>
      </c>
      <c r="K3255">
        <v>0</v>
      </c>
      <c r="L3255" s="3">
        <v>1</v>
      </c>
      <c r="M3255" s="3">
        <v>0</v>
      </c>
      <c r="N3255">
        <v>1</v>
      </c>
      <c r="O3255">
        <v>0</v>
      </c>
      <c r="P3255">
        <v>0</v>
      </c>
      <c r="Q3255">
        <v>0</v>
      </c>
      <c r="R3255" s="3">
        <v>0</v>
      </c>
      <c r="S3255" s="3">
        <v>0</v>
      </c>
      <c r="T3255">
        <v>0</v>
      </c>
      <c r="U3255">
        <v>0</v>
      </c>
      <c r="V3255" s="3">
        <v>0</v>
      </c>
      <c r="W3255" s="3">
        <v>0</v>
      </c>
      <c r="X3255">
        <v>0</v>
      </c>
      <c r="Y3255" t="s">
        <v>2543</v>
      </c>
    </row>
    <row r="3256" spans="1:25" hidden="1" x14ac:dyDescent="0.25">
      <c r="A3256" t="s">
        <v>27</v>
      </c>
      <c r="B3256" t="s">
        <v>2072</v>
      </c>
      <c r="C3256" t="s">
        <v>55</v>
      </c>
      <c r="D3256" t="s">
        <v>27</v>
      </c>
      <c r="E3256" s="2">
        <v>46024</v>
      </c>
      <c r="F3256" s="2">
        <v>46024</v>
      </c>
      <c r="G3256" s="3">
        <v>27</v>
      </c>
      <c r="H3256" t="s">
        <v>28</v>
      </c>
      <c r="I3256">
        <v>35</v>
      </c>
      <c r="J3256">
        <v>0</v>
      </c>
      <c r="K3256">
        <v>0</v>
      </c>
      <c r="L3256" s="3">
        <v>1</v>
      </c>
      <c r="M3256" s="3">
        <v>0</v>
      </c>
      <c r="N3256">
        <v>1</v>
      </c>
      <c r="O3256">
        <v>0</v>
      </c>
      <c r="P3256">
        <v>0</v>
      </c>
      <c r="Q3256">
        <v>0</v>
      </c>
      <c r="R3256" s="3">
        <v>0</v>
      </c>
      <c r="S3256" s="3">
        <v>0</v>
      </c>
      <c r="T3256">
        <v>0</v>
      </c>
      <c r="U3256">
        <v>0</v>
      </c>
      <c r="V3256" s="3">
        <v>0</v>
      </c>
      <c r="W3256" s="3">
        <v>0</v>
      </c>
      <c r="X3256">
        <v>0</v>
      </c>
      <c r="Y3256" t="s">
        <v>2543</v>
      </c>
    </row>
    <row r="3257" spans="1:25" hidden="1" x14ac:dyDescent="0.25">
      <c r="A3257" t="s">
        <v>25</v>
      </c>
      <c r="B3257" t="s">
        <v>96</v>
      </c>
      <c r="C3257" t="s">
        <v>26</v>
      </c>
      <c r="D3257" t="s">
        <v>27</v>
      </c>
      <c r="E3257" s="2">
        <v>46024</v>
      </c>
      <c r="F3257" s="2">
        <v>46024</v>
      </c>
      <c r="G3257" s="3">
        <v>40</v>
      </c>
      <c r="H3257" t="s">
        <v>28</v>
      </c>
      <c r="I3257">
        <v>50</v>
      </c>
      <c r="J3257">
        <v>0</v>
      </c>
      <c r="K3257">
        <v>0</v>
      </c>
      <c r="L3257" s="3">
        <v>1</v>
      </c>
      <c r="M3257" s="3">
        <v>0</v>
      </c>
      <c r="N3257">
        <v>1</v>
      </c>
      <c r="O3257">
        <v>0</v>
      </c>
      <c r="P3257">
        <v>0</v>
      </c>
      <c r="Q3257">
        <v>0</v>
      </c>
      <c r="R3257" s="3">
        <v>0</v>
      </c>
      <c r="S3257" s="3">
        <v>0</v>
      </c>
      <c r="T3257">
        <v>0</v>
      </c>
      <c r="U3257">
        <v>0</v>
      </c>
      <c r="V3257" s="3">
        <v>0</v>
      </c>
      <c r="W3257" s="3">
        <v>0</v>
      </c>
      <c r="X3257">
        <v>0</v>
      </c>
      <c r="Y3257" t="s">
        <v>2515</v>
      </c>
    </row>
    <row r="3258" spans="1:25" hidden="1" x14ac:dyDescent="0.25">
      <c r="A3258" t="s">
        <v>29</v>
      </c>
      <c r="B3258" t="s">
        <v>100</v>
      </c>
      <c r="C3258" t="s">
        <v>27</v>
      </c>
      <c r="D3258" t="s">
        <v>27</v>
      </c>
      <c r="E3258" s="2">
        <v>46024</v>
      </c>
      <c r="F3258" s="2">
        <v>46024</v>
      </c>
      <c r="G3258" s="3">
        <v>55</v>
      </c>
      <c r="H3258" t="s">
        <v>28</v>
      </c>
      <c r="I3258">
        <v>40</v>
      </c>
      <c r="J3258">
        <v>10</v>
      </c>
      <c r="K3258">
        <v>0</v>
      </c>
      <c r="L3258" s="3">
        <v>0</v>
      </c>
      <c r="M3258" s="3">
        <v>0</v>
      </c>
      <c r="N3258">
        <v>0</v>
      </c>
      <c r="O3258">
        <v>0</v>
      </c>
      <c r="P3258">
        <v>0</v>
      </c>
      <c r="Q3258">
        <v>0</v>
      </c>
      <c r="R3258" s="3">
        <v>0</v>
      </c>
      <c r="S3258" s="3">
        <v>0</v>
      </c>
      <c r="T3258">
        <v>0</v>
      </c>
      <c r="U3258">
        <v>0</v>
      </c>
      <c r="V3258" s="3">
        <v>0</v>
      </c>
      <c r="W3258" s="3">
        <v>0</v>
      </c>
      <c r="X3258">
        <v>0</v>
      </c>
      <c r="Y3258" t="s">
        <v>2544</v>
      </c>
    </row>
    <row r="3259" spans="1:25" hidden="1" x14ac:dyDescent="0.25">
      <c r="A3259" t="s">
        <v>27</v>
      </c>
      <c r="B3259" t="s">
        <v>100</v>
      </c>
      <c r="C3259" t="s">
        <v>29</v>
      </c>
      <c r="D3259" t="s">
        <v>27</v>
      </c>
      <c r="E3259" s="2">
        <v>46024</v>
      </c>
      <c r="F3259" s="2">
        <v>46024</v>
      </c>
      <c r="G3259" s="3">
        <v>55</v>
      </c>
      <c r="H3259" t="s">
        <v>28</v>
      </c>
      <c r="I3259">
        <v>40</v>
      </c>
      <c r="J3259">
        <v>10</v>
      </c>
      <c r="K3259">
        <v>0</v>
      </c>
      <c r="L3259" s="3">
        <v>0</v>
      </c>
      <c r="M3259" s="3">
        <v>0</v>
      </c>
      <c r="N3259">
        <v>0</v>
      </c>
      <c r="O3259">
        <v>0</v>
      </c>
      <c r="P3259">
        <v>0</v>
      </c>
      <c r="Q3259">
        <v>0</v>
      </c>
      <c r="R3259" s="3">
        <v>0</v>
      </c>
      <c r="S3259" s="3">
        <v>0</v>
      </c>
      <c r="T3259">
        <v>0</v>
      </c>
      <c r="U3259">
        <v>0</v>
      </c>
      <c r="V3259" s="3">
        <v>0</v>
      </c>
      <c r="W3259" s="3">
        <v>0</v>
      </c>
      <c r="X3259">
        <v>0</v>
      </c>
      <c r="Y3259" t="s">
        <v>2544</v>
      </c>
    </row>
    <row r="3260" spans="1:25" hidden="1" x14ac:dyDescent="0.25">
      <c r="A3260" t="s">
        <v>344</v>
      </c>
      <c r="B3260" t="s">
        <v>102</v>
      </c>
      <c r="C3260" t="s">
        <v>35</v>
      </c>
      <c r="D3260" t="s">
        <v>27</v>
      </c>
      <c r="E3260" s="2">
        <v>46024</v>
      </c>
      <c r="F3260" s="2">
        <v>46024</v>
      </c>
      <c r="G3260" s="3">
        <v>54</v>
      </c>
      <c r="H3260" t="s">
        <v>28</v>
      </c>
      <c r="I3260">
        <v>38</v>
      </c>
      <c r="J3260">
        <v>0</v>
      </c>
      <c r="K3260">
        <v>0</v>
      </c>
      <c r="L3260" s="3">
        <v>1</v>
      </c>
      <c r="M3260" s="3">
        <v>1</v>
      </c>
      <c r="N3260">
        <v>0</v>
      </c>
      <c r="O3260">
        <v>0</v>
      </c>
      <c r="P3260">
        <v>0</v>
      </c>
      <c r="Q3260">
        <v>2</v>
      </c>
      <c r="R3260" s="3">
        <v>0</v>
      </c>
      <c r="S3260" s="3">
        <v>0</v>
      </c>
      <c r="T3260">
        <v>0</v>
      </c>
      <c r="U3260">
        <v>0</v>
      </c>
      <c r="V3260" s="3">
        <v>0</v>
      </c>
      <c r="W3260" s="3">
        <v>0</v>
      </c>
      <c r="X3260">
        <v>0</v>
      </c>
      <c r="Y3260" t="s">
        <v>2545</v>
      </c>
    </row>
    <row r="3261" spans="1:25" hidden="1" x14ac:dyDescent="0.25">
      <c r="A3261" t="s">
        <v>31</v>
      </c>
      <c r="B3261" t="s">
        <v>104</v>
      </c>
      <c r="C3261" t="s">
        <v>32</v>
      </c>
      <c r="D3261" t="s">
        <v>27</v>
      </c>
      <c r="E3261" s="2">
        <v>46024</v>
      </c>
      <c r="F3261" s="2">
        <v>46024</v>
      </c>
      <c r="G3261" s="3">
        <v>47</v>
      </c>
      <c r="H3261" t="s">
        <v>28</v>
      </c>
      <c r="I3261">
        <v>63</v>
      </c>
      <c r="J3261">
        <v>0</v>
      </c>
      <c r="K3261">
        <v>0</v>
      </c>
      <c r="L3261" s="3">
        <v>1</v>
      </c>
      <c r="M3261" s="3">
        <v>0</v>
      </c>
      <c r="N3261">
        <v>0</v>
      </c>
      <c r="O3261">
        <v>0</v>
      </c>
      <c r="P3261">
        <v>0</v>
      </c>
      <c r="Q3261">
        <v>30</v>
      </c>
      <c r="R3261" s="3">
        <v>0</v>
      </c>
      <c r="S3261" s="3">
        <v>0</v>
      </c>
      <c r="T3261">
        <v>0</v>
      </c>
      <c r="U3261">
        <v>0</v>
      </c>
      <c r="V3261" s="3">
        <v>0</v>
      </c>
      <c r="W3261" s="3">
        <v>0</v>
      </c>
      <c r="X3261" s="37">
        <v>0</v>
      </c>
      <c r="Y3261" t="s">
        <v>2546</v>
      </c>
    </row>
    <row r="3262" spans="1:25" hidden="1" x14ac:dyDescent="0.25">
      <c r="A3262" t="s">
        <v>33</v>
      </c>
      <c r="B3262" t="s">
        <v>106</v>
      </c>
      <c r="C3262" t="s">
        <v>57</v>
      </c>
      <c r="D3262" t="s">
        <v>27</v>
      </c>
      <c r="E3262" s="2">
        <v>46024</v>
      </c>
      <c r="F3262" s="2">
        <v>46024</v>
      </c>
      <c r="G3262" s="3">
        <v>24</v>
      </c>
      <c r="H3262" t="s">
        <v>28</v>
      </c>
      <c r="I3262">
        <v>47</v>
      </c>
      <c r="J3262">
        <v>0</v>
      </c>
      <c r="K3262">
        <v>0</v>
      </c>
      <c r="L3262" s="3">
        <v>0</v>
      </c>
      <c r="M3262" s="3">
        <v>0</v>
      </c>
      <c r="N3262">
        <v>0</v>
      </c>
      <c r="O3262">
        <v>0</v>
      </c>
      <c r="P3262">
        <v>0</v>
      </c>
      <c r="Q3262">
        <v>20</v>
      </c>
      <c r="R3262" s="3">
        <v>0</v>
      </c>
      <c r="S3262" s="3">
        <v>0</v>
      </c>
      <c r="T3262">
        <v>0</v>
      </c>
      <c r="U3262">
        <v>0</v>
      </c>
      <c r="V3262" s="3">
        <v>0</v>
      </c>
      <c r="W3262" s="3">
        <v>0</v>
      </c>
      <c r="X3262">
        <v>0</v>
      </c>
      <c r="Y3262" t="s">
        <v>2547</v>
      </c>
    </row>
    <row r="3263" spans="1:25" hidden="1" x14ac:dyDescent="0.25">
      <c r="A3263" t="s">
        <v>38</v>
      </c>
      <c r="B3263" t="s">
        <v>108</v>
      </c>
      <c r="C3263" t="s">
        <v>27</v>
      </c>
      <c r="D3263" t="s">
        <v>27</v>
      </c>
      <c r="E3263" s="2">
        <v>46024</v>
      </c>
      <c r="F3263" s="2">
        <v>46024</v>
      </c>
      <c r="G3263" s="3">
        <v>45</v>
      </c>
      <c r="H3263" t="s">
        <v>28</v>
      </c>
      <c r="I3263">
        <v>75</v>
      </c>
      <c r="J3263">
        <v>75</v>
      </c>
      <c r="K3263">
        <v>0</v>
      </c>
      <c r="L3263" s="3">
        <v>1</v>
      </c>
      <c r="M3263" s="3">
        <v>0</v>
      </c>
      <c r="N3263">
        <v>0</v>
      </c>
      <c r="O3263">
        <v>0</v>
      </c>
      <c r="P3263">
        <v>75</v>
      </c>
      <c r="Q3263">
        <v>75</v>
      </c>
      <c r="R3263" s="3">
        <v>0</v>
      </c>
      <c r="S3263" s="3">
        <v>0</v>
      </c>
      <c r="T3263">
        <v>0</v>
      </c>
      <c r="U3263">
        <v>0</v>
      </c>
      <c r="V3263" s="3">
        <v>0</v>
      </c>
      <c r="W3263" s="3">
        <v>0</v>
      </c>
      <c r="X3263">
        <v>1</v>
      </c>
      <c r="Y3263" t="s">
        <v>2548</v>
      </c>
    </row>
    <row r="3264" spans="1:25" hidden="1" x14ac:dyDescent="0.25">
      <c r="A3264" t="s">
        <v>40</v>
      </c>
      <c r="B3264" t="s">
        <v>110</v>
      </c>
      <c r="C3264" t="s">
        <v>27</v>
      </c>
      <c r="D3264" t="s">
        <v>27</v>
      </c>
      <c r="E3264" s="2">
        <v>46024</v>
      </c>
      <c r="F3264" s="2">
        <v>46024</v>
      </c>
      <c r="G3264" s="3">
        <v>38</v>
      </c>
      <c r="H3264" t="s">
        <v>28</v>
      </c>
      <c r="I3264">
        <v>62</v>
      </c>
      <c r="J3264">
        <v>0</v>
      </c>
      <c r="K3264">
        <v>0</v>
      </c>
      <c r="L3264" s="3">
        <v>1</v>
      </c>
      <c r="M3264" s="3">
        <v>0</v>
      </c>
      <c r="N3264">
        <v>1</v>
      </c>
      <c r="O3264">
        <v>0</v>
      </c>
      <c r="P3264">
        <v>0</v>
      </c>
      <c r="Q3264">
        <v>48</v>
      </c>
      <c r="R3264" s="3">
        <v>0</v>
      </c>
      <c r="S3264" s="3">
        <v>0</v>
      </c>
      <c r="T3264">
        <v>0</v>
      </c>
      <c r="U3264">
        <v>0</v>
      </c>
      <c r="V3264" s="3">
        <v>0</v>
      </c>
      <c r="W3264" s="3">
        <v>0</v>
      </c>
      <c r="X3264">
        <v>0</v>
      </c>
      <c r="Y3264" t="s">
        <v>2549</v>
      </c>
    </row>
    <row r="3265" spans="1:25" hidden="1" x14ac:dyDescent="0.25">
      <c r="A3265" t="s">
        <v>27</v>
      </c>
      <c r="B3265" t="s">
        <v>110</v>
      </c>
      <c r="C3265" t="s">
        <v>40</v>
      </c>
      <c r="D3265" t="s">
        <v>27</v>
      </c>
      <c r="E3265" s="2">
        <v>46024</v>
      </c>
      <c r="F3265" s="2">
        <v>46024</v>
      </c>
      <c r="G3265" s="3">
        <v>38</v>
      </c>
      <c r="H3265" t="s">
        <v>28</v>
      </c>
      <c r="I3265">
        <v>62</v>
      </c>
      <c r="J3265">
        <v>0</v>
      </c>
      <c r="K3265">
        <v>0</v>
      </c>
      <c r="L3265" s="3">
        <v>1</v>
      </c>
      <c r="M3265" s="3">
        <v>0</v>
      </c>
      <c r="N3265">
        <v>1</v>
      </c>
      <c r="O3265">
        <v>0</v>
      </c>
      <c r="P3265">
        <v>0</v>
      </c>
      <c r="Q3265">
        <v>48</v>
      </c>
      <c r="R3265" s="3">
        <v>0</v>
      </c>
      <c r="S3265" s="3">
        <v>0</v>
      </c>
      <c r="T3265">
        <v>0</v>
      </c>
      <c r="U3265">
        <v>0</v>
      </c>
      <c r="V3265" s="3">
        <v>0</v>
      </c>
      <c r="W3265" s="3">
        <v>0</v>
      </c>
      <c r="X3265">
        <v>0</v>
      </c>
      <c r="Y3265" t="s">
        <v>2549</v>
      </c>
    </row>
    <row r="3266" spans="1:25" hidden="1" x14ac:dyDescent="0.25">
      <c r="A3266" t="s">
        <v>1454</v>
      </c>
      <c r="B3266" t="s">
        <v>1455</v>
      </c>
      <c r="C3266" t="s">
        <v>27</v>
      </c>
      <c r="D3266" t="s">
        <v>27</v>
      </c>
      <c r="E3266" s="2">
        <v>46024</v>
      </c>
      <c r="F3266" s="2">
        <v>46024</v>
      </c>
      <c r="G3266" s="3">
        <v>37</v>
      </c>
      <c r="H3266" t="s">
        <v>28</v>
      </c>
      <c r="I3266">
        <v>38</v>
      </c>
      <c r="J3266">
        <v>0</v>
      </c>
      <c r="K3266">
        <v>0</v>
      </c>
      <c r="L3266" s="3">
        <v>1</v>
      </c>
      <c r="M3266" s="3">
        <v>0</v>
      </c>
      <c r="N3266">
        <v>0</v>
      </c>
      <c r="O3266">
        <v>0</v>
      </c>
      <c r="P3266">
        <v>0</v>
      </c>
      <c r="Q3266">
        <v>38</v>
      </c>
      <c r="R3266" s="3">
        <v>0</v>
      </c>
      <c r="S3266" s="3">
        <v>0</v>
      </c>
      <c r="T3266">
        <v>0</v>
      </c>
      <c r="U3266">
        <v>0</v>
      </c>
      <c r="V3266" s="3">
        <v>0</v>
      </c>
      <c r="W3266" s="3">
        <v>0</v>
      </c>
      <c r="X3266">
        <v>0</v>
      </c>
      <c r="Y3266" t="s">
        <v>2550</v>
      </c>
    </row>
    <row r="3267" spans="1:25" hidden="1" x14ac:dyDescent="0.25">
      <c r="A3267" t="s">
        <v>41</v>
      </c>
      <c r="B3267" t="s">
        <v>112</v>
      </c>
      <c r="C3267" t="s">
        <v>42</v>
      </c>
      <c r="D3267" t="s">
        <v>27</v>
      </c>
      <c r="E3267" s="2">
        <v>46024</v>
      </c>
      <c r="F3267" s="2">
        <v>46024</v>
      </c>
      <c r="G3267" s="3">
        <v>29</v>
      </c>
      <c r="H3267" t="s">
        <v>28</v>
      </c>
      <c r="I3267">
        <v>48</v>
      </c>
      <c r="J3267">
        <v>0</v>
      </c>
      <c r="K3267">
        <v>0</v>
      </c>
      <c r="L3267" s="3">
        <v>1</v>
      </c>
      <c r="M3267" s="3">
        <v>0</v>
      </c>
      <c r="N3267">
        <v>0</v>
      </c>
      <c r="O3267">
        <v>0</v>
      </c>
      <c r="P3267">
        <v>0</v>
      </c>
      <c r="Q3267">
        <v>1</v>
      </c>
      <c r="R3267" s="3">
        <v>0</v>
      </c>
      <c r="S3267" s="3">
        <v>0</v>
      </c>
      <c r="T3267">
        <v>0</v>
      </c>
      <c r="U3267">
        <v>0</v>
      </c>
      <c r="V3267" s="3">
        <v>0</v>
      </c>
      <c r="W3267" s="3">
        <v>0</v>
      </c>
      <c r="X3267">
        <v>0</v>
      </c>
      <c r="Y3267" t="s">
        <v>2551</v>
      </c>
    </row>
    <row r="3268" spans="1:25" hidden="1" x14ac:dyDescent="0.25">
      <c r="A3268" t="s">
        <v>43</v>
      </c>
      <c r="B3268" t="s">
        <v>114</v>
      </c>
      <c r="C3268" t="s">
        <v>44</v>
      </c>
      <c r="D3268" t="s">
        <v>27</v>
      </c>
      <c r="E3268" s="2">
        <v>46024</v>
      </c>
      <c r="F3268" s="2">
        <v>46024</v>
      </c>
      <c r="G3268" s="3">
        <v>33</v>
      </c>
      <c r="H3268" t="s">
        <v>28</v>
      </c>
      <c r="I3268">
        <v>37</v>
      </c>
      <c r="J3268">
        <v>0</v>
      </c>
      <c r="K3268">
        <v>0</v>
      </c>
      <c r="L3268" s="3">
        <v>1</v>
      </c>
      <c r="M3268" s="3">
        <v>0</v>
      </c>
      <c r="N3268">
        <v>0</v>
      </c>
      <c r="O3268">
        <v>0</v>
      </c>
      <c r="P3268">
        <v>0</v>
      </c>
      <c r="Q3268">
        <v>0</v>
      </c>
      <c r="R3268" s="3">
        <v>0</v>
      </c>
      <c r="S3268" s="3">
        <v>0</v>
      </c>
      <c r="T3268">
        <v>0</v>
      </c>
      <c r="U3268">
        <v>0</v>
      </c>
      <c r="V3268" s="3">
        <v>0</v>
      </c>
      <c r="W3268" s="3">
        <v>0</v>
      </c>
      <c r="X3268">
        <v>0</v>
      </c>
      <c r="Y3268" t="s">
        <v>2552</v>
      </c>
    </row>
    <row r="3269" spans="1:25" hidden="1" x14ac:dyDescent="0.25">
      <c r="A3269" t="s">
        <v>2118</v>
      </c>
      <c r="B3269" t="s">
        <v>2119</v>
      </c>
      <c r="C3269" t="s">
        <v>27</v>
      </c>
      <c r="D3269" t="s">
        <v>27</v>
      </c>
      <c r="E3269" s="2">
        <v>46024</v>
      </c>
      <c r="F3269" s="2">
        <v>46024</v>
      </c>
      <c r="G3269" s="3">
        <v>41</v>
      </c>
      <c r="H3269" t="s">
        <v>28</v>
      </c>
      <c r="I3269">
        <v>37</v>
      </c>
      <c r="J3269">
        <v>0</v>
      </c>
      <c r="K3269">
        <v>0</v>
      </c>
      <c r="L3269" s="3">
        <v>1</v>
      </c>
      <c r="M3269" s="3">
        <v>0</v>
      </c>
      <c r="N3269">
        <v>0</v>
      </c>
      <c r="O3269">
        <v>0</v>
      </c>
      <c r="P3269">
        <v>0</v>
      </c>
      <c r="Q3269">
        <v>37</v>
      </c>
      <c r="R3269" s="3">
        <v>0</v>
      </c>
      <c r="S3269" s="3">
        <v>0</v>
      </c>
      <c r="T3269">
        <v>0</v>
      </c>
      <c r="U3269">
        <v>0</v>
      </c>
      <c r="V3269" s="3">
        <v>0</v>
      </c>
      <c r="W3269" s="3">
        <v>0</v>
      </c>
      <c r="X3269">
        <v>0</v>
      </c>
      <c r="Y3269" t="s">
        <v>2553</v>
      </c>
    </row>
    <row r="3270" spans="1:25" hidden="1" x14ac:dyDescent="0.25">
      <c r="A3270" t="s">
        <v>45</v>
      </c>
      <c r="B3270" t="s">
        <v>116</v>
      </c>
      <c r="C3270" t="s">
        <v>46</v>
      </c>
      <c r="D3270" t="s">
        <v>27</v>
      </c>
      <c r="E3270" s="2">
        <v>46024</v>
      </c>
      <c r="F3270" s="2">
        <v>46024</v>
      </c>
      <c r="G3270" s="3">
        <v>40</v>
      </c>
      <c r="H3270" t="s">
        <v>28</v>
      </c>
      <c r="I3270">
        <v>60</v>
      </c>
      <c r="J3270">
        <v>0</v>
      </c>
      <c r="K3270">
        <v>0</v>
      </c>
      <c r="L3270" s="3">
        <v>1</v>
      </c>
      <c r="M3270" s="3">
        <v>0</v>
      </c>
      <c r="N3270">
        <v>0</v>
      </c>
      <c r="O3270">
        <v>0</v>
      </c>
      <c r="P3270">
        <v>0</v>
      </c>
      <c r="Q3270">
        <v>8</v>
      </c>
      <c r="R3270" s="3">
        <v>0</v>
      </c>
      <c r="S3270" s="3">
        <v>0</v>
      </c>
      <c r="T3270">
        <v>0</v>
      </c>
      <c r="U3270">
        <v>0</v>
      </c>
      <c r="V3270" s="3">
        <v>0</v>
      </c>
      <c r="W3270" s="3">
        <v>0</v>
      </c>
      <c r="X3270">
        <v>0</v>
      </c>
      <c r="Y3270" t="s">
        <v>2554</v>
      </c>
    </row>
    <row r="3271" spans="1:25" hidden="1" x14ac:dyDescent="0.25">
      <c r="A3271" t="s">
        <v>47</v>
      </c>
      <c r="B3271" t="s">
        <v>137</v>
      </c>
      <c r="C3271" t="s">
        <v>2310</v>
      </c>
      <c r="D3271" t="s">
        <v>27</v>
      </c>
      <c r="E3271" s="2">
        <v>46024</v>
      </c>
      <c r="F3271" s="2">
        <v>46024</v>
      </c>
      <c r="G3271" s="3">
        <v>205</v>
      </c>
      <c r="H3271" t="s">
        <v>28</v>
      </c>
      <c r="I3271">
        <v>50</v>
      </c>
      <c r="J3271">
        <v>45</v>
      </c>
      <c r="K3271">
        <v>0</v>
      </c>
      <c r="L3271" s="3">
        <v>1</v>
      </c>
      <c r="M3271" s="3">
        <v>0</v>
      </c>
      <c r="N3271">
        <v>0</v>
      </c>
      <c r="O3271">
        <v>0</v>
      </c>
      <c r="P3271">
        <v>0</v>
      </c>
      <c r="Q3271">
        <v>10</v>
      </c>
      <c r="R3271" s="3">
        <v>0</v>
      </c>
      <c r="S3271" s="3">
        <v>0</v>
      </c>
      <c r="T3271">
        <v>0</v>
      </c>
      <c r="U3271">
        <v>0</v>
      </c>
      <c r="V3271" s="3">
        <v>0</v>
      </c>
      <c r="W3271" s="3">
        <v>0</v>
      </c>
      <c r="X3271">
        <v>2</v>
      </c>
      <c r="Y3271" t="s">
        <v>2555</v>
      </c>
    </row>
    <row r="3272" spans="1:25" hidden="1" x14ac:dyDescent="0.25">
      <c r="A3272" t="s">
        <v>27</v>
      </c>
      <c r="B3272" t="s">
        <v>118</v>
      </c>
      <c r="C3272" t="s">
        <v>50</v>
      </c>
      <c r="D3272" t="s">
        <v>27</v>
      </c>
      <c r="E3272" s="2">
        <v>46024</v>
      </c>
      <c r="F3272" s="2">
        <v>46024</v>
      </c>
      <c r="G3272" s="3">
        <v>27</v>
      </c>
      <c r="H3272" t="s">
        <v>28</v>
      </c>
      <c r="I3272">
        <v>38</v>
      </c>
      <c r="J3272">
        <v>0</v>
      </c>
      <c r="K3272">
        <v>0</v>
      </c>
      <c r="L3272" s="3">
        <v>1</v>
      </c>
      <c r="M3272" s="3">
        <v>1</v>
      </c>
      <c r="N3272">
        <v>0</v>
      </c>
      <c r="O3272">
        <v>0</v>
      </c>
      <c r="P3272">
        <v>0</v>
      </c>
      <c r="Q3272">
        <v>38</v>
      </c>
      <c r="R3272" s="3">
        <v>0</v>
      </c>
      <c r="S3272" s="3">
        <v>0</v>
      </c>
      <c r="T3272">
        <v>0</v>
      </c>
      <c r="U3272">
        <v>0</v>
      </c>
      <c r="V3272" s="3">
        <v>0</v>
      </c>
      <c r="W3272" s="3">
        <v>0</v>
      </c>
      <c r="X3272">
        <v>0</v>
      </c>
      <c r="Y3272" t="s">
        <v>2556</v>
      </c>
    </row>
    <row r="3273" spans="1:25" hidden="1" x14ac:dyDescent="0.25">
      <c r="A3273" t="s">
        <v>54</v>
      </c>
      <c r="B3273" t="s">
        <v>122</v>
      </c>
      <c r="C3273" t="s">
        <v>95</v>
      </c>
      <c r="D3273" t="s">
        <v>27</v>
      </c>
      <c r="E3273" s="2">
        <v>46024</v>
      </c>
      <c r="F3273" s="2">
        <v>46024</v>
      </c>
      <c r="G3273" s="3">
        <v>38</v>
      </c>
      <c r="H3273" t="s">
        <v>28</v>
      </c>
      <c r="I3273">
        <v>56</v>
      </c>
      <c r="J3273">
        <v>0</v>
      </c>
      <c r="K3273">
        <v>0</v>
      </c>
      <c r="L3273" s="3">
        <v>0</v>
      </c>
      <c r="M3273" s="3">
        <v>0</v>
      </c>
      <c r="N3273">
        <v>0</v>
      </c>
      <c r="O3273">
        <v>0</v>
      </c>
      <c r="P3273">
        <v>0</v>
      </c>
      <c r="Q3273">
        <v>2</v>
      </c>
      <c r="R3273" s="3">
        <v>0</v>
      </c>
      <c r="S3273" s="3">
        <v>0</v>
      </c>
      <c r="T3273">
        <v>0</v>
      </c>
      <c r="U3273">
        <v>0</v>
      </c>
      <c r="V3273" s="3">
        <v>0</v>
      </c>
      <c r="W3273" s="3">
        <v>0</v>
      </c>
      <c r="X3273">
        <v>1</v>
      </c>
      <c r="Y3273" t="s">
        <v>2557</v>
      </c>
    </row>
    <row r="3274" spans="1:25" hidden="1" x14ac:dyDescent="0.25">
      <c r="A3274" t="s">
        <v>48</v>
      </c>
      <c r="B3274" t="s">
        <v>149</v>
      </c>
      <c r="C3274" t="s">
        <v>37</v>
      </c>
      <c r="D3274" t="s">
        <v>27</v>
      </c>
      <c r="E3274" s="2">
        <v>46024</v>
      </c>
      <c r="F3274" s="2">
        <v>46024</v>
      </c>
      <c r="G3274" s="3">
        <v>23</v>
      </c>
      <c r="H3274" t="s">
        <v>28</v>
      </c>
      <c r="I3274">
        <v>78</v>
      </c>
      <c r="J3274">
        <v>0</v>
      </c>
      <c r="K3274">
        <v>0</v>
      </c>
      <c r="L3274" s="3">
        <v>1</v>
      </c>
      <c r="M3274" s="3">
        <v>0</v>
      </c>
      <c r="N3274">
        <v>0</v>
      </c>
      <c r="O3274">
        <v>0</v>
      </c>
      <c r="P3274">
        <v>0</v>
      </c>
      <c r="Q3274">
        <v>0</v>
      </c>
      <c r="R3274" s="3">
        <v>0</v>
      </c>
      <c r="S3274" s="3">
        <v>0</v>
      </c>
      <c r="T3274">
        <v>0</v>
      </c>
      <c r="U3274">
        <v>0</v>
      </c>
      <c r="V3274" s="3">
        <v>0</v>
      </c>
      <c r="W3274" s="3">
        <v>0</v>
      </c>
      <c r="X3274">
        <v>0</v>
      </c>
      <c r="Y3274" t="s">
        <v>2558</v>
      </c>
    </row>
    <row r="3275" spans="1:25" hidden="1" x14ac:dyDescent="0.25">
      <c r="A3275" t="s">
        <v>58</v>
      </c>
      <c r="B3275" t="s">
        <v>144</v>
      </c>
      <c r="C3275" t="s">
        <v>27</v>
      </c>
      <c r="D3275" t="s">
        <v>27</v>
      </c>
      <c r="E3275" s="2">
        <v>46024</v>
      </c>
      <c r="F3275" s="2">
        <v>46024</v>
      </c>
      <c r="G3275" s="3">
        <v>54</v>
      </c>
      <c r="H3275" t="s">
        <v>28</v>
      </c>
      <c r="I3275">
        <v>70</v>
      </c>
      <c r="J3275">
        <v>0</v>
      </c>
      <c r="K3275">
        <v>0</v>
      </c>
      <c r="L3275" s="3">
        <v>1</v>
      </c>
      <c r="M3275" s="3">
        <v>0</v>
      </c>
      <c r="N3275">
        <v>0</v>
      </c>
      <c r="O3275">
        <v>0</v>
      </c>
      <c r="P3275">
        <v>0</v>
      </c>
      <c r="Q3275">
        <v>40</v>
      </c>
      <c r="R3275" s="3">
        <v>0</v>
      </c>
      <c r="S3275" s="3">
        <v>0</v>
      </c>
      <c r="T3275">
        <v>0</v>
      </c>
      <c r="U3275">
        <v>0</v>
      </c>
      <c r="V3275" s="3">
        <v>0</v>
      </c>
      <c r="W3275" s="3">
        <v>0</v>
      </c>
      <c r="X3275">
        <v>0</v>
      </c>
      <c r="Y3275" t="s">
        <v>2450</v>
      </c>
    </row>
    <row r="3276" spans="1:25" hidden="1" x14ac:dyDescent="0.25">
      <c r="A3276" t="s">
        <v>27</v>
      </c>
      <c r="B3276" t="s">
        <v>144</v>
      </c>
      <c r="C3276" t="s">
        <v>2126</v>
      </c>
      <c r="D3276" t="s">
        <v>27</v>
      </c>
      <c r="E3276" s="2">
        <v>46024</v>
      </c>
      <c r="F3276" s="2">
        <v>46024</v>
      </c>
      <c r="G3276" s="3">
        <v>54</v>
      </c>
      <c r="H3276" t="s">
        <v>28</v>
      </c>
      <c r="I3276">
        <v>70</v>
      </c>
      <c r="J3276">
        <v>0</v>
      </c>
      <c r="K3276">
        <v>0</v>
      </c>
      <c r="L3276" s="3">
        <v>1</v>
      </c>
      <c r="M3276" s="3">
        <v>0</v>
      </c>
      <c r="N3276">
        <v>0</v>
      </c>
      <c r="O3276">
        <v>0</v>
      </c>
      <c r="P3276">
        <v>0</v>
      </c>
      <c r="Q3276">
        <v>40</v>
      </c>
      <c r="R3276" s="3">
        <v>0</v>
      </c>
      <c r="S3276" s="3">
        <v>0</v>
      </c>
      <c r="T3276">
        <v>0</v>
      </c>
      <c r="U3276">
        <v>0</v>
      </c>
      <c r="V3276" s="3">
        <v>0</v>
      </c>
      <c r="W3276" s="3">
        <v>0</v>
      </c>
      <c r="X3276">
        <v>0</v>
      </c>
      <c r="Y3276" t="s">
        <v>2450</v>
      </c>
    </row>
    <row r="3277" spans="1:25" hidden="1" x14ac:dyDescent="0.25">
      <c r="A3277" t="s">
        <v>27</v>
      </c>
      <c r="B3277" t="s">
        <v>106</v>
      </c>
      <c r="C3277" t="s">
        <v>52</v>
      </c>
      <c r="D3277" t="s">
        <v>27</v>
      </c>
      <c r="E3277" s="2">
        <v>46024</v>
      </c>
      <c r="F3277" s="2">
        <v>46024</v>
      </c>
      <c r="G3277" s="3">
        <v>55</v>
      </c>
      <c r="H3277" t="s">
        <v>2143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2450</v>
      </c>
    </row>
    <row r="3278" spans="1:25" hidden="1" x14ac:dyDescent="0.25">
      <c r="A3278" t="s">
        <v>27</v>
      </c>
      <c r="B3278" t="s">
        <v>182</v>
      </c>
      <c r="C3278" t="s">
        <v>2379</v>
      </c>
      <c r="D3278" t="s">
        <v>27</v>
      </c>
      <c r="E3278" s="2">
        <v>46024</v>
      </c>
      <c r="F3278" s="2">
        <v>46024</v>
      </c>
      <c r="G3278" s="3">
        <v>56</v>
      </c>
      <c r="H3278" t="s">
        <v>1395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2450</v>
      </c>
    </row>
    <row r="3279" spans="1:25" hidden="1" x14ac:dyDescent="0.25">
      <c r="A3279" t="s">
        <v>27</v>
      </c>
      <c r="B3279" t="s">
        <v>184</v>
      </c>
      <c r="C3279" t="s">
        <v>2534</v>
      </c>
      <c r="D3279" t="s">
        <v>27</v>
      </c>
      <c r="E3279" s="2">
        <v>46024</v>
      </c>
      <c r="F3279" s="2">
        <v>46024</v>
      </c>
      <c r="G3279" s="3">
        <v>57</v>
      </c>
      <c r="H3279" t="s">
        <v>1395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2450</v>
      </c>
    </row>
    <row r="3280" spans="1:25" hidden="1" x14ac:dyDescent="0.25">
      <c r="A3280" t="s">
        <v>27</v>
      </c>
      <c r="B3280" t="s">
        <v>186</v>
      </c>
      <c r="C3280" t="s">
        <v>2514</v>
      </c>
      <c r="D3280" t="s">
        <v>27</v>
      </c>
      <c r="E3280" s="2">
        <v>46024</v>
      </c>
      <c r="F3280" s="2">
        <v>46024</v>
      </c>
      <c r="G3280" s="3">
        <v>58</v>
      </c>
      <c r="H3280" t="s">
        <v>1395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2450</v>
      </c>
    </row>
    <row r="3281" spans="1:25" hidden="1" x14ac:dyDescent="0.25">
      <c r="A3281" t="s">
        <v>49</v>
      </c>
      <c r="B3281" t="s">
        <v>188</v>
      </c>
      <c r="C3281" t="s">
        <v>27</v>
      </c>
      <c r="D3281" t="s">
        <v>27</v>
      </c>
      <c r="E3281" s="2">
        <v>46024</v>
      </c>
      <c r="F3281" s="2">
        <v>46024</v>
      </c>
      <c r="G3281" s="3">
        <v>59</v>
      </c>
      <c r="H3281" t="s">
        <v>180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2450</v>
      </c>
    </row>
    <row r="3282" spans="1:25" hidden="1" x14ac:dyDescent="0.25">
      <c r="A3282" t="s">
        <v>51</v>
      </c>
      <c r="B3282" t="s">
        <v>120</v>
      </c>
      <c r="C3282" t="s">
        <v>27</v>
      </c>
      <c r="D3282" t="s">
        <v>27</v>
      </c>
      <c r="E3282" s="2">
        <v>46024</v>
      </c>
      <c r="F3282" s="2">
        <v>46024</v>
      </c>
      <c r="G3282" s="3">
        <v>60</v>
      </c>
      <c r="H3282" t="s">
        <v>1256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2450</v>
      </c>
    </row>
    <row r="3283" spans="1:25" hidden="1" x14ac:dyDescent="0.25">
      <c r="A3283" t="s">
        <v>36</v>
      </c>
      <c r="B3283" t="s">
        <v>106</v>
      </c>
      <c r="C3283" t="s">
        <v>27</v>
      </c>
      <c r="D3283" t="s">
        <v>27</v>
      </c>
      <c r="E3283" s="2">
        <v>46024</v>
      </c>
      <c r="F3283" s="2">
        <v>46024</v>
      </c>
      <c r="G3283" s="3">
        <v>37</v>
      </c>
      <c r="H3283" s="4" t="s">
        <v>1395</v>
      </c>
      <c r="I3283">
        <v>0</v>
      </c>
      <c r="J3283">
        <v>0</v>
      </c>
      <c r="K3283">
        <v>0</v>
      </c>
      <c r="L3283" s="3">
        <v>0</v>
      </c>
      <c r="M3283" s="3">
        <v>0</v>
      </c>
      <c r="N3283">
        <v>0</v>
      </c>
      <c r="O3283">
        <v>0</v>
      </c>
      <c r="P3283">
        <v>0</v>
      </c>
      <c r="Q3283">
        <v>0</v>
      </c>
      <c r="R3283" s="3">
        <v>0</v>
      </c>
      <c r="S3283" s="3">
        <v>0</v>
      </c>
      <c r="T3283">
        <v>0</v>
      </c>
      <c r="U3283">
        <v>0</v>
      </c>
      <c r="V3283" s="3">
        <v>0</v>
      </c>
      <c r="W3283" s="3">
        <v>0</v>
      </c>
      <c r="X3283" s="3">
        <v>0</v>
      </c>
      <c r="Y3283" t="s">
        <v>2450</v>
      </c>
    </row>
    <row r="3284" spans="1:25" hidden="1" x14ac:dyDescent="0.25">
      <c r="A3284" t="s">
        <v>41</v>
      </c>
      <c r="B3284" t="s">
        <v>112</v>
      </c>
      <c r="C3284" t="s">
        <v>42</v>
      </c>
      <c r="D3284" t="s">
        <v>27</v>
      </c>
      <c r="E3284" s="2">
        <v>46025</v>
      </c>
      <c r="F3284" s="2">
        <v>46025</v>
      </c>
      <c r="G3284" s="3">
        <v>54</v>
      </c>
      <c r="H3284" t="s">
        <v>28</v>
      </c>
      <c r="I3284">
        <v>0</v>
      </c>
      <c r="J3284">
        <v>0</v>
      </c>
      <c r="K3284">
        <v>0</v>
      </c>
      <c r="L3284" s="3">
        <v>0</v>
      </c>
      <c r="M3284" s="3">
        <v>0</v>
      </c>
      <c r="N3284">
        <v>0</v>
      </c>
      <c r="O3284">
        <v>0</v>
      </c>
      <c r="P3284">
        <v>0</v>
      </c>
      <c r="Q3284">
        <v>20</v>
      </c>
      <c r="R3284" s="3">
        <v>1</v>
      </c>
      <c r="S3284" s="3">
        <v>0</v>
      </c>
      <c r="T3284">
        <v>11</v>
      </c>
      <c r="U3284">
        <v>22</v>
      </c>
      <c r="V3284" s="3">
        <v>1</v>
      </c>
      <c r="W3284" s="3">
        <v>0</v>
      </c>
      <c r="X3284">
        <v>3</v>
      </c>
      <c r="Y3284" t="s">
        <v>2497</v>
      </c>
    </row>
    <row r="3285" spans="1:25" hidden="1" x14ac:dyDescent="0.25">
      <c r="A3285" t="s">
        <v>33</v>
      </c>
      <c r="B3285" t="s">
        <v>106</v>
      </c>
      <c r="C3285" t="s">
        <v>55</v>
      </c>
      <c r="D3285" t="s">
        <v>27</v>
      </c>
      <c r="E3285" s="2">
        <v>46026</v>
      </c>
      <c r="F3285" s="2">
        <v>46026</v>
      </c>
      <c r="G3285" s="3">
        <v>40</v>
      </c>
      <c r="H3285" t="s">
        <v>28</v>
      </c>
      <c r="I3285">
        <v>0</v>
      </c>
      <c r="J3285">
        <v>0</v>
      </c>
      <c r="K3285">
        <v>0</v>
      </c>
      <c r="L3285" s="3">
        <v>0</v>
      </c>
      <c r="M3285" s="3">
        <v>0</v>
      </c>
      <c r="N3285">
        <v>0</v>
      </c>
      <c r="O3285">
        <v>0</v>
      </c>
      <c r="P3285">
        <v>0</v>
      </c>
      <c r="Q3285">
        <v>0</v>
      </c>
      <c r="R3285" s="3">
        <v>0</v>
      </c>
      <c r="S3285" s="3">
        <v>1</v>
      </c>
      <c r="T3285">
        <v>3</v>
      </c>
      <c r="U3285">
        <v>11</v>
      </c>
      <c r="V3285" s="3">
        <v>0</v>
      </c>
      <c r="W3285" s="3">
        <v>1</v>
      </c>
      <c r="X3285">
        <v>0</v>
      </c>
      <c r="Y3285" t="s">
        <v>2559</v>
      </c>
    </row>
    <row r="3286" spans="1:25" hidden="1" x14ac:dyDescent="0.25">
      <c r="A3286" t="s">
        <v>54</v>
      </c>
      <c r="B3286" t="s">
        <v>122</v>
      </c>
      <c r="C3286" t="s">
        <v>52</v>
      </c>
      <c r="D3286" t="s">
        <v>27</v>
      </c>
      <c r="E3286" s="2">
        <v>46026</v>
      </c>
      <c r="F3286" s="2">
        <v>46026</v>
      </c>
      <c r="G3286" s="3">
        <v>88</v>
      </c>
      <c r="H3286" t="s">
        <v>28</v>
      </c>
      <c r="I3286">
        <v>0</v>
      </c>
      <c r="J3286">
        <v>0</v>
      </c>
      <c r="K3286">
        <v>0</v>
      </c>
      <c r="L3286" s="3">
        <v>0</v>
      </c>
      <c r="M3286" s="3">
        <v>0</v>
      </c>
      <c r="N3286">
        <v>0</v>
      </c>
      <c r="O3286">
        <v>0</v>
      </c>
      <c r="P3286">
        <v>0</v>
      </c>
      <c r="Q3286">
        <v>0</v>
      </c>
      <c r="R3286" s="3">
        <v>0</v>
      </c>
      <c r="S3286" s="3">
        <v>1</v>
      </c>
      <c r="T3286">
        <v>6</v>
      </c>
      <c r="U3286">
        <v>41</v>
      </c>
      <c r="V3286" s="3">
        <v>0</v>
      </c>
      <c r="W3286" s="3">
        <v>1</v>
      </c>
      <c r="X3286">
        <v>0</v>
      </c>
      <c r="Y3286" t="s">
        <v>2560</v>
      </c>
    </row>
    <row r="3287" spans="1:25" hidden="1" x14ac:dyDescent="0.25">
      <c r="A3287" t="s">
        <v>55</v>
      </c>
      <c r="B3287" t="s">
        <v>2072</v>
      </c>
      <c r="C3287" t="s">
        <v>2379</v>
      </c>
      <c r="D3287" t="s">
        <v>27</v>
      </c>
      <c r="E3287" s="2">
        <v>46027</v>
      </c>
      <c r="F3287" s="2">
        <v>46027</v>
      </c>
      <c r="G3287" s="3">
        <v>61</v>
      </c>
      <c r="H3287" t="s">
        <v>28</v>
      </c>
      <c r="I3287">
        <v>37</v>
      </c>
      <c r="J3287">
        <v>0</v>
      </c>
      <c r="K3287">
        <v>0</v>
      </c>
      <c r="L3287" s="3">
        <v>1</v>
      </c>
      <c r="M3287" s="3">
        <v>0</v>
      </c>
      <c r="N3287">
        <v>1</v>
      </c>
      <c r="O3287">
        <v>0</v>
      </c>
      <c r="P3287">
        <v>0</v>
      </c>
      <c r="Q3287">
        <v>0</v>
      </c>
      <c r="R3287" s="3">
        <v>0</v>
      </c>
      <c r="S3287" s="3">
        <v>0</v>
      </c>
      <c r="T3287">
        <v>0</v>
      </c>
      <c r="U3287">
        <v>0</v>
      </c>
      <c r="V3287" s="3">
        <v>0</v>
      </c>
      <c r="W3287" s="3">
        <v>0</v>
      </c>
      <c r="X3287">
        <v>0</v>
      </c>
      <c r="Y3287" t="s">
        <v>2561</v>
      </c>
    </row>
    <row r="3288" spans="1:25" hidden="1" x14ac:dyDescent="0.25">
      <c r="A3288" t="s">
        <v>25</v>
      </c>
      <c r="B3288" t="s">
        <v>96</v>
      </c>
      <c r="C3288" t="s">
        <v>26</v>
      </c>
      <c r="D3288" t="s">
        <v>27</v>
      </c>
      <c r="E3288" s="2">
        <v>46027</v>
      </c>
      <c r="F3288" s="2">
        <v>46027</v>
      </c>
      <c r="G3288" s="3">
        <v>56</v>
      </c>
      <c r="H3288" t="s">
        <v>28</v>
      </c>
      <c r="I3288">
        <v>40</v>
      </c>
      <c r="J3288">
        <v>0</v>
      </c>
      <c r="K3288">
        <v>0</v>
      </c>
      <c r="L3288" s="3">
        <v>1</v>
      </c>
      <c r="M3288" s="3">
        <v>0</v>
      </c>
      <c r="N3288">
        <v>1</v>
      </c>
      <c r="O3288">
        <v>0</v>
      </c>
      <c r="P3288">
        <v>0</v>
      </c>
      <c r="Q3288">
        <v>0</v>
      </c>
      <c r="R3288" s="3">
        <v>0</v>
      </c>
      <c r="S3288" s="3">
        <v>0</v>
      </c>
      <c r="T3288">
        <v>0</v>
      </c>
      <c r="U3288">
        <v>0</v>
      </c>
      <c r="V3288" s="3">
        <v>0</v>
      </c>
      <c r="W3288" s="3">
        <v>0</v>
      </c>
      <c r="X3288">
        <v>0</v>
      </c>
      <c r="Y3288" t="s">
        <v>2562</v>
      </c>
    </row>
    <row r="3289" spans="1:25" hidden="1" x14ac:dyDescent="0.25">
      <c r="A3289" t="s">
        <v>29</v>
      </c>
      <c r="B3289" t="s">
        <v>100</v>
      </c>
      <c r="C3289" t="s">
        <v>27</v>
      </c>
      <c r="D3289" t="s">
        <v>27</v>
      </c>
      <c r="E3289" s="2">
        <v>46027</v>
      </c>
      <c r="F3289" s="2">
        <v>46027</v>
      </c>
      <c r="G3289" s="3">
        <v>36</v>
      </c>
      <c r="H3289" t="s">
        <v>28</v>
      </c>
      <c r="I3289">
        <v>30</v>
      </c>
      <c r="J3289">
        <v>0</v>
      </c>
      <c r="K3289">
        <v>0</v>
      </c>
      <c r="L3289" s="3">
        <v>0</v>
      </c>
      <c r="M3289" s="3">
        <v>0</v>
      </c>
      <c r="N3289">
        <v>0</v>
      </c>
      <c r="O3289">
        <v>0</v>
      </c>
      <c r="P3289">
        <v>0</v>
      </c>
      <c r="Q3289">
        <v>0</v>
      </c>
      <c r="R3289" s="3">
        <v>0</v>
      </c>
      <c r="S3289" s="3">
        <v>0</v>
      </c>
      <c r="T3289">
        <v>0</v>
      </c>
      <c r="U3289">
        <v>0</v>
      </c>
      <c r="V3289" s="3">
        <v>0</v>
      </c>
      <c r="W3289" s="3">
        <v>0</v>
      </c>
      <c r="X3289">
        <v>0</v>
      </c>
      <c r="Y3289" t="s">
        <v>2563</v>
      </c>
    </row>
    <row r="3290" spans="1:25" hidden="1" x14ac:dyDescent="0.25">
      <c r="A3290" t="s">
        <v>27</v>
      </c>
      <c r="B3290" t="s">
        <v>100</v>
      </c>
      <c r="C3290" t="s">
        <v>29</v>
      </c>
      <c r="D3290" t="s">
        <v>27</v>
      </c>
      <c r="E3290" s="2">
        <v>46027</v>
      </c>
      <c r="F3290" s="2">
        <v>46027</v>
      </c>
      <c r="G3290" s="3">
        <v>36</v>
      </c>
      <c r="H3290" t="s">
        <v>28</v>
      </c>
      <c r="I3290">
        <v>30</v>
      </c>
      <c r="J3290">
        <v>0</v>
      </c>
      <c r="K3290">
        <v>0</v>
      </c>
      <c r="L3290" s="3">
        <v>0</v>
      </c>
      <c r="M3290" s="3">
        <v>0</v>
      </c>
      <c r="N3290">
        <v>0</v>
      </c>
      <c r="O3290">
        <v>0</v>
      </c>
      <c r="P3290">
        <v>0</v>
      </c>
      <c r="Q3290">
        <v>0</v>
      </c>
      <c r="R3290" s="3">
        <v>0</v>
      </c>
      <c r="S3290" s="3">
        <v>0</v>
      </c>
      <c r="T3290">
        <v>0</v>
      </c>
      <c r="U3290">
        <v>0</v>
      </c>
      <c r="V3290" s="3">
        <v>0</v>
      </c>
      <c r="W3290" s="3">
        <v>0</v>
      </c>
      <c r="X3290">
        <v>0</v>
      </c>
      <c r="Y3290" t="s">
        <v>2563</v>
      </c>
    </row>
    <row r="3291" spans="1:25" hidden="1" x14ac:dyDescent="0.25">
      <c r="A3291" t="s">
        <v>344</v>
      </c>
      <c r="B3291" t="s">
        <v>102</v>
      </c>
      <c r="C3291" t="s">
        <v>35</v>
      </c>
      <c r="D3291" t="s">
        <v>27</v>
      </c>
      <c r="E3291" s="2">
        <v>46027</v>
      </c>
      <c r="F3291" s="2">
        <v>46027</v>
      </c>
      <c r="G3291" s="3">
        <v>54</v>
      </c>
      <c r="H3291" t="s">
        <v>28</v>
      </c>
      <c r="I3291">
        <v>38</v>
      </c>
      <c r="J3291">
        <v>0</v>
      </c>
      <c r="K3291">
        <v>0</v>
      </c>
      <c r="L3291" s="3">
        <v>1</v>
      </c>
      <c r="M3291" s="3">
        <v>1</v>
      </c>
      <c r="N3291">
        <v>0</v>
      </c>
      <c r="O3291">
        <v>0</v>
      </c>
      <c r="P3291">
        <v>0</v>
      </c>
      <c r="Q3291">
        <v>2</v>
      </c>
      <c r="R3291" s="3">
        <v>0</v>
      </c>
      <c r="S3291" s="3">
        <v>0</v>
      </c>
      <c r="T3291">
        <v>0</v>
      </c>
      <c r="U3291">
        <v>0</v>
      </c>
      <c r="V3291" s="3">
        <v>0</v>
      </c>
      <c r="W3291" s="3">
        <v>0</v>
      </c>
      <c r="X3291">
        <v>0</v>
      </c>
      <c r="Y3291" t="s">
        <v>2545</v>
      </c>
    </row>
    <row r="3292" spans="1:25" hidden="1" x14ac:dyDescent="0.25">
      <c r="A3292" t="s">
        <v>31</v>
      </c>
      <c r="B3292" t="s">
        <v>104</v>
      </c>
      <c r="C3292" t="s">
        <v>32</v>
      </c>
      <c r="D3292" t="s">
        <v>27</v>
      </c>
      <c r="E3292" s="2">
        <v>46027</v>
      </c>
      <c r="F3292" s="2">
        <v>46027</v>
      </c>
      <c r="G3292" s="3">
        <v>53</v>
      </c>
      <c r="H3292" t="s">
        <v>28</v>
      </c>
      <c r="I3292">
        <v>82</v>
      </c>
      <c r="J3292">
        <v>0</v>
      </c>
      <c r="K3292">
        <v>0</v>
      </c>
      <c r="L3292" s="3">
        <v>1</v>
      </c>
      <c r="M3292" s="3">
        <v>0</v>
      </c>
      <c r="N3292">
        <v>0</v>
      </c>
      <c r="O3292">
        <v>0</v>
      </c>
      <c r="P3292">
        <v>0</v>
      </c>
      <c r="Q3292">
        <v>30</v>
      </c>
      <c r="R3292" s="3">
        <v>0</v>
      </c>
      <c r="S3292" s="3">
        <v>0</v>
      </c>
      <c r="T3292">
        <v>0</v>
      </c>
      <c r="U3292">
        <v>0</v>
      </c>
      <c r="V3292" s="3">
        <v>0</v>
      </c>
      <c r="W3292" s="3">
        <v>0</v>
      </c>
      <c r="X3292" s="37">
        <v>0</v>
      </c>
      <c r="Y3292" t="s">
        <v>2564</v>
      </c>
    </row>
    <row r="3293" spans="1:25" hidden="1" x14ac:dyDescent="0.25">
      <c r="A3293" t="s">
        <v>33</v>
      </c>
      <c r="B3293" t="s">
        <v>106</v>
      </c>
      <c r="C3293" t="s">
        <v>57</v>
      </c>
      <c r="D3293" t="s">
        <v>27</v>
      </c>
      <c r="E3293" s="2">
        <v>46027</v>
      </c>
      <c r="F3293" s="2">
        <v>46027</v>
      </c>
      <c r="G3293" s="3">
        <v>28</v>
      </c>
      <c r="H3293" t="s">
        <v>28</v>
      </c>
      <c r="I3293">
        <v>69</v>
      </c>
      <c r="J3293">
        <v>0</v>
      </c>
      <c r="K3293">
        <v>0</v>
      </c>
      <c r="L3293" s="3">
        <v>0</v>
      </c>
      <c r="M3293" s="3">
        <v>0</v>
      </c>
      <c r="N3293">
        <v>0</v>
      </c>
      <c r="O3293">
        <v>0</v>
      </c>
      <c r="P3293">
        <v>0</v>
      </c>
      <c r="Q3293">
        <v>21</v>
      </c>
      <c r="R3293" s="3">
        <v>0</v>
      </c>
      <c r="S3293" s="3">
        <v>0</v>
      </c>
      <c r="T3293">
        <v>0</v>
      </c>
      <c r="U3293">
        <v>0</v>
      </c>
      <c r="V3293" s="3">
        <v>0</v>
      </c>
      <c r="W3293" s="3">
        <v>0</v>
      </c>
      <c r="X3293">
        <v>0</v>
      </c>
      <c r="Y3293" t="s">
        <v>2565</v>
      </c>
    </row>
    <row r="3294" spans="1:25" hidden="1" x14ac:dyDescent="0.25">
      <c r="A3294" t="s">
        <v>36</v>
      </c>
      <c r="B3294" t="s">
        <v>249</v>
      </c>
      <c r="C3294" t="s">
        <v>2534</v>
      </c>
      <c r="D3294" t="s">
        <v>27</v>
      </c>
      <c r="E3294" s="2">
        <v>46027</v>
      </c>
      <c r="F3294" s="2">
        <v>46027</v>
      </c>
      <c r="G3294" s="3">
        <v>111</v>
      </c>
      <c r="H3294" t="s">
        <v>28</v>
      </c>
      <c r="I3294">
        <v>65</v>
      </c>
      <c r="J3294">
        <v>0</v>
      </c>
      <c r="K3294">
        <v>0</v>
      </c>
      <c r="L3294" s="3">
        <v>1</v>
      </c>
      <c r="M3294" s="3">
        <v>0</v>
      </c>
      <c r="N3294">
        <v>1</v>
      </c>
      <c r="O3294">
        <v>0</v>
      </c>
      <c r="P3294">
        <v>0</v>
      </c>
      <c r="Q3294">
        <v>0</v>
      </c>
      <c r="R3294" s="3">
        <v>0</v>
      </c>
      <c r="S3294" s="3">
        <v>0</v>
      </c>
      <c r="T3294">
        <v>0</v>
      </c>
      <c r="U3294">
        <v>0</v>
      </c>
      <c r="V3294" s="3">
        <v>0</v>
      </c>
      <c r="W3294" s="3">
        <v>0</v>
      </c>
      <c r="X3294">
        <v>0</v>
      </c>
      <c r="Y3294" t="s">
        <v>2566</v>
      </c>
    </row>
    <row r="3295" spans="1:25" hidden="1" x14ac:dyDescent="0.25">
      <c r="A3295" t="s">
        <v>38</v>
      </c>
      <c r="B3295" t="s">
        <v>108</v>
      </c>
      <c r="C3295" t="s">
        <v>27</v>
      </c>
      <c r="D3295" t="s">
        <v>27</v>
      </c>
      <c r="E3295" s="2">
        <v>46027</v>
      </c>
      <c r="F3295" s="2">
        <v>46027</v>
      </c>
      <c r="G3295" s="3">
        <v>53</v>
      </c>
      <c r="H3295" t="s">
        <v>28</v>
      </c>
      <c r="I3295">
        <v>56</v>
      </c>
      <c r="J3295">
        <v>0</v>
      </c>
      <c r="K3295">
        <v>0</v>
      </c>
      <c r="L3295" s="3">
        <v>1</v>
      </c>
      <c r="M3295" s="3">
        <v>0</v>
      </c>
      <c r="N3295">
        <v>0</v>
      </c>
      <c r="O3295">
        <v>0</v>
      </c>
      <c r="P3295">
        <v>0</v>
      </c>
      <c r="Q3295">
        <v>56</v>
      </c>
      <c r="R3295" s="3">
        <v>0</v>
      </c>
      <c r="S3295" s="3">
        <v>0</v>
      </c>
      <c r="T3295">
        <v>0</v>
      </c>
      <c r="U3295">
        <v>0</v>
      </c>
      <c r="V3295" s="3">
        <v>0</v>
      </c>
      <c r="W3295" s="3">
        <v>0</v>
      </c>
      <c r="X3295">
        <v>0</v>
      </c>
      <c r="Y3295" t="s">
        <v>2567</v>
      </c>
    </row>
    <row r="3296" spans="1:25" hidden="1" x14ac:dyDescent="0.25">
      <c r="A3296" t="s">
        <v>1454</v>
      </c>
      <c r="B3296" t="s">
        <v>1455</v>
      </c>
      <c r="C3296" t="s">
        <v>27</v>
      </c>
      <c r="D3296" t="s">
        <v>27</v>
      </c>
      <c r="E3296" s="2">
        <v>46027</v>
      </c>
      <c r="F3296" s="2">
        <v>46027</v>
      </c>
      <c r="G3296" s="3">
        <v>29</v>
      </c>
      <c r="H3296" t="s">
        <v>28</v>
      </c>
      <c r="I3296">
        <v>37</v>
      </c>
      <c r="J3296">
        <v>0</v>
      </c>
      <c r="K3296">
        <v>0</v>
      </c>
      <c r="L3296" s="3">
        <v>1</v>
      </c>
      <c r="M3296" s="3">
        <v>0</v>
      </c>
      <c r="N3296">
        <v>0</v>
      </c>
      <c r="O3296">
        <v>0</v>
      </c>
      <c r="P3296">
        <v>0</v>
      </c>
      <c r="Q3296">
        <v>37</v>
      </c>
      <c r="R3296" s="3">
        <v>0</v>
      </c>
      <c r="S3296" s="3">
        <v>0</v>
      </c>
      <c r="T3296">
        <v>0</v>
      </c>
      <c r="U3296">
        <v>0</v>
      </c>
      <c r="V3296" s="3">
        <v>0</v>
      </c>
      <c r="W3296" s="3">
        <v>0</v>
      </c>
      <c r="X3296">
        <v>0</v>
      </c>
      <c r="Y3296" t="s">
        <v>2568</v>
      </c>
    </row>
    <row r="3297" spans="1:25" hidden="1" x14ac:dyDescent="0.25">
      <c r="A3297" t="s">
        <v>41</v>
      </c>
      <c r="B3297" t="s">
        <v>112</v>
      </c>
      <c r="C3297" t="s">
        <v>42</v>
      </c>
      <c r="D3297" t="s">
        <v>27</v>
      </c>
      <c r="E3297" s="2">
        <v>46027</v>
      </c>
      <c r="F3297" s="2">
        <v>46027</v>
      </c>
      <c r="G3297" s="3">
        <v>29</v>
      </c>
      <c r="H3297" t="s">
        <v>28</v>
      </c>
      <c r="I3297">
        <v>40</v>
      </c>
      <c r="J3297">
        <v>0</v>
      </c>
      <c r="K3297">
        <v>0</v>
      </c>
      <c r="L3297" s="3">
        <v>1</v>
      </c>
      <c r="M3297" s="3">
        <v>0</v>
      </c>
      <c r="N3297">
        <v>0</v>
      </c>
      <c r="O3297">
        <v>0</v>
      </c>
      <c r="P3297">
        <v>0</v>
      </c>
      <c r="Q3297">
        <v>4</v>
      </c>
      <c r="R3297" s="3">
        <v>0</v>
      </c>
      <c r="S3297" s="3">
        <v>0</v>
      </c>
      <c r="T3297">
        <v>0</v>
      </c>
      <c r="U3297">
        <v>0</v>
      </c>
      <c r="V3297" s="3">
        <v>0</v>
      </c>
      <c r="W3297" s="3">
        <v>0</v>
      </c>
      <c r="X3297">
        <v>0</v>
      </c>
      <c r="Y3297" t="s">
        <v>2569</v>
      </c>
    </row>
    <row r="3298" spans="1:25" hidden="1" x14ac:dyDescent="0.25">
      <c r="A3298" t="s">
        <v>43</v>
      </c>
      <c r="B3298" t="s">
        <v>114</v>
      </c>
      <c r="C3298" t="s">
        <v>44</v>
      </c>
      <c r="D3298" t="s">
        <v>27</v>
      </c>
      <c r="E3298" s="2">
        <v>46027</v>
      </c>
      <c r="F3298" s="2">
        <v>46027</v>
      </c>
      <c r="G3298" s="3">
        <v>26</v>
      </c>
      <c r="H3298" t="s">
        <v>28</v>
      </c>
      <c r="I3298">
        <v>31</v>
      </c>
      <c r="J3298">
        <v>0</v>
      </c>
      <c r="K3298">
        <v>0</v>
      </c>
      <c r="L3298" s="3">
        <v>0</v>
      </c>
      <c r="M3298" s="3">
        <v>0</v>
      </c>
      <c r="N3298">
        <v>0</v>
      </c>
      <c r="O3298">
        <v>0</v>
      </c>
      <c r="P3298">
        <v>0</v>
      </c>
      <c r="Q3298">
        <v>0</v>
      </c>
      <c r="R3298" s="3">
        <v>0</v>
      </c>
      <c r="S3298" s="3">
        <v>0</v>
      </c>
      <c r="T3298">
        <v>0</v>
      </c>
      <c r="U3298">
        <v>0</v>
      </c>
      <c r="V3298" s="3">
        <v>0</v>
      </c>
      <c r="W3298" s="3">
        <v>0</v>
      </c>
      <c r="X3298">
        <v>0</v>
      </c>
      <c r="Y3298" t="s">
        <v>2570</v>
      </c>
    </row>
    <row r="3299" spans="1:25" hidden="1" x14ac:dyDescent="0.25">
      <c r="A3299" t="s">
        <v>2118</v>
      </c>
      <c r="B3299" t="s">
        <v>2119</v>
      </c>
      <c r="C3299" t="s">
        <v>27</v>
      </c>
      <c r="D3299" t="s">
        <v>27</v>
      </c>
      <c r="E3299" s="2">
        <v>46027</v>
      </c>
      <c r="F3299" s="2">
        <v>46027</v>
      </c>
      <c r="G3299" s="3">
        <v>47</v>
      </c>
      <c r="H3299" t="s">
        <v>28</v>
      </c>
      <c r="I3299">
        <v>48</v>
      </c>
      <c r="J3299">
        <v>0</v>
      </c>
      <c r="K3299">
        <v>0</v>
      </c>
      <c r="L3299" s="3">
        <v>1</v>
      </c>
      <c r="M3299" s="3">
        <v>0</v>
      </c>
      <c r="N3299">
        <v>0</v>
      </c>
      <c r="O3299">
        <v>0</v>
      </c>
      <c r="P3299">
        <v>0</v>
      </c>
      <c r="Q3299">
        <v>48</v>
      </c>
      <c r="R3299" s="3">
        <v>0</v>
      </c>
      <c r="S3299" s="3">
        <v>0</v>
      </c>
      <c r="T3299">
        <v>0</v>
      </c>
      <c r="U3299">
        <v>0</v>
      </c>
      <c r="V3299" s="3">
        <v>0</v>
      </c>
      <c r="W3299" s="3">
        <v>0</v>
      </c>
      <c r="X3299">
        <v>0</v>
      </c>
      <c r="Y3299" t="s">
        <v>2571</v>
      </c>
    </row>
    <row r="3300" spans="1:25" hidden="1" x14ac:dyDescent="0.25">
      <c r="A3300" t="s">
        <v>45</v>
      </c>
      <c r="B3300" t="s">
        <v>116</v>
      </c>
      <c r="C3300" t="s">
        <v>46</v>
      </c>
      <c r="D3300" t="s">
        <v>27</v>
      </c>
      <c r="E3300" s="2">
        <v>46027</v>
      </c>
      <c r="F3300" s="2">
        <v>46027</v>
      </c>
      <c r="G3300" s="3">
        <v>54</v>
      </c>
      <c r="H3300" t="s">
        <v>28</v>
      </c>
      <c r="I3300">
        <v>61</v>
      </c>
      <c r="J3300">
        <v>0</v>
      </c>
      <c r="K3300">
        <v>0</v>
      </c>
      <c r="L3300" s="3">
        <v>1</v>
      </c>
      <c r="M3300" s="3">
        <v>0</v>
      </c>
      <c r="N3300">
        <v>0</v>
      </c>
      <c r="O3300">
        <v>0</v>
      </c>
      <c r="P3300">
        <v>0</v>
      </c>
      <c r="Q3300">
        <v>12</v>
      </c>
      <c r="R3300" s="3">
        <v>0</v>
      </c>
      <c r="S3300" s="3">
        <v>0</v>
      </c>
      <c r="T3300">
        <v>0</v>
      </c>
      <c r="U3300">
        <v>0</v>
      </c>
      <c r="V3300" s="3">
        <v>0</v>
      </c>
      <c r="W3300" s="3">
        <v>0</v>
      </c>
      <c r="X3300">
        <v>0</v>
      </c>
      <c r="Y3300" t="s">
        <v>2572</v>
      </c>
    </row>
    <row r="3301" spans="1:25" hidden="1" x14ac:dyDescent="0.25">
      <c r="A3301" t="s">
        <v>47</v>
      </c>
      <c r="B3301" t="s">
        <v>137</v>
      </c>
      <c r="C3301" t="s">
        <v>2310</v>
      </c>
      <c r="D3301" t="s">
        <v>27</v>
      </c>
      <c r="E3301" s="2">
        <v>46027</v>
      </c>
      <c r="F3301" s="2">
        <v>46027</v>
      </c>
      <c r="G3301" s="3">
        <v>125</v>
      </c>
      <c r="H3301" t="s">
        <v>28</v>
      </c>
      <c r="I3301">
        <v>29</v>
      </c>
      <c r="J3301">
        <v>0</v>
      </c>
      <c r="K3301">
        <v>0</v>
      </c>
      <c r="L3301" s="3">
        <v>1</v>
      </c>
      <c r="M3301" s="3">
        <v>0</v>
      </c>
      <c r="N3301">
        <v>0</v>
      </c>
      <c r="O3301">
        <v>0</v>
      </c>
      <c r="P3301">
        <v>0</v>
      </c>
      <c r="Q3301">
        <v>8</v>
      </c>
      <c r="R3301" s="3">
        <v>0</v>
      </c>
      <c r="S3301" s="3">
        <v>0</v>
      </c>
      <c r="T3301">
        <v>0</v>
      </c>
      <c r="U3301">
        <v>0</v>
      </c>
      <c r="V3301" s="3">
        <v>0</v>
      </c>
      <c r="W3301" s="3">
        <v>0</v>
      </c>
      <c r="X3301">
        <v>0</v>
      </c>
      <c r="Y3301" t="s">
        <v>2573</v>
      </c>
    </row>
    <row r="3302" spans="1:25" hidden="1" x14ac:dyDescent="0.25">
      <c r="A3302" t="s">
        <v>49</v>
      </c>
      <c r="B3302" t="s">
        <v>118</v>
      </c>
      <c r="C3302" t="s">
        <v>27</v>
      </c>
      <c r="D3302" t="s">
        <v>27</v>
      </c>
      <c r="E3302" s="2">
        <v>46027</v>
      </c>
      <c r="F3302" s="2">
        <v>46027</v>
      </c>
      <c r="G3302" s="3">
        <v>51</v>
      </c>
      <c r="H3302" t="s">
        <v>28</v>
      </c>
      <c r="I3302">
        <v>25</v>
      </c>
      <c r="J3302">
        <v>0</v>
      </c>
      <c r="K3302">
        <v>0</v>
      </c>
      <c r="L3302" s="3">
        <v>1</v>
      </c>
      <c r="M3302" s="3">
        <v>1</v>
      </c>
      <c r="N3302">
        <v>1</v>
      </c>
      <c r="O3302">
        <v>1</v>
      </c>
      <c r="P3302">
        <v>0</v>
      </c>
      <c r="Q3302">
        <v>25</v>
      </c>
      <c r="R3302" s="3">
        <v>0</v>
      </c>
      <c r="S3302" s="3">
        <v>0</v>
      </c>
      <c r="T3302">
        <v>0</v>
      </c>
      <c r="U3302">
        <v>0</v>
      </c>
      <c r="V3302" s="3">
        <v>0</v>
      </c>
      <c r="W3302" s="3">
        <v>0</v>
      </c>
      <c r="X3302">
        <v>0</v>
      </c>
      <c r="Y3302" t="s">
        <v>2574</v>
      </c>
    </row>
    <row r="3303" spans="1:25" hidden="1" x14ac:dyDescent="0.25">
      <c r="A3303" t="s">
        <v>54</v>
      </c>
      <c r="B3303" t="s">
        <v>122</v>
      </c>
      <c r="C3303" t="s">
        <v>52</v>
      </c>
      <c r="D3303" t="s">
        <v>27</v>
      </c>
      <c r="E3303" s="2">
        <v>46027</v>
      </c>
      <c r="F3303" s="2">
        <v>46027</v>
      </c>
      <c r="G3303" s="3">
        <v>40</v>
      </c>
      <c r="H3303" s="4" t="s">
        <v>28</v>
      </c>
      <c r="I3303">
        <v>38</v>
      </c>
      <c r="J3303">
        <v>0</v>
      </c>
      <c r="K3303">
        <v>0</v>
      </c>
      <c r="L3303" s="3">
        <v>0</v>
      </c>
      <c r="M3303" s="3">
        <v>0</v>
      </c>
      <c r="N3303">
        <v>0</v>
      </c>
      <c r="O3303">
        <v>0</v>
      </c>
      <c r="P3303">
        <v>0</v>
      </c>
      <c r="Q3303">
        <v>2</v>
      </c>
      <c r="R3303" s="3">
        <v>0</v>
      </c>
      <c r="S3303" s="3">
        <v>0</v>
      </c>
      <c r="T3303">
        <v>0</v>
      </c>
      <c r="U3303">
        <v>0</v>
      </c>
      <c r="V3303" s="3">
        <v>0</v>
      </c>
      <c r="W3303" s="3">
        <v>0</v>
      </c>
      <c r="X3303">
        <v>1</v>
      </c>
      <c r="Y3303" t="s">
        <v>2494</v>
      </c>
    </row>
    <row r="3304" spans="1:25" hidden="1" x14ac:dyDescent="0.25">
      <c r="A3304" t="s">
        <v>48</v>
      </c>
      <c r="B3304" t="s">
        <v>149</v>
      </c>
      <c r="C3304" t="s">
        <v>95</v>
      </c>
      <c r="D3304" t="s">
        <v>27</v>
      </c>
      <c r="E3304" s="2">
        <v>46027</v>
      </c>
      <c r="F3304" s="2">
        <v>46027</v>
      </c>
      <c r="G3304" s="3">
        <v>43</v>
      </c>
      <c r="H3304" t="s">
        <v>28</v>
      </c>
      <c r="I3304">
        <v>72</v>
      </c>
      <c r="J3304">
        <v>0</v>
      </c>
      <c r="K3304">
        <v>0</v>
      </c>
      <c r="L3304" s="3">
        <v>0</v>
      </c>
      <c r="M3304" s="3">
        <v>0</v>
      </c>
      <c r="N3304">
        <v>0</v>
      </c>
      <c r="O3304">
        <v>0</v>
      </c>
      <c r="P3304">
        <v>0</v>
      </c>
      <c r="Q3304">
        <v>0</v>
      </c>
      <c r="R3304" s="3">
        <v>0</v>
      </c>
      <c r="S3304" s="3">
        <v>0</v>
      </c>
      <c r="T3304">
        <v>0</v>
      </c>
      <c r="U3304">
        <v>0</v>
      </c>
      <c r="V3304" s="3">
        <v>0</v>
      </c>
      <c r="W3304" s="3">
        <v>0</v>
      </c>
      <c r="X3304">
        <v>0</v>
      </c>
      <c r="Y3304" t="s">
        <v>2575</v>
      </c>
    </row>
    <row r="3305" spans="1:25" hidden="1" x14ac:dyDescent="0.25">
      <c r="A3305" t="s">
        <v>58</v>
      </c>
      <c r="B3305" t="s">
        <v>144</v>
      </c>
      <c r="C3305" t="s">
        <v>2514</v>
      </c>
      <c r="D3305" t="s">
        <v>27</v>
      </c>
      <c r="E3305" s="2">
        <v>46027</v>
      </c>
      <c r="F3305" s="2">
        <v>46027</v>
      </c>
      <c r="G3305" s="3">
        <v>214</v>
      </c>
      <c r="H3305" t="s">
        <v>28</v>
      </c>
      <c r="I3305">
        <v>65</v>
      </c>
      <c r="J3305">
        <v>0</v>
      </c>
      <c r="K3305">
        <v>0</v>
      </c>
      <c r="L3305" s="3">
        <v>1</v>
      </c>
      <c r="M3305" s="3">
        <v>0</v>
      </c>
      <c r="N3305">
        <v>0</v>
      </c>
      <c r="O3305">
        <v>0</v>
      </c>
      <c r="P3305">
        <v>0</v>
      </c>
      <c r="Q3305">
        <v>35</v>
      </c>
      <c r="R3305" s="3">
        <v>0</v>
      </c>
      <c r="S3305" s="3">
        <v>0</v>
      </c>
      <c r="T3305">
        <v>0</v>
      </c>
      <c r="U3305">
        <v>0</v>
      </c>
      <c r="V3305" s="3">
        <v>0</v>
      </c>
      <c r="W3305" s="3">
        <v>0</v>
      </c>
      <c r="X3305">
        <v>0</v>
      </c>
      <c r="Y3305" t="s">
        <v>2576</v>
      </c>
    </row>
    <row r="3306" spans="1:25" hidden="1" x14ac:dyDescent="0.25">
      <c r="A3306" t="s">
        <v>51</v>
      </c>
      <c r="B3306" t="s">
        <v>120</v>
      </c>
      <c r="C3306" t="s">
        <v>27</v>
      </c>
      <c r="D3306" t="s">
        <v>27</v>
      </c>
      <c r="E3306" s="2">
        <v>46027</v>
      </c>
      <c r="F3306" s="2">
        <v>46027</v>
      </c>
      <c r="G3306" s="3">
        <v>60</v>
      </c>
      <c r="H3306" t="s">
        <v>1256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2450</v>
      </c>
    </row>
    <row r="3307" spans="1:25" hidden="1" x14ac:dyDescent="0.25">
      <c r="A3307" t="s">
        <v>40</v>
      </c>
      <c r="B3307" t="s">
        <v>487</v>
      </c>
      <c r="C3307" t="s">
        <v>27</v>
      </c>
      <c r="D3307" t="s">
        <v>27</v>
      </c>
      <c r="E3307" s="2">
        <v>46027</v>
      </c>
      <c r="F3307" s="2">
        <v>46027</v>
      </c>
      <c r="G3307" s="3">
        <v>61</v>
      </c>
      <c r="H3307" t="s">
        <v>763</v>
      </c>
      <c r="I3307">
        <v>0</v>
      </c>
      <c r="J3307">
        <v>0</v>
      </c>
      <c r="K3307">
        <v>0</v>
      </c>
      <c r="L3307" s="3">
        <v>0</v>
      </c>
      <c r="M3307" s="3">
        <v>0</v>
      </c>
      <c r="N3307">
        <v>0</v>
      </c>
      <c r="O3307">
        <v>0</v>
      </c>
      <c r="P3307">
        <v>0</v>
      </c>
      <c r="Q3307">
        <v>0</v>
      </c>
      <c r="R3307" s="3">
        <v>0</v>
      </c>
      <c r="S3307" s="3">
        <v>0</v>
      </c>
      <c r="T3307">
        <v>0</v>
      </c>
      <c r="U3307">
        <v>0</v>
      </c>
      <c r="V3307" s="3">
        <v>0</v>
      </c>
      <c r="W3307" s="3">
        <v>0</v>
      </c>
      <c r="X3307" s="3">
        <v>0</v>
      </c>
      <c r="Y3307" t="s">
        <v>2450</v>
      </c>
    </row>
    <row r="3308" spans="1:25" hidden="1" x14ac:dyDescent="0.25">
      <c r="A3308" t="s">
        <v>27</v>
      </c>
      <c r="B3308" t="s">
        <v>102</v>
      </c>
      <c r="C3308" t="s">
        <v>37</v>
      </c>
      <c r="D3308" t="s">
        <v>27</v>
      </c>
      <c r="E3308" s="2">
        <v>46027</v>
      </c>
      <c r="F3308" s="2">
        <v>46027</v>
      </c>
      <c r="G3308" s="3">
        <v>62</v>
      </c>
      <c r="H3308" t="s">
        <v>763</v>
      </c>
      <c r="I3308">
        <v>0</v>
      </c>
      <c r="J3308">
        <v>0</v>
      </c>
      <c r="K3308">
        <v>0</v>
      </c>
      <c r="L3308" s="3">
        <v>0</v>
      </c>
      <c r="M3308" s="3">
        <v>0</v>
      </c>
      <c r="N3308">
        <v>0</v>
      </c>
      <c r="O3308">
        <v>0</v>
      </c>
      <c r="P3308">
        <v>0</v>
      </c>
      <c r="Q3308">
        <v>0</v>
      </c>
      <c r="R3308" s="3">
        <v>0</v>
      </c>
      <c r="S3308" s="3">
        <v>0</v>
      </c>
      <c r="T3308">
        <v>0</v>
      </c>
      <c r="U3308">
        <v>0</v>
      </c>
      <c r="V3308" s="3">
        <v>0</v>
      </c>
      <c r="W3308" s="3">
        <v>0</v>
      </c>
      <c r="X3308" s="3">
        <v>0</v>
      </c>
      <c r="Y3308" t="s">
        <v>2450</v>
      </c>
    </row>
    <row r="3309" spans="1:25" hidden="1" x14ac:dyDescent="0.25">
      <c r="A3309" t="s">
        <v>25</v>
      </c>
      <c r="B3309" t="s">
        <v>96</v>
      </c>
      <c r="C3309" t="s">
        <v>26</v>
      </c>
      <c r="D3309" t="s">
        <v>27</v>
      </c>
      <c r="E3309" s="2">
        <v>46028</v>
      </c>
      <c r="F3309" s="2">
        <v>46028</v>
      </c>
      <c r="G3309" s="3">
        <v>106</v>
      </c>
      <c r="H3309" t="s">
        <v>28</v>
      </c>
      <c r="I3309">
        <v>35</v>
      </c>
      <c r="J3309">
        <v>0</v>
      </c>
      <c r="K3309">
        <v>0</v>
      </c>
      <c r="L3309" s="3">
        <v>1</v>
      </c>
      <c r="M3309" s="3">
        <v>0</v>
      </c>
      <c r="N3309">
        <v>1</v>
      </c>
      <c r="O3309">
        <v>0</v>
      </c>
      <c r="P3309">
        <v>0</v>
      </c>
      <c r="Q3309">
        <v>0</v>
      </c>
      <c r="R3309" s="3">
        <v>0</v>
      </c>
      <c r="S3309" s="3">
        <v>0</v>
      </c>
      <c r="T3309">
        <v>0</v>
      </c>
      <c r="U3309">
        <v>0</v>
      </c>
      <c r="V3309" s="3">
        <v>0</v>
      </c>
      <c r="W3309" s="3">
        <v>0</v>
      </c>
      <c r="X3309">
        <v>0</v>
      </c>
      <c r="Y3309" t="s">
        <v>2577</v>
      </c>
    </row>
    <row r="3310" spans="1:25" hidden="1" x14ac:dyDescent="0.25">
      <c r="A3310" t="s">
        <v>29</v>
      </c>
      <c r="B3310" t="s">
        <v>100</v>
      </c>
      <c r="C3310" t="s">
        <v>2379</v>
      </c>
      <c r="D3310" t="s">
        <v>27</v>
      </c>
      <c r="E3310" s="2">
        <v>46028</v>
      </c>
      <c r="F3310" s="2">
        <v>46028</v>
      </c>
      <c r="G3310" s="3">
        <v>543</v>
      </c>
      <c r="H3310" t="s">
        <v>28</v>
      </c>
      <c r="I3310">
        <v>26</v>
      </c>
      <c r="J3310">
        <v>0</v>
      </c>
      <c r="K3310">
        <v>0</v>
      </c>
      <c r="L3310" s="3">
        <v>0</v>
      </c>
      <c r="M3310" s="3">
        <v>0</v>
      </c>
      <c r="N3310">
        <v>0</v>
      </c>
      <c r="O3310">
        <v>0</v>
      </c>
      <c r="P3310">
        <v>0</v>
      </c>
      <c r="Q3310">
        <v>0</v>
      </c>
      <c r="R3310" s="3">
        <v>0</v>
      </c>
      <c r="S3310" s="3">
        <v>0</v>
      </c>
      <c r="T3310">
        <v>0</v>
      </c>
      <c r="U3310">
        <v>0</v>
      </c>
      <c r="V3310" s="3">
        <v>0</v>
      </c>
      <c r="W3310" s="3">
        <v>0</v>
      </c>
      <c r="X3310">
        <v>0</v>
      </c>
      <c r="Y3310" t="s">
        <v>2578</v>
      </c>
    </row>
    <row r="3311" spans="1:25" hidden="1" x14ac:dyDescent="0.25">
      <c r="A3311" t="s">
        <v>344</v>
      </c>
      <c r="B3311" t="s">
        <v>102</v>
      </c>
      <c r="C3311" t="s">
        <v>35</v>
      </c>
      <c r="D3311" t="s">
        <v>27</v>
      </c>
      <c r="E3311" s="2">
        <v>46028</v>
      </c>
      <c r="F3311" s="2">
        <v>46028</v>
      </c>
      <c r="G3311" s="3">
        <v>54</v>
      </c>
      <c r="H3311" t="s">
        <v>28</v>
      </c>
      <c r="I3311">
        <v>38</v>
      </c>
      <c r="J3311">
        <v>0</v>
      </c>
      <c r="K3311">
        <v>0</v>
      </c>
      <c r="L3311" s="3">
        <v>1</v>
      </c>
      <c r="M3311" s="3">
        <v>1</v>
      </c>
      <c r="N3311">
        <v>0</v>
      </c>
      <c r="O3311">
        <v>0</v>
      </c>
      <c r="P3311">
        <v>0</v>
      </c>
      <c r="Q3311">
        <v>2</v>
      </c>
      <c r="R3311" s="3">
        <v>0</v>
      </c>
      <c r="S3311" s="3">
        <v>0</v>
      </c>
      <c r="T3311">
        <v>0</v>
      </c>
      <c r="U3311">
        <v>0</v>
      </c>
      <c r="V3311" s="3">
        <v>0</v>
      </c>
      <c r="W3311" s="3">
        <v>0</v>
      </c>
      <c r="X3311">
        <v>0</v>
      </c>
      <c r="Y3311" t="s">
        <v>2545</v>
      </c>
    </row>
    <row r="3312" spans="1:25" hidden="1" x14ac:dyDescent="0.25">
      <c r="A3312" t="s">
        <v>31</v>
      </c>
      <c r="B3312" t="s">
        <v>104</v>
      </c>
      <c r="C3312" t="s">
        <v>32</v>
      </c>
      <c r="D3312" t="s">
        <v>27</v>
      </c>
      <c r="E3312" s="2">
        <v>46028</v>
      </c>
      <c r="F3312" s="2">
        <v>46028</v>
      </c>
      <c r="G3312" s="3">
        <v>90</v>
      </c>
      <c r="H3312" t="s">
        <v>28</v>
      </c>
      <c r="I3312">
        <v>75</v>
      </c>
      <c r="J3312">
        <v>0</v>
      </c>
      <c r="K3312">
        <v>0</v>
      </c>
      <c r="L3312" s="3">
        <v>1</v>
      </c>
      <c r="M3312" s="3">
        <v>0</v>
      </c>
      <c r="N3312">
        <v>0</v>
      </c>
      <c r="O3312">
        <v>0</v>
      </c>
      <c r="P3312">
        <v>0</v>
      </c>
      <c r="Q3312">
        <v>30</v>
      </c>
      <c r="R3312" s="3">
        <v>0</v>
      </c>
      <c r="S3312" s="3">
        <v>0</v>
      </c>
      <c r="T3312">
        <v>0</v>
      </c>
      <c r="U3312">
        <v>0</v>
      </c>
      <c r="V3312" s="3">
        <v>0</v>
      </c>
      <c r="W3312" s="3">
        <v>0</v>
      </c>
      <c r="X3312" s="37">
        <v>4</v>
      </c>
      <c r="Y3312" t="s">
        <v>2579</v>
      </c>
    </row>
    <row r="3313" spans="1:25" hidden="1" x14ac:dyDescent="0.25">
      <c r="A3313" t="s">
        <v>36</v>
      </c>
      <c r="B3313" t="s">
        <v>249</v>
      </c>
      <c r="C3313" t="s">
        <v>2534</v>
      </c>
      <c r="D3313" t="s">
        <v>27</v>
      </c>
      <c r="E3313" s="2">
        <v>46028</v>
      </c>
      <c r="F3313" s="2">
        <v>46028</v>
      </c>
      <c r="G3313" s="3">
        <v>90</v>
      </c>
      <c r="H3313" t="s">
        <v>28</v>
      </c>
      <c r="I3313">
        <v>76</v>
      </c>
      <c r="J3313">
        <v>0</v>
      </c>
      <c r="K3313">
        <v>0</v>
      </c>
      <c r="L3313" s="3">
        <v>1</v>
      </c>
      <c r="M3313" s="3">
        <v>0</v>
      </c>
      <c r="N3313">
        <v>1</v>
      </c>
      <c r="O3313">
        <v>0</v>
      </c>
      <c r="P3313">
        <v>0</v>
      </c>
      <c r="Q3313">
        <v>0</v>
      </c>
      <c r="R3313" s="3">
        <v>0</v>
      </c>
      <c r="S3313" s="3">
        <v>0</v>
      </c>
      <c r="T3313">
        <v>0</v>
      </c>
      <c r="U3313">
        <v>0</v>
      </c>
      <c r="V3313" s="3">
        <v>0</v>
      </c>
      <c r="W3313" s="3">
        <v>0</v>
      </c>
      <c r="X3313">
        <v>0</v>
      </c>
      <c r="Y3313" t="s">
        <v>2580</v>
      </c>
    </row>
    <row r="3314" spans="1:25" hidden="1" x14ac:dyDescent="0.25">
      <c r="A3314" t="s">
        <v>38</v>
      </c>
      <c r="B3314" t="s">
        <v>108</v>
      </c>
      <c r="C3314" t="s">
        <v>27</v>
      </c>
      <c r="D3314" t="s">
        <v>27</v>
      </c>
      <c r="E3314" s="2">
        <v>46028</v>
      </c>
      <c r="F3314" s="2">
        <v>46028</v>
      </c>
      <c r="G3314" s="3">
        <v>60</v>
      </c>
      <c r="H3314" t="s">
        <v>28</v>
      </c>
      <c r="I3314">
        <v>31</v>
      </c>
      <c r="J3314">
        <v>8</v>
      </c>
      <c r="K3314">
        <v>0</v>
      </c>
      <c r="L3314" s="3">
        <v>1</v>
      </c>
      <c r="M3314" s="3">
        <v>0</v>
      </c>
      <c r="N3314">
        <v>0</v>
      </c>
      <c r="O3314">
        <v>0</v>
      </c>
      <c r="P3314">
        <v>0</v>
      </c>
      <c r="Q3314">
        <v>31</v>
      </c>
      <c r="R3314" s="3">
        <v>0</v>
      </c>
      <c r="S3314" s="3">
        <v>0</v>
      </c>
      <c r="T3314">
        <v>0</v>
      </c>
      <c r="U3314">
        <v>0</v>
      </c>
      <c r="V3314" s="3">
        <v>0</v>
      </c>
      <c r="W3314" s="3">
        <v>0</v>
      </c>
      <c r="X3314">
        <v>1</v>
      </c>
      <c r="Y3314" t="s">
        <v>2581</v>
      </c>
    </row>
    <row r="3315" spans="1:25" hidden="1" x14ac:dyDescent="0.25">
      <c r="A3315" t="s">
        <v>1454</v>
      </c>
      <c r="B3315" t="s">
        <v>1455</v>
      </c>
      <c r="C3315" t="s">
        <v>27</v>
      </c>
      <c r="D3315" t="s">
        <v>27</v>
      </c>
      <c r="E3315" s="2">
        <v>46028</v>
      </c>
      <c r="F3315" s="2">
        <v>46028</v>
      </c>
      <c r="G3315" s="3">
        <v>31</v>
      </c>
      <c r="H3315" t="s">
        <v>28</v>
      </c>
      <c r="I3315">
        <v>32</v>
      </c>
      <c r="J3315">
        <v>0</v>
      </c>
      <c r="K3315">
        <v>0</v>
      </c>
      <c r="L3315" s="3">
        <v>1</v>
      </c>
      <c r="M3315" s="3">
        <v>0</v>
      </c>
      <c r="N3315">
        <v>0</v>
      </c>
      <c r="O3315">
        <v>0</v>
      </c>
      <c r="P3315">
        <v>0</v>
      </c>
      <c r="Q3315">
        <v>32</v>
      </c>
      <c r="R3315" s="3">
        <v>0</v>
      </c>
      <c r="S3315" s="3">
        <v>0</v>
      </c>
      <c r="T3315">
        <v>0</v>
      </c>
      <c r="U3315">
        <v>0</v>
      </c>
      <c r="V3315" s="3">
        <v>0</v>
      </c>
      <c r="W3315" s="3">
        <v>0</v>
      </c>
      <c r="X3315">
        <v>0</v>
      </c>
      <c r="Y3315" t="s">
        <v>2582</v>
      </c>
    </row>
    <row r="3316" spans="1:25" hidden="1" x14ac:dyDescent="0.25">
      <c r="A3316" t="s">
        <v>41</v>
      </c>
      <c r="B3316" t="s">
        <v>112</v>
      </c>
      <c r="C3316" t="s">
        <v>42</v>
      </c>
      <c r="D3316" t="s">
        <v>27</v>
      </c>
      <c r="E3316" s="2">
        <v>46028</v>
      </c>
      <c r="F3316" s="2">
        <v>46028</v>
      </c>
      <c r="G3316" s="3">
        <v>60</v>
      </c>
      <c r="H3316" t="s">
        <v>28</v>
      </c>
      <c r="I3316">
        <v>39</v>
      </c>
      <c r="J3316">
        <v>0</v>
      </c>
      <c r="K3316">
        <v>0</v>
      </c>
      <c r="L3316" s="3">
        <v>1</v>
      </c>
      <c r="M3316" s="3">
        <v>0</v>
      </c>
      <c r="N3316">
        <v>0</v>
      </c>
      <c r="O3316">
        <v>0</v>
      </c>
      <c r="P3316">
        <v>0</v>
      </c>
      <c r="Q3316">
        <v>1</v>
      </c>
      <c r="R3316" s="3">
        <v>0</v>
      </c>
      <c r="S3316" s="3">
        <v>0</v>
      </c>
      <c r="T3316">
        <v>0</v>
      </c>
      <c r="U3316">
        <v>0</v>
      </c>
      <c r="V3316" s="3">
        <v>0</v>
      </c>
      <c r="W3316" s="3">
        <v>0</v>
      </c>
      <c r="X3316">
        <v>0</v>
      </c>
      <c r="Y3316" t="s">
        <v>2583</v>
      </c>
    </row>
    <row r="3317" spans="1:25" hidden="1" x14ac:dyDescent="0.25">
      <c r="A3317" t="s">
        <v>43</v>
      </c>
      <c r="B3317" t="s">
        <v>114</v>
      </c>
      <c r="C3317" t="s">
        <v>46</v>
      </c>
      <c r="D3317" t="s">
        <v>27</v>
      </c>
      <c r="E3317" s="2">
        <v>46028</v>
      </c>
      <c r="F3317" s="2">
        <v>46028</v>
      </c>
      <c r="G3317" s="3">
        <v>50</v>
      </c>
      <c r="H3317" t="s">
        <v>28</v>
      </c>
      <c r="I3317">
        <v>60</v>
      </c>
      <c r="J3317">
        <v>0</v>
      </c>
      <c r="K3317">
        <v>0</v>
      </c>
      <c r="L3317" s="3">
        <v>1</v>
      </c>
      <c r="M3317" s="3">
        <v>0</v>
      </c>
      <c r="N3317">
        <v>0</v>
      </c>
      <c r="O3317">
        <v>0</v>
      </c>
      <c r="P3317">
        <v>0</v>
      </c>
      <c r="Q3317">
        <v>8</v>
      </c>
      <c r="R3317" s="3">
        <v>0</v>
      </c>
      <c r="S3317" s="3">
        <v>0</v>
      </c>
      <c r="T3317">
        <v>0</v>
      </c>
      <c r="U3317">
        <v>0</v>
      </c>
      <c r="V3317" s="3">
        <v>0</v>
      </c>
      <c r="W3317" s="3">
        <v>0</v>
      </c>
      <c r="X3317">
        <v>0</v>
      </c>
      <c r="Y3317" t="s">
        <v>2584</v>
      </c>
    </row>
    <row r="3318" spans="1:25" hidden="1" x14ac:dyDescent="0.25">
      <c r="A3318" t="s">
        <v>45</v>
      </c>
      <c r="B3318" t="s">
        <v>116</v>
      </c>
      <c r="C3318" t="s">
        <v>33</v>
      </c>
      <c r="D3318" t="s">
        <v>27</v>
      </c>
      <c r="E3318" s="2">
        <v>46028</v>
      </c>
      <c r="F3318" s="2">
        <v>46028</v>
      </c>
      <c r="G3318" s="3">
        <v>37</v>
      </c>
      <c r="H3318" t="s">
        <v>28</v>
      </c>
      <c r="I3318">
        <v>39</v>
      </c>
      <c r="J3318">
        <v>0</v>
      </c>
      <c r="K3318">
        <v>0</v>
      </c>
      <c r="L3318" s="3">
        <v>0</v>
      </c>
      <c r="M3318" s="3">
        <v>0</v>
      </c>
      <c r="N3318">
        <v>0</v>
      </c>
      <c r="O3318">
        <v>0</v>
      </c>
      <c r="P3318">
        <v>0</v>
      </c>
      <c r="Q3318">
        <v>0</v>
      </c>
      <c r="R3318" s="3">
        <v>0</v>
      </c>
      <c r="S3318" s="3">
        <v>0</v>
      </c>
      <c r="T3318">
        <v>0</v>
      </c>
      <c r="U3318">
        <v>0</v>
      </c>
      <c r="V3318" s="3">
        <v>0</v>
      </c>
      <c r="W3318" s="3">
        <v>0</v>
      </c>
      <c r="X3318">
        <v>0</v>
      </c>
      <c r="Y3318" t="s">
        <v>2585</v>
      </c>
    </row>
    <row r="3319" spans="1:25" hidden="1" x14ac:dyDescent="0.25">
      <c r="A3319" t="s">
        <v>47</v>
      </c>
      <c r="B3319" t="s">
        <v>137</v>
      </c>
      <c r="C3319" t="s">
        <v>2310</v>
      </c>
      <c r="D3319" t="s">
        <v>27</v>
      </c>
      <c r="E3319" s="2">
        <v>46028</v>
      </c>
      <c r="F3319" s="2">
        <v>46028</v>
      </c>
      <c r="G3319" s="3">
        <v>130</v>
      </c>
      <c r="H3319" t="s">
        <v>28</v>
      </c>
      <c r="I3319">
        <v>52</v>
      </c>
      <c r="J3319">
        <v>0</v>
      </c>
      <c r="K3319">
        <v>0</v>
      </c>
      <c r="L3319" s="3">
        <v>1</v>
      </c>
      <c r="M3319" s="3">
        <v>0</v>
      </c>
      <c r="N3319">
        <v>0</v>
      </c>
      <c r="O3319">
        <v>0</v>
      </c>
      <c r="P3319">
        <v>0</v>
      </c>
      <c r="Q3319">
        <v>15</v>
      </c>
      <c r="R3319" s="3">
        <v>0</v>
      </c>
      <c r="S3319" s="3">
        <v>0</v>
      </c>
      <c r="T3319">
        <v>0</v>
      </c>
      <c r="U3319">
        <v>0</v>
      </c>
      <c r="V3319" s="3">
        <v>0</v>
      </c>
      <c r="W3319" s="3">
        <v>0</v>
      </c>
      <c r="X3319">
        <v>0</v>
      </c>
      <c r="Y3319" t="s">
        <v>2586</v>
      </c>
    </row>
    <row r="3320" spans="1:25" hidden="1" x14ac:dyDescent="0.25">
      <c r="A3320" t="s">
        <v>49</v>
      </c>
      <c r="B3320" t="s">
        <v>118</v>
      </c>
      <c r="C3320" t="s">
        <v>27</v>
      </c>
      <c r="D3320" t="s">
        <v>27</v>
      </c>
      <c r="E3320" s="2">
        <v>46028</v>
      </c>
      <c r="F3320" s="2">
        <v>46028</v>
      </c>
      <c r="G3320" s="3">
        <v>59</v>
      </c>
      <c r="H3320" t="s">
        <v>28</v>
      </c>
      <c r="I3320">
        <v>55</v>
      </c>
      <c r="J3320">
        <v>0</v>
      </c>
      <c r="K3320">
        <v>0</v>
      </c>
      <c r="L3320" s="3">
        <v>1</v>
      </c>
      <c r="M3320" s="3">
        <v>1</v>
      </c>
      <c r="N3320">
        <v>1</v>
      </c>
      <c r="O3320">
        <v>1</v>
      </c>
      <c r="P3320">
        <v>0</v>
      </c>
      <c r="Q3320">
        <v>55</v>
      </c>
      <c r="R3320" s="3">
        <v>0</v>
      </c>
      <c r="S3320" s="3">
        <v>0</v>
      </c>
      <c r="T3320">
        <v>0</v>
      </c>
      <c r="U3320">
        <v>0</v>
      </c>
      <c r="V3320" s="3">
        <v>0</v>
      </c>
      <c r="W3320" s="3">
        <v>0</v>
      </c>
      <c r="X3320">
        <v>0</v>
      </c>
      <c r="Y3320" t="s">
        <v>2587</v>
      </c>
    </row>
    <row r="3321" spans="1:25" hidden="1" x14ac:dyDescent="0.25">
      <c r="A3321" t="s">
        <v>54</v>
      </c>
      <c r="B3321" t="s">
        <v>122</v>
      </c>
      <c r="C3321" t="s">
        <v>52</v>
      </c>
      <c r="D3321" t="s">
        <v>27</v>
      </c>
      <c r="E3321" s="2">
        <v>46028</v>
      </c>
      <c r="F3321" s="2">
        <v>46028</v>
      </c>
      <c r="G3321" s="3">
        <v>46</v>
      </c>
      <c r="H3321" t="s">
        <v>28</v>
      </c>
      <c r="I3321">
        <v>35</v>
      </c>
      <c r="J3321">
        <v>0</v>
      </c>
      <c r="K3321">
        <v>0</v>
      </c>
      <c r="L3321" s="3">
        <v>0</v>
      </c>
      <c r="M3321" s="3">
        <v>0</v>
      </c>
      <c r="N3321">
        <v>0</v>
      </c>
      <c r="O3321">
        <v>0</v>
      </c>
      <c r="P3321">
        <v>0</v>
      </c>
      <c r="Q3321">
        <v>2</v>
      </c>
      <c r="R3321" s="3">
        <v>0</v>
      </c>
      <c r="S3321" s="3">
        <v>0</v>
      </c>
      <c r="T3321">
        <v>0</v>
      </c>
      <c r="U3321">
        <v>0</v>
      </c>
      <c r="V3321" s="3">
        <v>0</v>
      </c>
      <c r="W3321" s="3">
        <v>0</v>
      </c>
      <c r="X3321">
        <v>1</v>
      </c>
      <c r="Y3321" t="s">
        <v>2588</v>
      </c>
    </row>
    <row r="3322" spans="1:25" hidden="1" x14ac:dyDescent="0.25">
      <c r="A3322" t="s">
        <v>48</v>
      </c>
      <c r="B3322" t="s">
        <v>149</v>
      </c>
      <c r="C3322" t="s">
        <v>95</v>
      </c>
      <c r="D3322" t="s">
        <v>27</v>
      </c>
      <c r="E3322" s="2">
        <v>46028</v>
      </c>
      <c r="F3322" s="2">
        <v>46028</v>
      </c>
      <c r="G3322" s="3">
        <v>33</v>
      </c>
      <c r="H3322" t="s">
        <v>28</v>
      </c>
      <c r="I3322">
        <v>26</v>
      </c>
      <c r="J3322">
        <v>0</v>
      </c>
      <c r="K3322">
        <v>0</v>
      </c>
      <c r="L3322" s="3">
        <v>1</v>
      </c>
      <c r="M3322" s="3">
        <v>0</v>
      </c>
      <c r="N3322">
        <v>0</v>
      </c>
      <c r="O3322">
        <v>0</v>
      </c>
      <c r="P3322">
        <v>0</v>
      </c>
      <c r="Q3322">
        <v>8</v>
      </c>
      <c r="R3322" s="3">
        <v>0</v>
      </c>
      <c r="S3322" s="3">
        <v>0</v>
      </c>
      <c r="T3322">
        <v>0</v>
      </c>
      <c r="U3322">
        <v>0</v>
      </c>
      <c r="V3322" s="3">
        <v>0</v>
      </c>
      <c r="W3322" s="3">
        <v>0</v>
      </c>
      <c r="X3322">
        <v>0</v>
      </c>
      <c r="Y3322" t="s">
        <v>2589</v>
      </c>
    </row>
    <row r="3323" spans="1:25" hidden="1" x14ac:dyDescent="0.25">
      <c r="A3323" t="s">
        <v>58</v>
      </c>
      <c r="B3323" t="s">
        <v>144</v>
      </c>
      <c r="C3323" t="s">
        <v>2514</v>
      </c>
      <c r="D3323" t="s">
        <v>27</v>
      </c>
      <c r="E3323" s="2">
        <v>46028</v>
      </c>
      <c r="F3323" s="2">
        <v>46028</v>
      </c>
      <c r="G3323" s="3">
        <v>58</v>
      </c>
      <c r="H3323" t="s">
        <v>28</v>
      </c>
      <c r="I3323">
        <v>27</v>
      </c>
      <c r="J3323">
        <v>0</v>
      </c>
      <c r="K3323">
        <v>0</v>
      </c>
      <c r="L3323" s="3">
        <v>1</v>
      </c>
      <c r="M3323" s="3">
        <v>0</v>
      </c>
      <c r="N3323">
        <v>0</v>
      </c>
      <c r="O3323">
        <v>0</v>
      </c>
      <c r="P3323">
        <v>0</v>
      </c>
      <c r="Q3323">
        <v>15</v>
      </c>
      <c r="R3323" s="3">
        <v>0</v>
      </c>
      <c r="S3323" s="3">
        <v>0</v>
      </c>
      <c r="T3323">
        <v>0</v>
      </c>
      <c r="U3323">
        <v>0</v>
      </c>
      <c r="V3323" s="3">
        <v>0</v>
      </c>
      <c r="W3323" s="3">
        <v>0</v>
      </c>
      <c r="X3323">
        <v>0</v>
      </c>
      <c r="Y3323" t="s">
        <v>2590</v>
      </c>
    </row>
    <row r="3324" spans="1:25" hidden="1" x14ac:dyDescent="0.25">
      <c r="A3324" t="s">
        <v>27</v>
      </c>
      <c r="B3324" t="s">
        <v>144</v>
      </c>
      <c r="C3324" t="s">
        <v>57</v>
      </c>
      <c r="D3324" t="s">
        <v>27</v>
      </c>
      <c r="E3324" s="2">
        <v>46028</v>
      </c>
      <c r="F3324" s="2">
        <v>46028</v>
      </c>
      <c r="G3324" s="3">
        <v>182</v>
      </c>
      <c r="H3324" t="s">
        <v>1448</v>
      </c>
      <c r="I3324">
        <v>0</v>
      </c>
      <c r="J3324">
        <v>0</v>
      </c>
      <c r="K3324">
        <v>0</v>
      </c>
      <c r="L3324" s="3">
        <v>0</v>
      </c>
      <c r="M3324" s="3">
        <v>0</v>
      </c>
      <c r="N3324">
        <v>0</v>
      </c>
      <c r="O3324">
        <v>0</v>
      </c>
      <c r="P3324">
        <v>0</v>
      </c>
      <c r="Q3324">
        <v>0</v>
      </c>
      <c r="R3324" s="3">
        <v>0</v>
      </c>
      <c r="S3324" s="3">
        <v>0</v>
      </c>
      <c r="T3324">
        <v>0</v>
      </c>
      <c r="U3324">
        <v>0</v>
      </c>
      <c r="V3324" s="3">
        <v>0</v>
      </c>
      <c r="W3324" s="3">
        <v>0</v>
      </c>
      <c r="X3324">
        <v>0</v>
      </c>
      <c r="Y3324" t="s">
        <v>2591</v>
      </c>
    </row>
    <row r="3325" spans="1:25" hidden="1" x14ac:dyDescent="0.25">
      <c r="A3325" t="s">
        <v>27</v>
      </c>
      <c r="B3325" t="s">
        <v>144</v>
      </c>
      <c r="C3325" t="s">
        <v>44</v>
      </c>
      <c r="D3325" t="s">
        <v>27</v>
      </c>
      <c r="E3325" s="2">
        <v>46028</v>
      </c>
      <c r="F3325" s="2">
        <v>46028</v>
      </c>
      <c r="G3325" s="3">
        <v>182</v>
      </c>
      <c r="H3325" t="s">
        <v>1448</v>
      </c>
      <c r="I3325">
        <v>0</v>
      </c>
      <c r="J3325">
        <v>0</v>
      </c>
      <c r="K3325">
        <v>0</v>
      </c>
      <c r="L3325" s="3">
        <v>0</v>
      </c>
      <c r="M3325" s="3">
        <v>0</v>
      </c>
      <c r="N3325">
        <v>0</v>
      </c>
      <c r="O3325">
        <v>0</v>
      </c>
      <c r="P3325">
        <v>0</v>
      </c>
      <c r="Q3325">
        <v>0</v>
      </c>
      <c r="R3325" s="3">
        <v>0</v>
      </c>
      <c r="S3325" s="3">
        <v>0</v>
      </c>
      <c r="T3325">
        <v>0</v>
      </c>
      <c r="U3325">
        <v>0</v>
      </c>
      <c r="V3325" s="3">
        <v>0</v>
      </c>
      <c r="W3325" s="3">
        <v>0</v>
      </c>
      <c r="X3325">
        <v>0</v>
      </c>
      <c r="Y3325" s="11" t="s">
        <v>2591</v>
      </c>
    </row>
    <row r="3326" spans="1:25" hidden="1" x14ac:dyDescent="0.25">
      <c r="A3326" t="s">
        <v>51</v>
      </c>
      <c r="B3326" t="s">
        <v>106</v>
      </c>
      <c r="C3326" t="s">
        <v>27</v>
      </c>
      <c r="D3326" t="s">
        <v>27</v>
      </c>
      <c r="E3326" s="2">
        <v>46028</v>
      </c>
      <c r="F3326" s="2">
        <v>46028</v>
      </c>
      <c r="G3326" s="3">
        <v>183</v>
      </c>
      <c r="H3326" t="s">
        <v>1975</v>
      </c>
      <c r="I3326">
        <v>0</v>
      </c>
      <c r="J3326">
        <v>0</v>
      </c>
      <c r="K3326">
        <v>0</v>
      </c>
      <c r="L3326" s="3">
        <v>0</v>
      </c>
      <c r="M3326" s="3">
        <v>0</v>
      </c>
      <c r="N3326">
        <v>0</v>
      </c>
      <c r="O3326">
        <v>0</v>
      </c>
      <c r="P3326">
        <v>0</v>
      </c>
      <c r="Q3326">
        <v>0</v>
      </c>
      <c r="R3326" s="3">
        <v>0</v>
      </c>
      <c r="S3326" s="3">
        <v>0</v>
      </c>
      <c r="T3326">
        <v>0</v>
      </c>
      <c r="U3326">
        <v>0</v>
      </c>
      <c r="V3326" s="3">
        <v>0</v>
      </c>
      <c r="W3326" s="3">
        <v>0</v>
      </c>
      <c r="X3326" s="3">
        <v>0</v>
      </c>
      <c r="Y3326" t="s">
        <v>2591</v>
      </c>
    </row>
    <row r="3327" spans="1:25" hidden="1" x14ac:dyDescent="0.25">
      <c r="A3327" t="s">
        <v>27</v>
      </c>
      <c r="B3327" t="s">
        <v>182</v>
      </c>
      <c r="C3327" t="s">
        <v>55</v>
      </c>
      <c r="D3327" t="s">
        <v>27</v>
      </c>
      <c r="E3327" s="2">
        <v>46028</v>
      </c>
      <c r="F3327" s="2">
        <v>46028</v>
      </c>
      <c r="G3327" s="3">
        <v>184</v>
      </c>
      <c r="H3327" t="s">
        <v>1120</v>
      </c>
      <c r="I3327">
        <v>0</v>
      </c>
      <c r="J3327">
        <v>0</v>
      </c>
      <c r="K3327">
        <v>0</v>
      </c>
      <c r="L3327" s="3">
        <v>0</v>
      </c>
      <c r="M3327" s="3">
        <v>0</v>
      </c>
      <c r="N3327">
        <v>0</v>
      </c>
      <c r="O3327">
        <v>0</v>
      </c>
      <c r="P3327">
        <v>0</v>
      </c>
      <c r="Q3327">
        <v>0</v>
      </c>
      <c r="R3327" s="3">
        <v>0</v>
      </c>
      <c r="S3327" s="3">
        <v>0</v>
      </c>
      <c r="T3327">
        <v>0</v>
      </c>
      <c r="U3327">
        <v>0</v>
      </c>
      <c r="V3327" s="3">
        <v>0</v>
      </c>
      <c r="W3327" s="3">
        <v>0</v>
      </c>
      <c r="X3327" s="3">
        <v>0</v>
      </c>
      <c r="Y3327" t="s">
        <v>2591</v>
      </c>
    </row>
    <row r="3328" spans="1:25" hidden="1" x14ac:dyDescent="0.25">
      <c r="A3328" t="s">
        <v>40</v>
      </c>
      <c r="B3328" t="s">
        <v>487</v>
      </c>
      <c r="C3328" t="s">
        <v>27</v>
      </c>
      <c r="D3328" t="s">
        <v>27</v>
      </c>
      <c r="E3328" s="2">
        <v>46028</v>
      </c>
      <c r="F3328" s="2">
        <v>46028</v>
      </c>
      <c r="G3328" s="3">
        <v>61</v>
      </c>
      <c r="H3328" t="s">
        <v>763</v>
      </c>
      <c r="I3328">
        <v>0</v>
      </c>
      <c r="J3328">
        <v>0</v>
      </c>
      <c r="K3328">
        <v>0</v>
      </c>
      <c r="L3328" s="3">
        <v>0</v>
      </c>
      <c r="M3328" s="3">
        <v>0</v>
      </c>
      <c r="N3328">
        <v>0</v>
      </c>
      <c r="O3328">
        <v>0</v>
      </c>
      <c r="P3328">
        <v>0</v>
      </c>
      <c r="Q3328">
        <v>0</v>
      </c>
      <c r="R3328" s="3">
        <v>0</v>
      </c>
      <c r="S3328" s="3">
        <v>0</v>
      </c>
      <c r="T3328">
        <v>0</v>
      </c>
      <c r="U3328">
        <v>0</v>
      </c>
      <c r="V3328" s="3">
        <v>0</v>
      </c>
      <c r="W3328" s="3">
        <v>0</v>
      </c>
      <c r="X3328" s="3">
        <v>0</v>
      </c>
      <c r="Y3328" t="s">
        <v>2450</v>
      </c>
    </row>
    <row r="3329" spans="1:25" hidden="1" x14ac:dyDescent="0.25">
      <c r="A3329" t="s">
        <v>27</v>
      </c>
      <c r="B3329" t="s">
        <v>102</v>
      </c>
      <c r="C3329" t="s">
        <v>37</v>
      </c>
      <c r="D3329" t="s">
        <v>27</v>
      </c>
      <c r="E3329" s="2">
        <v>46028</v>
      </c>
      <c r="F3329" s="2">
        <v>46028</v>
      </c>
      <c r="G3329" s="3">
        <v>62</v>
      </c>
      <c r="H3329" t="s">
        <v>763</v>
      </c>
      <c r="I3329">
        <v>0</v>
      </c>
      <c r="J3329">
        <v>0</v>
      </c>
      <c r="K3329">
        <v>0</v>
      </c>
      <c r="L3329" s="3">
        <v>0</v>
      </c>
      <c r="M3329" s="3">
        <v>0</v>
      </c>
      <c r="N3329">
        <v>0</v>
      </c>
      <c r="O3329">
        <v>0</v>
      </c>
      <c r="P3329">
        <v>0</v>
      </c>
      <c r="Q3329">
        <v>0</v>
      </c>
      <c r="R3329" s="3">
        <v>0</v>
      </c>
      <c r="S3329" s="3">
        <v>0</v>
      </c>
      <c r="T3329">
        <v>0</v>
      </c>
      <c r="U3329">
        <v>0</v>
      </c>
      <c r="V3329" s="3">
        <v>0</v>
      </c>
      <c r="W3329" s="3">
        <v>0</v>
      </c>
      <c r="X3329" s="3">
        <v>0</v>
      </c>
      <c r="Y3329" t="s">
        <v>2450</v>
      </c>
    </row>
    <row r="3330" spans="1:25" hidden="1" x14ac:dyDescent="0.25">
      <c r="A3330" t="s">
        <v>55</v>
      </c>
      <c r="B3330" t="s">
        <v>2072</v>
      </c>
      <c r="C3330" t="s">
        <v>2379</v>
      </c>
      <c r="D3330" t="s">
        <v>27</v>
      </c>
      <c r="E3330" s="2">
        <v>46029</v>
      </c>
      <c r="F3330" s="2">
        <v>46029</v>
      </c>
      <c r="G3330" s="3">
        <v>77</v>
      </c>
      <c r="H3330" t="s">
        <v>28</v>
      </c>
      <c r="I3330">
        <v>33</v>
      </c>
      <c r="J3330">
        <v>0</v>
      </c>
      <c r="K3330">
        <v>0</v>
      </c>
      <c r="L3330" s="3">
        <v>1</v>
      </c>
      <c r="M3330" s="3">
        <v>0</v>
      </c>
      <c r="N3330">
        <v>1</v>
      </c>
      <c r="O3330">
        <v>0</v>
      </c>
      <c r="P3330">
        <v>0</v>
      </c>
      <c r="Q3330">
        <v>0</v>
      </c>
      <c r="R3330" s="3">
        <v>0</v>
      </c>
      <c r="S3330" s="3">
        <v>0</v>
      </c>
      <c r="T3330">
        <v>0</v>
      </c>
      <c r="U3330">
        <v>0</v>
      </c>
      <c r="V3330" s="3">
        <v>0</v>
      </c>
      <c r="W3330" s="3">
        <v>0</v>
      </c>
      <c r="X3330">
        <v>0</v>
      </c>
      <c r="Y3330" t="s">
        <v>2592</v>
      </c>
    </row>
    <row r="3331" spans="1:25" hidden="1" x14ac:dyDescent="0.25">
      <c r="A3331" t="s">
        <v>25</v>
      </c>
      <c r="B3331" t="s">
        <v>96</v>
      </c>
      <c r="C3331" t="s">
        <v>26</v>
      </c>
      <c r="D3331" t="s">
        <v>27</v>
      </c>
      <c r="E3331" s="2">
        <v>46029</v>
      </c>
      <c r="F3331" s="2">
        <v>46029</v>
      </c>
      <c r="G3331" s="3">
        <v>100</v>
      </c>
      <c r="H3331" t="s">
        <v>28</v>
      </c>
      <c r="I3331">
        <v>50</v>
      </c>
      <c r="J3331">
        <v>0</v>
      </c>
      <c r="K3331">
        <v>0</v>
      </c>
      <c r="L3331" s="3">
        <v>1</v>
      </c>
      <c r="M3331" s="3">
        <v>0</v>
      </c>
      <c r="N3331">
        <v>1</v>
      </c>
      <c r="O3331">
        <v>0</v>
      </c>
      <c r="P3331">
        <v>0</v>
      </c>
      <c r="Q3331">
        <v>0</v>
      </c>
      <c r="R3331" s="3">
        <v>0</v>
      </c>
      <c r="S3331" s="3">
        <v>0</v>
      </c>
      <c r="T3331">
        <v>0</v>
      </c>
      <c r="U3331">
        <v>0</v>
      </c>
      <c r="V3331" s="3">
        <v>0</v>
      </c>
      <c r="W3331" s="3">
        <v>0</v>
      </c>
      <c r="X3331">
        <v>0</v>
      </c>
      <c r="Y3331" t="s">
        <v>2593</v>
      </c>
    </row>
    <row r="3332" spans="1:25" hidden="1" x14ac:dyDescent="0.25">
      <c r="A3332" t="s">
        <v>29</v>
      </c>
      <c r="B3332" t="s">
        <v>100</v>
      </c>
      <c r="C3332" t="s">
        <v>2271</v>
      </c>
      <c r="D3332" t="s">
        <v>27</v>
      </c>
      <c r="E3332" s="2">
        <v>46029</v>
      </c>
      <c r="F3332" s="2">
        <v>46029</v>
      </c>
      <c r="G3332" s="3">
        <v>34</v>
      </c>
      <c r="H3332" t="s">
        <v>28</v>
      </c>
      <c r="I3332">
        <v>33</v>
      </c>
      <c r="J3332">
        <v>0</v>
      </c>
      <c r="K3332">
        <v>0</v>
      </c>
      <c r="L3332" s="3">
        <v>0</v>
      </c>
      <c r="M3332" s="3">
        <v>0</v>
      </c>
      <c r="N3332">
        <v>0</v>
      </c>
      <c r="O3332">
        <v>0</v>
      </c>
      <c r="P3332">
        <v>0</v>
      </c>
      <c r="Q3332">
        <v>0</v>
      </c>
      <c r="R3332" s="3">
        <v>0</v>
      </c>
      <c r="S3332" s="3">
        <v>0</v>
      </c>
      <c r="T3332">
        <v>0</v>
      </c>
      <c r="U3332">
        <v>0</v>
      </c>
      <c r="V3332" s="3">
        <v>0</v>
      </c>
      <c r="W3332" s="3">
        <v>0</v>
      </c>
      <c r="X3332">
        <v>4</v>
      </c>
      <c r="Y3332" t="s">
        <v>2594</v>
      </c>
    </row>
    <row r="3333" spans="1:25" hidden="1" x14ac:dyDescent="0.25">
      <c r="A3333" t="s">
        <v>344</v>
      </c>
      <c r="B3333" t="s">
        <v>102</v>
      </c>
      <c r="C3333" t="s">
        <v>35</v>
      </c>
      <c r="D3333" t="s">
        <v>27</v>
      </c>
      <c r="E3333" s="2">
        <v>46029</v>
      </c>
      <c r="F3333" s="2">
        <v>46029</v>
      </c>
      <c r="G3333" s="3">
        <v>54</v>
      </c>
      <c r="H3333" t="s">
        <v>28</v>
      </c>
      <c r="I3333">
        <v>38</v>
      </c>
      <c r="J3333">
        <v>0</v>
      </c>
      <c r="K3333">
        <v>0</v>
      </c>
      <c r="L3333" s="3">
        <v>1</v>
      </c>
      <c r="M3333" s="3">
        <v>1</v>
      </c>
      <c r="N3333">
        <v>0</v>
      </c>
      <c r="O3333">
        <v>0</v>
      </c>
      <c r="P3333">
        <v>0</v>
      </c>
      <c r="Q3333">
        <v>2</v>
      </c>
      <c r="R3333" s="3">
        <v>0</v>
      </c>
      <c r="S3333" s="3">
        <v>0</v>
      </c>
      <c r="T3333">
        <v>0</v>
      </c>
      <c r="U3333">
        <v>0</v>
      </c>
      <c r="V3333" s="3">
        <v>0</v>
      </c>
      <c r="W3333" s="3">
        <v>0</v>
      </c>
      <c r="X3333">
        <v>0</v>
      </c>
      <c r="Y3333" t="s">
        <v>2545</v>
      </c>
    </row>
    <row r="3334" spans="1:25" hidden="1" x14ac:dyDescent="0.25">
      <c r="A3334" t="s">
        <v>31</v>
      </c>
      <c r="B3334" t="s">
        <v>104</v>
      </c>
      <c r="C3334" t="s">
        <v>32</v>
      </c>
      <c r="D3334" t="s">
        <v>27</v>
      </c>
      <c r="E3334" s="2">
        <v>46029</v>
      </c>
      <c r="F3334" s="2">
        <v>46029</v>
      </c>
      <c r="G3334" s="3">
        <v>51</v>
      </c>
      <c r="H3334" t="s">
        <v>28</v>
      </c>
      <c r="I3334">
        <v>96</v>
      </c>
      <c r="J3334">
        <v>0</v>
      </c>
      <c r="K3334">
        <v>0</v>
      </c>
      <c r="L3334" s="3">
        <v>1</v>
      </c>
      <c r="M3334" s="3">
        <v>0</v>
      </c>
      <c r="N3334">
        <v>0</v>
      </c>
      <c r="O3334">
        <v>0</v>
      </c>
      <c r="P3334">
        <v>0</v>
      </c>
      <c r="Q3334">
        <v>30</v>
      </c>
      <c r="R3334" s="3">
        <v>0</v>
      </c>
      <c r="S3334" s="3">
        <v>0</v>
      </c>
      <c r="T3334">
        <v>0</v>
      </c>
      <c r="U3334">
        <v>0</v>
      </c>
      <c r="V3334" s="3">
        <v>0</v>
      </c>
      <c r="W3334" s="3">
        <v>0</v>
      </c>
      <c r="X3334" s="37">
        <v>4</v>
      </c>
      <c r="Y3334" t="s">
        <v>2595</v>
      </c>
    </row>
    <row r="3335" spans="1:25" hidden="1" x14ac:dyDescent="0.25">
      <c r="A3335" t="s">
        <v>33</v>
      </c>
      <c r="B3335" t="s">
        <v>106</v>
      </c>
      <c r="C3335" t="s">
        <v>57</v>
      </c>
      <c r="D3335" t="s">
        <v>27</v>
      </c>
      <c r="E3335" s="2">
        <v>46029</v>
      </c>
      <c r="F3335" s="2">
        <v>46029</v>
      </c>
      <c r="G3335" s="3">
        <v>29</v>
      </c>
      <c r="H3335" t="s">
        <v>28</v>
      </c>
      <c r="I3335">
        <v>54</v>
      </c>
      <c r="J3335">
        <v>0</v>
      </c>
      <c r="K3335">
        <v>0</v>
      </c>
      <c r="L3335" s="3">
        <v>0</v>
      </c>
      <c r="M3335" s="3">
        <v>0</v>
      </c>
      <c r="N3335">
        <v>0</v>
      </c>
      <c r="O3335">
        <v>0</v>
      </c>
      <c r="P3335">
        <v>0</v>
      </c>
      <c r="Q3335">
        <v>21</v>
      </c>
      <c r="R3335" s="3">
        <v>0</v>
      </c>
      <c r="S3335" s="3">
        <v>0</v>
      </c>
      <c r="T3335">
        <v>0</v>
      </c>
      <c r="U3335">
        <v>0</v>
      </c>
      <c r="V3335" s="3">
        <v>0</v>
      </c>
      <c r="W3335" s="3">
        <v>0</v>
      </c>
      <c r="X3335">
        <v>0</v>
      </c>
      <c r="Y3335" t="s">
        <v>2596</v>
      </c>
    </row>
    <row r="3336" spans="1:25" hidden="1" x14ac:dyDescent="0.25">
      <c r="A3336" t="s">
        <v>36</v>
      </c>
      <c r="B3336" t="s">
        <v>249</v>
      </c>
      <c r="C3336" t="s">
        <v>2534</v>
      </c>
      <c r="D3336" t="s">
        <v>27</v>
      </c>
      <c r="E3336" s="2">
        <v>46029</v>
      </c>
      <c r="F3336" s="2">
        <v>46029</v>
      </c>
      <c r="G3336" s="3">
        <v>157</v>
      </c>
      <c r="H3336" t="s">
        <v>28</v>
      </c>
      <c r="I3336">
        <v>74</v>
      </c>
      <c r="J3336">
        <v>0</v>
      </c>
      <c r="K3336">
        <v>0</v>
      </c>
      <c r="L3336" s="3">
        <v>1</v>
      </c>
      <c r="M3336" s="3">
        <v>0</v>
      </c>
      <c r="N3336">
        <v>1</v>
      </c>
      <c r="O3336">
        <v>0</v>
      </c>
      <c r="P3336">
        <v>0</v>
      </c>
      <c r="Q3336">
        <v>0</v>
      </c>
      <c r="R3336" s="3">
        <v>0</v>
      </c>
      <c r="S3336" s="3">
        <v>0</v>
      </c>
      <c r="T3336">
        <v>0</v>
      </c>
      <c r="U3336">
        <v>0</v>
      </c>
      <c r="V3336" s="3">
        <v>0</v>
      </c>
      <c r="W3336" s="3">
        <v>0</v>
      </c>
      <c r="X3336">
        <v>0</v>
      </c>
      <c r="Y3336" t="s">
        <v>2597</v>
      </c>
    </row>
    <row r="3337" spans="1:25" hidden="1" x14ac:dyDescent="0.25">
      <c r="A3337" t="s">
        <v>38</v>
      </c>
      <c r="B3337" t="s">
        <v>108</v>
      </c>
      <c r="C3337" t="s">
        <v>27</v>
      </c>
      <c r="D3337" t="s">
        <v>27</v>
      </c>
      <c r="E3337" s="2">
        <v>46029</v>
      </c>
      <c r="F3337" s="2">
        <v>46029</v>
      </c>
      <c r="G3337" s="3">
        <v>40</v>
      </c>
      <c r="H3337" t="s">
        <v>28</v>
      </c>
      <c r="I3337">
        <v>56</v>
      </c>
      <c r="J3337">
        <v>0</v>
      </c>
      <c r="K3337">
        <v>0</v>
      </c>
      <c r="L3337" s="3">
        <v>1</v>
      </c>
      <c r="M3337" s="3">
        <v>0</v>
      </c>
      <c r="N3337">
        <v>0</v>
      </c>
      <c r="O3337">
        <v>0</v>
      </c>
      <c r="P3337">
        <v>56</v>
      </c>
      <c r="Q3337">
        <v>56</v>
      </c>
      <c r="R3337" s="3">
        <v>0</v>
      </c>
      <c r="S3337" s="3">
        <v>0</v>
      </c>
      <c r="T3337">
        <v>0</v>
      </c>
      <c r="U3337">
        <v>0</v>
      </c>
      <c r="V3337" s="3">
        <v>0</v>
      </c>
      <c r="W3337" s="3">
        <v>0</v>
      </c>
      <c r="X3337">
        <v>1</v>
      </c>
      <c r="Y3337" t="s">
        <v>2598</v>
      </c>
    </row>
    <row r="3338" spans="1:25" hidden="1" x14ac:dyDescent="0.25">
      <c r="A3338" t="s">
        <v>1454</v>
      </c>
      <c r="B3338" t="s">
        <v>1455</v>
      </c>
      <c r="C3338" t="s">
        <v>27</v>
      </c>
      <c r="D3338" t="s">
        <v>27</v>
      </c>
      <c r="E3338" s="2">
        <v>46029</v>
      </c>
      <c r="F3338" s="2">
        <v>46029</v>
      </c>
      <c r="G3338" s="3">
        <v>40</v>
      </c>
      <c r="H3338" t="s">
        <v>28</v>
      </c>
      <c r="I3338">
        <v>28</v>
      </c>
      <c r="J3338">
        <v>0</v>
      </c>
      <c r="K3338">
        <v>0</v>
      </c>
      <c r="L3338" s="3">
        <v>1</v>
      </c>
      <c r="M3338" s="3">
        <v>0</v>
      </c>
      <c r="N3338">
        <v>0</v>
      </c>
      <c r="O3338">
        <v>0</v>
      </c>
      <c r="P3338">
        <v>0</v>
      </c>
      <c r="Q3338">
        <v>28</v>
      </c>
      <c r="R3338" s="3">
        <v>0</v>
      </c>
      <c r="S3338" s="3">
        <v>0</v>
      </c>
      <c r="T3338">
        <v>0</v>
      </c>
      <c r="U3338">
        <v>0</v>
      </c>
      <c r="V3338" s="3">
        <v>0</v>
      </c>
      <c r="W3338" s="3">
        <v>0</v>
      </c>
      <c r="X3338">
        <v>0</v>
      </c>
      <c r="Y3338" t="s">
        <v>2599</v>
      </c>
    </row>
    <row r="3339" spans="1:25" hidden="1" x14ac:dyDescent="0.25">
      <c r="A3339" t="s">
        <v>41</v>
      </c>
      <c r="B3339" t="s">
        <v>112</v>
      </c>
      <c r="C3339" t="s">
        <v>42</v>
      </c>
      <c r="D3339" t="s">
        <v>27</v>
      </c>
      <c r="E3339" s="2">
        <v>46029</v>
      </c>
      <c r="F3339" s="2">
        <v>46029</v>
      </c>
      <c r="G3339" s="3">
        <v>56</v>
      </c>
      <c r="H3339" t="s">
        <v>28</v>
      </c>
      <c r="I3339">
        <v>38</v>
      </c>
      <c r="J3339">
        <v>3</v>
      </c>
      <c r="K3339">
        <v>0</v>
      </c>
      <c r="L3339" s="3">
        <v>1</v>
      </c>
      <c r="M3339" s="3">
        <v>0</v>
      </c>
      <c r="N3339">
        <v>0</v>
      </c>
      <c r="O3339">
        <v>0</v>
      </c>
      <c r="P3339">
        <v>0</v>
      </c>
      <c r="Q3339">
        <v>1</v>
      </c>
      <c r="R3339" s="3">
        <v>0</v>
      </c>
      <c r="S3339" s="3">
        <v>0</v>
      </c>
      <c r="T3339">
        <v>0</v>
      </c>
      <c r="U3339">
        <v>0</v>
      </c>
      <c r="V3339" s="3">
        <v>0</v>
      </c>
      <c r="W3339" s="3">
        <v>0</v>
      </c>
      <c r="X3339">
        <v>0</v>
      </c>
      <c r="Y3339" t="s">
        <v>2600</v>
      </c>
    </row>
    <row r="3340" spans="1:25" hidden="1" x14ac:dyDescent="0.25">
      <c r="A3340" t="s">
        <v>43</v>
      </c>
      <c r="B3340" t="s">
        <v>114</v>
      </c>
      <c r="C3340" t="s">
        <v>44</v>
      </c>
      <c r="D3340" t="s">
        <v>27</v>
      </c>
      <c r="E3340" s="2">
        <v>46029</v>
      </c>
      <c r="F3340" s="2">
        <v>46029</v>
      </c>
      <c r="G3340" s="3">
        <v>23</v>
      </c>
      <c r="H3340" t="s">
        <v>28</v>
      </c>
      <c r="I3340">
        <v>41</v>
      </c>
      <c r="J3340">
        <v>0</v>
      </c>
      <c r="K3340">
        <v>0</v>
      </c>
      <c r="L3340" s="3">
        <v>0</v>
      </c>
      <c r="M3340" s="3">
        <v>0</v>
      </c>
      <c r="N3340">
        <v>0</v>
      </c>
      <c r="O3340">
        <v>0</v>
      </c>
      <c r="P3340">
        <v>0</v>
      </c>
      <c r="Q3340">
        <v>0</v>
      </c>
      <c r="R3340" s="3">
        <v>0</v>
      </c>
      <c r="S3340" s="3">
        <v>0</v>
      </c>
      <c r="T3340">
        <v>0</v>
      </c>
      <c r="U3340">
        <v>0</v>
      </c>
      <c r="V3340" s="3">
        <v>0</v>
      </c>
      <c r="W3340" s="3">
        <v>0</v>
      </c>
      <c r="X3340">
        <v>0</v>
      </c>
      <c r="Y3340" t="s">
        <v>2601</v>
      </c>
    </row>
    <row r="3341" spans="1:25" hidden="1" x14ac:dyDescent="0.25">
      <c r="A3341" t="s">
        <v>2118</v>
      </c>
      <c r="B3341" t="s">
        <v>2119</v>
      </c>
      <c r="C3341" t="s">
        <v>27</v>
      </c>
      <c r="D3341" t="s">
        <v>27</v>
      </c>
      <c r="E3341" s="2">
        <v>46029</v>
      </c>
      <c r="F3341" s="2">
        <v>46029</v>
      </c>
      <c r="G3341" s="3">
        <v>40</v>
      </c>
      <c r="H3341" t="s">
        <v>28</v>
      </c>
      <c r="I3341">
        <v>62</v>
      </c>
      <c r="J3341">
        <v>0</v>
      </c>
      <c r="K3341">
        <v>0</v>
      </c>
      <c r="L3341" s="3">
        <v>1</v>
      </c>
      <c r="M3341" s="3">
        <v>0</v>
      </c>
      <c r="N3341">
        <v>0</v>
      </c>
      <c r="O3341">
        <v>0</v>
      </c>
      <c r="P3341">
        <v>0</v>
      </c>
      <c r="Q3341">
        <v>62</v>
      </c>
      <c r="R3341" s="3">
        <v>0</v>
      </c>
      <c r="S3341" s="3">
        <v>0</v>
      </c>
      <c r="T3341">
        <v>0</v>
      </c>
      <c r="U3341">
        <v>0</v>
      </c>
      <c r="V3341" s="3">
        <v>0</v>
      </c>
      <c r="W3341" s="3">
        <v>0</v>
      </c>
      <c r="X3341">
        <v>0</v>
      </c>
      <c r="Y3341" t="s">
        <v>2602</v>
      </c>
    </row>
    <row r="3342" spans="1:25" hidden="1" x14ac:dyDescent="0.25">
      <c r="A3342" t="s">
        <v>45</v>
      </c>
      <c r="B3342" t="s">
        <v>116</v>
      </c>
      <c r="C3342" t="s">
        <v>46</v>
      </c>
      <c r="D3342" t="s">
        <v>27</v>
      </c>
      <c r="E3342" s="2">
        <v>46029</v>
      </c>
      <c r="F3342" s="2">
        <v>46029</v>
      </c>
      <c r="G3342" s="3">
        <v>43</v>
      </c>
      <c r="H3342" t="s">
        <v>28</v>
      </c>
      <c r="I3342">
        <v>65</v>
      </c>
      <c r="J3342">
        <v>0</v>
      </c>
      <c r="K3342">
        <v>0</v>
      </c>
      <c r="L3342" s="3">
        <v>1</v>
      </c>
      <c r="M3342" s="3">
        <v>0</v>
      </c>
      <c r="N3342">
        <v>0</v>
      </c>
      <c r="O3342">
        <v>0</v>
      </c>
      <c r="P3342">
        <v>0</v>
      </c>
      <c r="Q3342">
        <v>12</v>
      </c>
      <c r="R3342" s="3">
        <v>0</v>
      </c>
      <c r="S3342" s="3">
        <v>0</v>
      </c>
      <c r="T3342">
        <v>0</v>
      </c>
      <c r="U3342">
        <v>0</v>
      </c>
      <c r="V3342" s="3">
        <v>0</v>
      </c>
      <c r="W3342" s="3">
        <v>0</v>
      </c>
      <c r="X3342">
        <v>0</v>
      </c>
      <c r="Y3342" t="s">
        <v>2603</v>
      </c>
    </row>
    <row r="3343" spans="1:25" hidden="1" x14ac:dyDescent="0.25">
      <c r="A3343" t="s">
        <v>47</v>
      </c>
      <c r="B3343" t="s">
        <v>137</v>
      </c>
      <c r="C3343" t="s">
        <v>2310</v>
      </c>
      <c r="D3343" t="s">
        <v>27</v>
      </c>
      <c r="E3343" s="2">
        <v>46029</v>
      </c>
      <c r="F3343" s="2">
        <v>46029</v>
      </c>
      <c r="G3343" s="3">
        <v>226</v>
      </c>
      <c r="H3343" t="s">
        <v>28</v>
      </c>
      <c r="I3343">
        <v>43</v>
      </c>
      <c r="J3343">
        <v>0</v>
      </c>
      <c r="K3343">
        <v>0</v>
      </c>
      <c r="L3343" s="3">
        <v>1</v>
      </c>
      <c r="M3343" s="3">
        <v>0</v>
      </c>
      <c r="N3343">
        <v>0</v>
      </c>
      <c r="O3343">
        <v>0</v>
      </c>
      <c r="P3343">
        <v>0</v>
      </c>
      <c r="Q3343">
        <v>8</v>
      </c>
      <c r="R3343" s="3">
        <v>0</v>
      </c>
      <c r="S3343" s="3">
        <v>0</v>
      </c>
      <c r="T3343">
        <v>0</v>
      </c>
      <c r="U3343">
        <v>0</v>
      </c>
      <c r="V3343" s="3">
        <v>0</v>
      </c>
      <c r="W3343" s="3">
        <v>0</v>
      </c>
      <c r="X3343">
        <v>0</v>
      </c>
      <c r="Y3343" t="s">
        <v>2604</v>
      </c>
    </row>
    <row r="3344" spans="1:25" hidden="1" x14ac:dyDescent="0.25">
      <c r="A3344" t="s">
        <v>49</v>
      </c>
      <c r="B3344" t="s">
        <v>118</v>
      </c>
      <c r="C3344" t="s">
        <v>27</v>
      </c>
      <c r="D3344" t="s">
        <v>27</v>
      </c>
      <c r="E3344" s="2">
        <v>46029</v>
      </c>
      <c r="F3344" s="2">
        <v>46029</v>
      </c>
      <c r="G3344" s="3">
        <v>63</v>
      </c>
      <c r="H3344" t="s">
        <v>28</v>
      </c>
      <c r="I3344">
        <v>38</v>
      </c>
      <c r="J3344">
        <v>0</v>
      </c>
      <c r="K3344">
        <v>0</v>
      </c>
      <c r="L3344" s="3">
        <v>1</v>
      </c>
      <c r="M3344" s="3">
        <v>1</v>
      </c>
      <c r="N3344">
        <v>0</v>
      </c>
      <c r="O3344">
        <v>0</v>
      </c>
      <c r="P3344">
        <v>0</v>
      </c>
      <c r="Q3344">
        <v>38</v>
      </c>
      <c r="R3344" s="3">
        <v>0</v>
      </c>
      <c r="S3344" s="3">
        <v>0</v>
      </c>
      <c r="T3344">
        <v>0</v>
      </c>
      <c r="U3344">
        <v>0</v>
      </c>
      <c r="V3344" s="3">
        <v>0</v>
      </c>
      <c r="W3344" s="3">
        <v>0</v>
      </c>
      <c r="X3344">
        <v>0</v>
      </c>
      <c r="Y3344" t="s">
        <v>2605</v>
      </c>
    </row>
    <row r="3345" spans="1:25" hidden="1" x14ac:dyDescent="0.25">
      <c r="A3345" t="s">
        <v>48</v>
      </c>
      <c r="B3345" t="s">
        <v>149</v>
      </c>
      <c r="C3345" t="s">
        <v>95</v>
      </c>
      <c r="D3345" t="s">
        <v>27</v>
      </c>
      <c r="E3345" s="2">
        <v>46029</v>
      </c>
      <c r="F3345" s="2">
        <v>46029</v>
      </c>
      <c r="G3345" s="3">
        <v>31</v>
      </c>
      <c r="H3345" t="s">
        <v>28</v>
      </c>
      <c r="I3345">
        <v>60</v>
      </c>
      <c r="J3345">
        <v>0</v>
      </c>
      <c r="K3345">
        <v>0</v>
      </c>
      <c r="L3345" s="3">
        <v>1</v>
      </c>
      <c r="M3345" s="3">
        <v>0</v>
      </c>
      <c r="N3345">
        <v>0</v>
      </c>
      <c r="O3345">
        <v>0</v>
      </c>
      <c r="P3345">
        <v>2</v>
      </c>
      <c r="Q3345">
        <v>5</v>
      </c>
      <c r="R3345" s="3">
        <v>0</v>
      </c>
      <c r="S3345" s="3">
        <v>0</v>
      </c>
      <c r="T3345">
        <v>0</v>
      </c>
      <c r="U3345">
        <v>0</v>
      </c>
      <c r="V3345" s="3">
        <v>0</v>
      </c>
      <c r="W3345" s="3">
        <v>0</v>
      </c>
      <c r="X3345">
        <v>0</v>
      </c>
      <c r="Y3345" t="s">
        <v>2606</v>
      </c>
    </row>
    <row r="3346" spans="1:25" hidden="1" x14ac:dyDescent="0.25">
      <c r="A3346" t="s">
        <v>54</v>
      </c>
      <c r="B3346" t="s">
        <v>122</v>
      </c>
      <c r="C3346" t="s">
        <v>52</v>
      </c>
      <c r="D3346" t="s">
        <v>27</v>
      </c>
      <c r="E3346" s="2">
        <v>46029</v>
      </c>
      <c r="F3346" s="2">
        <v>46029</v>
      </c>
      <c r="G3346" s="3">
        <v>46</v>
      </c>
      <c r="H3346" t="s">
        <v>28</v>
      </c>
      <c r="I3346">
        <v>47</v>
      </c>
      <c r="J3346">
        <v>0</v>
      </c>
      <c r="K3346">
        <v>0</v>
      </c>
      <c r="L3346" s="3">
        <v>0</v>
      </c>
      <c r="M3346" s="3">
        <v>0</v>
      </c>
      <c r="N3346">
        <v>0</v>
      </c>
      <c r="O3346">
        <v>0</v>
      </c>
      <c r="P3346">
        <v>0</v>
      </c>
      <c r="Q3346">
        <v>2</v>
      </c>
      <c r="R3346" s="3">
        <v>0</v>
      </c>
      <c r="S3346" s="3">
        <v>0</v>
      </c>
      <c r="T3346">
        <v>0</v>
      </c>
      <c r="U3346">
        <v>0</v>
      </c>
      <c r="V3346" s="3">
        <v>0</v>
      </c>
      <c r="W3346" s="3">
        <v>0</v>
      </c>
      <c r="X3346">
        <v>1</v>
      </c>
      <c r="Y3346" t="s">
        <v>2588</v>
      </c>
    </row>
    <row r="3347" spans="1:25" hidden="1" x14ac:dyDescent="0.25">
      <c r="A3347" t="s">
        <v>58</v>
      </c>
      <c r="B3347" t="s">
        <v>144</v>
      </c>
      <c r="C3347" t="s">
        <v>2514</v>
      </c>
      <c r="D3347" t="s">
        <v>27</v>
      </c>
      <c r="E3347" s="2">
        <v>46029</v>
      </c>
      <c r="F3347" s="2">
        <v>46029</v>
      </c>
      <c r="G3347" s="3">
        <v>61</v>
      </c>
      <c r="H3347" t="s">
        <v>28</v>
      </c>
      <c r="I3347">
        <v>70</v>
      </c>
      <c r="J3347">
        <v>0</v>
      </c>
      <c r="K3347">
        <v>0</v>
      </c>
      <c r="L3347" s="3">
        <v>1</v>
      </c>
      <c r="M3347" s="3">
        <v>0</v>
      </c>
      <c r="N3347">
        <v>0</v>
      </c>
      <c r="O3347">
        <v>0</v>
      </c>
      <c r="P3347">
        <v>0</v>
      </c>
      <c r="Q3347">
        <v>40</v>
      </c>
      <c r="R3347" s="3">
        <v>0</v>
      </c>
      <c r="S3347" s="3">
        <v>0</v>
      </c>
      <c r="T3347">
        <v>0</v>
      </c>
      <c r="U3347">
        <v>0</v>
      </c>
      <c r="V3347" s="3">
        <v>0</v>
      </c>
      <c r="W3347" s="3">
        <v>0</v>
      </c>
      <c r="X3347">
        <v>0</v>
      </c>
      <c r="Y3347" t="s">
        <v>2607</v>
      </c>
    </row>
    <row r="3348" spans="1:25" hidden="1" x14ac:dyDescent="0.25">
      <c r="A3348" t="s">
        <v>51</v>
      </c>
      <c r="B3348" t="s">
        <v>106</v>
      </c>
      <c r="C3348" t="s">
        <v>27</v>
      </c>
      <c r="D3348" t="s">
        <v>27</v>
      </c>
      <c r="E3348" s="2">
        <v>46029</v>
      </c>
      <c r="F3348" s="2">
        <v>46029</v>
      </c>
      <c r="G3348" s="3">
        <v>183</v>
      </c>
      <c r="H3348" t="s">
        <v>1975</v>
      </c>
      <c r="I3348">
        <v>0</v>
      </c>
      <c r="J3348">
        <v>0</v>
      </c>
      <c r="K3348">
        <v>0</v>
      </c>
      <c r="L3348" s="3">
        <v>0</v>
      </c>
      <c r="M3348" s="3">
        <v>0</v>
      </c>
      <c r="N3348">
        <v>0</v>
      </c>
      <c r="O3348">
        <v>0</v>
      </c>
      <c r="P3348">
        <v>0</v>
      </c>
      <c r="Q3348">
        <v>0</v>
      </c>
      <c r="R3348" s="3">
        <v>0</v>
      </c>
      <c r="S3348" s="3">
        <v>0</v>
      </c>
      <c r="T3348">
        <v>0</v>
      </c>
      <c r="U3348">
        <v>0</v>
      </c>
      <c r="V3348" s="3">
        <v>0</v>
      </c>
      <c r="W3348" s="3">
        <v>0</v>
      </c>
      <c r="X3348" s="3">
        <v>0</v>
      </c>
      <c r="Y3348" t="s">
        <v>2591</v>
      </c>
    </row>
    <row r="3349" spans="1:25" hidden="1" x14ac:dyDescent="0.25">
      <c r="A3349" t="s">
        <v>40</v>
      </c>
      <c r="B3349" t="s">
        <v>487</v>
      </c>
      <c r="C3349" t="s">
        <v>27</v>
      </c>
      <c r="D3349" t="s">
        <v>27</v>
      </c>
      <c r="E3349" s="2">
        <v>46029</v>
      </c>
      <c r="F3349" s="2">
        <v>46029</v>
      </c>
      <c r="G3349" s="3">
        <v>61</v>
      </c>
      <c r="H3349" t="s">
        <v>763</v>
      </c>
      <c r="I3349">
        <v>0</v>
      </c>
      <c r="J3349">
        <v>0</v>
      </c>
      <c r="K3349">
        <v>0</v>
      </c>
      <c r="L3349" s="3">
        <v>0</v>
      </c>
      <c r="M3349" s="3">
        <v>0</v>
      </c>
      <c r="N3349">
        <v>0</v>
      </c>
      <c r="O3349">
        <v>0</v>
      </c>
      <c r="P3349">
        <v>0</v>
      </c>
      <c r="Q3349">
        <v>0</v>
      </c>
      <c r="R3349" s="3">
        <v>0</v>
      </c>
      <c r="S3349" s="3">
        <v>0</v>
      </c>
      <c r="T3349">
        <v>0</v>
      </c>
      <c r="U3349">
        <v>0</v>
      </c>
      <c r="V3349" s="3">
        <v>0</v>
      </c>
      <c r="W3349" s="3">
        <v>0</v>
      </c>
      <c r="X3349" s="3">
        <v>0</v>
      </c>
      <c r="Y3349" t="s">
        <v>2450</v>
      </c>
    </row>
    <row r="3350" spans="1:25" hidden="1" x14ac:dyDescent="0.25">
      <c r="A3350" t="s">
        <v>27</v>
      </c>
      <c r="B3350" t="s">
        <v>102</v>
      </c>
      <c r="C3350" t="s">
        <v>37</v>
      </c>
      <c r="D3350" t="s">
        <v>27</v>
      </c>
      <c r="E3350" s="2">
        <v>46029</v>
      </c>
      <c r="F3350" s="2">
        <v>46029</v>
      </c>
      <c r="G3350" s="3">
        <v>62</v>
      </c>
      <c r="H3350" t="s">
        <v>763</v>
      </c>
      <c r="I3350">
        <v>0</v>
      </c>
      <c r="J3350">
        <v>0</v>
      </c>
      <c r="K3350">
        <v>0</v>
      </c>
      <c r="L3350" s="3">
        <v>0</v>
      </c>
      <c r="M3350" s="3">
        <v>0</v>
      </c>
      <c r="N3350">
        <v>0</v>
      </c>
      <c r="O3350">
        <v>0</v>
      </c>
      <c r="P3350">
        <v>0</v>
      </c>
      <c r="Q3350">
        <v>0</v>
      </c>
      <c r="R3350" s="3">
        <v>0</v>
      </c>
      <c r="S3350" s="3">
        <v>0</v>
      </c>
      <c r="T3350">
        <v>0</v>
      </c>
      <c r="U3350">
        <v>0</v>
      </c>
      <c r="V3350" s="3">
        <v>0</v>
      </c>
      <c r="W3350" s="3">
        <v>0</v>
      </c>
      <c r="X3350" s="3">
        <v>0</v>
      </c>
      <c r="Y3350" t="s">
        <v>2450</v>
      </c>
    </row>
    <row r="3351" spans="1:25" hidden="1" x14ac:dyDescent="0.25">
      <c r="A3351" t="s">
        <v>25</v>
      </c>
      <c r="B3351" t="s">
        <v>96</v>
      </c>
      <c r="C3351" t="s">
        <v>26</v>
      </c>
      <c r="D3351" t="s">
        <v>27</v>
      </c>
      <c r="E3351" s="2">
        <v>46030</v>
      </c>
      <c r="F3351" s="2">
        <v>46030</v>
      </c>
      <c r="G3351" s="3">
        <v>69</v>
      </c>
      <c r="H3351" t="s">
        <v>28</v>
      </c>
      <c r="I3351">
        <v>50</v>
      </c>
      <c r="J3351">
        <v>0</v>
      </c>
      <c r="K3351">
        <v>0</v>
      </c>
      <c r="L3351" s="3">
        <v>1</v>
      </c>
      <c r="M3351" s="3">
        <v>0</v>
      </c>
      <c r="N3351">
        <v>1</v>
      </c>
      <c r="O3351">
        <v>0</v>
      </c>
      <c r="P3351">
        <v>0</v>
      </c>
      <c r="Q3351">
        <v>0</v>
      </c>
      <c r="R3351" s="3">
        <v>0</v>
      </c>
      <c r="S3351" s="3">
        <v>0</v>
      </c>
      <c r="T3351">
        <v>0</v>
      </c>
      <c r="U3351">
        <v>0</v>
      </c>
      <c r="V3351" s="3">
        <v>0</v>
      </c>
      <c r="W3351" s="3">
        <v>0</v>
      </c>
      <c r="X3351">
        <v>0</v>
      </c>
      <c r="Y3351" t="s">
        <v>2608</v>
      </c>
    </row>
    <row r="3352" spans="1:25" hidden="1" x14ac:dyDescent="0.25">
      <c r="A3352" t="s">
        <v>29</v>
      </c>
      <c r="B3352" t="s">
        <v>100</v>
      </c>
      <c r="C3352" t="s">
        <v>2271</v>
      </c>
      <c r="D3352" t="s">
        <v>27</v>
      </c>
      <c r="E3352" s="2">
        <v>46030</v>
      </c>
      <c r="F3352" s="2">
        <v>46030</v>
      </c>
      <c r="G3352" s="3">
        <v>44</v>
      </c>
      <c r="H3352" t="s">
        <v>28</v>
      </c>
      <c r="I3352">
        <v>20</v>
      </c>
      <c r="J3352">
        <v>0</v>
      </c>
      <c r="K3352">
        <v>0</v>
      </c>
      <c r="L3352" s="3">
        <v>0</v>
      </c>
      <c r="M3352" s="3">
        <v>0</v>
      </c>
      <c r="N3352">
        <v>0</v>
      </c>
      <c r="O3352">
        <v>0</v>
      </c>
      <c r="P3352">
        <v>0</v>
      </c>
      <c r="Q3352">
        <v>0</v>
      </c>
      <c r="R3352" s="3">
        <v>0</v>
      </c>
      <c r="S3352" s="3">
        <v>0</v>
      </c>
      <c r="T3352">
        <v>0</v>
      </c>
      <c r="U3352">
        <v>0</v>
      </c>
      <c r="V3352" s="3">
        <v>0</v>
      </c>
      <c r="W3352" s="3">
        <v>0</v>
      </c>
      <c r="X3352">
        <v>4</v>
      </c>
      <c r="Y3352" t="s">
        <v>2609</v>
      </c>
    </row>
    <row r="3353" spans="1:25" hidden="1" x14ac:dyDescent="0.25">
      <c r="A3353" t="s">
        <v>344</v>
      </c>
      <c r="B3353" t="s">
        <v>102</v>
      </c>
      <c r="C3353" t="s">
        <v>35</v>
      </c>
      <c r="D3353" t="s">
        <v>27</v>
      </c>
      <c r="E3353" s="2">
        <v>46030</v>
      </c>
      <c r="F3353" s="2">
        <v>46030</v>
      </c>
      <c r="G3353" s="3">
        <v>54</v>
      </c>
      <c r="H3353" t="s">
        <v>28</v>
      </c>
      <c r="I3353">
        <v>38</v>
      </c>
      <c r="J3353">
        <v>0</v>
      </c>
      <c r="K3353">
        <v>0</v>
      </c>
      <c r="L3353" s="3">
        <v>1</v>
      </c>
      <c r="M3353" s="3">
        <v>1</v>
      </c>
      <c r="N3353">
        <v>0</v>
      </c>
      <c r="O3353">
        <v>0</v>
      </c>
      <c r="P3353">
        <v>0</v>
      </c>
      <c r="Q3353">
        <v>2</v>
      </c>
      <c r="R3353" s="3">
        <v>0</v>
      </c>
      <c r="S3353" s="3">
        <v>0</v>
      </c>
      <c r="T3353">
        <v>0</v>
      </c>
      <c r="U3353">
        <v>0</v>
      </c>
      <c r="V3353" s="3">
        <v>0</v>
      </c>
      <c r="W3353" s="3">
        <v>0</v>
      </c>
      <c r="X3353">
        <v>0</v>
      </c>
      <c r="Y3353" t="s">
        <v>2545</v>
      </c>
    </row>
    <row r="3354" spans="1:25" hidden="1" x14ac:dyDescent="0.25">
      <c r="A3354" t="s">
        <v>31</v>
      </c>
      <c r="B3354" t="s">
        <v>104</v>
      </c>
      <c r="C3354" t="s">
        <v>32</v>
      </c>
      <c r="D3354" t="s">
        <v>27</v>
      </c>
      <c r="E3354" s="2">
        <v>46030</v>
      </c>
      <c r="F3354" s="2">
        <v>46030</v>
      </c>
      <c r="G3354" s="3">
        <v>58</v>
      </c>
      <c r="H3354" t="s">
        <v>28</v>
      </c>
      <c r="I3354">
        <v>78</v>
      </c>
      <c r="J3354">
        <v>0</v>
      </c>
      <c r="K3354">
        <v>0</v>
      </c>
      <c r="L3354" s="3">
        <v>1</v>
      </c>
      <c r="M3354" s="3">
        <v>0</v>
      </c>
      <c r="N3354">
        <v>0</v>
      </c>
      <c r="O3354">
        <v>0</v>
      </c>
      <c r="P3354">
        <v>0</v>
      </c>
      <c r="Q3354">
        <v>30</v>
      </c>
      <c r="R3354" s="3">
        <v>0</v>
      </c>
      <c r="S3354" s="3">
        <v>0</v>
      </c>
      <c r="T3354">
        <v>0</v>
      </c>
      <c r="U3354">
        <v>0</v>
      </c>
      <c r="V3354" s="3">
        <v>0</v>
      </c>
      <c r="W3354" s="3">
        <v>0</v>
      </c>
      <c r="X3354" s="37">
        <v>4</v>
      </c>
      <c r="Y3354" t="s">
        <v>2610</v>
      </c>
    </row>
    <row r="3355" spans="1:25" hidden="1" x14ac:dyDescent="0.25">
      <c r="A3355" t="s">
        <v>33</v>
      </c>
      <c r="B3355" t="s">
        <v>106</v>
      </c>
      <c r="C3355" t="s">
        <v>57</v>
      </c>
      <c r="D3355" t="s">
        <v>27</v>
      </c>
      <c r="E3355" s="2">
        <v>46030</v>
      </c>
      <c r="F3355" s="2">
        <v>46030</v>
      </c>
      <c r="G3355" s="3">
        <v>27</v>
      </c>
      <c r="H3355" t="s">
        <v>28</v>
      </c>
      <c r="I3355">
        <v>41</v>
      </c>
      <c r="J3355">
        <v>0</v>
      </c>
      <c r="K3355">
        <v>0</v>
      </c>
      <c r="L3355" s="3">
        <v>0</v>
      </c>
      <c r="M3355" s="3">
        <v>0</v>
      </c>
      <c r="N3355">
        <v>0</v>
      </c>
      <c r="O3355">
        <v>0</v>
      </c>
      <c r="P3355">
        <v>0</v>
      </c>
      <c r="Q3355">
        <v>0</v>
      </c>
      <c r="R3355" s="3">
        <v>0</v>
      </c>
      <c r="S3355" s="3">
        <v>0</v>
      </c>
      <c r="T3355">
        <v>0</v>
      </c>
      <c r="U3355">
        <v>0</v>
      </c>
      <c r="V3355" s="3">
        <v>0</v>
      </c>
      <c r="W3355" s="3">
        <v>0</v>
      </c>
      <c r="X3355">
        <v>0</v>
      </c>
      <c r="Y3355" t="s">
        <v>2611</v>
      </c>
    </row>
    <row r="3356" spans="1:25" hidden="1" x14ac:dyDescent="0.25">
      <c r="A3356" t="s">
        <v>36</v>
      </c>
      <c r="B3356" t="s">
        <v>249</v>
      </c>
      <c r="C3356" t="s">
        <v>2534</v>
      </c>
      <c r="D3356" t="s">
        <v>27</v>
      </c>
      <c r="E3356" s="2">
        <v>46030</v>
      </c>
      <c r="F3356" s="2">
        <v>46030</v>
      </c>
      <c r="G3356" s="3">
        <v>98</v>
      </c>
      <c r="H3356" t="s">
        <v>28</v>
      </c>
      <c r="I3356">
        <v>94</v>
      </c>
      <c r="J3356">
        <v>0</v>
      </c>
      <c r="K3356">
        <v>0</v>
      </c>
      <c r="L3356" s="3">
        <v>1</v>
      </c>
      <c r="M3356" s="3">
        <v>0</v>
      </c>
      <c r="N3356">
        <v>1</v>
      </c>
      <c r="O3356">
        <v>0</v>
      </c>
      <c r="P3356">
        <v>0</v>
      </c>
      <c r="Q3356">
        <v>0</v>
      </c>
      <c r="R3356" s="3">
        <v>0</v>
      </c>
      <c r="S3356" s="3">
        <v>0</v>
      </c>
      <c r="T3356">
        <v>0</v>
      </c>
      <c r="U3356">
        <v>0</v>
      </c>
      <c r="V3356" s="3">
        <v>0</v>
      </c>
      <c r="W3356" s="3">
        <v>0</v>
      </c>
      <c r="X3356">
        <v>0</v>
      </c>
      <c r="Y3356" t="s">
        <v>2612</v>
      </c>
    </row>
    <row r="3357" spans="1:25" hidden="1" x14ac:dyDescent="0.25">
      <c r="A3357" t="s">
        <v>38</v>
      </c>
      <c r="B3357" t="s">
        <v>108</v>
      </c>
      <c r="C3357" t="s">
        <v>27</v>
      </c>
      <c r="D3357" t="s">
        <v>27</v>
      </c>
      <c r="E3357" s="2">
        <v>46030</v>
      </c>
      <c r="F3357" s="2">
        <v>46030</v>
      </c>
      <c r="G3357" s="3">
        <v>42</v>
      </c>
      <c r="H3357" t="s">
        <v>28</v>
      </c>
      <c r="I3357">
        <v>33</v>
      </c>
      <c r="J3357">
        <v>0</v>
      </c>
      <c r="K3357">
        <v>0</v>
      </c>
      <c r="L3357" s="3">
        <v>1</v>
      </c>
      <c r="M3357" s="3">
        <v>0</v>
      </c>
      <c r="N3357">
        <v>0</v>
      </c>
      <c r="O3357">
        <v>0</v>
      </c>
      <c r="P3357">
        <v>33</v>
      </c>
      <c r="Q3357">
        <v>33</v>
      </c>
      <c r="R3357" s="3">
        <v>0</v>
      </c>
      <c r="S3357" s="3">
        <v>0</v>
      </c>
      <c r="T3357">
        <v>0</v>
      </c>
      <c r="U3357">
        <v>0</v>
      </c>
      <c r="V3357" s="3">
        <v>0</v>
      </c>
      <c r="W3357" s="3">
        <v>0</v>
      </c>
      <c r="X3357">
        <v>0</v>
      </c>
      <c r="Y3357" t="s">
        <v>2613</v>
      </c>
    </row>
    <row r="3358" spans="1:25" hidden="1" x14ac:dyDescent="0.25">
      <c r="A3358" t="s">
        <v>1454</v>
      </c>
      <c r="B3358" t="s">
        <v>1455</v>
      </c>
      <c r="C3358" t="s">
        <v>27</v>
      </c>
      <c r="D3358" t="s">
        <v>27</v>
      </c>
      <c r="E3358" s="2">
        <v>46030</v>
      </c>
      <c r="F3358" s="2">
        <v>46030</v>
      </c>
      <c r="G3358" s="3">
        <v>29</v>
      </c>
      <c r="H3358" t="s">
        <v>28</v>
      </c>
      <c r="I3358">
        <v>31</v>
      </c>
      <c r="J3358">
        <v>0</v>
      </c>
      <c r="K3358">
        <v>0</v>
      </c>
      <c r="L3358" s="3">
        <v>1</v>
      </c>
      <c r="M3358" s="3">
        <v>0</v>
      </c>
      <c r="N3358">
        <v>0</v>
      </c>
      <c r="O3358">
        <v>0</v>
      </c>
      <c r="P3358">
        <v>0</v>
      </c>
      <c r="Q3358">
        <v>31</v>
      </c>
      <c r="R3358" s="3">
        <v>0</v>
      </c>
      <c r="S3358" s="3">
        <v>0</v>
      </c>
      <c r="T3358">
        <v>0</v>
      </c>
      <c r="U3358">
        <v>0</v>
      </c>
      <c r="V3358" s="3">
        <v>0</v>
      </c>
      <c r="W3358" s="3">
        <v>0</v>
      </c>
      <c r="X3358">
        <v>0</v>
      </c>
      <c r="Y3358" t="s">
        <v>2614</v>
      </c>
    </row>
    <row r="3359" spans="1:25" hidden="1" x14ac:dyDescent="0.25">
      <c r="A3359" t="s">
        <v>41</v>
      </c>
      <c r="B3359" t="s">
        <v>112</v>
      </c>
      <c r="C3359" t="s">
        <v>42</v>
      </c>
      <c r="D3359" t="s">
        <v>27</v>
      </c>
      <c r="E3359" s="2">
        <v>46030</v>
      </c>
      <c r="F3359" s="2">
        <v>46030</v>
      </c>
      <c r="G3359" s="3">
        <v>34</v>
      </c>
      <c r="H3359" t="s">
        <v>28</v>
      </c>
      <c r="I3359">
        <v>59</v>
      </c>
      <c r="J3359">
        <v>0</v>
      </c>
      <c r="K3359">
        <v>0</v>
      </c>
      <c r="L3359" s="3">
        <v>1</v>
      </c>
      <c r="M3359" s="3">
        <v>0</v>
      </c>
      <c r="N3359">
        <v>1</v>
      </c>
      <c r="O3359">
        <v>0</v>
      </c>
      <c r="P3359">
        <v>0</v>
      </c>
      <c r="Q3359">
        <v>4</v>
      </c>
      <c r="R3359" s="3">
        <v>0</v>
      </c>
      <c r="S3359" s="3">
        <v>0</v>
      </c>
      <c r="T3359">
        <v>0</v>
      </c>
      <c r="U3359">
        <v>0</v>
      </c>
      <c r="V3359" s="3">
        <v>0</v>
      </c>
      <c r="W3359" s="3">
        <v>0</v>
      </c>
      <c r="X3359">
        <v>0</v>
      </c>
      <c r="Y3359" t="s">
        <v>2615</v>
      </c>
    </row>
    <row r="3360" spans="1:25" hidden="1" x14ac:dyDescent="0.25">
      <c r="A3360" t="s">
        <v>43</v>
      </c>
      <c r="B3360" t="s">
        <v>114</v>
      </c>
      <c r="C3360" t="s">
        <v>44</v>
      </c>
      <c r="D3360" t="s">
        <v>27</v>
      </c>
      <c r="E3360" s="2">
        <v>46030</v>
      </c>
      <c r="F3360" s="2">
        <v>46030</v>
      </c>
      <c r="G3360" s="3">
        <v>34</v>
      </c>
      <c r="H3360" t="s">
        <v>28</v>
      </c>
      <c r="I3360">
        <v>45</v>
      </c>
      <c r="J3360">
        <v>0</v>
      </c>
      <c r="K3360">
        <v>0</v>
      </c>
      <c r="L3360" s="3">
        <v>0</v>
      </c>
      <c r="M3360" s="3">
        <v>0</v>
      </c>
      <c r="N3360">
        <v>0</v>
      </c>
      <c r="O3360">
        <v>0</v>
      </c>
      <c r="P3360">
        <v>0</v>
      </c>
      <c r="Q3360">
        <v>0</v>
      </c>
      <c r="R3360" s="3">
        <v>0</v>
      </c>
      <c r="S3360" s="3">
        <v>0</v>
      </c>
      <c r="T3360">
        <v>0</v>
      </c>
      <c r="U3360">
        <v>0</v>
      </c>
      <c r="V3360" s="3">
        <v>0</v>
      </c>
      <c r="W3360" s="3">
        <v>0</v>
      </c>
      <c r="X3360">
        <v>0</v>
      </c>
      <c r="Y3360" t="s">
        <v>2616</v>
      </c>
    </row>
    <row r="3361" spans="1:25" hidden="1" x14ac:dyDescent="0.25">
      <c r="A3361" t="s">
        <v>45</v>
      </c>
      <c r="B3361" t="s">
        <v>116</v>
      </c>
      <c r="C3361" t="s">
        <v>46</v>
      </c>
      <c r="D3361" t="s">
        <v>27</v>
      </c>
      <c r="E3361" s="2">
        <v>46030</v>
      </c>
      <c r="F3361" s="2">
        <v>46030</v>
      </c>
      <c r="G3361" s="3">
        <v>40</v>
      </c>
      <c r="H3361" t="s">
        <v>28</v>
      </c>
      <c r="I3361">
        <v>36</v>
      </c>
      <c r="J3361">
        <v>0</v>
      </c>
      <c r="K3361">
        <v>0</v>
      </c>
      <c r="L3361" s="3">
        <v>0</v>
      </c>
      <c r="M3361" s="3">
        <v>0</v>
      </c>
      <c r="N3361">
        <v>0</v>
      </c>
      <c r="O3361">
        <v>0</v>
      </c>
      <c r="P3361">
        <v>0</v>
      </c>
      <c r="Q3361">
        <v>8</v>
      </c>
      <c r="R3361" s="3">
        <v>0</v>
      </c>
      <c r="S3361" s="3">
        <v>0</v>
      </c>
      <c r="T3361">
        <v>0</v>
      </c>
      <c r="U3361">
        <v>0</v>
      </c>
      <c r="V3361" s="3">
        <v>0</v>
      </c>
      <c r="W3361" s="3">
        <v>0</v>
      </c>
      <c r="X3361">
        <v>0</v>
      </c>
      <c r="Y3361" t="s">
        <v>2617</v>
      </c>
    </row>
    <row r="3362" spans="1:25" hidden="1" x14ac:dyDescent="0.25">
      <c r="A3362" t="s">
        <v>47</v>
      </c>
      <c r="B3362" t="s">
        <v>137</v>
      </c>
      <c r="C3362" t="s">
        <v>2310</v>
      </c>
      <c r="D3362" t="s">
        <v>27</v>
      </c>
      <c r="E3362" s="2">
        <v>46030</v>
      </c>
      <c r="F3362" s="2">
        <v>46030</v>
      </c>
      <c r="G3362" s="3">
        <v>143</v>
      </c>
      <c r="H3362" t="s">
        <v>28</v>
      </c>
      <c r="I3362">
        <v>46</v>
      </c>
      <c r="J3362">
        <v>0</v>
      </c>
      <c r="K3362">
        <v>0</v>
      </c>
      <c r="L3362" s="3">
        <v>1</v>
      </c>
      <c r="M3362" s="3">
        <v>0</v>
      </c>
      <c r="N3362">
        <v>0</v>
      </c>
      <c r="O3362">
        <v>0</v>
      </c>
      <c r="P3362">
        <v>0</v>
      </c>
      <c r="Q3362">
        <v>6</v>
      </c>
      <c r="R3362" s="3">
        <v>0</v>
      </c>
      <c r="S3362" s="3">
        <v>0</v>
      </c>
      <c r="T3362">
        <v>0</v>
      </c>
      <c r="U3362">
        <v>0</v>
      </c>
      <c r="V3362" s="3">
        <v>0</v>
      </c>
      <c r="W3362" s="3">
        <v>0</v>
      </c>
      <c r="X3362">
        <v>0</v>
      </c>
      <c r="Y3362" t="s">
        <v>2618</v>
      </c>
    </row>
    <row r="3363" spans="1:25" hidden="1" x14ac:dyDescent="0.25">
      <c r="A3363" t="s">
        <v>49</v>
      </c>
      <c r="B3363" t="s">
        <v>118</v>
      </c>
      <c r="C3363" t="s">
        <v>27</v>
      </c>
      <c r="D3363" t="s">
        <v>27</v>
      </c>
      <c r="E3363" s="2">
        <v>46030</v>
      </c>
      <c r="F3363" s="2">
        <v>46030</v>
      </c>
      <c r="G3363" s="3">
        <v>46</v>
      </c>
      <c r="H3363" t="s">
        <v>28</v>
      </c>
      <c r="I3363">
        <v>60</v>
      </c>
      <c r="J3363">
        <v>0</v>
      </c>
      <c r="K3363">
        <v>0</v>
      </c>
      <c r="L3363" s="3">
        <v>1</v>
      </c>
      <c r="M3363" s="3">
        <v>1</v>
      </c>
      <c r="N3363">
        <v>1</v>
      </c>
      <c r="O3363">
        <v>1</v>
      </c>
      <c r="P3363">
        <v>0</v>
      </c>
      <c r="Q3363">
        <v>60</v>
      </c>
      <c r="R3363" s="3">
        <v>0</v>
      </c>
      <c r="S3363" s="3">
        <v>0</v>
      </c>
      <c r="T3363">
        <v>0</v>
      </c>
      <c r="U3363">
        <v>0</v>
      </c>
      <c r="V3363" s="3">
        <v>0</v>
      </c>
      <c r="W3363" s="3">
        <v>0</v>
      </c>
      <c r="X3363">
        <v>0</v>
      </c>
      <c r="Y3363" t="s">
        <v>2619</v>
      </c>
    </row>
    <row r="3364" spans="1:25" hidden="1" x14ac:dyDescent="0.25">
      <c r="A3364" t="s">
        <v>51</v>
      </c>
      <c r="B3364" t="s">
        <v>120</v>
      </c>
      <c r="C3364" t="s">
        <v>55</v>
      </c>
      <c r="D3364" t="s">
        <v>27</v>
      </c>
      <c r="E3364" s="2">
        <v>46030</v>
      </c>
      <c r="F3364" s="2">
        <v>46030</v>
      </c>
      <c r="G3364" s="3">
        <v>475</v>
      </c>
      <c r="H3364" t="s">
        <v>28</v>
      </c>
      <c r="I3364">
        <v>40</v>
      </c>
      <c r="J3364">
        <v>0</v>
      </c>
      <c r="K3364">
        <v>0</v>
      </c>
      <c r="L3364" s="3">
        <v>1</v>
      </c>
      <c r="M3364" s="3">
        <v>0</v>
      </c>
      <c r="N3364">
        <v>1</v>
      </c>
      <c r="O3364">
        <v>0</v>
      </c>
      <c r="P3364">
        <v>0</v>
      </c>
      <c r="Q3364">
        <v>0</v>
      </c>
      <c r="R3364" s="3">
        <v>0</v>
      </c>
      <c r="S3364" s="3">
        <v>0</v>
      </c>
      <c r="T3364">
        <v>0</v>
      </c>
      <c r="U3364">
        <v>0</v>
      </c>
      <c r="V3364" s="3">
        <v>0</v>
      </c>
      <c r="W3364" s="3">
        <v>0</v>
      </c>
      <c r="X3364">
        <v>0</v>
      </c>
      <c r="Y3364" t="s">
        <v>2620</v>
      </c>
    </row>
    <row r="3365" spans="1:25" hidden="1" x14ac:dyDescent="0.25">
      <c r="A3365" t="s">
        <v>54</v>
      </c>
      <c r="B3365" t="s">
        <v>122</v>
      </c>
      <c r="C3365" t="s">
        <v>52</v>
      </c>
      <c r="D3365" t="s">
        <v>27</v>
      </c>
      <c r="E3365" s="2">
        <v>46030</v>
      </c>
      <c r="F3365" s="2">
        <v>46030</v>
      </c>
      <c r="G3365" s="3">
        <v>38</v>
      </c>
      <c r="H3365" t="s">
        <v>28</v>
      </c>
      <c r="I3365">
        <v>38</v>
      </c>
      <c r="J3365">
        <v>0</v>
      </c>
      <c r="K3365">
        <v>0</v>
      </c>
      <c r="L3365" s="3">
        <v>0</v>
      </c>
      <c r="M3365" s="3">
        <v>0</v>
      </c>
      <c r="N3365">
        <v>0</v>
      </c>
      <c r="O3365">
        <v>0</v>
      </c>
      <c r="P3365">
        <v>0</v>
      </c>
      <c r="Q3365">
        <v>2</v>
      </c>
      <c r="R3365" s="3">
        <v>0</v>
      </c>
      <c r="S3365" s="3">
        <v>0</v>
      </c>
      <c r="T3365">
        <v>0</v>
      </c>
      <c r="U3365">
        <v>0</v>
      </c>
      <c r="V3365" s="3">
        <v>0</v>
      </c>
      <c r="W3365" s="3">
        <v>0</v>
      </c>
      <c r="X3365">
        <v>0</v>
      </c>
      <c r="Y3365" t="s">
        <v>2621</v>
      </c>
    </row>
    <row r="3366" spans="1:25" hidden="1" x14ac:dyDescent="0.25">
      <c r="A3366" t="s">
        <v>48</v>
      </c>
      <c r="B3366" t="s">
        <v>149</v>
      </c>
      <c r="C3366" t="s">
        <v>95</v>
      </c>
      <c r="D3366" t="s">
        <v>27</v>
      </c>
      <c r="E3366" s="2">
        <v>46030</v>
      </c>
      <c r="F3366" s="2">
        <v>46030</v>
      </c>
      <c r="G3366" s="3">
        <v>28</v>
      </c>
      <c r="H3366" t="s">
        <v>28</v>
      </c>
      <c r="I3366">
        <v>31</v>
      </c>
      <c r="J3366">
        <v>0</v>
      </c>
      <c r="K3366">
        <v>0</v>
      </c>
      <c r="L3366" s="3">
        <v>1</v>
      </c>
      <c r="M3366" s="3">
        <v>0</v>
      </c>
      <c r="N3366">
        <v>0</v>
      </c>
      <c r="O3366">
        <v>0</v>
      </c>
      <c r="P3366">
        <v>0</v>
      </c>
      <c r="Q3366">
        <v>14</v>
      </c>
      <c r="R3366" s="3">
        <v>0</v>
      </c>
      <c r="S3366" s="3">
        <v>0</v>
      </c>
      <c r="T3366">
        <v>0</v>
      </c>
      <c r="U3366">
        <v>0</v>
      </c>
      <c r="V3366" s="3">
        <v>0</v>
      </c>
      <c r="W3366" s="3">
        <v>0</v>
      </c>
      <c r="X3366">
        <v>0</v>
      </c>
      <c r="Y3366" t="s">
        <v>2622</v>
      </c>
    </row>
    <row r="3367" spans="1:25" hidden="1" x14ac:dyDescent="0.25">
      <c r="A3367" t="s">
        <v>58</v>
      </c>
      <c r="B3367" t="s">
        <v>739</v>
      </c>
      <c r="C3367" t="s">
        <v>27</v>
      </c>
      <c r="D3367" t="s">
        <v>27</v>
      </c>
      <c r="E3367" s="2">
        <v>46030</v>
      </c>
      <c r="F3367" s="2">
        <v>46030</v>
      </c>
      <c r="G3367" s="3">
        <v>29</v>
      </c>
      <c r="H3367" t="s">
        <v>1448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2622</v>
      </c>
    </row>
    <row r="3368" spans="1:25" hidden="1" x14ac:dyDescent="0.25">
      <c r="A3368" t="s">
        <v>27</v>
      </c>
      <c r="B3368" t="s">
        <v>755</v>
      </c>
      <c r="C3368" t="s">
        <v>2514</v>
      </c>
      <c r="D3368" t="s">
        <v>27</v>
      </c>
      <c r="E3368" s="2">
        <v>46030</v>
      </c>
      <c r="F3368" s="2">
        <v>46030</v>
      </c>
      <c r="G3368" s="3">
        <v>30</v>
      </c>
      <c r="H3368" t="s">
        <v>1448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2622</v>
      </c>
    </row>
    <row r="3369" spans="1:25" hidden="1" x14ac:dyDescent="0.25">
      <c r="A3369" t="s">
        <v>27</v>
      </c>
      <c r="B3369" t="s">
        <v>758</v>
      </c>
      <c r="C3369" t="s">
        <v>2379</v>
      </c>
      <c r="D3369" t="s">
        <v>27</v>
      </c>
      <c r="E3369" s="2">
        <v>46030</v>
      </c>
      <c r="F3369" s="2">
        <v>46030</v>
      </c>
      <c r="G3369" s="3">
        <v>31</v>
      </c>
      <c r="H3369" t="s">
        <v>1448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2622</v>
      </c>
    </row>
    <row r="3370" spans="1:25" hidden="1" x14ac:dyDescent="0.25">
      <c r="A3370" t="s">
        <v>40</v>
      </c>
      <c r="B3370" t="s">
        <v>487</v>
      </c>
      <c r="C3370" t="s">
        <v>27</v>
      </c>
      <c r="D3370" t="s">
        <v>27</v>
      </c>
      <c r="E3370" s="2">
        <v>46030</v>
      </c>
      <c r="F3370" s="2">
        <v>46030</v>
      </c>
      <c r="G3370" s="3">
        <v>61</v>
      </c>
      <c r="H3370" t="s">
        <v>763</v>
      </c>
      <c r="I3370">
        <v>0</v>
      </c>
      <c r="J3370">
        <v>0</v>
      </c>
      <c r="K3370">
        <v>0</v>
      </c>
      <c r="L3370" s="3">
        <v>0</v>
      </c>
      <c r="M3370" s="3">
        <v>0</v>
      </c>
      <c r="N3370">
        <v>0</v>
      </c>
      <c r="O3370">
        <v>0</v>
      </c>
      <c r="P3370">
        <v>0</v>
      </c>
      <c r="Q3370">
        <v>0</v>
      </c>
      <c r="R3370" s="3">
        <v>0</v>
      </c>
      <c r="S3370" s="3">
        <v>0</v>
      </c>
      <c r="T3370">
        <v>0</v>
      </c>
      <c r="U3370">
        <v>0</v>
      </c>
      <c r="V3370" s="3">
        <v>0</v>
      </c>
      <c r="W3370" s="3">
        <v>0</v>
      </c>
      <c r="X3370" s="3">
        <v>0</v>
      </c>
      <c r="Y3370" t="s">
        <v>2450</v>
      </c>
    </row>
    <row r="3371" spans="1:25" hidden="1" x14ac:dyDescent="0.25">
      <c r="A3371" t="s">
        <v>27</v>
      </c>
      <c r="B3371" t="s">
        <v>102</v>
      </c>
      <c r="C3371" t="s">
        <v>37</v>
      </c>
      <c r="D3371" t="s">
        <v>27</v>
      </c>
      <c r="E3371" s="2">
        <v>46030</v>
      </c>
      <c r="F3371" s="2">
        <v>46030</v>
      </c>
      <c r="G3371" s="3">
        <v>62</v>
      </c>
      <c r="H3371" t="s">
        <v>763</v>
      </c>
      <c r="I3371">
        <v>0</v>
      </c>
      <c r="J3371">
        <v>0</v>
      </c>
      <c r="K3371">
        <v>0</v>
      </c>
      <c r="L3371" s="3">
        <v>0</v>
      </c>
      <c r="M3371" s="3">
        <v>0</v>
      </c>
      <c r="N3371">
        <v>0</v>
      </c>
      <c r="O3371">
        <v>0</v>
      </c>
      <c r="P3371">
        <v>0</v>
      </c>
      <c r="Q3371">
        <v>0</v>
      </c>
      <c r="R3371" s="3">
        <v>0</v>
      </c>
      <c r="S3371" s="3">
        <v>0</v>
      </c>
      <c r="T3371">
        <v>0</v>
      </c>
      <c r="U3371">
        <v>0</v>
      </c>
      <c r="V3371" s="3">
        <v>0</v>
      </c>
      <c r="W3371" s="3">
        <v>0</v>
      </c>
      <c r="X3371" s="3">
        <v>0</v>
      </c>
      <c r="Y3371" t="s">
        <v>2450</v>
      </c>
    </row>
    <row r="3372" spans="1:25" hidden="1" x14ac:dyDescent="0.25">
      <c r="A3372" t="s">
        <v>25</v>
      </c>
      <c r="B3372" t="s">
        <v>96</v>
      </c>
      <c r="C3372" t="s">
        <v>26</v>
      </c>
      <c r="D3372" t="s">
        <v>27</v>
      </c>
      <c r="E3372" s="2">
        <v>46031</v>
      </c>
      <c r="F3372" s="2">
        <v>46031</v>
      </c>
      <c r="G3372" s="3">
        <v>36</v>
      </c>
      <c r="H3372" t="s">
        <v>28</v>
      </c>
      <c r="I3372">
        <v>54</v>
      </c>
      <c r="J3372">
        <v>0</v>
      </c>
      <c r="K3372">
        <v>0</v>
      </c>
      <c r="L3372" s="3">
        <v>1</v>
      </c>
      <c r="M3372" s="3">
        <v>0</v>
      </c>
      <c r="N3372">
        <v>1</v>
      </c>
      <c r="O3372">
        <v>0</v>
      </c>
      <c r="P3372">
        <v>0</v>
      </c>
      <c r="Q3372">
        <v>0</v>
      </c>
      <c r="R3372" s="3">
        <v>0</v>
      </c>
      <c r="S3372" s="3">
        <v>0</v>
      </c>
      <c r="T3372">
        <v>0</v>
      </c>
      <c r="U3372">
        <v>0</v>
      </c>
      <c r="V3372" s="3">
        <v>0</v>
      </c>
      <c r="W3372" s="3">
        <v>0</v>
      </c>
      <c r="X3372">
        <v>0</v>
      </c>
      <c r="Y3372" t="s">
        <v>2623</v>
      </c>
    </row>
    <row r="3373" spans="1:25" hidden="1" x14ac:dyDescent="0.25">
      <c r="A3373" t="s">
        <v>29</v>
      </c>
      <c r="B3373" t="s">
        <v>100</v>
      </c>
      <c r="C3373" t="s">
        <v>2271</v>
      </c>
      <c r="D3373" t="s">
        <v>27</v>
      </c>
      <c r="E3373" s="2">
        <v>46031</v>
      </c>
      <c r="F3373" s="2">
        <v>46031</v>
      </c>
      <c r="G3373" s="3">
        <v>44</v>
      </c>
      <c r="H3373" t="s">
        <v>28</v>
      </c>
      <c r="I3373">
        <v>20</v>
      </c>
      <c r="J3373">
        <v>0</v>
      </c>
      <c r="K3373">
        <v>0</v>
      </c>
      <c r="L3373" s="3">
        <v>0</v>
      </c>
      <c r="M3373" s="3">
        <v>0</v>
      </c>
      <c r="N3373">
        <v>0</v>
      </c>
      <c r="O3373">
        <v>0</v>
      </c>
      <c r="P3373">
        <v>0</v>
      </c>
      <c r="Q3373">
        <v>0</v>
      </c>
      <c r="R3373" s="3">
        <v>0</v>
      </c>
      <c r="S3373" s="3">
        <v>0</v>
      </c>
      <c r="T3373">
        <v>0</v>
      </c>
      <c r="U3373">
        <v>0</v>
      </c>
      <c r="V3373" s="3">
        <v>0</v>
      </c>
      <c r="W3373" s="3">
        <v>0</v>
      </c>
      <c r="X3373">
        <v>4</v>
      </c>
      <c r="Y3373" t="s">
        <v>2609</v>
      </c>
    </row>
    <row r="3374" spans="1:25" hidden="1" x14ac:dyDescent="0.25">
      <c r="A3374" t="s">
        <v>344</v>
      </c>
      <c r="B3374" t="s">
        <v>102</v>
      </c>
      <c r="C3374" t="s">
        <v>35</v>
      </c>
      <c r="D3374" t="s">
        <v>27</v>
      </c>
      <c r="E3374" s="2">
        <v>46031</v>
      </c>
      <c r="F3374" s="2">
        <v>46031</v>
      </c>
      <c r="G3374" s="3">
        <v>54</v>
      </c>
      <c r="H3374" t="s">
        <v>28</v>
      </c>
      <c r="I3374">
        <v>38</v>
      </c>
      <c r="J3374">
        <v>0</v>
      </c>
      <c r="K3374">
        <v>0</v>
      </c>
      <c r="L3374" s="3">
        <v>1</v>
      </c>
      <c r="M3374" s="3">
        <v>1</v>
      </c>
      <c r="N3374">
        <v>0</v>
      </c>
      <c r="O3374">
        <v>0</v>
      </c>
      <c r="P3374">
        <v>0</v>
      </c>
      <c r="Q3374">
        <v>2</v>
      </c>
      <c r="R3374" s="3">
        <v>0</v>
      </c>
      <c r="S3374" s="3">
        <v>0</v>
      </c>
      <c r="T3374">
        <v>0</v>
      </c>
      <c r="U3374">
        <v>0</v>
      </c>
      <c r="V3374" s="3">
        <v>0</v>
      </c>
      <c r="W3374" s="3">
        <v>0</v>
      </c>
      <c r="X3374">
        <v>0</v>
      </c>
      <c r="Y3374" t="s">
        <v>2545</v>
      </c>
    </row>
    <row r="3375" spans="1:25" hidden="1" x14ac:dyDescent="0.25">
      <c r="A3375" t="s">
        <v>31</v>
      </c>
      <c r="B3375" t="s">
        <v>104</v>
      </c>
      <c r="C3375" t="s">
        <v>32</v>
      </c>
      <c r="D3375" t="s">
        <v>27</v>
      </c>
      <c r="E3375" s="2">
        <v>46031</v>
      </c>
      <c r="F3375" s="2">
        <v>46031</v>
      </c>
      <c r="G3375" s="3">
        <v>107</v>
      </c>
      <c r="H3375" t="s">
        <v>28</v>
      </c>
      <c r="I3375">
        <v>71</v>
      </c>
      <c r="J3375">
        <v>0</v>
      </c>
      <c r="K3375">
        <v>0</v>
      </c>
      <c r="L3375" s="3">
        <v>1</v>
      </c>
      <c r="M3375" s="3">
        <v>0</v>
      </c>
      <c r="N3375">
        <v>0</v>
      </c>
      <c r="O3375">
        <v>0</v>
      </c>
      <c r="P3375">
        <v>0</v>
      </c>
      <c r="Q3375">
        <v>39</v>
      </c>
      <c r="R3375" s="3">
        <v>0</v>
      </c>
      <c r="S3375" s="3">
        <v>0</v>
      </c>
      <c r="T3375">
        <v>0</v>
      </c>
      <c r="U3375">
        <v>0</v>
      </c>
      <c r="V3375" s="3">
        <v>0</v>
      </c>
      <c r="W3375" s="3">
        <v>0</v>
      </c>
      <c r="X3375" s="37">
        <v>4</v>
      </c>
      <c r="Y3375" t="s">
        <v>2624</v>
      </c>
    </row>
    <row r="3376" spans="1:25" hidden="1" x14ac:dyDescent="0.25">
      <c r="A3376" t="s">
        <v>33</v>
      </c>
      <c r="B3376" t="s">
        <v>106</v>
      </c>
      <c r="C3376" t="s">
        <v>57</v>
      </c>
      <c r="D3376" t="s">
        <v>27</v>
      </c>
      <c r="E3376" s="2">
        <v>46031</v>
      </c>
      <c r="F3376" s="2">
        <v>46031</v>
      </c>
      <c r="G3376" s="3">
        <v>27</v>
      </c>
      <c r="H3376" t="s">
        <v>28</v>
      </c>
      <c r="I3376">
        <v>50</v>
      </c>
      <c r="J3376">
        <v>0</v>
      </c>
      <c r="K3376">
        <v>0</v>
      </c>
      <c r="L3376" s="3">
        <v>0</v>
      </c>
      <c r="M3376" s="3">
        <v>0</v>
      </c>
      <c r="N3376">
        <v>0</v>
      </c>
      <c r="O3376">
        <v>0</v>
      </c>
      <c r="P3376">
        <v>0</v>
      </c>
      <c r="Q3376">
        <v>21</v>
      </c>
      <c r="R3376" s="3">
        <v>0</v>
      </c>
      <c r="S3376" s="3">
        <v>0</v>
      </c>
      <c r="T3376">
        <v>0</v>
      </c>
      <c r="U3376">
        <v>0</v>
      </c>
      <c r="V3376" s="3">
        <v>0</v>
      </c>
      <c r="W3376" s="3">
        <v>0</v>
      </c>
      <c r="X3376">
        <v>0</v>
      </c>
      <c r="Y3376" t="s">
        <v>2625</v>
      </c>
    </row>
    <row r="3377" spans="1:25" hidden="1" x14ac:dyDescent="0.25">
      <c r="A3377" t="s">
        <v>36</v>
      </c>
      <c r="B3377" t="s">
        <v>249</v>
      </c>
      <c r="C3377" t="s">
        <v>2534</v>
      </c>
      <c r="D3377" t="s">
        <v>27</v>
      </c>
      <c r="E3377" s="2">
        <v>46031</v>
      </c>
      <c r="F3377" s="2">
        <v>46031</v>
      </c>
      <c r="G3377" s="3">
        <v>84</v>
      </c>
      <c r="H3377" t="s">
        <v>28</v>
      </c>
      <c r="I3377">
        <v>73</v>
      </c>
      <c r="J3377">
        <v>0</v>
      </c>
      <c r="K3377">
        <v>0</v>
      </c>
      <c r="L3377" s="3">
        <v>1</v>
      </c>
      <c r="M3377" s="3">
        <v>0</v>
      </c>
      <c r="N3377">
        <v>1</v>
      </c>
      <c r="O3377">
        <v>0</v>
      </c>
      <c r="P3377">
        <v>0</v>
      </c>
      <c r="Q3377">
        <v>0</v>
      </c>
      <c r="R3377" s="3">
        <v>0</v>
      </c>
      <c r="S3377" s="3">
        <v>0</v>
      </c>
      <c r="T3377">
        <v>0</v>
      </c>
      <c r="U3377">
        <v>0</v>
      </c>
      <c r="V3377" s="3">
        <v>0</v>
      </c>
      <c r="W3377" s="3">
        <v>0</v>
      </c>
      <c r="X3377">
        <v>0</v>
      </c>
      <c r="Y3377" t="s">
        <v>2626</v>
      </c>
    </row>
    <row r="3378" spans="1:25" hidden="1" x14ac:dyDescent="0.25">
      <c r="A3378" t="s">
        <v>38</v>
      </c>
      <c r="B3378" t="s">
        <v>108</v>
      </c>
      <c r="C3378" t="s">
        <v>27</v>
      </c>
      <c r="D3378" t="s">
        <v>27</v>
      </c>
      <c r="E3378" s="2">
        <v>46031</v>
      </c>
      <c r="F3378" s="2">
        <v>46031</v>
      </c>
      <c r="G3378" s="3">
        <v>52</v>
      </c>
      <c r="H3378" t="s">
        <v>28</v>
      </c>
      <c r="I3378">
        <v>57</v>
      </c>
      <c r="J3378">
        <v>0</v>
      </c>
      <c r="K3378">
        <v>0</v>
      </c>
      <c r="L3378" s="3">
        <v>1</v>
      </c>
      <c r="M3378" s="3">
        <v>0</v>
      </c>
      <c r="N3378">
        <v>0</v>
      </c>
      <c r="O3378">
        <v>0</v>
      </c>
      <c r="P3378">
        <v>57</v>
      </c>
      <c r="Q3378">
        <v>57</v>
      </c>
      <c r="R3378" s="3">
        <v>0</v>
      </c>
      <c r="S3378" s="3">
        <v>0</v>
      </c>
      <c r="T3378">
        <v>0</v>
      </c>
      <c r="U3378">
        <v>0</v>
      </c>
      <c r="V3378" s="3">
        <v>0</v>
      </c>
      <c r="W3378" s="3">
        <v>0</v>
      </c>
      <c r="X3378">
        <v>1</v>
      </c>
      <c r="Y3378" t="s">
        <v>2627</v>
      </c>
    </row>
    <row r="3379" spans="1:25" hidden="1" x14ac:dyDescent="0.25">
      <c r="A3379" t="s">
        <v>1454</v>
      </c>
      <c r="B3379" t="s">
        <v>1455</v>
      </c>
      <c r="C3379" t="s">
        <v>27</v>
      </c>
      <c r="D3379" t="s">
        <v>27</v>
      </c>
      <c r="E3379" s="2">
        <v>46031</v>
      </c>
      <c r="F3379" s="2">
        <v>46031</v>
      </c>
      <c r="G3379" s="3">
        <v>56</v>
      </c>
      <c r="H3379" t="s">
        <v>28</v>
      </c>
      <c r="I3379">
        <v>44</v>
      </c>
      <c r="J3379">
        <v>0</v>
      </c>
      <c r="K3379">
        <v>0</v>
      </c>
      <c r="L3379" s="3">
        <v>1</v>
      </c>
      <c r="M3379" s="3">
        <v>0</v>
      </c>
      <c r="N3379">
        <v>0</v>
      </c>
      <c r="O3379">
        <v>0</v>
      </c>
      <c r="P3379">
        <v>0</v>
      </c>
      <c r="Q3379">
        <v>44</v>
      </c>
      <c r="R3379" s="3">
        <v>0</v>
      </c>
      <c r="S3379" s="3">
        <v>0</v>
      </c>
      <c r="T3379">
        <v>0</v>
      </c>
      <c r="U3379">
        <v>0</v>
      </c>
      <c r="V3379" s="3">
        <v>0</v>
      </c>
      <c r="W3379" s="3">
        <v>0</v>
      </c>
      <c r="X3379">
        <v>0</v>
      </c>
      <c r="Y3379" t="s">
        <v>2628</v>
      </c>
    </row>
    <row r="3380" spans="1:25" hidden="1" x14ac:dyDescent="0.25">
      <c r="A3380" t="s">
        <v>41</v>
      </c>
      <c r="B3380" t="s">
        <v>112</v>
      </c>
      <c r="C3380" t="s">
        <v>42</v>
      </c>
      <c r="D3380" t="s">
        <v>27</v>
      </c>
      <c r="E3380" s="2">
        <v>46031</v>
      </c>
      <c r="F3380" s="2">
        <v>46031</v>
      </c>
      <c r="G3380" s="3">
        <v>36</v>
      </c>
      <c r="H3380" t="s">
        <v>28</v>
      </c>
      <c r="I3380">
        <v>49</v>
      </c>
      <c r="J3380">
        <v>0</v>
      </c>
      <c r="K3380">
        <v>0</v>
      </c>
      <c r="L3380" s="3">
        <v>1</v>
      </c>
      <c r="M3380" s="3">
        <v>0</v>
      </c>
      <c r="N3380">
        <v>0</v>
      </c>
      <c r="O3380">
        <v>0</v>
      </c>
      <c r="P3380">
        <v>0</v>
      </c>
      <c r="Q3380">
        <v>1</v>
      </c>
      <c r="R3380" s="3">
        <v>0</v>
      </c>
      <c r="S3380" s="3">
        <v>0</v>
      </c>
      <c r="T3380">
        <v>0</v>
      </c>
      <c r="U3380">
        <v>0</v>
      </c>
      <c r="V3380" s="3">
        <v>0</v>
      </c>
      <c r="W3380" s="3">
        <v>0</v>
      </c>
      <c r="X3380">
        <v>0</v>
      </c>
      <c r="Y3380" t="s">
        <v>2629</v>
      </c>
    </row>
    <row r="3381" spans="1:25" hidden="1" x14ac:dyDescent="0.25">
      <c r="A3381" t="s">
        <v>43</v>
      </c>
      <c r="B3381" t="s">
        <v>114</v>
      </c>
      <c r="C3381" t="s">
        <v>44</v>
      </c>
      <c r="D3381" t="s">
        <v>27</v>
      </c>
      <c r="E3381" s="2">
        <v>46031</v>
      </c>
      <c r="F3381" s="2">
        <v>46031</v>
      </c>
      <c r="G3381" s="3">
        <v>29</v>
      </c>
      <c r="H3381" t="s">
        <v>28</v>
      </c>
      <c r="I3381">
        <v>44</v>
      </c>
      <c r="J3381">
        <v>0</v>
      </c>
      <c r="K3381">
        <v>0</v>
      </c>
      <c r="L3381" s="3">
        <v>1</v>
      </c>
      <c r="M3381" s="3">
        <v>0</v>
      </c>
      <c r="N3381">
        <v>0</v>
      </c>
      <c r="O3381">
        <v>0</v>
      </c>
      <c r="P3381">
        <v>0</v>
      </c>
      <c r="Q3381">
        <v>0</v>
      </c>
      <c r="R3381" s="3">
        <v>0</v>
      </c>
      <c r="S3381" s="3">
        <v>0</v>
      </c>
      <c r="T3381">
        <v>0</v>
      </c>
      <c r="U3381">
        <v>0</v>
      </c>
      <c r="V3381" s="3">
        <v>0</v>
      </c>
      <c r="W3381" s="3">
        <v>0</v>
      </c>
      <c r="X3381">
        <v>0</v>
      </c>
      <c r="Y3381" t="s">
        <v>2630</v>
      </c>
    </row>
    <row r="3382" spans="1:25" hidden="1" x14ac:dyDescent="0.25">
      <c r="A3382" t="s">
        <v>2118</v>
      </c>
      <c r="B3382" t="s">
        <v>2119</v>
      </c>
      <c r="C3382" t="s">
        <v>27</v>
      </c>
      <c r="D3382" t="s">
        <v>27</v>
      </c>
      <c r="E3382" s="2">
        <v>46031</v>
      </c>
      <c r="F3382" s="2">
        <v>46031</v>
      </c>
      <c r="G3382" s="3">
        <v>46</v>
      </c>
      <c r="H3382" t="s">
        <v>28</v>
      </c>
      <c r="I3382">
        <v>52</v>
      </c>
      <c r="J3382">
        <v>0</v>
      </c>
      <c r="K3382">
        <v>0</v>
      </c>
      <c r="L3382" s="3">
        <v>1</v>
      </c>
      <c r="M3382" s="3">
        <v>0</v>
      </c>
      <c r="N3382">
        <v>0</v>
      </c>
      <c r="O3382">
        <v>0</v>
      </c>
      <c r="P3382">
        <v>0</v>
      </c>
      <c r="Q3382">
        <v>52</v>
      </c>
      <c r="R3382" s="3">
        <v>0</v>
      </c>
      <c r="S3382" s="3">
        <v>0</v>
      </c>
      <c r="T3382">
        <v>0</v>
      </c>
      <c r="U3382">
        <v>0</v>
      </c>
      <c r="V3382" s="3">
        <v>0</v>
      </c>
      <c r="W3382" s="3">
        <v>0</v>
      </c>
      <c r="X3382">
        <v>0</v>
      </c>
      <c r="Y3382" t="s">
        <v>2631</v>
      </c>
    </row>
    <row r="3383" spans="1:25" hidden="1" x14ac:dyDescent="0.25">
      <c r="A3383" t="s">
        <v>45</v>
      </c>
      <c r="B3383" t="s">
        <v>116</v>
      </c>
      <c r="C3383" t="s">
        <v>46</v>
      </c>
      <c r="D3383" t="s">
        <v>27</v>
      </c>
      <c r="E3383" s="2">
        <v>46031</v>
      </c>
      <c r="F3383" s="2">
        <v>46031</v>
      </c>
      <c r="G3383" s="3">
        <v>52</v>
      </c>
      <c r="H3383" t="s">
        <v>28</v>
      </c>
      <c r="I3383">
        <v>63</v>
      </c>
      <c r="J3383">
        <v>0</v>
      </c>
      <c r="K3383">
        <v>0</v>
      </c>
      <c r="L3383" s="3">
        <v>1</v>
      </c>
      <c r="M3383" s="3">
        <v>0</v>
      </c>
      <c r="N3383">
        <v>0</v>
      </c>
      <c r="O3383">
        <v>0</v>
      </c>
      <c r="P3383">
        <v>0</v>
      </c>
      <c r="Q3383">
        <v>12</v>
      </c>
      <c r="R3383" s="3">
        <v>0</v>
      </c>
      <c r="S3383" s="3">
        <v>0</v>
      </c>
      <c r="T3383">
        <v>0</v>
      </c>
      <c r="U3383">
        <v>0</v>
      </c>
      <c r="V3383" s="3">
        <v>0</v>
      </c>
      <c r="W3383" s="3">
        <v>0</v>
      </c>
      <c r="X3383">
        <v>0</v>
      </c>
      <c r="Y3383" t="s">
        <v>2632</v>
      </c>
    </row>
    <row r="3384" spans="1:25" hidden="1" x14ac:dyDescent="0.25">
      <c r="A3384" t="s">
        <v>47</v>
      </c>
      <c r="B3384" t="s">
        <v>137</v>
      </c>
      <c r="C3384" t="s">
        <v>2310</v>
      </c>
      <c r="D3384" t="s">
        <v>27</v>
      </c>
      <c r="E3384" s="2">
        <v>46031</v>
      </c>
      <c r="F3384" s="2">
        <v>46031</v>
      </c>
      <c r="G3384" s="3">
        <v>169</v>
      </c>
      <c r="H3384" t="s">
        <v>28</v>
      </c>
      <c r="I3384">
        <v>44</v>
      </c>
      <c r="J3384">
        <v>0</v>
      </c>
      <c r="K3384">
        <v>0</v>
      </c>
      <c r="L3384" s="3">
        <v>1</v>
      </c>
      <c r="M3384" s="3">
        <v>0</v>
      </c>
      <c r="N3384">
        <v>0</v>
      </c>
      <c r="O3384">
        <v>0</v>
      </c>
      <c r="P3384">
        <v>0</v>
      </c>
      <c r="Q3384">
        <v>8</v>
      </c>
      <c r="R3384" s="3">
        <v>0</v>
      </c>
      <c r="S3384" s="3">
        <v>0</v>
      </c>
      <c r="T3384">
        <v>0</v>
      </c>
      <c r="U3384">
        <v>0</v>
      </c>
      <c r="V3384" s="3">
        <v>0</v>
      </c>
      <c r="W3384" s="3">
        <v>0</v>
      </c>
      <c r="X3384">
        <v>0</v>
      </c>
      <c r="Y3384" t="s">
        <v>2633</v>
      </c>
    </row>
    <row r="3385" spans="1:25" hidden="1" x14ac:dyDescent="0.25">
      <c r="A3385" t="s">
        <v>49</v>
      </c>
      <c r="B3385" t="s">
        <v>118</v>
      </c>
      <c r="C3385" t="s">
        <v>27</v>
      </c>
      <c r="D3385" t="s">
        <v>27</v>
      </c>
      <c r="E3385" s="2">
        <v>46031</v>
      </c>
      <c r="F3385" s="2">
        <v>46031</v>
      </c>
      <c r="G3385" s="3">
        <v>95</v>
      </c>
      <c r="H3385" t="s">
        <v>28</v>
      </c>
      <c r="I3385">
        <v>38</v>
      </c>
      <c r="J3385">
        <v>0</v>
      </c>
      <c r="K3385">
        <v>0</v>
      </c>
      <c r="L3385" s="3">
        <v>1</v>
      </c>
      <c r="M3385" s="3">
        <v>1</v>
      </c>
      <c r="N3385">
        <v>0</v>
      </c>
      <c r="O3385">
        <v>0</v>
      </c>
      <c r="P3385">
        <v>0</v>
      </c>
      <c r="Q3385">
        <v>38</v>
      </c>
      <c r="R3385" s="3">
        <v>0</v>
      </c>
      <c r="S3385" s="3">
        <v>0</v>
      </c>
      <c r="T3385">
        <v>0</v>
      </c>
      <c r="U3385">
        <v>0</v>
      </c>
      <c r="V3385" s="3">
        <v>0</v>
      </c>
      <c r="W3385" s="3">
        <v>0</v>
      </c>
      <c r="X3385">
        <v>0</v>
      </c>
      <c r="Y3385" t="s">
        <v>2634</v>
      </c>
    </row>
    <row r="3386" spans="1:25" hidden="1" x14ac:dyDescent="0.25">
      <c r="A3386" t="s">
        <v>51</v>
      </c>
      <c r="B3386" t="s">
        <v>120</v>
      </c>
      <c r="C3386" t="s">
        <v>55</v>
      </c>
      <c r="D3386" t="s">
        <v>27</v>
      </c>
      <c r="E3386" s="2">
        <v>46031</v>
      </c>
      <c r="F3386" s="2">
        <v>46031</v>
      </c>
      <c r="G3386" s="3">
        <v>84</v>
      </c>
      <c r="H3386" t="s">
        <v>28</v>
      </c>
      <c r="I3386">
        <v>32</v>
      </c>
      <c r="J3386">
        <v>0</v>
      </c>
      <c r="K3386">
        <v>0</v>
      </c>
      <c r="L3386" s="3">
        <v>1</v>
      </c>
      <c r="M3386" s="3">
        <v>0</v>
      </c>
      <c r="N3386">
        <v>1</v>
      </c>
      <c r="O3386">
        <v>0</v>
      </c>
      <c r="P3386">
        <v>0</v>
      </c>
      <c r="Q3386">
        <v>0</v>
      </c>
      <c r="R3386" s="3">
        <v>0</v>
      </c>
      <c r="S3386" s="3">
        <v>0</v>
      </c>
      <c r="T3386">
        <v>0</v>
      </c>
      <c r="U3386">
        <v>0</v>
      </c>
      <c r="V3386" s="3">
        <v>0</v>
      </c>
      <c r="W3386" s="3">
        <v>0</v>
      </c>
      <c r="X3386">
        <v>0</v>
      </c>
      <c r="Y3386" t="s">
        <v>2635</v>
      </c>
    </row>
    <row r="3387" spans="1:25" hidden="1" x14ac:dyDescent="0.25">
      <c r="A3387" t="s">
        <v>54</v>
      </c>
      <c r="B3387" t="s">
        <v>122</v>
      </c>
      <c r="C3387" t="s">
        <v>52</v>
      </c>
      <c r="D3387" t="s">
        <v>27</v>
      </c>
      <c r="E3387" s="2">
        <v>46031</v>
      </c>
      <c r="F3387" s="2">
        <v>46031</v>
      </c>
      <c r="G3387" s="3">
        <v>47</v>
      </c>
      <c r="H3387" t="s">
        <v>28</v>
      </c>
      <c r="I3387">
        <v>54</v>
      </c>
      <c r="J3387">
        <v>0</v>
      </c>
      <c r="K3387">
        <v>0</v>
      </c>
      <c r="L3387" s="3">
        <v>0</v>
      </c>
      <c r="M3387" s="3">
        <v>0</v>
      </c>
      <c r="N3387">
        <v>0</v>
      </c>
      <c r="O3387">
        <v>0</v>
      </c>
      <c r="P3387">
        <v>1</v>
      </c>
      <c r="Q3387">
        <v>2</v>
      </c>
      <c r="R3387" s="3">
        <v>0</v>
      </c>
      <c r="S3387" s="3">
        <v>0</v>
      </c>
      <c r="T3387">
        <v>0</v>
      </c>
      <c r="U3387">
        <v>0</v>
      </c>
      <c r="V3387" s="3">
        <v>0</v>
      </c>
      <c r="W3387" s="3">
        <v>0</v>
      </c>
      <c r="X3387">
        <v>1</v>
      </c>
      <c r="Y3387" t="s">
        <v>2636</v>
      </c>
    </row>
    <row r="3388" spans="1:25" hidden="1" x14ac:dyDescent="0.25">
      <c r="A3388" t="s">
        <v>48</v>
      </c>
      <c r="B3388" t="s">
        <v>149</v>
      </c>
      <c r="C3388" t="s">
        <v>95</v>
      </c>
      <c r="D3388" t="s">
        <v>27</v>
      </c>
      <c r="E3388" s="2">
        <v>46031</v>
      </c>
      <c r="F3388" s="2">
        <v>46031</v>
      </c>
      <c r="G3388" s="3">
        <v>30</v>
      </c>
      <c r="H3388" t="s">
        <v>28</v>
      </c>
      <c r="I3388">
        <v>80</v>
      </c>
      <c r="J3388">
        <v>0</v>
      </c>
      <c r="K3388">
        <v>0</v>
      </c>
      <c r="L3388" s="3">
        <v>1</v>
      </c>
      <c r="M3388" s="3">
        <v>0</v>
      </c>
      <c r="N3388">
        <v>0</v>
      </c>
      <c r="O3388">
        <v>0</v>
      </c>
      <c r="P3388">
        <v>0</v>
      </c>
      <c r="Q3388">
        <v>19</v>
      </c>
      <c r="R3388" s="3">
        <v>0</v>
      </c>
      <c r="S3388" s="3">
        <v>0</v>
      </c>
      <c r="T3388">
        <v>0</v>
      </c>
      <c r="U3388">
        <v>0</v>
      </c>
      <c r="V3388" s="3">
        <v>0</v>
      </c>
      <c r="W3388" s="3">
        <v>0</v>
      </c>
      <c r="X3388">
        <v>0</v>
      </c>
      <c r="Y3388" t="s">
        <v>2637</v>
      </c>
    </row>
    <row r="3389" spans="1:25" hidden="1" x14ac:dyDescent="0.25">
      <c r="A3389" t="s">
        <v>58</v>
      </c>
      <c r="B3389" t="s">
        <v>144</v>
      </c>
      <c r="C3389" t="s">
        <v>2514</v>
      </c>
      <c r="D3389" t="s">
        <v>27</v>
      </c>
      <c r="E3389" s="2">
        <v>46031</v>
      </c>
      <c r="F3389" s="2">
        <v>46031</v>
      </c>
      <c r="G3389" s="3">
        <v>95</v>
      </c>
      <c r="H3389" t="s">
        <v>28</v>
      </c>
      <c r="I3389">
        <v>70</v>
      </c>
      <c r="J3389">
        <v>0</v>
      </c>
      <c r="K3389">
        <v>0</v>
      </c>
      <c r="L3389" s="3">
        <v>1</v>
      </c>
      <c r="M3389" s="3">
        <v>0</v>
      </c>
      <c r="N3389">
        <v>0</v>
      </c>
      <c r="O3389">
        <v>0</v>
      </c>
      <c r="P3389">
        <v>0</v>
      </c>
      <c r="Q3389">
        <v>40</v>
      </c>
      <c r="R3389" s="3">
        <v>0</v>
      </c>
      <c r="S3389" s="3">
        <v>0</v>
      </c>
      <c r="T3389">
        <v>0</v>
      </c>
      <c r="U3389">
        <v>0</v>
      </c>
      <c r="V3389" s="3">
        <v>0</v>
      </c>
      <c r="W3389" s="3">
        <v>0</v>
      </c>
      <c r="X3389">
        <v>0</v>
      </c>
      <c r="Y3389" t="s">
        <v>2638</v>
      </c>
    </row>
    <row r="3390" spans="1:25" hidden="1" x14ac:dyDescent="0.25">
      <c r="A3390" t="s">
        <v>27</v>
      </c>
      <c r="B3390" t="s">
        <v>106</v>
      </c>
      <c r="C3390" t="s">
        <v>2379</v>
      </c>
      <c r="D3390" t="s">
        <v>27</v>
      </c>
      <c r="E3390" s="2">
        <v>46031</v>
      </c>
      <c r="F3390" s="2">
        <v>46031</v>
      </c>
      <c r="G3390" s="3">
        <v>96</v>
      </c>
      <c r="H3390" t="s">
        <v>959</v>
      </c>
      <c r="I3390">
        <v>0</v>
      </c>
      <c r="J3390">
        <v>0</v>
      </c>
      <c r="K3390">
        <v>0</v>
      </c>
      <c r="L3390" s="3">
        <v>0</v>
      </c>
      <c r="M3390" s="3">
        <v>0</v>
      </c>
      <c r="N3390">
        <v>0</v>
      </c>
      <c r="O3390">
        <v>0</v>
      </c>
      <c r="P3390">
        <v>0</v>
      </c>
      <c r="Q3390">
        <v>0</v>
      </c>
      <c r="R3390" s="3">
        <v>0</v>
      </c>
      <c r="S3390" s="3">
        <v>0</v>
      </c>
      <c r="T3390">
        <v>0</v>
      </c>
      <c r="U3390">
        <v>0</v>
      </c>
      <c r="V3390" s="3">
        <v>0</v>
      </c>
      <c r="W3390" s="3">
        <v>0</v>
      </c>
      <c r="X3390" s="3">
        <v>0</v>
      </c>
      <c r="Y3390" t="s">
        <v>2638</v>
      </c>
    </row>
    <row r="3391" spans="1:25" hidden="1" x14ac:dyDescent="0.25">
      <c r="A3391" t="s">
        <v>40</v>
      </c>
      <c r="B3391" t="s">
        <v>487</v>
      </c>
      <c r="C3391" t="s">
        <v>27</v>
      </c>
      <c r="D3391" t="s">
        <v>27</v>
      </c>
      <c r="E3391" s="2">
        <v>46031</v>
      </c>
      <c r="F3391" s="2">
        <v>46031</v>
      </c>
      <c r="G3391" s="3">
        <v>61</v>
      </c>
      <c r="H3391" t="s">
        <v>763</v>
      </c>
      <c r="I3391">
        <v>0</v>
      </c>
      <c r="J3391">
        <v>0</v>
      </c>
      <c r="K3391">
        <v>0</v>
      </c>
      <c r="L3391" s="3">
        <v>0</v>
      </c>
      <c r="M3391" s="3">
        <v>0</v>
      </c>
      <c r="N3391">
        <v>0</v>
      </c>
      <c r="O3391">
        <v>0</v>
      </c>
      <c r="P3391">
        <v>0</v>
      </c>
      <c r="Q3391">
        <v>0</v>
      </c>
      <c r="R3391" s="3">
        <v>0</v>
      </c>
      <c r="S3391" s="3">
        <v>0</v>
      </c>
      <c r="T3391">
        <v>0</v>
      </c>
      <c r="U3391">
        <v>0</v>
      </c>
      <c r="V3391" s="3">
        <v>0</v>
      </c>
      <c r="W3391" s="3">
        <v>0</v>
      </c>
      <c r="X3391" s="3">
        <v>0</v>
      </c>
      <c r="Y3391" t="s">
        <v>2450</v>
      </c>
    </row>
    <row r="3392" spans="1:25" hidden="1" x14ac:dyDescent="0.25">
      <c r="A3392" t="s">
        <v>27</v>
      </c>
      <c r="B3392" t="s">
        <v>102</v>
      </c>
      <c r="C3392" t="s">
        <v>37</v>
      </c>
      <c r="D3392" t="s">
        <v>27</v>
      </c>
      <c r="E3392" s="2">
        <v>46031</v>
      </c>
      <c r="F3392" s="2">
        <v>46031</v>
      </c>
      <c r="G3392" s="3">
        <v>62</v>
      </c>
      <c r="H3392" t="s">
        <v>763</v>
      </c>
      <c r="I3392">
        <v>0</v>
      </c>
      <c r="J3392">
        <v>0</v>
      </c>
      <c r="K3392">
        <v>0</v>
      </c>
      <c r="L3392" s="3">
        <v>0</v>
      </c>
      <c r="M3392" s="3">
        <v>0</v>
      </c>
      <c r="N3392">
        <v>0</v>
      </c>
      <c r="O3392">
        <v>0</v>
      </c>
      <c r="P3392">
        <v>0</v>
      </c>
      <c r="Q3392">
        <v>0</v>
      </c>
      <c r="R3392" s="3">
        <v>0</v>
      </c>
      <c r="S3392" s="3">
        <v>0</v>
      </c>
      <c r="T3392">
        <v>0</v>
      </c>
      <c r="U3392">
        <v>0</v>
      </c>
      <c r="V3392" s="3">
        <v>0</v>
      </c>
      <c r="W3392" s="3">
        <v>0</v>
      </c>
      <c r="X3392" s="3">
        <v>0</v>
      </c>
      <c r="Y3392" t="s">
        <v>2450</v>
      </c>
    </row>
    <row r="3393" spans="1:25" hidden="1" x14ac:dyDescent="0.25">
      <c r="A3393" t="s">
        <v>41</v>
      </c>
      <c r="B3393" t="s">
        <v>112</v>
      </c>
      <c r="C3393" t="s">
        <v>42</v>
      </c>
      <c r="D3393" t="s">
        <v>27</v>
      </c>
      <c r="E3393" s="2">
        <v>46032</v>
      </c>
      <c r="F3393" s="2">
        <v>46032</v>
      </c>
      <c r="G3393" s="3">
        <v>93</v>
      </c>
      <c r="H3393" t="s">
        <v>28</v>
      </c>
      <c r="I3393">
        <v>0</v>
      </c>
      <c r="J3393">
        <v>0</v>
      </c>
      <c r="K3393">
        <v>0</v>
      </c>
      <c r="L3393" s="3">
        <v>0</v>
      </c>
      <c r="M3393" s="3">
        <v>0</v>
      </c>
      <c r="N3393">
        <v>0</v>
      </c>
      <c r="O3393">
        <v>0</v>
      </c>
      <c r="P3393">
        <v>0</v>
      </c>
      <c r="Q3393">
        <v>100</v>
      </c>
      <c r="R3393" s="3">
        <v>1</v>
      </c>
      <c r="S3393" s="3">
        <v>0</v>
      </c>
      <c r="T3393">
        <v>101</v>
      </c>
      <c r="U3393">
        <v>20</v>
      </c>
      <c r="V3393" s="3">
        <v>1</v>
      </c>
      <c r="W3393" s="3">
        <v>0</v>
      </c>
      <c r="X3393">
        <v>19</v>
      </c>
      <c r="Y3393" t="s">
        <v>2639</v>
      </c>
    </row>
    <row r="3394" spans="1:25" hidden="1" x14ac:dyDescent="0.25">
      <c r="A3394" t="s">
        <v>48</v>
      </c>
      <c r="B3394" t="s">
        <v>149</v>
      </c>
      <c r="C3394" t="s">
        <v>52</v>
      </c>
      <c r="D3394" t="s">
        <v>27</v>
      </c>
      <c r="E3394" s="2">
        <v>46032</v>
      </c>
      <c r="F3394" s="2">
        <v>46032</v>
      </c>
      <c r="G3394" s="3">
        <v>381</v>
      </c>
      <c r="H3394" t="s">
        <v>28</v>
      </c>
      <c r="I3394">
        <v>0</v>
      </c>
      <c r="J3394">
        <v>0</v>
      </c>
      <c r="K3394">
        <v>0</v>
      </c>
      <c r="L3394" s="3">
        <v>1</v>
      </c>
      <c r="M3394" s="3">
        <v>0</v>
      </c>
      <c r="N3394">
        <v>0</v>
      </c>
      <c r="O3394">
        <v>0</v>
      </c>
      <c r="P3394">
        <v>0</v>
      </c>
      <c r="Q3394">
        <v>0</v>
      </c>
      <c r="R3394" s="3">
        <v>1</v>
      </c>
      <c r="S3394" s="3">
        <v>0</v>
      </c>
      <c r="T3394">
        <v>74</v>
      </c>
      <c r="U3394">
        <v>41</v>
      </c>
      <c r="V3394" s="3">
        <v>1</v>
      </c>
      <c r="W3394" s="3">
        <v>0</v>
      </c>
      <c r="X3394">
        <v>7</v>
      </c>
      <c r="Y3394" t="s">
        <v>2640</v>
      </c>
    </row>
    <row r="3395" spans="1:25" hidden="1" x14ac:dyDescent="0.25">
      <c r="A3395" t="s">
        <v>41</v>
      </c>
      <c r="B3395" t="s">
        <v>112</v>
      </c>
      <c r="C3395" t="s">
        <v>42</v>
      </c>
      <c r="D3395" t="s">
        <v>27</v>
      </c>
      <c r="E3395" s="2">
        <v>46033</v>
      </c>
      <c r="F3395" s="2">
        <v>46033</v>
      </c>
      <c r="G3395" s="26">
        <v>27886</v>
      </c>
      <c r="H3395" t="s">
        <v>28</v>
      </c>
      <c r="I3395">
        <v>0</v>
      </c>
      <c r="J3395">
        <v>0</v>
      </c>
      <c r="K3395">
        <v>0</v>
      </c>
      <c r="L3395" s="3">
        <v>0</v>
      </c>
      <c r="M3395" s="3">
        <v>0</v>
      </c>
      <c r="N3395">
        <v>0</v>
      </c>
      <c r="O3395">
        <v>0</v>
      </c>
      <c r="P3395">
        <v>0</v>
      </c>
      <c r="Q3395">
        <v>91</v>
      </c>
      <c r="R3395" s="3">
        <v>0</v>
      </c>
      <c r="S3395" s="3">
        <v>1</v>
      </c>
      <c r="T3395">
        <v>91</v>
      </c>
      <c r="U3395">
        <v>0</v>
      </c>
      <c r="V3395" s="3">
        <v>0</v>
      </c>
      <c r="W3395" s="3">
        <v>0</v>
      </c>
      <c r="X3395">
        <v>19</v>
      </c>
      <c r="Y3395" t="s">
        <v>2641</v>
      </c>
    </row>
    <row r="3396" spans="1:25" hidden="1" x14ac:dyDescent="0.25">
      <c r="A3396" t="s">
        <v>54</v>
      </c>
      <c r="B3396" t="s">
        <v>122</v>
      </c>
      <c r="C3396" t="s">
        <v>52</v>
      </c>
      <c r="D3396" t="s">
        <v>27</v>
      </c>
      <c r="E3396" s="2">
        <v>46033</v>
      </c>
      <c r="F3396" s="2">
        <v>46033</v>
      </c>
      <c r="G3396" s="3">
        <v>359</v>
      </c>
      <c r="H3396" t="s">
        <v>28</v>
      </c>
      <c r="I3396">
        <v>0</v>
      </c>
      <c r="J3396">
        <v>0</v>
      </c>
      <c r="K3396">
        <v>0</v>
      </c>
      <c r="L3396" s="3">
        <v>0</v>
      </c>
      <c r="M3396" s="3">
        <v>0</v>
      </c>
      <c r="N3396">
        <v>0</v>
      </c>
      <c r="O3396">
        <v>0</v>
      </c>
      <c r="P3396">
        <v>0</v>
      </c>
      <c r="Q3396">
        <v>71</v>
      </c>
      <c r="R3396" s="3">
        <v>0</v>
      </c>
      <c r="S3396" s="3">
        <v>1</v>
      </c>
      <c r="T3396">
        <v>71</v>
      </c>
      <c r="U3396">
        <v>40</v>
      </c>
      <c r="V3396" s="3">
        <v>0</v>
      </c>
      <c r="W3396" s="3">
        <v>1</v>
      </c>
      <c r="X3396">
        <v>7</v>
      </c>
      <c r="Y3396" t="s">
        <v>2642</v>
      </c>
    </row>
    <row r="3397" spans="1:25" hidden="1" x14ac:dyDescent="0.25">
      <c r="A3397" t="s">
        <v>29</v>
      </c>
      <c r="B3397" t="s">
        <v>123</v>
      </c>
      <c r="C3397" t="s">
        <v>2534</v>
      </c>
      <c r="D3397" t="s">
        <v>27</v>
      </c>
      <c r="E3397" s="2">
        <v>46033</v>
      </c>
      <c r="F3397" s="2">
        <v>46033</v>
      </c>
      <c r="G3397" s="3">
        <v>360</v>
      </c>
      <c r="H3397" t="s">
        <v>28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71</v>
      </c>
      <c r="R3397" s="3">
        <v>0</v>
      </c>
      <c r="S3397" s="3">
        <v>1</v>
      </c>
      <c r="T3397">
        <v>71</v>
      </c>
      <c r="U3397">
        <v>0</v>
      </c>
      <c r="V3397" s="3">
        <v>0</v>
      </c>
      <c r="W3397" s="3">
        <v>0</v>
      </c>
      <c r="X3397">
        <v>7</v>
      </c>
      <c r="Y3397" t="s">
        <v>2642</v>
      </c>
    </row>
    <row r="3398" spans="1:25" hidden="1" x14ac:dyDescent="0.25">
      <c r="A3398" t="s">
        <v>33</v>
      </c>
      <c r="B3398" t="s">
        <v>98</v>
      </c>
      <c r="C3398" t="s">
        <v>55</v>
      </c>
      <c r="D3398" t="s">
        <v>27</v>
      </c>
      <c r="E3398" s="2">
        <v>46033</v>
      </c>
      <c r="F3398" s="2">
        <v>46033</v>
      </c>
      <c r="G3398" s="3">
        <v>361</v>
      </c>
      <c r="H3398" t="s">
        <v>28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71</v>
      </c>
      <c r="R3398" s="3">
        <v>0</v>
      </c>
      <c r="S3398" s="3">
        <v>1</v>
      </c>
      <c r="T3398">
        <v>71</v>
      </c>
      <c r="U3398">
        <v>11</v>
      </c>
      <c r="V3398" s="3">
        <v>0</v>
      </c>
      <c r="W3398" s="3">
        <v>1</v>
      </c>
      <c r="X3398">
        <v>7</v>
      </c>
      <c r="Y3398" t="s">
        <v>2642</v>
      </c>
    </row>
    <row r="3399" spans="1:25" hidden="1" x14ac:dyDescent="0.25">
      <c r="A3399" t="s">
        <v>25</v>
      </c>
      <c r="B3399" t="s">
        <v>96</v>
      </c>
      <c r="C3399" t="s">
        <v>26</v>
      </c>
      <c r="D3399" t="s">
        <v>27</v>
      </c>
      <c r="E3399" s="2">
        <v>46034</v>
      </c>
      <c r="F3399" s="2">
        <v>46034</v>
      </c>
      <c r="G3399" s="3">
        <v>143</v>
      </c>
      <c r="H3399" t="s">
        <v>28</v>
      </c>
      <c r="I3399">
        <v>40</v>
      </c>
      <c r="J3399">
        <v>0</v>
      </c>
      <c r="K3399">
        <v>0</v>
      </c>
      <c r="L3399" s="3">
        <v>1</v>
      </c>
      <c r="M3399" s="3">
        <v>0</v>
      </c>
      <c r="N3399">
        <v>1</v>
      </c>
      <c r="O3399">
        <v>0</v>
      </c>
      <c r="P3399">
        <v>0</v>
      </c>
      <c r="Q3399">
        <v>0</v>
      </c>
      <c r="R3399" s="3">
        <v>0</v>
      </c>
      <c r="S3399" s="3">
        <v>0</v>
      </c>
      <c r="T3399">
        <v>0</v>
      </c>
      <c r="U3399">
        <v>0</v>
      </c>
      <c r="V3399" s="3">
        <v>0</v>
      </c>
      <c r="W3399" s="3">
        <v>0</v>
      </c>
      <c r="X3399">
        <v>0</v>
      </c>
      <c r="Y3399" t="s">
        <v>2643</v>
      </c>
    </row>
    <row r="3400" spans="1:25" hidden="1" x14ac:dyDescent="0.25">
      <c r="A3400" t="s">
        <v>29</v>
      </c>
      <c r="B3400" t="s">
        <v>100</v>
      </c>
      <c r="C3400" t="s">
        <v>2271</v>
      </c>
      <c r="D3400" t="s">
        <v>27</v>
      </c>
      <c r="E3400" s="2">
        <v>46034</v>
      </c>
      <c r="F3400" s="2">
        <v>46034</v>
      </c>
      <c r="G3400" s="3">
        <v>44</v>
      </c>
      <c r="H3400" t="s">
        <v>28</v>
      </c>
      <c r="I3400">
        <v>20</v>
      </c>
      <c r="J3400">
        <v>82</v>
      </c>
      <c r="K3400">
        <v>0</v>
      </c>
      <c r="L3400" s="3">
        <v>0</v>
      </c>
      <c r="M3400" s="3">
        <v>0</v>
      </c>
      <c r="N3400">
        <v>0</v>
      </c>
      <c r="O3400">
        <v>0</v>
      </c>
      <c r="P3400">
        <v>0</v>
      </c>
      <c r="Q3400">
        <v>0</v>
      </c>
      <c r="R3400" s="3">
        <v>0</v>
      </c>
      <c r="S3400" s="3">
        <v>0</v>
      </c>
      <c r="T3400">
        <v>0</v>
      </c>
      <c r="U3400">
        <v>0</v>
      </c>
      <c r="V3400" s="3">
        <v>0</v>
      </c>
      <c r="W3400" s="3">
        <v>0</v>
      </c>
      <c r="X3400">
        <v>4</v>
      </c>
      <c r="Y3400" t="s">
        <v>2609</v>
      </c>
    </row>
    <row r="3401" spans="1:25" hidden="1" x14ac:dyDescent="0.25">
      <c r="A3401" t="s">
        <v>344</v>
      </c>
      <c r="B3401" t="s">
        <v>102</v>
      </c>
      <c r="C3401" t="s">
        <v>2514</v>
      </c>
      <c r="D3401" t="s">
        <v>27</v>
      </c>
      <c r="E3401" s="2">
        <v>46032</v>
      </c>
      <c r="F3401" s="2">
        <v>46032</v>
      </c>
      <c r="G3401" s="3">
        <v>54</v>
      </c>
      <c r="H3401" t="s">
        <v>28</v>
      </c>
      <c r="I3401">
        <v>0</v>
      </c>
      <c r="J3401">
        <v>0</v>
      </c>
      <c r="K3401">
        <v>0</v>
      </c>
      <c r="L3401" s="3">
        <v>0</v>
      </c>
      <c r="M3401" s="3">
        <v>0</v>
      </c>
      <c r="N3401">
        <v>0</v>
      </c>
      <c r="O3401">
        <v>0</v>
      </c>
      <c r="P3401">
        <v>0</v>
      </c>
      <c r="Q3401">
        <v>0</v>
      </c>
      <c r="R3401" s="3">
        <v>0</v>
      </c>
      <c r="S3401" s="3">
        <v>1</v>
      </c>
      <c r="T3401">
        <v>71</v>
      </c>
      <c r="U3401">
        <v>0</v>
      </c>
      <c r="V3401" s="3">
        <v>0</v>
      </c>
      <c r="W3401" s="3">
        <v>0</v>
      </c>
      <c r="X3401">
        <v>0</v>
      </c>
      <c r="Y3401" t="s">
        <v>2545</v>
      </c>
    </row>
    <row r="3402" spans="1:25" hidden="1" x14ac:dyDescent="0.25">
      <c r="A3402" t="s">
        <v>344</v>
      </c>
      <c r="B3402" t="s">
        <v>102</v>
      </c>
      <c r="C3402" t="s">
        <v>35</v>
      </c>
      <c r="D3402" t="s">
        <v>27</v>
      </c>
      <c r="E3402" s="2">
        <v>46034</v>
      </c>
      <c r="F3402" s="2">
        <v>46034</v>
      </c>
      <c r="G3402" s="3">
        <v>54</v>
      </c>
      <c r="H3402" t="s">
        <v>28</v>
      </c>
      <c r="I3402">
        <v>38</v>
      </c>
      <c r="J3402">
        <v>83</v>
      </c>
      <c r="K3402">
        <v>0</v>
      </c>
      <c r="L3402" s="3">
        <v>1</v>
      </c>
      <c r="M3402" s="3">
        <v>1</v>
      </c>
      <c r="N3402">
        <v>0</v>
      </c>
      <c r="O3402">
        <v>0</v>
      </c>
      <c r="P3402">
        <v>0</v>
      </c>
      <c r="Q3402">
        <v>2</v>
      </c>
      <c r="R3402" s="3">
        <v>0</v>
      </c>
      <c r="S3402" s="3">
        <v>0</v>
      </c>
      <c r="T3402">
        <v>0</v>
      </c>
      <c r="U3402">
        <v>0</v>
      </c>
      <c r="V3402" s="3">
        <v>0</v>
      </c>
      <c r="W3402" s="3">
        <v>0</v>
      </c>
      <c r="X3402">
        <v>0</v>
      </c>
      <c r="Y3402" t="s">
        <v>2545</v>
      </c>
    </row>
    <row r="3403" spans="1:25" hidden="1" x14ac:dyDescent="0.25">
      <c r="A3403" t="s">
        <v>31</v>
      </c>
      <c r="B3403" t="s">
        <v>104</v>
      </c>
      <c r="C3403" t="s">
        <v>32</v>
      </c>
      <c r="D3403" t="s">
        <v>27</v>
      </c>
      <c r="E3403" s="2">
        <v>46034</v>
      </c>
      <c r="F3403" s="2">
        <v>46034</v>
      </c>
      <c r="G3403" s="3">
        <v>85</v>
      </c>
      <c r="H3403" t="s">
        <v>28</v>
      </c>
      <c r="I3403">
        <v>84</v>
      </c>
      <c r="J3403">
        <v>111</v>
      </c>
      <c r="K3403">
        <v>0</v>
      </c>
      <c r="L3403" s="3">
        <v>1</v>
      </c>
      <c r="M3403" s="3">
        <v>0</v>
      </c>
      <c r="N3403">
        <v>0</v>
      </c>
      <c r="O3403">
        <v>0</v>
      </c>
      <c r="P3403">
        <v>0</v>
      </c>
      <c r="Q3403">
        <v>34</v>
      </c>
      <c r="R3403" s="3">
        <v>0</v>
      </c>
      <c r="S3403" s="3">
        <v>0</v>
      </c>
      <c r="T3403">
        <v>0</v>
      </c>
      <c r="U3403">
        <v>0</v>
      </c>
      <c r="V3403" s="3">
        <v>0</v>
      </c>
      <c r="W3403" s="3">
        <v>0</v>
      </c>
      <c r="X3403" s="37">
        <v>6</v>
      </c>
      <c r="Y3403" t="s">
        <v>2644</v>
      </c>
    </row>
    <row r="3404" spans="1:25" hidden="1" x14ac:dyDescent="0.25">
      <c r="A3404" t="s">
        <v>33</v>
      </c>
      <c r="B3404" t="s">
        <v>106</v>
      </c>
      <c r="C3404" t="s">
        <v>57</v>
      </c>
      <c r="D3404" t="s">
        <v>27</v>
      </c>
      <c r="E3404" s="2">
        <v>46034</v>
      </c>
      <c r="F3404" s="2">
        <v>46034</v>
      </c>
      <c r="G3404" s="3">
        <v>27</v>
      </c>
      <c r="H3404" t="s">
        <v>28</v>
      </c>
      <c r="I3404">
        <v>66</v>
      </c>
      <c r="J3404">
        <v>0</v>
      </c>
      <c r="K3404">
        <v>0</v>
      </c>
      <c r="L3404" s="3">
        <v>0</v>
      </c>
      <c r="M3404" s="3">
        <v>0</v>
      </c>
      <c r="N3404">
        <v>0</v>
      </c>
      <c r="O3404">
        <v>0</v>
      </c>
      <c r="P3404">
        <v>0</v>
      </c>
      <c r="Q3404">
        <v>21</v>
      </c>
      <c r="R3404" s="3">
        <v>0</v>
      </c>
      <c r="S3404" s="3">
        <v>0</v>
      </c>
      <c r="T3404">
        <v>0</v>
      </c>
      <c r="U3404">
        <v>0</v>
      </c>
      <c r="V3404" s="3">
        <v>0</v>
      </c>
      <c r="W3404" s="3">
        <v>0</v>
      </c>
      <c r="X3404">
        <v>0</v>
      </c>
      <c r="Y3404" t="s">
        <v>2645</v>
      </c>
    </row>
    <row r="3405" spans="1:25" hidden="1" x14ac:dyDescent="0.25">
      <c r="A3405" t="s">
        <v>36</v>
      </c>
      <c r="B3405" t="s">
        <v>249</v>
      </c>
      <c r="C3405" t="s">
        <v>2534</v>
      </c>
      <c r="D3405" t="s">
        <v>27</v>
      </c>
      <c r="E3405" s="2">
        <v>46034</v>
      </c>
      <c r="F3405" s="2">
        <v>46034</v>
      </c>
      <c r="G3405" s="3">
        <v>69</v>
      </c>
      <c r="H3405" t="s">
        <v>28</v>
      </c>
      <c r="I3405">
        <v>81</v>
      </c>
      <c r="J3405">
        <v>0</v>
      </c>
      <c r="K3405">
        <v>0</v>
      </c>
      <c r="L3405" s="3">
        <v>1</v>
      </c>
      <c r="M3405" s="3">
        <v>0</v>
      </c>
      <c r="N3405">
        <v>1</v>
      </c>
      <c r="O3405">
        <v>0</v>
      </c>
      <c r="P3405">
        <v>0</v>
      </c>
      <c r="Q3405">
        <v>0</v>
      </c>
      <c r="R3405" s="3">
        <v>0</v>
      </c>
      <c r="S3405" s="3">
        <v>0</v>
      </c>
      <c r="T3405">
        <v>0</v>
      </c>
      <c r="U3405">
        <v>0</v>
      </c>
      <c r="V3405" s="3">
        <v>0</v>
      </c>
      <c r="W3405" s="3">
        <v>0</v>
      </c>
      <c r="X3405">
        <v>0</v>
      </c>
      <c r="Y3405" t="s">
        <v>2646</v>
      </c>
    </row>
    <row r="3406" spans="1:25" hidden="1" x14ac:dyDescent="0.25">
      <c r="A3406" t="s">
        <v>38</v>
      </c>
      <c r="B3406" t="s">
        <v>108</v>
      </c>
      <c r="C3406" t="s">
        <v>27</v>
      </c>
      <c r="D3406" t="s">
        <v>27</v>
      </c>
      <c r="E3406" s="2">
        <v>46034</v>
      </c>
      <c r="F3406" s="2">
        <v>46034</v>
      </c>
      <c r="G3406" s="3">
        <v>49</v>
      </c>
      <c r="H3406" t="s">
        <v>28</v>
      </c>
      <c r="I3406">
        <v>56</v>
      </c>
      <c r="J3406">
        <v>0</v>
      </c>
      <c r="K3406">
        <v>0</v>
      </c>
      <c r="L3406" s="3">
        <v>1</v>
      </c>
      <c r="M3406" s="3">
        <v>1</v>
      </c>
      <c r="N3406">
        <v>0</v>
      </c>
      <c r="O3406">
        <v>0</v>
      </c>
      <c r="P3406">
        <v>0</v>
      </c>
      <c r="Q3406">
        <v>56</v>
      </c>
      <c r="R3406" s="3">
        <v>0</v>
      </c>
      <c r="S3406" s="3">
        <v>0</v>
      </c>
      <c r="T3406">
        <v>0</v>
      </c>
      <c r="U3406">
        <v>0</v>
      </c>
      <c r="V3406" s="3">
        <v>0</v>
      </c>
      <c r="W3406" s="3">
        <v>0</v>
      </c>
      <c r="X3406">
        <v>1</v>
      </c>
      <c r="Y3406" t="s">
        <v>2647</v>
      </c>
    </row>
    <row r="3407" spans="1:25" hidden="1" x14ac:dyDescent="0.25">
      <c r="A3407" t="s">
        <v>1454</v>
      </c>
      <c r="B3407" t="s">
        <v>1455</v>
      </c>
      <c r="C3407" t="s">
        <v>27</v>
      </c>
      <c r="D3407" t="s">
        <v>27</v>
      </c>
      <c r="E3407" s="2">
        <v>46034</v>
      </c>
      <c r="F3407" s="2">
        <v>46034</v>
      </c>
      <c r="G3407" s="3">
        <v>29</v>
      </c>
      <c r="H3407" t="s">
        <v>28</v>
      </c>
      <c r="I3407">
        <v>46</v>
      </c>
      <c r="J3407">
        <v>0</v>
      </c>
      <c r="K3407">
        <v>0</v>
      </c>
      <c r="L3407" s="3">
        <v>1</v>
      </c>
      <c r="M3407" s="3">
        <v>0</v>
      </c>
      <c r="N3407">
        <v>0</v>
      </c>
      <c r="O3407">
        <v>0</v>
      </c>
      <c r="P3407">
        <v>0</v>
      </c>
      <c r="Q3407">
        <v>46</v>
      </c>
      <c r="R3407" s="3">
        <v>0</v>
      </c>
      <c r="S3407" s="3">
        <v>0</v>
      </c>
      <c r="T3407">
        <v>0</v>
      </c>
      <c r="U3407">
        <v>0</v>
      </c>
      <c r="V3407" s="3">
        <v>0</v>
      </c>
      <c r="W3407" s="3">
        <v>0</v>
      </c>
      <c r="X3407">
        <v>0</v>
      </c>
      <c r="Y3407" t="s">
        <v>2648</v>
      </c>
    </row>
    <row r="3408" spans="1:25" hidden="1" x14ac:dyDescent="0.25">
      <c r="A3408" t="s">
        <v>41</v>
      </c>
      <c r="B3408" t="s">
        <v>112</v>
      </c>
      <c r="C3408" t="s">
        <v>42</v>
      </c>
      <c r="D3408" t="s">
        <v>27</v>
      </c>
      <c r="E3408" s="2">
        <v>46034</v>
      </c>
      <c r="F3408" s="2">
        <v>46034</v>
      </c>
      <c r="G3408" s="3">
        <v>29</v>
      </c>
      <c r="H3408" t="s">
        <v>28</v>
      </c>
      <c r="I3408">
        <v>40</v>
      </c>
      <c r="J3408">
        <v>0</v>
      </c>
      <c r="K3408">
        <v>0</v>
      </c>
      <c r="L3408" s="3">
        <v>1</v>
      </c>
      <c r="M3408" s="3">
        <v>0</v>
      </c>
      <c r="N3408">
        <v>0</v>
      </c>
      <c r="O3408">
        <v>0</v>
      </c>
      <c r="P3408">
        <v>0</v>
      </c>
      <c r="Q3408">
        <v>4</v>
      </c>
      <c r="R3408" s="3">
        <v>0</v>
      </c>
      <c r="S3408" s="3">
        <v>0</v>
      </c>
      <c r="T3408">
        <v>0</v>
      </c>
      <c r="U3408">
        <v>0</v>
      </c>
      <c r="V3408" s="3">
        <v>0</v>
      </c>
      <c r="W3408" s="3">
        <v>0</v>
      </c>
      <c r="X3408">
        <v>0</v>
      </c>
      <c r="Y3408" t="s">
        <v>2649</v>
      </c>
    </row>
    <row r="3409" spans="1:25" hidden="1" x14ac:dyDescent="0.25">
      <c r="A3409" t="s">
        <v>43</v>
      </c>
      <c r="B3409" t="s">
        <v>114</v>
      </c>
      <c r="C3409" t="s">
        <v>2379</v>
      </c>
      <c r="D3409" t="s">
        <v>27</v>
      </c>
      <c r="E3409" s="2">
        <v>46034</v>
      </c>
      <c r="F3409" s="2">
        <v>46034</v>
      </c>
      <c r="G3409" s="3">
        <v>30</v>
      </c>
      <c r="H3409" t="s">
        <v>28</v>
      </c>
      <c r="I3409">
        <v>32</v>
      </c>
      <c r="J3409">
        <v>0</v>
      </c>
      <c r="K3409">
        <v>0</v>
      </c>
      <c r="L3409" s="3">
        <v>0</v>
      </c>
      <c r="M3409" s="3">
        <v>0</v>
      </c>
      <c r="N3409">
        <v>0</v>
      </c>
      <c r="O3409">
        <v>0</v>
      </c>
      <c r="P3409">
        <v>0</v>
      </c>
      <c r="Q3409">
        <v>0</v>
      </c>
      <c r="R3409" s="3">
        <v>0</v>
      </c>
      <c r="S3409" s="3">
        <v>0</v>
      </c>
      <c r="T3409">
        <v>0</v>
      </c>
      <c r="U3409">
        <v>0</v>
      </c>
      <c r="V3409" s="3">
        <v>0</v>
      </c>
      <c r="W3409" s="3">
        <v>0</v>
      </c>
      <c r="X3409">
        <v>0</v>
      </c>
      <c r="Y3409" t="s">
        <v>2650</v>
      </c>
    </row>
    <row r="3410" spans="1:25" hidden="1" x14ac:dyDescent="0.25">
      <c r="A3410" t="s">
        <v>2118</v>
      </c>
      <c r="B3410" t="s">
        <v>2119</v>
      </c>
      <c r="C3410" t="s">
        <v>27</v>
      </c>
      <c r="D3410" t="s">
        <v>27</v>
      </c>
      <c r="E3410" s="2">
        <v>46034</v>
      </c>
      <c r="F3410" s="2">
        <v>46034</v>
      </c>
      <c r="G3410" s="3">
        <v>32</v>
      </c>
      <c r="H3410" t="s">
        <v>28</v>
      </c>
      <c r="I3410">
        <v>62</v>
      </c>
      <c r="J3410">
        <v>0</v>
      </c>
      <c r="K3410">
        <v>0</v>
      </c>
      <c r="L3410" s="3">
        <v>1</v>
      </c>
      <c r="M3410" s="3">
        <v>0</v>
      </c>
      <c r="N3410">
        <v>0</v>
      </c>
      <c r="O3410">
        <v>0</v>
      </c>
      <c r="P3410">
        <v>0</v>
      </c>
      <c r="Q3410">
        <v>62</v>
      </c>
      <c r="R3410" s="3">
        <v>0</v>
      </c>
      <c r="S3410" s="3">
        <v>0</v>
      </c>
      <c r="T3410">
        <v>0</v>
      </c>
      <c r="U3410">
        <v>0</v>
      </c>
      <c r="V3410" s="3">
        <v>0</v>
      </c>
      <c r="W3410" s="3">
        <v>0</v>
      </c>
      <c r="X3410">
        <v>0</v>
      </c>
      <c r="Y3410" t="s">
        <v>2651</v>
      </c>
    </row>
    <row r="3411" spans="1:25" hidden="1" x14ac:dyDescent="0.25">
      <c r="A3411" t="s">
        <v>45</v>
      </c>
      <c r="B3411" t="s">
        <v>116</v>
      </c>
      <c r="C3411" t="s">
        <v>46</v>
      </c>
      <c r="D3411" t="s">
        <v>27</v>
      </c>
      <c r="E3411" s="2">
        <v>46034</v>
      </c>
      <c r="F3411" s="2">
        <v>46034</v>
      </c>
      <c r="G3411" s="3">
        <v>42</v>
      </c>
      <c r="H3411" t="s">
        <v>28</v>
      </c>
      <c r="I3411">
        <v>67</v>
      </c>
      <c r="J3411">
        <v>0</v>
      </c>
      <c r="K3411">
        <v>0</v>
      </c>
      <c r="L3411" s="3">
        <v>1</v>
      </c>
      <c r="M3411" s="3">
        <v>0</v>
      </c>
      <c r="N3411">
        <v>0</v>
      </c>
      <c r="O3411">
        <v>0</v>
      </c>
      <c r="P3411">
        <v>0</v>
      </c>
      <c r="Q3411">
        <v>8</v>
      </c>
      <c r="R3411" s="3">
        <v>0</v>
      </c>
      <c r="S3411" s="3">
        <v>0</v>
      </c>
      <c r="T3411">
        <v>0</v>
      </c>
      <c r="U3411">
        <v>0</v>
      </c>
      <c r="V3411" s="3">
        <v>0</v>
      </c>
      <c r="W3411" s="3">
        <v>0</v>
      </c>
      <c r="X3411">
        <v>0</v>
      </c>
      <c r="Y3411" t="s">
        <v>2652</v>
      </c>
    </row>
    <row r="3412" spans="1:25" hidden="1" x14ac:dyDescent="0.25">
      <c r="A3412" t="s">
        <v>47</v>
      </c>
      <c r="B3412" t="s">
        <v>137</v>
      </c>
      <c r="C3412" t="s">
        <v>2310</v>
      </c>
      <c r="D3412" t="s">
        <v>27</v>
      </c>
      <c r="E3412" s="2">
        <v>46034</v>
      </c>
      <c r="F3412" s="2">
        <v>46034</v>
      </c>
      <c r="G3412" s="3">
        <v>61</v>
      </c>
      <c r="H3412" t="s">
        <v>28</v>
      </c>
      <c r="I3412">
        <v>31</v>
      </c>
      <c r="J3412">
        <v>0</v>
      </c>
      <c r="K3412">
        <v>0</v>
      </c>
      <c r="L3412" s="3">
        <v>1</v>
      </c>
      <c r="M3412" s="3">
        <v>0</v>
      </c>
      <c r="N3412">
        <v>0</v>
      </c>
      <c r="O3412">
        <v>0</v>
      </c>
      <c r="P3412">
        <v>0</v>
      </c>
      <c r="Q3412">
        <v>6</v>
      </c>
      <c r="R3412" s="3">
        <v>0</v>
      </c>
      <c r="S3412" s="3">
        <v>0</v>
      </c>
      <c r="T3412">
        <v>0</v>
      </c>
      <c r="U3412">
        <v>0</v>
      </c>
      <c r="V3412" s="3">
        <v>0</v>
      </c>
      <c r="W3412" s="3">
        <v>0</v>
      </c>
      <c r="X3412">
        <v>0</v>
      </c>
      <c r="Y3412" t="s">
        <v>2653</v>
      </c>
    </row>
    <row r="3413" spans="1:25" hidden="1" x14ac:dyDescent="0.25">
      <c r="A3413" t="s">
        <v>49</v>
      </c>
      <c r="B3413" t="s">
        <v>118</v>
      </c>
      <c r="C3413" t="s">
        <v>27</v>
      </c>
      <c r="D3413" t="s">
        <v>27</v>
      </c>
      <c r="E3413" s="2">
        <v>46034</v>
      </c>
      <c r="F3413" s="2">
        <v>46034</v>
      </c>
      <c r="G3413" s="3">
        <v>66</v>
      </c>
      <c r="H3413" t="s">
        <v>28</v>
      </c>
      <c r="I3413">
        <v>25</v>
      </c>
      <c r="J3413">
        <v>0</v>
      </c>
      <c r="K3413">
        <v>0</v>
      </c>
      <c r="L3413" s="3">
        <v>1</v>
      </c>
      <c r="M3413" s="3">
        <v>1</v>
      </c>
      <c r="N3413">
        <v>1</v>
      </c>
      <c r="O3413">
        <v>1</v>
      </c>
      <c r="P3413">
        <v>0</v>
      </c>
      <c r="Q3413">
        <v>25</v>
      </c>
      <c r="R3413" s="3">
        <v>0</v>
      </c>
      <c r="S3413" s="3">
        <v>0</v>
      </c>
      <c r="T3413">
        <v>0</v>
      </c>
      <c r="U3413">
        <v>0</v>
      </c>
      <c r="V3413" s="3">
        <v>0</v>
      </c>
      <c r="W3413" s="3">
        <v>0</v>
      </c>
      <c r="X3413">
        <v>0</v>
      </c>
      <c r="Y3413" t="s">
        <v>2654</v>
      </c>
    </row>
    <row r="3414" spans="1:25" hidden="1" x14ac:dyDescent="0.25">
      <c r="A3414" t="s">
        <v>51</v>
      </c>
      <c r="B3414" t="s">
        <v>120</v>
      </c>
      <c r="C3414" t="s">
        <v>55</v>
      </c>
      <c r="D3414" t="s">
        <v>27</v>
      </c>
      <c r="E3414" s="2">
        <v>46034</v>
      </c>
      <c r="F3414" s="2">
        <v>46034</v>
      </c>
      <c r="G3414" s="3">
        <v>51</v>
      </c>
      <c r="H3414" t="s">
        <v>28</v>
      </c>
      <c r="I3414">
        <v>35</v>
      </c>
      <c r="J3414">
        <v>0</v>
      </c>
      <c r="K3414">
        <v>0</v>
      </c>
      <c r="L3414" s="3">
        <v>1</v>
      </c>
      <c r="M3414" s="3">
        <v>0</v>
      </c>
      <c r="N3414">
        <v>1</v>
      </c>
      <c r="O3414">
        <v>0</v>
      </c>
      <c r="P3414">
        <v>0</v>
      </c>
      <c r="Q3414">
        <v>0</v>
      </c>
      <c r="R3414" s="3">
        <v>0</v>
      </c>
      <c r="S3414" s="3">
        <v>0</v>
      </c>
      <c r="T3414">
        <v>0</v>
      </c>
      <c r="U3414">
        <v>0</v>
      </c>
      <c r="V3414" s="3">
        <v>0</v>
      </c>
      <c r="W3414" s="3">
        <v>0</v>
      </c>
      <c r="X3414">
        <v>0</v>
      </c>
      <c r="Y3414" t="s">
        <v>2655</v>
      </c>
    </row>
    <row r="3415" spans="1:25" hidden="1" x14ac:dyDescent="0.25">
      <c r="A3415" t="s">
        <v>54</v>
      </c>
      <c r="B3415" t="s">
        <v>122</v>
      </c>
      <c r="C3415" t="s">
        <v>52</v>
      </c>
      <c r="D3415" t="s">
        <v>27</v>
      </c>
      <c r="E3415" s="2">
        <v>46034</v>
      </c>
      <c r="F3415" s="2">
        <v>46034</v>
      </c>
      <c r="G3415" s="3">
        <v>39</v>
      </c>
      <c r="H3415" t="s">
        <v>28</v>
      </c>
      <c r="I3415">
        <v>52</v>
      </c>
      <c r="J3415">
        <v>0</v>
      </c>
      <c r="K3415">
        <v>0</v>
      </c>
      <c r="L3415" s="3">
        <v>0</v>
      </c>
      <c r="M3415" s="3">
        <v>0</v>
      </c>
      <c r="N3415">
        <v>0</v>
      </c>
      <c r="O3415">
        <v>0</v>
      </c>
      <c r="P3415">
        <v>0</v>
      </c>
      <c r="Q3415">
        <v>2</v>
      </c>
      <c r="R3415" s="3">
        <v>0</v>
      </c>
      <c r="S3415" s="3">
        <v>0</v>
      </c>
      <c r="T3415">
        <v>0</v>
      </c>
      <c r="U3415">
        <v>0</v>
      </c>
      <c r="V3415" s="3">
        <v>0</v>
      </c>
      <c r="W3415" s="3">
        <v>0</v>
      </c>
      <c r="X3415">
        <v>0</v>
      </c>
      <c r="Y3415" t="s">
        <v>2656</v>
      </c>
    </row>
    <row r="3416" spans="1:25" hidden="1" x14ac:dyDescent="0.25">
      <c r="A3416" t="s">
        <v>48</v>
      </c>
      <c r="B3416" t="s">
        <v>149</v>
      </c>
      <c r="C3416" t="s">
        <v>95</v>
      </c>
      <c r="D3416" t="s">
        <v>27</v>
      </c>
      <c r="E3416" s="2">
        <v>46034</v>
      </c>
      <c r="F3416" s="2">
        <v>46034</v>
      </c>
      <c r="G3416" s="3">
        <v>23</v>
      </c>
      <c r="H3416" t="s">
        <v>28</v>
      </c>
      <c r="I3416">
        <v>70</v>
      </c>
      <c r="J3416">
        <v>0</v>
      </c>
      <c r="K3416">
        <v>0</v>
      </c>
      <c r="L3416" s="3">
        <v>1</v>
      </c>
      <c r="M3416" s="3">
        <v>0</v>
      </c>
      <c r="N3416">
        <v>0</v>
      </c>
      <c r="O3416">
        <v>0</v>
      </c>
      <c r="P3416">
        <v>0</v>
      </c>
      <c r="Q3416">
        <v>25</v>
      </c>
      <c r="R3416" s="3">
        <v>0</v>
      </c>
      <c r="S3416" s="3">
        <v>0</v>
      </c>
      <c r="T3416">
        <v>0</v>
      </c>
      <c r="U3416">
        <v>0</v>
      </c>
      <c r="V3416" s="3">
        <v>0</v>
      </c>
      <c r="W3416" s="3">
        <v>0</v>
      </c>
      <c r="X3416">
        <v>0</v>
      </c>
      <c r="Y3416" t="s">
        <v>2657</v>
      </c>
    </row>
    <row r="3417" spans="1:25" hidden="1" x14ac:dyDescent="0.25">
      <c r="A3417" t="s">
        <v>58</v>
      </c>
      <c r="B3417" t="s">
        <v>144</v>
      </c>
      <c r="C3417" t="s">
        <v>2514</v>
      </c>
      <c r="D3417" t="s">
        <v>27</v>
      </c>
      <c r="E3417" s="2">
        <v>46034</v>
      </c>
      <c r="F3417" s="2">
        <v>46034</v>
      </c>
      <c r="G3417" s="3">
        <v>60</v>
      </c>
      <c r="H3417" t="s">
        <v>28</v>
      </c>
      <c r="I3417">
        <v>70</v>
      </c>
      <c r="J3417">
        <v>0</v>
      </c>
      <c r="K3417">
        <v>0</v>
      </c>
      <c r="L3417" s="3">
        <v>1</v>
      </c>
      <c r="M3417" s="3">
        <v>0</v>
      </c>
      <c r="N3417">
        <v>0</v>
      </c>
      <c r="O3417">
        <v>0</v>
      </c>
      <c r="P3417">
        <v>0</v>
      </c>
      <c r="Q3417">
        <v>40</v>
      </c>
      <c r="R3417" s="3">
        <v>0</v>
      </c>
      <c r="S3417" s="3">
        <v>0</v>
      </c>
      <c r="T3417">
        <v>0</v>
      </c>
      <c r="U3417">
        <v>0</v>
      </c>
      <c r="V3417" s="3">
        <v>0</v>
      </c>
      <c r="W3417" s="3">
        <v>0</v>
      </c>
      <c r="X3417">
        <v>1</v>
      </c>
      <c r="Y3417" t="s">
        <v>2658</v>
      </c>
    </row>
    <row r="3418" spans="1:25" hidden="1" x14ac:dyDescent="0.25">
      <c r="A3418" t="s">
        <v>27</v>
      </c>
      <c r="B3418" t="s">
        <v>106</v>
      </c>
      <c r="C3418" t="s">
        <v>44</v>
      </c>
      <c r="D3418" t="s">
        <v>27</v>
      </c>
      <c r="E3418" s="2">
        <v>46034</v>
      </c>
      <c r="F3418" s="2">
        <v>46034</v>
      </c>
      <c r="G3418" s="3">
        <v>61</v>
      </c>
      <c r="H3418" t="s">
        <v>2659</v>
      </c>
      <c r="I3418">
        <v>0</v>
      </c>
      <c r="J3418">
        <v>0</v>
      </c>
      <c r="K3418">
        <v>0</v>
      </c>
      <c r="L3418" s="3">
        <v>0</v>
      </c>
      <c r="M3418" s="3">
        <v>0</v>
      </c>
      <c r="N3418">
        <v>0</v>
      </c>
      <c r="O3418">
        <v>0</v>
      </c>
      <c r="P3418">
        <v>0</v>
      </c>
      <c r="Q3418">
        <v>0</v>
      </c>
      <c r="R3418" s="3">
        <v>0</v>
      </c>
      <c r="S3418" s="3">
        <v>0</v>
      </c>
      <c r="T3418">
        <v>0</v>
      </c>
      <c r="U3418">
        <v>0</v>
      </c>
      <c r="V3418" s="3">
        <v>0</v>
      </c>
      <c r="W3418" s="3">
        <v>0</v>
      </c>
      <c r="X3418" s="3">
        <v>0</v>
      </c>
      <c r="Y3418" t="s">
        <v>2658</v>
      </c>
    </row>
    <row r="3419" spans="1:25" hidden="1" x14ac:dyDescent="0.25">
      <c r="A3419" t="s">
        <v>40</v>
      </c>
      <c r="B3419" t="s">
        <v>487</v>
      </c>
      <c r="C3419" t="s">
        <v>27</v>
      </c>
      <c r="D3419" t="s">
        <v>27</v>
      </c>
      <c r="E3419" s="2">
        <v>46034</v>
      </c>
      <c r="F3419" s="2">
        <v>46034</v>
      </c>
      <c r="G3419" s="3">
        <v>61</v>
      </c>
      <c r="H3419" t="s">
        <v>763</v>
      </c>
      <c r="I3419">
        <v>0</v>
      </c>
      <c r="J3419">
        <v>0</v>
      </c>
      <c r="K3419">
        <v>0</v>
      </c>
      <c r="L3419" s="3">
        <v>0</v>
      </c>
      <c r="M3419" s="3">
        <v>0</v>
      </c>
      <c r="N3419">
        <v>0</v>
      </c>
      <c r="O3419">
        <v>0</v>
      </c>
      <c r="P3419">
        <v>0</v>
      </c>
      <c r="Q3419">
        <v>0</v>
      </c>
      <c r="R3419" s="3">
        <v>0</v>
      </c>
      <c r="S3419" s="3">
        <v>0</v>
      </c>
      <c r="T3419">
        <v>0</v>
      </c>
      <c r="U3419">
        <v>0</v>
      </c>
      <c r="V3419" s="3">
        <v>0</v>
      </c>
      <c r="W3419" s="3">
        <v>0</v>
      </c>
      <c r="X3419" s="3">
        <v>0</v>
      </c>
      <c r="Y3419" t="s">
        <v>2450</v>
      </c>
    </row>
    <row r="3420" spans="1:25" hidden="1" x14ac:dyDescent="0.25">
      <c r="A3420" t="s">
        <v>27</v>
      </c>
      <c r="B3420" t="s">
        <v>102</v>
      </c>
      <c r="C3420" t="s">
        <v>37</v>
      </c>
      <c r="D3420" t="s">
        <v>27</v>
      </c>
      <c r="E3420" s="2">
        <v>46034</v>
      </c>
      <c r="F3420" s="2">
        <v>46034</v>
      </c>
      <c r="G3420" s="3">
        <v>62</v>
      </c>
      <c r="H3420" t="s">
        <v>763</v>
      </c>
      <c r="I3420">
        <v>0</v>
      </c>
      <c r="J3420">
        <v>0</v>
      </c>
      <c r="K3420">
        <v>0</v>
      </c>
      <c r="L3420" s="3">
        <v>0</v>
      </c>
      <c r="M3420" s="3">
        <v>0</v>
      </c>
      <c r="N3420">
        <v>0</v>
      </c>
      <c r="O3420">
        <v>0</v>
      </c>
      <c r="P3420">
        <v>0</v>
      </c>
      <c r="Q3420">
        <v>0</v>
      </c>
      <c r="R3420" s="3">
        <v>0</v>
      </c>
      <c r="S3420" s="3">
        <v>0</v>
      </c>
      <c r="T3420">
        <v>0</v>
      </c>
      <c r="U3420">
        <v>0</v>
      </c>
      <c r="V3420" s="3">
        <v>0</v>
      </c>
      <c r="W3420" s="3">
        <v>0</v>
      </c>
      <c r="X3420" s="3">
        <v>0</v>
      </c>
      <c r="Y3420" t="s">
        <v>2450</v>
      </c>
    </row>
    <row r="3421" spans="1:25" hidden="1" x14ac:dyDescent="0.25">
      <c r="A3421" t="s">
        <v>25</v>
      </c>
      <c r="B3421" t="s">
        <v>96</v>
      </c>
      <c r="C3421" t="s">
        <v>26</v>
      </c>
      <c r="D3421" t="s">
        <v>27</v>
      </c>
      <c r="E3421" s="2">
        <v>46035</v>
      </c>
      <c r="F3421" s="2">
        <v>46035</v>
      </c>
      <c r="G3421" s="3">
        <v>36</v>
      </c>
      <c r="H3421" t="s">
        <v>28</v>
      </c>
      <c r="I3421">
        <v>35</v>
      </c>
      <c r="J3421">
        <v>0</v>
      </c>
      <c r="K3421">
        <v>0</v>
      </c>
      <c r="L3421" s="3">
        <v>1</v>
      </c>
      <c r="M3421" s="3">
        <v>0</v>
      </c>
      <c r="N3421">
        <v>1</v>
      </c>
      <c r="O3421">
        <v>0</v>
      </c>
      <c r="P3421">
        <v>0</v>
      </c>
      <c r="Q3421">
        <v>0</v>
      </c>
      <c r="R3421" s="3">
        <v>0</v>
      </c>
      <c r="S3421" s="3">
        <v>0</v>
      </c>
      <c r="T3421">
        <v>0</v>
      </c>
      <c r="U3421">
        <v>0</v>
      </c>
      <c r="V3421" s="3">
        <v>0</v>
      </c>
      <c r="W3421" s="3">
        <v>0</v>
      </c>
      <c r="X3421">
        <v>0</v>
      </c>
      <c r="Y3421" t="s">
        <v>2660</v>
      </c>
    </row>
    <row r="3422" spans="1:25" hidden="1" x14ac:dyDescent="0.25">
      <c r="A3422" t="s">
        <v>29</v>
      </c>
      <c r="B3422" t="s">
        <v>100</v>
      </c>
      <c r="C3422" t="s">
        <v>2271</v>
      </c>
      <c r="D3422" t="s">
        <v>27</v>
      </c>
      <c r="E3422" s="2">
        <v>46035</v>
      </c>
      <c r="F3422" s="2">
        <v>46035</v>
      </c>
      <c r="G3422" s="3">
        <v>44</v>
      </c>
      <c r="H3422" t="s">
        <v>28</v>
      </c>
      <c r="I3422">
        <v>20</v>
      </c>
      <c r="J3422">
        <v>0</v>
      </c>
      <c r="K3422">
        <v>0</v>
      </c>
      <c r="L3422" s="3">
        <v>0</v>
      </c>
      <c r="M3422" s="3">
        <v>0</v>
      </c>
      <c r="N3422">
        <v>0</v>
      </c>
      <c r="O3422">
        <v>0</v>
      </c>
      <c r="P3422">
        <v>0</v>
      </c>
      <c r="Q3422">
        <v>0</v>
      </c>
      <c r="R3422" s="3">
        <v>0</v>
      </c>
      <c r="S3422" s="3">
        <v>0</v>
      </c>
      <c r="T3422">
        <v>0</v>
      </c>
      <c r="U3422">
        <v>0</v>
      </c>
      <c r="V3422" s="3">
        <v>0</v>
      </c>
      <c r="W3422" s="3">
        <v>0</v>
      </c>
      <c r="X3422">
        <v>4</v>
      </c>
      <c r="Y3422" t="s">
        <v>2609</v>
      </c>
    </row>
    <row r="3423" spans="1:25" hidden="1" x14ac:dyDescent="0.25">
      <c r="A3423" t="s">
        <v>31</v>
      </c>
      <c r="B3423" t="s">
        <v>104</v>
      </c>
      <c r="C3423" t="s">
        <v>32</v>
      </c>
      <c r="D3423" t="s">
        <v>27</v>
      </c>
      <c r="E3423" s="2">
        <v>46035</v>
      </c>
      <c r="F3423" s="2">
        <v>46035</v>
      </c>
      <c r="G3423" s="3">
        <v>41</v>
      </c>
      <c r="H3423" t="s">
        <v>28</v>
      </c>
      <c r="I3423">
        <v>52</v>
      </c>
      <c r="J3423">
        <v>0</v>
      </c>
      <c r="K3423">
        <v>0</v>
      </c>
      <c r="L3423" s="3">
        <v>1</v>
      </c>
      <c r="M3423" s="3">
        <v>0</v>
      </c>
      <c r="N3423">
        <v>0</v>
      </c>
      <c r="O3423">
        <v>0</v>
      </c>
      <c r="P3423">
        <v>0</v>
      </c>
      <c r="Q3423">
        <v>33</v>
      </c>
      <c r="R3423" s="3">
        <v>0</v>
      </c>
      <c r="S3423" s="3">
        <v>0</v>
      </c>
      <c r="T3423">
        <v>0</v>
      </c>
      <c r="U3423">
        <v>0</v>
      </c>
      <c r="V3423" s="3">
        <v>0</v>
      </c>
      <c r="W3423" s="3">
        <v>0</v>
      </c>
      <c r="X3423" s="37">
        <v>0</v>
      </c>
      <c r="Y3423" t="s">
        <v>2661</v>
      </c>
    </row>
    <row r="3424" spans="1:25" hidden="1" x14ac:dyDescent="0.25">
      <c r="A3424" t="s">
        <v>36</v>
      </c>
      <c r="B3424" t="s">
        <v>249</v>
      </c>
      <c r="C3424" t="s">
        <v>2534</v>
      </c>
      <c r="D3424" t="s">
        <v>27</v>
      </c>
      <c r="E3424" s="2">
        <v>46035</v>
      </c>
      <c r="F3424" s="2">
        <v>46035</v>
      </c>
      <c r="G3424" s="3">
        <v>72</v>
      </c>
      <c r="H3424" t="s">
        <v>28</v>
      </c>
      <c r="I3424">
        <v>105</v>
      </c>
      <c r="J3424">
        <v>0</v>
      </c>
      <c r="K3424">
        <v>0</v>
      </c>
      <c r="L3424" s="3">
        <v>1</v>
      </c>
      <c r="M3424" s="3">
        <v>0</v>
      </c>
      <c r="N3424">
        <v>1</v>
      </c>
      <c r="O3424">
        <v>0</v>
      </c>
      <c r="P3424">
        <v>0</v>
      </c>
      <c r="Q3424">
        <v>0</v>
      </c>
      <c r="R3424" s="3">
        <v>0</v>
      </c>
      <c r="S3424" s="3">
        <v>0</v>
      </c>
      <c r="T3424">
        <v>0</v>
      </c>
      <c r="U3424">
        <v>0</v>
      </c>
      <c r="V3424" s="3">
        <v>0</v>
      </c>
      <c r="W3424" s="3">
        <v>0</v>
      </c>
      <c r="X3424">
        <v>0</v>
      </c>
      <c r="Y3424" t="s">
        <v>2662</v>
      </c>
    </row>
    <row r="3425" spans="1:25" hidden="1" x14ac:dyDescent="0.25">
      <c r="A3425" t="s">
        <v>38</v>
      </c>
      <c r="B3425" t="s">
        <v>108</v>
      </c>
      <c r="C3425" t="s">
        <v>27</v>
      </c>
      <c r="D3425" t="s">
        <v>27</v>
      </c>
      <c r="E3425" s="2">
        <v>46035</v>
      </c>
      <c r="F3425" s="2">
        <v>46035</v>
      </c>
      <c r="G3425" s="3">
        <v>53</v>
      </c>
      <c r="H3425" t="s">
        <v>28</v>
      </c>
      <c r="I3425">
        <v>33</v>
      </c>
      <c r="J3425">
        <v>0</v>
      </c>
      <c r="K3425">
        <v>0</v>
      </c>
      <c r="L3425" s="3">
        <v>1</v>
      </c>
      <c r="M3425" s="3">
        <v>0</v>
      </c>
      <c r="N3425">
        <v>0</v>
      </c>
      <c r="O3425">
        <v>0</v>
      </c>
      <c r="P3425">
        <v>33</v>
      </c>
      <c r="Q3425">
        <v>33</v>
      </c>
      <c r="R3425" s="3">
        <v>0</v>
      </c>
      <c r="S3425" s="3">
        <v>0</v>
      </c>
      <c r="T3425">
        <v>0</v>
      </c>
      <c r="U3425">
        <v>0</v>
      </c>
      <c r="V3425" s="3">
        <v>0</v>
      </c>
      <c r="W3425" s="3">
        <v>0</v>
      </c>
      <c r="X3425">
        <v>0</v>
      </c>
      <c r="Y3425" t="s">
        <v>2663</v>
      </c>
    </row>
    <row r="3426" spans="1:25" hidden="1" x14ac:dyDescent="0.25">
      <c r="A3426" t="s">
        <v>1454</v>
      </c>
      <c r="B3426" t="s">
        <v>1455</v>
      </c>
      <c r="C3426" t="s">
        <v>27</v>
      </c>
      <c r="D3426" t="s">
        <v>27</v>
      </c>
      <c r="E3426" s="2">
        <v>46035</v>
      </c>
      <c r="F3426" s="2">
        <v>46035</v>
      </c>
      <c r="G3426" s="3">
        <v>34</v>
      </c>
      <c r="H3426" t="s">
        <v>28</v>
      </c>
      <c r="I3426">
        <v>35</v>
      </c>
      <c r="J3426">
        <v>0</v>
      </c>
      <c r="K3426">
        <v>0</v>
      </c>
      <c r="L3426" s="3">
        <v>1</v>
      </c>
      <c r="M3426" s="3">
        <v>0</v>
      </c>
      <c r="N3426">
        <v>0</v>
      </c>
      <c r="O3426">
        <v>0</v>
      </c>
      <c r="P3426">
        <v>0</v>
      </c>
      <c r="Q3426">
        <v>35</v>
      </c>
      <c r="R3426" s="3">
        <v>0</v>
      </c>
      <c r="S3426" s="3">
        <v>0</v>
      </c>
      <c r="T3426">
        <v>0</v>
      </c>
      <c r="U3426">
        <v>0</v>
      </c>
      <c r="V3426" s="3">
        <v>0</v>
      </c>
      <c r="W3426" s="3">
        <v>0</v>
      </c>
      <c r="X3426">
        <v>0</v>
      </c>
      <c r="Y3426" t="s">
        <v>2664</v>
      </c>
    </row>
    <row r="3427" spans="1:25" hidden="1" x14ac:dyDescent="0.25">
      <c r="A3427" t="s">
        <v>41</v>
      </c>
      <c r="B3427" t="s">
        <v>112</v>
      </c>
      <c r="C3427" t="s">
        <v>42</v>
      </c>
      <c r="D3427" t="s">
        <v>27</v>
      </c>
      <c r="E3427" s="2">
        <v>46035</v>
      </c>
      <c r="F3427" s="2">
        <v>46035</v>
      </c>
      <c r="G3427" s="3">
        <v>31</v>
      </c>
      <c r="H3427" t="s">
        <v>28</v>
      </c>
      <c r="I3427">
        <v>47</v>
      </c>
      <c r="J3427">
        <v>0</v>
      </c>
      <c r="K3427">
        <v>0</v>
      </c>
      <c r="L3427" s="3">
        <v>1</v>
      </c>
      <c r="M3427" s="3">
        <v>0</v>
      </c>
      <c r="N3427">
        <v>0</v>
      </c>
      <c r="O3427">
        <v>0</v>
      </c>
      <c r="P3427">
        <v>0</v>
      </c>
      <c r="Q3427">
        <v>1</v>
      </c>
      <c r="R3427" s="3">
        <v>0</v>
      </c>
      <c r="S3427" s="3">
        <v>0</v>
      </c>
      <c r="T3427">
        <v>0</v>
      </c>
      <c r="U3427">
        <v>0</v>
      </c>
      <c r="V3427" s="3">
        <v>0</v>
      </c>
      <c r="W3427" s="3">
        <v>0</v>
      </c>
      <c r="X3427">
        <v>0</v>
      </c>
      <c r="Y3427" t="s">
        <v>2665</v>
      </c>
    </row>
    <row r="3428" spans="1:25" hidden="1" x14ac:dyDescent="0.25">
      <c r="A3428" t="s">
        <v>43</v>
      </c>
      <c r="B3428" t="s">
        <v>114</v>
      </c>
      <c r="C3428" t="s">
        <v>44</v>
      </c>
      <c r="D3428" t="s">
        <v>27</v>
      </c>
      <c r="E3428" s="2">
        <v>46035</v>
      </c>
      <c r="F3428" s="2">
        <v>46035</v>
      </c>
      <c r="G3428" s="3">
        <v>28</v>
      </c>
      <c r="H3428" t="s">
        <v>28</v>
      </c>
      <c r="I3428">
        <v>66</v>
      </c>
      <c r="J3428">
        <v>0</v>
      </c>
      <c r="K3428">
        <v>0</v>
      </c>
      <c r="L3428" s="3">
        <v>1</v>
      </c>
      <c r="M3428" s="3">
        <v>0</v>
      </c>
      <c r="N3428">
        <v>0</v>
      </c>
      <c r="O3428">
        <v>0</v>
      </c>
      <c r="P3428">
        <v>0</v>
      </c>
      <c r="Q3428">
        <v>0</v>
      </c>
      <c r="R3428" s="3">
        <v>0</v>
      </c>
      <c r="S3428" s="3">
        <v>0</v>
      </c>
      <c r="T3428">
        <v>0</v>
      </c>
      <c r="U3428">
        <v>0</v>
      </c>
      <c r="V3428" s="3">
        <v>0</v>
      </c>
      <c r="W3428" s="3">
        <v>0</v>
      </c>
      <c r="X3428">
        <v>0</v>
      </c>
      <c r="Y3428" t="s">
        <v>2666</v>
      </c>
    </row>
    <row r="3429" spans="1:25" hidden="1" x14ac:dyDescent="0.25">
      <c r="A3429" t="s">
        <v>45</v>
      </c>
      <c r="B3429" t="s">
        <v>116</v>
      </c>
      <c r="C3429" t="s">
        <v>46</v>
      </c>
      <c r="D3429" t="s">
        <v>27</v>
      </c>
      <c r="E3429" s="2">
        <v>46035</v>
      </c>
      <c r="F3429" s="2">
        <v>46035</v>
      </c>
      <c r="G3429" s="3">
        <v>36</v>
      </c>
      <c r="H3429" t="s">
        <v>28</v>
      </c>
      <c r="I3429">
        <v>41</v>
      </c>
      <c r="J3429">
        <v>0</v>
      </c>
      <c r="K3429">
        <v>0</v>
      </c>
      <c r="L3429" s="3">
        <v>0</v>
      </c>
      <c r="M3429" s="3">
        <v>0</v>
      </c>
      <c r="N3429">
        <v>0</v>
      </c>
      <c r="O3429">
        <v>0</v>
      </c>
      <c r="P3429">
        <v>0</v>
      </c>
      <c r="Q3429">
        <v>0</v>
      </c>
      <c r="R3429" s="3">
        <v>0</v>
      </c>
      <c r="S3429" s="3">
        <v>0</v>
      </c>
      <c r="T3429">
        <v>0</v>
      </c>
      <c r="U3429">
        <v>0</v>
      </c>
      <c r="V3429" s="3">
        <v>0</v>
      </c>
      <c r="W3429" s="3">
        <v>0</v>
      </c>
      <c r="X3429">
        <v>0</v>
      </c>
      <c r="Y3429" t="s">
        <v>2667</v>
      </c>
    </row>
    <row r="3430" spans="1:25" hidden="1" x14ac:dyDescent="0.25">
      <c r="A3430" t="s">
        <v>47</v>
      </c>
      <c r="B3430" t="s">
        <v>137</v>
      </c>
      <c r="C3430" t="s">
        <v>2310</v>
      </c>
      <c r="D3430" t="s">
        <v>27</v>
      </c>
      <c r="E3430" s="2">
        <v>46035</v>
      </c>
      <c r="F3430" s="2">
        <v>46035</v>
      </c>
      <c r="G3430" s="3">
        <v>199</v>
      </c>
      <c r="H3430" t="s">
        <v>28</v>
      </c>
      <c r="I3430">
        <v>51</v>
      </c>
      <c r="J3430">
        <v>0</v>
      </c>
      <c r="K3430">
        <v>0</v>
      </c>
      <c r="L3430" s="3">
        <v>1</v>
      </c>
      <c r="M3430" s="3">
        <v>0</v>
      </c>
      <c r="N3430">
        <v>0</v>
      </c>
      <c r="O3430">
        <v>0</v>
      </c>
      <c r="P3430">
        <v>0</v>
      </c>
      <c r="Q3430">
        <v>6</v>
      </c>
      <c r="R3430" s="3">
        <v>0</v>
      </c>
      <c r="S3430" s="3">
        <v>0</v>
      </c>
      <c r="T3430">
        <v>0</v>
      </c>
      <c r="U3430">
        <v>0</v>
      </c>
      <c r="V3430" s="3">
        <v>0</v>
      </c>
      <c r="W3430" s="3">
        <v>0</v>
      </c>
      <c r="X3430">
        <v>0</v>
      </c>
      <c r="Y3430" t="s">
        <v>2668</v>
      </c>
    </row>
    <row r="3431" spans="1:25" hidden="1" x14ac:dyDescent="0.25">
      <c r="A3431" t="s">
        <v>49</v>
      </c>
      <c r="B3431" t="s">
        <v>118</v>
      </c>
      <c r="C3431" t="s">
        <v>27</v>
      </c>
      <c r="D3431" t="s">
        <v>27</v>
      </c>
      <c r="E3431" s="2">
        <v>46035</v>
      </c>
      <c r="F3431" s="2">
        <v>46035</v>
      </c>
      <c r="G3431" s="3">
        <v>228</v>
      </c>
      <c r="H3431" t="s">
        <v>28</v>
      </c>
      <c r="I3431">
        <v>51</v>
      </c>
      <c r="J3431">
        <v>0</v>
      </c>
      <c r="K3431">
        <v>0</v>
      </c>
      <c r="L3431" s="3">
        <v>1</v>
      </c>
      <c r="M3431" s="3">
        <v>1</v>
      </c>
      <c r="N3431">
        <v>1</v>
      </c>
      <c r="O3431">
        <v>1</v>
      </c>
      <c r="P3431">
        <v>0</v>
      </c>
      <c r="Q3431">
        <v>51</v>
      </c>
      <c r="R3431" s="3">
        <v>0</v>
      </c>
      <c r="S3431" s="3">
        <v>0</v>
      </c>
      <c r="T3431">
        <v>0</v>
      </c>
      <c r="U3431">
        <v>0</v>
      </c>
      <c r="V3431" s="3">
        <v>0</v>
      </c>
      <c r="W3431" s="3">
        <v>0</v>
      </c>
      <c r="X3431">
        <v>0</v>
      </c>
      <c r="Y3431" t="s">
        <v>2669</v>
      </c>
    </row>
    <row r="3432" spans="1:25" hidden="1" x14ac:dyDescent="0.25">
      <c r="A3432" t="s">
        <v>54</v>
      </c>
      <c r="B3432" t="s">
        <v>122</v>
      </c>
      <c r="C3432" t="s">
        <v>52</v>
      </c>
      <c r="D3432" t="s">
        <v>27</v>
      </c>
      <c r="E3432" s="2">
        <v>46035</v>
      </c>
      <c r="F3432" s="2">
        <v>46035</v>
      </c>
      <c r="G3432" s="3">
        <v>39</v>
      </c>
      <c r="H3432" t="s">
        <v>28</v>
      </c>
      <c r="I3432">
        <v>43</v>
      </c>
      <c r="J3432">
        <v>0</v>
      </c>
      <c r="K3432">
        <v>0</v>
      </c>
      <c r="L3432" s="3">
        <v>0</v>
      </c>
      <c r="M3432" s="3">
        <v>0</v>
      </c>
      <c r="N3432">
        <v>0</v>
      </c>
      <c r="O3432">
        <v>0</v>
      </c>
      <c r="P3432">
        <v>0</v>
      </c>
      <c r="Q3432">
        <v>2</v>
      </c>
      <c r="R3432" s="3">
        <v>0</v>
      </c>
      <c r="S3432" s="3">
        <v>0</v>
      </c>
      <c r="T3432">
        <v>0</v>
      </c>
      <c r="U3432">
        <v>0</v>
      </c>
      <c r="V3432" s="3">
        <v>0</v>
      </c>
      <c r="W3432" s="3">
        <v>0</v>
      </c>
      <c r="X3432">
        <v>0</v>
      </c>
      <c r="Y3432" t="s">
        <v>2656</v>
      </c>
    </row>
    <row r="3433" spans="1:25" hidden="1" x14ac:dyDescent="0.25">
      <c r="A3433" t="s">
        <v>51</v>
      </c>
      <c r="B3433" t="s">
        <v>120</v>
      </c>
      <c r="C3433" t="s">
        <v>35</v>
      </c>
      <c r="D3433" t="s">
        <v>27</v>
      </c>
      <c r="E3433" s="2">
        <v>46035</v>
      </c>
      <c r="F3433" s="2">
        <v>46035</v>
      </c>
      <c r="G3433" s="3">
        <v>59</v>
      </c>
      <c r="H3433" t="s">
        <v>28</v>
      </c>
      <c r="I3433">
        <v>45</v>
      </c>
      <c r="J3433">
        <v>0</v>
      </c>
      <c r="K3433">
        <v>0</v>
      </c>
      <c r="L3433" s="3">
        <v>0</v>
      </c>
      <c r="M3433" s="3">
        <v>0</v>
      </c>
      <c r="N3433">
        <v>0</v>
      </c>
      <c r="O3433">
        <v>0</v>
      </c>
      <c r="P3433">
        <v>0</v>
      </c>
      <c r="Q3433">
        <v>0</v>
      </c>
      <c r="R3433" s="3">
        <v>0</v>
      </c>
      <c r="S3433" s="3">
        <v>0</v>
      </c>
      <c r="T3433">
        <v>0</v>
      </c>
      <c r="U3433">
        <v>0</v>
      </c>
      <c r="V3433" s="3">
        <v>0</v>
      </c>
      <c r="W3433" s="3">
        <v>0</v>
      </c>
      <c r="X3433">
        <v>0</v>
      </c>
      <c r="Y3433" t="s">
        <v>2670</v>
      </c>
    </row>
    <row r="3434" spans="1:25" hidden="1" x14ac:dyDescent="0.25">
      <c r="A3434" t="s">
        <v>48</v>
      </c>
      <c r="B3434" t="s">
        <v>149</v>
      </c>
      <c r="C3434" t="s">
        <v>95</v>
      </c>
      <c r="D3434" t="s">
        <v>27</v>
      </c>
      <c r="E3434" s="2">
        <v>46035</v>
      </c>
      <c r="F3434" s="2">
        <v>46035</v>
      </c>
      <c r="G3434" s="3">
        <v>29</v>
      </c>
      <c r="H3434" t="s">
        <v>28</v>
      </c>
      <c r="I3434">
        <v>28</v>
      </c>
      <c r="J3434">
        <v>0</v>
      </c>
      <c r="K3434">
        <v>0</v>
      </c>
      <c r="L3434" s="3">
        <v>1</v>
      </c>
      <c r="M3434" s="3">
        <v>0</v>
      </c>
      <c r="N3434">
        <v>0</v>
      </c>
      <c r="O3434">
        <v>0</v>
      </c>
      <c r="P3434">
        <v>0</v>
      </c>
      <c r="Q3434">
        <v>12</v>
      </c>
      <c r="R3434" s="3">
        <v>0</v>
      </c>
      <c r="S3434" s="3">
        <v>0</v>
      </c>
      <c r="T3434">
        <v>0</v>
      </c>
      <c r="U3434">
        <v>0</v>
      </c>
      <c r="V3434" s="3">
        <v>0</v>
      </c>
      <c r="W3434" s="3">
        <v>0</v>
      </c>
      <c r="X3434">
        <v>0</v>
      </c>
      <c r="Y3434" t="s">
        <v>2671</v>
      </c>
    </row>
    <row r="3435" spans="1:25" hidden="1" x14ac:dyDescent="0.25">
      <c r="A3435" t="s">
        <v>58</v>
      </c>
      <c r="B3435" t="s">
        <v>144</v>
      </c>
      <c r="C3435" t="s">
        <v>2514</v>
      </c>
      <c r="D3435" t="s">
        <v>27</v>
      </c>
      <c r="E3435" s="2">
        <v>46035</v>
      </c>
      <c r="F3435" s="2">
        <v>46035</v>
      </c>
      <c r="G3435" s="3">
        <v>37</v>
      </c>
      <c r="H3435" t="s">
        <v>28</v>
      </c>
      <c r="I3435">
        <v>30</v>
      </c>
      <c r="J3435">
        <v>0</v>
      </c>
      <c r="K3435">
        <v>0</v>
      </c>
      <c r="L3435" s="3">
        <v>1</v>
      </c>
      <c r="M3435" s="3">
        <v>0</v>
      </c>
      <c r="N3435">
        <v>0</v>
      </c>
      <c r="O3435">
        <v>0</v>
      </c>
      <c r="P3435">
        <v>0</v>
      </c>
      <c r="Q3435">
        <v>10</v>
      </c>
      <c r="R3435" s="3">
        <v>0</v>
      </c>
      <c r="S3435" s="3">
        <v>0</v>
      </c>
      <c r="T3435">
        <v>0</v>
      </c>
      <c r="U3435">
        <v>0</v>
      </c>
      <c r="V3435" s="3">
        <v>0</v>
      </c>
      <c r="W3435" s="3">
        <v>0</v>
      </c>
      <c r="X3435">
        <v>0</v>
      </c>
      <c r="Y3435" t="s">
        <v>2672</v>
      </c>
    </row>
    <row r="3436" spans="1:25" hidden="1" x14ac:dyDescent="0.25">
      <c r="A3436" t="s">
        <v>27</v>
      </c>
      <c r="B3436" t="s">
        <v>106</v>
      </c>
      <c r="C3436" t="s">
        <v>57</v>
      </c>
      <c r="D3436" t="s">
        <v>27</v>
      </c>
      <c r="E3436" s="2">
        <v>46035</v>
      </c>
      <c r="F3436" s="2">
        <v>46035</v>
      </c>
      <c r="G3436" s="3">
        <v>38</v>
      </c>
      <c r="H3436" t="s">
        <v>1448</v>
      </c>
      <c r="I3436">
        <v>0</v>
      </c>
      <c r="J3436">
        <v>0</v>
      </c>
      <c r="K3436">
        <v>0</v>
      </c>
      <c r="L3436" s="3">
        <v>0</v>
      </c>
      <c r="M3436" s="3">
        <v>0</v>
      </c>
      <c r="N3436">
        <v>0</v>
      </c>
      <c r="O3436">
        <v>0</v>
      </c>
      <c r="P3436">
        <v>0</v>
      </c>
      <c r="Q3436">
        <v>0</v>
      </c>
      <c r="R3436" s="3">
        <v>0</v>
      </c>
      <c r="S3436" s="3">
        <v>0</v>
      </c>
      <c r="T3436">
        <v>0</v>
      </c>
      <c r="U3436">
        <v>0</v>
      </c>
      <c r="V3436" s="3">
        <v>0</v>
      </c>
      <c r="W3436" s="3">
        <v>0</v>
      </c>
      <c r="X3436">
        <v>0</v>
      </c>
      <c r="Y3436" t="s">
        <v>2450</v>
      </c>
    </row>
    <row r="3437" spans="1:25" hidden="1" x14ac:dyDescent="0.25">
      <c r="A3437" t="s">
        <v>55</v>
      </c>
      <c r="B3437" t="s">
        <v>182</v>
      </c>
      <c r="C3437" t="s">
        <v>27</v>
      </c>
      <c r="D3437" t="s">
        <v>27</v>
      </c>
      <c r="E3437" s="2">
        <v>46035</v>
      </c>
      <c r="F3437" s="2">
        <v>46035</v>
      </c>
      <c r="G3437" s="3">
        <v>39</v>
      </c>
      <c r="H3437" t="s">
        <v>28</v>
      </c>
      <c r="I3437">
        <v>20</v>
      </c>
      <c r="J3437">
        <v>0</v>
      </c>
      <c r="K3437">
        <v>0</v>
      </c>
      <c r="L3437" s="3">
        <v>0</v>
      </c>
      <c r="M3437" s="3">
        <v>0</v>
      </c>
      <c r="N3437">
        <v>0</v>
      </c>
      <c r="O3437">
        <v>0</v>
      </c>
      <c r="P3437">
        <v>0</v>
      </c>
      <c r="Q3437">
        <v>0</v>
      </c>
      <c r="R3437" s="3">
        <v>0</v>
      </c>
      <c r="S3437" s="3">
        <v>0</v>
      </c>
      <c r="T3437">
        <v>0</v>
      </c>
      <c r="U3437">
        <v>0</v>
      </c>
      <c r="V3437" s="3">
        <v>0</v>
      </c>
      <c r="W3437" s="3">
        <v>0</v>
      </c>
      <c r="X3437">
        <v>0</v>
      </c>
      <c r="Y3437" t="s">
        <v>2450</v>
      </c>
    </row>
    <row r="3438" spans="1:25" hidden="1" x14ac:dyDescent="0.25">
      <c r="A3438" t="s">
        <v>33</v>
      </c>
      <c r="B3438" t="s">
        <v>184</v>
      </c>
      <c r="C3438" t="s">
        <v>27</v>
      </c>
      <c r="D3438" t="s">
        <v>27</v>
      </c>
      <c r="E3438" s="2">
        <v>46035</v>
      </c>
      <c r="F3438" s="2">
        <v>46035</v>
      </c>
      <c r="G3438" s="3">
        <v>40</v>
      </c>
      <c r="H3438" t="s">
        <v>1448</v>
      </c>
      <c r="I3438">
        <v>0</v>
      </c>
      <c r="J3438">
        <v>0</v>
      </c>
      <c r="K3438">
        <v>0</v>
      </c>
      <c r="L3438" s="3">
        <v>0</v>
      </c>
      <c r="M3438" s="3">
        <v>0</v>
      </c>
      <c r="N3438">
        <v>0</v>
      </c>
      <c r="O3438">
        <v>0</v>
      </c>
      <c r="P3438">
        <v>0</v>
      </c>
      <c r="Q3438">
        <v>0</v>
      </c>
      <c r="R3438" s="3">
        <v>0</v>
      </c>
      <c r="S3438" s="3">
        <v>0</v>
      </c>
      <c r="T3438">
        <v>0</v>
      </c>
      <c r="U3438">
        <v>0</v>
      </c>
      <c r="V3438" s="3">
        <v>0</v>
      </c>
      <c r="W3438" s="3">
        <v>0</v>
      </c>
      <c r="X3438">
        <v>0</v>
      </c>
      <c r="Y3438" t="s">
        <v>2450</v>
      </c>
    </row>
    <row r="3439" spans="1:25" hidden="1" x14ac:dyDescent="0.25">
      <c r="A3439" t="s">
        <v>27</v>
      </c>
      <c r="B3439" t="s">
        <v>186</v>
      </c>
      <c r="C3439" t="s">
        <v>2379</v>
      </c>
      <c r="D3439" t="s">
        <v>27</v>
      </c>
      <c r="E3439" s="2">
        <v>46035</v>
      </c>
      <c r="F3439" s="2">
        <v>46035</v>
      </c>
      <c r="G3439" s="3">
        <v>41</v>
      </c>
      <c r="H3439" t="s">
        <v>1448</v>
      </c>
      <c r="I3439">
        <v>0</v>
      </c>
      <c r="J3439">
        <v>0</v>
      </c>
      <c r="K3439">
        <v>0</v>
      </c>
      <c r="L3439" s="3">
        <v>0</v>
      </c>
      <c r="M3439" s="3">
        <v>0</v>
      </c>
      <c r="N3439">
        <v>0</v>
      </c>
      <c r="O3439">
        <v>0</v>
      </c>
      <c r="P3439">
        <v>0</v>
      </c>
      <c r="Q3439">
        <v>0</v>
      </c>
      <c r="R3439" s="3">
        <v>0</v>
      </c>
      <c r="S3439" s="3">
        <v>0</v>
      </c>
      <c r="T3439">
        <v>0</v>
      </c>
      <c r="U3439">
        <v>0</v>
      </c>
      <c r="V3439" s="3">
        <v>0</v>
      </c>
      <c r="W3439" s="3">
        <v>0</v>
      </c>
      <c r="X3439">
        <v>0</v>
      </c>
      <c r="Y3439" t="s">
        <v>2450</v>
      </c>
    </row>
    <row r="3440" spans="1:25" hidden="1" x14ac:dyDescent="0.25">
      <c r="A3440" t="s">
        <v>40</v>
      </c>
      <c r="B3440" t="s">
        <v>487</v>
      </c>
      <c r="C3440" t="s">
        <v>27</v>
      </c>
      <c r="D3440" t="s">
        <v>27</v>
      </c>
      <c r="E3440" s="2">
        <v>46035</v>
      </c>
      <c r="F3440" s="2">
        <v>46035</v>
      </c>
      <c r="G3440" s="3">
        <v>61</v>
      </c>
      <c r="H3440" t="s">
        <v>763</v>
      </c>
      <c r="I3440">
        <v>0</v>
      </c>
      <c r="J3440">
        <v>0</v>
      </c>
      <c r="K3440">
        <v>0</v>
      </c>
      <c r="L3440" s="3">
        <v>0</v>
      </c>
      <c r="M3440" s="3">
        <v>0</v>
      </c>
      <c r="N3440">
        <v>0</v>
      </c>
      <c r="O3440">
        <v>0</v>
      </c>
      <c r="P3440">
        <v>0</v>
      </c>
      <c r="Q3440">
        <v>0</v>
      </c>
      <c r="R3440" s="3">
        <v>0</v>
      </c>
      <c r="S3440" s="3">
        <v>0</v>
      </c>
      <c r="T3440">
        <v>0</v>
      </c>
      <c r="U3440">
        <v>0</v>
      </c>
      <c r="V3440" s="3">
        <v>0</v>
      </c>
      <c r="W3440" s="3">
        <v>0</v>
      </c>
      <c r="X3440" s="3">
        <v>0</v>
      </c>
      <c r="Y3440" t="s">
        <v>2450</v>
      </c>
    </row>
    <row r="3441" spans="1:25" hidden="1" x14ac:dyDescent="0.25">
      <c r="A3441" t="s">
        <v>27</v>
      </c>
      <c r="B3441" t="s">
        <v>102</v>
      </c>
      <c r="C3441" t="s">
        <v>37</v>
      </c>
      <c r="D3441" t="s">
        <v>27</v>
      </c>
      <c r="E3441" s="2">
        <v>46035</v>
      </c>
      <c r="F3441" s="2">
        <v>46035</v>
      </c>
      <c r="G3441" s="3">
        <v>62</v>
      </c>
      <c r="H3441" t="s">
        <v>763</v>
      </c>
      <c r="I3441">
        <v>0</v>
      </c>
      <c r="J3441">
        <v>0</v>
      </c>
      <c r="K3441">
        <v>0</v>
      </c>
      <c r="L3441" s="3">
        <v>0</v>
      </c>
      <c r="M3441" s="3">
        <v>0</v>
      </c>
      <c r="N3441">
        <v>0</v>
      </c>
      <c r="O3441">
        <v>0</v>
      </c>
      <c r="P3441">
        <v>0</v>
      </c>
      <c r="Q3441">
        <v>0</v>
      </c>
      <c r="R3441" s="3">
        <v>0</v>
      </c>
      <c r="S3441" s="3">
        <v>0</v>
      </c>
      <c r="T3441">
        <v>0</v>
      </c>
      <c r="U3441">
        <v>0</v>
      </c>
      <c r="V3441" s="3">
        <v>0</v>
      </c>
      <c r="W3441" s="3">
        <v>0</v>
      </c>
      <c r="X3441" s="3">
        <v>0</v>
      </c>
      <c r="Y3441" t="s">
        <v>2450</v>
      </c>
    </row>
    <row r="3442" spans="1:25" hidden="1" x14ac:dyDescent="0.25">
      <c r="A3442" t="s">
        <v>344</v>
      </c>
      <c r="B3442" t="s">
        <v>876</v>
      </c>
      <c r="C3442" t="s">
        <v>37</v>
      </c>
      <c r="D3442" t="s">
        <v>27</v>
      </c>
      <c r="E3442" s="2">
        <v>46035</v>
      </c>
      <c r="F3442" s="2">
        <v>46035</v>
      </c>
      <c r="G3442" s="3">
        <v>63</v>
      </c>
      <c r="H3442" t="s">
        <v>2143</v>
      </c>
      <c r="I3442" s="1">
        <v>0</v>
      </c>
      <c r="J3442">
        <v>0</v>
      </c>
      <c r="K3442">
        <v>0</v>
      </c>
      <c r="L3442" s="3">
        <v>0</v>
      </c>
      <c r="M3442" s="3">
        <v>0</v>
      </c>
      <c r="N3442">
        <v>0</v>
      </c>
      <c r="O3442">
        <v>0</v>
      </c>
      <c r="P3442">
        <v>0</v>
      </c>
      <c r="Q3442">
        <v>0</v>
      </c>
      <c r="R3442" s="3">
        <v>0</v>
      </c>
      <c r="S3442" s="3">
        <v>0</v>
      </c>
      <c r="T3442">
        <v>0</v>
      </c>
      <c r="U3442">
        <v>0</v>
      </c>
      <c r="V3442" s="3">
        <v>0</v>
      </c>
      <c r="W3442" s="3">
        <v>0</v>
      </c>
      <c r="X3442" s="3">
        <v>0</v>
      </c>
    </row>
    <row r="3443" spans="1:25" hidden="1" x14ac:dyDescent="0.25">
      <c r="A3443" t="s">
        <v>25</v>
      </c>
      <c r="B3443" t="s">
        <v>96</v>
      </c>
      <c r="C3443" t="s">
        <v>26</v>
      </c>
      <c r="D3443" t="s">
        <v>27</v>
      </c>
      <c r="E3443" s="2">
        <v>46036</v>
      </c>
      <c r="F3443" s="2">
        <v>46036</v>
      </c>
      <c r="G3443" s="3">
        <v>73</v>
      </c>
      <c r="H3443" t="s">
        <v>28</v>
      </c>
      <c r="I3443">
        <v>62</v>
      </c>
      <c r="J3443">
        <v>0</v>
      </c>
      <c r="K3443">
        <v>0</v>
      </c>
      <c r="L3443" s="3">
        <v>1</v>
      </c>
      <c r="M3443" s="3">
        <v>0</v>
      </c>
      <c r="N3443">
        <v>1</v>
      </c>
      <c r="O3443">
        <v>0</v>
      </c>
      <c r="P3443">
        <v>0</v>
      </c>
      <c r="Q3443">
        <v>0</v>
      </c>
      <c r="R3443" s="3">
        <v>0</v>
      </c>
      <c r="S3443" s="3">
        <v>0</v>
      </c>
      <c r="T3443">
        <v>0</v>
      </c>
      <c r="U3443">
        <v>0</v>
      </c>
      <c r="V3443" s="3">
        <v>0</v>
      </c>
      <c r="W3443" s="3">
        <v>0</v>
      </c>
      <c r="X3443">
        <v>0</v>
      </c>
      <c r="Y3443" t="s">
        <v>2673</v>
      </c>
    </row>
    <row r="3444" spans="1:25" hidden="1" x14ac:dyDescent="0.25">
      <c r="A3444" t="s">
        <v>29</v>
      </c>
      <c r="B3444" t="s">
        <v>100</v>
      </c>
      <c r="C3444" t="s">
        <v>2271</v>
      </c>
      <c r="D3444" t="s">
        <v>27</v>
      </c>
      <c r="E3444" s="2">
        <v>46036</v>
      </c>
      <c r="F3444" s="2">
        <v>46036</v>
      </c>
      <c r="G3444" s="3">
        <v>71</v>
      </c>
      <c r="H3444" t="s">
        <v>28</v>
      </c>
      <c r="I3444">
        <v>40</v>
      </c>
      <c r="J3444">
        <v>0</v>
      </c>
      <c r="K3444">
        <v>0</v>
      </c>
      <c r="L3444" s="3">
        <v>0</v>
      </c>
      <c r="M3444" s="3">
        <v>0</v>
      </c>
      <c r="N3444">
        <v>0</v>
      </c>
      <c r="O3444">
        <v>0</v>
      </c>
      <c r="P3444">
        <v>0</v>
      </c>
      <c r="Q3444">
        <v>0</v>
      </c>
      <c r="R3444" s="3">
        <v>0</v>
      </c>
      <c r="S3444" s="3">
        <v>0</v>
      </c>
      <c r="T3444">
        <v>0</v>
      </c>
      <c r="U3444">
        <v>0</v>
      </c>
      <c r="V3444" s="3">
        <v>0</v>
      </c>
      <c r="W3444" s="3">
        <v>0</v>
      </c>
      <c r="X3444">
        <v>1</v>
      </c>
      <c r="Y3444" t="s">
        <v>2674</v>
      </c>
    </row>
    <row r="3445" spans="1:25" hidden="1" x14ac:dyDescent="0.25">
      <c r="A3445" t="s">
        <v>344</v>
      </c>
      <c r="B3445" t="s">
        <v>102</v>
      </c>
      <c r="C3445" t="s">
        <v>35</v>
      </c>
      <c r="D3445" t="s">
        <v>27</v>
      </c>
      <c r="E3445" s="2">
        <v>46036</v>
      </c>
      <c r="F3445" s="2">
        <v>46036</v>
      </c>
      <c r="G3445" s="3">
        <v>54</v>
      </c>
      <c r="H3445" t="s">
        <v>28</v>
      </c>
      <c r="I3445">
        <v>38</v>
      </c>
      <c r="J3445">
        <v>0</v>
      </c>
      <c r="K3445">
        <v>0</v>
      </c>
      <c r="L3445" s="3">
        <v>1</v>
      </c>
      <c r="M3445" s="3">
        <v>1</v>
      </c>
      <c r="N3445">
        <v>0</v>
      </c>
      <c r="O3445">
        <v>0</v>
      </c>
      <c r="P3445">
        <v>0</v>
      </c>
      <c r="Q3445">
        <v>2</v>
      </c>
      <c r="R3445" s="3">
        <v>0</v>
      </c>
      <c r="S3445" s="3">
        <v>0</v>
      </c>
      <c r="T3445">
        <v>0</v>
      </c>
      <c r="U3445">
        <v>0</v>
      </c>
      <c r="V3445" s="3">
        <v>0</v>
      </c>
      <c r="W3445" s="3">
        <v>0</v>
      </c>
      <c r="X3445">
        <v>0</v>
      </c>
      <c r="Y3445" t="s">
        <v>2545</v>
      </c>
    </row>
    <row r="3446" spans="1:25" hidden="1" x14ac:dyDescent="0.25">
      <c r="A3446" t="s">
        <v>31</v>
      </c>
      <c r="B3446" t="s">
        <v>104</v>
      </c>
      <c r="C3446" t="s">
        <v>32</v>
      </c>
      <c r="D3446" t="s">
        <v>27</v>
      </c>
      <c r="E3446" s="2">
        <v>46036</v>
      </c>
      <c r="F3446" s="2">
        <v>46036</v>
      </c>
      <c r="G3446" s="3">
        <v>41</v>
      </c>
      <c r="H3446" t="s">
        <v>28</v>
      </c>
      <c r="I3446">
        <v>91</v>
      </c>
      <c r="J3446">
        <v>0</v>
      </c>
      <c r="K3446">
        <v>0</v>
      </c>
      <c r="L3446" s="3">
        <v>1</v>
      </c>
      <c r="M3446" s="3">
        <v>0</v>
      </c>
      <c r="N3446">
        <v>0</v>
      </c>
      <c r="O3446">
        <v>0</v>
      </c>
      <c r="P3446">
        <v>0</v>
      </c>
      <c r="Q3446">
        <v>35</v>
      </c>
      <c r="R3446" s="3">
        <v>0</v>
      </c>
      <c r="S3446" s="3">
        <v>0</v>
      </c>
      <c r="T3446">
        <v>0</v>
      </c>
      <c r="U3446">
        <v>0</v>
      </c>
      <c r="V3446" s="3">
        <v>0</v>
      </c>
      <c r="W3446" s="3">
        <v>0</v>
      </c>
      <c r="X3446" s="37">
        <v>0</v>
      </c>
      <c r="Y3446" t="s">
        <v>2675</v>
      </c>
    </row>
    <row r="3447" spans="1:25" hidden="1" x14ac:dyDescent="0.25">
      <c r="A3447" t="s">
        <v>33</v>
      </c>
      <c r="B3447" t="s">
        <v>106</v>
      </c>
      <c r="C3447" t="s">
        <v>57</v>
      </c>
      <c r="D3447" t="s">
        <v>27</v>
      </c>
      <c r="E3447" s="2">
        <v>46036</v>
      </c>
      <c r="F3447" s="2">
        <v>46036</v>
      </c>
      <c r="G3447" s="3">
        <v>25</v>
      </c>
      <c r="H3447" t="s">
        <v>28</v>
      </c>
      <c r="I3447">
        <v>51</v>
      </c>
      <c r="J3447">
        <v>0</v>
      </c>
      <c r="K3447">
        <v>0</v>
      </c>
      <c r="L3447" s="3">
        <v>0</v>
      </c>
      <c r="M3447" s="3">
        <v>0</v>
      </c>
      <c r="N3447">
        <v>0</v>
      </c>
      <c r="O3447">
        <v>0</v>
      </c>
      <c r="P3447">
        <v>0</v>
      </c>
      <c r="Q3447">
        <v>21</v>
      </c>
      <c r="R3447" s="3">
        <v>0</v>
      </c>
      <c r="S3447" s="3">
        <v>0</v>
      </c>
      <c r="T3447">
        <v>0</v>
      </c>
      <c r="U3447">
        <v>0</v>
      </c>
      <c r="V3447" s="3">
        <v>0</v>
      </c>
      <c r="W3447" s="3">
        <v>0</v>
      </c>
      <c r="X3447">
        <v>0</v>
      </c>
      <c r="Y3447" t="s">
        <v>2676</v>
      </c>
    </row>
    <row r="3448" spans="1:25" hidden="1" x14ac:dyDescent="0.25">
      <c r="A3448" t="s">
        <v>36</v>
      </c>
      <c r="B3448" t="s">
        <v>249</v>
      </c>
      <c r="C3448" t="s">
        <v>2534</v>
      </c>
      <c r="D3448" t="s">
        <v>27</v>
      </c>
      <c r="E3448" s="2">
        <v>46036</v>
      </c>
      <c r="F3448" s="2">
        <v>46036</v>
      </c>
      <c r="G3448" s="3">
        <v>69</v>
      </c>
      <c r="H3448" t="s">
        <v>28</v>
      </c>
      <c r="I3448">
        <v>88</v>
      </c>
      <c r="J3448">
        <v>0</v>
      </c>
      <c r="K3448">
        <v>0</v>
      </c>
      <c r="L3448" s="3">
        <v>1</v>
      </c>
      <c r="M3448" s="3">
        <v>0</v>
      </c>
      <c r="N3448">
        <v>1</v>
      </c>
      <c r="O3448">
        <v>0</v>
      </c>
      <c r="P3448">
        <v>0</v>
      </c>
      <c r="Q3448">
        <v>0</v>
      </c>
      <c r="R3448" s="3">
        <v>0</v>
      </c>
      <c r="S3448" s="3">
        <v>0</v>
      </c>
      <c r="T3448">
        <v>0</v>
      </c>
      <c r="U3448">
        <v>0</v>
      </c>
      <c r="V3448" s="3">
        <v>0</v>
      </c>
      <c r="W3448" s="3">
        <v>0</v>
      </c>
      <c r="X3448">
        <v>0</v>
      </c>
      <c r="Y3448" t="s">
        <v>2677</v>
      </c>
    </row>
    <row r="3449" spans="1:25" hidden="1" x14ac:dyDescent="0.25">
      <c r="A3449" t="s">
        <v>38</v>
      </c>
      <c r="B3449" t="s">
        <v>108</v>
      </c>
      <c r="C3449" t="s">
        <v>27</v>
      </c>
      <c r="D3449" t="s">
        <v>27</v>
      </c>
      <c r="E3449" s="2">
        <v>46036</v>
      </c>
      <c r="F3449" s="2">
        <v>46036</v>
      </c>
      <c r="G3449" s="3">
        <v>29</v>
      </c>
      <c r="H3449" t="s">
        <v>28</v>
      </c>
      <c r="I3449">
        <v>44</v>
      </c>
      <c r="J3449">
        <v>0</v>
      </c>
      <c r="K3449">
        <v>0</v>
      </c>
      <c r="L3449" s="3">
        <v>1</v>
      </c>
      <c r="M3449" s="3">
        <v>0</v>
      </c>
      <c r="N3449">
        <v>0</v>
      </c>
      <c r="O3449">
        <v>0</v>
      </c>
      <c r="P3449">
        <v>0</v>
      </c>
      <c r="Q3449">
        <v>44</v>
      </c>
      <c r="R3449" s="3">
        <v>0</v>
      </c>
      <c r="S3449" s="3">
        <v>0</v>
      </c>
      <c r="T3449">
        <v>0</v>
      </c>
      <c r="U3449">
        <v>0</v>
      </c>
      <c r="V3449" s="3">
        <v>0</v>
      </c>
      <c r="W3449" s="3">
        <v>0</v>
      </c>
      <c r="X3449">
        <v>0</v>
      </c>
      <c r="Y3449" t="s">
        <v>2678</v>
      </c>
    </row>
    <row r="3450" spans="1:25" hidden="1" x14ac:dyDescent="0.25">
      <c r="A3450" t="s">
        <v>2679</v>
      </c>
      <c r="B3450" t="s">
        <v>2680</v>
      </c>
      <c r="C3450" t="s">
        <v>39</v>
      </c>
      <c r="D3450" t="s">
        <v>27</v>
      </c>
      <c r="E3450" s="2">
        <v>46036</v>
      </c>
      <c r="F3450" s="2">
        <v>46036</v>
      </c>
      <c r="G3450" s="3">
        <v>52</v>
      </c>
      <c r="H3450" t="s">
        <v>28</v>
      </c>
      <c r="I3450">
        <v>57</v>
      </c>
      <c r="J3450">
        <v>0</v>
      </c>
      <c r="K3450">
        <v>0</v>
      </c>
      <c r="L3450" s="3">
        <v>1</v>
      </c>
      <c r="M3450" s="3">
        <v>0</v>
      </c>
      <c r="N3450">
        <v>0</v>
      </c>
      <c r="O3450">
        <v>0</v>
      </c>
      <c r="P3450">
        <v>57</v>
      </c>
      <c r="Q3450">
        <v>57</v>
      </c>
      <c r="R3450" s="3">
        <v>0</v>
      </c>
      <c r="S3450" s="3">
        <v>0</v>
      </c>
      <c r="T3450">
        <v>0</v>
      </c>
      <c r="U3450">
        <v>0</v>
      </c>
      <c r="V3450" s="3">
        <v>0</v>
      </c>
      <c r="W3450" s="3">
        <v>0</v>
      </c>
      <c r="X3450">
        <v>1</v>
      </c>
      <c r="Y3450" t="s">
        <v>2681</v>
      </c>
    </row>
    <row r="3451" spans="1:25" hidden="1" x14ac:dyDescent="0.25">
      <c r="A3451" t="s">
        <v>41</v>
      </c>
      <c r="B3451" t="s">
        <v>112</v>
      </c>
      <c r="C3451" t="s">
        <v>42</v>
      </c>
      <c r="D3451" t="s">
        <v>27</v>
      </c>
      <c r="E3451" s="2">
        <v>46036</v>
      </c>
      <c r="F3451" s="2">
        <v>46036</v>
      </c>
      <c r="G3451" s="5">
        <v>2603</v>
      </c>
      <c r="H3451" t="s">
        <v>28</v>
      </c>
      <c r="I3451">
        <v>40</v>
      </c>
      <c r="J3451">
        <v>0</v>
      </c>
      <c r="K3451">
        <v>0</v>
      </c>
      <c r="L3451" s="3">
        <v>1</v>
      </c>
      <c r="M3451" s="3">
        <v>0</v>
      </c>
      <c r="N3451">
        <v>0</v>
      </c>
      <c r="O3451">
        <v>0</v>
      </c>
      <c r="P3451">
        <v>0</v>
      </c>
      <c r="Q3451">
        <v>0</v>
      </c>
      <c r="R3451" s="3">
        <v>0</v>
      </c>
      <c r="S3451" s="3">
        <v>0</v>
      </c>
      <c r="T3451">
        <v>0</v>
      </c>
      <c r="U3451">
        <v>0</v>
      </c>
      <c r="V3451" s="3">
        <v>0</v>
      </c>
      <c r="W3451" s="3">
        <v>0</v>
      </c>
      <c r="X3451">
        <v>0</v>
      </c>
      <c r="Y3451" t="s">
        <v>2682</v>
      </c>
    </row>
    <row r="3452" spans="1:25" hidden="1" x14ac:dyDescent="0.25">
      <c r="A3452" t="s">
        <v>43</v>
      </c>
      <c r="B3452" t="s">
        <v>114</v>
      </c>
      <c r="C3452" t="s">
        <v>44</v>
      </c>
      <c r="D3452" t="s">
        <v>27</v>
      </c>
      <c r="E3452" s="2">
        <v>46036</v>
      </c>
      <c r="F3452" s="2">
        <v>46036</v>
      </c>
      <c r="G3452" s="3">
        <v>24</v>
      </c>
      <c r="H3452" t="s">
        <v>28</v>
      </c>
      <c r="I3452">
        <v>41</v>
      </c>
      <c r="J3452">
        <v>0</v>
      </c>
      <c r="K3452">
        <v>0</v>
      </c>
      <c r="L3452" s="3">
        <v>0</v>
      </c>
      <c r="M3452" s="3">
        <v>0</v>
      </c>
      <c r="N3452">
        <v>0</v>
      </c>
      <c r="O3452">
        <v>0</v>
      </c>
      <c r="P3452">
        <v>0</v>
      </c>
      <c r="Q3452">
        <v>0</v>
      </c>
      <c r="R3452" s="3">
        <v>0</v>
      </c>
      <c r="S3452" s="3">
        <v>0</v>
      </c>
      <c r="T3452">
        <v>0</v>
      </c>
      <c r="U3452">
        <v>0</v>
      </c>
      <c r="V3452" s="3">
        <v>0</v>
      </c>
      <c r="W3452" s="3">
        <v>0</v>
      </c>
      <c r="X3452">
        <v>0</v>
      </c>
      <c r="Y3452" t="s">
        <v>2683</v>
      </c>
    </row>
    <row r="3453" spans="1:25" hidden="1" x14ac:dyDescent="0.25">
      <c r="A3453" t="s">
        <v>2118</v>
      </c>
      <c r="B3453" t="s">
        <v>2119</v>
      </c>
      <c r="C3453" t="s">
        <v>27</v>
      </c>
      <c r="D3453" t="s">
        <v>27</v>
      </c>
      <c r="E3453" s="2">
        <v>46036</v>
      </c>
      <c r="F3453" s="2">
        <v>46036</v>
      </c>
      <c r="G3453" s="3">
        <v>35</v>
      </c>
      <c r="H3453" t="s">
        <v>28</v>
      </c>
      <c r="I3453">
        <v>65</v>
      </c>
      <c r="J3453">
        <v>0</v>
      </c>
      <c r="K3453">
        <v>0</v>
      </c>
      <c r="L3453" s="3">
        <v>1</v>
      </c>
      <c r="M3453" s="3">
        <v>0</v>
      </c>
      <c r="N3453">
        <v>0</v>
      </c>
      <c r="O3453">
        <v>0</v>
      </c>
      <c r="P3453">
        <v>0</v>
      </c>
      <c r="Q3453">
        <v>65</v>
      </c>
      <c r="R3453" s="3">
        <v>0</v>
      </c>
      <c r="S3453" s="3">
        <v>0</v>
      </c>
      <c r="T3453">
        <v>0</v>
      </c>
      <c r="U3453">
        <v>0</v>
      </c>
      <c r="V3453" s="3">
        <v>0</v>
      </c>
      <c r="W3453" s="3">
        <v>0</v>
      </c>
      <c r="X3453">
        <v>0</v>
      </c>
      <c r="Y3453" t="s">
        <v>2684</v>
      </c>
    </row>
    <row r="3454" spans="1:25" hidden="1" x14ac:dyDescent="0.25">
      <c r="A3454" t="s">
        <v>45</v>
      </c>
      <c r="B3454" t="s">
        <v>116</v>
      </c>
      <c r="C3454" t="s">
        <v>46</v>
      </c>
      <c r="D3454" t="s">
        <v>27</v>
      </c>
      <c r="E3454" s="2">
        <v>46036</v>
      </c>
      <c r="F3454" s="2">
        <v>46036</v>
      </c>
      <c r="G3454" s="3">
        <v>46</v>
      </c>
      <c r="H3454" t="s">
        <v>28</v>
      </c>
      <c r="I3454">
        <v>67</v>
      </c>
      <c r="J3454">
        <v>0</v>
      </c>
      <c r="K3454">
        <v>0</v>
      </c>
      <c r="L3454" s="3">
        <v>1</v>
      </c>
      <c r="M3454" s="3">
        <v>0</v>
      </c>
      <c r="N3454">
        <v>0</v>
      </c>
      <c r="O3454">
        <v>0</v>
      </c>
      <c r="P3454">
        <v>0</v>
      </c>
      <c r="Q3454">
        <v>10</v>
      </c>
      <c r="R3454" s="3">
        <v>0</v>
      </c>
      <c r="S3454" s="3">
        <v>0</v>
      </c>
      <c r="T3454">
        <v>0</v>
      </c>
      <c r="U3454">
        <v>0</v>
      </c>
      <c r="V3454" s="3">
        <v>0</v>
      </c>
      <c r="W3454" s="3">
        <v>0</v>
      </c>
      <c r="X3454">
        <v>0</v>
      </c>
      <c r="Y3454" t="s">
        <v>2685</v>
      </c>
    </row>
    <row r="3455" spans="1:25" hidden="1" x14ac:dyDescent="0.25">
      <c r="A3455" t="s">
        <v>47</v>
      </c>
      <c r="B3455" t="s">
        <v>137</v>
      </c>
      <c r="C3455" t="s">
        <v>2310</v>
      </c>
      <c r="D3455" t="s">
        <v>27</v>
      </c>
      <c r="E3455" s="2">
        <v>46036</v>
      </c>
      <c r="F3455" s="2">
        <v>46036</v>
      </c>
      <c r="G3455" s="3">
        <v>57</v>
      </c>
      <c r="H3455" t="s">
        <v>28</v>
      </c>
      <c r="I3455">
        <v>43</v>
      </c>
      <c r="J3455">
        <v>0</v>
      </c>
      <c r="K3455">
        <v>0</v>
      </c>
      <c r="L3455" s="3">
        <v>1</v>
      </c>
      <c r="M3455" s="3">
        <v>0</v>
      </c>
      <c r="N3455">
        <v>0</v>
      </c>
      <c r="O3455">
        <v>0</v>
      </c>
      <c r="P3455">
        <v>0</v>
      </c>
      <c r="Q3455">
        <v>6</v>
      </c>
      <c r="R3455" s="3">
        <v>0</v>
      </c>
      <c r="S3455" s="3">
        <v>0</v>
      </c>
      <c r="T3455">
        <v>0</v>
      </c>
      <c r="U3455">
        <v>0</v>
      </c>
      <c r="V3455" s="3">
        <v>0</v>
      </c>
      <c r="W3455" s="3">
        <v>0</v>
      </c>
      <c r="X3455">
        <v>0</v>
      </c>
      <c r="Y3455" t="s">
        <v>2686</v>
      </c>
    </row>
    <row r="3456" spans="1:25" hidden="1" x14ac:dyDescent="0.25">
      <c r="A3456" t="s">
        <v>49</v>
      </c>
      <c r="B3456" t="s">
        <v>118</v>
      </c>
      <c r="C3456" t="s">
        <v>27</v>
      </c>
      <c r="D3456" t="s">
        <v>27</v>
      </c>
      <c r="E3456" s="2">
        <v>46036</v>
      </c>
      <c r="F3456" s="2">
        <v>46036</v>
      </c>
      <c r="G3456" s="3">
        <v>50</v>
      </c>
      <c r="H3456" t="s">
        <v>28</v>
      </c>
      <c r="I3456">
        <v>37</v>
      </c>
      <c r="J3456">
        <v>0</v>
      </c>
      <c r="K3456">
        <v>0</v>
      </c>
      <c r="L3456" s="3">
        <v>1</v>
      </c>
      <c r="M3456" s="3">
        <v>1</v>
      </c>
      <c r="N3456">
        <v>0</v>
      </c>
      <c r="O3456">
        <v>0</v>
      </c>
      <c r="P3456">
        <v>0</v>
      </c>
      <c r="Q3456">
        <v>37</v>
      </c>
      <c r="R3456" s="3">
        <v>1</v>
      </c>
      <c r="S3456" s="3">
        <v>1</v>
      </c>
      <c r="T3456">
        <v>0</v>
      </c>
      <c r="U3456">
        <v>0</v>
      </c>
      <c r="V3456" s="3">
        <v>0</v>
      </c>
      <c r="W3456" s="3">
        <v>0</v>
      </c>
      <c r="X3456">
        <v>0</v>
      </c>
      <c r="Y3456" t="s">
        <v>2687</v>
      </c>
    </row>
    <row r="3457" spans="1:25" hidden="1" x14ac:dyDescent="0.25">
      <c r="A3457" t="s">
        <v>51</v>
      </c>
      <c r="B3457" t="s">
        <v>120</v>
      </c>
      <c r="C3457" t="s">
        <v>55</v>
      </c>
      <c r="D3457" t="s">
        <v>27</v>
      </c>
      <c r="E3457" s="2">
        <v>46036</v>
      </c>
      <c r="F3457" s="2">
        <v>46036</v>
      </c>
      <c r="G3457" s="3">
        <v>79</v>
      </c>
      <c r="H3457" t="s">
        <v>28</v>
      </c>
      <c r="I3457">
        <v>37</v>
      </c>
      <c r="J3457">
        <v>0</v>
      </c>
      <c r="K3457">
        <v>0</v>
      </c>
      <c r="L3457" s="3">
        <v>1</v>
      </c>
      <c r="M3457" s="3">
        <v>0</v>
      </c>
      <c r="N3457">
        <v>1</v>
      </c>
      <c r="O3457">
        <v>0</v>
      </c>
      <c r="P3457">
        <v>0</v>
      </c>
      <c r="Q3457">
        <v>0</v>
      </c>
      <c r="R3457" s="3">
        <v>0</v>
      </c>
      <c r="S3457" s="3">
        <v>0</v>
      </c>
      <c r="T3457">
        <v>0</v>
      </c>
      <c r="U3457">
        <v>0</v>
      </c>
      <c r="V3457" s="3">
        <v>0</v>
      </c>
      <c r="W3457" s="3">
        <v>0</v>
      </c>
      <c r="X3457">
        <v>0</v>
      </c>
      <c r="Y3457" t="s">
        <v>2688</v>
      </c>
    </row>
    <row r="3458" spans="1:25" hidden="1" x14ac:dyDescent="0.25">
      <c r="A3458" t="s">
        <v>54</v>
      </c>
      <c r="B3458" t="s">
        <v>122</v>
      </c>
      <c r="C3458" t="s">
        <v>52</v>
      </c>
      <c r="D3458" t="s">
        <v>27</v>
      </c>
      <c r="E3458" s="2">
        <v>46036</v>
      </c>
      <c r="F3458" s="2">
        <v>46036</v>
      </c>
      <c r="G3458" s="3">
        <v>42</v>
      </c>
      <c r="H3458" t="s">
        <v>28</v>
      </c>
      <c r="I3458">
        <v>32</v>
      </c>
      <c r="J3458">
        <v>0</v>
      </c>
      <c r="K3458">
        <v>0</v>
      </c>
      <c r="L3458" s="3">
        <v>0</v>
      </c>
      <c r="M3458" s="3">
        <v>0</v>
      </c>
      <c r="N3458">
        <v>0</v>
      </c>
      <c r="O3458">
        <v>0</v>
      </c>
      <c r="P3458">
        <v>0</v>
      </c>
      <c r="Q3458">
        <v>2</v>
      </c>
      <c r="R3458" s="3">
        <v>0</v>
      </c>
      <c r="S3458" s="3">
        <v>0</v>
      </c>
      <c r="T3458">
        <v>0</v>
      </c>
      <c r="U3458">
        <v>0</v>
      </c>
      <c r="V3458" s="3">
        <v>0</v>
      </c>
      <c r="W3458" s="3">
        <v>0</v>
      </c>
      <c r="X3458">
        <v>0</v>
      </c>
      <c r="Y3458" t="s">
        <v>2689</v>
      </c>
    </row>
    <row r="3459" spans="1:25" hidden="1" x14ac:dyDescent="0.25">
      <c r="A3459" t="s">
        <v>48</v>
      </c>
      <c r="B3459" t="s">
        <v>149</v>
      </c>
      <c r="C3459" t="s">
        <v>95</v>
      </c>
      <c r="D3459" t="s">
        <v>27</v>
      </c>
      <c r="E3459" s="2">
        <v>46036</v>
      </c>
      <c r="F3459" s="2">
        <v>46036</v>
      </c>
      <c r="G3459" s="3">
        <v>31</v>
      </c>
      <c r="H3459" t="s">
        <v>28</v>
      </c>
      <c r="I3459">
        <v>60</v>
      </c>
      <c r="J3459">
        <v>0</v>
      </c>
      <c r="K3459">
        <v>0</v>
      </c>
      <c r="L3459" s="3">
        <v>1</v>
      </c>
      <c r="M3459" s="3">
        <v>0</v>
      </c>
      <c r="N3459">
        <v>0</v>
      </c>
      <c r="O3459">
        <v>0</v>
      </c>
      <c r="P3459">
        <v>0</v>
      </c>
      <c r="Q3459">
        <v>12</v>
      </c>
      <c r="R3459" s="3">
        <v>0</v>
      </c>
      <c r="S3459" s="3">
        <v>0</v>
      </c>
      <c r="T3459">
        <v>0</v>
      </c>
      <c r="U3459">
        <v>0</v>
      </c>
      <c r="V3459" s="3">
        <v>0</v>
      </c>
      <c r="W3459" s="3">
        <v>0</v>
      </c>
      <c r="X3459">
        <v>0</v>
      </c>
      <c r="Y3459" t="s">
        <v>2690</v>
      </c>
    </row>
    <row r="3460" spans="1:25" hidden="1" x14ac:dyDescent="0.25">
      <c r="A3460" t="s">
        <v>58</v>
      </c>
      <c r="B3460" t="s">
        <v>144</v>
      </c>
      <c r="C3460" t="s">
        <v>2514</v>
      </c>
      <c r="D3460" t="s">
        <v>27</v>
      </c>
      <c r="E3460" s="2">
        <v>46036</v>
      </c>
      <c r="F3460" s="2">
        <v>46036</v>
      </c>
      <c r="G3460" s="3">
        <v>95</v>
      </c>
      <c r="H3460" t="s">
        <v>28</v>
      </c>
      <c r="I3460">
        <v>70</v>
      </c>
      <c r="J3460">
        <v>0</v>
      </c>
      <c r="K3460">
        <v>0</v>
      </c>
      <c r="L3460" s="3">
        <v>1</v>
      </c>
      <c r="M3460" s="3">
        <v>0</v>
      </c>
      <c r="N3460">
        <v>0</v>
      </c>
      <c r="O3460">
        <v>0</v>
      </c>
      <c r="P3460">
        <v>0</v>
      </c>
      <c r="Q3460">
        <v>40</v>
      </c>
      <c r="R3460" s="3">
        <v>0</v>
      </c>
      <c r="S3460" s="3">
        <v>0</v>
      </c>
      <c r="T3460">
        <v>0</v>
      </c>
      <c r="U3460">
        <v>0</v>
      </c>
      <c r="V3460" s="3">
        <v>0</v>
      </c>
      <c r="W3460" s="3">
        <v>0</v>
      </c>
      <c r="X3460">
        <v>0</v>
      </c>
      <c r="Y3460" t="s">
        <v>2691</v>
      </c>
    </row>
    <row r="3461" spans="1:25" hidden="1" x14ac:dyDescent="0.25">
      <c r="A3461" t="s">
        <v>40</v>
      </c>
      <c r="B3461" t="s">
        <v>487</v>
      </c>
      <c r="C3461" t="s">
        <v>27</v>
      </c>
      <c r="D3461" t="s">
        <v>27</v>
      </c>
      <c r="E3461" s="2">
        <v>46036</v>
      </c>
      <c r="F3461" s="2">
        <v>46036</v>
      </c>
      <c r="G3461" s="3">
        <v>61</v>
      </c>
      <c r="H3461" t="s">
        <v>763</v>
      </c>
      <c r="I3461">
        <v>0</v>
      </c>
      <c r="J3461">
        <v>0</v>
      </c>
      <c r="K3461">
        <v>0</v>
      </c>
      <c r="L3461" s="3">
        <v>0</v>
      </c>
      <c r="M3461" s="3">
        <v>0</v>
      </c>
      <c r="N3461">
        <v>0</v>
      </c>
      <c r="O3461">
        <v>0</v>
      </c>
      <c r="P3461">
        <v>0</v>
      </c>
      <c r="Q3461">
        <v>0</v>
      </c>
      <c r="R3461" s="3">
        <v>0</v>
      </c>
      <c r="S3461" s="3">
        <v>0</v>
      </c>
      <c r="T3461">
        <v>0</v>
      </c>
      <c r="U3461">
        <v>0</v>
      </c>
      <c r="V3461" s="3">
        <v>0</v>
      </c>
      <c r="W3461" s="3">
        <v>0</v>
      </c>
      <c r="X3461" s="3">
        <v>0</v>
      </c>
      <c r="Y3461" t="s">
        <v>2450</v>
      </c>
    </row>
    <row r="3462" spans="1:25" hidden="1" x14ac:dyDescent="0.25">
      <c r="A3462" t="s">
        <v>27</v>
      </c>
      <c r="B3462" t="s">
        <v>102</v>
      </c>
      <c r="C3462" t="s">
        <v>37</v>
      </c>
      <c r="D3462" t="s">
        <v>27</v>
      </c>
      <c r="E3462" s="2">
        <v>46036</v>
      </c>
      <c r="F3462" s="2">
        <v>46036</v>
      </c>
      <c r="G3462" s="3">
        <v>62</v>
      </c>
      <c r="H3462" t="s">
        <v>763</v>
      </c>
      <c r="I3462">
        <v>0</v>
      </c>
      <c r="J3462">
        <v>0</v>
      </c>
      <c r="K3462">
        <v>0</v>
      </c>
      <c r="L3462" s="3">
        <v>0</v>
      </c>
      <c r="M3462" s="3">
        <v>0</v>
      </c>
      <c r="N3462">
        <v>0</v>
      </c>
      <c r="O3462">
        <v>0</v>
      </c>
      <c r="P3462">
        <v>0</v>
      </c>
      <c r="Q3462">
        <v>0</v>
      </c>
      <c r="R3462" s="3">
        <v>0</v>
      </c>
      <c r="S3462" s="3">
        <v>0</v>
      </c>
      <c r="T3462">
        <v>0</v>
      </c>
      <c r="U3462">
        <v>0</v>
      </c>
      <c r="V3462" s="3">
        <v>0</v>
      </c>
      <c r="W3462" s="3">
        <v>0</v>
      </c>
      <c r="X3462" s="3">
        <v>0</v>
      </c>
      <c r="Y3462" t="s">
        <v>2450</v>
      </c>
    </row>
    <row r="3463" spans="1:25" ht="14.25" hidden="1" customHeight="1" x14ac:dyDescent="0.25">
      <c r="A3463" t="s">
        <v>27</v>
      </c>
      <c r="B3463" t="s">
        <v>186</v>
      </c>
      <c r="C3463" t="s">
        <v>2379</v>
      </c>
      <c r="D3463" t="s">
        <v>27</v>
      </c>
      <c r="E3463" s="2">
        <v>46036</v>
      </c>
      <c r="F3463" s="2">
        <v>46036</v>
      </c>
      <c r="G3463" s="3">
        <v>41</v>
      </c>
      <c r="H3463" t="s">
        <v>1448</v>
      </c>
      <c r="I3463">
        <v>0</v>
      </c>
      <c r="J3463">
        <v>0</v>
      </c>
      <c r="K3463">
        <v>0</v>
      </c>
      <c r="L3463" s="3">
        <v>0</v>
      </c>
      <c r="M3463" s="3">
        <v>0</v>
      </c>
      <c r="N3463">
        <v>0</v>
      </c>
      <c r="O3463">
        <v>0</v>
      </c>
      <c r="P3463">
        <v>0</v>
      </c>
      <c r="Q3463">
        <v>0</v>
      </c>
      <c r="R3463" s="3">
        <v>0</v>
      </c>
      <c r="S3463" s="3">
        <v>0</v>
      </c>
      <c r="T3463">
        <v>0</v>
      </c>
      <c r="U3463">
        <v>0</v>
      </c>
      <c r="V3463" s="3">
        <v>0</v>
      </c>
      <c r="W3463" s="3">
        <v>0</v>
      </c>
      <c r="X3463">
        <v>0</v>
      </c>
      <c r="Y3463" t="s">
        <v>2450</v>
      </c>
    </row>
    <row r="3464" spans="1:25" ht="14.25" hidden="1" customHeight="1" x14ac:dyDescent="0.25">
      <c r="A3464" t="s">
        <v>27</v>
      </c>
      <c r="B3464" t="s">
        <v>186</v>
      </c>
      <c r="C3464" t="s">
        <v>2379</v>
      </c>
      <c r="D3464" t="s">
        <v>27</v>
      </c>
      <c r="E3464" s="2">
        <v>46037</v>
      </c>
      <c r="F3464" s="2">
        <v>46037</v>
      </c>
      <c r="G3464" s="3">
        <v>41</v>
      </c>
      <c r="H3464" t="s">
        <v>1448</v>
      </c>
      <c r="I3464">
        <v>0</v>
      </c>
      <c r="J3464">
        <v>0</v>
      </c>
      <c r="K3464">
        <v>0</v>
      </c>
      <c r="L3464" s="3">
        <v>0</v>
      </c>
      <c r="M3464" s="3">
        <v>0</v>
      </c>
      <c r="N3464">
        <v>0</v>
      </c>
      <c r="O3464">
        <v>0</v>
      </c>
      <c r="P3464">
        <v>0</v>
      </c>
      <c r="Q3464">
        <v>0</v>
      </c>
      <c r="R3464" s="3">
        <v>0</v>
      </c>
      <c r="S3464" s="3">
        <v>0</v>
      </c>
      <c r="T3464">
        <v>0</v>
      </c>
      <c r="U3464">
        <v>0</v>
      </c>
      <c r="V3464" s="3">
        <v>0</v>
      </c>
      <c r="W3464" s="3">
        <v>0</v>
      </c>
      <c r="X3464">
        <v>0</v>
      </c>
      <c r="Y3464" t="s">
        <v>2450</v>
      </c>
    </row>
    <row r="3465" spans="1:25" hidden="1" x14ac:dyDescent="0.25">
      <c r="A3465" t="s">
        <v>25</v>
      </c>
      <c r="B3465" t="s">
        <v>96</v>
      </c>
      <c r="C3465" t="s">
        <v>26</v>
      </c>
      <c r="D3465" t="s">
        <v>27</v>
      </c>
      <c r="E3465" s="2">
        <v>46037</v>
      </c>
      <c r="F3465" s="2">
        <v>46037</v>
      </c>
      <c r="G3465" s="3">
        <v>39</v>
      </c>
      <c r="H3465" t="s">
        <v>28</v>
      </c>
      <c r="I3465">
        <v>40</v>
      </c>
      <c r="J3465">
        <v>0</v>
      </c>
      <c r="K3465">
        <v>0</v>
      </c>
      <c r="L3465" s="3">
        <v>1</v>
      </c>
      <c r="M3465" s="3">
        <v>0</v>
      </c>
      <c r="N3465">
        <v>1</v>
      </c>
      <c r="O3465">
        <v>0</v>
      </c>
      <c r="P3465">
        <v>0</v>
      </c>
      <c r="Q3465">
        <v>0</v>
      </c>
      <c r="R3465" s="3">
        <v>0</v>
      </c>
      <c r="S3465" s="3">
        <v>0</v>
      </c>
      <c r="T3465">
        <v>0</v>
      </c>
      <c r="U3465">
        <v>0</v>
      </c>
      <c r="V3465" s="3">
        <v>0</v>
      </c>
      <c r="W3465" s="3">
        <v>0</v>
      </c>
      <c r="X3465">
        <v>0</v>
      </c>
      <c r="Y3465" t="s">
        <v>2692</v>
      </c>
    </row>
    <row r="3466" spans="1:25" hidden="1" x14ac:dyDescent="0.25">
      <c r="A3466" t="s">
        <v>29</v>
      </c>
      <c r="B3466" t="s">
        <v>100</v>
      </c>
      <c r="C3466" t="s">
        <v>2271</v>
      </c>
      <c r="D3466" t="s">
        <v>27</v>
      </c>
      <c r="E3466" s="2">
        <v>46037</v>
      </c>
      <c r="F3466" s="2">
        <v>46037</v>
      </c>
      <c r="G3466" s="3">
        <v>60</v>
      </c>
      <c r="H3466" t="s">
        <v>28</v>
      </c>
      <c r="I3466">
        <v>24</v>
      </c>
      <c r="J3466">
        <v>0</v>
      </c>
      <c r="K3466">
        <v>0</v>
      </c>
      <c r="L3466" s="3">
        <v>0</v>
      </c>
      <c r="M3466" s="3">
        <v>0</v>
      </c>
      <c r="N3466">
        <v>0</v>
      </c>
      <c r="O3466">
        <v>0</v>
      </c>
      <c r="P3466">
        <v>0</v>
      </c>
      <c r="Q3466">
        <v>0</v>
      </c>
      <c r="R3466" s="3">
        <v>0</v>
      </c>
      <c r="S3466" s="3">
        <v>0</v>
      </c>
      <c r="T3466">
        <v>0</v>
      </c>
      <c r="U3466">
        <v>0</v>
      </c>
      <c r="V3466" s="3">
        <v>0</v>
      </c>
      <c r="W3466" s="3">
        <v>0</v>
      </c>
      <c r="X3466">
        <v>1</v>
      </c>
      <c r="Y3466" t="s">
        <v>2693</v>
      </c>
    </row>
    <row r="3467" spans="1:25" hidden="1" x14ac:dyDescent="0.25">
      <c r="A3467" t="s">
        <v>344</v>
      </c>
      <c r="B3467" t="s">
        <v>102</v>
      </c>
      <c r="C3467" t="s">
        <v>35</v>
      </c>
      <c r="D3467" t="s">
        <v>27</v>
      </c>
      <c r="E3467" s="2">
        <v>46037</v>
      </c>
      <c r="F3467" s="2">
        <v>46037</v>
      </c>
      <c r="G3467" s="3">
        <v>54</v>
      </c>
      <c r="H3467" t="s">
        <v>28</v>
      </c>
      <c r="I3467">
        <v>38</v>
      </c>
      <c r="J3467">
        <v>0</v>
      </c>
      <c r="K3467">
        <v>0</v>
      </c>
      <c r="L3467" s="3">
        <v>1</v>
      </c>
      <c r="M3467" s="3">
        <v>1</v>
      </c>
      <c r="N3467">
        <v>0</v>
      </c>
      <c r="O3467">
        <v>0</v>
      </c>
      <c r="P3467">
        <v>0</v>
      </c>
      <c r="Q3467">
        <v>2</v>
      </c>
      <c r="R3467" s="3">
        <v>0</v>
      </c>
      <c r="S3467" s="3">
        <v>0</v>
      </c>
      <c r="T3467">
        <v>0</v>
      </c>
      <c r="U3467">
        <v>0</v>
      </c>
      <c r="V3467" s="3">
        <v>0</v>
      </c>
      <c r="W3467" s="3">
        <v>0</v>
      </c>
      <c r="X3467">
        <v>0</v>
      </c>
      <c r="Y3467" t="s">
        <v>2545</v>
      </c>
    </row>
    <row r="3468" spans="1:25" hidden="1" x14ac:dyDescent="0.25">
      <c r="A3468" t="s">
        <v>31</v>
      </c>
      <c r="B3468" t="s">
        <v>104</v>
      </c>
      <c r="C3468" t="s">
        <v>32</v>
      </c>
      <c r="D3468" t="s">
        <v>27</v>
      </c>
      <c r="E3468" s="2">
        <v>46037</v>
      </c>
      <c r="F3468" s="2">
        <v>46037</v>
      </c>
      <c r="G3468" s="3">
        <v>84</v>
      </c>
      <c r="H3468" t="s">
        <v>28</v>
      </c>
      <c r="I3468">
        <v>67</v>
      </c>
      <c r="J3468">
        <v>0</v>
      </c>
      <c r="K3468">
        <v>0</v>
      </c>
      <c r="L3468" s="3">
        <v>1</v>
      </c>
      <c r="M3468" s="3">
        <v>0</v>
      </c>
      <c r="N3468">
        <v>0</v>
      </c>
      <c r="O3468">
        <v>0</v>
      </c>
      <c r="P3468">
        <v>0</v>
      </c>
      <c r="Q3468">
        <v>35</v>
      </c>
      <c r="R3468" s="3">
        <v>0</v>
      </c>
      <c r="S3468" s="3">
        <v>0</v>
      </c>
      <c r="T3468">
        <v>0</v>
      </c>
      <c r="U3468">
        <v>0</v>
      </c>
      <c r="V3468" s="3">
        <v>0</v>
      </c>
      <c r="W3468" s="3">
        <v>0</v>
      </c>
      <c r="X3468" s="37">
        <v>0</v>
      </c>
      <c r="Y3468" t="s">
        <v>2694</v>
      </c>
    </row>
    <row r="3469" spans="1:25" hidden="1" x14ac:dyDescent="0.25">
      <c r="A3469" t="s">
        <v>33</v>
      </c>
      <c r="B3469" t="s">
        <v>106</v>
      </c>
      <c r="C3469" t="s">
        <v>57</v>
      </c>
      <c r="D3469" t="s">
        <v>27</v>
      </c>
      <c r="E3469" s="2">
        <v>46037</v>
      </c>
      <c r="F3469" s="2">
        <v>46037</v>
      </c>
      <c r="G3469" s="3">
        <v>27</v>
      </c>
      <c r="H3469" t="s">
        <v>28</v>
      </c>
      <c r="I3469">
        <v>34</v>
      </c>
      <c r="J3469">
        <v>0</v>
      </c>
      <c r="K3469">
        <v>0</v>
      </c>
      <c r="L3469" s="3">
        <v>0</v>
      </c>
      <c r="M3469" s="3">
        <v>0</v>
      </c>
      <c r="N3469">
        <v>0</v>
      </c>
      <c r="O3469">
        <v>0</v>
      </c>
      <c r="P3469">
        <v>0</v>
      </c>
      <c r="Q3469">
        <v>0</v>
      </c>
      <c r="R3469" s="3">
        <v>0</v>
      </c>
      <c r="S3469" s="3">
        <v>0</v>
      </c>
      <c r="T3469">
        <v>0</v>
      </c>
      <c r="U3469">
        <v>0</v>
      </c>
      <c r="V3469" s="3">
        <v>0</v>
      </c>
      <c r="W3469" s="3">
        <v>0</v>
      </c>
      <c r="X3469">
        <v>0</v>
      </c>
      <c r="Y3469" t="s">
        <v>2695</v>
      </c>
    </row>
    <row r="3470" spans="1:25" hidden="1" x14ac:dyDescent="0.25">
      <c r="A3470" t="s">
        <v>36</v>
      </c>
      <c r="B3470" t="s">
        <v>249</v>
      </c>
      <c r="C3470" t="s">
        <v>2534</v>
      </c>
      <c r="D3470" t="s">
        <v>27</v>
      </c>
      <c r="E3470" s="2">
        <v>46037</v>
      </c>
      <c r="F3470" s="2">
        <v>46037</v>
      </c>
      <c r="G3470" s="3">
        <v>82</v>
      </c>
      <c r="H3470" t="s">
        <v>28</v>
      </c>
      <c r="I3470">
        <v>104</v>
      </c>
      <c r="J3470">
        <v>0</v>
      </c>
      <c r="K3470">
        <v>0</v>
      </c>
      <c r="L3470" s="3">
        <v>1</v>
      </c>
      <c r="M3470" s="3">
        <v>0</v>
      </c>
      <c r="N3470">
        <v>1</v>
      </c>
      <c r="O3470">
        <v>0</v>
      </c>
      <c r="P3470">
        <v>0</v>
      </c>
      <c r="Q3470">
        <v>0</v>
      </c>
      <c r="R3470" s="3">
        <v>0</v>
      </c>
      <c r="S3470" s="3">
        <v>0</v>
      </c>
      <c r="T3470">
        <v>0</v>
      </c>
      <c r="U3470">
        <v>0</v>
      </c>
      <c r="V3470" s="3">
        <v>0</v>
      </c>
      <c r="W3470" s="3">
        <v>0</v>
      </c>
      <c r="X3470">
        <v>0</v>
      </c>
      <c r="Y3470" t="s">
        <v>2696</v>
      </c>
    </row>
    <row r="3471" spans="1:25" hidden="1" x14ac:dyDescent="0.25">
      <c r="A3471" t="s">
        <v>38</v>
      </c>
      <c r="B3471" t="s">
        <v>108</v>
      </c>
      <c r="C3471" t="s">
        <v>27</v>
      </c>
      <c r="D3471" t="s">
        <v>27</v>
      </c>
      <c r="E3471" s="2">
        <v>46037</v>
      </c>
      <c r="F3471" s="2">
        <v>46037</v>
      </c>
      <c r="G3471" s="3">
        <v>35</v>
      </c>
      <c r="H3471" t="s">
        <v>28</v>
      </c>
      <c r="I3471">
        <v>30</v>
      </c>
      <c r="J3471">
        <v>0</v>
      </c>
      <c r="K3471">
        <v>0</v>
      </c>
      <c r="L3471" s="3">
        <v>1</v>
      </c>
      <c r="M3471" s="3">
        <v>0</v>
      </c>
      <c r="N3471">
        <v>0</v>
      </c>
      <c r="O3471">
        <v>0</v>
      </c>
      <c r="P3471">
        <v>0</v>
      </c>
      <c r="Q3471">
        <v>30</v>
      </c>
      <c r="R3471" s="3">
        <v>0</v>
      </c>
      <c r="S3471" s="3">
        <v>0</v>
      </c>
      <c r="T3471">
        <v>0</v>
      </c>
      <c r="U3471">
        <v>0</v>
      </c>
      <c r="V3471" s="3">
        <v>0</v>
      </c>
      <c r="W3471" s="3">
        <v>0</v>
      </c>
      <c r="X3471">
        <v>0</v>
      </c>
      <c r="Y3471" t="s">
        <v>2697</v>
      </c>
    </row>
    <row r="3472" spans="1:25" hidden="1" x14ac:dyDescent="0.25">
      <c r="A3472" t="s">
        <v>2679</v>
      </c>
      <c r="B3472" t="s">
        <v>2680</v>
      </c>
      <c r="C3472" t="s">
        <v>39</v>
      </c>
      <c r="D3472" t="s">
        <v>27</v>
      </c>
      <c r="E3472" s="2">
        <v>46037</v>
      </c>
      <c r="F3472" s="2">
        <v>46037</v>
      </c>
      <c r="G3472" s="3">
        <v>37</v>
      </c>
      <c r="H3472" t="s">
        <v>28</v>
      </c>
      <c r="I3472">
        <v>37</v>
      </c>
      <c r="J3472">
        <v>0</v>
      </c>
      <c r="K3472">
        <v>0</v>
      </c>
      <c r="L3472" s="3">
        <v>1</v>
      </c>
      <c r="M3472" s="3">
        <v>0</v>
      </c>
      <c r="N3472">
        <v>0</v>
      </c>
      <c r="O3472">
        <v>0</v>
      </c>
      <c r="P3472">
        <v>37</v>
      </c>
      <c r="Q3472">
        <v>37</v>
      </c>
      <c r="R3472" s="3">
        <v>0</v>
      </c>
      <c r="S3472" s="3">
        <v>0</v>
      </c>
      <c r="T3472">
        <v>0</v>
      </c>
      <c r="U3472">
        <v>0</v>
      </c>
      <c r="V3472" s="3">
        <v>0</v>
      </c>
      <c r="W3472" s="3">
        <v>0</v>
      </c>
      <c r="X3472">
        <v>0</v>
      </c>
      <c r="Y3472" t="s">
        <v>2698</v>
      </c>
    </row>
    <row r="3473" spans="1:25" hidden="1" x14ac:dyDescent="0.25">
      <c r="A3473" t="s">
        <v>41</v>
      </c>
      <c r="B3473" t="s">
        <v>112</v>
      </c>
      <c r="C3473" t="s">
        <v>42</v>
      </c>
      <c r="D3473" t="s">
        <v>27</v>
      </c>
      <c r="E3473" s="2">
        <v>46037</v>
      </c>
      <c r="F3473" s="2">
        <v>46037</v>
      </c>
      <c r="G3473" s="3">
        <v>29</v>
      </c>
      <c r="H3473" t="s">
        <v>28</v>
      </c>
      <c r="I3473">
        <v>44</v>
      </c>
      <c r="J3473">
        <v>0</v>
      </c>
      <c r="K3473">
        <v>0</v>
      </c>
      <c r="L3473" s="3">
        <v>1</v>
      </c>
      <c r="M3473" s="3">
        <v>0</v>
      </c>
      <c r="N3473">
        <v>0</v>
      </c>
      <c r="O3473">
        <v>0</v>
      </c>
      <c r="P3473">
        <v>2</v>
      </c>
      <c r="Q3473">
        <v>4</v>
      </c>
      <c r="R3473" s="3">
        <v>0</v>
      </c>
      <c r="S3473" s="3">
        <v>0</v>
      </c>
      <c r="T3473">
        <v>0</v>
      </c>
      <c r="U3473">
        <v>0</v>
      </c>
      <c r="V3473" s="3">
        <v>0</v>
      </c>
      <c r="W3473" s="3">
        <v>0</v>
      </c>
      <c r="X3473">
        <v>0</v>
      </c>
      <c r="Y3473" t="s">
        <v>2699</v>
      </c>
    </row>
    <row r="3474" spans="1:25" hidden="1" x14ac:dyDescent="0.25">
      <c r="A3474" t="s">
        <v>43</v>
      </c>
      <c r="B3474" t="s">
        <v>114</v>
      </c>
      <c r="C3474" t="s">
        <v>44</v>
      </c>
      <c r="D3474" t="s">
        <v>27</v>
      </c>
      <c r="E3474" s="2">
        <v>46037</v>
      </c>
      <c r="F3474" s="2">
        <v>46037</v>
      </c>
      <c r="G3474" s="3">
        <v>40</v>
      </c>
      <c r="H3474" t="s">
        <v>28</v>
      </c>
      <c r="I3474">
        <v>56</v>
      </c>
      <c r="J3474">
        <v>0</v>
      </c>
      <c r="K3474">
        <v>0</v>
      </c>
      <c r="L3474" s="3">
        <v>0</v>
      </c>
      <c r="M3474" s="3">
        <v>0</v>
      </c>
      <c r="N3474">
        <v>0</v>
      </c>
      <c r="O3474">
        <v>0</v>
      </c>
      <c r="P3474">
        <v>0</v>
      </c>
      <c r="Q3474">
        <v>0</v>
      </c>
      <c r="R3474" s="3">
        <v>0</v>
      </c>
      <c r="S3474" s="3">
        <v>0</v>
      </c>
      <c r="T3474">
        <v>0</v>
      </c>
      <c r="U3474">
        <v>0</v>
      </c>
      <c r="V3474" s="3">
        <v>0</v>
      </c>
      <c r="W3474" s="3">
        <v>0</v>
      </c>
      <c r="X3474">
        <v>0</v>
      </c>
      <c r="Y3474" t="s">
        <v>2700</v>
      </c>
    </row>
    <row r="3475" spans="1:25" hidden="1" x14ac:dyDescent="0.25">
      <c r="A3475" t="s">
        <v>47</v>
      </c>
      <c r="B3475" t="s">
        <v>137</v>
      </c>
      <c r="C3475" t="s">
        <v>2310</v>
      </c>
      <c r="D3475" t="s">
        <v>27</v>
      </c>
      <c r="E3475" s="2">
        <v>46037</v>
      </c>
      <c r="F3475" s="2">
        <v>46037</v>
      </c>
      <c r="G3475" s="3">
        <v>89</v>
      </c>
      <c r="H3475" t="s">
        <v>28</v>
      </c>
      <c r="I3475">
        <v>46</v>
      </c>
      <c r="J3475">
        <v>0</v>
      </c>
      <c r="K3475">
        <v>0</v>
      </c>
      <c r="L3475" s="3">
        <v>1</v>
      </c>
      <c r="M3475" s="3">
        <v>0</v>
      </c>
      <c r="N3475">
        <v>0</v>
      </c>
      <c r="O3475">
        <v>0</v>
      </c>
      <c r="P3475">
        <v>0</v>
      </c>
      <c r="Q3475">
        <v>4</v>
      </c>
      <c r="R3475" s="3">
        <v>0</v>
      </c>
      <c r="S3475" s="3">
        <v>0</v>
      </c>
      <c r="T3475">
        <v>0</v>
      </c>
      <c r="U3475">
        <v>0</v>
      </c>
      <c r="V3475" s="3">
        <v>0</v>
      </c>
      <c r="W3475" s="3">
        <v>0</v>
      </c>
      <c r="X3475">
        <v>0</v>
      </c>
      <c r="Y3475" t="s">
        <v>2701</v>
      </c>
    </row>
    <row r="3476" spans="1:25" hidden="1" x14ac:dyDescent="0.25">
      <c r="A3476" t="s">
        <v>49</v>
      </c>
      <c r="B3476" t="s">
        <v>118</v>
      </c>
      <c r="C3476" t="s">
        <v>27</v>
      </c>
      <c r="D3476" t="s">
        <v>27</v>
      </c>
      <c r="E3476" s="2">
        <v>46037</v>
      </c>
      <c r="F3476" s="2">
        <v>46037</v>
      </c>
      <c r="G3476" s="3">
        <v>51</v>
      </c>
      <c r="H3476" t="s">
        <v>28</v>
      </c>
      <c r="I3476">
        <v>57</v>
      </c>
      <c r="J3476">
        <v>0</v>
      </c>
      <c r="K3476">
        <v>0</v>
      </c>
      <c r="L3476" s="3">
        <v>1</v>
      </c>
      <c r="M3476" s="3">
        <v>1</v>
      </c>
      <c r="N3476">
        <v>1</v>
      </c>
      <c r="O3476">
        <v>1</v>
      </c>
      <c r="P3476">
        <v>0</v>
      </c>
      <c r="Q3476">
        <v>57</v>
      </c>
      <c r="R3476" s="3">
        <v>0</v>
      </c>
      <c r="S3476" s="3">
        <v>0</v>
      </c>
      <c r="T3476">
        <v>0</v>
      </c>
      <c r="U3476">
        <v>0</v>
      </c>
      <c r="V3476" s="3">
        <v>0</v>
      </c>
      <c r="W3476" s="3">
        <v>0</v>
      </c>
      <c r="X3476">
        <v>0</v>
      </c>
      <c r="Y3476" t="s">
        <v>2702</v>
      </c>
    </row>
    <row r="3477" spans="1:25" hidden="1" x14ac:dyDescent="0.25">
      <c r="A3477" t="s">
        <v>51</v>
      </c>
      <c r="B3477" t="s">
        <v>120</v>
      </c>
      <c r="C3477" t="s">
        <v>55</v>
      </c>
      <c r="D3477" t="s">
        <v>27</v>
      </c>
      <c r="E3477" s="2">
        <v>46037</v>
      </c>
      <c r="F3477" s="2">
        <v>46037</v>
      </c>
      <c r="G3477" s="3">
        <v>95</v>
      </c>
      <c r="H3477" t="s">
        <v>28</v>
      </c>
      <c r="I3477">
        <v>33</v>
      </c>
      <c r="J3477">
        <v>0</v>
      </c>
      <c r="K3477">
        <v>0</v>
      </c>
      <c r="L3477" s="3">
        <v>1</v>
      </c>
      <c r="M3477" s="3">
        <v>0</v>
      </c>
      <c r="N3477">
        <v>1</v>
      </c>
      <c r="O3477">
        <v>0</v>
      </c>
      <c r="P3477">
        <v>0</v>
      </c>
      <c r="Q3477">
        <v>0</v>
      </c>
      <c r="R3477" s="3">
        <v>0</v>
      </c>
      <c r="S3477" s="3">
        <v>0</v>
      </c>
      <c r="T3477">
        <v>0</v>
      </c>
      <c r="U3477">
        <v>0</v>
      </c>
      <c r="V3477" s="3">
        <v>0</v>
      </c>
      <c r="W3477" s="3">
        <v>0</v>
      </c>
      <c r="X3477">
        <v>0</v>
      </c>
      <c r="Y3477" t="s">
        <v>2703</v>
      </c>
    </row>
    <row r="3478" spans="1:25" hidden="1" x14ac:dyDescent="0.25">
      <c r="A3478" t="s">
        <v>54</v>
      </c>
      <c r="B3478" t="s">
        <v>122</v>
      </c>
      <c r="C3478" t="s">
        <v>52</v>
      </c>
      <c r="D3478" t="s">
        <v>27</v>
      </c>
      <c r="E3478" s="2">
        <v>46037</v>
      </c>
      <c r="F3478" s="2">
        <v>46037</v>
      </c>
      <c r="G3478" s="3">
        <v>36</v>
      </c>
      <c r="H3478" t="s">
        <v>28</v>
      </c>
      <c r="I3478">
        <v>38</v>
      </c>
      <c r="J3478">
        <v>0</v>
      </c>
      <c r="K3478">
        <v>0</v>
      </c>
      <c r="L3478" s="3">
        <v>0</v>
      </c>
      <c r="M3478" s="3">
        <v>0</v>
      </c>
      <c r="N3478">
        <v>0</v>
      </c>
      <c r="O3478">
        <v>0</v>
      </c>
      <c r="P3478">
        <v>0</v>
      </c>
      <c r="Q3478">
        <v>2</v>
      </c>
      <c r="R3478" s="3">
        <v>0</v>
      </c>
      <c r="S3478" s="3">
        <v>0</v>
      </c>
      <c r="T3478">
        <v>0</v>
      </c>
      <c r="U3478">
        <v>0</v>
      </c>
      <c r="V3478" s="3">
        <v>0</v>
      </c>
      <c r="W3478" s="3">
        <v>0</v>
      </c>
      <c r="X3478">
        <v>0</v>
      </c>
      <c r="Y3478" t="s">
        <v>2704</v>
      </c>
    </row>
    <row r="3479" spans="1:25" hidden="1" x14ac:dyDescent="0.25">
      <c r="A3479" t="s">
        <v>48</v>
      </c>
      <c r="B3479" t="s">
        <v>149</v>
      </c>
      <c r="C3479" t="s">
        <v>95</v>
      </c>
      <c r="D3479" t="s">
        <v>27</v>
      </c>
      <c r="E3479" s="2">
        <v>46037</v>
      </c>
      <c r="F3479" s="2">
        <v>46037</v>
      </c>
      <c r="G3479" s="3">
        <v>24</v>
      </c>
      <c r="H3479" t="s">
        <v>28</v>
      </c>
      <c r="I3479">
        <v>31</v>
      </c>
      <c r="J3479">
        <v>0</v>
      </c>
      <c r="K3479">
        <v>0</v>
      </c>
      <c r="L3479" s="3">
        <v>1</v>
      </c>
      <c r="M3479" s="3">
        <v>0</v>
      </c>
      <c r="N3479">
        <v>0</v>
      </c>
      <c r="O3479">
        <v>0</v>
      </c>
      <c r="P3479">
        <v>0</v>
      </c>
      <c r="Q3479">
        <v>12</v>
      </c>
      <c r="R3479" s="3">
        <v>0</v>
      </c>
      <c r="S3479" s="3">
        <v>0</v>
      </c>
      <c r="T3479">
        <v>0</v>
      </c>
      <c r="U3479">
        <v>0</v>
      </c>
      <c r="V3479" s="3">
        <v>0</v>
      </c>
      <c r="W3479" s="3">
        <v>0</v>
      </c>
      <c r="X3479">
        <v>0</v>
      </c>
      <c r="Y3479" t="s">
        <v>2705</v>
      </c>
    </row>
    <row r="3480" spans="1:25" hidden="1" x14ac:dyDescent="0.25">
      <c r="A3480" t="s">
        <v>58</v>
      </c>
      <c r="B3480" t="s">
        <v>144</v>
      </c>
      <c r="C3480" t="s">
        <v>46</v>
      </c>
      <c r="D3480" t="s">
        <v>27</v>
      </c>
      <c r="E3480" s="2">
        <v>46037</v>
      </c>
      <c r="F3480" s="2">
        <v>46037</v>
      </c>
      <c r="G3480" s="3">
        <v>132</v>
      </c>
      <c r="H3480" t="s">
        <v>28</v>
      </c>
      <c r="I3480">
        <v>25</v>
      </c>
      <c r="J3480">
        <v>0</v>
      </c>
      <c r="K3480">
        <v>0</v>
      </c>
      <c r="L3480" s="3">
        <v>1</v>
      </c>
      <c r="M3480" s="3">
        <v>0</v>
      </c>
      <c r="N3480">
        <v>0</v>
      </c>
      <c r="O3480">
        <v>0</v>
      </c>
      <c r="P3480">
        <v>0</v>
      </c>
      <c r="Q3480">
        <v>15</v>
      </c>
      <c r="R3480" s="3">
        <v>0</v>
      </c>
      <c r="S3480" s="3">
        <v>0</v>
      </c>
      <c r="T3480">
        <v>0</v>
      </c>
      <c r="U3480">
        <v>0</v>
      </c>
      <c r="V3480" s="3">
        <v>0</v>
      </c>
      <c r="W3480" s="3">
        <v>0</v>
      </c>
      <c r="X3480">
        <v>0</v>
      </c>
      <c r="Y3480" t="s">
        <v>2706</v>
      </c>
    </row>
    <row r="3481" spans="1:25" hidden="1" x14ac:dyDescent="0.25">
      <c r="A3481" t="s">
        <v>45</v>
      </c>
      <c r="B3481" t="s">
        <v>106</v>
      </c>
      <c r="C3481" t="s">
        <v>27</v>
      </c>
      <c r="D3481" t="s">
        <v>27</v>
      </c>
      <c r="E3481" s="2">
        <v>46037</v>
      </c>
      <c r="F3481" s="2">
        <v>46037</v>
      </c>
      <c r="G3481" s="3">
        <v>132</v>
      </c>
      <c r="H3481" t="s">
        <v>763</v>
      </c>
      <c r="I3481">
        <v>0</v>
      </c>
      <c r="J3481">
        <v>0</v>
      </c>
      <c r="K3481">
        <v>0</v>
      </c>
      <c r="L3481" s="3">
        <v>0</v>
      </c>
      <c r="M3481" s="3">
        <v>0</v>
      </c>
      <c r="N3481">
        <v>0</v>
      </c>
      <c r="O3481">
        <v>0</v>
      </c>
      <c r="P3481">
        <v>0</v>
      </c>
      <c r="Q3481">
        <v>0</v>
      </c>
      <c r="R3481" s="3">
        <v>0</v>
      </c>
      <c r="S3481" s="3">
        <v>0</v>
      </c>
      <c r="T3481">
        <v>0</v>
      </c>
      <c r="U3481">
        <v>0</v>
      </c>
      <c r="V3481" s="3">
        <v>0</v>
      </c>
      <c r="W3481" s="3">
        <v>0</v>
      </c>
      <c r="X3481">
        <v>0</v>
      </c>
      <c r="Y3481" t="s">
        <v>2450</v>
      </c>
    </row>
    <row r="3482" spans="1:25" hidden="1" x14ac:dyDescent="0.25">
      <c r="A3482" t="s">
        <v>27</v>
      </c>
      <c r="B3482" t="s">
        <v>182</v>
      </c>
      <c r="C3482" t="s">
        <v>2514</v>
      </c>
      <c r="D3482" t="s">
        <v>27</v>
      </c>
      <c r="E3482" s="2">
        <v>46037</v>
      </c>
      <c r="F3482" s="2">
        <v>46037</v>
      </c>
      <c r="G3482" s="3">
        <v>132</v>
      </c>
      <c r="H3482" t="s">
        <v>1448</v>
      </c>
      <c r="I3482">
        <v>0</v>
      </c>
      <c r="J3482">
        <v>0</v>
      </c>
      <c r="K3482">
        <v>0</v>
      </c>
      <c r="L3482" s="3">
        <v>0</v>
      </c>
      <c r="M3482" s="3">
        <v>0</v>
      </c>
      <c r="N3482">
        <v>0</v>
      </c>
      <c r="O3482">
        <v>0</v>
      </c>
      <c r="P3482">
        <v>0</v>
      </c>
      <c r="Q3482">
        <v>0</v>
      </c>
      <c r="R3482" s="3">
        <v>0</v>
      </c>
      <c r="S3482" s="3">
        <v>0</v>
      </c>
      <c r="T3482">
        <v>0</v>
      </c>
      <c r="U3482">
        <v>0</v>
      </c>
      <c r="V3482" s="3">
        <v>0</v>
      </c>
      <c r="W3482" s="3">
        <v>0</v>
      </c>
      <c r="X3482" s="3">
        <v>0</v>
      </c>
      <c r="Y3482" t="s">
        <v>2450</v>
      </c>
    </row>
    <row r="3483" spans="1:25" hidden="1" x14ac:dyDescent="0.25">
      <c r="A3483" t="s">
        <v>27</v>
      </c>
      <c r="B3483" t="s">
        <v>184</v>
      </c>
      <c r="C3483" t="s">
        <v>27</v>
      </c>
      <c r="D3483" t="s">
        <v>27</v>
      </c>
      <c r="E3483" s="2">
        <v>46037</v>
      </c>
      <c r="F3483" s="2">
        <v>46037</v>
      </c>
      <c r="G3483" s="3">
        <v>132</v>
      </c>
      <c r="H3483" t="s">
        <v>1448</v>
      </c>
      <c r="I3483">
        <v>0</v>
      </c>
      <c r="J3483">
        <v>0</v>
      </c>
      <c r="K3483">
        <v>0</v>
      </c>
      <c r="L3483" s="3">
        <v>0</v>
      </c>
      <c r="M3483" s="3">
        <v>0</v>
      </c>
      <c r="N3483">
        <v>0</v>
      </c>
      <c r="O3483">
        <v>0</v>
      </c>
      <c r="P3483">
        <v>0</v>
      </c>
      <c r="Q3483">
        <v>0</v>
      </c>
      <c r="R3483" s="3">
        <v>0</v>
      </c>
      <c r="S3483" s="3">
        <v>0</v>
      </c>
      <c r="T3483">
        <v>0</v>
      </c>
      <c r="U3483">
        <v>0</v>
      </c>
      <c r="V3483" s="3">
        <v>0</v>
      </c>
      <c r="W3483" s="3">
        <v>0</v>
      </c>
      <c r="X3483" s="3">
        <v>0</v>
      </c>
      <c r="Y3483" t="s">
        <v>2450</v>
      </c>
    </row>
    <row r="3484" spans="1:25" hidden="1" x14ac:dyDescent="0.25">
      <c r="A3484" t="s">
        <v>40</v>
      </c>
      <c r="B3484" t="s">
        <v>487</v>
      </c>
      <c r="C3484" t="s">
        <v>27</v>
      </c>
      <c r="D3484" t="s">
        <v>27</v>
      </c>
      <c r="E3484" s="2">
        <v>46037</v>
      </c>
      <c r="F3484" s="2">
        <v>46037</v>
      </c>
      <c r="G3484" s="3">
        <v>61</v>
      </c>
      <c r="H3484" t="s">
        <v>763</v>
      </c>
      <c r="I3484">
        <v>0</v>
      </c>
      <c r="J3484">
        <v>0</v>
      </c>
      <c r="K3484">
        <v>0</v>
      </c>
      <c r="L3484" s="3">
        <v>0</v>
      </c>
      <c r="M3484" s="3">
        <v>0</v>
      </c>
      <c r="N3484">
        <v>0</v>
      </c>
      <c r="O3484">
        <v>0</v>
      </c>
      <c r="P3484">
        <v>0</v>
      </c>
      <c r="Q3484">
        <v>0</v>
      </c>
      <c r="R3484" s="3">
        <v>0</v>
      </c>
      <c r="S3484" s="3">
        <v>0</v>
      </c>
      <c r="T3484">
        <v>0</v>
      </c>
      <c r="U3484">
        <v>0</v>
      </c>
      <c r="V3484" s="3">
        <v>0</v>
      </c>
      <c r="W3484" s="3">
        <v>0</v>
      </c>
      <c r="X3484" s="3">
        <v>0</v>
      </c>
      <c r="Y3484" t="s">
        <v>2450</v>
      </c>
    </row>
    <row r="3485" spans="1:25" hidden="1" x14ac:dyDescent="0.25">
      <c r="A3485" t="s">
        <v>27</v>
      </c>
      <c r="B3485" t="s">
        <v>102</v>
      </c>
      <c r="C3485" t="s">
        <v>37</v>
      </c>
      <c r="D3485" t="s">
        <v>27</v>
      </c>
      <c r="E3485" s="2">
        <v>46037</v>
      </c>
      <c r="F3485" s="2">
        <v>46037</v>
      </c>
      <c r="G3485" s="3">
        <v>62</v>
      </c>
      <c r="H3485" t="s">
        <v>763</v>
      </c>
      <c r="I3485">
        <v>0</v>
      </c>
      <c r="J3485">
        <v>0</v>
      </c>
      <c r="K3485">
        <v>0</v>
      </c>
      <c r="L3485" s="3">
        <v>0</v>
      </c>
      <c r="M3485" s="3">
        <v>0</v>
      </c>
      <c r="N3485">
        <v>0</v>
      </c>
      <c r="O3485">
        <v>0</v>
      </c>
      <c r="P3485">
        <v>0</v>
      </c>
      <c r="Q3485">
        <v>0</v>
      </c>
      <c r="R3485" s="3">
        <v>0</v>
      </c>
      <c r="S3485" s="3">
        <v>0</v>
      </c>
      <c r="T3485">
        <v>0</v>
      </c>
      <c r="U3485">
        <v>0</v>
      </c>
      <c r="V3485" s="3">
        <v>0</v>
      </c>
      <c r="W3485" s="3">
        <v>0</v>
      </c>
      <c r="X3485" s="3">
        <v>0</v>
      </c>
      <c r="Y3485" t="s">
        <v>2450</v>
      </c>
    </row>
    <row r="3486" spans="1:25" hidden="1" x14ac:dyDescent="0.25">
      <c r="A3486" t="s">
        <v>25</v>
      </c>
      <c r="B3486" t="s">
        <v>96</v>
      </c>
      <c r="C3486" t="s">
        <v>26</v>
      </c>
      <c r="D3486" t="s">
        <v>27</v>
      </c>
      <c r="E3486" s="2">
        <v>46038</v>
      </c>
      <c r="F3486" s="2">
        <v>46038</v>
      </c>
      <c r="G3486" s="3">
        <v>39</v>
      </c>
      <c r="H3486" t="s">
        <v>28</v>
      </c>
      <c r="I3486">
        <v>40</v>
      </c>
      <c r="J3486">
        <v>0</v>
      </c>
      <c r="K3486">
        <v>0</v>
      </c>
      <c r="L3486" s="3">
        <v>1</v>
      </c>
      <c r="M3486" s="3">
        <v>0</v>
      </c>
      <c r="N3486">
        <v>1</v>
      </c>
      <c r="O3486">
        <v>0</v>
      </c>
      <c r="P3486">
        <v>0</v>
      </c>
      <c r="Q3486">
        <v>0</v>
      </c>
      <c r="R3486" s="3">
        <v>0</v>
      </c>
      <c r="S3486" s="3">
        <v>0</v>
      </c>
      <c r="T3486">
        <v>0</v>
      </c>
      <c r="U3486">
        <v>0</v>
      </c>
      <c r="V3486" s="3">
        <v>0</v>
      </c>
      <c r="W3486" s="3">
        <v>0</v>
      </c>
      <c r="X3486">
        <v>0</v>
      </c>
      <c r="Y3486" t="s">
        <v>2692</v>
      </c>
    </row>
    <row r="3487" spans="1:25" hidden="1" x14ac:dyDescent="0.25">
      <c r="A3487" t="s">
        <v>29</v>
      </c>
      <c r="B3487" t="s">
        <v>100</v>
      </c>
      <c r="C3487" t="s">
        <v>2271</v>
      </c>
      <c r="D3487" t="s">
        <v>27</v>
      </c>
      <c r="E3487" s="2">
        <v>46038</v>
      </c>
      <c r="F3487" s="2">
        <v>46038</v>
      </c>
      <c r="G3487" s="3">
        <v>55</v>
      </c>
      <c r="H3487" t="s">
        <v>28</v>
      </c>
      <c r="I3487">
        <v>52</v>
      </c>
      <c r="J3487">
        <v>0</v>
      </c>
      <c r="K3487">
        <v>0</v>
      </c>
      <c r="L3487" s="3">
        <v>0</v>
      </c>
      <c r="M3487" s="3">
        <v>0</v>
      </c>
      <c r="N3487">
        <v>0</v>
      </c>
      <c r="O3487">
        <v>0</v>
      </c>
      <c r="P3487">
        <v>0</v>
      </c>
      <c r="Q3487">
        <v>0</v>
      </c>
      <c r="R3487" s="3">
        <v>0</v>
      </c>
      <c r="S3487" s="3">
        <v>0</v>
      </c>
      <c r="T3487">
        <v>0</v>
      </c>
      <c r="U3487">
        <v>0</v>
      </c>
      <c r="V3487" s="3">
        <v>0</v>
      </c>
      <c r="W3487" s="3">
        <v>0</v>
      </c>
      <c r="X3487">
        <v>2</v>
      </c>
      <c r="Y3487" t="s">
        <v>2707</v>
      </c>
    </row>
    <row r="3488" spans="1:25" hidden="1" x14ac:dyDescent="0.25">
      <c r="A3488" t="s">
        <v>344</v>
      </c>
      <c r="B3488" t="s">
        <v>102</v>
      </c>
      <c r="C3488" t="s">
        <v>35</v>
      </c>
      <c r="D3488" t="s">
        <v>27</v>
      </c>
      <c r="E3488" s="2">
        <v>46038</v>
      </c>
      <c r="F3488" s="2">
        <v>46038</v>
      </c>
      <c r="G3488" s="3">
        <v>54</v>
      </c>
      <c r="H3488" t="s">
        <v>28</v>
      </c>
      <c r="I3488">
        <v>38</v>
      </c>
      <c r="J3488">
        <v>0</v>
      </c>
      <c r="K3488">
        <v>0</v>
      </c>
      <c r="L3488" s="3">
        <v>1</v>
      </c>
      <c r="M3488" s="3">
        <v>1</v>
      </c>
      <c r="N3488">
        <v>0</v>
      </c>
      <c r="O3488">
        <v>0</v>
      </c>
      <c r="P3488">
        <v>0</v>
      </c>
      <c r="Q3488">
        <v>2</v>
      </c>
      <c r="R3488" s="3">
        <v>0</v>
      </c>
      <c r="S3488" s="3">
        <v>0</v>
      </c>
      <c r="T3488">
        <v>0</v>
      </c>
      <c r="U3488">
        <v>0</v>
      </c>
      <c r="V3488" s="3">
        <v>0</v>
      </c>
      <c r="W3488" s="3">
        <v>0</v>
      </c>
      <c r="X3488">
        <v>0</v>
      </c>
      <c r="Y3488" t="s">
        <v>2545</v>
      </c>
    </row>
    <row r="3489" spans="1:25" hidden="1" x14ac:dyDescent="0.25">
      <c r="A3489" t="s">
        <v>31</v>
      </c>
      <c r="B3489" t="s">
        <v>104</v>
      </c>
      <c r="C3489" t="s">
        <v>32</v>
      </c>
      <c r="D3489" t="s">
        <v>27</v>
      </c>
      <c r="E3489" s="2">
        <v>46038</v>
      </c>
      <c r="F3489" s="2">
        <v>46038</v>
      </c>
      <c r="G3489" s="3">
        <v>95</v>
      </c>
      <c r="H3489" t="s">
        <v>28</v>
      </c>
      <c r="I3489">
        <v>141</v>
      </c>
      <c r="J3489">
        <v>0</v>
      </c>
      <c r="K3489">
        <v>0</v>
      </c>
      <c r="L3489" s="3">
        <v>1</v>
      </c>
      <c r="M3489" s="3">
        <v>0</v>
      </c>
      <c r="N3489">
        <v>0</v>
      </c>
      <c r="O3489">
        <v>0</v>
      </c>
      <c r="P3489">
        <v>0</v>
      </c>
      <c r="Q3489">
        <v>36</v>
      </c>
      <c r="R3489" s="3">
        <v>0</v>
      </c>
      <c r="S3489" s="3">
        <v>0</v>
      </c>
      <c r="T3489">
        <v>0</v>
      </c>
      <c r="U3489">
        <v>0</v>
      </c>
      <c r="V3489" s="3">
        <v>0</v>
      </c>
      <c r="W3489" s="3">
        <v>0</v>
      </c>
      <c r="X3489" s="37">
        <v>1</v>
      </c>
      <c r="Y3489" t="s">
        <v>2708</v>
      </c>
    </row>
    <row r="3490" spans="1:25" hidden="1" x14ac:dyDescent="0.25">
      <c r="A3490" t="s">
        <v>33</v>
      </c>
      <c r="B3490" t="s">
        <v>106</v>
      </c>
      <c r="C3490" t="s">
        <v>57</v>
      </c>
      <c r="D3490" t="s">
        <v>27</v>
      </c>
      <c r="E3490" s="2">
        <v>46038</v>
      </c>
      <c r="F3490" s="2">
        <v>46038</v>
      </c>
      <c r="G3490" s="3">
        <v>31</v>
      </c>
      <c r="H3490" t="s">
        <v>28</v>
      </c>
      <c r="I3490">
        <v>52</v>
      </c>
      <c r="J3490">
        <v>0</v>
      </c>
      <c r="K3490">
        <v>0</v>
      </c>
      <c r="L3490" s="3">
        <v>0</v>
      </c>
      <c r="M3490" s="3">
        <v>0</v>
      </c>
      <c r="N3490">
        <v>0</v>
      </c>
      <c r="O3490">
        <v>0</v>
      </c>
      <c r="P3490">
        <v>0</v>
      </c>
      <c r="Q3490">
        <v>21</v>
      </c>
      <c r="R3490" s="3">
        <v>0</v>
      </c>
      <c r="S3490" s="3">
        <v>0</v>
      </c>
      <c r="T3490">
        <v>0</v>
      </c>
      <c r="U3490">
        <v>0</v>
      </c>
      <c r="V3490" s="3">
        <v>0</v>
      </c>
      <c r="W3490" s="3">
        <v>0</v>
      </c>
      <c r="X3490">
        <v>0</v>
      </c>
      <c r="Y3490" t="s">
        <v>2709</v>
      </c>
    </row>
    <row r="3491" spans="1:25" hidden="1" x14ac:dyDescent="0.25">
      <c r="A3491" t="s">
        <v>36</v>
      </c>
      <c r="B3491" t="s">
        <v>249</v>
      </c>
      <c r="C3491" t="s">
        <v>2534</v>
      </c>
      <c r="D3491" t="s">
        <v>27</v>
      </c>
      <c r="E3491" s="2">
        <v>46038</v>
      </c>
      <c r="F3491" s="2">
        <v>46038</v>
      </c>
      <c r="G3491" s="3">
        <v>71</v>
      </c>
      <c r="H3491" t="s">
        <v>28</v>
      </c>
      <c r="I3491">
        <v>83</v>
      </c>
      <c r="J3491">
        <v>0</v>
      </c>
      <c r="K3491">
        <v>0</v>
      </c>
      <c r="L3491" s="3">
        <v>1</v>
      </c>
      <c r="M3491" s="3">
        <v>0</v>
      </c>
      <c r="N3491">
        <v>1</v>
      </c>
      <c r="O3491">
        <v>0</v>
      </c>
      <c r="P3491">
        <v>0</v>
      </c>
      <c r="Q3491">
        <v>0</v>
      </c>
      <c r="R3491" s="3">
        <v>0</v>
      </c>
      <c r="S3491" s="3">
        <v>0</v>
      </c>
      <c r="T3491">
        <v>0</v>
      </c>
      <c r="U3491">
        <v>0</v>
      </c>
      <c r="V3491" s="3">
        <v>0</v>
      </c>
      <c r="W3491" s="3">
        <v>0</v>
      </c>
      <c r="X3491">
        <v>0</v>
      </c>
      <c r="Y3491" t="s">
        <v>2710</v>
      </c>
    </row>
    <row r="3492" spans="1:25" hidden="1" x14ac:dyDescent="0.25">
      <c r="A3492" t="s">
        <v>38</v>
      </c>
      <c r="B3492" t="s">
        <v>108</v>
      </c>
      <c r="C3492" t="s">
        <v>27</v>
      </c>
      <c r="D3492" t="s">
        <v>27</v>
      </c>
      <c r="E3492" s="2">
        <v>46038</v>
      </c>
      <c r="F3492" s="2">
        <v>46038</v>
      </c>
      <c r="G3492" s="3">
        <v>76</v>
      </c>
      <c r="H3492" t="s">
        <v>28</v>
      </c>
      <c r="I3492">
        <v>44</v>
      </c>
      <c r="J3492">
        <v>0</v>
      </c>
      <c r="K3492">
        <v>0</v>
      </c>
      <c r="L3492" s="3">
        <v>1</v>
      </c>
      <c r="M3492" s="3">
        <v>0</v>
      </c>
      <c r="N3492">
        <v>0</v>
      </c>
      <c r="O3492">
        <v>0</v>
      </c>
      <c r="P3492">
        <v>0</v>
      </c>
      <c r="Q3492">
        <v>44</v>
      </c>
      <c r="R3492" s="3">
        <v>0</v>
      </c>
      <c r="S3492" s="3">
        <v>0</v>
      </c>
      <c r="T3492">
        <v>0</v>
      </c>
      <c r="U3492">
        <v>0</v>
      </c>
      <c r="V3492" s="3">
        <v>0</v>
      </c>
      <c r="W3492" s="3">
        <v>0</v>
      </c>
      <c r="X3492">
        <v>0</v>
      </c>
      <c r="Y3492" t="s">
        <v>2711</v>
      </c>
    </row>
    <row r="3493" spans="1:25" hidden="1" x14ac:dyDescent="0.25">
      <c r="A3493" t="s">
        <v>2679</v>
      </c>
      <c r="B3493" t="s">
        <v>2680</v>
      </c>
      <c r="C3493" t="s">
        <v>39</v>
      </c>
      <c r="D3493" t="s">
        <v>27</v>
      </c>
      <c r="E3493" s="2">
        <v>46038</v>
      </c>
      <c r="F3493" s="2">
        <v>46038</v>
      </c>
      <c r="G3493" s="3">
        <v>108</v>
      </c>
      <c r="H3493" t="s">
        <v>28</v>
      </c>
      <c r="I3493">
        <v>57</v>
      </c>
      <c r="J3493">
        <v>0</v>
      </c>
      <c r="K3493">
        <v>0</v>
      </c>
      <c r="L3493" s="3">
        <v>1</v>
      </c>
      <c r="M3493" s="3">
        <v>0</v>
      </c>
      <c r="N3493">
        <v>0</v>
      </c>
      <c r="O3493">
        <v>0</v>
      </c>
      <c r="P3493">
        <v>57</v>
      </c>
      <c r="Q3493">
        <v>57</v>
      </c>
      <c r="R3493" s="3">
        <v>0</v>
      </c>
      <c r="S3493" s="3">
        <v>0</v>
      </c>
      <c r="T3493">
        <v>0</v>
      </c>
      <c r="U3493">
        <v>0</v>
      </c>
      <c r="V3493" s="3">
        <v>0</v>
      </c>
      <c r="W3493" s="3">
        <v>0</v>
      </c>
      <c r="X3493">
        <v>1</v>
      </c>
      <c r="Y3493" t="s">
        <v>2712</v>
      </c>
    </row>
    <row r="3494" spans="1:25" hidden="1" x14ac:dyDescent="0.25">
      <c r="A3494" t="s">
        <v>41</v>
      </c>
      <c r="B3494" t="s">
        <v>112</v>
      </c>
      <c r="C3494" t="s">
        <v>42</v>
      </c>
      <c r="D3494" t="s">
        <v>27</v>
      </c>
      <c r="E3494" s="2">
        <v>46038</v>
      </c>
      <c r="F3494" s="2">
        <v>46038</v>
      </c>
      <c r="G3494" s="3">
        <v>48</v>
      </c>
      <c r="H3494" t="s">
        <v>28</v>
      </c>
      <c r="I3494">
        <v>50</v>
      </c>
      <c r="J3494">
        <v>0</v>
      </c>
      <c r="K3494">
        <v>0</v>
      </c>
      <c r="L3494" s="3">
        <v>1</v>
      </c>
      <c r="M3494" s="3">
        <v>0</v>
      </c>
      <c r="N3494">
        <v>0</v>
      </c>
      <c r="O3494">
        <v>0</v>
      </c>
      <c r="P3494">
        <v>0</v>
      </c>
      <c r="Q3494">
        <v>1</v>
      </c>
      <c r="R3494" s="3">
        <v>0</v>
      </c>
      <c r="S3494" s="3">
        <v>0</v>
      </c>
      <c r="T3494">
        <v>0</v>
      </c>
      <c r="U3494">
        <v>0</v>
      </c>
      <c r="V3494" s="3">
        <v>0</v>
      </c>
      <c r="W3494" s="3">
        <v>0</v>
      </c>
      <c r="X3494">
        <v>0</v>
      </c>
      <c r="Y3494" t="s">
        <v>2713</v>
      </c>
    </row>
    <row r="3495" spans="1:25" hidden="1" x14ac:dyDescent="0.25">
      <c r="A3495" t="s">
        <v>43</v>
      </c>
      <c r="B3495" t="s">
        <v>114</v>
      </c>
      <c r="C3495" t="s">
        <v>44</v>
      </c>
      <c r="D3495" t="s">
        <v>27</v>
      </c>
      <c r="E3495" s="2">
        <v>46038</v>
      </c>
      <c r="F3495" s="2">
        <v>46038</v>
      </c>
      <c r="G3495" s="3">
        <v>40</v>
      </c>
      <c r="H3495" t="s">
        <v>28</v>
      </c>
      <c r="I3495">
        <v>56</v>
      </c>
      <c r="J3495">
        <v>0</v>
      </c>
      <c r="K3495">
        <v>0</v>
      </c>
      <c r="L3495" s="3">
        <v>1</v>
      </c>
      <c r="M3495" s="3">
        <v>0</v>
      </c>
      <c r="N3495">
        <v>0</v>
      </c>
      <c r="O3495">
        <v>0</v>
      </c>
      <c r="P3495">
        <v>0</v>
      </c>
      <c r="Q3495">
        <v>0</v>
      </c>
      <c r="R3495" s="3">
        <v>0</v>
      </c>
      <c r="S3495" s="3">
        <v>0</v>
      </c>
      <c r="T3495">
        <v>0</v>
      </c>
      <c r="U3495">
        <v>0</v>
      </c>
      <c r="V3495" s="3">
        <v>0</v>
      </c>
      <c r="W3495" s="3">
        <v>0</v>
      </c>
      <c r="X3495">
        <v>0</v>
      </c>
      <c r="Y3495" t="s">
        <v>2700</v>
      </c>
    </row>
    <row r="3496" spans="1:25" hidden="1" x14ac:dyDescent="0.25">
      <c r="A3496" t="s">
        <v>2118</v>
      </c>
      <c r="B3496" t="s">
        <v>2119</v>
      </c>
      <c r="C3496" t="s">
        <v>27</v>
      </c>
      <c r="D3496" t="s">
        <v>27</v>
      </c>
      <c r="E3496" s="2">
        <v>46038</v>
      </c>
      <c r="F3496" s="2">
        <v>46038</v>
      </c>
      <c r="G3496" s="3">
        <v>35</v>
      </c>
      <c r="H3496" t="s">
        <v>28</v>
      </c>
      <c r="I3496">
        <v>65</v>
      </c>
      <c r="J3496">
        <v>0</v>
      </c>
      <c r="K3496">
        <v>0</v>
      </c>
      <c r="L3496" s="3">
        <v>1</v>
      </c>
      <c r="M3496" s="3">
        <v>0</v>
      </c>
      <c r="N3496">
        <v>0</v>
      </c>
      <c r="O3496">
        <v>0</v>
      </c>
      <c r="P3496">
        <v>0</v>
      </c>
      <c r="Q3496">
        <v>65</v>
      </c>
      <c r="R3496" s="3">
        <v>0</v>
      </c>
      <c r="S3496" s="3">
        <v>0</v>
      </c>
      <c r="T3496">
        <v>0</v>
      </c>
      <c r="U3496">
        <v>0</v>
      </c>
      <c r="V3496" s="3">
        <v>0</v>
      </c>
      <c r="W3496" s="3">
        <v>0</v>
      </c>
      <c r="X3496">
        <v>0</v>
      </c>
      <c r="Y3496" t="s">
        <v>2714</v>
      </c>
    </row>
    <row r="3497" spans="1:25" hidden="1" x14ac:dyDescent="0.25">
      <c r="A3497" t="s">
        <v>45</v>
      </c>
      <c r="B3497" t="s">
        <v>116</v>
      </c>
      <c r="C3497" t="s">
        <v>46</v>
      </c>
      <c r="D3497" t="s">
        <v>27</v>
      </c>
      <c r="E3497" s="2">
        <v>46038</v>
      </c>
      <c r="F3497" s="2">
        <v>46038</v>
      </c>
      <c r="G3497" s="3">
        <v>50</v>
      </c>
      <c r="H3497" t="s">
        <v>28</v>
      </c>
      <c r="I3497">
        <v>68</v>
      </c>
      <c r="J3497">
        <v>0</v>
      </c>
      <c r="K3497">
        <v>0</v>
      </c>
      <c r="L3497" s="3">
        <v>1</v>
      </c>
      <c r="M3497" s="3">
        <v>0</v>
      </c>
      <c r="N3497">
        <v>0</v>
      </c>
      <c r="O3497">
        <v>0</v>
      </c>
      <c r="P3497">
        <v>0</v>
      </c>
      <c r="Q3497">
        <v>11</v>
      </c>
      <c r="R3497" s="3">
        <v>0</v>
      </c>
      <c r="S3497" s="3">
        <v>0</v>
      </c>
      <c r="T3497">
        <v>0</v>
      </c>
      <c r="U3497">
        <v>0</v>
      </c>
      <c r="V3497" s="3">
        <v>0</v>
      </c>
      <c r="W3497" s="3">
        <v>0</v>
      </c>
      <c r="X3497">
        <v>0</v>
      </c>
      <c r="Y3497" t="s">
        <v>2715</v>
      </c>
    </row>
    <row r="3498" spans="1:25" hidden="1" x14ac:dyDescent="0.25">
      <c r="A3498" t="s">
        <v>47</v>
      </c>
      <c r="B3498" t="s">
        <v>137</v>
      </c>
      <c r="C3498" t="s">
        <v>2310</v>
      </c>
      <c r="D3498" t="s">
        <v>27</v>
      </c>
      <c r="E3498" s="2">
        <v>46038</v>
      </c>
      <c r="F3498" s="2">
        <v>46038</v>
      </c>
      <c r="G3498" s="3">
        <v>73</v>
      </c>
      <c r="H3498" t="s">
        <v>28</v>
      </c>
      <c r="I3498">
        <v>43</v>
      </c>
      <c r="J3498">
        <v>0</v>
      </c>
      <c r="K3498">
        <v>0</v>
      </c>
      <c r="L3498" s="3">
        <v>1</v>
      </c>
      <c r="M3498" s="3">
        <v>0</v>
      </c>
      <c r="N3498">
        <v>0</v>
      </c>
      <c r="O3498">
        <v>0</v>
      </c>
      <c r="P3498">
        <v>0</v>
      </c>
      <c r="Q3498">
        <v>10</v>
      </c>
      <c r="R3498" s="3">
        <v>0</v>
      </c>
      <c r="S3498" s="3">
        <v>0</v>
      </c>
      <c r="T3498">
        <v>0</v>
      </c>
      <c r="U3498">
        <v>0</v>
      </c>
      <c r="V3498" s="3">
        <v>0</v>
      </c>
      <c r="W3498" s="3">
        <v>0</v>
      </c>
      <c r="X3498">
        <v>0</v>
      </c>
      <c r="Y3498" t="s">
        <v>2716</v>
      </c>
    </row>
    <row r="3499" spans="1:25" hidden="1" x14ac:dyDescent="0.25">
      <c r="A3499" t="s">
        <v>49</v>
      </c>
      <c r="B3499" t="s">
        <v>118</v>
      </c>
      <c r="C3499" t="s">
        <v>50</v>
      </c>
      <c r="D3499" t="s">
        <v>27</v>
      </c>
      <c r="E3499" s="2">
        <v>46038</v>
      </c>
      <c r="F3499" s="2">
        <v>46038</v>
      </c>
      <c r="G3499" s="3">
        <v>50</v>
      </c>
      <c r="H3499" t="s">
        <v>28</v>
      </c>
      <c r="I3499">
        <v>36</v>
      </c>
      <c r="J3499">
        <v>0</v>
      </c>
      <c r="K3499">
        <v>0</v>
      </c>
      <c r="L3499" s="3">
        <v>1</v>
      </c>
      <c r="M3499" s="3">
        <v>1</v>
      </c>
      <c r="N3499">
        <v>0</v>
      </c>
      <c r="O3499">
        <v>0</v>
      </c>
      <c r="P3499">
        <v>0</v>
      </c>
      <c r="Q3499">
        <v>36</v>
      </c>
      <c r="R3499" s="3">
        <v>0</v>
      </c>
      <c r="S3499" s="3">
        <v>0</v>
      </c>
      <c r="T3499">
        <v>0</v>
      </c>
      <c r="U3499">
        <v>0</v>
      </c>
      <c r="V3499" s="3">
        <v>0</v>
      </c>
      <c r="W3499" s="3">
        <v>0</v>
      </c>
      <c r="X3499">
        <v>0</v>
      </c>
      <c r="Y3499" t="s">
        <v>2717</v>
      </c>
    </row>
    <row r="3500" spans="1:25" hidden="1" x14ac:dyDescent="0.25">
      <c r="A3500" t="s">
        <v>51</v>
      </c>
      <c r="B3500" t="s">
        <v>120</v>
      </c>
      <c r="C3500" t="s">
        <v>2379</v>
      </c>
      <c r="D3500" t="s">
        <v>27</v>
      </c>
      <c r="E3500" s="2">
        <v>46038</v>
      </c>
      <c r="F3500" s="2">
        <v>46038</v>
      </c>
      <c r="G3500" s="3">
        <v>52</v>
      </c>
      <c r="H3500" t="s">
        <v>28</v>
      </c>
      <c r="I3500">
        <v>35</v>
      </c>
      <c r="J3500">
        <v>0</v>
      </c>
      <c r="K3500">
        <v>0</v>
      </c>
      <c r="L3500" s="3">
        <v>1</v>
      </c>
      <c r="M3500" s="3">
        <v>0</v>
      </c>
      <c r="N3500">
        <v>1</v>
      </c>
      <c r="O3500">
        <v>0</v>
      </c>
      <c r="P3500">
        <v>0</v>
      </c>
      <c r="Q3500">
        <v>0</v>
      </c>
      <c r="R3500" s="3">
        <v>0</v>
      </c>
      <c r="S3500" s="3">
        <v>0</v>
      </c>
      <c r="T3500">
        <v>0</v>
      </c>
      <c r="U3500">
        <v>0</v>
      </c>
      <c r="V3500" s="3">
        <v>0</v>
      </c>
      <c r="W3500" s="3">
        <v>0</v>
      </c>
      <c r="X3500">
        <v>0</v>
      </c>
      <c r="Y3500" t="s">
        <v>2718</v>
      </c>
    </row>
    <row r="3501" spans="1:25" hidden="1" x14ac:dyDescent="0.25">
      <c r="A3501" t="s">
        <v>48</v>
      </c>
      <c r="B3501" t="s">
        <v>149</v>
      </c>
      <c r="C3501" t="s">
        <v>95</v>
      </c>
      <c r="D3501" t="s">
        <v>27</v>
      </c>
      <c r="E3501" s="2">
        <v>46038</v>
      </c>
      <c r="F3501" s="2">
        <v>46038</v>
      </c>
      <c r="G3501" s="3">
        <v>24</v>
      </c>
      <c r="H3501" t="s">
        <v>28</v>
      </c>
      <c r="I3501">
        <v>78</v>
      </c>
      <c r="J3501">
        <v>0</v>
      </c>
      <c r="K3501">
        <v>0</v>
      </c>
      <c r="L3501" s="3">
        <v>1</v>
      </c>
      <c r="M3501" s="3">
        <v>0</v>
      </c>
      <c r="N3501">
        <v>0</v>
      </c>
      <c r="O3501">
        <v>0</v>
      </c>
      <c r="P3501">
        <v>0</v>
      </c>
      <c r="Q3501">
        <v>12</v>
      </c>
      <c r="R3501" s="3">
        <v>0</v>
      </c>
      <c r="S3501" s="3">
        <v>0</v>
      </c>
      <c r="T3501">
        <v>0</v>
      </c>
      <c r="U3501">
        <v>0</v>
      </c>
      <c r="V3501" s="3">
        <v>0</v>
      </c>
      <c r="W3501" s="3">
        <v>0</v>
      </c>
      <c r="X3501">
        <v>0</v>
      </c>
      <c r="Y3501" t="s">
        <v>2705</v>
      </c>
    </row>
    <row r="3502" spans="1:25" hidden="1" x14ac:dyDescent="0.25">
      <c r="A3502" t="s">
        <v>54</v>
      </c>
      <c r="B3502" t="s">
        <v>122</v>
      </c>
      <c r="C3502" t="s">
        <v>52</v>
      </c>
      <c r="D3502" t="s">
        <v>27</v>
      </c>
      <c r="E3502" s="2">
        <v>46038</v>
      </c>
      <c r="F3502" s="2">
        <v>46038</v>
      </c>
      <c r="G3502" s="3">
        <v>36</v>
      </c>
      <c r="H3502" t="s">
        <v>28</v>
      </c>
      <c r="I3502">
        <v>62</v>
      </c>
      <c r="J3502">
        <v>0</v>
      </c>
      <c r="K3502">
        <v>0</v>
      </c>
      <c r="L3502" s="3">
        <v>0</v>
      </c>
      <c r="M3502" s="3">
        <v>0</v>
      </c>
      <c r="N3502">
        <v>0</v>
      </c>
      <c r="O3502">
        <v>0</v>
      </c>
      <c r="P3502">
        <v>0</v>
      </c>
      <c r="Q3502">
        <v>2</v>
      </c>
      <c r="R3502" s="3">
        <v>0</v>
      </c>
      <c r="S3502" s="3">
        <v>0</v>
      </c>
      <c r="T3502">
        <v>0</v>
      </c>
      <c r="U3502">
        <v>0</v>
      </c>
      <c r="V3502" s="3">
        <v>0</v>
      </c>
      <c r="W3502" s="3">
        <v>0</v>
      </c>
      <c r="X3502">
        <v>1</v>
      </c>
      <c r="Y3502" t="s">
        <v>2719</v>
      </c>
    </row>
    <row r="3503" spans="1:25" hidden="1" x14ac:dyDescent="0.25">
      <c r="A3503" t="s">
        <v>58</v>
      </c>
      <c r="B3503" t="s">
        <v>144</v>
      </c>
      <c r="C3503" t="s">
        <v>2514</v>
      </c>
      <c r="D3503" t="s">
        <v>27</v>
      </c>
      <c r="E3503" s="2">
        <v>46038</v>
      </c>
      <c r="F3503" s="2">
        <v>46038</v>
      </c>
      <c r="G3503" s="3">
        <v>331</v>
      </c>
      <c r="H3503" t="s">
        <v>28</v>
      </c>
      <c r="I3503">
        <v>70</v>
      </c>
      <c r="J3503">
        <v>0</v>
      </c>
      <c r="K3503">
        <v>0</v>
      </c>
      <c r="L3503" s="3">
        <v>1</v>
      </c>
      <c r="M3503" s="3">
        <v>0</v>
      </c>
      <c r="N3503">
        <v>0</v>
      </c>
      <c r="O3503">
        <v>0</v>
      </c>
      <c r="P3503">
        <v>0</v>
      </c>
      <c r="Q3503">
        <v>40</v>
      </c>
      <c r="R3503" s="3">
        <v>0</v>
      </c>
      <c r="S3503" s="3">
        <v>0</v>
      </c>
      <c r="T3503">
        <v>0</v>
      </c>
      <c r="U3503">
        <v>0</v>
      </c>
      <c r="V3503" s="3">
        <v>0</v>
      </c>
      <c r="W3503" s="3">
        <v>0</v>
      </c>
      <c r="X3503">
        <v>0</v>
      </c>
      <c r="Y3503" t="s">
        <v>2720</v>
      </c>
    </row>
    <row r="3504" spans="1:25" hidden="1" x14ac:dyDescent="0.25">
      <c r="A3504" t="s">
        <v>55</v>
      </c>
      <c r="B3504" t="s">
        <v>106</v>
      </c>
      <c r="C3504" t="s">
        <v>27</v>
      </c>
      <c r="D3504" t="s">
        <v>27</v>
      </c>
      <c r="E3504" s="2">
        <v>46038</v>
      </c>
      <c r="F3504" s="2">
        <v>46038</v>
      </c>
      <c r="G3504" s="3">
        <v>332</v>
      </c>
      <c r="H3504" t="s">
        <v>2721</v>
      </c>
      <c r="I3504">
        <v>0</v>
      </c>
      <c r="J3504">
        <v>0</v>
      </c>
      <c r="K3504">
        <v>0</v>
      </c>
      <c r="L3504" s="3">
        <v>0</v>
      </c>
      <c r="M3504" s="3">
        <v>0</v>
      </c>
      <c r="N3504">
        <v>0</v>
      </c>
      <c r="O3504">
        <v>0</v>
      </c>
      <c r="P3504">
        <v>0</v>
      </c>
      <c r="Q3504">
        <v>0</v>
      </c>
      <c r="R3504" s="3">
        <v>0</v>
      </c>
      <c r="S3504" s="3">
        <v>0</v>
      </c>
      <c r="T3504">
        <v>0</v>
      </c>
      <c r="U3504">
        <v>0</v>
      </c>
      <c r="V3504" s="3">
        <v>0</v>
      </c>
      <c r="W3504" s="3">
        <v>0</v>
      </c>
      <c r="X3504" s="3">
        <v>0</v>
      </c>
      <c r="Y3504" t="s">
        <v>2720</v>
      </c>
    </row>
    <row r="3505" spans="1:25" hidden="1" x14ac:dyDescent="0.25">
      <c r="A3505" t="s">
        <v>40</v>
      </c>
      <c r="B3505" t="s">
        <v>487</v>
      </c>
      <c r="C3505" t="s">
        <v>27</v>
      </c>
      <c r="D3505" t="s">
        <v>27</v>
      </c>
      <c r="E3505" s="2">
        <v>46038</v>
      </c>
      <c r="F3505" s="2">
        <v>46038</v>
      </c>
      <c r="G3505" s="3">
        <v>61</v>
      </c>
      <c r="H3505" t="s">
        <v>763</v>
      </c>
      <c r="I3505">
        <v>0</v>
      </c>
      <c r="J3505">
        <v>0</v>
      </c>
      <c r="K3505">
        <v>0</v>
      </c>
      <c r="L3505" s="3">
        <v>0</v>
      </c>
      <c r="M3505" s="3">
        <v>0</v>
      </c>
      <c r="N3505">
        <v>0</v>
      </c>
      <c r="O3505">
        <v>0</v>
      </c>
      <c r="P3505">
        <v>0</v>
      </c>
      <c r="Q3505">
        <v>0</v>
      </c>
      <c r="R3505" s="3">
        <v>0</v>
      </c>
      <c r="S3505" s="3">
        <v>0</v>
      </c>
      <c r="T3505">
        <v>0</v>
      </c>
      <c r="U3505">
        <v>0</v>
      </c>
      <c r="V3505" s="3">
        <v>0</v>
      </c>
      <c r="W3505" s="3">
        <v>0</v>
      </c>
      <c r="X3505" s="3">
        <v>0</v>
      </c>
      <c r="Y3505" t="s">
        <v>2450</v>
      </c>
    </row>
    <row r="3506" spans="1:25" hidden="1" x14ac:dyDescent="0.25">
      <c r="A3506" t="s">
        <v>27</v>
      </c>
      <c r="B3506" t="s">
        <v>102</v>
      </c>
      <c r="C3506" t="s">
        <v>37</v>
      </c>
      <c r="D3506" t="s">
        <v>27</v>
      </c>
      <c r="E3506" s="2">
        <v>46038</v>
      </c>
      <c r="F3506" s="2">
        <v>46038</v>
      </c>
      <c r="G3506" s="3">
        <v>62</v>
      </c>
      <c r="H3506" t="s">
        <v>763</v>
      </c>
      <c r="I3506">
        <v>0</v>
      </c>
      <c r="J3506">
        <v>0</v>
      </c>
      <c r="K3506">
        <v>0</v>
      </c>
      <c r="L3506" s="3">
        <v>0</v>
      </c>
      <c r="M3506" s="3">
        <v>0</v>
      </c>
      <c r="N3506">
        <v>0</v>
      </c>
      <c r="O3506">
        <v>0</v>
      </c>
      <c r="P3506">
        <v>0</v>
      </c>
      <c r="Q3506">
        <v>0</v>
      </c>
      <c r="R3506" s="3">
        <v>0</v>
      </c>
      <c r="S3506" s="3">
        <v>0</v>
      </c>
      <c r="T3506">
        <v>0</v>
      </c>
      <c r="U3506">
        <v>0</v>
      </c>
      <c r="V3506" s="3">
        <v>0</v>
      </c>
      <c r="W3506" s="3">
        <v>0</v>
      </c>
      <c r="X3506" s="3">
        <v>0</v>
      </c>
      <c r="Y3506" t="s">
        <v>2450</v>
      </c>
    </row>
    <row r="3507" spans="1:25" hidden="1" x14ac:dyDescent="0.25">
      <c r="A3507" t="s">
        <v>41</v>
      </c>
      <c r="B3507" t="s">
        <v>112</v>
      </c>
      <c r="C3507" t="s">
        <v>42</v>
      </c>
      <c r="D3507" t="s">
        <v>27</v>
      </c>
      <c r="E3507" s="2">
        <v>46039</v>
      </c>
      <c r="F3507" s="2">
        <v>46039</v>
      </c>
      <c r="G3507" s="3">
        <v>105</v>
      </c>
      <c r="H3507" t="s">
        <v>28</v>
      </c>
      <c r="I3507">
        <v>0</v>
      </c>
      <c r="J3507">
        <v>0</v>
      </c>
      <c r="K3507">
        <v>0</v>
      </c>
      <c r="L3507" s="3">
        <v>0</v>
      </c>
      <c r="M3507" s="3">
        <v>0</v>
      </c>
      <c r="N3507">
        <v>0</v>
      </c>
      <c r="O3507">
        <v>0</v>
      </c>
      <c r="P3507">
        <v>0</v>
      </c>
      <c r="Q3507">
        <v>72</v>
      </c>
      <c r="R3507" s="3">
        <v>1</v>
      </c>
      <c r="S3507" s="3">
        <v>0</v>
      </c>
      <c r="T3507">
        <v>72</v>
      </c>
      <c r="U3507">
        <v>14</v>
      </c>
      <c r="V3507" s="3">
        <v>1</v>
      </c>
      <c r="W3507" s="3">
        <v>0</v>
      </c>
      <c r="X3507">
        <v>0</v>
      </c>
      <c r="Y3507" t="s">
        <v>2722</v>
      </c>
    </row>
    <row r="3508" spans="1:25" hidden="1" x14ac:dyDescent="0.25">
      <c r="A3508" t="s">
        <v>51</v>
      </c>
      <c r="B3508" t="s">
        <v>120</v>
      </c>
      <c r="C3508" t="s">
        <v>2379</v>
      </c>
      <c r="D3508" t="s">
        <v>27</v>
      </c>
      <c r="E3508" s="2">
        <v>46039</v>
      </c>
      <c r="F3508" s="2">
        <v>46039</v>
      </c>
      <c r="G3508" s="3">
        <v>65</v>
      </c>
      <c r="H3508" t="s">
        <v>28</v>
      </c>
      <c r="I3508">
        <v>0</v>
      </c>
      <c r="J3508">
        <v>0</v>
      </c>
      <c r="K3508">
        <v>0</v>
      </c>
      <c r="L3508" s="3">
        <v>0</v>
      </c>
      <c r="M3508" s="3">
        <v>0</v>
      </c>
      <c r="N3508">
        <v>0</v>
      </c>
      <c r="O3508">
        <v>0</v>
      </c>
      <c r="P3508">
        <v>0</v>
      </c>
      <c r="Q3508">
        <v>0</v>
      </c>
      <c r="R3508" s="3">
        <v>1</v>
      </c>
      <c r="S3508" s="3">
        <v>0</v>
      </c>
      <c r="T3508">
        <v>9</v>
      </c>
      <c r="U3508">
        <v>41</v>
      </c>
      <c r="V3508" s="3">
        <v>1</v>
      </c>
      <c r="W3508" s="3">
        <v>0</v>
      </c>
      <c r="X3508">
        <v>2</v>
      </c>
      <c r="Y3508" t="s">
        <v>2723</v>
      </c>
    </row>
    <row r="3509" spans="1:25" hidden="1" x14ac:dyDescent="0.25">
      <c r="A3509" t="s">
        <v>33</v>
      </c>
      <c r="B3509" t="s">
        <v>106</v>
      </c>
      <c r="C3509" t="s">
        <v>2379</v>
      </c>
      <c r="D3509" t="s">
        <v>27</v>
      </c>
      <c r="E3509" s="2">
        <v>46040</v>
      </c>
      <c r="F3509" s="2">
        <v>46040</v>
      </c>
      <c r="G3509" s="3">
        <v>49</v>
      </c>
      <c r="H3509" t="s">
        <v>28</v>
      </c>
      <c r="I3509">
        <v>0</v>
      </c>
      <c r="J3509">
        <v>0</v>
      </c>
      <c r="K3509">
        <v>0</v>
      </c>
      <c r="L3509" s="3">
        <v>0</v>
      </c>
      <c r="M3509" s="3">
        <v>0</v>
      </c>
      <c r="N3509">
        <v>0</v>
      </c>
      <c r="O3509">
        <v>0</v>
      </c>
      <c r="P3509">
        <v>0</v>
      </c>
      <c r="Q3509">
        <v>0</v>
      </c>
      <c r="R3509" s="3">
        <v>0</v>
      </c>
      <c r="S3509" s="3">
        <v>1</v>
      </c>
      <c r="T3509">
        <v>3</v>
      </c>
      <c r="U3509">
        <v>116</v>
      </c>
      <c r="V3509" s="3">
        <v>0</v>
      </c>
      <c r="W3509" s="3">
        <v>1</v>
      </c>
      <c r="X3509">
        <v>6</v>
      </c>
      <c r="Y3509" t="s">
        <v>2724</v>
      </c>
    </row>
    <row r="3510" spans="1:25" hidden="1" x14ac:dyDescent="0.25">
      <c r="A3510" t="s">
        <v>48</v>
      </c>
      <c r="B3510" t="s">
        <v>149</v>
      </c>
      <c r="C3510" t="s">
        <v>52</v>
      </c>
      <c r="D3510" t="s">
        <v>27</v>
      </c>
      <c r="E3510" s="2">
        <v>46040</v>
      </c>
      <c r="F3510" s="2">
        <v>46040</v>
      </c>
      <c r="G3510" s="3">
        <v>103</v>
      </c>
      <c r="H3510" t="s">
        <v>28</v>
      </c>
      <c r="I3510">
        <v>0</v>
      </c>
      <c r="J3510">
        <v>0</v>
      </c>
      <c r="K3510">
        <v>0</v>
      </c>
      <c r="L3510" s="3">
        <v>0</v>
      </c>
      <c r="M3510" s="3">
        <v>0</v>
      </c>
      <c r="N3510">
        <v>0</v>
      </c>
      <c r="O3510">
        <v>0</v>
      </c>
      <c r="P3510">
        <v>0</v>
      </c>
      <c r="Q3510">
        <v>0</v>
      </c>
      <c r="R3510" s="3">
        <v>0</v>
      </c>
      <c r="S3510" s="3">
        <v>1</v>
      </c>
      <c r="T3510">
        <v>8</v>
      </c>
      <c r="U3510">
        <v>134</v>
      </c>
      <c r="V3510" s="3">
        <v>0</v>
      </c>
      <c r="W3510" s="3">
        <v>1</v>
      </c>
      <c r="X3510">
        <v>6</v>
      </c>
      <c r="Y3510" t="s">
        <v>2725</v>
      </c>
    </row>
    <row r="3511" spans="1:25" hidden="1" x14ac:dyDescent="0.25">
      <c r="A3511" t="s">
        <v>25</v>
      </c>
      <c r="B3511" t="s">
        <v>96</v>
      </c>
      <c r="C3511" t="s">
        <v>26</v>
      </c>
      <c r="D3511" t="s">
        <v>27</v>
      </c>
      <c r="E3511" s="2">
        <v>46041</v>
      </c>
      <c r="F3511" s="2">
        <v>46041</v>
      </c>
      <c r="G3511" s="3">
        <v>42</v>
      </c>
      <c r="H3511" t="s">
        <v>28</v>
      </c>
      <c r="I3511">
        <v>40</v>
      </c>
      <c r="J3511">
        <v>0</v>
      </c>
      <c r="K3511">
        <v>0</v>
      </c>
      <c r="L3511" s="3">
        <v>1</v>
      </c>
      <c r="M3511" s="3">
        <v>0</v>
      </c>
      <c r="N3511">
        <v>1</v>
      </c>
      <c r="O3511">
        <v>0</v>
      </c>
      <c r="P3511">
        <v>0</v>
      </c>
      <c r="Q3511">
        <v>0</v>
      </c>
      <c r="R3511" s="3">
        <v>0</v>
      </c>
      <c r="S3511" s="3">
        <v>0</v>
      </c>
      <c r="T3511">
        <v>0</v>
      </c>
      <c r="U3511">
        <v>0</v>
      </c>
      <c r="V3511" s="3">
        <v>0</v>
      </c>
      <c r="W3511" s="3">
        <v>0</v>
      </c>
      <c r="X3511">
        <v>0</v>
      </c>
      <c r="Y3511" t="s">
        <v>2726</v>
      </c>
    </row>
    <row r="3512" spans="1:25" hidden="1" x14ac:dyDescent="0.25">
      <c r="A3512" t="s">
        <v>29</v>
      </c>
      <c r="B3512" t="s">
        <v>100</v>
      </c>
      <c r="C3512" t="s">
        <v>2271</v>
      </c>
      <c r="D3512" t="s">
        <v>27</v>
      </c>
      <c r="E3512" s="2">
        <v>46041</v>
      </c>
      <c r="F3512" s="2">
        <v>46041</v>
      </c>
      <c r="G3512" s="3">
        <v>62</v>
      </c>
      <c r="H3512" t="s">
        <v>28</v>
      </c>
      <c r="I3512">
        <v>43</v>
      </c>
      <c r="J3512">
        <v>0</v>
      </c>
      <c r="K3512">
        <v>0</v>
      </c>
      <c r="L3512" s="3">
        <v>0</v>
      </c>
      <c r="M3512" s="3">
        <v>0</v>
      </c>
      <c r="N3512">
        <v>0</v>
      </c>
      <c r="O3512">
        <v>0</v>
      </c>
      <c r="P3512">
        <v>0</v>
      </c>
      <c r="Q3512">
        <v>0</v>
      </c>
      <c r="R3512" s="3">
        <v>0</v>
      </c>
      <c r="S3512" s="3">
        <v>0</v>
      </c>
      <c r="T3512">
        <v>0</v>
      </c>
      <c r="U3512">
        <v>0</v>
      </c>
      <c r="V3512" s="3">
        <v>0</v>
      </c>
      <c r="W3512" s="3">
        <v>0</v>
      </c>
      <c r="X3512">
        <v>2</v>
      </c>
      <c r="Y3512" t="s">
        <v>2727</v>
      </c>
    </row>
    <row r="3513" spans="1:25" hidden="1" x14ac:dyDescent="0.25">
      <c r="A3513" t="s">
        <v>344</v>
      </c>
      <c r="B3513" t="s">
        <v>102</v>
      </c>
      <c r="C3513" t="s">
        <v>35</v>
      </c>
      <c r="D3513" t="s">
        <v>27</v>
      </c>
      <c r="E3513" s="2">
        <v>46041</v>
      </c>
      <c r="F3513" s="2">
        <v>46041</v>
      </c>
      <c r="G3513" s="3">
        <v>54</v>
      </c>
      <c r="H3513" t="s">
        <v>28</v>
      </c>
      <c r="I3513">
        <v>38</v>
      </c>
      <c r="J3513">
        <v>0</v>
      </c>
      <c r="K3513">
        <v>0</v>
      </c>
      <c r="L3513" s="3">
        <v>1</v>
      </c>
      <c r="M3513" s="3">
        <v>1</v>
      </c>
      <c r="N3513">
        <v>0</v>
      </c>
      <c r="O3513">
        <v>0</v>
      </c>
      <c r="P3513">
        <v>0</v>
      </c>
      <c r="Q3513">
        <v>2</v>
      </c>
      <c r="R3513" s="3">
        <v>0</v>
      </c>
      <c r="S3513" s="3">
        <v>0</v>
      </c>
      <c r="T3513">
        <v>0</v>
      </c>
      <c r="U3513">
        <v>0</v>
      </c>
      <c r="V3513" s="3">
        <v>0</v>
      </c>
      <c r="W3513" s="3">
        <v>0</v>
      </c>
      <c r="X3513">
        <v>0</v>
      </c>
      <c r="Y3513" t="s">
        <v>2545</v>
      </c>
    </row>
    <row r="3514" spans="1:25" hidden="1" x14ac:dyDescent="0.25">
      <c r="A3514" t="s">
        <v>31</v>
      </c>
      <c r="B3514" t="s">
        <v>104</v>
      </c>
      <c r="C3514" t="s">
        <v>32</v>
      </c>
      <c r="D3514" t="s">
        <v>27</v>
      </c>
      <c r="E3514" s="2">
        <v>46041</v>
      </c>
      <c r="F3514" s="2">
        <v>46041</v>
      </c>
      <c r="G3514" s="3">
        <v>48</v>
      </c>
      <c r="H3514" t="s">
        <v>28</v>
      </c>
      <c r="I3514">
        <v>91</v>
      </c>
      <c r="J3514">
        <v>0</v>
      </c>
      <c r="K3514">
        <v>0</v>
      </c>
      <c r="L3514" s="3">
        <v>1</v>
      </c>
      <c r="M3514" s="3">
        <v>0</v>
      </c>
      <c r="N3514">
        <v>0</v>
      </c>
      <c r="O3514">
        <v>0</v>
      </c>
      <c r="P3514">
        <v>4</v>
      </c>
      <c r="Q3514">
        <v>30</v>
      </c>
      <c r="R3514" s="3">
        <v>0</v>
      </c>
      <c r="S3514" s="3">
        <v>0</v>
      </c>
      <c r="T3514">
        <v>0</v>
      </c>
      <c r="U3514">
        <v>0</v>
      </c>
      <c r="V3514" s="3">
        <v>0</v>
      </c>
      <c r="W3514" s="3">
        <v>0</v>
      </c>
      <c r="X3514" s="37">
        <v>0</v>
      </c>
      <c r="Y3514" t="s">
        <v>2728</v>
      </c>
    </row>
    <row r="3515" spans="1:25" hidden="1" x14ac:dyDescent="0.25">
      <c r="A3515" t="s">
        <v>33</v>
      </c>
      <c r="B3515" t="s">
        <v>106</v>
      </c>
      <c r="C3515" t="s">
        <v>57</v>
      </c>
      <c r="D3515" t="s">
        <v>27</v>
      </c>
      <c r="E3515" s="2">
        <v>46041</v>
      </c>
      <c r="F3515" s="2">
        <v>46041</v>
      </c>
      <c r="G3515" s="3">
        <v>26</v>
      </c>
      <c r="H3515" t="s">
        <v>28</v>
      </c>
      <c r="I3515">
        <v>65</v>
      </c>
      <c r="J3515">
        <v>0</v>
      </c>
      <c r="K3515">
        <v>0</v>
      </c>
      <c r="L3515" s="3">
        <v>0</v>
      </c>
      <c r="M3515" s="3">
        <v>0</v>
      </c>
      <c r="N3515">
        <v>0</v>
      </c>
      <c r="O3515">
        <v>0</v>
      </c>
      <c r="P3515">
        <v>0</v>
      </c>
      <c r="Q3515">
        <v>21</v>
      </c>
      <c r="R3515" s="3">
        <v>0</v>
      </c>
      <c r="S3515" s="3">
        <v>0</v>
      </c>
      <c r="T3515">
        <v>0</v>
      </c>
      <c r="U3515">
        <v>0</v>
      </c>
      <c r="V3515" s="3">
        <v>0</v>
      </c>
      <c r="W3515" s="3">
        <v>0</v>
      </c>
      <c r="X3515">
        <v>0</v>
      </c>
      <c r="Y3515" t="s">
        <v>2729</v>
      </c>
    </row>
    <row r="3516" spans="1:25" hidden="1" x14ac:dyDescent="0.25">
      <c r="A3516" t="s">
        <v>36</v>
      </c>
      <c r="B3516" t="s">
        <v>249</v>
      </c>
      <c r="C3516" t="s">
        <v>2534</v>
      </c>
      <c r="D3516" t="s">
        <v>27</v>
      </c>
      <c r="E3516" s="2">
        <v>46041</v>
      </c>
      <c r="F3516" s="2">
        <v>46041</v>
      </c>
      <c r="G3516" s="3">
        <v>79</v>
      </c>
      <c r="H3516" t="s">
        <v>28</v>
      </c>
      <c r="I3516">
        <v>92</v>
      </c>
      <c r="J3516">
        <v>0</v>
      </c>
      <c r="K3516">
        <v>0</v>
      </c>
      <c r="L3516" s="3">
        <v>1</v>
      </c>
      <c r="M3516" s="3">
        <v>0</v>
      </c>
      <c r="N3516">
        <v>1</v>
      </c>
      <c r="O3516">
        <v>0</v>
      </c>
      <c r="P3516">
        <v>0</v>
      </c>
      <c r="Q3516">
        <v>0</v>
      </c>
      <c r="R3516" s="3">
        <v>0</v>
      </c>
      <c r="S3516" s="3">
        <v>0</v>
      </c>
      <c r="T3516">
        <v>0</v>
      </c>
      <c r="U3516">
        <v>0</v>
      </c>
      <c r="V3516" s="3">
        <v>0</v>
      </c>
      <c r="W3516" s="3">
        <v>0</v>
      </c>
      <c r="X3516">
        <v>0</v>
      </c>
      <c r="Y3516" t="s">
        <v>2730</v>
      </c>
    </row>
    <row r="3517" spans="1:25" hidden="1" x14ac:dyDescent="0.25">
      <c r="A3517" t="s">
        <v>38</v>
      </c>
      <c r="B3517" t="s">
        <v>108</v>
      </c>
      <c r="C3517" t="s">
        <v>27</v>
      </c>
      <c r="D3517" t="s">
        <v>27</v>
      </c>
      <c r="E3517" s="2">
        <v>46041</v>
      </c>
      <c r="F3517" s="2">
        <v>46041</v>
      </c>
      <c r="G3517" s="3">
        <v>48</v>
      </c>
      <c r="H3517" t="s">
        <v>28</v>
      </c>
      <c r="I3517">
        <v>43</v>
      </c>
      <c r="J3517">
        <v>0</v>
      </c>
      <c r="K3517">
        <v>0</v>
      </c>
      <c r="L3517" s="3">
        <v>1</v>
      </c>
      <c r="M3517" s="3">
        <v>0</v>
      </c>
      <c r="N3517">
        <v>0</v>
      </c>
      <c r="O3517">
        <v>0</v>
      </c>
      <c r="P3517">
        <v>0</v>
      </c>
      <c r="Q3517">
        <v>43</v>
      </c>
      <c r="R3517" s="3">
        <v>0</v>
      </c>
      <c r="S3517" s="3">
        <v>0</v>
      </c>
      <c r="T3517">
        <v>0</v>
      </c>
      <c r="U3517">
        <v>0</v>
      </c>
      <c r="V3517" s="3">
        <v>0</v>
      </c>
      <c r="W3517" s="3">
        <v>0</v>
      </c>
      <c r="X3517">
        <v>0</v>
      </c>
      <c r="Y3517" t="s">
        <v>2731</v>
      </c>
    </row>
    <row r="3518" spans="1:25" hidden="1" x14ac:dyDescent="0.25">
      <c r="A3518" t="s">
        <v>2679</v>
      </c>
      <c r="B3518" t="s">
        <v>2680</v>
      </c>
      <c r="C3518" t="s">
        <v>39</v>
      </c>
      <c r="D3518" t="s">
        <v>27</v>
      </c>
      <c r="E3518" s="2">
        <v>46041</v>
      </c>
      <c r="F3518" s="2">
        <v>46041</v>
      </c>
      <c r="G3518" s="3">
        <v>37</v>
      </c>
      <c r="H3518" t="s">
        <v>28</v>
      </c>
      <c r="I3518">
        <v>56</v>
      </c>
      <c r="J3518">
        <v>0</v>
      </c>
      <c r="K3518">
        <v>0</v>
      </c>
      <c r="L3518" s="3">
        <v>1</v>
      </c>
      <c r="M3518" s="3">
        <v>0</v>
      </c>
      <c r="N3518">
        <v>0</v>
      </c>
      <c r="O3518">
        <v>0</v>
      </c>
      <c r="P3518">
        <v>56</v>
      </c>
      <c r="Q3518">
        <v>56</v>
      </c>
      <c r="R3518" s="3">
        <v>0</v>
      </c>
      <c r="S3518" s="3">
        <v>0</v>
      </c>
      <c r="T3518">
        <v>0</v>
      </c>
      <c r="U3518">
        <v>0</v>
      </c>
      <c r="V3518" s="3">
        <v>0</v>
      </c>
      <c r="W3518" s="3">
        <v>0</v>
      </c>
      <c r="X3518">
        <v>1</v>
      </c>
      <c r="Y3518" t="s">
        <v>2732</v>
      </c>
    </row>
    <row r="3519" spans="1:25" hidden="1" x14ac:dyDescent="0.25">
      <c r="A3519" t="s">
        <v>41</v>
      </c>
      <c r="B3519" t="s">
        <v>112</v>
      </c>
      <c r="C3519" t="s">
        <v>42</v>
      </c>
      <c r="D3519" t="s">
        <v>27</v>
      </c>
      <c r="E3519" s="2">
        <v>46041</v>
      </c>
      <c r="F3519" s="2">
        <v>46041</v>
      </c>
      <c r="G3519" s="3">
        <v>47</v>
      </c>
      <c r="H3519" t="s">
        <v>28</v>
      </c>
      <c r="I3519">
        <v>45</v>
      </c>
      <c r="J3519">
        <v>0</v>
      </c>
      <c r="K3519">
        <v>0</v>
      </c>
      <c r="L3519" s="3">
        <v>1</v>
      </c>
      <c r="M3519" s="3">
        <v>0</v>
      </c>
      <c r="N3519">
        <v>0</v>
      </c>
      <c r="O3519">
        <v>0</v>
      </c>
      <c r="P3519">
        <v>0</v>
      </c>
      <c r="Q3519">
        <v>4</v>
      </c>
      <c r="R3519" s="3">
        <v>0</v>
      </c>
      <c r="S3519" s="3">
        <v>0</v>
      </c>
      <c r="T3519">
        <v>0</v>
      </c>
      <c r="U3519">
        <v>0</v>
      </c>
      <c r="V3519" s="3">
        <v>0</v>
      </c>
      <c r="W3519" s="3">
        <v>0</v>
      </c>
      <c r="X3519">
        <v>0</v>
      </c>
      <c r="Y3519" t="s">
        <v>2733</v>
      </c>
    </row>
    <row r="3520" spans="1:25" hidden="1" x14ac:dyDescent="0.25">
      <c r="A3520" t="s">
        <v>43</v>
      </c>
      <c r="B3520" t="s">
        <v>114</v>
      </c>
      <c r="C3520" t="s">
        <v>44</v>
      </c>
      <c r="D3520" t="s">
        <v>27</v>
      </c>
      <c r="E3520" s="2">
        <v>46041</v>
      </c>
      <c r="F3520" s="2">
        <v>46041</v>
      </c>
      <c r="G3520" s="3">
        <v>36</v>
      </c>
      <c r="H3520" t="s">
        <v>28</v>
      </c>
      <c r="I3520">
        <v>40</v>
      </c>
      <c r="J3520">
        <v>0</v>
      </c>
      <c r="K3520">
        <v>0</v>
      </c>
      <c r="L3520" s="3">
        <v>0</v>
      </c>
      <c r="M3520" s="3">
        <v>0</v>
      </c>
      <c r="N3520">
        <v>0</v>
      </c>
      <c r="O3520">
        <v>0</v>
      </c>
      <c r="P3520">
        <v>0</v>
      </c>
      <c r="Q3520">
        <v>0</v>
      </c>
      <c r="R3520" s="3">
        <v>0</v>
      </c>
      <c r="S3520" s="3">
        <v>0</v>
      </c>
      <c r="T3520">
        <v>0</v>
      </c>
      <c r="U3520">
        <v>0</v>
      </c>
      <c r="V3520" s="3">
        <v>0</v>
      </c>
      <c r="W3520" s="3">
        <v>0</v>
      </c>
      <c r="X3520">
        <v>0</v>
      </c>
      <c r="Y3520" t="s">
        <v>2734</v>
      </c>
    </row>
    <row r="3521" spans="1:25" hidden="1" x14ac:dyDescent="0.25">
      <c r="A3521" t="s">
        <v>2118</v>
      </c>
      <c r="B3521" t="s">
        <v>2119</v>
      </c>
      <c r="C3521" t="s">
        <v>27</v>
      </c>
      <c r="D3521" t="s">
        <v>27</v>
      </c>
      <c r="E3521" s="2">
        <v>46041</v>
      </c>
      <c r="F3521" s="2">
        <v>46041</v>
      </c>
      <c r="G3521" s="3">
        <v>37</v>
      </c>
      <c r="H3521" t="s">
        <v>28</v>
      </c>
      <c r="I3521">
        <v>65</v>
      </c>
      <c r="J3521">
        <v>0</v>
      </c>
      <c r="K3521">
        <v>0</v>
      </c>
      <c r="L3521" s="3">
        <v>1</v>
      </c>
      <c r="M3521" s="3">
        <v>0</v>
      </c>
      <c r="N3521">
        <v>0</v>
      </c>
      <c r="O3521">
        <v>0</v>
      </c>
      <c r="P3521">
        <v>0</v>
      </c>
      <c r="Q3521">
        <v>65</v>
      </c>
      <c r="R3521" s="3">
        <v>0</v>
      </c>
      <c r="S3521" s="3">
        <v>0</v>
      </c>
      <c r="T3521">
        <v>0</v>
      </c>
      <c r="U3521">
        <v>0</v>
      </c>
      <c r="V3521" s="3">
        <v>0</v>
      </c>
      <c r="W3521" s="3">
        <v>0</v>
      </c>
      <c r="X3521">
        <v>0</v>
      </c>
      <c r="Y3521" t="s">
        <v>2735</v>
      </c>
    </row>
    <row r="3522" spans="1:25" hidden="1" x14ac:dyDescent="0.25">
      <c r="A3522" t="s">
        <v>45</v>
      </c>
      <c r="B3522" t="s">
        <v>116</v>
      </c>
      <c r="C3522" t="s">
        <v>46</v>
      </c>
      <c r="D3522" t="s">
        <v>27</v>
      </c>
      <c r="E3522" s="2">
        <v>46041</v>
      </c>
      <c r="F3522" s="2">
        <v>46041</v>
      </c>
      <c r="G3522" s="3">
        <v>54</v>
      </c>
      <c r="H3522" t="s">
        <v>28</v>
      </c>
      <c r="I3522">
        <v>58</v>
      </c>
      <c r="J3522">
        <v>0</v>
      </c>
      <c r="K3522">
        <v>0</v>
      </c>
      <c r="L3522" s="3">
        <v>1</v>
      </c>
      <c r="M3522" s="3">
        <v>0</v>
      </c>
      <c r="N3522">
        <v>0</v>
      </c>
      <c r="O3522">
        <v>0</v>
      </c>
      <c r="P3522">
        <v>0</v>
      </c>
      <c r="Q3522">
        <v>12</v>
      </c>
      <c r="R3522" s="3">
        <v>0</v>
      </c>
      <c r="S3522" s="3">
        <v>0</v>
      </c>
      <c r="T3522">
        <v>0</v>
      </c>
      <c r="U3522">
        <v>0</v>
      </c>
      <c r="V3522" s="3">
        <v>0</v>
      </c>
      <c r="W3522" s="3">
        <v>0</v>
      </c>
      <c r="X3522">
        <v>0</v>
      </c>
      <c r="Y3522" t="s">
        <v>2736</v>
      </c>
    </row>
    <row r="3523" spans="1:25" hidden="1" x14ac:dyDescent="0.25">
      <c r="A3523" t="s">
        <v>47</v>
      </c>
      <c r="B3523" t="s">
        <v>137</v>
      </c>
      <c r="C3523" t="s">
        <v>2310</v>
      </c>
      <c r="D3523" t="s">
        <v>27</v>
      </c>
      <c r="E3523" s="2">
        <v>46041</v>
      </c>
      <c r="F3523" s="2">
        <v>46041</v>
      </c>
      <c r="G3523" s="3">
        <v>224</v>
      </c>
      <c r="H3523" t="s">
        <v>28</v>
      </c>
      <c r="I3523">
        <v>27</v>
      </c>
      <c r="J3523">
        <v>1</v>
      </c>
      <c r="K3523">
        <v>0</v>
      </c>
      <c r="L3523" s="3">
        <v>1</v>
      </c>
      <c r="M3523" s="3">
        <v>0</v>
      </c>
      <c r="N3523">
        <v>0</v>
      </c>
      <c r="O3523">
        <v>0</v>
      </c>
      <c r="P3523">
        <v>0</v>
      </c>
      <c r="Q3523">
        <v>6</v>
      </c>
      <c r="R3523" s="3">
        <v>0</v>
      </c>
      <c r="S3523" s="3">
        <v>0</v>
      </c>
      <c r="T3523">
        <v>0</v>
      </c>
      <c r="U3523">
        <v>0</v>
      </c>
      <c r="V3523" s="3">
        <v>0</v>
      </c>
      <c r="W3523" s="3">
        <v>0</v>
      </c>
      <c r="X3523">
        <v>0</v>
      </c>
      <c r="Y3523" t="s">
        <v>2737</v>
      </c>
    </row>
    <row r="3524" spans="1:25" hidden="1" x14ac:dyDescent="0.25">
      <c r="A3524" t="s">
        <v>49</v>
      </c>
      <c r="B3524" t="s">
        <v>118</v>
      </c>
      <c r="C3524" t="s">
        <v>27</v>
      </c>
      <c r="D3524" t="s">
        <v>27</v>
      </c>
      <c r="E3524" s="2">
        <v>46041</v>
      </c>
      <c r="F3524" s="2">
        <v>46041</v>
      </c>
      <c r="G3524" s="3">
        <v>65</v>
      </c>
      <c r="H3524" t="s">
        <v>28</v>
      </c>
      <c r="I3524">
        <v>33</v>
      </c>
      <c r="J3524">
        <v>0</v>
      </c>
      <c r="K3524">
        <v>0</v>
      </c>
      <c r="L3524" s="3">
        <v>1</v>
      </c>
      <c r="M3524" s="3">
        <v>1</v>
      </c>
      <c r="N3524">
        <v>0</v>
      </c>
      <c r="O3524">
        <v>0</v>
      </c>
      <c r="P3524">
        <v>0</v>
      </c>
      <c r="Q3524">
        <v>33</v>
      </c>
      <c r="R3524" s="3">
        <v>0</v>
      </c>
      <c r="S3524" s="3">
        <v>0</v>
      </c>
      <c r="T3524">
        <v>0</v>
      </c>
      <c r="U3524">
        <v>0</v>
      </c>
      <c r="V3524" s="3">
        <v>0</v>
      </c>
      <c r="W3524" s="3">
        <v>0</v>
      </c>
      <c r="X3524">
        <v>0</v>
      </c>
      <c r="Y3524" t="s">
        <v>2738</v>
      </c>
    </row>
    <row r="3525" spans="1:25" hidden="1" x14ac:dyDescent="0.25">
      <c r="A3525" t="s">
        <v>51</v>
      </c>
      <c r="B3525" t="s">
        <v>120</v>
      </c>
      <c r="C3525" t="s">
        <v>55</v>
      </c>
      <c r="D3525" t="s">
        <v>27</v>
      </c>
      <c r="E3525" s="2">
        <v>46041</v>
      </c>
      <c r="F3525" s="2">
        <v>46041</v>
      </c>
      <c r="G3525" s="3">
        <v>96</v>
      </c>
      <c r="H3525" t="s">
        <v>28</v>
      </c>
      <c r="I3525">
        <v>33</v>
      </c>
      <c r="J3525">
        <v>0</v>
      </c>
      <c r="K3525">
        <v>0</v>
      </c>
      <c r="L3525" s="3">
        <v>1</v>
      </c>
      <c r="M3525" s="3">
        <v>0</v>
      </c>
      <c r="N3525">
        <v>1</v>
      </c>
      <c r="O3525">
        <v>0</v>
      </c>
      <c r="P3525">
        <v>0</v>
      </c>
      <c r="Q3525">
        <v>0</v>
      </c>
      <c r="R3525" s="3">
        <v>0</v>
      </c>
      <c r="S3525" s="3">
        <v>0</v>
      </c>
      <c r="T3525">
        <v>0</v>
      </c>
      <c r="U3525">
        <v>0</v>
      </c>
      <c r="V3525" s="3">
        <v>0</v>
      </c>
      <c r="W3525" s="3">
        <v>0</v>
      </c>
      <c r="X3525">
        <v>0</v>
      </c>
      <c r="Y3525" t="s">
        <v>2739</v>
      </c>
    </row>
    <row r="3526" spans="1:25" hidden="1" x14ac:dyDescent="0.25">
      <c r="A3526" t="s">
        <v>48</v>
      </c>
      <c r="B3526" t="s">
        <v>149</v>
      </c>
      <c r="C3526" t="s">
        <v>95</v>
      </c>
      <c r="D3526" t="s">
        <v>27</v>
      </c>
      <c r="E3526" s="2">
        <v>46041</v>
      </c>
      <c r="F3526" s="2">
        <v>46041</v>
      </c>
      <c r="G3526" s="3">
        <v>36</v>
      </c>
      <c r="H3526" t="s">
        <v>28</v>
      </c>
      <c r="I3526">
        <v>71</v>
      </c>
      <c r="J3526">
        <v>0</v>
      </c>
      <c r="K3526">
        <v>0</v>
      </c>
      <c r="L3526" s="3">
        <v>1</v>
      </c>
      <c r="M3526" s="3">
        <v>0</v>
      </c>
      <c r="N3526">
        <v>0</v>
      </c>
      <c r="O3526">
        <v>0</v>
      </c>
      <c r="P3526">
        <v>0</v>
      </c>
      <c r="Q3526">
        <v>15</v>
      </c>
      <c r="R3526" s="3">
        <v>0</v>
      </c>
      <c r="S3526" s="3">
        <v>0</v>
      </c>
      <c r="T3526">
        <v>0</v>
      </c>
      <c r="U3526">
        <v>0</v>
      </c>
      <c r="V3526" s="3">
        <v>0</v>
      </c>
      <c r="W3526" s="3">
        <v>0</v>
      </c>
      <c r="X3526">
        <v>0</v>
      </c>
      <c r="Y3526" t="s">
        <v>2740</v>
      </c>
    </row>
    <row r="3527" spans="1:25" hidden="1" x14ac:dyDescent="0.25">
      <c r="A3527" t="s">
        <v>54</v>
      </c>
      <c r="B3527" t="s">
        <v>122</v>
      </c>
      <c r="C3527" t="s">
        <v>52</v>
      </c>
      <c r="D3527" t="s">
        <v>27</v>
      </c>
      <c r="E3527" s="2">
        <v>46041</v>
      </c>
      <c r="F3527" s="2">
        <v>46041</v>
      </c>
      <c r="G3527" s="3">
        <v>36</v>
      </c>
      <c r="H3527" t="s">
        <v>28</v>
      </c>
      <c r="I3527">
        <v>59</v>
      </c>
      <c r="J3527">
        <v>0</v>
      </c>
      <c r="K3527">
        <v>0</v>
      </c>
      <c r="L3527" s="3">
        <v>0</v>
      </c>
      <c r="M3527" s="3">
        <v>0</v>
      </c>
      <c r="N3527">
        <v>0</v>
      </c>
      <c r="O3527">
        <v>0</v>
      </c>
      <c r="P3527">
        <v>0</v>
      </c>
      <c r="Q3527">
        <v>2</v>
      </c>
      <c r="R3527" s="3">
        <v>0</v>
      </c>
      <c r="S3527" s="3">
        <v>0</v>
      </c>
      <c r="T3527">
        <v>0</v>
      </c>
      <c r="U3527">
        <v>0</v>
      </c>
      <c r="V3527" s="3">
        <v>0</v>
      </c>
      <c r="W3527" s="3">
        <v>0</v>
      </c>
      <c r="X3527">
        <v>1</v>
      </c>
      <c r="Y3527" t="s">
        <v>2719</v>
      </c>
    </row>
    <row r="3528" spans="1:25" hidden="1" x14ac:dyDescent="0.25">
      <c r="A3528" t="s">
        <v>58</v>
      </c>
      <c r="B3528" t="s">
        <v>144</v>
      </c>
      <c r="C3528" t="s">
        <v>2514</v>
      </c>
      <c r="D3528" t="s">
        <v>27</v>
      </c>
      <c r="E3528" s="2">
        <v>46041</v>
      </c>
      <c r="F3528" s="2">
        <v>46041</v>
      </c>
      <c r="G3528" s="3">
        <v>108</v>
      </c>
      <c r="H3528" t="s">
        <v>28</v>
      </c>
      <c r="I3528">
        <v>60</v>
      </c>
      <c r="J3528">
        <v>0</v>
      </c>
      <c r="K3528">
        <v>0</v>
      </c>
      <c r="L3528" s="3">
        <v>1</v>
      </c>
      <c r="M3528" s="3">
        <v>0</v>
      </c>
      <c r="N3528">
        <v>0</v>
      </c>
      <c r="O3528">
        <v>0</v>
      </c>
      <c r="P3528">
        <v>0</v>
      </c>
      <c r="Q3528">
        <v>40</v>
      </c>
      <c r="R3528" s="3">
        <v>0</v>
      </c>
      <c r="S3528" s="3">
        <v>0</v>
      </c>
      <c r="T3528">
        <v>0</v>
      </c>
      <c r="U3528">
        <v>0</v>
      </c>
      <c r="V3528" s="3">
        <v>0</v>
      </c>
      <c r="W3528" s="3">
        <v>0</v>
      </c>
      <c r="X3528">
        <v>0</v>
      </c>
      <c r="Y3528" t="s">
        <v>2741</v>
      </c>
    </row>
    <row r="3529" spans="1:25" hidden="1" x14ac:dyDescent="0.25">
      <c r="A3529" t="s">
        <v>40</v>
      </c>
      <c r="B3529" t="s">
        <v>487</v>
      </c>
      <c r="C3529" t="s">
        <v>27</v>
      </c>
      <c r="D3529" t="s">
        <v>27</v>
      </c>
      <c r="E3529" s="2">
        <v>46041</v>
      </c>
      <c r="F3529" s="2">
        <v>46041</v>
      </c>
      <c r="G3529" s="3">
        <v>61</v>
      </c>
      <c r="H3529" t="s">
        <v>763</v>
      </c>
      <c r="I3529">
        <v>0</v>
      </c>
      <c r="J3529">
        <v>0</v>
      </c>
      <c r="K3529">
        <v>0</v>
      </c>
      <c r="L3529" s="3">
        <v>0</v>
      </c>
      <c r="M3529" s="3">
        <v>0</v>
      </c>
      <c r="N3529">
        <v>0</v>
      </c>
      <c r="O3529">
        <v>0</v>
      </c>
      <c r="P3529">
        <v>0</v>
      </c>
      <c r="Q3529">
        <v>0</v>
      </c>
      <c r="R3529" s="3">
        <v>0</v>
      </c>
      <c r="S3529" s="3">
        <v>0</v>
      </c>
      <c r="T3529">
        <v>0</v>
      </c>
      <c r="U3529">
        <v>0</v>
      </c>
      <c r="V3529" s="3">
        <v>0</v>
      </c>
      <c r="W3529" s="3">
        <v>0</v>
      </c>
      <c r="X3529" s="3">
        <v>0</v>
      </c>
      <c r="Y3529" t="s">
        <v>2450</v>
      </c>
    </row>
    <row r="3530" spans="1:25" hidden="1" x14ac:dyDescent="0.25">
      <c r="A3530" t="s">
        <v>27</v>
      </c>
      <c r="B3530" t="s">
        <v>102</v>
      </c>
      <c r="C3530" t="s">
        <v>37</v>
      </c>
      <c r="D3530" t="s">
        <v>27</v>
      </c>
      <c r="E3530" s="2">
        <v>46041</v>
      </c>
      <c r="F3530" s="2">
        <v>46041</v>
      </c>
      <c r="G3530" s="3">
        <v>62</v>
      </c>
      <c r="H3530" t="s">
        <v>763</v>
      </c>
      <c r="I3530">
        <v>0</v>
      </c>
      <c r="J3530">
        <v>0</v>
      </c>
      <c r="K3530">
        <v>0</v>
      </c>
      <c r="L3530" s="3">
        <v>0</v>
      </c>
      <c r="M3530" s="3">
        <v>0</v>
      </c>
      <c r="N3530">
        <v>0</v>
      </c>
      <c r="O3530">
        <v>0</v>
      </c>
      <c r="P3530">
        <v>0</v>
      </c>
      <c r="Q3530">
        <v>0</v>
      </c>
      <c r="R3530" s="3">
        <v>0</v>
      </c>
      <c r="S3530" s="3">
        <v>0</v>
      </c>
      <c r="T3530">
        <v>0</v>
      </c>
      <c r="U3530">
        <v>0</v>
      </c>
      <c r="V3530" s="3">
        <v>0</v>
      </c>
      <c r="W3530" s="3">
        <v>0</v>
      </c>
      <c r="X3530" s="3">
        <v>0</v>
      </c>
      <c r="Y3530" t="s">
        <v>2450</v>
      </c>
    </row>
    <row r="3531" spans="1:25" hidden="1" x14ac:dyDescent="0.25">
      <c r="A3531" t="s">
        <v>27</v>
      </c>
      <c r="B3531" t="s">
        <v>186</v>
      </c>
      <c r="C3531" t="s">
        <v>2379</v>
      </c>
      <c r="D3531" t="s">
        <v>27</v>
      </c>
      <c r="E3531" s="2">
        <v>46041</v>
      </c>
      <c r="F3531" s="2">
        <v>46041</v>
      </c>
      <c r="G3531" s="3">
        <v>41</v>
      </c>
      <c r="H3531" t="s">
        <v>1448</v>
      </c>
      <c r="I3531">
        <v>0</v>
      </c>
      <c r="J3531">
        <v>0</v>
      </c>
      <c r="K3531">
        <v>0</v>
      </c>
      <c r="L3531" s="3">
        <v>0</v>
      </c>
      <c r="M3531" s="3">
        <v>0</v>
      </c>
      <c r="N3531">
        <v>0</v>
      </c>
      <c r="O3531">
        <v>0</v>
      </c>
      <c r="P3531">
        <v>0</v>
      </c>
      <c r="Q3531">
        <v>0</v>
      </c>
      <c r="R3531" s="3">
        <v>0</v>
      </c>
      <c r="S3531" s="3">
        <v>0</v>
      </c>
      <c r="T3531">
        <v>0</v>
      </c>
      <c r="U3531">
        <v>0</v>
      </c>
      <c r="V3531" s="3">
        <v>0</v>
      </c>
      <c r="W3531" s="3">
        <v>0</v>
      </c>
      <c r="X3531">
        <v>0</v>
      </c>
      <c r="Y3531" t="s">
        <v>2450</v>
      </c>
    </row>
    <row r="3532" spans="1:25" hidden="1" x14ac:dyDescent="0.25">
      <c r="A3532" t="s">
        <v>27</v>
      </c>
      <c r="B3532" t="s">
        <v>186</v>
      </c>
      <c r="C3532" t="s">
        <v>2379</v>
      </c>
      <c r="D3532" t="s">
        <v>27</v>
      </c>
      <c r="E3532" s="2">
        <v>46042</v>
      </c>
      <c r="F3532" s="2">
        <v>46042</v>
      </c>
      <c r="G3532" s="3">
        <v>41</v>
      </c>
      <c r="H3532" t="s">
        <v>1448</v>
      </c>
      <c r="I3532">
        <v>0</v>
      </c>
      <c r="J3532">
        <v>0</v>
      </c>
      <c r="K3532">
        <v>0</v>
      </c>
      <c r="L3532" s="3">
        <v>0</v>
      </c>
      <c r="M3532" s="3">
        <v>0</v>
      </c>
      <c r="N3532">
        <v>0</v>
      </c>
      <c r="O3532">
        <v>0</v>
      </c>
      <c r="P3532">
        <v>0</v>
      </c>
      <c r="Q3532">
        <v>0</v>
      </c>
      <c r="R3532" s="3">
        <v>0</v>
      </c>
      <c r="S3532" s="3">
        <v>0</v>
      </c>
      <c r="T3532">
        <v>0</v>
      </c>
      <c r="U3532">
        <v>0</v>
      </c>
      <c r="V3532" s="3">
        <v>0</v>
      </c>
      <c r="W3532" s="3">
        <v>0</v>
      </c>
      <c r="X3532">
        <v>0</v>
      </c>
      <c r="Y3532" t="s">
        <v>2450</v>
      </c>
    </row>
    <row r="3533" spans="1:25" hidden="1" x14ac:dyDescent="0.25">
      <c r="A3533" t="s">
        <v>25</v>
      </c>
      <c r="B3533" t="s">
        <v>96</v>
      </c>
      <c r="C3533" t="s">
        <v>26</v>
      </c>
      <c r="D3533" t="s">
        <v>27</v>
      </c>
      <c r="E3533" s="2">
        <v>46042</v>
      </c>
      <c r="F3533" s="2">
        <v>46042</v>
      </c>
      <c r="G3533" s="3">
        <v>42</v>
      </c>
      <c r="H3533" t="s">
        <v>28</v>
      </c>
      <c r="I3533">
        <v>29</v>
      </c>
      <c r="J3533">
        <v>0</v>
      </c>
      <c r="K3533">
        <v>0</v>
      </c>
      <c r="L3533" s="3">
        <v>0</v>
      </c>
      <c r="M3533" s="3">
        <v>0</v>
      </c>
      <c r="N3533">
        <v>1</v>
      </c>
      <c r="O3533">
        <v>0</v>
      </c>
      <c r="P3533">
        <v>0</v>
      </c>
      <c r="Q3533">
        <v>0</v>
      </c>
      <c r="R3533" s="3">
        <v>0</v>
      </c>
      <c r="S3533" s="3">
        <v>0</v>
      </c>
      <c r="T3533">
        <v>0</v>
      </c>
      <c r="U3533">
        <v>0</v>
      </c>
      <c r="V3533" s="3">
        <v>0</v>
      </c>
      <c r="W3533" s="3">
        <v>0</v>
      </c>
      <c r="X3533">
        <v>0</v>
      </c>
      <c r="Y3533" t="s">
        <v>2742</v>
      </c>
    </row>
    <row r="3534" spans="1:25" hidden="1" x14ac:dyDescent="0.25">
      <c r="A3534" t="s">
        <v>29</v>
      </c>
      <c r="B3534" t="s">
        <v>100</v>
      </c>
      <c r="C3534" t="s">
        <v>2271</v>
      </c>
      <c r="D3534" t="s">
        <v>27</v>
      </c>
      <c r="E3534" s="2">
        <v>46042</v>
      </c>
      <c r="F3534" s="2">
        <v>46042</v>
      </c>
      <c r="G3534" s="3">
        <v>67</v>
      </c>
      <c r="H3534" t="s">
        <v>28</v>
      </c>
      <c r="I3534">
        <v>52</v>
      </c>
      <c r="J3534">
        <v>0</v>
      </c>
      <c r="K3534">
        <v>0</v>
      </c>
      <c r="L3534" s="3">
        <v>0</v>
      </c>
      <c r="M3534" s="3">
        <v>0</v>
      </c>
      <c r="N3534">
        <v>0</v>
      </c>
      <c r="O3534">
        <v>0</v>
      </c>
      <c r="P3534">
        <v>0</v>
      </c>
      <c r="Q3534">
        <v>0</v>
      </c>
      <c r="R3534" s="3">
        <v>0</v>
      </c>
      <c r="S3534" s="3">
        <v>0</v>
      </c>
      <c r="T3534">
        <v>0</v>
      </c>
      <c r="U3534">
        <v>0</v>
      </c>
      <c r="V3534" s="3">
        <v>0</v>
      </c>
      <c r="W3534" s="3">
        <v>0</v>
      </c>
      <c r="X3534">
        <v>0</v>
      </c>
      <c r="Y3534" t="s">
        <v>2743</v>
      </c>
    </row>
    <row r="3535" spans="1:25" hidden="1" x14ac:dyDescent="0.25">
      <c r="A3535" t="s">
        <v>31</v>
      </c>
      <c r="B3535" t="s">
        <v>104</v>
      </c>
      <c r="C3535" t="s">
        <v>32</v>
      </c>
      <c r="D3535" t="s">
        <v>27</v>
      </c>
      <c r="E3535" s="2">
        <v>46042</v>
      </c>
      <c r="F3535" s="2">
        <v>46042</v>
      </c>
      <c r="G3535" s="3">
        <v>56</v>
      </c>
      <c r="H3535" t="s">
        <v>28</v>
      </c>
      <c r="I3535">
        <v>60</v>
      </c>
      <c r="J3535">
        <v>0</v>
      </c>
      <c r="K3535">
        <v>0</v>
      </c>
      <c r="L3535" s="3">
        <v>0</v>
      </c>
      <c r="M3535" s="3">
        <v>0</v>
      </c>
      <c r="N3535">
        <v>0</v>
      </c>
      <c r="O3535">
        <v>0</v>
      </c>
      <c r="P3535">
        <v>0</v>
      </c>
      <c r="Q3535">
        <v>34</v>
      </c>
      <c r="R3535" s="3">
        <v>0</v>
      </c>
      <c r="S3535" s="3">
        <v>0</v>
      </c>
      <c r="T3535">
        <v>0</v>
      </c>
      <c r="U3535">
        <v>0</v>
      </c>
      <c r="V3535" s="3">
        <v>0</v>
      </c>
      <c r="W3535" s="3">
        <v>0</v>
      </c>
      <c r="X3535" s="37">
        <v>2</v>
      </c>
      <c r="Y3535" t="s">
        <v>2744</v>
      </c>
    </row>
    <row r="3536" spans="1:25" hidden="1" x14ac:dyDescent="0.25">
      <c r="A3536" t="s">
        <v>36</v>
      </c>
      <c r="B3536" t="s">
        <v>249</v>
      </c>
      <c r="C3536" t="s">
        <v>2534</v>
      </c>
      <c r="D3536" t="s">
        <v>27</v>
      </c>
      <c r="E3536" s="2">
        <v>46042</v>
      </c>
      <c r="F3536" s="2">
        <v>46042</v>
      </c>
      <c r="G3536" s="3">
        <v>78</v>
      </c>
      <c r="H3536" t="s">
        <v>28</v>
      </c>
      <c r="I3536">
        <v>122</v>
      </c>
      <c r="J3536">
        <v>0</v>
      </c>
      <c r="K3536">
        <v>0</v>
      </c>
      <c r="L3536" s="3">
        <v>1</v>
      </c>
      <c r="M3536" s="3">
        <v>0</v>
      </c>
      <c r="N3536">
        <v>1</v>
      </c>
      <c r="O3536">
        <v>0</v>
      </c>
      <c r="P3536">
        <v>0</v>
      </c>
      <c r="Q3536">
        <v>0</v>
      </c>
      <c r="R3536" s="3">
        <v>0</v>
      </c>
      <c r="S3536" s="3">
        <v>0</v>
      </c>
      <c r="T3536">
        <v>0</v>
      </c>
      <c r="U3536">
        <v>0</v>
      </c>
      <c r="V3536" s="3">
        <v>0</v>
      </c>
      <c r="W3536" s="3">
        <v>0</v>
      </c>
      <c r="X3536">
        <v>0</v>
      </c>
      <c r="Y3536" t="s">
        <v>2745</v>
      </c>
    </row>
    <row r="3537" spans="1:25" hidden="1" x14ac:dyDescent="0.25">
      <c r="A3537" t="s">
        <v>38</v>
      </c>
      <c r="B3537" t="s">
        <v>108</v>
      </c>
      <c r="C3537" t="s">
        <v>27</v>
      </c>
      <c r="D3537" t="s">
        <v>27</v>
      </c>
      <c r="E3537" s="2">
        <v>46042</v>
      </c>
      <c r="F3537" s="2">
        <v>46042</v>
      </c>
      <c r="G3537" s="3">
        <v>30</v>
      </c>
      <c r="H3537" t="s">
        <v>28</v>
      </c>
      <c r="I3537">
        <v>28</v>
      </c>
      <c r="J3537">
        <v>0</v>
      </c>
      <c r="K3537">
        <v>0</v>
      </c>
      <c r="L3537" s="3">
        <v>1</v>
      </c>
      <c r="M3537" s="3">
        <v>0</v>
      </c>
      <c r="N3537">
        <v>0</v>
      </c>
      <c r="O3537">
        <v>0</v>
      </c>
      <c r="P3537">
        <v>0</v>
      </c>
      <c r="Q3537">
        <v>28</v>
      </c>
      <c r="R3537" s="3">
        <v>0</v>
      </c>
      <c r="S3537" s="3">
        <v>0</v>
      </c>
      <c r="T3537">
        <v>0</v>
      </c>
      <c r="U3537">
        <v>0</v>
      </c>
      <c r="V3537" s="3">
        <v>0</v>
      </c>
      <c r="W3537" s="3">
        <v>0</v>
      </c>
      <c r="X3537">
        <v>0</v>
      </c>
      <c r="Y3537" t="s">
        <v>2746</v>
      </c>
    </row>
    <row r="3538" spans="1:25" hidden="1" x14ac:dyDescent="0.25">
      <c r="A3538" t="s">
        <v>2679</v>
      </c>
      <c r="B3538" t="s">
        <v>2680</v>
      </c>
      <c r="C3538" t="s">
        <v>39</v>
      </c>
      <c r="D3538" t="s">
        <v>27</v>
      </c>
      <c r="E3538" s="2">
        <v>46042</v>
      </c>
      <c r="F3538" s="2">
        <v>46042</v>
      </c>
      <c r="G3538" s="3">
        <v>52</v>
      </c>
      <c r="H3538" t="s">
        <v>28</v>
      </c>
      <c r="I3538">
        <v>35</v>
      </c>
      <c r="J3538">
        <v>0</v>
      </c>
      <c r="K3538">
        <v>0</v>
      </c>
      <c r="L3538" s="3">
        <v>1</v>
      </c>
      <c r="M3538" s="3">
        <v>0</v>
      </c>
      <c r="N3538">
        <v>0</v>
      </c>
      <c r="O3538">
        <v>0</v>
      </c>
      <c r="P3538">
        <v>0</v>
      </c>
      <c r="Q3538">
        <v>35</v>
      </c>
      <c r="R3538" s="3">
        <v>0</v>
      </c>
      <c r="S3538" s="3">
        <v>0</v>
      </c>
      <c r="T3538">
        <v>0</v>
      </c>
      <c r="U3538">
        <v>0</v>
      </c>
      <c r="V3538" s="3">
        <v>0</v>
      </c>
      <c r="W3538" s="3">
        <v>0</v>
      </c>
      <c r="X3538">
        <v>0</v>
      </c>
      <c r="Y3538" t="s">
        <v>2747</v>
      </c>
    </row>
    <row r="3539" spans="1:25" hidden="1" x14ac:dyDescent="0.25">
      <c r="A3539" t="s">
        <v>41</v>
      </c>
      <c r="B3539" t="s">
        <v>112</v>
      </c>
      <c r="C3539" t="s">
        <v>42</v>
      </c>
      <c r="D3539" t="s">
        <v>27</v>
      </c>
      <c r="E3539" s="2">
        <v>46042</v>
      </c>
      <c r="F3539" s="2">
        <v>46042</v>
      </c>
      <c r="G3539" s="3">
        <v>31</v>
      </c>
      <c r="H3539" t="s">
        <v>28</v>
      </c>
      <c r="I3539">
        <v>39</v>
      </c>
      <c r="J3539">
        <v>0</v>
      </c>
      <c r="K3539">
        <v>0</v>
      </c>
      <c r="L3539" s="3">
        <v>1</v>
      </c>
      <c r="M3539" s="3">
        <v>0</v>
      </c>
      <c r="N3539">
        <v>0</v>
      </c>
      <c r="O3539">
        <v>0</v>
      </c>
      <c r="P3539">
        <v>0</v>
      </c>
      <c r="Q3539">
        <v>1</v>
      </c>
      <c r="R3539" s="3">
        <v>0</v>
      </c>
      <c r="S3539" s="3">
        <v>0</v>
      </c>
      <c r="T3539">
        <v>0</v>
      </c>
      <c r="U3539">
        <v>0</v>
      </c>
      <c r="V3539" s="3">
        <v>0</v>
      </c>
      <c r="W3539" s="3">
        <v>0</v>
      </c>
      <c r="X3539">
        <v>0</v>
      </c>
      <c r="Y3539" t="s">
        <v>2748</v>
      </c>
    </row>
    <row r="3540" spans="1:25" hidden="1" x14ac:dyDescent="0.25">
      <c r="A3540" t="s">
        <v>47</v>
      </c>
      <c r="B3540" t="s">
        <v>137</v>
      </c>
      <c r="C3540" t="s">
        <v>2310</v>
      </c>
      <c r="D3540" t="s">
        <v>27</v>
      </c>
      <c r="E3540" s="2">
        <v>46042</v>
      </c>
      <c r="F3540" s="2">
        <v>46042</v>
      </c>
      <c r="G3540" s="3">
        <v>124</v>
      </c>
      <c r="H3540" t="s">
        <v>28</v>
      </c>
      <c r="I3540">
        <v>37</v>
      </c>
      <c r="J3540">
        <v>0</v>
      </c>
      <c r="K3540">
        <v>0</v>
      </c>
      <c r="L3540" s="3">
        <v>0</v>
      </c>
      <c r="M3540" s="3">
        <v>0</v>
      </c>
      <c r="N3540">
        <v>0</v>
      </c>
      <c r="O3540">
        <v>0</v>
      </c>
      <c r="P3540">
        <v>0</v>
      </c>
      <c r="Q3540">
        <v>4</v>
      </c>
      <c r="R3540" s="3">
        <v>0</v>
      </c>
      <c r="S3540" s="3">
        <v>0</v>
      </c>
      <c r="T3540">
        <v>0</v>
      </c>
      <c r="U3540">
        <v>0</v>
      </c>
      <c r="V3540" s="3">
        <v>0</v>
      </c>
      <c r="W3540" s="3">
        <v>0</v>
      </c>
      <c r="X3540">
        <v>0</v>
      </c>
      <c r="Y3540" t="s">
        <v>2749</v>
      </c>
    </row>
    <row r="3541" spans="1:25" hidden="1" x14ac:dyDescent="0.25">
      <c r="A3541" t="s">
        <v>49</v>
      </c>
      <c r="B3541" t="s">
        <v>118</v>
      </c>
      <c r="C3541" t="s">
        <v>27</v>
      </c>
      <c r="D3541" t="s">
        <v>27</v>
      </c>
      <c r="E3541" s="2">
        <v>46042</v>
      </c>
      <c r="F3541" s="2">
        <v>46042</v>
      </c>
      <c r="G3541" s="3">
        <v>45</v>
      </c>
      <c r="H3541" t="s">
        <v>28</v>
      </c>
      <c r="I3541">
        <v>44</v>
      </c>
      <c r="J3541">
        <v>0</v>
      </c>
      <c r="K3541">
        <v>0</v>
      </c>
      <c r="L3541" s="3">
        <v>1</v>
      </c>
      <c r="M3541" s="3">
        <v>1</v>
      </c>
      <c r="N3541">
        <v>1</v>
      </c>
      <c r="O3541">
        <v>1</v>
      </c>
      <c r="P3541">
        <v>0</v>
      </c>
      <c r="Q3541">
        <v>47</v>
      </c>
      <c r="R3541" s="3">
        <v>0</v>
      </c>
      <c r="S3541" s="3">
        <v>0</v>
      </c>
      <c r="T3541">
        <v>0</v>
      </c>
      <c r="U3541">
        <v>0</v>
      </c>
      <c r="V3541" s="3">
        <v>0</v>
      </c>
      <c r="W3541" s="3">
        <v>0</v>
      </c>
      <c r="X3541">
        <v>0</v>
      </c>
      <c r="Y3541" t="s">
        <v>2750</v>
      </c>
    </row>
    <row r="3542" spans="1:25" hidden="1" x14ac:dyDescent="0.25">
      <c r="A3542" t="s">
        <v>51</v>
      </c>
      <c r="B3542" t="s">
        <v>120</v>
      </c>
      <c r="C3542" t="s">
        <v>44</v>
      </c>
      <c r="D3542" t="s">
        <v>27</v>
      </c>
      <c r="E3542" s="2">
        <v>46042</v>
      </c>
      <c r="F3542" s="2">
        <v>46042</v>
      </c>
      <c r="G3542" s="3">
        <v>37</v>
      </c>
      <c r="H3542" t="s">
        <v>28</v>
      </c>
      <c r="I3542">
        <v>65</v>
      </c>
      <c r="J3542">
        <v>0</v>
      </c>
      <c r="K3542">
        <v>0</v>
      </c>
      <c r="L3542" s="3">
        <v>1</v>
      </c>
      <c r="M3542" s="3">
        <v>0</v>
      </c>
      <c r="N3542">
        <v>0</v>
      </c>
      <c r="O3542">
        <v>0</v>
      </c>
      <c r="P3542">
        <v>0</v>
      </c>
      <c r="Q3542">
        <v>0</v>
      </c>
      <c r="R3542" s="3">
        <v>0</v>
      </c>
      <c r="S3542" s="3">
        <v>0</v>
      </c>
      <c r="T3542">
        <v>0</v>
      </c>
      <c r="U3542">
        <v>0</v>
      </c>
      <c r="V3542" s="3">
        <v>0</v>
      </c>
      <c r="W3542" s="3">
        <v>0</v>
      </c>
      <c r="X3542">
        <v>0</v>
      </c>
      <c r="Y3542" t="s">
        <v>2751</v>
      </c>
    </row>
    <row r="3543" spans="1:25" hidden="1" x14ac:dyDescent="0.25">
      <c r="A3543" t="s">
        <v>54</v>
      </c>
      <c r="B3543" t="s">
        <v>122</v>
      </c>
      <c r="C3543" t="s">
        <v>52</v>
      </c>
      <c r="D3543" t="s">
        <v>27</v>
      </c>
      <c r="E3543" s="2">
        <v>46042</v>
      </c>
      <c r="F3543" s="2">
        <v>46042</v>
      </c>
      <c r="G3543" s="3">
        <v>38</v>
      </c>
      <c r="H3543" t="s">
        <v>28</v>
      </c>
      <c r="I3543">
        <v>41</v>
      </c>
      <c r="J3543">
        <v>0</v>
      </c>
      <c r="K3543">
        <v>0</v>
      </c>
      <c r="L3543" s="3">
        <v>0</v>
      </c>
      <c r="M3543" s="3">
        <v>0</v>
      </c>
      <c r="N3543">
        <v>0</v>
      </c>
      <c r="O3543">
        <v>0</v>
      </c>
      <c r="P3543">
        <v>0</v>
      </c>
      <c r="Q3543">
        <v>2</v>
      </c>
      <c r="R3543" s="3">
        <v>0</v>
      </c>
      <c r="S3543" s="3">
        <v>0</v>
      </c>
      <c r="T3543">
        <v>0</v>
      </c>
      <c r="U3543">
        <v>0</v>
      </c>
      <c r="V3543" s="3">
        <v>0</v>
      </c>
      <c r="W3543" s="3">
        <v>0</v>
      </c>
      <c r="X3543">
        <v>0</v>
      </c>
      <c r="Y3543" t="s">
        <v>2752</v>
      </c>
    </row>
    <row r="3544" spans="1:25" hidden="1" x14ac:dyDescent="0.25">
      <c r="A3544" t="s">
        <v>48</v>
      </c>
      <c r="B3544" t="s">
        <v>149</v>
      </c>
      <c r="C3544" t="s">
        <v>95</v>
      </c>
      <c r="D3544" t="s">
        <v>27</v>
      </c>
      <c r="E3544" s="2">
        <v>46042</v>
      </c>
      <c r="F3544" s="2">
        <v>46042</v>
      </c>
      <c r="G3544" s="3">
        <v>31</v>
      </c>
      <c r="H3544" t="s">
        <v>28</v>
      </c>
      <c r="I3544">
        <v>20</v>
      </c>
      <c r="J3544">
        <v>0</v>
      </c>
      <c r="K3544">
        <v>0</v>
      </c>
      <c r="L3544" s="3">
        <v>0</v>
      </c>
      <c r="M3544" s="3">
        <v>0</v>
      </c>
      <c r="N3544">
        <v>0</v>
      </c>
      <c r="O3544">
        <v>0</v>
      </c>
      <c r="P3544">
        <v>0</v>
      </c>
      <c r="Q3544">
        <v>6</v>
      </c>
      <c r="R3544" s="3">
        <v>0</v>
      </c>
      <c r="S3544" s="3">
        <v>0</v>
      </c>
      <c r="T3544">
        <v>0</v>
      </c>
      <c r="U3544">
        <v>0</v>
      </c>
      <c r="V3544" s="3">
        <v>0</v>
      </c>
      <c r="W3544" s="3">
        <v>0</v>
      </c>
      <c r="X3544">
        <v>0</v>
      </c>
      <c r="Y3544" t="s">
        <v>2753</v>
      </c>
    </row>
    <row r="3545" spans="1:25" hidden="1" x14ac:dyDescent="0.25">
      <c r="A3545" t="s">
        <v>58</v>
      </c>
      <c r="B3545" t="s">
        <v>144</v>
      </c>
      <c r="C3545" t="s">
        <v>2514</v>
      </c>
      <c r="D3545" t="s">
        <v>27</v>
      </c>
      <c r="E3545" s="2">
        <v>46042</v>
      </c>
      <c r="F3545" s="2">
        <v>46042</v>
      </c>
      <c r="G3545" s="3">
        <v>148</v>
      </c>
      <c r="H3545" t="s">
        <v>28</v>
      </c>
      <c r="I3545">
        <v>12</v>
      </c>
      <c r="J3545">
        <v>0</v>
      </c>
      <c r="K3545">
        <v>0</v>
      </c>
      <c r="L3545" s="3">
        <v>0</v>
      </c>
      <c r="M3545" s="3">
        <v>0</v>
      </c>
      <c r="N3545">
        <v>0</v>
      </c>
      <c r="O3545">
        <v>0</v>
      </c>
      <c r="P3545">
        <v>0</v>
      </c>
      <c r="Q3545">
        <v>10</v>
      </c>
      <c r="R3545" s="3">
        <v>0</v>
      </c>
      <c r="S3545" s="3">
        <v>0</v>
      </c>
      <c r="T3545">
        <v>0</v>
      </c>
      <c r="U3545">
        <v>0</v>
      </c>
      <c r="V3545" s="3">
        <v>0</v>
      </c>
      <c r="W3545" s="3">
        <v>0</v>
      </c>
      <c r="X3545">
        <v>0</v>
      </c>
      <c r="Y3545" t="s">
        <v>2754</v>
      </c>
    </row>
    <row r="3546" spans="1:25" hidden="1" x14ac:dyDescent="0.25">
      <c r="A3546" t="s">
        <v>2755</v>
      </c>
      <c r="B3546" t="s">
        <v>116</v>
      </c>
      <c r="C3546" t="s">
        <v>46</v>
      </c>
      <c r="D3546" t="s">
        <v>27</v>
      </c>
      <c r="E3546" s="2">
        <v>46042</v>
      </c>
      <c r="F3546" s="2">
        <v>46042</v>
      </c>
      <c r="G3546" s="3">
        <v>54</v>
      </c>
      <c r="H3546" t="s">
        <v>28</v>
      </c>
      <c r="I3546">
        <v>28</v>
      </c>
      <c r="J3546">
        <v>0</v>
      </c>
      <c r="K3546">
        <v>0</v>
      </c>
      <c r="L3546" s="3">
        <v>0</v>
      </c>
      <c r="M3546" s="3">
        <v>0</v>
      </c>
      <c r="N3546">
        <v>0</v>
      </c>
      <c r="O3546">
        <v>0</v>
      </c>
      <c r="P3546">
        <v>0</v>
      </c>
      <c r="Q3546">
        <v>12</v>
      </c>
      <c r="R3546" s="3">
        <v>0</v>
      </c>
      <c r="S3546" s="3">
        <v>0</v>
      </c>
      <c r="T3546">
        <v>0</v>
      </c>
      <c r="U3546">
        <v>0</v>
      </c>
      <c r="V3546" s="3">
        <v>0</v>
      </c>
      <c r="W3546" s="3">
        <v>0</v>
      </c>
      <c r="X3546">
        <v>0</v>
      </c>
      <c r="Y3546" t="s">
        <v>2736</v>
      </c>
    </row>
    <row r="3547" spans="1:25" hidden="1" x14ac:dyDescent="0.25">
      <c r="A3547" t="s">
        <v>43</v>
      </c>
      <c r="B3547" t="s">
        <v>104</v>
      </c>
      <c r="C3547" t="s">
        <v>27</v>
      </c>
      <c r="D3547" t="s">
        <v>27</v>
      </c>
      <c r="E3547" s="2">
        <v>46042</v>
      </c>
      <c r="F3547" s="2">
        <v>46042</v>
      </c>
      <c r="G3547" s="3">
        <v>55</v>
      </c>
      <c r="H3547" t="s">
        <v>2756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2757</v>
      </c>
    </row>
    <row r="3548" spans="1:25" hidden="1" x14ac:dyDescent="0.25">
      <c r="A3548" t="s">
        <v>344</v>
      </c>
      <c r="B3548" t="s">
        <v>2758</v>
      </c>
      <c r="C3548" t="s">
        <v>27</v>
      </c>
      <c r="D3548" t="s">
        <v>27</v>
      </c>
      <c r="E3548" s="2">
        <v>46042</v>
      </c>
      <c r="F3548" s="2">
        <v>46042</v>
      </c>
      <c r="G3548" s="3">
        <v>56</v>
      </c>
      <c r="H3548" t="s">
        <v>28</v>
      </c>
      <c r="I3548">
        <v>20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2759</v>
      </c>
    </row>
    <row r="3549" spans="1:25" hidden="1" x14ac:dyDescent="0.25">
      <c r="A3549" t="s">
        <v>33</v>
      </c>
      <c r="B3549" t="s">
        <v>2760</v>
      </c>
      <c r="C3549" t="s">
        <v>27</v>
      </c>
      <c r="D3549" t="s">
        <v>27</v>
      </c>
      <c r="E3549" s="2">
        <v>46042</v>
      </c>
      <c r="F3549" s="2">
        <v>46042</v>
      </c>
      <c r="G3549" s="3">
        <v>57</v>
      </c>
      <c r="H3549" t="s">
        <v>2143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2761</v>
      </c>
    </row>
    <row r="3550" spans="1:25" hidden="1" x14ac:dyDescent="0.25">
      <c r="A3550" t="s">
        <v>27</v>
      </c>
      <c r="B3550" t="s">
        <v>2762</v>
      </c>
      <c r="C3550" t="s">
        <v>55</v>
      </c>
      <c r="D3550" t="s">
        <v>27</v>
      </c>
      <c r="E3550" s="2">
        <v>46042</v>
      </c>
      <c r="F3550" s="2">
        <v>46042</v>
      </c>
      <c r="G3550" s="3">
        <v>58</v>
      </c>
      <c r="H3550" t="s">
        <v>1448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2763</v>
      </c>
    </row>
    <row r="3551" spans="1:25" hidden="1" x14ac:dyDescent="0.25">
      <c r="A3551" t="s">
        <v>45</v>
      </c>
      <c r="B3551" t="s">
        <v>2764</v>
      </c>
      <c r="C3551" t="s">
        <v>27</v>
      </c>
      <c r="D3551" t="s">
        <v>27</v>
      </c>
      <c r="E3551" s="2">
        <v>46042</v>
      </c>
      <c r="F3551" s="2">
        <v>46042</v>
      </c>
      <c r="G3551" s="3">
        <v>59</v>
      </c>
      <c r="H3551" t="s">
        <v>763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2765</v>
      </c>
    </row>
    <row r="3552" spans="1:25" hidden="1" x14ac:dyDescent="0.25">
      <c r="A3552" t="s">
        <v>27</v>
      </c>
      <c r="B3552" t="s">
        <v>2766</v>
      </c>
      <c r="C3552" t="s">
        <v>57</v>
      </c>
      <c r="D3552" t="s">
        <v>27</v>
      </c>
      <c r="E3552" s="2">
        <v>46042</v>
      </c>
      <c r="F3552" s="2">
        <v>46042</v>
      </c>
      <c r="G3552" s="3">
        <v>60</v>
      </c>
      <c r="H3552" t="s">
        <v>1448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2767</v>
      </c>
    </row>
    <row r="3553" spans="1:25" hidden="1" x14ac:dyDescent="0.25">
      <c r="A3553" t="s">
        <v>40</v>
      </c>
      <c r="B3553" t="s">
        <v>2768</v>
      </c>
      <c r="C3553" t="s">
        <v>27</v>
      </c>
      <c r="D3553" t="s">
        <v>27</v>
      </c>
      <c r="E3553" s="2">
        <v>46042</v>
      </c>
      <c r="F3553" s="2">
        <v>46042</v>
      </c>
      <c r="G3553" s="3">
        <v>61</v>
      </c>
      <c r="H3553" t="s">
        <v>763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2769</v>
      </c>
    </row>
    <row r="3554" spans="1:25" hidden="1" x14ac:dyDescent="0.25">
      <c r="A3554" t="s">
        <v>27</v>
      </c>
      <c r="B3554" t="s">
        <v>2770</v>
      </c>
      <c r="C3554" t="s">
        <v>37</v>
      </c>
      <c r="D3554" t="s">
        <v>27</v>
      </c>
      <c r="E3554" s="2">
        <v>46042</v>
      </c>
      <c r="F3554" s="2">
        <v>46042</v>
      </c>
      <c r="G3554" s="3">
        <v>62</v>
      </c>
      <c r="H3554" t="s">
        <v>763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2771</v>
      </c>
    </row>
    <row r="3555" spans="1:25" hidden="1" x14ac:dyDescent="0.25">
      <c r="A3555" t="s">
        <v>55</v>
      </c>
      <c r="B3555" t="s">
        <v>2072</v>
      </c>
      <c r="C3555" t="s">
        <v>46</v>
      </c>
      <c r="D3555" t="s">
        <v>27</v>
      </c>
      <c r="E3555" s="2">
        <v>46043</v>
      </c>
      <c r="F3555" s="2">
        <v>46043</v>
      </c>
      <c r="G3555" s="3">
        <v>86</v>
      </c>
      <c r="H3555" t="s">
        <v>28</v>
      </c>
      <c r="I3555">
        <v>66</v>
      </c>
      <c r="J3555">
        <v>0</v>
      </c>
      <c r="K3555">
        <v>0</v>
      </c>
      <c r="L3555" s="3">
        <v>1</v>
      </c>
      <c r="M3555" s="3">
        <v>0</v>
      </c>
      <c r="N3555">
        <v>0</v>
      </c>
      <c r="O3555">
        <v>0</v>
      </c>
      <c r="P3555">
        <v>0</v>
      </c>
      <c r="Q3555">
        <v>0</v>
      </c>
      <c r="R3555" s="3">
        <v>0</v>
      </c>
      <c r="S3555" s="3">
        <v>0</v>
      </c>
      <c r="T3555">
        <v>0</v>
      </c>
      <c r="U3555">
        <v>0</v>
      </c>
      <c r="V3555" s="3">
        <v>0</v>
      </c>
      <c r="W3555" s="3">
        <v>0</v>
      </c>
      <c r="X3555">
        <v>0</v>
      </c>
      <c r="Y3555" t="s">
        <v>2772</v>
      </c>
    </row>
    <row r="3556" spans="1:25" hidden="1" x14ac:dyDescent="0.25">
      <c r="A3556" t="s">
        <v>25</v>
      </c>
      <c r="B3556" t="s">
        <v>96</v>
      </c>
      <c r="C3556" t="s">
        <v>26</v>
      </c>
      <c r="D3556" t="s">
        <v>27</v>
      </c>
      <c r="E3556" s="2">
        <v>46043</v>
      </c>
      <c r="F3556" s="2">
        <v>46043</v>
      </c>
      <c r="G3556" s="3">
        <v>45</v>
      </c>
      <c r="H3556" t="s">
        <v>28</v>
      </c>
      <c r="I3556">
        <v>42</v>
      </c>
      <c r="J3556">
        <v>0</v>
      </c>
      <c r="K3556">
        <v>0</v>
      </c>
      <c r="L3556" s="3">
        <v>1</v>
      </c>
      <c r="M3556" s="3">
        <v>0</v>
      </c>
      <c r="N3556">
        <v>1</v>
      </c>
      <c r="O3556">
        <v>0</v>
      </c>
      <c r="P3556">
        <v>0</v>
      </c>
      <c r="Q3556">
        <v>0</v>
      </c>
      <c r="R3556" s="3">
        <v>0</v>
      </c>
      <c r="S3556" s="3">
        <v>0</v>
      </c>
      <c r="T3556">
        <v>0</v>
      </c>
      <c r="U3556">
        <v>0</v>
      </c>
      <c r="V3556" s="3">
        <v>0</v>
      </c>
      <c r="W3556" s="3">
        <v>0</v>
      </c>
      <c r="X3556">
        <v>0</v>
      </c>
      <c r="Y3556" t="s">
        <v>2773</v>
      </c>
    </row>
    <row r="3557" spans="1:25" hidden="1" x14ac:dyDescent="0.25">
      <c r="A3557" t="s">
        <v>29</v>
      </c>
      <c r="B3557" t="s">
        <v>100</v>
      </c>
      <c r="C3557" t="s">
        <v>2271</v>
      </c>
      <c r="D3557" t="s">
        <v>27</v>
      </c>
      <c r="E3557" s="2">
        <v>46043</v>
      </c>
      <c r="F3557" s="2">
        <v>46043</v>
      </c>
      <c r="G3557" s="3">
        <v>50</v>
      </c>
      <c r="H3557" t="s">
        <v>28</v>
      </c>
      <c r="I3557">
        <v>35</v>
      </c>
      <c r="J3557">
        <v>0</v>
      </c>
      <c r="K3557">
        <v>0</v>
      </c>
      <c r="L3557" s="3">
        <v>0</v>
      </c>
      <c r="M3557" s="3">
        <v>0</v>
      </c>
      <c r="N3557">
        <v>0</v>
      </c>
      <c r="O3557">
        <v>0</v>
      </c>
      <c r="P3557">
        <v>0</v>
      </c>
      <c r="Q3557">
        <v>0</v>
      </c>
      <c r="R3557" s="3">
        <v>0</v>
      </c>
      <c r="S3557" s="3">
        <v>0</v>
      </c>
      <c r="T3557">
        <v>0</v>
      </c>
      <c r="U3557">
        <v>0</v>
      </c>
      <c r="V3557" s="3">
        <v>0</v>
      </c>
      <c r="W3557" s="3">
        <v>0</v>
      </c>
      <c r="X3557">
        <v>2</v>
      </c>
      <c r="Y3557" t="s">
        <v>2774</v>
      </c>
    </row>
    <row r="3558" spans="1:25" hidden="1" x14ac:dyDescent="0.25">
      <c r="A3558" t="s">
        <v>344</v>
      </c>
      <c r="B3558" t="s">
        <v>102</v>
      </c>
      <c r="C3558" t="s">
        <v>35</v>
      </c>
      <c r="D3558" t="s">
        <v>27</v>
      </c>
      <c r="E3558" s="2">
        <v>46043</v>
      </c>
      <c r="F3558" s="2">
        <v>46043</v>
      </c>
      <c r="G3558" s="3">
        <v>54</v>
      </c>
      <c r="H3558" t="s">
        <v>28</v>
      </c>
      <c r="I3558">
        <v>26</v>
      </c>
      <c r="J3558">
        <v>0</v>
      </c>
      <c r="K3558">
        <v>0</v>
      </c>
      <c r="L3558" s="3">
        <v>0</v>
      </c>
      <c r="M3558" s="3">
        <v>0</v>
      </c>
      <c r="N3558">
        <v>0</v>
      </c>
      <c r="O3558">
        <v>0</v>
      </c>
      <c r="P3558">
        <v>0</v>
      </c>
      <c r="Q3558">
        <v>2</v>
      </c>
      <c r="R3558" s="3">
        <v>0</v>
      </c>
      <c r="S3558" s="3">
        <v>0</v>
      </c>
      <c r="T3558">
        <v>0</v>
      </c>
      <c r="U3558">
        <v>0</v>
      </c>
      <c r="V3558" s="3">
        <v>0</v>
      </c>
      <c r="W3558" s="3">
        <v>0</v>
      </c>
      <c r="X3558">
        <v>0</v>
      </c>
      <c r="Y3558" t="s">
        <v>2545</v>
      </c>
    </row>
    <row r="3559" spans="1:25" hidden="1" x14ac:dyDescent="0.25">
      <c r="A3559" t="s">
        <v>31</v>
      </c>
      <c r="B3559" t="s">
        <v>104</v>
      </c>
      <c r="C3559" t="s">
        <v>32</v>
      </c>
      <c r="D3559" t="s">
        <v>27</v>
      </c>
      <c r="E3559" s="2">
        <v>46043</v>
      </c>
      <c r="F3559" s="2">
        <v>46043</v>
      </c>
      <c r="G3559" s="3">
        <v>34</v>
      </c>
      <c r="H3559" t="s">
        <v>28</v>
      </c>
      <c r="I3559">
        <v>81</v>
      </c>
      <c r="J3559">
        <v>0</v>
      </c>
      <c r="K3559">
        <v>0</v>
      </c>
      <c r="L3559" s="3">
        <v>0</v>
      </c>
      <c r="M3559" s="3">
        <v>0</v>
      </c>
      <c r="N3559">
        <v>0</v>
      </c>
      <c r="O3559">
        <v>0</v>
      </c>
      <c r="P3559">
        <v>0</v>
      </c>
      <c r="Q3559">
        <v>30</v>
      </c>
      <c r="R3559" s="3">
        <v>0</v>
      </c>
      <c r="S3559" s="3">
        <v>0</v>
      </c>
      <c r="T3559">
        <v>0</v>
      </c>
      <c r="U3559">
        <v>0</v>
      </c>
      <c r="V3559" s="3">
        <v>0</v>
      </c>
      <c r="W3559" s="3">
        <v>0</v>
      </c>
      <c r="X3559" s="37">
        <v>0</v>
      </c>
      <c r="Y3559" t="s">
        <v>2775</v>
      </c>
    </row>
    <row r="3560" spans="1:25" hidden="1" x14ac:dyDescent="0.25">
      <c r="A3560" t="s">
        <v>2776</v>
      </c>
      <c r="B3560" t="s">
        <v>2777</v>
      </c>
      <c r="C3560" t="s">
        <v>57</v>
      </c>
      <c r="D3560" t="s">
        <v>2778</v>
      </c>
      <c r="E3560" s="2">
        <v>46043</v>
      </c>
      <c r="F3560" s="2">
        <v>46043</v>
      </c>
      <c r="G3560" s="3">
        <v>49</v>
      </c>
      <c r="H3560" t="s">
        <v>28</v>
      </c>
      <c r="I3560">
        <v>17</v>
      </c>
      <c r="J3560">
        <v>0</v>
      </c>
      <c r="K3560">
        <v>0</v>
      </c>
      <c r="L3560" s="3">
        <v>0</v>
      </c>
      <c r="M3560" s="3">
        <v>0</v>
      </c>
      <c r="N3560">
        <v>0</v>
      </c>
      <c r="O3560">
        <v>0</v>
      </c>
      <c r="P3560">
        <v>0</v>
      </c>
      <c r="Q3560">
        <v>0</v>
      </c>
      <c r="R3560" s="3">
        <v>0</v>
      </c>
      <c r="S3560" s="3">
        <v>0</v>
      </c>
      <c r="T3560">
        <v>0</v>
      </c>
      <c r="U3560">
        <v>0</v>
      </c>
      <c r="V3560" s="3">
        <v>0</v>
      </c>
      <c r="W3560" s="3">
        <v>0</v>
      </c>
      <c r="X3560">
        <v>0</v>
      </c>
      <c r="Y3560" t="s">
        <v>2779</v>
      </c>
    </row>
    <row r="3561" spans="1:25" hidden="1" x14ac:dyDescent="0.25">
      <c r="A3561" t="s">
        <v>36</v>
      </c>
      <c r="B3561" t="s">
        <v>249</v>
      </c>
      <c r="C3561" t="s">
        <v>2534</v>
      </c>
      <c r="D3561" t="s">
        <v>27</v>
      </c>
      <c r="E3561" s="2">
        <v>46043</v>
      </c>
      <c r="F3561" s="2">
        <v>46043</v>
      </c>
      <c r="G3561" s="5">
        <v>3554</v>
      </c>
      <c r="H3561" t="s">
        <v>28</v>
      </c>
      <c r="I3561">
        <v>92</v>
      </c>
      <c r="J3561">
        <v>0</v>
      </c>
      <c r="K3561">
        <v>0</v>
      </c>
      <c r="L3561" s="3">
        <v>1</v>
      </c>
      <c r="M3561" s="3">
        <v>0</v>
      </c>
      <c r="N3561">
        <v>1</v>
      </c>
      <c r="O3561">
        <v>0</v>
      </c>
      <c r="P3561">
        <v>0</v>
      </c>
      <c r="Q3561">
        <v>0</v>
      </c>
      <c r="R3561" s="3">
        <v>0</v>
      </c>
      <c r="S3561" s="3">
        <v>0</v>
      </c>
      <c r="T3561">
        <v>0</v>
      </c>
      <c r="U3561">
        <v>0</v>
      </c>
      <c r="V3561" s="3">
        <v>0</v>
      </c>
      <c r="W3561" s="3">
        <v>0</v>
      </c>
      <c r="X3561">
        <v>0</v>
      </c>
      <c r="Y3561" t="s">
        <v>2780</v>
      </c>
    </row>
    <row r="3562" spans="1:25" hidden="1" x14ac:dyDescent="0.25">
      <c r="A3562" t="s">
        <v>38</v>
      </c>
      <c r="B3562" t="s">
        <v>108</v>
      </c>
      <c r="C3562" t="s">
        <v>27</v>
      </c>
      <c r="D3562" t="s">
        <v>27</v>
      </c>
      <c r="E3562" s="2">
        <v>46043</v>
      </c>
      <c r="F3562" s="2">
        <v>46043</v>
      </c>
      <c r="G3562" s="3">
        <v>46</v>
      </c>
      <c r="H3562" t="s">
        <v>28</v>
      </c>
      <c r="I3562">
        <v>43</v>
      </c>
      <c r="J3562">
        <v>0</v>
      </c>
      <c r="K3562">
        <v>0</v>
      </c>
      <c r="L3562" s="3">
        <v>1</v>
      </c>
      <c r="M3562" s="3">
        <v>0</v>
      </c>
      <c r="N3562">
        <v>0</v>
      </c>
      <c r="O3562">
        <v>0</v>
      </c>
      <c r="P3562">
        <v>0</v>
      </c>
      <c r="Q3562">
        <v>43</v>
      </c>
      <c r="R3562" s="3">
        <v>0</v>
      </c>
      <c r="S3562" s="3">
        <v>0</v>
      </c>
      <c r="T3562">
        <v>0</v>
      </c>
      <c r="U3562">
        <v>0</v>
      </c>
      <c r="V3562" s="3">
        <v>0</v>
      </c>
      <c r="W3562" s="3">
        <v>0</v>
      </c>
      <c r="X3562">
        <v>0</v>
      </c>
      <c r="Y3562" t="s">
        <v>2781</v>
      </c>
    </row>
    <row r="3563" spans="1:25" hidden="1" x14ac:dyDescent="0.25">
      <c r="A3563" t="s">
        <v>2679</v>
      </c>
      <c r="B3563" t="s">
        <v>2680</v>
      </c>
      <c r="C3563" t="s">
        <v>39</v>
      </c>
      <c r="D3563" t="s">
        <v>27</v>
      </c>
      <c r="E3563" s="2">
        <v>46043</v>
      </c>
      <c r="F3563" s="2">
        <v>46043</v>
      </c>
      <c r="G3563" s="3">
        <v>46</v>
      </c>
      <c r="H3563" t="s">
        <v>28</v>
      </c>
      <c r="I3563">
        <v>58</v>
      </c>
      <c r="J3563">
        <v>0</v>
      </c>
      <c r="K3563">
        <v>0</v>
      </c>
      <c r="L3563" s="3">
        <v>1</v>
      </c>
      <c r="M3563" s="3">
        <v>0</v>
      </c>
      <c r="N3563">
        <v>0</v>
      </c>
      <c r="O3563">
        <v>0</v>
      </c>
      <c r="P3563">
        <v>0</v>
      </c>
      <c r="Q3563">
        <v>58</v>
      </c>
      <c r="R3563" s="3">
        <v>0</v>
      </c>
      <c r="S3563" s="3">
        <v>0</v>
      </c>
      <c r="T3563">
        <v>0</v>
      </c>
      <c r="U3563">
        <v>0</v>
      </c>
      <c r="V3563" s="3">
        <v>0</v>
      </c>
      <c r="W3563" s="3">
        <v>0</v>
      </c>
      <c r="X3563">
        <v>1</v>
      </c>
      <c r="Y3563" t="s">
        <v>2782</v>
      </c>
    </row>
    <row r="3564" spans="1:25" hidden="1" x14ac:dyDescent="0.25">
      <c r="A3564" t="s">
        <v>41</v>
      </c>
      <c r="B3564" t="s">
        <v>112</v>
      </c>
      <c r="C3564" t="s">
        <v>42</v>
      </c>
      <c r="D3564" t="s">
        <v>27</v>
      </c>
      <c r="E3564" s="2">
        <v>46043</v>
      </c>
      <c r="F3564" s="2">
        <v>46043</v>
      </c>
      <c r="G3564" s="3">
        <v>47</v>
      </c>
      <c r="H3564" t="s">
        <v>28</v>
      </c>
      <c r="I3564">
        <v>38</v>
      </c>
      <c r="J3564">
        <v>0</v>
      </c>
      <c r="K3564">
        <v>0</v>
      </c>
      <c r="L3564" s="3">
        <v>1</v>
      </c>
      <c r="M3564" s="3">
        <v>0</v>
      </c>
      <c r="N3564">
        <v>0</v>
      </c>
      <c r="O3564">
        <v>0</v>
      </c>
      <c r="P3564">
        <v>0</v>
      </c>
      <c r="Q3564">
        <v>4</v>
      </c>
      <c r="R3564" s="3">
        <v>0</v>
      </c>
      <c r="S3564" s="3">
        <v>0</v>
      </c>
      <c r="T3564">
        <v>0</v>
      </c>
      <c r="U3564">
        <v>0</v>
      </c>
      <c r="V3564" s="3">
        <v>0</v>
      </c>
      <c r="W3564" s="3">
        <v>0</v>
      </c>
      <c r="X3564">
        <v>0</v>
      </c>
      <c r="Y3564" t="s">
        <v>2733</v>
      </c>
    </row>
    <row r="3565" spans="1:25" hidden="1" x14ac:dyDescent="0.25">
      <c r="A3565" t="s">
        <v>43</v>
      </c>
      <c r="B3565" t="s">
        <v>114</v>
      </c>
      <c r="C3565" t="s">
        <v>44</v>
      </c>
      <c r="D3565" t="s">
        <v>27</v>
      </c>
      <c r="E3565" s="2">
        <v>46043</v>
      </c>
      <c r="F3565" s="2">
        <v>46043</v>
      </c>
      <c r="G3565" s="3">
        <v>29</v>
      </c>
      <c r="H3565" t="s">
        <v>28</v>
      </c>
      <c r="I3565">
        <v>41</v>
      </c>
      <c r="J3565">
        <v>0</v>
      </c>
      <c r="K3565">
        <v>0</v>
      </c>
      <c r="L3565" s="3">
        <v>0</v>
      </c>
      <c r="M3565" s="3">
        <v>0</v>
      </c>
      <c r="N3565">
        <v>0</v>
      </c>
      <c r="O3565">
        <v>0</v>
      </c>
      <c r="P3565">
        <v>0</v>
      </c>
      <c r="Q3565">
        <v>0</v>
      </c>
      <c r="R3565" s="3">
        <v>0</v>
      </c>
      <c r="S3565" s="3">
        <v>0</v>
      </c>
      <c r="T3565">
        <v>0</v>
      </c>
      <c r="U3565">
        <v>0</v>
      </c>
      <c r="V3565" s="3">
        <v>0</v>
      </c>
      <c r="W3565" s="3">
        <v>0</v>
      </c>
      <c r="X3565">
        <v>0</v>
      </c>
      <c r="Y3565" t="s">
        <v>2783</v>
      </c>
    </row>
    <row r="3566" spans="1:25" hidden="1" x14ac:dyDescent="0.25">
      <c r="A3566" t="s">
        <v>2118</v>
      </c>
      <c r="B3566" t="s">
        <v>2119</v>
      </c>
      <c r="C3566" t="s">
        <v>27</v>
      </c>
      <c r="D3566" t="s">
        <v>27</v>
      </c>
      <c r="E3566" s="2">
        <v>46043</v>
      </c>
      <c r="F3566" s="2">
        <v>46043</v>
      </c>
      <c r="G3566" s="3">
        <v>51</v>
      </c>
      <c r="H3566" t="s">
        <v>28</v>
      </c>
      <c r="I3566">
        <v>65</v>
      </c>
      <c r="J3566">
        <v>0</v>
      </c>
      <c r="K3566">
        <v>0</v>
      </c>
      <c r="L3566" s="3">
        <v>1</v>
      </c>
      <c r="M3566" s="3">
        <v>0</v>
      </c>
      <c r="N3566">
        <v>0</v>
      </c>
      <c r="O3566">
        <v>0</v>
      </c>
      <c r="P3566">
        <v>0</v>
      </c>
      <c r="Q3566">
        <v>65</v>
      </c>
      <c r="R3566" s="3">
        <v>0</v>
      </c>
      <c r="S3566" s="3">
        <v>0</v>
      </c>
      <c r="T3566">
        <v>0</v>
      </c>
      <c r="U3566">
        <v>0</v>
      </c>
      <c r="V3566" s="3">
        <v>0</v>
      </c>
      <c r="W3566" s="3">
        <v>0</v>
      </c>
      <c r="X3566">
        <v>0</v>
      </c>
      <c r="Y3566" t="s">
        <v>2784</v>
      </c>
    </row>
    <row r="3567" spans="1:25" hidden="1" x14ac:dyDescent="0.25">
      <c r="A3567" t="s">
        <v>47</v>
      </c>
      <c r="B3567" t="s">
        <v>137</v>
      </c>
      <c r="C3567" t="s">
        <v>2310</v>
      </c>
      <c r="D3567" t="s">
        <v>27</v>
      </c>
      <c r="E3567" s="2">
        <v>46043</v>
      </c>
      <c r="F3567" s="2">
        <v>46043</v>
      </c>
      <c r="G3567" s="3">
        <v>322</v>
      </c>
      <c r="H3567" t="s">
        <v>28</v>
      </c>
      <c r="I3567">
        <v>45</v>
      </c>
      <c r="J3567">
        <v>0</v>
      </c>
      <c r="K3567">
        <v>0</v>
      </c>
      <c r="L3567" s="3">
        <v>0</v>
      </c>
      <c r="M3567" s="3">
        <v>0</v>
      </c>
      <c r="N3567">
        <v>0</v>
      </c>
      <c r="O3567">
        <v>0</v>
      </c>
      <c r="P3567">
        <v>0</v>
      </c>
      <c r="Q3567">
        <v>10</v>
      </c>
      <c r="R3567" s="3">
        <v>0</v>
      </c>
      <c r="S3567" s="3">
        <v>0</v>
      </c>
      <c r="T3567">
        <v>0</v>
      </c>
      <c r="U3567">
        <v>0</v>
      </c>
      <c r="V3567" s="3">
        <v>0</v>
      </c>
      <c r="W3567" s="3">
        <v>0</v>
      </c>
      <c r="X3567">
        <v>0</v>
      </c>
      <c r="Y3567" t="s">
        <v>2785</v>
      </c>
    </row>
    <row r="3568" spans="1:25" hidden="1" x14ac:dyDescent="0.25">
      <c r="A3568" t="s">
        <v>49</v>
      </c>
      <c r="B3568" t="s">
        <v>118</v>
      </c>
      <c r="C3568" t="s">
        <v>27</v>
      </c>
      <c r="D3568" t="s">
        <v>27</v>
      </c>
      <c r="E3568" s="2">
        <v>46043</v>
      </c>
      <c r="F3568" s="2">
        <v>46043</v>
      </c>
      <c r="G3568" s="3">
        <v>80</v>
      </c>
      <c r="H3568" t="s">
        <v>28</v>
      </c>
      <c r="I3568">
        <v>37</v>
      </c>
      <c r="J3568">
        <v>0</v>
      </c>
      <c r="K3568">
        <v>0</v>
      </c>
      <c r="L3568" s="3">
        <v>1</v>
      </c>
      <c r="M3568" s="3">
        <v>1</v>
      </c>
      <c r="N3568">
        <v>1</v>
      </c>
      <c r="O3568">
        <v>1</v>
      </c>
      <c r="P3568">
        <v>0</v>
      </c>
      <c r="Q3568">
        <v>37</v>
      </c>
      <c r="R3568" s="3">
        <v>0</v>
      </c>
      <c r="S3568" s="3">
        <v>0</v>
      </c>
      <c r="T3568">
        <v>0</v>
      </c>
      <c r="U3568">
        <v>0</v>
      </c>
      <c r="V3568" s="3">
        <v>0</v>
      </c>
      <c r="W3568" s="3">
        <v>0</v>
      </c>
      <c r="X3568">
        <v>0</v>
      </c>
      <c r="Y3568" t="s">
        <v>2786</v>
      </c>
    </row>
    <row r="3569" spans="1:25" hidden="1" x14ac:dyDescent="0.25">
      <c r="A3569" t="s">
        <v>51</v>
      </c>
      <c r="B3569" t="s">
        <v>120</v>
      </c>
      <c r="C3569" t="s">
        <v>2379</v>
      </c>
      <c r="D3569" t="s">
        <v>27</v>
      </c>
      <c r="E3569" s="2">
        <v>46043</v>
      </c>
      <c r="F3569" s="2">
        <v>46043</v>
      </c>
      <c r="G3569" s="3">
        <v>339</v>
      </c>
      <c r="H3569" t="s">
        <v>28</v>
      </c>
      <c r="I3569">
        <v>33</v>
      </c>
      <c r="J3569">
        <v>0</v>
      </c>
      <c r="K3569">
        <v>0</v>
      </c>
      <c r="L3569" s="3">
        <v>1</v>
      </c>
      <c r="M3569" s="3">
        <v>0</v>
      </c>
      <c r="N3569">
        <v>1</v>
      </c>
      <c r="O3569">
        <v>0</v>
      </c>
      <c r="P3569">
        <v>0</v>
      </c>
      <c r="Q3569">
        <v>0</v>
      </c>
      <c r="R3569" s="3">
        <v>0</v>
      </c>
      <c r="S3569" s="3">
        <v>0</v>
      </c>
      <c r="T3569">
        <v>0</v>
      </c>
      <c r="U3569">
        <v>0</v>
      </c>
      <c r="V3569" s="3">
        <v>0</v>
      </c>
      <c r="W3569" s="3">
        <v>0</v>
      </c>
      <c r="X3569">
        <v>0</v>
      </c>
      <c r="Y3569" t="s">
        <v>2787</v>
      </c>
    </row>
    <row r="3570" spans="1:25" hidden="1" x14ac:dyDescent="0.25">
      <c r="A3570" t="s">
        <v>54</v>
      </c>
      <c r="B3570" t="s">
        <v>122</v>
      </c>
      <c r="C3570" t="s">
        <v>52</v>
      </c>
      <c r="D3570" t="s">
        <v>27</v>
      </c>
      <c r="E3570" s="2">
        <v>46043</v>
      </c>
      <c r="F3570" s="2">
        <v>46043</v>
      </c>
      <c r="G3570" s="3">
        <v>39</v>
      </c>
      <c r="H3570" t="s">
        <v>28</v>
      </c>
      <c r="I3570">
        <v>34</v>
      </c>
      <c r="J3570">
        <v>0</v>
      </c>
      <c r="K3570">
        <v>0</v>
      </c>
      <c r="L3570" s="3">
        <v>0</v>
      </c>
      <c r="M3570" s="3">
        <v>0</v>
      </c>
      <c r="N3570">
        <v>0</v>
      </c>
      <c r="O3570">
        <v>0</v>
      </c>
      <c r="P3570">
        <v>0</v>
      </c>
      <c r="Q3570">
        <v>2</v>
      </c>
      <c r="R3570" s="3">
        <v>0</v>
      </c>
      <c r="S3570" s="3">
        <v>0</v>
      </c>
      <c r="T3570">
        <v>0</v>
      </c>
      <c r="U3570">
        <v>0</v>
      </c>
      <c r="V3570" s="3">
        <v>0</v>
      </c>
      <c r="W3570" s="3">
        <v>0</v>
      </c>
      <c r="X3570">
        <v>0</v>
      </c>
      <c r="Y3570" t="s">
        <v>2788</v>
      </c>
    </row>
    <row r="3571" spans="1:25" hidden="1" x14ac:dyDescent="0.25">
      <c r="A3571" t="s">
        <v>48</v>
      </c>
      <c r="B3571" t="s">
        <v>149</v>
      </c>
      <c r="C3571" t="s">
        <v>95</v>
      </c>
      <c r="D3571" t="s">
        <v>27</v>
      </c>
      <c r="E3571" s="2">
        <v>46043</v>
      </c>
      <c r="F3571" s="2">
        <v>46043</v>
      </c>
      <c r="G3571" s="3">
        <v>32</v>
      </c>
      <c r="H3571" t="s">
        <v>28</v>
      </c>
      <c r="I3571">
        <v>63</v>
      </c>
      <c r="J3571">
        <v>0</v>
      </c>
      <c r="K3571">
        <v>0</v>
      </c>
      <c r="L3571" s="3">
        <v>1</v>
      </c>
      <c r="M3571" s="3">
        <v>0</v>
      </c>
      <c r="N3571">
        <v>0</v>
      </c>
      <c r="O3571">
        <v>0</v>
      </c>
      <c r="P3571">
        <v>0</v>
      </c>
      <c r="Q3571">
        <v>12</v>
      </c>
      <c r="R3571" s="3">
        <v>0</v>
      </c>
      <c r="S3571" s="3">
        <v>0</v>
      </c>
      <c r="T3571">
        <v>0</v>
      </c>
      <c r="U3571">
        <v>0</v>
      </c>
      <c r="V3571" s="3">
        <v>0</v>
      </c>
      <c r="W3571" s="3">
        <v>0</v>
      </c>
      <c r="X3571">
        <v>0</v>
      </c>
      <c r="Y3571" t="s">
        <v>2789</v>
      </c>
    </row>
    <row r="3572" spans="1:25" hidden="1" x14ac:dyDescent="0.25">
      <c r="A3572" t="s">
        <v>58</v>
      </c>
      <c r="B3572" t="s">
        <v>144</v>
      </c>
      <c r="C3572" t="s">
        <v>2514</v>
      </c>
      <c r="D3572" t="s">
        <v>27</v>
      </c>
      <c r="E3572" s="2">
        <v>46043</v>
      </c>
      <c r="F3572" s="2">
        <v>46043</v>
      </c>
      <c r="G3572" s="3">
        <v>97</v>
      </c>
      <c r="H3572" t="s">
        <v>28</v>
      </c>
      <c r="I3572">
        <v>90</v>
      </c>
      <c r="J3572">
        <v>0</v>
      </c>
      <c r="K3572">
        <v>0</v>
      </c>
      <c r="L3572" s="3">
        <v>1</v>
      </c>
      <c r="M3572" s="3">
        <v>0</v>
      </c>
      <c r="N3572">
        <v>0</v>
      </c>
      <c r="O3572">
        <v>0</v>
      </c>
      <c r="P3572">
        <v>0</v>
      </c>
      <c r="Q3572">
        <v>45</v>
      </c>
      <c r="R3572" s="3">
        <v>0</v>
      </c>
      <c r="S3572" s="3">
        <v>0</v>
      </c>
      <c r="T3572">
        <v>0</v>
      </c>
      <c r="U3572">
        <v>0</v>
      </c>
      <c r="V3572" s="3">
        <v>0</v>
      </c>
      <c r="W3572" s="3">
        <v>0</v>
      </c>
      <c r="X3572">
        <v>0</v>
      </c>
      <c r="Y3572" t="s">
        <v>2790</v>
      </c>
    </row>
    <row r="3573" spans="1:25" hidden="1" x14ac:dyDescent="0.25">
      <c r="A3573" t="s">
        <v>33</v>
      </c>
      <c r="B3573" t="s">
        <v>2760</v>
      </c>
      <c r="C3573" t="s">
        <v>27</v>
      </c>
      <c r="D3573" t="s">
        <v>27</v>
      </c>
      <c r="E3573" s="2">
        <v>46043</v>
      </c>
      <c r="F3573" s="2">
        <v>46043</v>
      </c>
      <c r="G3573" s="3">
        <v>57</v>
      </c>
      <c r="H3573" t="s">
        <v>1448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2761</v>
      </c>
    </row>
    <row r="3574" spans="1:25" hidden="1" x14ac:dyDescent="0.25">
      <c r="A3574" t="s">
        <v>45</v>
      </c>
      <c r="B3574" t="s">
        <v>2764</v>
      </c>
      <c r="C3574" t="s">
        <v>27</v>
      </c>
      <c r="D3574" t="s">
        <v>27</v>
      </c>
      <c r="E3574" s="2">
        <v>46043</v>
      </c>
      <c r="F3574" s="2">
        <v>46043</v>
      </c>
      <c r="G3574" s="3">
        <v>59</v>
      </c>
      <c r="H3574" t="s">
        <v>763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2765</v>
      </c>
    </row>
    <row r="3575" spans="1:25" hidden="1" x14ac:dyDescent="0.25">
      <c r="A3575" t="s">
        <v>40</v>
      </c>
      <c r="B3575" t="s">
        <v>2768</v>
      </c>
      <c r="C3575" t="s">
        <v>27</v>
      </c>
      <c r="D3575" t="s">
        <v>27</v>
      </c>
      <c r="E3575" s="2">
        <v>46043</v>
      </c>
      <c r="F3575" s="2">
        <v>46043</v>
      </c>
      <c r="G3575" s="3">
        <v>61</v>
      </c>
      <c r="H3575" t="s">
        <v>763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2769</v>
      </c>
    </row>
    <row r="3576" spans="1:25" hidden="1" x14ac:dyDescent="0.25">
      <c r="A3576" t="s">
        <v>27</v>
      </c>
      <c r="B3576" t="s">
        <v>2770</v>
      </c>
      <c r="C3576" t="s">
        <v>37</v>
      </c>
      <c r="D3576" t="s">
        <v>27</v>
      </c>
      <c r="E3576" s="2">
        <v>46043</v>
      </c>
      <c r="F3576" s="2">
        <v>46043</v>
      </c>
      <c r="G3576" s="3">
        <v>62</v>
      </c>
      <c r="H3576" t="s">
        <v>763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2771</v>
      </c>
    </row>
    <row r="3577" spans="1:25" hidden="1" x14ac:dyDescent="0.25">
      <c r="A3577" s="1" t="s">
        <v>25</v>
      </c>
      <c r="B3577" s="1" t="s">
        <v>96</v>
      </c>
      <c r="C3577" s="1" t="s">
        <v>26</v>
      </c>
      <c r="D3577" t="s">
        <v>27</v>
      </c>
      <c r="E3577" s="2">
        <v>46044</v>
      </c>
      <c r="F3577" s="2">
        <v>46044</v>
      </c>
      <c r="G3577" s="3">
        <v>42</v>
      </c>
      <c r="H3577" t="s">
        <v>28</v>
      </c>
      <c r="I3577">
        <v>45</v>
      </c>
      <c r="J3577">
        <v>0</v>
      </c>
      <c r="K3577">
        <v>0</v>
      </c>
      <c r="L3577" s="3">
        <v>1</v>
      </c>
      <c r="M3577" s="3">
        <v>0</v>
      </c>
      <c r="N3577">
        <v>1</v>
      </c>
      <c r="O3577">
        <v>0</v>
      </c>
      <c r="P3577">
        <v>0</v>
      </c>
      <c r="Q3577">
        <v>0</v>
      </c>
      <c r="R3577" s="3">
        <v>0</v>
      </c>
      <c r="S3577" s="3">
        <v>0</v>
      </c>
      <c r="T3577">
        <v>0</v>
      </c>
      <c r="U3577">
        <v>0</v>
      </c>
      <c r="V3577" s="3">
        <v>0</v>
      </c>
      <c r="W3577" s="3">
        <v>0</v>
      </c>
      <c r="X3577">
        <v>0</v>
      </c>
      <c r="Y3577" t="s">
        <v>2791</v>
      </c>
    </row>
    <row r="3578" spans="1:25" hidden="1" x14ac:dyDescent="0.25">
      <c r="A3578" s="1" t="s">
        <v>29</v>
      </c>
      <c r="B3578" s="1" t="s">
        <v>100</v>
      </c>
      <c r="C3578" s="1" t="s">
        <v>2271</v>
      </c>
      <c r="D3578" t="s">
        <v>27</v>
      </c>
      <c r="E3578" s="2">
        <v>46044</v>
      </c>
      <c r="F3578" s="2">
        <v>46044</v>
      </c>
      <c r="G3578" s="3">
        <v>45</v>
      </c>
      <c r="H3578" t="s">
        <v>28</v>
      </c>
      <c r="I3578">
        <v>28</v>
      </c>
      <c r="J3578">
        <v>0</v>
      </c>
      <c r="K3578">
        <v>0</v>
      </c>
      <c r="L3578" s="3">
        <v>0</v>
      </c>
      <c r="M3578" s="3">
        <v>0</v>
      </c>
      <c r="N3578">
        <v>0</v>
      </c>
      <c r="O3578">
        <v>0</v>
      </c>
      <c r="P3578">
        <v>0</v>
      </c>
      <c r="Q3578">
        <v>0</v>
      </c>
      <c r="R3578" s="3">
        <v>0</v>
      </c>
      <c r="S3578" s="3">
        <v>0</v>
      </c>
      <c r="T3578">
        <v>0</v>
      </c>
      <c r="U3578">
        <v>0</v>
      </c>
      <c r="V3578" s="3">
        <v>0</v>
      </c>
      <c r="W3578" s="3">
        <v>0</v>
      </c>
      <c r="X3578">
        <v>2</v>
      </c>
      <c r="Y3578" t="s">
        <v>2792</v>
      </c>
    </row>
    <row r="3579" spans="1:25" hidden="1" x14ac:dyDescent="0.25">
      <c r="A3579" s="1" t="s">
        <v>344</v>
      </c>
      <c r="B3579" s="1" t="s">
        <v>100</v>
      </c>
      <c r="C3579" s="1" t="s">
        <v>35</v>
      </c>
      <c r="D3579" t="s">
        <v>27</v>
      </c>
      <c r="E3579" s="2">
        <v>46044</v>
      </c>
      <c r="F3579" s="2">
        <v>46044</v>
      </c>
      <c r="G3579" s="3">
        <v>45</v>
      </c>
      <c r="H3579" t="s">
        <v>28</v>
      </c>
      <c r="I3579">
        <v>36</v>
      </c>
      <c r="J3579">
        <v>0</v>
      </c>
      <c r="K3579">
        <v>0</v>
      </c>
      <c r="L3579" s="3">
        <v>0</v>
      </c>
      <c r="M3579" s="3">
        <v>0</v>
      </c>
      <c r="N3579">
        <v>0</v>
      </c>
      <c r="O3579">
        <v>0</v>
      </c>
      <c r="P3579">
        <v>0</v>
      </c>
      <c r="Q3579">
        <v>0</v>
      </c>
      <c r="R3579" s="3">
        <v>0</v>
      </c>
      <c r="S3579" s="3">
        <v>0</v>
      </c>
      <c r="T3579">
        <v>0</v>
      </c>
      <c r="U3579">
        <v>0</v>
      </c>
      <c r="V3579" s="3">
        <v>0</v>
      </c>
      <c r="W3579" s="3">
        <v>0</v>
      </c>
      <c r="X3579">
        <v>2</v>
      </c>
      <c r="Y3579" t="s">
        <v>2792</v>
      </c>
    </row>
    <row r="3580" spans="1:25" hidden="1" x14ac:dyDescent="0.25">
      <c r="A3580" t="s">
        <v>31</v>
      </c>
      <c r="B3580" t="s">
        <v>106</v>
      </c>
      <c r="C3580" t="s">
        <v>32</v>
      </c>
      <c r="D3580" t="s">
        <v>27</v>
      </c>
      <c r="E3580" s="2">
        <v>46044</v>
      </c>
      <c r="F3580" s="2">
        <v>46044</v>
      </c>
      <c r="G3580" s="3">
        <v>28</v>
      </c>
      <c r="H3580" t="s">
        <v>28</v>
      </c>
      <c r="I3580">
        <v>67</v>
      </c>
      <c r="J3580">
        <v>0</v>
      </c>
      <c r="K3580">
        <v>0</v>
      </c>
      <c r="L3580" s="3">
        <v>0</v>
      </c>
      <c r="M3580" s="3">
        <v>0</v>
      </c>
      <c r="N3580">
        <v>0</v>
      </c>
      <c r="O3580">
        <v>0</v>
      </c>
      <c r="P3580">
        <v>0</v>
      </c>
      <c r="Q3580">
        <v>0</v>
      </c>
      <c r="R3580" s="3">
        <v>0</v>
      </c>
      <c r="S3580" s="3">
        <v>0</v>
      </c>
      <c r="T3580">
        <v>0</v>
      </c>
      <c r="U3580">
        <v>0</v>
      </c>
      <c r="V3580" s="3">
        <v>0</v>
      </c>
      <c r="W3580" s="3">
        <v>0</v>
      </c>
      <c r="X3580">
        <v>0</v>
      </c>
      <c r="Y3580" t="s">
        <v>2793</v>
      </c>
    </row>
    <row r="3581" spans="1:25" hidden="1" x14ac:dyDescent="0.25">
      <c r="A3581" t="s">
        <v>33</v>
      </c>
      <c r="B3581" t="s">
        <v>106</v>
      </c>
      <c r="C3581" t="s">
        <v>57</v>
      </c>
      <c r="D3581" t="s">
        <v>27</v>
      </c>
      <c r="E3581" s="2">
        <v>46044</v>
      </c>
      <c r="F3581" s="2">
        <v>46044</v>
      </c>
      <c r="G3581" s="3">
        <v>28</v>
      </c>
      <c r="H3581" t="s">
        <v>28</v>
      </c>
      <c r="I3581">
        <v>35</v>
      </c>
      <c r="J3581">
        <v>0</v>
      </c>
      <c r="K3581">
        <v>0</v>
      </c>
      <c r="L3581" s="3">
        <v>0</v>
      </c>
      <c r="M3581" s="3">
        <v>0</v>
      </c>
      <c r="N3581">
        <v>0</v>
      </c>
      <c r="O3581">
        <v>0</v>
      </c>
      <c r="P3581">
        <v>0</v>
      </c>
      <c r="Q3581">
        <v>0</v>
      </c>
      <c r="R3581" s="3">
        <v>0</v>
      </c>
      <c r="S3581" s="3">
        <v>0</v>
      </c>
      <c r="T3581">
        <v>0</v>
      </c>
      <c r="U3581">
        <v>0</v>
      </c>
      <c r="V3581" s="3">
        <v>0</v>
      </c>
      <c r="W3581" s="3">
        <v>0</v>
      </c>
      <c r="X3581">
        <v>0</v>
      </c>
      <c r="Y3581" t="s">
        <v>2793</v>
      </c>
    </row>
    <row r="3582" spans="1:25" hidden="1" x14ac:dyDescent="0.25">
      <c r="A3582" t="s">
        <v>36</v>
      </c>
      <c r="B3582" t="s">
        <v>249</v>
      </c>
      <c r="C3582" t="s">
        <v>2534</v>
      </c>
      <c r="D3582" t="s">
        <v>27</v>
      </c>
      <c r="E3582" s="2">
        <v>46044</v>
      </c>
      <c r="F3582" s="2">
        <v>46044</v>
      </c>
      <c r="G3582" s="3">
        <v>55</v>
      </c>
      <c r="H3582" t="s">
        <v>28</v>
      </c>
      <c r="I3582">
        <v>107</v>
      </c>
      <c r="J3582">
        <v>0</v>
      </c>
      <c r="K3582">
        <v>0</v>
      </c>
      <c r="L3582" s="3">
        <v>1</v>
      </c>
      <c r="M3582" s="3">
        <v>0</v>
      </c>
      <c r="N3582">
        <v>1</v>
      </c>
      <c r="O3582">
        <v>0</v>
      </c>
      <c r="P3582">
        <v>0</v>
      </c>
      <c r="Q3582">
        <v>0</v>
      </c>
      <c r="R3582" s="3">
        <v>0</v>
      </c>
      <c r="S3582" s="3">
        <v>0</v>
      </c>
      <c r="T3582">
        <v>0</v>
      </c>
      <c r="U3582">
        <v>0</v>
      </c>
      <c r="V3582" s="3">
        <v>0</v>
      </c>
      <c r="W3582" s="3">
        <v>0</v>
      </c>
      <c r="X3582">
        <v>0</v>
      </c>
      <c r="Y3582" t="s">
        <v>2794</v>
      </c>
    </row>
    <row r="3583" spans="1:25" hidden="1" x14ac:dyDescent="0.25">
      <c r="A3583" t="s">
        <v>38</v>
      </c>
      <c r="B3583" t="s">
        <v>108</v>
      </c>
      <c r="C3583" t="s">
        <v>27</v>
      </c>
      <c r="D3583" t="s">
        <v>27</v>
      </c>
      <c r="E3583" s="2">
        <v>46044</v>
      </c>
      <c r="F3583" s="2">
        <v>46044</v>
      </c>
      <c r="G3583" s="3">
        <v>29</v>
      </c>
      <c r="H3583" t="s">
        <v>28</v>
      </c>
      <c r="I3583">
        <v>26</v>
      </c>
      <c r="J3583">
        <v>0</v>
      </c>
      <c r="K3583">
        <v>0</v>
      </c>
      <c r="L3583" s="3">
        <v>1</v>
      </c>
      <c r="M3583" s="3">
        <v>0</v>
      </c>
      <c r="N3583">
        <v>0</v>
      </c>
      <c r="O3583">
        <v>0</v>
      </c>
      <c r="P3583">
        <v>0</v>
      </c>
      <c r="Q3583">
        <v>26</v>
      </c>
      <c r="R3583" s="3">
        <v>0</v>
      </c>
      <c r="S3583" s="3">
        <v>0</v>
      </c>
      <c r="T3583">
        <v>0</v>
      </c>
      <c r="U3583">
        <v>0</v>
      </c>
      <c r="V3583" s="3">
        <v>0</v>
      </c>
      <c r="W3583" s="3">
        <v>0</v>
      </c>
      <c r="X3583">
        <v>0</v>
      </c>
      <c r="Y3583" t="s">
        <v>2795</v>
      </c>
    </row>
    <row r="3584" spans="1:25" hidden="1" x14ac:dyDescent="0.25">
      <c r="A3584" t="s">
        <v>2679</v>
      </c>
      <c r="B3584" t="s">
        <v>2680</v>
      </c>
      <c r="C3584" t="s">
        <v>39</v>
      </c>
      <c r="D3584" t="s">
        <v>27</v>
      </c>
      <c r="E3584" s="2">
        <v>46044</v>
      </c>
      <c r="F3584" s="2">
        <v>46044</v>
      </c>
      <c r="G3584" s="3">
        <v>612</v>
      </c>
      <c r="H3584" t="s">
        <v>28</v>
      </c>
      <c r="I3584">
        <v>41</v>
      </c>
      <c r="J3584">
        <v>0</v>
      </c>
      <c r="K3584">
        <v>0</v>
      </c>
      <c r="L3584" s="3">
        <v>1</v>
      </c>
      <c r="M3584" s="3">
        <v>0</v>
      </c>
      <c r="N3584">
        <v>0</v>
      </c>
      <c r="O3584">
        <v>0</v>
      </c>
      <c r="P3584">
        <v>41</v>
      </c>
      <c r="Q3584">
        <v>41</v>
      </c>
      <c r="R3584" s="3">
        <v>0</v>
      </c>
      <c r="S3584" s="3">
        <v>0</v>
      </c>
      <c r="T3584">
        <v>0</v>
      </c>
      <c r="U3584">
        <v>0</v>
      </c>
      <c r="V3584" s="3">
        <v>0</v>
      </c>
      <c r="W3584" s="3">
        <v>0</v>
      </c>
      <c r="X3584">
        <v>0</v>
      </c>
      <c r="Y3584" t="s">
        <v>2796</v>
      </c>
    </row>
    <row r="3585" spans="1:25" hidden="1" x14ac:dyDescent="0.25">
      <c r="A3585" t="s">
        <v>58</v>
      </c>
      <c r="B3585" t="s">
        <v>112</v>
      </c>
      <c r="C3585" t="s">
        <v>42</v>
      </c>
      <c r="D3585" t="s">
        <v>27</v>
      </c>
      <c r="E3585" s="2">
        <v>46044</v>
      </c>
      <c r="F3585" s="2">
        <v>46044</v>
      </c>
      <c r="G3585" s="3">
        <v>42</v>
      </c>
      <c r="H3585" t="s">
        <v>28</v>
      </c>
      <c r="I3585">
        <v>44</v>
      </c>
      <c r="J3585">
        <v>0</v>
      </c>
      <c r="K3585">
        <v>0</v>
      </c>
      <c r="L3585" s="3">
        <v>1</v>
      </c>
      <c r="M3585" s="3">
        <v>0</v>
      </c>
      <c r="N3585">
        <v>0</v>
      </c>
      <c r="O3585">
        <v>0</v>
      </c>
      <c r="P3585">
        <v>0</v>
      </c>
      <c r="Q3585">
        <v>4</v>
      </c>
      <c r="R3585" s="3">
        <v>0</v>
      </c>
      <c r="S3585" s="3">
        <v>0</v>
      </c>
      <c r="T3585">
        <v>0</v>
      </c>
      <c r="U3585">
        <v>0</v>
      </c>
      <c r="V3585" s="3">
        <v>0</v>
      </c>
      <c r="W3585" s="3">
        <v>0</v>
      </c>
      <c r="X3585">
        <v>0</v>
      </c>
      <c r="Y3585" t="s">
        <v>2797</v>
      </c>
    </row>
    <row r="3586" spans="1:25" hidden="1" x14ac:dyDescent="0.25">
      <c r="A3586" t="s">
        <v>43</v>
      </c>
      <c r="B3586" t="s">
        <v>114</v>
      </c>
      <c r="C3586" t="s">
        <v>44</v>
      </c>
      <c r="D3586" t="s">
        <v>27</v>
      </c>
      <c r="E3586" s="2">
        <v>46044</v>
      </c>
      <c r="F3586" s="2">
        <v>46044</v>
      </c>
      <c r="G3586" s="3">
        <v>43</v>
      </c>
      <c r="H3586" t="s">
        <v>28</v>
      </c>
      <c r="I3586">
        <v>55</v>
      </c>
      <c r="J3586">
        <v>0</v>
      </c>
      <c r="K3586">
        <v>0</v>
      </c>
      <c r="L3586" s="3">
        <v>1</v>
      </c>
      <c r="M3586" s="3">
        <v>0</v>
      </c>
      <c r="N3586">
        <v>0</v>
      </c>
      <c r="O3586">
        <v>0</v>
      </c>
      <c r="P3586">
        <v>0</v>
      </c>
      <c r="Q3586">
        <v>0</v>
      </c>
      <c r="R3586" s="3">
        <v>0</v>
      </c>
      <c r="S3586" s="3">
        <v>0</v>
      </c>
      <c r="T3586">
        <v>0</v>
      </c>
      <c r="U3586">
        <v>0</v>
      </c>
      <c r="V3586" s="3">
        <v>0</v>
      </c>
      <c r="W3586" s="3">
        <v>0</v>
      </c>
      <c r="X3586">
        <v>0</v>
      </c>
      <c r="Y3586" t="s">
        <v>2798</v>
      </c>
    </row>
    <row r="3587" spans="1:25" hidden="1" x14ac:dyDescent="0.25">
      <c r="A3587" t="s">
        <v>45</v>
      </c>
      <c r="B3587" t="s">
        <v>116</v>
      </c>
      <c r="C3587" t="s">
        <v>46</v>
      </c>
      <c r="D3587" t="s">
        <v>27</v>
      </c>
      <c r="E3587" s="2">
        <v>46044</v>
      </c>
      <c r="F3587" s="2">
        <v>46044</v>
      </c>
      <c r="G3587" s="3">
        <v>83</v>
      </c>
      <c r="H3587" t="s">
        <v>28</v>
      </c>
      <c r="I3587">
        <v>36</v>
      </c>
      <c r="J3587">
        <v>0</v>
      </c>
      <c r="K3587">
        <v>0</v>
      </c>
      <c r="L3587" s="3">
        <v>1</v>
      </c>
      <c r="M3587" s="3">
        <v>0</v>
      </c>
      <c r="N3587">
        <v>0</v>
      </c>
      <c r="O3587">
        <v>0</v>
      </c>
      <c r="P3587">
        <v>0</v>
      </c>
      <c r="Q3587">
        <v>0</v>
      </c>
      <c r="R3587" s="3">
        <v>0</v>
      </c>
      <c r="S3587" s="3">
        <v>0</v>
      </c>
      <c r="T3587">
        <v>0</v>
      </c>
      <c r="U3587">
        <v>0</v>
      </c>
      <c r="V3587" s="3">
        <v>0</v>
      </c>
      <c r="W3587" s="3">
        <v>0</v>
      </c>
      <c r="X3587">
        <v>0</v>
      </c>
      <c r="Y3587" t="s">
        <v>2799</v>
      </c>
    </row>
    <row r="3588" spans="1:25" hidden="1" x14ac:dyDescent="0.25">
      <c r="A3588" t="s">
        <v>1316</v>
      </c>
      <c r="B3588" t="s">
        <v>116</v>
      </c>
      <c r="C3588" t="s">
        <v>27</v>
      </c>
      <c r="D3588" t="s">
        <v>27</v>
      </c>
      <c r="E3588" s="2">
        <v>46044</v>
      </c>
      <c r="F3588" s="2">
        <v>46044</v>
      </c>
      <c r="G3588" s="3">
        <v>83</v>
      </c>
      <c r="H3588" t="s">
        <v>28</v>
      </c>
      <c r="I3588">
        <v>36</v>
      </c>
      <c r="J3588">
        <v>0</v>
      </c>
      <c r="K3588">
        <v>0</v>
      </c>
      <c r="L3588" s="3">
        <v>1</v>
      </c>
      <c r="M3588" s="3">
        <v>0</v>
      </c>
      <c r="N3588">
        <v>0</v>
      </c>
      <c r="O3588">
        <v>0</v>
      </c>
      <c r="P3588">
        <v>0</v>
      </c>
      <c r="Q3588">
        <v>0</v>
      </c>
      <c r="R3588" s="3">
        <v>0</v>
      </c>
      <c r="S3588" s="3">
        <v>0</v>
      </c>
      <c r="T3588">
        <v>0</v>
      </c>
      <c r="U3588">
        <v>0</v>
      </c>
      <c r="V3588" s="3">
        <v>0</v>
      </c>
      <c r="W3588" s="3">
        <v>0</v>
      </c>
      <c r="X3588">
        <v>0</v>
      </c>
      <c r="Y3588" t="s">
        <v>2799</v>
      </c>
    </row>
    <row r="3589" spans="1:25" hidden="1" x14ac:dyDescent="0.25">
      <c r="A3589" t="s">
        <v>47</v>
      </c>
      <c r="B3589" t="s">
        <v>137</v>
      </c>
      <c r="C3589" t="s">
        <v>2310</v>
      </c>
      <c r="D3589" t="s">
        <v>27</v>
      </c>
      <c r="E3589" s="2">
        <v>46044</v>
      </c>
      <c r="F3589" s="2">
        <v>46044</v>
      </c>
      <c r="G3589" s="3">
        <v>94</v>
      </c>
      <c r="H3589" t="s">
        <v>28</v>
      </c>
      <c r="I3589">
        <v>45</v>
      </c>
      <c r="J3589">
        <v>0</v>
      </c>
      <c r="K3589">
        <v>0</v>
      </c>
      <c r="L3589" s="3">
        <v>1</v>
      </c>
      <c r="M3589" s="3">
        <v>0</v>
      </c>
      <c r="N3589">
        <v>0</v>
      </c>
      <c r="O3589">
        <v>0</v>
      </c>
      <c r="P3589">
        <v>0</v>
      </c>
      <c r="Q3589">
        <v>4</v>
      </c>
      <c r="R3589" s="3">
        <v>0</v>
      </c>
      <c r="S3589" s="3">
        <v>0</v>
      </c>
      <c r="T3589">
        <v>0</v>
      </c>
      <c r="U3589">
        <v>0</v>
      </c>
      <c r="V3589" s="3">
        <v>0</v>
      </c>
      <c r="W3589" s="3">
        <v>0</v>
      </c>
      <c r="X3589">
        <v>0</v>
      </c>
      <c r="Y3589" t="s">
        <v>2800</v>
      </c>
    </row>
    <row r="3590" spans="1:25" hidden="1" x14ac:dyDescent="0.25">
      <c r="A3590" t="s">
        <v>49</v>
      </c>
      <c r="B3590" t="s">
        <v>118</v>
      </c>
      <c r="C3590" t="s">
        <v>50</v>
      </c>
      <c r="D3590" t="s">
        <v>27</v>
      </c>
      <c r="E3590" s="2">
        <v>46044</v>
      </c>
      <c r="F3590" s="2">
        <v>46044</v>
      </c>
      <c r="G3590" s="3">
        <v>59</v>
      </c>
      <c r="H3590" t="s">
        <v>28</v>
      </c>
      <c r="I3590">
        <v>58</v>
      </c>
      <c r="J3590">
        <v>0</v>
      </c>
      <c r="K3590">
        <v>0</v>
      </c>
      <c r="L3590" s="3">
        <v>1</v>
      </c>
      <c r="M3590" s="3">
        <v>1</v>
      </c>
      <c r="N3590">
        <v>1</v>
      </c>
      <c r="O3590">
        <v>1</v>
      </c>
      <c r="P3590">
        <v>0</v>
      </c>
      <c r="Q3590">
        <v>58</v>
      </c>
      <c r="R3590" s="3">
        <v>0</v>
      </c>
      <c r="S3590" s="3">
        <v>0</v>
      </c>
      <c r="T3590">
        <v>0</v>
      </c>
      <c r="U3590">
        <v>0</v>
      </c>
      <c r="V3590" s="3">
        <v>0</v>
      </c>
      <c r="W3590" s="3">
        <v>0</v>
      </c>
      <c r="X3590">
        <v>0</v>
      </c>
      <c r="Y3590" t="s">
        <v>2801</v>
      </c>
    </row>
    <row r="3591" spans="1:25" hidden="1" x14ac:dyDescent="0.25">
      <c r="A3591" t="s">
        <v>51</v>
      </c>
      <c r="B3591" t="s">
        <v>120</v>
      </c>
      <c r="C3591" t="s">
        <v>55</v>
      </c>
      <c r="D3591" t="s">
        <v>27</v>
      </c>
      <c r="E3591" s="2">
        <v>46044</v>
      </c>
      <c r="F3591" s="2">
        <v>46044</v>
      </c>
      <c r="G3591" s="3">
        <v>53</v>
      </c>
      <c r="H3591" t="s">
        <v>28</v>
      </c>
      <c r="I3591">
        <v>30</v>
      </c>
      <c r="J3591">
        <v>0</v>
      </c>
      <c r="K3591">
        <v>0</v>
      </c>
      <c r="L3591" s="3">
        <v>1</v>
      </c>
      <c r="M3591" s="3">
        <v>0</v>
      </c>
      <c r="N3591">
        <v>1</v>
      </c>
      <c r="O3591">
        <v>0</v>
      </c>
      <c r="P3591">
        <v>0</v>
      </c>
      <c r="Q3591">
        <v>0</v>
      </c>
      <c r="R3591" s="3">
        <v>0</v>
      </c>
      <c r="S3591" s="3">
        <v>0</v>
      </c>
      <c r="T3591">
        <v>0</v>
      </c>
      <c r="U3591">
        <v>0</v>
      </c>
      <c r="V3591" s="3">
        <v>0</v>
      </c>
      <c r="W3591" s="3">
        <v>0</v>
      </c>
      <c r="X3591">
        <v>0</v>
      </c>
      <c r="Y3591" t="s">
        <v>2802</v>
      </c>
    </row>
    <row r="3592" spans="1:25" hidden="1" x14ac:dyDescent="0.25">
      <c r="A3592" t="s">
        <v>48</v>
      </c>
      <c r="B3592" t="s">
        <v>149</v>
      </c>
      <c r="C3592" t="s">
        <v>95</v>
      </c>
      <c r="D3592" t="s">
        <v>27</v>
      </c>
      <c r="E3592" s="2">
        <v>46044</v>
      </c>
      <c r="F3592" s="2">
        <v>46044</v>
      </c>
      <c r="G3592" s="3">
        <v>28</v>
      </c>
      <c r="H3592" t="s">
        <v>28</v>
      </c>
      <c r="I3592">
        <v>30</v>
      </c>
      <c r="J3592">
        <v>0</v>
      </c>
      <c r="K3592">
        <v>0</v>
      </c>
      <c r="L3592" s="3">
        <v>1</v>
      </c>
      <c r="M3592" s="3">
        <v>0</v>
      </c>
      <c r="N3592">
        <v>0</v>
      </c>
      <c r="O3592">
        <v>0</v>
      </c>
      <c r="P3592">
        <v>5</v>
      </c>
      <c r="Q3592">
        <v>3</v>
      </c>
      <c r="R3592" s="3">
        <v>0</v>
      </c>
      <c r="S3592" s="3">
        <v>0</v>
      </c>
      <c r="T3592">
        <v>0</v>
      </c>
      <c r="U3592">
        <v>0</v>
      </c>
      <c r="V3592" s="3">
        <v>0</v>
      </c>
      <c r="W3592" s="3">
        <v>0</v>
      </c>
      <c r="X3592">
        <v>0</v>
      </c>
      <c r="Y3592" t="s">
        <v>2803</v>
      </c>
    </row>
    <row r="3593" spans="1:25" hidden="1" x14ac:dyDescent="0.25">
      <c r="A3593" t="s">
        <v>54</v>
      </c>
      <c r="B3593" t="s">
        <v>739</v>
      </c>
      <c r="C3593" t="s">
        <v>52</v>
      </c>
      <c r="D3593" t="s">
        <v>27</v>
      </c>
      <c r="E3593" s="2">
        <v>46044</v>
      </c>
      <c r="F3593" s="2">
        <v>46044</v>
      </c>
      <c r="G3593" s="3">
        <v>29</v>
      </c>
      <c r="H3593" t="s">
        <v>28</v>
      </c>
      <c r="I3593">
        <v>46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2803</v>
      </c>
    </row>
    <row r="3594" spans="1:25" hidden="1" x14ac:dyDescent="0.25">
      <c r="A3594" t="s">
        <v>41</v>
      </c>
      <c r="B3594" t="s">
        <v>755</v>
      </c>
      <c r="C3594" t="s">
        <v>27</v>
      </c>
      <c r="D3594" t="s">
        <v>27</v>
      </c>
      <c r="E3594" s="2">
        <v>46044</v>
      </c>
      <c r="F3594" s="2">
        <v>46044</v>
      </c>
      <c r="G3594" s="3">
        <v>30</v>
      </c>
      <c r="H3594" t="s">
        <v>2143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2803</v>
      </c>
    </row>
    <row r="3595" spans="1:25" hidden="1" x14ac:dyDescent="0.25">
      <c r="A3595" t="s">
        <v>27</v>
      </c>
      <c r="B3595" t="s">
        <v>758</v>
      </c>
      <c r="C3595" t="s">
        <v>2514</v>
      </c>
      <c r="D3595" t="s">
        <v>27</v>
      </c>
      <c r="E3595" s="2">
        <v>46044</v>
      </c>
      <c r="F3595" s="2">
        <v>46044</v>
      </c>
      <c r="G3595" s="3">
        <v>31</v>
      </c>
      <c r="H3595" t="s">
        <v>1448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2803</v>
      </c>
    </row>
    <row r="3596" spans="1:25" hidden="1" x14ac:dyDescent="0.25">
      <c r="A3596" t="s">
        <v>27</v>
      </c>
      <c r="B3596" t="s">
        <v>798</v>
      </c>
      <c r="C3596" t="s">
        <v>2379</v>
      </c>
      <c r="D3596" t="s">
        <v>27</v>
      </c>
      <c r="E3596" s="2">
        <v>46044</v>
      </c>
      <c r="F3596" s="2">
        <v>46044</v>
      </c>
      <c r="G3596" s="3">
        <v>32</v>
      </c>
      <c r="H3596" t="s">
        <v>1448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2803</v>
      </c>
    </row>
    <row r="3597" spans="1:25" hidden="1" x14ac:dyDescent="0.25">
      <c r="A3597" t="s">
        <v>438</v>
      </c>
      <c r="B3597" t="s">
        <v>798</v>
      </c>
      <c r="C3597" t="s">
        <v>27</v>
      </c>
      <c r="D3597" t="s">
        <v>27</v>
      </c>
      <c r="E3597" s="2">
        <v>46044</v>
      </c>
      <c r="F3597" s="2">
        <v>46044</v>
      </c>
      <c r="G3597" s="3">
        <v>33</v>
      </c>
      <c r="H3597" t="s">
        <v>1975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2803</v>
      </c>
    </row>
    <row r="3598" spans="1:25" hidden="1" x14ac:dyDescent="0.25">
      <c r="A3598" t="s">
        <v>25</v>
      </c>
      <c r="B3598" t="s">
        <v>96</v>
      </c>
      <c r="C3598" t="s">
        <v>26</v>
      </c>
      <c r="D3598" t="s">
        <v>27</v>
      </c>
      <c r="E3598" s="2">
        <v>46045</v>
      </c>
      <c r="F3598" s="2">
        <v>46045</v>
      </c>
      <c r="G3598" s="3">
        <v>37</v>
      </c>
      <c r="H3598" t="s">
        <v>28</v>
      </c>
      <c r="I3598">
        <v>65</v>
      </c>
      <c r="J3598">
        <v>0</v>
      </c>
      <c r="K3598">
        <v>0</v>
      </c>
      <c r="L3598" s="3">
        <v>1</v>
      </c>
      <c r="M3598" s="3">
        <v>0</v>
      </c>
      <c r="N3598">
        <v>1</v>
      </c>
      <c r="O3598">
        <v>0</v>
      </c>
      <c r="P3598">
        <v>0</v>
      </c>
      <c r="Q3598">
        <v>0</v>
      </c>
      <c r="R3598" s="3">
        <v>0</v>
      </c>
      <c r="S3598" s="3">
        <v>0</v>
      </c>
      <c r="T3598">
        <v>0</v>
      </c>
      <c r="U3598">
        <v>0</v>
      </c>
      <c r="V3598" s="3">
        <v>0</v>
      </c>
      <c r="W3598" s="3">
        <v>0</v>
      </c>
      <c r="X3598">
        <v>0</v>
      </c>
      <c r="Y3598" t="s">
        <v>2804</v>
      </c>
    </row>
    <row r="3599" spans="1:25" hidden="1" x14ac:dyDescent="0.25">
      <c r="A3599" t="s">
        <v>29</v>
      </c>
      <c r="B3599" t="s">
        <v>100</v>
      </c>
      <c r="C3599" t="s">
        <v>2271</v>
      </c>
      <c r="D3599" t="s">
        <v>27</v>
      </c>
      <c r="E3599" s="2">
        <v>46045</v>
      </c>
      <c r="F3599" s="2">
        <v>46045</v>
      </c>
      <c r="G3599" s="3">
        <v>57</v>
      </c>
      <c r="H3599" t="s">
        <v>28</v>
      </c>
      <c r="I3599">
        <v>45</v>
      </c>
      <c r="J3599">
        <v>0</v>
      </c>
      <c r="K3599">
        <v>0</v>
      </c>
      <c r="L3599" s="3">
        <v>0</v>
      </c>
      <c r="M3599" s="3">
        <v>0</v>
      </c>
      <c r="N3599">
        <v>0</v>
      </c>
      <c r="O3599">
        <v>0</v>
      </c>
      <c r="P3599">
        <v>0</v>
      </c>
      <c r="Q3599">
        <v>0</v>
      </c>
      <c r="R3599" s="3">
        <v>0</v>
      </c>
      <c r="S3599" s="3">
        <v>0</v>
      </c>
      <c r="T3599">
        <v>0</v>
      </c>
      <c r="U3599">
        <v>0</v>
      </c>
      <c r="V3599" s="3">
        <v>0</v>
      </c>
      <c r="W3599" s="3">
        <v>0</v>
      </c>
      <c r="X3599">
        <v>2</v>
      </c>
      <c r="Y3599" t="s">
        <v>2805</v>
      </c>
    </row>
    <row r="3600" spans="1:25" hidden="1" x14ac:dyDescent="0.25">
      <c r="A3600" s="1" t="s">
        <v>344</v>
      </c>
      <c r="B3600" s="1" t="s">
        <v>100</v>
      </c>
      <c r="C3600" s="1" t="s">
        <v>35</v>
      </c>
      <c r="D3600" t="s">
        <v>27</v>
      </c>
      <c r="E3600" s="2">
        <v>46045</v>
      </c>
      <c r="F3600" s="2">
        <v>46045</v>
      </c>
      <c r="G3600" s="3">
        <v>45</v>
      </c>
      <c r="H3600" t="s">
        <v>28</v>
      </c>
      <c r="I3600">
        <v>36</v>
      </c>
      <c r="J3600">
        <v>0</v>
      </c>
      <c r="K3600">
        <v>0</v>
      </c>
      <c r="L3600" s="3">
        <v>0</v>
      </c>
      <c r="M3600" s="3">
        <v>0</v>
      </c>
      <c r="N3600">
        <v>0</v>
      </c>
      <c r="O3600">
        <v>0</v>
      </c>
      <c r="P3600">
        <v>0</v>
      </c>
      <c r="Q3600">
        <v>0</v>
      </c>
      <c r="R3600" s="3">
        <v>0</v>
      </c>
      <c r="S3600" s="3">
        <v>0</v>
      </c>
      <c r="T3600">
        <v>0</v>
      </c>
      <c r="U3600">
        <v>0</v>
      </c>
      <c r="V3600" s="3">
        <v>0</v>
      </c>
      <c r="W3600" s="3">
        <v>0</v>
      </c>
      <c r="X3600">
        <v>2</v>
      </c>
      <c r="Y3600" t="s">
        <v>2792</v>
      </c>
    </row>
    <row r="3601" spans="1:25" hidden="1" x14ac:dyDescent="0.25">
      <c r="A3601" t="s">
        <v>31</v>
      </c>
      <c r="B3601" t="s">
        <v>104</v>
      </c>
      <c r="C3601" t="s">
        <v>32</v>
      </c>
      <c r="D3601" t="s">
        <v>27</v>
      </c>
      <c r="E3601" s="2">
        <v>46045</v>
      </c>
      <c r="F3601" s="2">
        <v>46045</v>
      </c>
      <c r="G3601" s="3">
        <v>105</v>
      </c>
      <c r="H3601" t="s">
        <v>28</v>
      </c>
      <c r="I3601">
        <v>73</v>
      </c>
      <c r="J3601">
        <v>0</v>
      </c>
      <c r="K3601">
        <v>0</v>
      </c>
      <c r="L3601" s="3">
        <v>1</v>
      </c>
      <c r="M3601" s="3">
        <v>0</v>
      </c>
      <c r="N3601">
        <v>0</v>
      </c>
      <c r="O3601">
        <v>0</v>
      </c>
      <c r="P3601">
        <v>0</v>
      </c>
      <c r="Q3601">
        <v>30</v>
      </c>
      <c r="R3601" s="3">
        <v>0</v>
      </c>
      <c r="S3601" s="3">
        <v>0</v>
      </c>
      <c r="T3601">
        <v>0</v>
      </c>
      <c r="U3601">
        <v>0</v>
      </c>
      <c r="V3601" s="3">
        <v>0</v>
      </c>
      <c r="W3601" s="3">
        <v>0</v>
      </c>
      <c r="X3601">
        <v>0</v>
      </c>
      <c r="Y3601" t="s">
        <v>2806</v>
      </c>
    </row>
    <row r="3602" spans="1:25" hidden="1" x14ac:dyDescent="0.25">
      <c r="A3602" t="s">
        <v>33</v>
      </c>
      <c r="B3602" t="s">
        <v>106</v>
      </c>
      <c r="C3602" t="s">
        <v>57</v>
      </c>
      <c r="D3602" t="s">
        <v>27</v>
      </c>
      <c r="E3602" s="2">
        <v>46045</v>
      </c>
      <c r="F3602" s="2">
        <v>46045</v>
      </c>
      <c r="G3602" s="3">
        <v>23</v>
      </c>
      <c r="H3602" t="s">
        <v>28</v>
      </c>
      <c r="I3602">
        <v>52</v>
      </c>
      <c r="J3602">
        <v>0</v>
      </c>
      <c r="K3602">
        <v>0</v>
      </c>
      <c r="L3602" s="3">
        <v>0</v>
      </c>
      <c r="M3602" s="3">
        <v>0</v>
      </c>
      <c r="N3602">
        <v>0</v>
      </c>
      <c r="O3602">
        <v>0</v>
      </c>
      <c r="P3602">
        <v>0</v>
      </c>
      <c r="Q3602">
        <v>21</v>
      </c>
      <c r="R3602" s="3">
        <v>0</v>
      </c>
      <c r="S3602" s="3">
        <v>0</v>
      </c>
      <c r="T3602">
        <v>0</v>
      </c>
      <c r="U3602">
        <v>0</v>
      </c>
      <c r="V3602" s="3">
        <v>0</v>
      </c>
      <c r="W3602" s="3">
        <v>0</v>
      </c>
      <c r="X3602">
        <v>0</v>
      </c>
      <c r="Y3602" t="s">
        <v>2807</v>
      </c>
    </row>
    <row r="3603" spans="1:25" hidden="1" x14ac:dyDescent="0.25">
      <c r="A3603" t="s">
        <v>36</v>
      </c>
      <c r="B3603" t="s">
        <v>249</v>
      </c>
      <c r="C3603" t="s">
        <v>2534</v>
      </c>
      <c r="D3603" t="s">
        <v>27</v>
      </c>
      <c r="E3603" s="2">
        <v>46045</v>
      </c>
      <c r="F3603" s="2">
        <v>46045</v>
      </c>
      <c r="G3603" s="3">
        <v>64</v>
      </c>
      <c r="H3603" t="s">
        <v>28</v>
      </c>
      <c r="I3603">
        <v>80</v>
      </c>
      <c r="J3603">
        <v>0</v>
      </c>
      <c r="K3603">
        <v>0</v>
      </c>
      <c r="L3603" s="3">
        <v>1</v>
      </c>
      <c r="M3603" s="3">
        <v>0</v>
      </c>
      <c r="N3603">
        <v>1</v>
      </c>
      <c r="O3603">
        <v>0</v>
      </c>
      <c r="P3603">
        <v>0</v>
      </c>
      <c r="Q3603">
        <v>0</v>
      </c>
      <c r="R3603" s="3">
        <v>0</v>
      </c>
      <c r="S3603" s="3">
        <v>0</v>
      </c>
      <c r="T3603">
        <v>0</v>
      </c>
      <c r="U3603">
        <v>0</v>
      </c>
      <c r="V3603" s="3">
        <v>0</v>
      </c>
      <c r="W3603" s="3">
        <v>0</v>
      </c>
      <c r="X3603">
        <v>0</v>
      </c>
      <c r="Y3603" t="s">
        <v>2808</v>
      </c>
    </row>
    <row r="3604" spans="1:25" hidden="1" x14ac:dyDescent="0.25">
      <c r="A3604" t="s">
        <v>38</v>
      </c>
      <c r="B3604" t="s">
        <v>108</v>
      </c>
      <c r="C3604" t="s">
        <v>27</v>
      </c>
      <c r="D3604" t="s">
        <v>27</v>
      </c>
      <c r="E3604" s="2">
        <v>46045</v>
      </c>
      <c r="F3604" s="2">
        <v>46045</v>
      </c>
      <c r="G3604" s="3">
        <v>198</v>
      </c>
      <c r="H3604" t="s">
        <v>28</v>
      </c>
      <c r="I3604">
        <v>43</v>
      </c>
      <c r="J3604">
        <v>0</v>
      </c>
      <c r="K3604">
        <v>0</v>
      </c>
      <c r="L3604" s="3">
        <v>1</v>
      </c>
      <c r="M3604" s="3">
        <v>0</v>
      </c>
      <c r="N3604">
        <v>0</v>
      </c>
      <c r="O3604">
        <v>0</v>
      </c>
      <c r="P3604">
        <v>0</v>
      </c>
      <c r="Q3604">
        <v>43</v>
      </c>
      <c r="R3604" s="3">
        <v>0</v>
      </c>
      <c r="S3604" s="3">
        <v>0</v>
      </c>
      <c r="T3604">
        <v>0</v>
      </c>
      <c r="U3604">
        <v>0</v>
      </c>
      <c r="V3604" s="3">
        <v>0</v>
      </c>
      <c r="W3604" s="3">
        <v>0</v>
      </c>
      <c r="X3604">
        <v>0</v>
      </c>
      <c r="Y3604" t="s">
        <v>2809</v>
      </c>
    </row>
    <row r="3605" spans="1:25" hidden="1" x14ac:dyDescent="0.25">
      <c r="A3605" t="s">
        <v>2679</v>
      </c>
      <c r="B3605" t="s">
        <v>2680</v>
      </c>
      <c r="C3605" t="s">
        <v>39</v>
      </c>
      <c r="D3605" t="s">
        <v>27</v>
      </c>
      <c r="E3605" s="2">
        <v>46045</v>
      </c>
      <c r="F3605" s="2">
        <v>46045</v>
      </c>
      <c r="G3605" s="3">
        <v>52</v>
      </c>
      <c r="H3605" t="s">
        <v>28</v>
      </c>
      <c r="I3605">
        <v>58</v>
      </c>
      <c r="J3605">
        <v>0</v>
      </c>
      <c r="K3605">
        <v>0</v>
      </c>
      <c r="L3605" s="3">
        <v>1</v>
      </c>
      <c r="M3605" s="3">
        <v>0</v>
      </c>
      <c r="N3605">
        <v>0</v>
      </c>
      <c r="O3605">
        <v>0</v>
      </c>
      <c r="P3605">
        <v>58</v>
      </c>
      <c r="Q3605">
        <v>58</v>
      </c>
      <c r="R3605" s="3">
        <v>0</v>
      </c>
      <c r="S3605" s="3">
        <v>0</v>
      </c>
      <c r="T3605">
        <v>0</v>
      </c>
      <c r="U3605">
        <v>0</v>
      </c>
      <c r="V3605" s="3">
        <v>0</v>
      </c>
      <c r="W3605" s="3">
        <v>0</v>
      </c>
      <c r="X3605">
        <v>1</v>
      </c>
      <c r="Y3605" t="s">
        <v>2810</v>
      </c>
    </row>
    <row r="3606" spans="1:25" hidden="1" x14ac:dyDescent="0.25">
      <c r="A3606" t="s">
        <v>41</v>
      </c>
      <c r="B3606" t="s">
        <v>112</v>
      </c>
      <c r="C3606" t="s">
        <v>42</v>
      </c>
      <c r="D3606" t="s">
        <v>27</v>
      </c>
      <c r="E3606" s="2">
        <v>46045</v>
      </c>
      <c r="F3606" s="2">
        <v>46045</v>
      </c>
      <c r="G3606" s="3">
        <v>45</v>
      </c>
      <c r="H3606" t="s">
        <v>28</v>
      </c>
      <c r="I3606">
        <v>50</v>
      </c>
      <c r="J3606">
        <v>0</v>
      </c>
      <c r="K3606">
        <v>0</v>
      </c>
      <c r="L3606" s="3">
        <v>1</v>
      </c>
      <c r="M3606" s="3">
        <v>0</v>
      </c>
      <c r="N3606">
        <v>0</v>
      </c>
      <c r="O3606">
        <v>0</v>
      </c>
      <c r="P3606">
        <v>0</v>
      </c>
      <c r="Q3606">
        <v>1</v>
      </c>
      <c r="R3606" s="3">
        <v>0</v>
      </c>
      <c r="S3606" s="3">
        <v>0</v>
      </c>
      <c r="T3606">
        <v>0</v>
      </c>
      <c r="U3606">
        <v>0</v>
      </c>
      <c r="V3606" s="3">
        <v>0</v>
      </c>
      <c r="W3606" s="3">
        <v>0</v>
      </c>
      <c r="X3606">
        <v>3</v>
      </c>
      <c r="Y3606" t="s">
        <v>2811</v>
      </c>
    </row>
    <row r="3607" spans="1:25" hidden="1" x14ac:dyDescent="0.25">
      <c r="A3607" t="s">
        <v>43</v>
      </c>
      <c r="B3607" t="s">
        <v>114</v>
      </c>
      <c r="C3607" t="s">
        <v>44</v>
      </c>
      <c r="D3607" t="s">
        <v>27</v>
      </c>
      <c r="E3607" s="2">
        <v>46045</v>
      </c>
      <c r="F3607" s="2">
        <v>46045</v>
      </c>
      <c r="G3607" s="3">
        <v>30</v>
      </c>
      <c r="H3607" t="s">
        <v>28</v>
      </c>
      <c r="I3607">
        <v>56</v>
      </c>
      <c r="J3607">
        <v>0</v>
      </c>
      <c r="K3607">
        <v>0</v>
      </c>
      <c r="L3607" s="3">
        <v>1</v>
      </c>
      <c r="M3607" s="3">
        <v>0</v>
      </c>
      <c r="N3607">
        <v>0</v>
      </c>
      <c r="O3607">
        <v>0</v>
      </c>
      <c r="P3607">
        <v>0</v>
      </c>
      <c r="Q3607">
        <v>0</v>
      </c>
      <c r="R3607" s="3">
        <v>0</v>
      </c>
      <c r="S3607" s="3">
        <v>0</v>
      </c>
      <c r="T3607">
        <v>0</v>
      </c>
      <c r="U3607">
        <v>0</v>
      </c>
      <c r="V3607" s="3">
        <v>0</v>
      </c>
      <c r="W3607" s="3">
        <v>0</v>
      </c>
      <c r="X3607">
        <v>0</v>
      </c>
      <c r="Y3607" t="s">
        <v>2812</v>
      </c>
    </row>
    <row r="3608" spans="1:25" hidden="1" x14ac:dyDescent="0.25">
      <c r="A3608" t="s">
        <v>2118</v>
      </c>
      <c r="B3608" t="s">
        <v>2119</v>
      </c>
      <c r="C3608" t="s">
        <v>27</v>
      </c>
      <c r="D3608" t="s">
        <v>27</v>
      </c>
      <c r="E3608" s="2">
        <v>46045</v>
      </c>
      <c r="F3608" s="2">
        <v>46045</v>
      </c>
      <c r="G3608" s="3">
        <v>33</v>
      </c>
      <c r="H3608" t="s">
        <v>28</v>
      </c>
      <c r="I3608">
        <v>65</v>
      </c>
      <c r="J3608">
        <v>0</v>
      </c>
      <c r="K3608">
        <v>0</v>
      </c>
      <c r="L3608" s="3">
        <v>1</v>
      </c>
      <c r="M3608" s="3">
        <v>0</v>
      </c>
      <c r="N3608">
        <v>0</v>
      </c>
      <c r="O3608">
        <v>0</v>
      </c>
      <c r="P3608">
        <v>0</v>
      </c>
      <c r="Q3608">
        <v>65</v>
      </c>
      <c r="R3608" s="3">
        <v>0</v>
      </c>
      <c r="S3608" s="3">
        <v>0</v>
      </c>
      <c r="T3608">
        <v>0</v>
      </c>
      <c r="U3608">
        <v>0</v>
      </c>
      <c r="V3608" s="3">
        <v>0</v>
      </c>
      <c r="W3608" s="3">
        <v>0</v>
      </c>
      <c r="X3608">
        <v>0</v>
      </c>
      <c r="Y3608" t="s">
        <v>2813</v>
      </c>
    </row>
    <row r="3609" spans="1:25" hidden="1" x14ac:dyDescent="0.25">
      <c r="A3609" t="s">
        <v>45</v>
      </c>
      <c r="B3609" t="s">
        <v>116</v>
      </c>
      <c r="C3609" t="s">
        <v>46</v>
      </c>
      <c r="D3609" t="s">
        <v>27</v>
      </c>
      <c r="E3609" s="2">
        <v>46045</v>
      </c>
      <c r="F3609" s="2">
        <v>46045</v>
      </c>
      <c r="G3609" s="3">
        <v>53</v>
      </c>
      <c r="H3609" t="s">
        <v>28</v>
      </c>
      <c r="I3609">
        <v>60</v>
      </c>
      <c r="J3609">
        <v>0</v>
      </c>
      <c r="K3609">
        <v>0</v>
      </c>
      <c r="L3609" s="3">
        <v>1</v>
      </c>
      <c r="M3609" s="3">
        <v>0</v>
      </c>
      <c r="N3609">
        <v>0</v>
      </c>
      <c r="O3609">
        <v>0</v>
      </c>
      <c r="P3609">
        <v>0</v>
      </c>
      <c r="Q3609">
        <v>10</v>
      </c>
      <c r="R3609" s="3">
        <v>0</v>
      </c>
      <c r="S3609" s="3">
        <v>0</v>
      </c>
      <c r="T3609">
        <v>0</v>
      </c>
      <c r="U3609">
        <v>0</v>
      </c>
      <c r="V3609" s="3">
        <v>0</v>
      </c>
      <c r="W3609" s="3">
        <v>0</v>
      </c>
      <c r="X3609">
        <v>0</v>
      </c>
      <c r="Y3609" t="s">
        <v>2814</v>
      </c>
    </row>
    <row r="3610" spans="1:25" hidden="1" x14ac:dyDescent="0.25">
      <c r="A3610" t="s">
        <v>47</v>
      </c>
      <c r="B3610" t="s">
        <v>137</v>
      </c>
      <c r="C3610" t="s">
        <v>2310</v>
      </c>
      <c r="D3610" t="s">
        <v>27</v>
      </c>
      <c r="E3610" s="2">
        <v>46045</v>
      </c>
      <c r="F3610" s="2">
        <v>46045</v>
      </c>
      <c r="G3610" s="3">
        <v>402</v>
      </c>
      <c r="H3610" t="s">
        <v>28</v>
      </c>
      <c r="I3610">
        <v>43</v>
      </c>
      <c r="J3610">
        <v>0</v>
      </c>
      <c r="K3610">
        <v>0</v>
      </c>
      <c r="L3610" s="3">
        <v>1</v>
      </c>
      <c r="M3610" s="3">
        <v>0</v>
      </c>
      <c r="N3610">
        <v>0</v>
      </c>
      <c r="O3610">
        <v>0</v>
      </c>
      <c r="P3610">
        <v>0</v>
      </c>
      <c r="Q3610">
        <v>6</v>
      </c>
      <c r="R3610" s="3">
        <v>0</v>
      </c>
      <c r="S3610" s="3">
        <v>0</v>
      </c>
      <c r="T3610">
        <v>0</v>
      </c>
      <c r="U3610">
        <v>0</v>
      </c>
      <c r="V3610" s="3">
        <v>0</v>
      </c>
      <c r="W3610" s="3">
        <v>0</v>
      </c>
      <c r="X3610">
        <v>0</v>
      </c>
      <c r="Y3610" t="s">
        <v>2815</v>
      </c>
    </row>
    <row r="3611" spans="1:25" hidden="1" x14ac:dyDescent="0.25">
      <c r="A3611" t="s">
        <v>49</v>
      </c>
      <c r="B3611" t="s">
        <v>118</v>
      </c>
      <c r="C3611" t="s">
        <v>50</v>
      </c>
      <c r="D3611" t="s">
        <v>27</v>
      </c>
      <c r="E3611" s="2">
        <v>46045</v>
      </c>
      <c r="F3611" s="2">
        <v>46045</v>
      </c>
      <c r="G3611" s="3">
        <v>73</v>
      </c>
      <c r="H3611" t="s">
        <v>28</v>
      </c>
      <c r="I3611">
        <v>36</v>
      </c>
      <c r="J3611">
        <v>0</v>
      </c>
      <c r="K3611">
        <v>0</v>
      </c>
      <c r="L3611" s="3">
        <v>1</v>
      </c>
      <c r="M3611" s="3">
        <v>1</v>
      </c>
      <c r="N3611">
        <v>0</v>
      </c>
      <c r="O3611">
        <v>0</v>
      </c>
      <c r="P3611">
        <v>0</v>
      </c>
      <c r="Q3611">
        <v>36</v>
      </c>
      <c r="R3611" s="3">
        <v>0</v>
      </c>
      <c r="S3611" s="3">
        <v>0</v>
      </c>
      <c r="T3611">
        <v>0</v>
      </c>
      <c r="U3611">
        <v>0</v>
      </c>
      <c r="V3611" s="3">
        <v>0</v>
      </c>
      <c r="W3611" s="3">
        <v>0</v>
      </c>
      <c r="X3611">
        <v>0</v>
      </c>
      <c r="Y3611" t="s">
        <v>2816</v>
      </c>
    </row>
    <row r="3612" spans="1:25" hidden="1" x14ac:dyDescent="0.25">
      <c r="A3612" t="s">
        <v>51</v>
      </c>
      <c r="B3612" t="s">
        <v>120</v>
      </c>
      <c r="C3612" t="s">
        <v>55</v>
      </c>
      <c r="D3612" t="s">
        <v>27</v>
      </c>
      <c r="E3612" s="2">
        <v>46045</v>
      </c>
      <c r="F3612" s="2">
        <v>46045</v>
      </c>
      <c r="G3612" s="3">
        <v>73</v>
      </c>
      <c r="H3612" t="s">
        <v>28</v>
      </c>
      <c r="I3612">
        <v>35</v>
      </c>
      <c r="J3612">
        <v>0</v>
      </c>
      <c r="K3612">
        <v>0</v>
      </c>
      <c r="L3612" s="3">
        <v>1</v>
      </c>
      <c r="M3612" s="3">
        <v>0</v>
      </c>
      <c r="N3612">
        <v>1</v>
      </c>
      <c r="O3612">
        <v>0</v>
      </c>
      <c r="P3612">
        <v>0</v>
      </c>
      <c r="Q3612">
        <v>0</v>
      </c>
      <c r="R3612" s="3">
        <v>0</v>
      </c>
      <c r="S3612" s="3">
        <v>0</v>
      </c>
      <c r="T3612">
        <v>0</v>
      </c>
      <c r="U3612">
        <v>0</v>
      </c>
      <c r="V3612" s="3">
        <v>0</v>
      </c>
      <c r="W3612" s="3">
        <v>0</v>
      </c>
      <c r="X3612">
        <v>0</v>
      </c>
      <c r="Y3612" t="s">
        <v>2817</v>
      </c>
    </row>
    <row r="3613" spans="1:25" hidden="1" x14ac:dyDescent="0.25">
      <c r="A3613" t="s">
        <v>54</v>
      </c>
      <c r="B3613" t="s">
        <v>122</v>
      </c>
      <c r="C3613" t="s">
        <v>2379</v>
      </c>
      <c r="D3613" t="s">
        <v>27</v>
      </c>
      <c r="E3613" s="2">
        <v>46045</v>
      </c>
      <c r="F3613" s="2">
        <v>46045</v>
      </c>
      <c r="G3613" s="3">
        <v>35</v>
      </c>
      <c r="H3613" t="s">
        <v>28</v>
      </c>
      <c r="I3613">
        <v>54</v>
      </c>
      <c r="J3613">
        <v>0</v>
      </c>
      <c r="K3613">
        <v>0</v>
      </c>
      <c r="L3613" s="3">
        <v>0</v>
      </c>
      <c r="M3613" s="3">
        <v>0</v>
      </c>
      <c r="N3613">
        <v>0</v>
      </c>
      <c r="O3613">
        <v>0</v>
      </c>
      <c r="P3613">
        <v>0</v>
      </c>
      <c r="Q3613">
        <v>2</v>
      </c>
      <c r="R3613" s="3">
        <v>0</v>
      </c>
      <c r="S3613" s="3">
        <v>0</v>
      </c>
      <c r="T3613">
        <v>0</v>
      </c>
      <c r="U3613">
        <v>0</v>
      </c>
      <c r="V3613" s="3">
        <v>0</v>
      </c>
      <c r="W3613" s="3">
        <v>0</v>
      </c>
      <c r="X3613">
        <v>0</v>
      </c>
      <c r="Y3613" t="s">
        <v>2818</v>
      </c>
    </row>
    <row r="3614" spans="1:25" hidden="1" x14ac:dyDescent="0.25">
      <c r="A3614" t="s">
        <v>27</v>
      </c>
      <c r="B3614" t="s">
        <v>122</v>
      </c>
      <c r="C3614" t="s">
        <v>52</v>
      </c>
      <c r="D3614" t="s">
        <v>27</v>
      </c>
      <c r="E3614" s="2">
        <v>46045</v>
      </c>
      <c r="F3614" s="2">
        <v>46045</v>
      </c>
      <c r="G3614" s="3">
        <v>45</v>
      </c>
      <c r="H3614" t="s">
        <v>28</v>
      </c>
      <c r="I3614">
        <v>0</v>
      </c>
      <c r="J3614">
        <v>0</v>
      </c>
      <c r="K3614">
        <v>0</v>
      </c>
      <c r="L3614" s="3">
        <v>0</v>
      </c>
      <c r="M3614" s="3">
        <v>0</v>
      </c>
      <c r="N3614">
        <v>0</v>
      </c>
      <c r="O3614">
        <v>0</v>
      </c>
      <c r="P3614">
        <v>0</v>
      </c>
      <c r="Q3614">
        <v>4</v>
      </c>
      <c r="R3614" s="3">
        <v>0</v>
      </c>
      <c r="S3614" s="3">
        <v>0</v>
      </c>
      <c r="T3614">
        <v>0</v>
      </c>
      <c r="U3614">
        <v>0</v>
      </c>
      <c r="V3614" s="3">
        <v>0</v>
      </c>
      <c r="W3614" s="3">
        <v>0</v>
      </c>
      <c r="X3614">
        <v>0</v>
      </c>
      <c r="Y3614" t="s">
        <v>2819</v>
      </c>
    </row>
    <row r="3615" spans="1:25" hidden="1" x14ac:dyDescent="0.25">
      <c r="A3615" t="s">
        <v>48</v>
      </c>
      <c r="B3615" t="s">
        <v>149</v>
      </c>
      <c r="C3615" t="s">
        <v>95</v>
      </c>
      <c r="D3615" t="s">
        <v>27</v>
      </c>
      <c r="E3615" s="2">
        <v>46045</v>
      </c>
      <c r="F3615" s="2">
        <v>46045</v>
      </c>
      <c r="G3615" s="3">
        <v>34</v>
      </c>
      <c r="H3615" t="s">
        <v>28</v>
      </c>
      <c r="I3615">
        <v>75</v>
      </c>
      <c r="J3615">
        <v>0</v>
      </c>
      <c r="K3615">
        <v>0</v>
      </c>
      <c r="L3615" s="3">
        <v>1</v>
      </c>
      <c r="M3615" s="3">
        <v>0</v>
      </c>
      <c r="N3615">
        <v>0</v>
      </c>
      <c r="O3615">
        <v>0</v>
      </c>
      <c r="P3615">
        <v>12</v>
      </c>
      <c r="Q3615">
        <v>8</v>
      </c>
      <c r="R3615" s="3">
        <v>0</v>
      </c>
      <c r="S3615" s="3">
        <v>0</v>
      </c>
      <c r="T3615">
        <v>0</v>
      </c>
      <c r="U3615">
        <v>0</v>
      </c>
      <c r="V3615" s="3">
        <v>0</v>
      </c>
      <c r="W3615" s="3">
        <v>0</v>
      </c>
      <c r="X3615">
        <v>0</v>
      </c>
      <c r="Y3615" t="s">
        <v>2820</v>
      </c>
    </row>
    <row r="3616" spans="1:25" hidden="1" x14ac:dyDescent="0.25">
      <c r="A3616" t="s">
        <v>58</v>
      </c>
      <c r="B3616" t="s">
        <v>144</v>
      </c>
      <c r="C3616" t="s">
        <v>2514</v>
      </c>
      <c r="D3616" t="s">
        <v>27</v>
      </c>
      <c r="E3616" s="2">
        <v>46045</v>
      </c>
      <c r="F3616" s="2">
        <v>46045</v>
      </c>
      <c r="G3616" s="3">
        <v>167</v>
      </c>
      <c r="H3616" t="s">
        <v>28</v>
      </c>
      <c r="I3616">
        <v>75</v>
      </c>
      <c r="J3616">
        <v>0</v>
      </c>
      <c r="K3616">
        <v>0</v>
      </c>
      <c r="L3616" s="3">
        <v>1</v>
      </c>
      <c r="M3616" s="3">
        <v>0</v>
      </c>
      <c r="N3616">
        <v>0</v>
      </c>
      <c r="O3616">
        <v>0</v>
      </c>
      <c r="P3616">
        <v>0</v>
      </c>
      <c r="Q3616">
        <v>40</v>
      </c>
      <c r="R3616" s="3">
        <v>0</v>
      </c>
      <c r="S3616" s="3">
        <v>0</v>
      </c>
      <c r="T3616">
        <v>0</v>
      </c>
      <c r="U3616">
        <v>0</v>
      </c>
      <c r="V3616" s="3">
        <v>0</v>
      </c>
      <c r="W3616" s="3">
        <v>0</v>
      </c>
      <c r="X3616">
        <v>0</v>
      </c>
      <c r="Y3616" t="s">
        <v>2821</v>
      </c>
    </row>
    <row r="3617" spans="1:25" hidden="1" x14ac:dyDescent="0.25">
      <c r="A3617" t="s">
        <v>438</v>
      </c>
      <c r="B3617" t="s">
        <v>798</v>
      </c>
      <c r="C3617" t="s">
        <v>27</v>
      </c>
      <c r="D3617" t="s">
        <v>27</v>
      </c>
      <c r="E3617" s="2">
        <v>46045</v>
      </c>
      <c r="F3617" s="2">
        <v>46045</v>
      </c>
      <c r="G3617" s="3">
        <v>33</v>
      </c>
      <c r="H3617" t="s">
        <v>1975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2803</v>
      </c>
    </row>
    <row r="3618" spans="1:25" hidden="1" x14ac:dyDescent="0.25">
      <c r="A3618" t="s">
        <v>51</v>
      </c>
      <c r="B3618" t="s">
        <v>120</v>
      </c>
      <c r="C3618" t="s">
        <v>52</v>
      </c>
      <c r="D3618" t="s">
        <v>27</v>
      </c>
      <c r="E3618" s="2">
        <v>46046</v>
      </c>
      <c r="F3618" s="2">
        <v>46046</v>
      </c>
      <c r="G3618" s="3">
        <v>69</v>
      </c>
      <c r="H3618" t="s">
        <v>28</v>
      </c>
      <c r="I3618">
        <v>0</v>
      </c>
      <c r="J3618">
        <v>0</v>
      </c>
      <c r="K3618">
        <v>0</v>
      </c>
      <c r="L3618" s="3">
        <v>0</v>
      </c>
      <c r="M3618" s="3">
        <v>0</v>
      </c>
      <c r="N3618">
        <v>0</v>
      </c>
      <c r="O3618">
        <v>0</v>
      </c>
      <c r="P3618">
        <v>0</v>
      </c>
      <c r="Q3618">
        <v>0</v>
      </c>
      <c r="R3618" s="3">
        <v>1</v>
      </c>
      <c r="S3618" s="3">
        <v>0</v>
      </c>
      <c r="T3618">
        <v>11</v>
      </c>
      <c r="U3618">
        <v>41</v>
      </c>
      <c r="V3618" s="3">
        <v>1</v>
      </c>
      <c r="W3618" s="3">
        <v>0</v>
      </c>
      <c r="X3618">
        <v>5</v>
      </c>
      <c r="Y3618" t="s">
        <v>2822</v>
      </c>
    </row>
    <row r="3619" spans="1:25" hidden="1" x14ac:dyDescent="0.25">
      <c r="A3619" t="s">
        <v>29</v>
      </c>
      <c r="B3619" t="s">
        <v>120</v>
      </c>
      <c r="C3619" t="s">
        <v>2271</v>
      </c>
      <c r="D3619" t="s">
        <v>27</v>
      </c>
      <c r="E3619" s="2">
        <v>46046</v>
      </c>
      <c r="F3619" s="2">
        <v>46046</v>
      </c>
      <c r="G3619" s="3">
        <v>69</v>
      </c>
      <c r="H3619" t="s">
        <v>28</v>
      </c>
      <c r="I3619">
        <v>0</v>
      </c>
      <c r="J3619">
        <v>0</v>
      </c>
      <c r="K3619">
        <v>0</v>
      </c>
      <c r="L3619" s="3">
        <v>0</v>
      </c>
      <c r="M3619" s="3">
        <v>0</v>
      </c>
      <c r="N3619">
        <v>0</v>
      </c>
      <c r="O3619">
        <v>0</v>
      </c>
      <c r="P3619">
        <v>0</v>
      </c>
      <c r="Q3619">
        <v>0</v>
      </c>
      <c r="R3619" s="3">
        <v>1</v>
      </c>
      <c r="S3619" s="3">
        <v>0</v>
      </c>
      <c r="T3619">
        <v>0</v>
      </c>
      <c r="U3619">
        <v>100</v>
      </c>
      <c r="V3619" s="3">
        <v>1</v>
      </c>
      <c r="W3619" s="3">
        <v>0</v>
      </c>
      <c r="X3619">
        <v>5</v>
      </c>
      <c r="Y3619" t="s">
        <v>2822</v>
      </c>
    </row>
    <row r="3620" spans="1:25" hidden="1" x14ac:dyDescent="0.25">
      <c r="A3620" t="s">
        <v>41</v>
      </c>
      <c r="B3620" t="s">
        <v>120</v>
      </c>
      <c r="C3620" t="s">
        <v>42</v>
      </c>
      <c r="D3620" t="s">
        <v>27</v>
      </c>
      <c r="E3620" s="2">
        <v>46046</v>
      </c>
      <c r="F3620" s="2">
        <v>46046</v>
      </c>
      <c r="G3620" s="3">
        <v>69</v>
      </c>
      <c r="H3620" t="s">
        <v>28</v>
      </c>
      <c r="I3620">
        <v>0</v>
      </c>
      <c r="J3620">
        <v>0</v>
      </c>
      <c r="K3620">
        <v>0</v>
      </c>
      <c r="L3620" s="3">
        <v>0</v>
      </c>
      <c r="M3620" s="3">
        <v>0</v>
      </c>
      <c r="N3620">
        <v>0</v>
      </c>
      <c r="O3620">
        <v>0</v>
      </c>
      <c r="P3620">
        <v>0</v>
      </c>
      <c r="Q3620">
        <v>0</v>
      </c>
      <c r="R3620" s="3">
        <v>1</v>
      </c>
      <c r="S3620" s="3">
        <v>0</v>
      </c>
      <c r="T3620">
        <v>87</v>
      </c>
      <c r="U3620">
        <v>14</v>
      </c>
      <c r="V3620" s="3">
        <v>1</v>
      </c>
      <c r="W3620" s="3">
        <v>0</v>
      </c>
      <c r="X3620">
        <v>3</v>
      </c>
      <c r="Y3620" t="s">
        <v>2822</v>
      </c>
    </row>
    <row r="3621" spans="1:25" hidden="1" x14ac:dyDescent="0.25">
      <c r="A3621" t="s">
        <v>29</v>
      </c>
      <c r="B3621" t="s">
        <v>120</v>
      </c>
      <c r="C3621" t="s">
        <v>2271</v>
      </c>
      <c r="D3621" t="s">
        <v>27</v>
      </c>
      <c r="E3621" s="2">
        <v>46047</v>
      </c>
      <c r="F3621" s="2">
        <v>46047</v>
      </c>
      <c r="G3621" s="3">
        <v>69</v>
      </c>
      <c r="H3621" t="s">
        <v>28</v>
      </c>
      <c r="I3621">
        <v>0</v>
      </c>
      <c r="J3621">
        <v>0</v>
      </c>
      <c r="K3621">
        <v>0</v>
      </c>
      <c r="L3621" s="3">
        <v>0</v>
      </c>
      <c r="M3621" s="3">
        <v>0</v>
      </c>
      <c r="N3621">
        <v>0</v>
      </c>
      <c r="O3621">
        <v>0</v>
      </c>
      <c r="P3621">
        <v>0</v>
      </c>
      <c r="Q3621">
        <v>0</v>
      </c>
      <c r="R3621" s="3">
        <v>0</v>
      </c>
      <c r="S3621" s="3">
        <v>1</v>
      </c>
      <c r="T3621">
        <v>0</v>
      </c>
      <c r="U3621">
        <v>90</v>
      </c>
      <c r="V3621" s="3">
        <v>0</v>
      </c>
      <c r="W3621" s="3">
        <v>1</v>
      </c>
      <c r="X3621">
        <v>5</v>
      </c>
      <c r="Y3621" t="s">
        <v>2822</v>
      </c>
    </row>
    <row r="3622" spans="1:25" hidden="1" x14ac:dyDescent="0.25">
      <c r="A3622" t="s">
        <v>48</v>
      </c>
      <c r="B3622" t="s">
        <v>149</v>
      </c>
      <c r="C3622" t="s">
        <v>2514</v>
      </c>
      <c r="D3622" t="s">
        <v>27</v>
      </c>
      <c r="E3622" s="2">
        <v>46047</v>
      </c>
      <c r="F3622" s="2">
        <v>46047</v>
      </c>
      <c r="G3622" s="3">
        <v>473</v>
      </c>
      <c r="H3622" t="s">
        <v>28</v>
      </c>
      <c r="I3622">
        <v>0</v>
      </c>
      <c r="J3622">
        <v>0</v>
      </c>
      <c r="K3622">
        <v>0</v>
      </c>
      <c r="L3622" s="3">
        <v>0</v>
      </c>
      <c r="M3622" s="3">
        <v>0</v>
      </c>
      <c r="N3622">
        <v>0</v>
      </c>
      <c r="O3622">
        <v>0</v>
      </c>
      <c r="P3622">
        <v>0</v>
      </c>
      <c r="Q3622">
        <v>10</v>
      </c>
      <c r="R3622" s="3">
        <v>0</v>
      </c>
      <c r="S3622" s="3">
        <v>1</v>
      </c>
      <c r="T3622">
        <v>16</v>
      </c>
      <c r="U3622">
        <v>91</v>
      </c>
      <c r="V3622" s="3">
        <v>0</v>
      </c>
      <c r="W3622" s="3">
        <v>1</v>
      </c>
      <c r="X3622">
        <v>4</v>
      </c>
      <c r="Y3622" t="s">
        <v>2823</v>
      </c>
    </row>
    <row r="3623" spans="1:25" hidden="1" x14ac:dyDescent="0.25">
      <c r="A3623" t="s">
        <v>25</v>
      </c>
      <c r="B3623" t="s">
        <v>96</v>
      </c>
      <c r="C3623" t="s">
        <v>26</v>
      </c>
      <c r="D3623" t="s">
        <v>27</v>
      </c>
      <c r="E3623" s="2">
        <v>46048</v>
      </c>
      <c r="F3623" s="2">
        <v>46048</v>
      </c>
      <c r="G3623" s="3">
        <v>44</v>
      </c>
      <c r="H3623" t="s">
        <v>28</v>
      </c>
      <c r="I3623">
        <v>40</v>
      </c>
      <c r="J3623">
        <v>0</v>
      </c>
      <c r="K3623">
        <v>0</v>
      </c>
      <c r="L3623" s="3">
        <v>1</v>
      </c>
      <c r="M3623" s="3">
        <v>0</v>
      </c>
      <c r="N3623">
        <v>1</v>
      </c>
      <c r="O3623">
        <v>0</v>
      </c>
      <c r="P3623">
        <v>0</v>
      </c>
      <c r="Q3623">
        <v>0</v>
      </c>
      <c r="R3623" s="3">
        <v>0</v>
      </c>
      <c r="S3623" s="3">
        <v>0</v>
      </c>
      <c r="T3623">
        <v>0</v>
      </c>
      <c r="U3623">
        <v>0</v>
      </c>
      <c r="V3623" s="3">
        <v>0</v>
      </c>
      <c r="W3623" s="3">
        <v>0</v>
      </c>
      <c r="X3623">
        <v>0</v>
      </c>
      <c r="Y3623" t="s">
        <v>2824</v>
      </c>
    </row>
    <row r="3624" spans="1:25" hidden="1" x14ac:dyDescent="0.25">
      <c r="A3624" t="s">
        <v>29</v>
      </c>
      <c r="B3624" t="s">
        <v>100</v>
      </c>
      <c r="C3624" t="s">
        <v>95</v>
      </c>
      <c r="D3624" t="s">
        <v>27</v>
      </c>
      <c r="E3624" s="2">
        <v>46048</v>
      </c>
      <c r="F3624" s="2">
        <v>46048</v>
      </c>
      <c r="G3624" s="3">
        <v>73</v>
      </c>
      <c r="H3624" t="s">
        <v>28</v>
      </c>
      <c r="I3624">
        <v>87</v>
      </c>
      <c r="J3624">
        <v>0</v>
      </c>
      <c r="K3624">
        <v>0</v>
      </c>
      <c r="L3624" s="3">
        <v>1</v>
      </c>
      <c r="M3624" s="3">
        <v>0</v>
      </c>
      <c r="N3624">
        <v>0</v>
      </c>
      <c r="O3624">
        <v>0</v>
      </c>
      <c r="P3624">
        <v>12</v>
      </c>
      <c r="Q3624">
        <v>5</v>
      </c>
      <c r="R3624" s="3">
        <v>0</v>
      </c>
      <c r="S3624" s="3">
        <v>0</v>
      </c>
      <c r="T3624">
        <v>0</v>
      </c>
      <c r="U3624">
        <v>0</v>
      </c>
      <c r="V3624" s="3">
        <v>0</v>
      </c>
      <c r="W3624" s="3">
        <v>0</v>
      </c>
      <c r="X3624">
        <v>3</v>
      </c>
      <c r="Y3624" t="s">
        <v>2825</v>
      </c>
    </row>
    <row r="3625" spans="1:25" hidden="1" x14ac:dyDescent="0.25">
      <c r="A3625" t="s">
        <v>344</v>
      </c>
      <c r="B3625" t="s">
        <v>100</v>
      </c>
      <c r="C3625" t="s">
        <v>2271</v>
      </c>
      <c r="D3625" t="s">
        <v>27</v>
      </c>
      <c r="E3625" s="2">
        <v>46048</v>
      </c>
      <c r="F3625" s="2">
        <v>46048</v>
      </c>
      <c r="G3625" s="3">
        <v>73</v>
      </c>
      <c r="H3625" t="s">
        <v>28</v>
      </c>
      <c r="I3625">
        <v>87</v>
      </c>
      <c r="J3625">
        <v>0</v>
      </c>
      <c r="K3625">
        <v>0</v>
      </c>
      <c r="L3625" s="3">
        <v>1</v>
      </c>
      <c r="M3625" s="3">
        <v>0</v>
      </c>
      <c r="N3625">
        <v>0</v>
      </c>
      <c r="O3625">
        <v>0</v>
      </c>
      <c r="P3625">
        <v>12</v>
      </c>
      <c r="Q3625">
        <v>5</v>
      </c>
      <c r="R3625" s="3">
        <v>0</v>
      </c>
      <c r="S3625" s="3">
        <v>0</v>
      </c>
      <c r="T3625">
        <v>0</v>
      </c>
      <c r="U3625">
        <v>0</v>
      </c>
      <c r="V3625" s="3">
        <v>0</v>
      </c>
      <c r="W3625" s="3">
        <v>0</v>
      </c>
      <c r="X3625">
        <v>3</v>
      </c>
      <c r="Y3625" t="s">
        <v>2825</v>
      </c>
    </row>
    <row r="3626" spans="1:25" hidden="1" x14ac:dyDescent="0.25">
      <c r="A3626" t="s">
        <v>31</v>
      </c>
      <c r="B3626" t="s">
        <v>104</v>
      </c>
      <c r="C3626" t="s">
        <v>32</v>
      </c>
      <c r="D3626" t="s">
        <v>27</v>
      </c>
      <c r="E3626" s="2">
        <v>46048</v>
      </c>
      <c r="F3626" s="2">
        <v>46048</v>
      </c>
      <c r="G3626" s="3">
        <v>53</v>
      </c>
      <c r="H3626" t="s">
        <v>28</v>
      </c>
      <c r="I3626">
        <v>83</v>
      </c>
      <c r="J3626">
        <v>0</v>
      </c>
      <c r="K3626">
        <v>0</v>
      </c>
      <c r="L3626" s="3">
        <v>1</v>
      </c>
      <c r="M3626" s="3">
        <v>0</v>
      </c>
      <c r="N3626">
        <v>0</v>
      </c>
      <c r="O3626">
        <v>0</v>
      </c>
      <c r="P3626">
        <v>0</v>
      </c>
      <c r="Q3626">
        <v>30</v>
      </c>
      <c r="R3626" s="3">
        <v>0</v>
      </c>
      <c r="S3626" s="3">
        <v>0</v>
      </c>
      <c r="T3626">
        <v>0</v>
      </c>
      <c r="U3626">
        <v>0</v>
      </c>
      <c r="V3626" s="3">
        <v>0</v>
      </c>
      <c r="W3626" s="3">
        <v>0</v>
      </c>
      <c r="X3626">
        <v>0</v>
      </c>
      <c r="Y3626" t="s">
        <v>2826</v>
      </c>
    </row>
    <row r="3627" spans="1:25" hidden="1" x14ac:dyDescent="0.25">
      <c r="A3627" t="s">
        <v>36</v>
      </c>
      <c r="B3627" t="s">
        <v>249</v>
      </c>
      <c r="C3627" t="s">
        <v>57</v>
      </c>
      <c r="D3627" t="s">
        <v>27</v>
      </c>
      <c r="E3627" s="2">
        <v>46048</v>
      </c>
      <c r="F3627" s="2">
        <v>46048</v>
      </c>
      <c r="G3627" s="3">
        <v>83</v>
      </c>
      <c r="H3627" t="s">
        <v>28</v>
      </c>
      <c r="I3627">
        <v>64</v>
      </c>
      <c r="J3627">
        <v>0</v>
      </c>
      <c r="K3627">
        <v>0</v>
      </c>
      <c r="L3627" s="3">
        <v>0</v>
      </c>
      <c r="M3627" s="3">
        <v>0</v>
      </c>
      <c r="N3627">
        <v>0</v>
      </c>
      <c r="O3627">
        <v>0</v>
      </c>
      <c r="P3627">
        <v>0</v>
      </c>
      <c r="Q3627">
        <v>0</v>
      </c>
      <c r="R3627" s="3">
        <v>0</v>
      </c>
      <c r="S3627" s="3">
        <v>0</v>
      </c>
      <c r="T3627">
        <v>0</v>
      </c>
      <c r="U3627">
        <v>0</v>
      </c>
      <c r="V3627" s="3">
        <v>0</v>
      </c>
      <c r="W3627" s="3">
        <v>0</v>
      </c>
      <c r="X3627">
        <v>0</v>
      </c>
      <c r="Y3627" t="s">
        <v>2827</v>
      </c>
    </row>
    <row r="3628" spans="1:25" hidden="1" x14ac:dyDescent="0.25">
      <c r="A3628" t="s">
        <v>38</v>
      </c>
      <c r="B3628" t="s">
        <v>108</v>
      </c>
      <c r="C3628" t="s">
        <v>27</v>
      </c>
      <c r="D3628" t="s">
        <v>27</v>
      </c>
      <c r="E3628" s="2">
        <v>46048</v>
      </c>
      <c r="F3628" s="2">
        <v>46048</v>
      </c>
      <c r="G3628" s="3">
        <v>35</v>
      </c>
      <c r="H3628" t="s">
        <v>28</v>
      </c>
      <c r="I3628">
        <v>45</v>
      </c>
      <c r="J3628">
        <v>0</v>
      </c>
      <c r="K3628">
        <v>0</v>
      </c>
      <c r="L3628" s="3">
        <v>1</v>
      </c>
      <c r="M3628" s="3">
        <v>0</v>
      </c>
      <c r="N3628">
        <v>0</v>
      </c>
      <c r="O3628">
        <v>0</v>
      </c>
      <c r="P3628">
        <v>0</v>
      </c>
      <c r="Q3628">
        <v>45</v>
      </c>
      <c r="R3628" s="3">
        <v>0</v>
      </c>
      <c r="S3628" s="3">
        <v>0</v>
      </c>
      <c r="T3628">
        <v>0</v>
      </c>
      <c r="U3628">
        <v>0</v>
      </c>
      <c r="V3628" s="3">
        <v>0</v>
      </c>
      <c r="W3628" s="3">
        <v>0</v>
      </c>
      <c r="X3628">
        <v>0</v>
      </c>
      <c r="Y3628" t="s">
        <v>2828</v>
      </c>
    </row>
    <row r="3629" spans="1:25" hidden="1" x14ac:dyDescent="0.25">
      <c r="A3629" t="s">
        <v>2679</v>
      </c>
      <c r="B3629" t="s">
        <v>2680</v>
      </c>
      <c r="C3629" t="s">
        <v>39</v>
      </c>
      <c r="D3629" t="s">
        <v>27</v>
      </c>
      <c r="E3629" s="2">
        <v>46048</v>
      </c>
      <c r="F3629" s="2">
        <v>46048</v>
      </c>
      <c r="G3629" s="3">
        <v>41</v>
      </c>
      <c r="H3629" t="s">
        <v>28</v>
      </c>
      <c r="I3629">
        <v>64</v>
      </c>
      <c r="J3629">
        <v>0</v>
      </c>
      <c r="K3629">
        <v>0</v>
      </c>
      <c r="L3629" s="3">
        <v>1</v>
      </c>
      <c r="M3629" s="3">
        <v>0</v>
      </c>
      <c r="N3629">
        <v>0</v>
      </c>
      <c r="O3629">
        <v>0</v>
      </c>
      <c r="P3629">
        <v>64</v>
      </c>
      <c r="Q3629">
        <v>64</v>
      </c>
      <c r="R3629" s="3">
        <v>0</v>
      </c>
      <c r="S3629" s="3">
        <v>0</v>
      </c>
      <c r="T3629">
        <v>0</v>
      </c>
      <c r="U3629">
        <v>0</v>
      </c>
      <c r="V3629" s="3">
        <v>0</v>
      </c>
      <c r="W3629" s="3">
        <v>0</v>
      </c>
      <c r="X3629">
        <v>0</v>
      </c>
      <c r="Y3629" t="s">
        <v>2829</v>
      </c>
    </row>
    <row r="3630" spans="1:25" hidden="1" x14ac:dyDescent="0.25">
      <c r="A3630" t="s">
        <v>40</v>
      </c>
      <c r="B3630" t="s">
        <v>110</v>
      </c>
      <c r="C3630" t="s">
        <v>2534</v>
      </c>
      <c r="D3630" t="s">
        <v>27</v>
      </c>
      <c r="E3630" s="2">
        <v>46048</v>
      </c>
      <c r="F3630" s="2">
        <v>46048</v>
      </c>
      <c r="G3630" s="3">
        <v>44</v>
      </c>
      <c r="H3630" t="s">
        <v>28</v>
      </c>
      <c r="I3630">
        <v>91</v>
      </c>
      <c r="J3630">
        <v>0</v>
      </c>
      <c r="K3630">
        <v>0</v>
      </c>
      <c r="L3630" s="3">
        <v>1</v>
      </c>
      <c r="M3630" s="3">
        <v>0</v>
      </c>
      <c r="N3630">
        <v>1</v>
      </c>
      <c r="O3630">
        <v>0</v>
      </c>
      <c r="P3630">
        <v>0</v>
      </c>
      <c r="Q3630">
        <v>69</v>
      </c>
      <c r="R3630" s="3">
        <v>0</v>
      </c>
      <c r="S3630" s="3">
        <v>0</v>
      </c>
      <c r="T3630">
        <v>0</v>
      </c>
      <c r="U3630">
        <v>0</v>
      </c>
      <c r="V3630" s="3">
        <v>0</v>
      </c>
      <c r="W3630" s="3">
        <v>0</v>
      </c>
      <c r="X3630">
        <v>0</v>
      </c>
      <c r="Y3630" t="s">
        <v>2830</v>
      </c>
    </row>
    <row r="3631" spans="1:25" hidden="1" x14ac:dyDescent="0.25">
      <c r="A3631" t="s">
        <v>1316</v>
      </c>
      <c r="B3631" t="s">
        <v>1348</v>
      </c>
      <c r="C3631" t="s">
        <v>52</v>
      </c>
      <c r="D3631" t="s">
        <v>27</v>
      </c>
      <c r="E3631" s="2">
        <v>46048</v>
      </c>
      <c r="F3631" s="2">
        <v>46048</v>
      </c>
      <c r="G3631" s="3">
        <v>49</v>
      </c>
      <c r="H3631" t="s">
        <v>28</v>
      </c>
      <c r="I3631">
        <v>60</v>
      </c>
      <c r="J3631">
        <v>0</v>
      </c>
      <c r="K3631">
        <v>0</v>
      </c>
      <c r="L3631" s="3">
        <v>1</v>
      </c>
      <c r="M3631" s="3">
        <v>0</v>
      </c>
      <c r="N3631">
        <v>0</v>
      </c>
      <c r="O3631">
        <v>0</v>
      </c>
      <c r="P3631">
        <v>0</v>
      </c>
      <c r="Q3631">
        <v>0</v>
      </c>
      <c r="R3631" s="3">
        <v>0</v>
      </c>
      <c r="S3631" s="3">
        <v>0</v>
      </c>
      <c r="T3631">
        <v>0</v>
      </c>
      <c r="U3631">
        <v>0</v>
      </c>
      <c r="V3631" s="3">
        <v>0</v>
      </c>
      <c r="W3631" s="3">
        <v>0</v>
      </c>
      <c r="X3631">
        <v>0</v>
      </c>
      <c r="Y3631" t="s">
        <v>2831</v>
      </c>
    </row>
    <row r="3632" spans="1:25" hidden="1" x14ac:dyDescent="0.25">
      <c r="A3632" t="s">
        <v>41</v>
      </c>
      <c r="B3632" t="s">
        <v>112</v>
      </c>
      <c r="C3632" t="s">
        <v>42</v>
      </c>
      <c r="D3632" t="s">
        <v>27</v>
      </c>
      <c r="E3632" s="2">
        <v>46048</v>
      </c>
      <c r="F3632" s="2">
        <v>46048</v>
      </c>
      <c r="G3632" s="3">
        <v>49</v>
      </c>
      <c r="H3632" t="s">
        <v>28</v>
      </c>
      <c r="I3632">
        <v>46</v>
      </c>
      <c r="J3632">
        <v>0</v>
      </c>
      <c r="K3632">
        <v>0</v>
      </c>
      <c r="L3632" s="3">
        <v>1</v>
      </c>
      <c r="M3632" s="3">
        <v>0</v>
      </c>
      <c r="N3632">
        <v>0</v>
      </c>
      <c r="O3632">
        <v>0</v>
      </c>
      <c r="P3632">
        <v>0</v>
      </c>
      <c r="Q3632">
        <v>0</v>
      </c>
      <c r="R3632" s="3">
        <v>0</v>
      </c>
      <c r="S3632" s="3">
        <v>0</v>
      </c>
      <c r="T3632">
        <v>0</v>
      </c>
      <c r="U3632">
        <v>0</v>
      </c>
      <c r="V3632" s="3">
        <v>0</v>
      </c>
      <c r="W3632" s="3">
        <v>0</v>
      </c>
      <c r="X3632">
        <v>0</v>
      </c>
      <c r="Y3632" t="s">
        <v>2832</v>
      </c>
    </row>
    <row r="3633" spans="1:25" hidden="1" x14ac:dyDescent="0.25">
      <c r="A3633" t="s">
        <v>43</v>
      </c>
      <c r="B3633" t="s">
        <v>114</v>
      </c>
      <c r="C3633" t="s">
        <v>44</v>
      </c>
      <c r="D3633" t="s">
        <v>27</v>
      </c>
      <c r="E3633" s="2">
        <v>46048</v>
      </c>
      <c r="F3633" s="2">
        <v>46048</v>
      </c>
      <c r="G3633" s="3">
        <v>25</v>
      </c>
      <c r="H3633" t="s">
        <v>28</v>
      </c>
      <c r="I3633">
        <v>40</v>
      </c>
      <c r="J3633">
        <v>0</v>
      </c>
      <c r="K3633">
        <v>0</v>
      </c>
      <c r="L3633" s="3">
        <v>1</v>
      </c>
      <c r="M3633" s="3">
        <v>0</v>
      </c>
      <c r="N3633">
        <v>0</v>
      </c>
      <c r="O3633">
        <v>0</v>
      </c>
      <c r="P3633">
        <v>0</v>
      </c>
      <c r="Q3633">
        <v>0</v>
      </c>
      <c r="R3633" s="3">
        <v>0</v>
      </c>
      <c r="S3633" s="3">
        <v>0</v>
      </c>
      <c r="T3633">
        <v>0</v>
      </c>
      <c r="U3633">
        <v>0</v>
      </c>
      <c r="V3633" s="3">
        <v>0</v>
      </c>
      <c r="W3633" s="3">
        <v>0</v>
      </c>
      <c r="X3633">
        <v>0</v>
      </c>
      <c r="Y3633" t="s">
        <v>2833</v>
      </c>
    </row>
    <row r="3634" spans="1:25" hidden="1" x14ac:dyDescent="0.25">
      <c r="A3634" t="s">
        <v>2118</v>
      </c>
      <c r="B3634" t="s">
        <v>2119</v>
      </c>
      <c r="C3634" t="s">
        <v>27</v>
      </c>
      <c r="D3634" t="s">
        <v>27</v>
      </c>
      <c r="E3634" s="2">
        <v>46048</v>
      </c>
      <c r="F3634" s="2">
        <v>46048</v>
      </c>
      <c r="G3634" s="3">
        <v>38</v>
      </c>
      <c r="H3634" t="s">
        <v>28</v>
      </c>
      <c r="I3634">
        <v>63</v>
      </c>
      <c r="J3634">
        <v>0</v>
      </c>
      <c r="K3634">
        <v>0</v>
      </c>
      <c r="L3634" s="3">
        <v>1</v>
      </c>
      <c r="M3634" s="3">
        <v>0</v>
      </c>
      <c r="N3634">
        <v>0</v>
      </c>
      <c r="O3634">
        <v>0</v>
      </c>
      <c r="P3634">
        <v>0</v>
      </c>
      <c r="Q3634">
        <v>63</v>
      </c>
      <c r="R3634" s="3">
        <v>0</v>
      </c>
      <c r="S3634" s="3">
        <v>0</v>
      </c>
      <c r="T3634">
        <v>0</v>
      </c>
      <c r="U3634">
        <v>0</v>
      </c>
      <c r="V3634" s="3">
        <v>0</v>
      </c>
      <c r="W3634" s="3">
        <v>0</v>
      </c>
      <c r="X3634">
        <v>0</v>
      </c>
      <c r="Y3634" t="s">
        <v>2834</v>
      </c>
    </row>
    <row r="3635" spans="1:25" hidden="1" x14ac:dyDescent="0.25">
      <c r="A3635" t="s">
        <v>45</v>
      </c>
      <c r="B3635" t="s">
        <v>116</v>
      </c>
      <c r="C3635" t="s">
        <v>2835</v>
      </c>
      <c r="D3635" t="s">
        <v>27</v>
      </c>
      <c r="E3635" s="2">
        <v>46048</v>
      </c>
      <c r="F3635" s="2">
        <v>46048</v>
      </c>
      <c r="G3635" s="3">
        <v>61</v>
      </c>
      <c r="H3635" t="s">
        <v>28</v>
      </c>
      <c r="I3635">
        <v>60</v>
      </c>
      <c r="J3635">
        <v>0</v>
      </c>
      <c r="K3635">
        <v>0</v>
      </c>
      <c r="L3635" s="3">
        <v>1</v>
      </c>
      <c r="M3635" s="3">
        <v>0</v>
      </c>
      <c r="N3635">
        <v>0</v>
      </c>
      <c r="O3635">
        <v>0</v>
      </c>
      <c r="P3635">
        <v>0</v>
      </c>
      <c r="Q3635">
        <v>8</v>
      </c>
      <c r="R3635" s="3">
        <v>0</v>
      </c>
      <c r="S3635" s="3">
        <v>0</v>
      </c>
      <c r="T3635">
        <v>0</v>
      </c>
      <c r="U3635">
        <v>0</v>
      </c>
      <c r="V3635" s="3">
        <v>0</v>
      </c>
      <c r="W3635" s="3">
        <v>0</v>
      </c>
      <c r="X3635">
        <v>0</v>
      </c>
      <c r="Y3635" t="s">
        <v>2836</v>
      </c>
    </row>
    <row r="3636" spans="1:25" hidden="1" x14ac:dyDescent="0.25">
      <c r="A3636" t="s">
        <v>47</v>
      </c>
      <c r="B3636" t="s">
        <v>137</v>
      </c>
      <c r="C3636" t="s">
        <v>2310</v>
      </c>
      <c r="D3636" t="s">
        <v>27</v>
      </c>
      <c r="E3636" s="2">
        <v>46048</v>
      </c>
      <c r="F3636" s="2">
        <v>46048</v>
      </c>
      <c r="G3636" s="3">
        <v>219</v>
      </c>
      <c r="H3636" t="s">
        <v>28</v>
      </c>
      <c r="I3636">
        <v>32</v>
      </c>
      <c r="J3636">
        <v>0</v>
      </c>
      <c r="K3636">
        <v>0</v>
      </c>
      <c r="L3636" s="3">
        <v>1</v>
      </c>
      <c r="M3636" s="3">
        <v>0</v>
      </c>
      <c r="N3636">
        <v>0</v>
      </c>
      <c r="O3636">
        <v>0</v>
      </c>
      <c r="P3636">
        <v>0</v>
      </c>
      <c r="Q3636">
        <v>6</v>
      </c>
      <c r="R3636" s="3">
        <v>0</v>
      </c>
      <c r="S3636" s="3">
        <v>0</v>
      </c>
      <c r="T3636">
        <v>0</v>
      </c>
      <c r="U3636">
        <v>0</v>
      </c>
      <c r="V3636" s="3">
        <v>0</v>
      </c>
      <c r="W3636" s="3">
        <v>0</v>
      </c>
      <c r="X3636">
        <v>0</v>
      </c>
      <c r="Y3636" t="s">
        <v>2837</v>
      </c>
    </row>
    <row r="3637" spans="1:25" hidden="1" x14ac:dyDescent="0.25">
      <c r="A3637" t="s">
        <v>49</v>
      </c>
      <c r="B3637" t="s">
        <v>118</v>
      </c>
      <c r="C3637" t="s">
        <v>50</v>
      </c>
      <c r="D3637" t="s">
        <v>27</v>
      </c>
      <c r="E3637" s="2">
        <v>46048</v>
      </c>
      <c r="F3637" s="2">
        <v>46048</v>
      </c>
      <c r="G3637" s="3">
        <v>26</v>
      </c>
      <c r="H3637" t="s">
        <v>28</v>
      </c>
      <c r="I3637">
        <v>33</v>
      </c>
      <c r="J3637">
        <v>0</v>
      </c>
      <c r="K3637">
        <v>0</v>
      </c>
      <c r="L3637" s="3">
        <v>1</v>
      </c>
      <c r="M3637" s="3">
        <v>1</v>
      </c>
      <c r="N3637">
        <v>0</v>
      </c>
      <c r="O3637">
        <v>1</v>
      </c>
      <c r="P3637">
        <v>0</v>
      </c>
      <c r="Q3637">
        <v>33</v>
      </c>
      <c r="R3637" s="3">
        <v>0</v>
      </c>
      <c r="S3637" s="3">
        <v>0</v>
      </c>
      <c r="T3637">
        <v>0</v>
      </c>
      <c r="U3637">
        <v>0</v>
      </c>
      <c r="V3637" s="3">
        <v>0</v>
      </c>
      <c r="W3637" s="3">
        <v>0</v>
      </c>
      <c r="X3637">
        <v>0</v>
      </c>
      <c r="Y3637" t="s">
        <v>2838</v>
      </c>
    </row>
    <row r="3638" spans="1:25" hidden="1" x14ac:dyDescent="0.25">
      <c r="A3638" t="s">
        <v>51</v>
      </c>
      <c r="B3638" t="s">
        <v>120</v>
      </c>
      <c r="C3638" t="s">
        <v>2379</v>
      </c>
      <c r="D3638" t="s">
        <v>27</v>
      </c>
      <c r="E3638" s="2">
        <v>46048</v>
      </c>
      <c r="F3638" s="2">
        <v>46048</v>
      </c>
      <c r="G3638" s="3">
        <v>81</v>
      </c>
      <c r="H3638" t="s">
        <v>28</v>
      </c>
      <c r="I3638">
        <v>31</v>
      </c>
      <c r="J3638">
        <v>0</v>
      </c>
      <c r="K3638">
        <v>0</v>
      </c>
      <c r="L3638" s="3">
        <v>1</v>
      </c>
      <c r="M3638" s="3">
        <v>0</v>
      </c>
      <c r="N3638">
        <v>1</v>
      </c>
      <c r="O3638">
        <v>0</v>
      </c>
      <c r="P3638">
        <v>0</v>
      </c>
      <c r="Q3638">
        <v>0</v>
      </c>
      <c r="R3638" s="3">
        <v>0</v>
      </c>
      <c r="S3638" s="3">
        <v>0</v>
      </c>
      <c r="T3638">
        <v>0</v>
      </c>
      <c r="U3638">
        <v>0</v>
      </c>
      <c r="V3638" s="3">
        <v>0</v>
      </c>
      <c r="W3638" s="3">
        <v>0</v>
      </c>
      <c r="X3638">
        <v>0</v>
      </c>
      <c r="Y3638" t="s">
        <v>2839</v>
      </c>
    </row>
    <row r="3639" spans="1:25" hidden="1" x14ac:dyDescent="0.25">
      <c r="A3639" t="s">
        <v>48</v>
      </c>
      <c r="B3639" t="s">
        <v>149</v>
      </c>
      <c r="C3639" t="s">
        <v>37</v>
      </c>
      <c r="D3639" t="s">
        <v>27</v>
      </c>
      <c r="E3639" s="2">
        <v>46048</v>
      </c>
      <c r="F3639" s="2">
        <v>46048</v>
      </c>
      <c r="G3639" s="3">
        <v>33</v>
      </c>
      <c r="H3639" t="s">
        <v>28</v>
      </c>
      <c r="I3639">
        <v>75</v>
      </c>
      <c r="J3639">
        <v>0</v>
      </c>
      <c r="K3639">
        <v>0</v>
      </c>
      <c r="L3639" s="3">
        <v>1</v>
      </c>
      <c r="M3639" s="3">
        <v>0</v>
      </c>
      <c r="N3639">
        <v>0</v>
      </c>
      <c r="O3639">
        <v>0</v>
      </c>
      <c r="P3639">
        <v>0</v>
      </c>
      <c r="Q3639">
        <v>0</v>
      </c>
      <c r="R3639" s="3">
        <v>0</v>
      </c>
      <c r="S3639" s="3">
        <v>0</v>
      </c>
      <c r="T3639">
        <v>0</v>
      </c>
      <c r="U3639">
        <v>0</v>
      </c>
      <c r="V3639" s="3">
        <v>0</v>
      </c>
      <c r="W3639" s="3">
        <v>0</v>
      </c>
      <c r="X3639">
        <v>0</v>
      </c>
      <c r="Y3639" t="s">
        <v>2840</v>
      </c>
    </row>
    <row r="3640" spans="1:25" hidden="1" x14ac:dyDescent="0.25">
      <c r="A3640" t="s">
        <v>58</v>
      </c>
      <c r="B3640" t="s">
        <v>144</v>
      </c>
      <c r="C3640" t="s">
        <v>2514</v>
      </c>
      <c r="D3640" t="s">
        <v>27</v>
      </c>
      <c r="E3640" s="2">
        <v>46048</v>
      </c>
      <c r="F3640" s="2">
        <v>46048</v>
      </c>
      <c r="G3640" s="3">
        <v>71</v>
      </c>
      <c r="H3640" t="s">
        <v>28</v>
      </c>
      <c r="I3640">
        <v>70</v>
      </c>
      <c r="J3640">
        <v>0</v>
      </c>
      <c r="K3640">
        <v>0</v>
      </c>
      <c r="L3640" s="3">
        <v>1</v>
      </c>
      <c r="M3640" s="3">
        <v>0</v>
      </c>
      <c r="N3640">
        <v>0</v>
      </c>
      <c r="O3640">
        <v>0</v>
      </c>
      <c r="P3640">
        <v>0</v>
      </c>
      <c r="Q3640">
        <v>40</v>
      </c>
      <c r="R3640" s="3">
        <v>0</v>
      </c>
      <c r="S3640" s="3">
        <v>0</v>
      </c>
      <c r="T3640">
        <v>0</v>
      </c>
      <c r="U3640">
        <v>0</v>
      </c>
      <c r="V3640" s="3">
        <v>0</v>
      </c>
      <c r="W3640" s="3">
        <v>0</v>
      </c>
      <c r="X3640">
        <v>0</v>
      </c>
      <c r="Y3640" t="s">
        <v>2841</v>
      </c>
    </row>
    <row r="3641" spans="1:25" hidden="1" x14ac:dyDescent="0.25">
      <c r="A3641" t="s">
        <v>454</v>
      </c>
      <c r="B3641" t="s">
        <v>106</v>
      </c>
      <c r="C3641" t="s">
        <v>27</v>
      </c>
      <c r="D3641" t="s">
        <v>27</v>
      </c>
      <c r="E3641" s="2">
        <v>46048</v>
      </c>
      <c r="F3641" s="2">
        <v>46048</v>
      </c>
      <c r="G3641" s="3">
        <v>72</v>
      </c>
      <c r="H3641" t="s">
        <v>763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2841</v>
      </c>
    </row>
    <row r="3642" spans="1:25" hidden="1" x14ac:dyDescent="0.25">
      <c r="A3642" t="s">
        <v>54</v>
      </c>
      <c r="B3642" t="s">
        <v>182</v>
      </c>
      <c r="C3642" t="s">
        <v>27</v>
      </c>
      <c r="D3642" t="s">
        <v>27</v>
      </c>
      <c r="E3642" s="2">
        <v>46048</v>
      </c>
      <c r="F3642" s="2">
        <v>46048</v>
      </c>
      <c r="G3642" s="3">
        <v>73</v>
      </c>
      <c r="H3642" t="s">
        <v>763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2841</v>
      </c>
    </row>
    <row r="3643" spans="1:25" hidden="1" x14ac:dyDescent="0.25">
      <c r="A3643" t="s">
        <v>27</v>
      </c>
      <c r="B3643" t="s">
        <v>184</v>
      </c>
      <c r="C3643" t="s">
        <v>35</v>
      </c>
      <c r="D3643" t="s">
        <v>27</v>
      </c>
      <c r="E3643" s="2">
        <v>46048</v>
      </c>
      <c r="F3643" s="2">
        <v>46048</v>
      </c>
      <c r="G3643" s="3">
        <v>74</v>
      </c>
      <c r="H3643" t="s">
        <v>763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2841</v>
      </c>
    </row>
    <row r="3644" spans="1:25" hidden="1" x14ac:dyDescent="0.25">
      <c r="A3644" t="s">
        <v>27</v>
      </c>
      <c r="B3644" t="s">
        <v>186</v>
      </c>
      <c r="C3644" t="s">
        <v>46</v>
      </c>
      <c r="D3644" t="s">
        <v>27</v>
      </c>
      <c r="E3644" s="2">
        <v>46048</v>
      </c>
      <c r="F3644" s="2">
        <v>46048</v>
      </c>
      <c r="G3644" s="3">
        <v>75</v>
      </c>
      <c r="H3644" t="s">
        <v>763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2841</v>
      </c>
    </row>
    <row r="3645" spans="1:25" hidden="1" x14ac:dyDescent="0.25">
      <c r="A3645" t="s">
        <v>27</v>
      </c>
      <c r="B3645" t="s">
        <v>188</v>
      </c>
      <c r="C3645" t="s">
        <v>55</v>
      </c>
      <c r="D3645" t="s">
        <v>27</v>
      </c>
      <c r="E3645" s="2">
        <v>46048</v>
      </c>
      <c r="F3645" s="2">
        <v>46048</v>
      </c>
      <c r="G3645" s="3">
        <v>76</v>
      </c>
      <c r="H3645" t="s">
        <v>763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2841</v>
      </c>
    </row>
    <row r="3646" spans="1:25" hidden="1" x14ac:dyDescent="0.25">
      <c r="A3646" t="s">
        <v>438</v>
      </c>
      <c r="B3646" t="s">
        <v>798</v>
      </c>
      <c r="C3646" t="s">
        <v>27</v>
      </c>
      <c r="D3646" t="s">
        <v>27</v>
      </c>
      <c r="E3646" s="2">
        <v>46048</v>
      </c>
      <c r="F3646" s="2">
        <v>46048</v>
      </c>
      <c r="G3646" s="3">
        <v>33</v>
      </c>
      <c r="H3646" t="s">
        <v>1975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2803</v>
      </c>
    </row>
    <row r="3647" spans="1:25" hidden="1" x14ac:dyDescent="0.25">
      <c r="A3647" t="s">
        <v>25</v>
      </c>
      <c r="B3647" t="s">
        <v>96</v>
      </c>
      <c r="C3647" t="s">
        <v>26</v>
      </c>
      <c r="D3647" t="s">
        <v>27</v>
      </c>
      <c r="E3647" s="2">
        <v>46049</v>
      </c>
      <c r="F3647" s="2">
        <v>46049</v>
      </c>
      <c r="G3647" s="3">
        <v>45</v>
      </c>
      <c r="H3647" t="s">
        <v>28</v>
      </c>
      <c r="I3647">
        <v>38</v>
      </c>
      <c r="J3647">
        <v>0</v>
      </c>
      <c r="K3647">
        <v>0</v>
      </c>
      <c r="L3647" s="3">
        <v>1</v>
      </c>
      <c r="M3647" s="3">
        <v>0</v>
      </c>
      <c r="N3647">
        <v>1</v>
      </c>
      <c r="O3647">
        <v>0</v>
      </c>
      <c r="P3647">
        <v>0</v>
      </c>
      <c r="Q3647">
        <v>0</v>
      </c>
      <c r="R3647" s="3">
        <v>0</v>
      </c>
      <c r="S3647" s="3">
        <v>0</v>
      </c>
      <c r="T3647">
        <v>0</v>
      </c>
      <c r="U3647">
        <v>0</v>
      </c>
      <c r="V3647" s="3">
        <v>0</v>
      </c>
      <c r="W3647" s="3">
        <v>0</v>
      </c>
      <c r="X3647">
        <v>0</v>
      </c>
      <c r="Y3647" t="s">
        <v>2842</v>
      </c>
    </row>
    <row r="3648" spans="1:25" hidden="1" x14ac:dyDescent="0.25">
      <c r="A3648" t="s">
        <v>29</v>
      </c>
      <c r="B3648" t="s">
        <v>100</v>
      </c>
      <c r="C3648" t="s">
        <v>2271</v>
      </c>
      <c r="D3648" t="s">
        <v>27</v>
      </c>
      <c r="E3648" s="2">
        <v>46049</v>
      </c>
      <c r="F3648" s="2">
        <v>46049</v>
      </c>
      <c r="G3648" s="3">
        <v>48</v>
      </c>
      <c r="H3648" t="s">
        <v>28</v>
      </c>
      <c r="I3648">
        <v>27</v>
      </c>
      <c r="J3648">
        <v>0</v>
      </c>
      <c r="K3648">
        <v>0</v>
      </c>
      <c r="L3648" s="3">
        <v>0</v>
      </c>
      <c r="M3648" s="3">
        <v>0</v>
      </c>
      <c r="N3648">
        <v>0</v>
      </c>
      <c r="O3648">
        <v>0</v>
      </c>
      <c r="P3648">
        <v>0</v>
      </c>
      <c r="Q3648">
        <v>0</v>
      </c>
      <c r="R3648" s="3">
        <v>0</v>
      </c>
      <c r="S3648" s="3">
        <v>0</v>
      </c>
      <c r="T3648">
        <v>0</v>
      </c>
      <c r="U3648">
        <v>0</v>
      </c>
      <c r="V3648" s="3">
        <v>0</v>
      </c>
      <c r="W3648" s="3">
        <v>0</v>
      </c>
      <c r="X3648">
        <v>1</v>
      </c>
      <c r="Y3648" t="s">
        <v>2843</v>
      </c>
    </row>
    <row r="3649" spans="1:25" hidden="1" x14ac:dyDescent="0.25">
      <c r="A3649" t="s">
        <v>31</v>
      </c>
      <c r="B3649" t="s">
        <v>104</v>
      </c>
      <c r="C3649" t="s">
        <v>32</v>
      </c>
      <c r="D3649" t="s">
        <v>27</v>
      </c>
      <c r="E3649" s="2">
        <v>46049</v>
      </c>
      <c r="F3649" s="2">
        <v>46049</v>
      </c>
      <c r="G3649" s="3">
        <v>64</v>
      </c>
      <c r="H3649" t="s">
        <v>28</v>
      </c>
      <c r="I3649">
        <v>50</v>
      </c>
      <c r="J3649">
        <v>0</v>
      </c>
      <c r="K3649">
        <v>0</v>
      </c>
      <c r="L3649" s="3">
        <v>1</v>
      </c>
      <c r="M3649" s="3">
        <v>0</v>
      </c>
      <c r="N3649">
        <v>0</v>
      </c>
      <c r="O3649">
        <v>0</v>
      </c>
      <c r="P3649">
        <v>0</v>
      </c>
      <c r="Q3649">
        <v>30</v>
      </c>
      <c r="R3649" s="3">
        <v>0</v>
      </c>
      <c r="S3649" s="3">
        <v>0</v>
      </c>
      <c r="T3649">
        <v>0</v>
      </c>
      <c r="U3649">
        <v>0</v>
      </c>
      <c r="V3649" s="3">
        <v>0</v>
      </c>
      <c r="W3649" s="3">
        <v>0</v>
      </c>
      <c r="X3649">
        <v>0</v>
      </c>
      <c r="Y3649" t="s">
        <v>2844</v>
      </c>
    </row>
    <row r="3650" spans="1:25" hidden="1" x14ac:dyDescent="0.25">
      <c r="A3650" t="s">
        <v>38</v>
      </c>
      <c r="B3650" t="s">
        <v>108</v>
      </c>
      <c r="C3650" t="s">
        <v>27</v>
      </c>
      <c r="D3650" t="s">
        <v>27</v>
      </c>
      <c r="E3650" s="2">
        <v>46049</v>
      </c>
      <c r="F3650" s="2">
        <v>46049</v>
      </c>
      <c r="G3650" s="3">
        <v>46</v>
      </c>
      <c r="H3650" t="s">
        <v>28</v>
      </c>
      <c r="I3650">
        <v>28</v>
      </c>
      <c r="J3650">
        <v>0</v>
      </c>
      <c r="K3650">
        <v>0</v>
      </c>
      <c r="L3650" s="3">
        <v>1</v>
      </c>
      <c r="M3650" s="3">
        <v>0</v>
      </c>
      <c r="N3650">
        <v>0</v>
      </c>
      <c r="O3650">
        <v>0</v>
      </c>
      <c r="P3650">
        <v>0</v>
      </c>
      <c r="Q3650">
        <v>28</v>
      </c>
      <c r="R3650" s="3">
        <v>0</v>
      </c>
      <c r="S3650" s="3">
        <v>0</v>
      </c>
      <c r="T3650">
        <v>0</v>
      </c>
      <c r="U3650">
        <v>0</v>
      </c>
      <c r="V3650" s="3">
        <v>0</v>
      </c>
      <c r="W3650" s="3">
        <v>0</v>
      </c>
      <c r="X3650">
        <v>0</v>
      </c>
      <c r="Y3650" t="s">
        <v>2845</v>
      </c>
    </row>
    <row r="3651" spans="1:25" hidden="1" x14ac:dyDescent="0.25">
      <c r="A3651" t="s">
        <v>2679</v>
      </c>
      <c r="B3651" t="s">
        <v>2680</v>
      </c>
      <c r="C3651" t="s">
        <v>39</v>
      </c>
      <c r="D3651" t="s">
        <v>27</v>
      </c>
      <c r="E3651" s="2">
        <v>46049</v>
      </c>
      <c r="F3651" s="2">
        <v>46049</v>
      </c>
      <c r="G3651" s="3">
        <v>50</v>
      </c>
      <c r="H3651" t="s">
        <v>28</v>
      </c>
      <c r="I3651">
        <v>37</v>
      </c>
      <c r="J3651">
        <v>0</v>
      </c>
      <c r="K3651">
        <v>0</v>
      </c>
      <c r="L3651" s="3">
        <v>1</v>
      </c>
      <c r="M3651" s="3">
        <v>0</v>
      </c>
      <c r="N3651">
        <v>0</v>
      </c>
      <c r="O3651">
        <v>0</v>
      </c>
      <c r="P3651">
        <v>37</v>
      </c>
      <c r="Q3651">
        <v>37</v>
      </c>
      <c r="R3651" s="3">
        <v>0</v>
      </c>
      <c r="S3651" s="3">
        <v>0</v>
      </c>
      <c r="T3651">
        <v>0</v>
      </c>
      <c r="U3651">
        <v>0</v>
      </c>
      <c r="V3651" s="3">
        <v>0</v>
      </c>
      <c r="W3651" s="3">
        <v>0</v>
      </c>
      <c r="X3651">
        <v>1</v>
      </c>
      <c r="Y3651" t="s">
        <v>2846</v>
      </c>
    </row>
    <row r="3652" spans="1:25" hidden="1" x14ac:dyDescent="0.25">
      <c r="A3652" t="s">
        <v>40</v>
      </c>
      <c r="B3652" t="s">
        <v>110</v>
      </c>
      <c r="C3652" t="s">
        <v>2534</v>
      </c>
      <c r="D3652" t="s">
        <v>27</v>
      </c>
      <c r="E3652" s="2">
        <v>46049</v>
      </c>
      <c r="F3652" s="2">
        <v>46049</v>
      </c>
      <c r="G3652" s="3">
        <v>43</v>
      </c>
      <c r="H3652" t="s">
        <v>28</v>
      </c>
      <c r="I3652">
        <v>114</v>
      </c>
      <c r="J3652">
        <v>0</v>
      </c>
      <c r="K3652">
        <v>0</v>
      </c>
      <c r="L3652" s="3">
        <v>1</v>
      </c>
      <c r="M3652" s="3">
        <v>0</v>
      </c>
      <c r="N3652">
        <v>1</v>
      </c>
      <c r="O3652">
        <v>0</v>
      </c>
      <c r="P3652">
        <v>0</v>
      </c>
      <c r="Q3652">
        <v>68</v>
      </c>
      <c r="R3652" s="3">
        <v>0</v>
      </c>
      <c r="S3652" s="3">
        <v>0</v>
      </c>
      <c r="T3652">
        <v>0</v>
      </c>
      <c r="U3652">
        <v>0</v>
      </c>
      <c r="V3652" s="3">
        <v>0</v>
      </c>
      <c r="W3652" s="3">
        <v>0</v>
      </c>
      <c r="X3652">
        <v>0</v>
      </c>
      <c r="Y3652" t="s">
        <v>2847</v>
      </c>
    </row>
    <row r="3653" spans="1:25" hidden="1" x14ac:dyDescent="0.25">
      <c r="A3653" t="s">
        <v>1316</v>
      </c>
      <c r="B3653" t="s">
        <v>1348</v>
      </c>
      <c r="C3653" t="s">
        <v>52</v>
      </c>
      <c r="D3653" t="s">
        <v>27</v>
      </c>
      <c r="E3653" s="2">
        <v>46049</v>
      </c>
      <c r="F3653" s="2">
        <v>46049</v>
      </c>
      <c r="G3653" s="3">
        <v>45</v>
      </c>
      <c r="H3653" t="s">
        <v>28</v>
      </c>
      <c r="I3653">
        <v>40</v>
      </c>
      <c r="J3653">
        <v>0</v>
      </c>
      <c r="K3653">
        <v>0</v>
      </c>
      <c r="L3653" s="3">
        <v>0</v>
      </c>
      <c r="M3653" s="3">
        <v>0</v>
      </c>
      <c r="N3653">
        <v>0</v>
      </c>
      <c r="O3653">
        <v>0</v>
      </c>
      <c r="P3653">
        <v>0</v>
      </c>
      <c r="Q3653">
        <v>0</v>
      </c>
      <c r="R3653" s="3">
        <v>0</v>
      </c>
      <c r="S3653" s="3">
        <v>0</v>
      </c>
      <c r="T3653">
        <v>0</v>
      </c>
      <c r="U3653">
        <v>0</v>
      </c>
      <c r="V3653" s="3">
        <v>0</v>
      </c>
      <c r="W3653" s="3">
        <v>0</v>
      </c>
      <c r="X3653">
        <v>0</v>
      </c>
      <c r="Y3653" t="s">
        <v>2848</v>
      </c>
    </row>
    <row r="3654" spans="1:25" hidden="1" x14ac:dyDescent="0.25">
      <c r="A3654" t="s">
        <v>41</v>
      </c>
      <c r="B3654" t="s">
        <v>112</v>
      </c>
      <c r="C3654" t="s">
        <v>42</v>
      </c>
      <c r="D3654" t="s">
        <v>27</v>
      </c>
      <c r="E3654" s="2">
        <v>46049</v>
      </c>
      <c r="F3654" s="2">
        <v>46049</v>
      </c>
      <c r="G3654" s="3">
        <v>44</v>
      </c>
      <c r="H3654" t="s">
        <v>28</v>
      </c>
      <c r="I3654">
        <v>40</v>
      </c>
      <c r="J3654">
        <v>0</v>
      </c>
      <c r="K3654">
        <v>0</v>
      </c>
      <c r="L3654" s="3">
        <v>1</v>
      </c>
      <c r="M3654" s="3">
        <v>0</v>
      </c>
      <c r="N3654">
        <v>0</v>
      </c>
      <c r="O3654">
        <v>0</v>
      </c>
      <c r="P3654">
        <v>0</v>
      </c>
      <c r="Q3654">
        <v>1</v>
      </c>
      <c r="R3654" s="3">
        <v>0</v>
      </c>
      <c r="S3654" s="3">
        <v>0</v>
      </c>
      <c r="T3654">
        <v>0</v>
      </c>
      <c r="U3654">
        <v>0</v>
      </c>
      <c r="V3654" s="3">
        <v>0</v>
      </c>
      <c r="W3654" s="3">
        <v>0</v>
      </c>
      <c r="X3654">
        <v>0</v>
      </c>
      <c r="Y3654" t="s">
        <v>2849</v>
      </c>
    </row>
    <row r="3655" spans="1:25" hidden="1" x14ac:dyDescent="0.25">
      <c r="A3655" t="s">
        <v>43</v>
      </c>
      <c r="B3655" t="s">
        <v>114</v>
      </c>
      <c r="C3655" t="s">
        <v>44</v>
      </c>
      <c r="D3655" t="s">
        <v>27</v>
      </c>
      <c r="E3655" s="2">
        <v>46049</v>
      </c>
      <c r="F3655" s="2">
        <v>46049</v>
      </c>
      <c r="G3655" s="3">
        <v>30</v>
      </c>
      <c r="H3655" t="s">
        <v>28</v>
      </c>
      <c r="I3655">
        <v>74</v>
      </c>
      <c r="J3655">
        <v>0</v>
      </c>
      <c r="K3655">
        <v>0</v>
      </c>
      <c r="L3655" s="3">
        <v>1</v>
      </c>
      <c r="M3655" s="3">
        <v>0</v>
      </c>
      <c r="N3655">
        <v>0</v>
      </c>
      <c r="O3655">
        <v>0</v>
      </c>
      <c r="P3655">
        <v>0</v>
      </c>
      <c r="Q3655">
        <v>0</v>
      </c>
      <c r="R3655" s="3">
        <v>0</v>
      </c>
      <c r="S3655" s="3">
        <v>0</v>
      </c>
      <c r="T3655">
        <v>0</v>
      </c>
      <c r="U3655">
        <v>0</v>
      </c>
      <c r="V3655" s="3">
        <v>0</v>
      </c>
      <c r="W3655" s="3">
        <v>0</v>
      </c>
      <c r="X3655">
        <v>0</v>
      </c>
      <c r="Y3655" t="s">
        <v>2850</v>
      </c>
    </row>
    <row r="3656" spans="1:25" hidden="1" x14ac:dyDescent="0.25">
      <c r="A3656" t="s">
        <v>45</v>
      </c>
      <c r="B3656" t="s">
        <v>116</v>
      </c>
      <c r="C3656" t="s">
        <v>2835</v>
      </c>
      <c r="D3656" t="s">
        <v>27</v>
      </c>
      <c r="E3656" s="2">
        <v>46049</v>
      </c>
      <c r="F3656" s="2">
        <v>46049</v>
      </c>
      <c r="G3656" s="3">
        <v>39</v>
      </c>
      <c r="H3656" t="s">
        <v>28</v>
      </c>
      <c r="I3656">
        <v>39</v>
      </c>
      <c r="J3656">
        <v>0</v>
      </c>
      <c r="K3656">
        <v>0</v>
      </c>
      <c r="L3656" s="3">
        <v>1</v>
      </c>
      <c r="M3656" s="3">
        <v>0</v>
      </c>
      <c r="N3656">
        <v>0</v>
      </c>
      <c r="O3656">
        <v>0</v>
      </c>
      <c r="P3656">
        <v>0</v>
      </c>
      <c r="Q3656">
        <v>0</v>
      </c>
      <c r="R3656" s="3">
        <v>0</v>
      </c>
      <c r="S3656" s="3">
        <v>0</v>
      </c>
      <c r="T3656">
        <v>0</v>
      </c>
      <c r="U3656">
        <v>0</v>
      </c>
      <c r="V3656" s="3">
        <v>0</v>
      </c>
      <c r="W3656" s="3">
        <v>0</v>
      </c>
      <c r="X3656">
        <v>0</v>
      </c>
      <c r="Y3656" t="s">
        <v>2851</v>
      </c>
    </row>
    <row r="3657" spans="1:25" hidden="1" x14ac:dyDescent="0.25">
      <c r="A3657" t="s">
        <v>47</v>
      </c>
      <c r="B3657" t="s">
        <v>137</v>
      </c>
      <c r="C3657" t="s">
        <v>2310</v>
      </c>
      <c r="D3657" t="s">
        <v>27</v>
      </c>
      <c r="E3657" s="2">
        <v>46049</v>
      </c>
      <c r="F3657" s="2">
        <v>46049</v>
      </c>
      <c r="G3657" s="3">
        <v>80</v>
      </c>
      <c r="H3657" t="s">
        <v>28</v>
      </c>
      <c r="I3657">
        <v>49</v>
      </c>
      <c r="J3657">
        <v>0</v>
      </c>
      <c r="K3657">
        <v>0</v>
      </c>
      <c r="L3657" s="3">
        <v>1</v>
      </c>
      <c r="M3657" s="3">
        <v>0</v>
      </c>
      <c r="N3657">
        <v>0</v>
      </c>
      <c r="O3657">
        <v>0</v>
      </c>
      <c r="P3657">
        <v>0</v>
      </c>
      <c r="Q3657">
        <v>3</v>
      </c>
      <c r="R3657" s="3">
        <v>0</v>
      </c>
      <c r="S3657" s="3">
        <v>0</v>
      </c>
      <c r="T3657">
        <v>0</v>
      </c>
      <c r="U3657">
        <v>0</v>
      </c>
      <c r="V3657" s="3">
        <v>0</v>
      </c>
      <c r="W3657" s="3">
        <v>0</v>
      </c>
      <c r="X3657">
        <v>0</v>
      </c>
      <c r="Y3657" t="s">
        <v>2852</v>
      </c>
    </row>
    <row r="3658" spans="1:25" hidden="1" x14ac:dyDescent="0.25">
      <c r="A3658" t="s">
        <v>49</v>
      </c>
      <c r="B3658" t="s">
        <v>118</v>
      </c>
      <c r="C3658" t="s">
        <v>50</v>
      </c>
      <c r="D3658" t="s">
        <v>27</v>
      </c>
      <c r="E3658" s="2">
        <v>46049</v>
      </c>
      <c r="F3658" s="2">
        <v>46049</v>
      </c>
      <c r="G3658" s="3">
        <v>25</v>
      </c>
      <c r="H3658" t="s">
        <v>28</v>
      </c>
      <c r="I3658">
        <v>54</v>
      </c>
      <c r="J3658">
        <v>0</v>
      </c>
      <c r="K3658">
        <v>0</v>
      </c>
      <c r="L3658" s="3">
        <v>1</v>
      </c>
      <c r="M3658" s="3">
        <v>1</v>
      </c>
      <c r="N3658">
        <v>0</v>
      </c>
      <c r="O3658">
        <v>1</v>
      </c>
      <c r="P3658">
        <v>0</v>
      </c>
      <c r="Q3658">
        <v>54</v>
      </c>
      <c r="R3658" s="3">
        <v>0</v>
      </c>
      <c r="S3658" s="3">
        <v>0</v>
      </c>
      <c r="T3658">
        <v>0</v>
      </c>
      <c r="U3658">
        <v>0</v>
      </c>
      <c r="V3658" s="3">
        <v>0</v>
      </c>
      <c r="W3658" s="3">
        <v>0</v>
      </c>
      <c r="X3658">
        <v>0</v>
      </c>
      <c r="Y3658" t="s">
        <v>2853</v>
      </c>
    </row>
    <row r="3659" spans="1:25" hidden="1" x14ac:dyDescent="0.25">
      <c r="A3659" t="s">
        <v>51</v>
      </c>
      <c r="B3659" t="s">
        <v>120</v>
      </c>
      <c r="C3659" t="s">
        <v>95</v>
      </c>
      <c r="D3659" t="s">
        <v>27</v>
      </c>
      <c r="E3659" s="2">
        <v>46049</v>
      </c>
      <c r="F3659" s="2">
        <v>46049</v>
      </c>
      <c r="G3659" s="3">
        <v>58</v>
      </c>
      <c r="H3659" t="s">
        <v>28</v>
      </c>
      <c r="I3659">
        <v>54</v>
      </c>
      <c r="J3659">
        <v>0</v>
      </c>
      <c r="K3659">
        <v>0</v>
      </c>
      <c r="L3659" s="3">
        <v>0</v>
      </c>
      <c r="M3659" s="3">
        <v>0</v>
      </c>
      <c r="N3659">
        <v>0</v>
      </c>
      <c r="O3659">
        <v>0</v>
      </c>
      <c r="P3659">
        <v>0</v>
      </c>
      <c r="Q3659">
        <v>0</v>
      </c>
      <c r="R3659" s="3">
        <v>0</v>
      </c>
      <c r="S3659" s="3">
        <v>0</v>
      </c>
      <c r="T3659">
        <v>0</v>
      </c>
      <c r="U3659">
        <v>0</v>
      </c>
      <c r="V3659" s="3">
        <v>0</v>
      </c>
      <c r="W3659" s="3">
        <v>0</v>
      </c>
      <c r="X3659">
        <v>5</v>
      </c>
      <c r="Y3659" t="s">
        <v>2854</v>
      </c>
    </row>
    <row r="3660" spans="1:25" hidden="1" x14ac:dyDescent="0.25">
      <c r="A3660" t="s">
        <v>48</v>
      </c>
      <c r="B3660" t="s">
        <v>149</v>
      </c>
      <c r="C3660" t="s">
        <v>37</v>
      </c>
      <c r="D3660" t="s">
        <v>27</v>
      </c>
      <c r="E3660" s="2">
        <v>46049</v>
      </c>
      <c r="F3660" s="2">
        <v>46049</v>
      </c>
      <c r="G3660" s="3">
        <v>20</v>
      </c>
      <c r="H3660" t="s">
        <v>28</v>
      </c>
      <c r="I3660">
        <v>24</v>
      </c>
      <c r="J3660">
        <v>0</v>
      </c>
      <c r="K3660">
        <v>0</v>
      </c>
      <c r="L3660" s="3">
        <v>1</v>
      </c>
      <c r="M3660" s="3">
        <v>0</v>
      </c>
      <c r="N3660">
        <v>0</v>
      </c>
      <c r="O3660">
        <v>0</v>
      </c>
      <c r="P3660">
        <v>0</v>
      </c>
      <c r="Q3660">
        <v>0</v>
      </c>
      <c r="R3660" s="3">
        <v>0</v>
      </c>
      <c r="S3660" s="3">
        <v>0</v>
      </c>
      <c r="T3660">
        <v>0</v>
      </c>
      <c r="U3660">
        <v>0</v>
      </c>
      <c r="V3660" s="3">
        <v>0</v>
      </c>
      <c r="W3660" s="3">
        <v>0</v>
      </c>
      <c r="X3660">
        <v>0</v>
      </c>
      <c r="Y3660" t="s">
        <v>2855</v>
      </c>
    </row>
    <row r="3661" spans="1:25" hidden="1" x14ac:dyDescent="0.25">
      <c r="A3661" t="s">
        <v>58</v>
      </c>
      <c r="B3661" t="s">
        <v>144</v>
      </c>
      <c r="C3661" t="s">
        <v>2514</v>
      </c>
      <c r="D3661" t="s">
        <v>27</v>
      </c>
      <c r="E3661" s="2">
        <v>46049</v>
      </c>
      <c r="F3661" s="2">
        <v>46049</v>
      </c>
      <c r="G3661" s="3">
        <v>53</v>
      </c>
      <c r="H3661" t="s">
        <v>28</v>
      </c>
      <c r="I3661">
        <v>28</v>
      </c>
      <c r="J3661">
        <v>0</v>
      </c>
      <c r="K3661">
        <v>0</v>
      </c>
      <c r="L3661" s="3">
        <v>1</v>
      </c>
      <c r="M3661" s="3">
        <v>0</v>
      </c>
      <c r="N3661">
        <v>0</v>
      </c>
      <c r="O3661">
        <v>0</v>
      </c>
      <c r="P3661">
        <v>0</v>
      </c>
      <c r="Q3661">
        <v>10</v>
      </c>
      <c r="R3661" s="3">
        <v>0</v>
      </c>
      <c r="S3661" s="3">
        <v>0</v>
      </c>
      <c r="T3661">
        <v>0</v>
      </c>
      <c r="U3661">
        <v>0</v>
      </c>
      <c r="V3661" s="3">
        <v>0</v>
      </c>
      <c r="W3661" s="3">
        <v>0</v>
      </c>
      <c r="X3661" s="22">
        <v>3</v>
      </c>
      <c r="Y3661" t="s">
        <v>2856</v>
      </c>
    </row>
    <row r="3662" spans="1:25" hidden="1" x14ac:dyDescent="0.25">
      <c r="A3662" t="s">
        <v>344</v>
      </c>
      <c r="B3662" t="s">
        <v>100</v>
      </c>
      <c r="C3662" t="s">
        <v>27</v>
      </c>
      <c r="D3662" t="s">
        <v>27</v>
      </c>
      <c r="E3662" s="2">
        <v>46049</v>
      </c>
      <c r="F3662" s="2">
        <v>46049</v>
      </c>
      <c r="G3662" s="3">
        <v>48</v>
      </c>
      <c r="H3662" t="s">
        <v>2143</v>
      </c>
      <c r="I3662" s="7">
        <v>0</v>
      </c>
      <c r="J3662" s="7">
        <v>0</v>
      </c>
      <c r="K3662" s="7">
        <v>0</v>
      </c>
      <c r="L3662">
        <v>0</v>
      </c>
      <c r="M3662">
        <v>0</v>
      </c>
      <c r="N3662" s="7">
        <v>0</v>
      </c>
      <c r="O3662" s="7">
        <v>0</v>
      </c>
      <c r="P3662" s="7">
        <v>0</v>
      </c>
      <c r="Q3662" s="7">
        <v>0</v>
      </c>
      <c r="R3662" s="7">
        <v>0</v>
      </c>
      <c r="S3662">
        <v>0</v>
      </c>
      <c r="T3662" s="7">
        <v>0</v>
      </c>
      <c r="U3662" s="7">
        <v>0</v>
      </c>
      <c r="V3662">
        <v>0</v>
      </c>
      <c r="W3662">
        <v>0</v>
      </c>
      <c r="X3662">
        <v>0</v>
      </c>
      <c r="Y3662" t="s">
        <v>2843</v>
      </c>
    </row>
    <row r="3663" spans="1:25" hidden="1" x14ac:dyDescent="0.25">
      <c r="A3663" t="s">
        <v>27</v>
      </c>
      <c r="B3663" t="s">
        <v>110</v>
      </c>
      <c r="C3663" t="s">
        <v>2379</v>
      </c>
      <c r="D3663" t="s">
        <v>27</v>
      </c>
      <c r="E3663" s="2">
        <v>46049</v>
      </c>
      <c r="F3663" s="2">
        <v>46049</v>
      </c>
      <c r="G3663" s="3">
        <v>49</v>
      </c>
      <c r="H3663" t="s">
        <v>2143</v>
      </c>
      <c r="I3663" s="7">
        <v>0</v>
      </c>
      <c r="J3663" s="7">
        <v>0</v>
      </c>
      <c r="K3663" s="7">
        <v>0</v>
      </c>
      <c r="L3663" s="3">
        <v>0</v>
      </c>
      <c r="M3663" s="3">
        <v>0</v>
      </c>
      <c r="N3663" s="7">
        <v>0</v>
      </c>
      <c r="O3663" s="7">
        <v>0</v>
      </c>
      <c r="P3663" s="7">
        <v>0</v>
      </c>
      <c r="Q3663" s="7">
        <v>0</v>
      </c>
      <c r="R3663" s="42">
        <v>0</v>
      </c>
      <c r="S3663" s="3">
        <v>0</v>
      </c>
      <c r="T3663" s="7">
        <v>0</v>
      </c>
      <c r="U3663" s="7">
        <v>0</v>
      </c>
      <c r="V3663" s="3">
        <v>0</v>
      </c>
      <c r="W3663" s="3">
        <v>0</v>
      </c>
      <c r="X3663" s="3">
        <v>0</v>
      </c>
      <c r="Y3663" t="s">
        <v>2843</v>
      </c>
    </row>
    <row r="3664" spans="1:25" hidden="1" x14ac:dyDescent="0.25">
      <c r="A3664" t="s">
        <v>36</v>
      </c>
      <c r="B3664" t="s">
        <v>122</v>
      </c>
      <c r="C3664" t="s">
        <v>27</v>
      </c>
      <c r="D3664" t="s">
        <v>27</v>
      </c>
      <c r="E3664" s="2">
        <v>46049</v>
      </c>
      <c r="F3664" s="2">
        <v>46049</v>
      </c>
      <c r="G3664" s="3">
        <v>50</v>
      </c>
      <c r="H3664" t="s">
        <v>2143</v>
      </c>
      <c r="I3664" s="7">
        <v>0</v>
      </c>
      <c r="J3664" s="7">
        <v>0</v>
      </c>
      <c r="K3664" s="7">
        <v>0</v>
      </c>
      <c r="L3664" s="3">
        <v>0</v>
      </c>
      <c r="M3664" s="3">
        <v>0</v>
      </c>
      <c r="N3664" s="7">
        <v>0</v>
      </c>
      <c r="O3664" s="7">
        <v>0</v>
      </c>
      <c r="P3664" s="7">
        <v>0</v>
      </c>
      <c r="Q3664" s="7">
        <v>0</v>
      </c>
      <c r="R3664" s="42">
        <v>0</v>
      </c>
      <c r="S3664" s="3">
        <v>0</v>
      </c>
      <c r="T3664" s="7">
        <v>0</v>
      </c>
      <c r="U3664" s="7">
        <v>0</v>
      </c>
      <c r="V3664" s="3">
        <v>0</v>
      </c>
      <c r="W3664" s="3">
        <v>0</v>
      </c>
      <c r="X3664" s="3">
        <v>0</v>
      </c>
      <c r="Y3664" t="s">
        <v>2843</v>
      </c>
    </row>
    <row r="3665" spans="1:25" hidden="1" x14ac:dyDescent="0.25">
      <c r="A3665" t="s">
        <v>27</v>
      </c>
      <c r="B3665" t="s">
        <v>123</v>
      </c>
      <c r="C3665" t="s">
        <v>57</v>
      </c>
      <c r="D3665" t="s">
        <v>27</v>
      </c>
      <c r="E3665" s="2">
        <v>46049</v>
      </c>
      <c r="F3665" s="2">
        <v>46049</v>
      </c>
      <c r="G3665" s="3">
        <v>51</v>
      </c>
      <c r="H3665" t="s">
        <v>1448</v>
      </c>
      <c r="I3665" s="7">
        <v>0</v>
      </c>
      <c r="J3665" s="7">
        <v>0</v>
      </c>
      <c r="K3665" s="7">
        <v>0</v>
      </c>
      <c r="L3665" s="3">
        <v>0</v>
      </c>
      <c r="M3665" s="3">
        <v>0</v>
      </c>
      <c r="N3665" s="7">
        <v>0</v>
      </c>
      <c r="O3665" s="7">
        <v>0</v>
      </c>
      <c r="P3665" s="7">
        <v>0</v>
      </c>
      <c r="Q3665" s="7">
        <v>0</v>
      </c>
      <c r="R3665" s="42">
        <v>0</v>
      </c>
      <c r="S3665" s="3">
        <v>0</v>
      </c>
      <c r="T3665" s="7">
        <v>0</v>
      </c>
      <c r="U3665" s="7">
        <v>0</v>
      </c>
      <c r="V3665" s="3">
        <v>0</v>
      </c>
      <c r="W3665" s="3">
        <v>0</v>
      </c>
      <c r="X3665" s="3">
        <v>0</v>
      </c>
      <c r="Y3665" t="s">
        <v>2843</v>
      </c>
    </row>
    <row r="3666" spans="1:25" hidden="1" x14ac:dyDescent="0.25">
      <c r="A3666" t="s">
        <v>438</v>
      </c>
      <c r="B3666" t="s">
        <v>798</v>
      </c>
      <c r="C3666" t="s">
        <v>27</v>
      </c>
      <c r="D3666" t="s">
        <v>27</v>
      </c>
      <c r="E3666" s="2">
        <v>46049</v>
      </c>
      <c r="F3666" s="2">
        <v>46049</v>
      </c>
      <c r="G3666" s="3">
        <v>33</v>
      </c>
      <c r="H3666" t="s">
        <v>1975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2803</v>
      </c>
    </row>
    <row r="3667" spans="1:25" hidden="1" x14ac:dyDescent="0.25">
      <c r="A3667" t="s">
        <v>454</v>
      </c>
      <c r="B3667" t="s">
        <v>106</v>
      </c>
      <c r="C3667" t="s">
        <v>27</v>
      </c>
      <c r="D3667" t="s">
        <v>27</v>
      </c>
      <c r="E3667" s="2">
        <v>46049</v>
      </c>
      <c r="F3667" s="2">
        <v>46049</v>
      </c>
      <c r="G3667" s="3">
        <v>72</v>
      </c>
      <c r="H3667" t="s">
        <v>763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2841</v>
      </c>
    </row>
    <row r="3668" spans="1:25" hidden="1" x14ac:dyDescent="0.25">
      <c r="A3668" t="s">
        <v>54</v>
      </c>
      <c r="B3668" t="s">
        <v>182</v>
      </c>
      <c r="C3668" t="s">
        <v>27</v>
      </c>
      <c r="D3668" t="s">
        <v>27</v>
      </c>
      <c r="E3668" s="2">
        <v>46049</v>
      </c>
      <c r="F3668" s="2">
        <v>46049</v>
      </c>
      <c r="G3668" s="3">
        <v>73</v>
      </c>
      <c r="H3668" t="s">
        <v>763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2841</v>
      </c>
    </row>
    <row r="3669" spans="1:25" hidden="1" x14ac:dyDescent="0.25">
      <c r="A3669" t="s">
        <v>27</v>
      </c>
      <c r="B3669" t="s">
        <v>184</v>
      </c>
      <c r="C3669" t="s">
        <v>35</v>
      </c>
      <c r="D3669" t="s">
        <v>27</v>
      </c>
      <c r="E3669" s="2">
        <v>46049</v>
      </c>
      <c r="F3669" s="2">
        <v>46049</v>
      </c>
      <c r="G3669" s="3">
        <v>74</v>
      </c>
      <c r="H3669" t="s">
        <v>763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2841</v>
      </c>
    </row>
    <row r="3670" spans="1:25" hidden="1" x14ac:dyDescent="0.25">
      <c r="A3670" t="s">
        <v>27</v>
      </c>
      <c r="B3670" t="s">
        <v>186</v>
      </c>
      <c r="C3670" t="s">
        <v>46</v>
      </c>
      <c r="D3670" t="s">
        <v>27</v>
      </c>
      <c r="E3670" s="2">
        <v>46049</v>
      </c>
      <c r="F3670" s="2">
        <v>46049</v>
      </c>
      <c r="G3670" s="3">
        <v>75</v>
      </c>
      <c r="H3670" t="s">
        <v>763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2841</v>
      </c>
    </row>
    <row r="3671" spans="1:25" hidden="1" x14ac:dyDescent="0.25">
      <c r="A3671" t="s">
        <v>27</v>
      </c>
      <c r="B3671" t="s">
        <v>188</v>
      </c>
      <c r="C3671" t="s">
        <v>55</v>
      </c>
      <c r="D3671" t="s">
        <v>27</v>
      </c>
      <c r="E3671" s="2">
        <v>46049</v>
      </c>
      <c r="F3671" s="2">
        <v>46049</v>
      </c>
      <c r="G3671" s="3">
        <v>76</v>
      </c>
      <c r="H3671" t="s">
        <v>763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2841</v>
      </c>
    </row>
    <row r="3672" spans="1:25" hidden="1" x14ac:dyDescent="0.25">
      <c r="A3672" t="s">
        <v>29</v>
      </c>
      <c r="B3672" t="s">
        <v>100</v>
      </c>
      <c r="C3672" t="s">
        <v>95</v>
      </c>
      <c r="D3672" t="s">
        <v>27</v>
      </c>
      <c r="E3672" s="2">
        <v>46050</v>
      </c>
      <c r="F3672" s="2">
        <v>46050</v>
      </c>
      <c r="G3672" s="3">
        <v>48</v>
      </c>
      <c r="H3672" t="s">
        <v>28</v>
      </c>
      <c r="I3672">
        <v>27</v>
      </c>
      <c r="J3672">
        <v>0</v>
      </c>
      <c r="K3672">
        <v>0</v>
      </c>
      <c r="L3672" s="3">
        <v>0</v>
      </c>
      <c r="M3672" s="3">
        <v>0</v>
      </c>
      <c r="N3672">
        <v>0</v>
      </c>
      <c r="O3672">
        <v>0</v>
      </c>
      <c r="P3672">
        <v>0</v>
      </c>
      <c r="Q3672">
        <v>0</v>
      </c>
      <c r="R3672" s="3">
        <v>0</v>
      </c>
      <c r="S3672" s="3">
        <v>0</v>
      </c>
      <c r="T3672">
        <v>0</v>
      </c>
      <c r="U3672">
        <v>0</v>
      </c>
      <c r="V3672" s="3">
        <v>0</v>
      </c>
      <c r="W3672" s="3">
        <v>0</v>
      </c>
      <c r="X3672">
        <v>1</v>
      </c>
      <c r="Y3672" t="s">
        <v>2843</v>
      </c>
    </row>
    <row r="3673" spans="1:25" hidden="1" x14ac:dyDescent="0.25">
      <c r="A3673" t="s">
        <v>344</v>
      </c>
      <c r="B3673" t="s">
        <v>102</v>
      </c>
      <c r="C3673" t="s">
        <v>2271</v>
      </c>
      <c r="D3673" t="s">
        <v>27</v>
      </c>
      <c r="E3673" s="2">
        <v>46050</v>
      </c>
      <c r="F3673" s="2">
        <v>46050</v>
      </c>
      <c r="G3673" s="3">
        <v>50</v>
      </c>
      <c r="H3673" t="s">
        <v>28</v>
      </c>
      <c r="I3673">
        <v>20</v>
      </c>
      <c r="J3673">
        <v>0</v>
      </c>
      <c r="K3673">
        <v>0</v>
      </c>
      <c r="L3673" s="3">
        <v>0</v>
      </c>
      <c r="M3673" s="3">
        <v>0</v>
      </c>
      <c r="N3673">
        <v>0</v>
      </c>
      <c r="O3673">
        <v>0</v>
      </c>
      <c r="P3673">
        <v>0</v>
      </c>
      <c r="Q3673">
        <v>0</v>
      </c>
      <c r="R3673" s="3">
        <v>0</v>
      </c>
      <c r="S3673" s="3">
        <v>0</v>
      </c>
      <c r="T3673">
        <v>0</v>
      </c>
      <c r="U3673">
        <v>0</v>
      </c>
      <c r="V3673" s="3">
        <v>0</v>
      </c>
      <c r="W3673" s="3">
        <v>0</v>
      </c>
      <c r="X3673">
        <v>2</v>
      </c>
      <c r="Y3673" t="s">
        <v>2857</v>
      </c>
    </row>
    <row r="3674" spans="1:25" hidden="1" x14ac:dyDescent="0.25">
      <c r="A3674" t="s">
        <v>31</v>
      </c>
      <c r="B3674" t="s">
        <v>104</v>
      </c>
      <c r="C3674" t="s">
        <v>32</v>
      </c>
      <c r="D3674" t="s">
        <v>27</v>
      </c>
      <c r="E3674" s="2">
        <v>46050</v>
      </c>
      <c r="F3674" s="2">
        <v>46050</v>
      </c>
      <c r="G3674" s="3">
        <v>72</v>
      </c>
      <c r="H3674" t="s">
        <v>28</v>
      </c>
      <c r="I3674">
        <v>84</v>
      </c>
      <c r="J3674">
        <v>0</v>
      </c>
      <c r="K3674">
        <v>0</v>
      </c>
      <c r="L3674" s="3">
        <v>1</v>
      </c>
      <c r="M3674" s="3">
        <v>0</v>
      </c>
      <c r="N3674">
        <v>0</v>
      </c>
      <c r="O3674">
        <v>0</v>
      </c>
      <c r="P3674">
        <v>0</v>
      </c>
      <c r="Q3674">
        <v>30</v>
      </c>
      <c r="R3674" s="3">
        <v>0</v>
      </c>
      <c r="S3674" s="3">
        <v>0</v>
      </c>
      <c r="T3674">
        <v>0</v>
      </c>
      <c r="U3674">
        <v>0</v>
      </c>
      <c r="V3674" s="3">
        <v>0</v>
      </c>
      <c r="W3674" s="3">
        <v>0</v>
      </c>
      <c r="X3674">
        <v>0</v>
      </c>
      <c r="Y3674" t="s">
        <v>2858</v>
      </c>
    </row>
    <row r="3675" spans="1:25" hidden="1" x14ac:dyDescent="0.25">
      <c r="A3675" t="s">
        <v>972</v>
      </c>
      <c r="B3675" t="s">
        <v>1915</v>
      </c>
      <c r="C3675" t="s">
        <v>26</v>
      </c>
      <c r="D3675" t="s">
        <v>27</v>
      </c>
      <c r="E3675" s="2">
        <v>46050</v>
      </c>
      <c r="F3675" s="2">
        <v>46050</v>
      </c>
      <c r="G3675" s="3">
        <v>38</v>
      </c>
      <c r="H3675" t="s">
        <v>28</v>
      </c>
      <c r="I3675">
        <v>71</v>
      </c>
      <c r="J3675">
        <v>0</v>
      </c>
      <c r="K3675">
        <v>0</v>
      </c>
      <c r="L3675" s="3">
        <v>1</v>
      </c>
      <c r="M3675" s="3">
        <v>0</v>
      </c>
      <c r="N3675">
        <v>1</v>
      </c>
      <c r="O3675">
        <v>0</v>
      </c>
      <c r="P3675">
        <v>0</v>
      </c>
      <c r="Q3675">
        <v>0</v>
      </c>
      <c r="R3675" s="3">
        <v>0</v>
      </c>
      <c r="S3675" s="3">
        <v>0</v>
      </c>
      <c r="T3675">
        <v>0</v>
      </c>
      <c r="U3675">
        <v>0</v>
      </c>
      <c r="V3675" s="3">
        <v>0</v>
      </c>
      <c r="W3675" s="3">
        <v>0</v>
      </c>
      <c r="X3675">
        <v>0</v>
      </c>
      <c r="Y3675" t="s">
        <v>2859</v>
      </c>
    </row>
    <row r="3676" spans="1:25" hidden="1" x14ac:dyDescent="0.25">
      <c r="A3676" t="s">
        <v>36</v>
      </c>
      <c r="B3676" t="s">
        <v>249</v>
      </c>
      <c r="C3676" t="s">
        <v>57</v>
      </c>
      <c r="D3676" t="s">
        <v>27</v>
      </c>
      <c r="E3676" s="2">
        <v>46050</v>
      </c>
      <c r="F3676" s="2">
        <v>46050</v>
      </c>
      <c r="G3676" s="3">
        <v>69</v>
      </c>
      <c r="H3676" t="s">
        <v>28</v>
      </c>
      <c r="I3676">
        <v>51</v>
      </c>
      <c r="J3676">
        <v>0</v>
      </c>
      <c r="K3676">
        <v>0</v>
      </c>
      <c r="L3676" s="3">
        <v>0</v>
      </c>
      <c r="M3676" s="3">
        <v>0</v>
      </c>
      <c r="N3676">
        <v>0</v>
      </c>
      <c r="O3676">
        <v>0</v>
      </c>
      <c r="P3676">
        <v>0</v>
      </c>
      <c r="Q3676">
        <v>0</v>
      </c>
      <c r="R3676" s="3">
        <v>0</v>
      </c>
      <c r="S3676" s="3">
        <v>0</v>
      </c>
      <c r="T3676">
        <v>0</v>
      </c>
      <c r="U3676">
        <v>0</v>
      </c>
      <c r="V3676" s="3">
        <v>0</v>
      </c>
      <c r="W3676" s="3">
        <v>0</v>
      </c>
      <c r="X3676">
        <v>0</v>
      </c>
      <c r="Y3676" t="s">
        <v>2860</v>
      </c>
    </row>
    <row r="3677" spans="1:25" hidden="1" x14ac:dyDescent="0.25">
      <c r="A3677" t="s">
        <v>38</v>
      </c>
      <c r="B3677" t="s">
        <v>108</v>
      </c>
      <c r="C3677" t="s">
        <v>27</v>
      </c>
      <c r="D3677" t="s">
        <v>27</v>
      </c>
      <c r="E3677" s="2">
        <v>46050</v>
      </c>
      <c r="F3677" s="2">
        <v>46050</v>
      </c>
      <c r="G3677" s="3">
        <v>33</v>
      </c>
      <c r="H3677" t="s">
        <v>28</v>
      </c>
      <c r="I3677">
        <v>46</v>
      </c>
      <c r="J3677">
        <v>0</v>
      </c>
      <c r="K3677">
        <v>0</v>
      </c>
      <c r="L3677" s="3">
        <v>1</v>
      </c>
      <c r="M3677" s="3">
        <v>0</v>
      </c>
      <c r="N3677">
        <v>0</v>
      </c>
      <c r="O3677">
        <v>0</v>
      </c>
      <c r="P3677">
        <v>0</v>
      </c>
      <c r="Q3677">
        <v>46</v>
      </c>
      <c r="R3677" s="3">
        <v>0</v>
      </c>
      <c r="S3677" s="3">
        <v>0</v>
      </c>
      <c r="T3677">
        <v>0</v>
      </c>
      <c r="U3677">
        <v>0</v>
      </c>
      <c r="V3677" s="3">
        <v>0</v>
      </c>
      <c r="W3677" s="3">
        <v>0</v>
      </c>
      <c r="X3677">
        <v>0</v>
      </c>
      <c r="Y3677" t="s">
        <v>2861</v>
      </c>
    </row>
    <row r="3678" spans="1:25" hidden="1" x14ac:dyDescent="0.25">
      <c r="A3678" t="s">
        <v>2679</v>
      </c>
      <c r="B3678" t="s">
        <v>2680</v>
      </c>
      <c r="C3678" t="s">
        <v>39</v>
      </c>
      <c r="D3678" t="s">
        <v>27</v>
      </c>
      <c r="E3678" s="2">
        <v>46050</v>
      </c>
      <c r="F3678" s="2">
        <v>46050</v>
      </c>
      <c r="G3678" s="3">
        <v>57</v>
      </c>
      <c r="H3678" t="s">
        <v>28</v>
      </c>
      <c r="I3678">
        <v>75</v>
      </c>
      <c r="J3678">
        <v>0</v>
      </c>
      <c r="K3678">
        <v>0</v>
      </c>
      <c r="L3678" s="3">
        <v>1</v>
      </c>
      <c r="M3678" s="3">
        <v>0</v>
      </c>
      <c r="N3678">
        <v>0</v>
      </c>
      <c r="O3678">
        <v>0</v>
      </c>
      <c r="P3678">
        <v>75</v>
      </c>
      <c r="Q3678">
        <v>75</v>
      </c>
      <c r="R3678" s="3">
        <v>0</v>
      </c>
      <c r="S3678" s="3">
        <v>0</v>
      </c>
      <c r="T3678">
        <v>0</v>
      </c>
      <c r="U3678">
        <v>0</v>
      </c>
      <c r="V3678" s="3">
        <v>0</v>
      </c>
      <c r="W3678" s="3">
        <v>0</v>
      </c>
      <c r="X3678">
        <v>1</v>
      </c>
      <c r="Y3678" t="s">
        <v>2862</v>
      </c>
    </row>
    <row r="3679" spans="1:25" hidden="1" x14ac:dyDescent="0.25">
      <c r="A3679" t="s">
        <v>40</v>
      </c>
      <c r="B3679" t="s">
        <v>110</v>
      </c>
      <c r="C3679" t="s">
        <v>2534</v>
      </c>
      <c r="D3679" t="s">
        <v>27</v>
      </c>
      <c r="E3679" s="2">
        <v>46050</v>
      </c>
      <c r="F3679" s="2">
        <v>46050</v>
      </c>
      <c r="G3679" s="3">
        <v>142</v>
      </c>
      <c r="H3679" t="s">
        <v>28</v>
      </c>
      <c r="I3679">
        <v>90</v>
      </c>
      <c r="J3679">
        <v>0</v>
      </c>
      <c r="K3679">
        <v>0</v>
      </c>
      <c r="L3679" s="3">
        <v>1</v>
      </c>
      <c r="M3679" s="3">
        <v>0</v>
      </c>
      <c r="N3679">
        <v>1</v>
      </c>
      <c r="O3679">
        <v>0</v>
      </c>
      <c r="P3679">
        <v>0</v>
      </c>
      <c r="Q3679">
        <v>68</v>
      </c>
      <c r="R3679" s="3">
        <v>0</v>
      </c>
      <c r="S3679" s="3">
        <v>0</v>
      </c>
      <c r="T3679">
        <v>0</v>
      </c>
      <c r="U3679">
        <v>0</v>
      </c>
      <c r="V3679" s="3">
        <v>0</v>
      </c>
      <c r="W3679" s="3">
        <v>0</v>
      </c>
      <c r="X3679">
        <v>0</v>
      </c>
      <c r="Y3679" t="s">
        <v>2863</v>
      </c>
    </row>
    <row r="3680" spans="1:25" hidden="1" x14ac:dyDescent="0.25">
      <c r="A3680" t="s">
        <v>1316</v>
      </c>
      <c r="B3680" t="s">
        <v>1348</v>
      </c>
      <c r="C3680" t="s">
        <v>52</v>
      </c>
      <c r="D3680" t="s">
        <v>27</v>
      </c>
      <c r="E3680" s="2">
        <v>46050</v>
      </c>
      <c r="F3680" s="2">
        <v>46050</v>
      </c>
      <c r="G3680" s="3">
        <v>39</v>
      </c>
      <c r="H3680" t="s">
        <v>28</v>
      </c>
      <c r="I3680">
        <v>30</v>
      </c>
      <c r="J3680">
        <v>0</v>
      </c>
      <c r="K3680">
        <v>0</v>
      </c>
      <c r="L3680" s="3">
        <v>0</v>
      </c>
      <c r="M3680" s="3">
        <v>0</v>
      </c>
      <c r="N3680">
        <v>0</v>
      </c>
      <c r="O3680">
        <v>0</v>
      </c>
      <c r="P3680">
        <v>0</v>
      </c>
      <c r="Q3680">
        <v>0</v>
      </c>
      <c r="R3680" s="3">
        <v>0</v>
      </c>
      <c r="S3680" s="3">
        <v>0</v>
      </c>
      <c r="T3680">
        <v>0</v>
      </c>
      <c r="U3680">
        <v>0</v>
      </c>
      <c r="V3680" s="3">
        <v>0</v>
      </c>
      <c r="W3680" s="3">
        <v>0</v>
      </c>
      <c r="X3680">
        <v>0</v>
      </c>
      <c r="Y3680" t="s">
        <v>2864</v>
      </c>
    </row>
    <row r="3681" spans="1:25" hidden="1" x14ac:dyDescent="0.25">
      <c r="A3681" t="s">
        <v>41</v>
      </c>
      <c r="B3681" t="s">
        <v>112</v>
      </c>
      <c r="C3681" t="s">
        <v>42</v>
      </c>
      <c r="D3681" t="s">
        <v>27</v>
      </c>
      <c r="E3681" s="2">
        <v>46050</v>
      </c>
      <c r="F3681" s="2">
        <v>46050</v>
      </c>
      <c r="G3681" s="3">
        <v>41</v>
      </c>
      <c r="H3681" t="s">
        <v>28</v>
      </c>
      <c r="I3681">
        <v>40</v>
      </c>
      <c r="J3681">
        <v>0</v>
      </c>
      <c r="K3681">
        <v>0</v>
      </c>
      <c r="L3681" s="3">
        <v>1</v>
      </c>
      <c r="M3681" s="3">
        <v>0</v>
      </c>
      <c r="N3681">
        <v>0</v>
      </c>
      <c r="O3681">
        <v>0</v>
      </c>
      <c r="P3681">
        <v>0</v>
      </c>
      <c r="Q3681">
        <v>0</v>
      </c>
      <c r="R3681" s="3">
        <v>0</v>
      </c>
      <c r="S3681" s="3">
        <v>0</v>
      </c>
      <c r="T3681">
        <v>0</v>
      </c>
      <c r="U3681">
        <v>0</v>
      </c>
      <c r="V3681" s="3">
        <v>0</v>
      </c>
      <c r="W3681" s="3">
        <v>0</v>
      </c>
      <c r="X3681">
        <v>0</v>
      </c>
      <c r="Y3681" t="s">
        <v>2865</v>
      </c>
    </row>
    <row r="3682" spans="1:25" hidden="1" x14ac:dyDescent="0.25">
      <c r="A3682" t="s">
        <v>43</v>
      </c>
      <c r="B3682" t="s">
        <v>114</v>
      </c>
      <c r="C3682" t="s">
        <v>44</v>
      </c>
      <c r="D3682" t="s">
        <v>27</v>
      </c>
      <c r="E3682" s="2">
        <v>46050</v>
      </c>
      <c r="F3682" s="2">
        <v>46050</v>
      </c>
      <c r="G3682" s="3">
        <v>33</v>
      </c>
      <c r="H3682" t="s">
        <v>28</v>
      </c>
      <c r="I3682">
        <v>39</v>
      </c>
      <c r="J3682">
        <v>0</v>
      </c>
      <c r="K3682">
        <v>0</v>
      </c>
      <c r="L3682" s="3">
        <v>1</v>
      </c>
      <c r="M3682" s="3">
        <v>0</v>
      </c>
      <c r="N3682">
        <v>0</v>
      </c>
      <c r="O3682">
        <v>0</v>
      </c>
      <c r="P3682">
        <v>0</v>
      </c>
      <c r="Q3682">
        <v>0</v>
      </c>
      <c r="R3682" s="3">
        <v>0</v>
      </c>
      <c r="S3682" s="3">
        <v>0</v>
      </c>
      <c r="T3682">
        <v>0</v>
      </c>
      <c r="U3682">
        <v>0</v>
      </c>
      <c r="V3682" s="3">
        <v>0</v>
      </c>
      <c r="W3682" s="3">
        <v>0</v>
      </c>
      <c r="X3682">
        <v>0</v>
      </c>
      <c r="Y3682" t="s">
        <v>2866</v>
      </c>
    </row>
    <row r="3683" spans="1:25" hidden="1" x14ac:dyDescent="0.25">
      <c r="A3683" t="s">
        <v>2118</v>
      </c>
      <c r="B3683" t="s">
        <v>2119</v>
      </c>
      <c r="C3683" t="s">
        <v>27</v>
      </c>
      <c r="D3683" t="s">
        <v>27</v>
      </c>
      <c r="E3683" s="2">
        <v>46050</v>
      </c>
      <c r="F3683" s="2">
        <v>46050</v>
      </c>
      <c r="G3683" s="3">
        <v>30</v>
      </c>
      <c r="H3683" t="s">
        <v>28</v>
      </c>
      <c r="I3683">
        <v>64</v>
      </c>
      <c r="J3683">
        <v>0</v>
      </c>
      <c r="K3683">
        <v>0</v>
      </c>
      <c r="L3683" s="3">
        <v>1</v>
      </c>
      <c r="M3683" s="3">
        <v>0</v>
      </c>
      <c r="N3683">
        <v>0</v>
      </c>
      <c r="O3683">
        <v>0</v>
      </c>
      <c r="P3683">
        <v>0</v>
      </c>
      <c r="Q3683">
        <v>64</v>
      </c>
      <c r="R3683" s="3">
        <v>0</v>
      </c>
      <c r="S3683" s="3">
        <v>0</v>
      </c>
      <c r="T3683">
        <v>0</v>
      </c>
      <c r="U3683">
        <v>0</v>
      </c>
      <c r="V3683" s="3">
        <v>0</v>
      </c>
      <c r="W3683" s="3">
        <v>0</v>
      </c>
      <c r="X3683">
        <v>0</v>
      </c>
      <c r="Y3683" t="s">
        <v>2867</v>
      </c>
    </row>
    <row r="3684" spans="1:25" hidden="1" x14ac:dyDescent="0.25">
      <c r="A3684" t="s">
        <v>45</v>
      </c>
      <c r="B3684" t="s">
        <v>116</v>
      </c>
      <c r="C3684" t="s">
        <v>2835</v>
      </c>
      <c r="D3684" t="s">
        <v>27</v>
      </c>
      <c r="E3684" s="2">
        <v>46050</v>
      </c>
      <c r="F3684" s="2">
        <v>46050</v>
      </c>
      <c r="G3684" s="3">
        <v>45</v>
      </c>
      <c r="H3684" t="s">
        <v>28</v>
      </c>
      <c r="I3684">
        <v>71</v>
      </c>
      <c r="J3684">
        <v>0</v>
      </c>
      <c r="K3684">
        <v>0</v>
      </c>
      <c r="L3684" s="3">
        <v>1</v>
      </c>
      <c r="M3684" s="3">
        <v>0</v>
      </c>
      <c r="N3684">
        <v>0</v>
      </c>
      <c r="O3684">
        <v>0</v>
      </c>
      <c r="P3684">
        <v>0</v>
      </c>
      <c r="Q3684">
        <v>12</v>
      </c>
      <c r="R3684" s="3">
        <v>0</v>
      </c>
      <c r="S3684" s="3">
        <v>0</v>
      </c>
      <c r="T3684">
        <v>0</v>
      </c>
      <c r="U3684">
        <v>0</v>
      </c>
      <c r="V3684" s="3">
        <v>0</v>
      </c>
      <c r="W3684" s="3">
        <v>0</v>
      </c>
      <c r="X3684">
        <v>0</v>
      </c>
      <c r="Y3684" t="s">
        <v>2868</v>
      </c>
    </row>
    <row r="3685" spans="1:25" hidden="1" x14ac:dyDescent="0.25">
      <c r="A3685" t="s">
        <v>47</v>
      </c>
      <c r="B3685" t="s">
        <v>137</v>
      </c>
      <c r="C3685" t="s">
        <v>2310</v>
      </c>
      <c r="D3685" t="s">
        <v>27</v>
      </c>
      <c r="E3685" s="2">
        <v>46050</v>
      </c>
      <c r="F3685" s="2">
        <v>46050</v>
      </c>
      <c r="G3685" s="3">
        <v>209</v>
      </c>
      <c r="H3685" t="s">
        <v>28</v>
      </c>
      <c r="I3685">
        <v>40</v>
      </c>
      <c r="J3685">
        <v>0</v>
      </c>
      <c r="K3685">
        <v>0</v>
      </c>
      <c r="L3685" s="3">
        <v>1</v>
      </c>
      <c r="M3685" s="3">
        <v>0</v>
      </c>
      <c r="N3685">
        <v>0</v>
      </c>
      <c r="O3685">
        <v>0</v>
      </c>
      <c r="P3685">
        <v>0</v>
      </c>
      <c r="Q3685">
        <v>3</v>
      </c>
      <c r="R3685" s="3">
        <v>0</v>
      </c>
      <c r="S3685" s="3">
        <v>0</v>
      </c>
      <c r="T3685">
        <v>0</v>
      </c>
      <c r="U3685">
        <v>0</v>
      </c>
      <c r="V3685" s="3">
        <v>0</v>
      </c>
      <c r="W3685" s="3">
        <v>0</v>
      </c>
      <c r="X3685">
        <v>0</v>
      </c>
      <c r="Y3685" t="s">
        <v>2869</v>
      </c>
    </row>
    <row r="3686" spans="1:25" hidden="1" x14ac:dyDescent="0.25">
      <c r="A3686" t="s">
        <v>49</v>
      </c>
      <c r="B3686" t="s">
        <v>118</v>
      </c>
      <c r="C3686" t="s">
        <v>50</v>
      </c>
      <c r="D3686" t="s">
        <v>27</v>
      </c>
      <c r="E3686" s="2">
        <v>46050</v>
      </c>
      <c r="F3686" s="2">
        <v>46050</v>
      </c>
      <c r="G3686" s="3">
        <v>29</v>
      </c>
      <c r="H3686" t="s">
        <v>28</v>
      </c>
      <c r="I3686">
        <v>42</v>
      </c>
      <c r="J3686">
        <v>0</v>
      </c>
      <c r="K3686">
        <v>0</v>
      </c>
      <c r="L3686" s="3">
        <v>1</v>
      </c>
      <c r="M3686" s="3">
        <v>1</v>
      </c>
      <c r="N3686">
        <v>0</v>
      </c>
      <c r="O3686">
        <v>0</v>
      </c>
      <c r="P3686">
        <v>0</v>
      </c>
      <c r="Q3686">
        <v>42</v>
      </c>
      <c r="R3686" s="3">
        <v>0</v>
      </c>
      <c r="S3686" s="3">
        <v>0</v>
      </c>
      <c r="T3686">
        <v>0</v>
      </c>
      <c r="U3686">
        <v>0</v>
      </c>
      <c r="V3686" s="3">
        <v>0</v>
      </c>
      <c r="W3686" s="3">
        <v>0</v>
      </c>
      <c r="X3686">
        <v>0</v>
      </c>
      <c r="Y3686" t="s">
        <v>2870</v>
      </c>
    </row>
    <row r="3687" spans="1:25" hidden="1" x14ac:dyDescent="0.25">
      <c r="A3687" t="s">
        <v>51</v>
      </c>
      <c r="B3687" t="s">
        <v>120</v>
      </c>
      <c r="C3687" t="s">
        <v>2379</v>
      </c>
      <c r="D3687" t="s">
        <v>27</v>
      </c>
      <c r="E3687" s="2">
        <v>46050</v>
      </c>
      <c r="F3687" s="2">
        <v>46050</v>
      </c>
      <c r="G3687" s="3">
        <v>54</v>
      </c>
      <c r="H3687" t="s">
        <v>28</v>
      </c>
      <c r="I3687">
        <v>33</v>
      </c>
      <c r="J3687">
        <v>0</v>
      </c>
      <c r="K3687">
        <v>0</v>
      </c>
      <c r="L3687" s="3">
        <v>1</v>
      </c>
      <c r="M3687" s="3">
        <v>0</v>
      </c>
      <c r="N3687">
        <v>1</v>
      </c>
      <c r="O3687">
        <v>0</v>
      </c>
      <c r="P3687">
        <v>0</v>
      </c>
      <c r="Q3687">
        <v>0</v>
      </c>
      <c r="R3687" s="3">
        <v>0</v>
      </c>
      <c r="S3687" s="3">
        <v>0</v>
      </c>
      <c r="T3687">
        <v>0</v>
      </c>
      <c r="U3687">
        <v>0</v>
      </c>
      <c r="V3687" s="3">
        <v>0</v>
      </c>
      <c r="W3687" s="3">
        <v>0</v>
      </c>
      <c r="X3687">
        <v>0</v>
      </c>
      <c r="Y3687" t="s">
        <v>2871</v>
      </c>
    </row>
    <row r="3688" spans="1:25" hidden="1" x14ac:dyDescent="0.25">
      <c r="A3688" t="s">
        <v>58</v>
      </c>
      <c r="B3688" t="s">
        <v>144</v>
      </c>
      <c r="C3688" t="s">
        <v>2514</v>
      </c>
      <c r="D3688" t="s">
        <v>27</v>
      </c>
      <c r="E3688" s="2">
        <v>46050</v>
      </c>
      <c r="F3688" s="2">
        <v>46050</v>
      </c>
      <c r="G3688" s="3">
        <v>53</v>
      </c>
      <c r="H3688" t="s">
        <v>28</v>
      </c>
      <c r="I3688">
        <v>80</v>
      </c>
      <c r="J3688">
        <v>0</v>
      </c>
      <c r="K3688">
        <v>0</v>
      </c>
      <c r="L3688" s="3">
        <v>1</v>
      </c>
      <c r="M3688" s="3">
        <v>0</v>
      </c>
      <c r="N3688">
        <v>0</v>
      </c>
      <c r="O3688">
        <v>0</v>
      </c>
      <c r="P3688">
        <v>0</v>
      </c>
      <c r="Q3688">
        <v>40</v>
      </c>
      <c r="R3688" s="3">
        <v>0</v>
      </c>
      <c r="S3688" s="3">
        <v>0</v>
      </c>
      <c r="T3688">
        <v>0</v>
      </c>
      <c r="U3688">
        <v>0</v>
      </c>
      <c r="V3688" s="3">
        <v>0</v>
      </c>
      <c r="W3688" s="3">
        <v>0</v>
      </c>
      <c r="X3688">
        <v>3</v>
      </c>
      <c r="Y3688" t="s">
        <v>2872</v>
      </c>
    </row>
    <row r="3689" spans="1:25" hidden="1" x14ac:dyDescent="0.25">
      <c r="A3689" t="s">
        <v>48</v>
      </c>
      <c r="B3689" t="s">
        <v>106</v>
      </c>
      <c r="C3689" t="s">
        <v>37</v>
      </c>
      <c r="D3689" t="s">
        <v>27</v>
      </c>
      <c r="E3689" s="2">
        <v>46050</v>
      </c>
      <c r="F3689" s="2">
        <v>46050</v>
      </c>
      <c r="G3689" s="3">
        <v>54</v>
      </c>
      <c r="H3689" t="s">
        <v>28</v>
      </c>
      <c r="I3689">
        <v>63</v>
      </c>
      <c r="J3689">
        <v>0</v>
      </c>
      <c r="K3689">
        <v>0</v>
      </c>
      <c r="L3689" s="3">
        <v>0</v>
      </c>
      <c r="M3689" s="3">
        <v>0</v>
      </c>
      <c r="N3689">
        <v>0</v>
      </c>
      <c r="O3689">
        <v>0</v>
      </c>
      <c r="P3689">
        <v>0</v>
      </c>
      <c r="Q3689">
        <v>0</v>
      </c>
      <c r="R3689" s="3">
        <v>0</v>
      </c>
      <c r="S3689" s="3">
        <v>0</v>
      </c>
      <c r="T3689">
        <v>0</v>
      </c>
      <c r="U3689">
        <v>0</v>
      </c>
      <c r="V3689" s="3">
        <v>0</v>
      </c>
      <c r="W3689" s="3">
        <v>0</v>
      </c>
      <c r="X3689" s="3">
        <v>0</v>
      </c>
      <c r="Y3689" t="s">
        <v>2855</v>
      </c>
    </row>
    <row r="3690" spans="1:25" hidden="1" x14ac:dyDescent="0.25">
      <c r="A3690" t="s">
        <v>25</v>
      </c>
      <c r="B3690" t="s">
        <v>798</v>
      </c>
      <c r="C3690" t="s">
        <v>27</v>
      </c>
      <c r="D3690" t="s">
        <v>27</v>
      </c>
      <c r="E3690" s="2">
        <v>46050</v>
      </c>
      <c r="F3690" s="2">
        <v>46050</v>
      </c>
      <c r="G3690" s="3">
        <v>33</v>
      </c>
      <c r="H3690" t="s">
        <v>959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2803</v>
      </c>
    </row>
    <row r="3691" spans="1:25" hidden="1" x14ac:dyDescent="0.25">
      <c r="A3691" t="s">
        <v>438</v>
      </c>
      <c r="B3691" t="s">
        <v>798</v>
      </c>
      <c r="C3691" t="s">
        <v>27</v>
      </c>
      <c r="D3691" t="s">
        <v>27</v>
      </c>
      <c r="E3691" s="2">
        <v>46050</v>
      </c>
      <c r="F3691" s="2">
        <v>46050</v>
      </c>
      <c r="G3691" s="3">
        <v>33</v>
      </c>
      <c r="H3691" t="s">
        <v>1975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2803</v>
      </c>
    </row>
    <row r="3692" spans="1:25" hidden="1" x14ac:dyDescent="0.25">
      <c r="A3692" t="s">
        <v>454</v>
      </c>
      <c r="B3692" t="s">
        <v>106</v>
      </c>
      <c r="C3692" t="s">
        <v>27</v>
      </c>
      <c r="D3692" t="s">
        <v>27</v>
      </c>
      <c r="E3692" s="2">
        <v>46050</v>
      </c>
      <c r="F3692" s="2">
        <v>46050</v>
      </c>
      <c r="G3692" s="3">
        <v>72</v>
      </c>
      <c r="H3692" t="s">
        <v>763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2841</v>
      </c>
    </row>
    <row r="3693" spans="1:25" hidden="1" x14ac:dyDescent="0.25">
      <c r="A3693" t="s">
        <v>54</v>
      </c>
      <c r="B3693" t="s">
        <v>182</v>
      </c>
      <c r="C3693" t="s">
        <v>27</v>
      </c>
      <c r="D3693" t="s">
        <v>27</v>
      </c>
      <c r="E3693" s="2">
        <v>46050</v>
      </c>
      <c r="F3693" s="2">
        <v>46050</v>
      </c>
      <c r="G3693" s="3">
        <v>73</v>
      </c>
      <c r="H3693" t="s">
        <v>763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2841</v>
      </c>
    </row>
    <row r="3694" spans="1:25" hidden="1" x14ac:dyDescent="0.25">
      <c r="A3694" t="s">
        <v>27</v>
      </c>
      <c r="B3694" t="s">
        <v>184</v>
      </c>
      <c r="C3694" t="s">
        <v>35</v>
      </c>
      <c r="D3694" t="s">
        <v>27</v>
      </c>
      <c r="E3694" s="2">
        <v>46050</v>
      </c>
      <c r="F3694" s="2">
        <v>46050</v>
      </c>
      <c r="G3694" s="3">
        <v>74</v>
      </c>
      <c r="H3694" t="s">
        <v>763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2841</v>
      </c>
    </row>
    <row r="3695" spans="1:25" hidden="1" x14ac:dyDescent="0.25">
      <c r="A3695" t="s">
        <v>27</v>
      </c>
      <c r="B3695" t="s">
        <v>186</v>
      </c>
      <c r="C3695" t="s">
        <v>46</v>
      </c>
      <c r="D3695" t="s">
        <v>27</v>
      </c>
      <c r="E3695" s="2">
        <v>46050</v>
      </c>
      <c r="F3695" s="2">
        <v>46050</v>
      </c>
      <c r="G3695" s="3">
        <v>75</v>
      </c>
      <c r="H3695" t="s">
        <v>763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2841</v>
      </c>
    </row>
    <row r="3696" spans="1:25" hidden="1" x14ac:dyDescent="0.25">
      <c r="A3696" t="s">
        <v>27</v>
      </c>
      <c r="B3696" t="s">
        <v>188</v>
      </c>
      <c r="C3696" t="s">
        <v>55</v>
      </c>
      <c r="D3696" t="s">
        <v>27</v>
      </c>
      <c r="E3696" s="2">
        <v>46050</v>
      </c>
      <c r="F3696" s="2">
        <v>46050</v>
      </c>
      <c r="G3696" s="3">
        <v>76</v>
      </c>
      <c r="H3696" t="s">
        <v>763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2841</v>
      </c>
    </row>
    <row r="3697" spans="1:25" hidden="1" x14ac:dyDescent="0.25">
      <c r="A3697" t="s">
        <v>25</v>
      </c>
      <c r="B3697" t="s">
        <v>96</v>
      </c>
      <c r="C3697" t="s">
        <v>26</v>
      </c>
      <c r="D3697" t="s">
        <v>27</v>
      </c>
      <c r="E3697" s="2">
        <v>46051</v>
      </c>
      <c r="F3697" s="2">
        <v>46051</v>
      </c>
      <c r="G3697" s="3">
        <v>40</v>
      </c>
      <c r="H3697" t="s">
        <v>28</v>
      </c>
      <c r="I3697">
        <v>40</v>
      </c>
      <c r="J3697">
        <v>0</v>
      </c>
      <c r="K3697">
        <v>0</v>
      </c>
      <c r="L3697" s="3">
        <v>1</v>
      </c>
      <c r="M3697" s="3">
        <v>0</v>
      </c>
      <c r="N3697">
        <v>1</v>
      </c>
      <c r="O3697">
        <v>0</v>
      </c>
      <c r="P3697">
        <v>0</v>
      </c>
      <c r="Q3697">
        <v>0</v>
      </c>
      <c r="R3697" s="3">
        <v>0</v>
      </c>
      <c r="S3697" s="3">
        <v>0</v>
      </c>
      <c r="T3697">
        <v>0</v>
      </c>
      <c r="U3697">
        <v>0</v>
      </c>
      <c r="V3697" s="3">
        <v>0</v>
      </c>
      <c r="W3697" s="3">
        <v>0</v>
      </c>
      <c r="X3697">
        <v>0</v>
      </c>
      <c r="Y3697" t="s">
        <v>2873</v>
      </c>
    </row>
    <row r="3698" spans="1:25" hidden="1" x14ac:dyDescent="0.25">
      <c r="A3698" t="s">
        <v>29</v>
      </c>
      <c r="B3698" t="s">
        <v>100</v>
      </c>
      <c r="C3698" t="s">
        <v>95</v>
      </c>
      <c r="D3698" t="s">
        <v>2271</v>
      </c>
      <c r="E3698" s="2">
        <v>46051</v>
      </c>
      <c r="F3698" s="2">
        <v>46051</v>
      </c>
      <c r="G3698" s="3">
        <v>48</v>
      </c>
      <c r="H3698" t="s">
        <v>28</v>
      </c>
      <c r="I3698">
        <v>82</v>
      </c>
      <c r="J3698">
        <v>0</v>
      </c>
      <c r="K3698">
        <v>0</v>
      </c>
      <c r="L3698" s="3">
        <v>1</v>
      </c>
      <c r="M3698" s="3">
        <v>0</v>
      </c>
      <c r="N3698">
        <v>0</v>
      </c>
      <c r="O3698">
        <v>0</v>
      </c>
      <c r="P3698">
        <v>6</v>
      </c>
      <c r="Q3698">
        <v>4</v>
      </c>
      <c r="R3698" s="3">
        <v>0</v>
      </c>
      <c r="S3698" s="3">
        <v>0</v>
      </c>
      <c r="T3698">
        <v>0</v>
      </c>
      <c r="U3698">
        <v>0</v>
      </c>
      <c r="V3698" s="3">
        <v>0</v>
      </c>
      <c r="W3698" s="3">
        <v>0</v>
      </c>
      <c r="X3698">
        <v>4</v>
      </c>
      <c r="Y3698" t="s">
        <v>2874</v>
      </c>
    </row>
    <row r="3699" spans="1:25" hidden="1" x14ac:dyDescent="0.25">
      <c r="A3699" t="s">
        <v>344</v>
      </c>
      <c r="B3699" t="s">
        <v>102</v>
      </c>
      <c r="C3699" t="s">
        <v>2271</v>
      </c>
      <c r="D3699" t="s">
        <v>27</v>
      </c>
      <c r="E3699" s="2">
        <v>46051</v>
      </c>
      <c r="F3699" s="2">
        <v>46051</v>
      </c>
      <c r="G3699" s="3">
        <v>50</v>
      </c>
      <c r="H3699" t="s">
        <v>28</v>
      </c>
      <c r="I3699">
        <v>20</v>
      </c>
      <c r="J3699">
        <v>0</v>
      </c>
      <c r="K3699">
        <v>0</v>
      </c>
      <c r="L3699" s="3">
        <v>0</v>
      </c>
      <c r="M3699" s="3">
        <v>0</v>
      </c>
      <c r="N3699">
        <v>0</v>
      </c>
      <c r="O3699">
        <v>0</v>
      </c>
      <c r="P3699">
        <v>0</v>
      </c>
      <c r="Q3699">
        <v>0</v>
      </c>
      <c r="R3699" s="3">
        <v>0</v>
      </c>
      <c r="S3699" s="3">
        <v>0</v>
      </c>
      <c r="T3699">
        <v>0</v>
      </c>
      <c r="U3699">
        <v>0</v>
      </c>
      <c r="V3699" s="3">
        <v>0</v>
      </c>
      <c r="W3699" s="3">
        <v>0</v>
      </c>
      <c r="X3699">
        <v>2</v>
      </c>
      <c r="Y3699" t="s">
        <v>2857</v>
      </c>
    </row>
    <row r="3700" spans="1:25" hidden="1" x14ac:dyDescent="0.25">
      <c r="A3700" t="s">
        <v>31</v>
      </c>
      <c r="B3700" t="s">
        <v>104</v>
      </c>
      <c r="C3700" t="s">
        <v>32</v>
      </c>
      <c r="D3700" t="s">
        <v>27</v>
      </c>
      <c r="E3700" s="2">
        <v>46051</v>
      </c>
      <c r="F3700" s="2">
        <v>46051</v>
      </c>
      <c r="G3700" s="3">
        <v>108</v>
      </c>
      <c r="H3700" t="s">
        <v>28</v>
      </c>
      <c r="I3700">
        <v>60</v>
      </c>
      <c r="J3700">
        <v>0</v>
      </c>
      <c r="K3700">
        <v>0</v>
      </c>
      <c r="L3700" s="3">
        <v>1</v>
      </c>
      <c r="M3700" s="3">
        <v>0</v>
      </c>
      <c r="N3700">
        <v>0</v>
      </c>
      <c r="O3700">
        <v>0</v>
      </c>
      <c r="P3700">
        <v>0</v>
      </c>
      <c r="Q3700">
        <v>30</v>
      </c>
      <c r="R3700" s="3">
        <v>0</v>
      </c>
      <c r="S3700" s="3">
        <v>0</v>
      </c>
      <c r="T3700">
        <v>0</v>
      </c>
      <c r="U3700">
        <v>0</v>
      </c>
      <c r="V3700" s="3">
        <v>0</v>
      </c>
      <c r="W3700" s="3">
        <v>0</v>
      </c>
      <c r="X3700">
        <v>0</v>
      </c>
      <c r="Y3700" t="s">
        <v>2875</v>
      </c>
    </row>
    <row r="3701" spans="1:25" hidden="1" x14ac:dyDescent="0.25">
      <c r="A3701" t="s">
        <v>36</v>
      </c>
      <c r="B3701" t="s">
        <v>249</v>
      </c>
      <c r="C3701" t="s">
        <v>57</v>
      </c>
      <c r="D3701" t="s">
        <v>27</v>
      </c>
      <c r="E3701" s="2">
        <v>46051</v>
      </c>
      <c r="F3701" s="2">
        <v>46051</v>
      </c>
      <c r="G3701" s="3">
        <v>73</v>
      </c>
      <c r="H3701" t="s">
        <v>28</v>
      </c>
      <c r="I3701">
        <v>45</v>
      </c>
      <c r="J3701">
        <v>0</v>
      </c>
      <c r="K3701">
        <v>0</v>
      </c>
      <c r="L3701" s="3">
        <v>0</v>
      </c>
      <c r="M3701" s="3">
        <v>0</v>
      </c>
      <c r="N3701">
        <v>0</v>
      </c>
      <c r="O3701">
        <v>0</v>
      </c>
      <c r="P3701">
        <v>0</v>
      </c>
      <c r="Q3701">
        <v>0</v>
      </c>
      <c r="R3701" s="3">
        <v>0</v>
      </c>
      <c r="S3701" s="3">
        <v>0</v>
      </c>
      <c r="T3701">
        <v>0</v>
      </c>
      <c r="U3701">
        <v>0</v>
      </c>
      <c r="V3701" s="3">
        <v>0</v>
      </c>
      <c r="W3701" s="3">
        <v>0</v>
      </c>
      <c r="X3701">
        <v>3</v>
      </c>
      <c r="Y3701" t="s">
        <v>2876</v>
      </c>
    </row>
    <row r="3702" spans="1:25" hidden="1" x14ac:dyDescent="0.25">
      <c r="A3702" t="s">
        <v>38</v>
      </c>
      <c r="B3702" t="s">
        <v>108</v>
      </c>
      <c r="C3702" t="s">
        <v>27</v>
      </c>
      <c r="D3702" t="s">
        <v>27</v>
      </c>
      <c r="E3702" s="2">
        <v>46051</v>
      </c>
      <c r="F3702" s="2">
        <v>46051</v>
      </c>
      <c r="G3702" s="3">
        <v>40</v>
      </c>
      <c r="H3702" t="s">
        <v>28</v>
      </c>
      <c r="I3702">
        <v>29</v>
      </c>
      <c r="J3702">
        <v>0</v>
      </c>
      <c r="K3702">
        <v>0</v>
      </c>
      <c r="L3702" s="3">
        <v>1</v>
      </c>
      <c r="M3702" s="3">
        <v>0</v>
      </c>
      <c r="N3702">
        <v>0</v>
      </c>
      <c r="O3702">
        <v>0</v>
      </c>
      <c r="P3702">
        <v>0</v>
      </c>
      <c r="Q3702">
        <v>29</v>
      </c>
      <c r="R3702" s="3">
        <v>0</v>
      </c>
      <c r="S3702" s="3">
        <v>0</v>
      </c>
      <c r="T3702">
        <v>0</v>
      </c>
      <c r="U3702">
        <v>0</v>
      </c>
      <c r="V3702" s="3">
        <v>0</v>
      </c>
      <c r="W3702" s="3">
        <v>0</v>
      </c>
      <c r="X3702">
        <v>0</v>
      </c>
      <c r="Y3702" t="s">
        <v>2877</v>
      </c>
    </row>
    <row r="3703" spans="1:25" hidden="1" x14ac:dyDescent="0.25">
      <c r="A3703" t="s">
        <v>2679</v>
      </c>
      <c r="B3703" t="s">
        <v>2680</v>
      </c>
      <c r="C3703" t="s">
        <v>39</v>
      </c>
      <c r="D3703" t="s">
        <v>27</v>
      </c>
      <c r="E3703" s="2">
        <v>46051</v>
      </c>
      <c r="F3703" s="2">
        <v>46051</v>
      </c>
      <c r="G3703" s="3">
        <v>42</v>
      </c>
      <c r="H3703" t="s">
        <v>28</v>
      </c>
      <c r="I3703">
        <v>41</v>
      </c>
      <c r="J3703">
        <v>4</v>
      </c>
      <c r="K3703">
        <v>0</v>
      </c>
      <c r="L3703" s="3">
        <v>1</v>
      </c>
      <c r="M3703" s="3">
        <v>0</v>
      </c>
      <c r="N3703">
        <v>0</v>
      </c>
      <c r="O3703">
        <v>0</v>
      </c>
      <c r="P3703">
        <v>41</v>
      </c>
      <c r="Q3703">
        <v>41</v>
      </c>
      <c r="R3703" s="3">
        <v>0</v>
      </c>
      <c r="S3703" s="3">
        <v>0</v>
      </c>
      <c r="T3703">
        <v>0</v>
      </c>
      <c r="U3703">
        <v>0</v>
      </c>
      <c r="V3703" s="3">
        <v>0</v>
      </c>
      <c r="W3703" s="3">
        <v>0</v>
      </c>
      <c r="X3703">
        <v>0</v>
      </c>
      <c r="Y3703" t="s">
        <v>2878</v>
      </c>
    </row>
    <row r="3704" spans="1:25" hidden="1" x14ac:dyDescent="0.25">
      <c r="A3704" t="s">
        <v>40</v>
      </c>
      <c r="B3704" t="s">
        <v>110</v>
      </c>
      <c r="C3704" t="s">
        <v>2534</v>
      </c>
      <c r="D3704" t="s">
        <v>27</v>
      </c>
      <c r="E3704" s="2">
        <v>46051</v>
      </c>
      <c r="F3704" s="2">
        <v>46051</v>
      </c>
      <c r="G3704" s="3">
        <v>44</v>
      </c>
      <c r="H3704" t="s">
        <v>28</v>
      </c>
      <c r="I3704">
        <v>108</v>
      </c>
      <c r="J3704">
        <v>0</v>
      </c>
      <c r="K3704">
        <v>0</v>
      </c>
      <c r="L3704" s="3">
        <v>1</v>
      </c>
      <c r="M3704" s="3">
        <v>0</v>
      </c>
      <c r="N3704">
        <v>1</v>
      </c>
      <c r="O3704">
        <v>0</v>
      </c>
      <c r="P3704">
        <v>0</v>
      </c>
      <c r="Q3704">
        <v>68</v>
      </c>
      <c r="R3704" s="3">
        <v>0</v>
      </c>
      <c r="S3704" s="3">
        <v>0</v>
      </c>
      <c r="T3704">
        <v>0</v>
      </c>
      <c r="U3704">
        <v>0</v>
      </c>
      <c r="V3704" s="3">
        <v>0</v>
      </c>
      <c r="W3704" s="3">
        <v>0</v>
      </c>
      <c r="X3704">
        <v>0</v>
      </c>
      <c r="Y3704" t="s">
        <v>2879</v>
      </c>
    </row>
    <row r="3705" spans="1:25" hidden="1" x14ac:dyDescent="0.25">
      <c r="A3705" t="s">
        <v>1316</v>
      </c>
      <c r="B3705" t="s">
        <v>1348</v>
      </c>
      <c r="C3705" t="s">
        <v>52</v>
      </c>
      <c r="D3705" t="s">
        <v>27</v>
      </c>
      <c r="E3705" s="2">
        <v>46051</v>
      </c>
      <c r="F3705" s="2">
        <v>46051</v>
      </c>
      <c r="G3705" s="3">
        <v>48</v>
      </c>
      <c r="H3705" t="s">
        <v>28</v>
      </c>
      <c r="I3705">
        <v>50</v>
      </c>
      <c r="J3705">
        <v>0</v>
      </c>
      <c r="K3705">
        <v>0</v>
      </c>
      <c r="L3705" s="3">
        <v>0</v>
      </c>
      <c r="M3705" s="3">
        <v>0</v>
      </c>
      <c r="N3705">
        <v>0</v>
      </c>
      <c r="O3705">
        <v>0</v>
      </c>
      <c r="P3705">
        <v>0</v>
      </c>
      <c r="Q3705">
        <v>0</v>
      </c>
      <c r="R3705" s="3">
        <v>0</v>
      </c>
      <c r="S3705" s="3">
        <v>0</v>
      </c>
      <c r="T3705">
        <v>0</v>
      </c>
      <c r="U3705">
        <v>0</v>
      </c>
      <c r="V3705" s="3">
        <v>0</v>
      </c>
      <c r="W3705" s="3">
        <v>0</v>
      </c>
      <c r="X3705">
        <v>0</v>
      </c>
      <c r="Y3705" t="s">
        <v>2880</v>
      </c>
    </row>
    <row r="3706" spans="1:25" hidden="1" x14ac:dyDescent="0.25">
      <c r="A3706" t="s">
        <v>41</v>
      </c>
      <c r="B3706" t="s">
        <v>112</v>
      </c>
      <c r="C3706" t="s">
        <v>42</v>
      </c>
      <c r="D3706" t="s">
        <v>27</v>
      </c>
      <c r="E3706" s="2">
        <v>46051</v>
      </c>
      <c r="F3706" s="2">
        <v>46051</v>
      </c>
      <c r="G3706" s="3">
        <v>74</v>
      </c>
      <c r="H3706" t="s">
        <v>28</v>
      </c>
      <c r="I3706">
        <v>112</v>
      </c>
      <c r="J3706">
        <v>0</v>
      </c>
      <c r="K3706">
        <v>0</v>
      </c>
      <c r="L3706" s="3">
        <v>1</v>
      </c>
      <c r="M3706" s="3">
        <v>0</v>
      </c>
      <c r="N3706">
        <v>0</v>
      </c>
      <c r="O3706">
        <v>0</v>
      </c>
      <c r="P3706">
        <v>0</v>
      </c>
      <c r="Q3706">
        <v>4</v>
      </c>
      <c r="R3706" s="3">
        <v>0</v>
      </c>
      <c r="S3706" s="3">
        <v>0</v>
      </c>
      <c r="T3706">
        <v>0</v>
      </c>
      <c r="U3706">
        <v>0</v>
      </c>
      <c r="V3706" s="3">
        <v>0</v>
      </c>
      <c r="W3706" s="3">
        <v>0</v>
      </c>
      <c r="X3706">
        <v>10</v>
      </c>
      <c r="Y3706" t="s">
        <v>2881</v>
      </c>
    </row>
    <row r="3707" spans="1:25" hidden="1" x14ac:dyDescent="0.25">
      <c r="A3707" t="s">
        <v>43</v>
      </c>
      <c r="B3707" t="s">
        <v>114</v>
      </c>
      <c r="C3707" t="s">
        <v>44</v>
      </c>
      <c r="D3707" t="s">
        <v>27</v>
      </c>
      <c r="E3707" s="2">
        <v>46051</v>
      </c>
      <c r="F3707" s="2">
        <v>46051</v>
      </c>
      <c r="G3707" s="3">
        <v>23</v>
      </c>
      <c r="H3707" t="s">
        <v>28</v>
      </c>
      <c r="I3707">
        <v>59</v>
      </c>
      <c r="J3707">
        <v>0</v>
      </c>
      <c r="K3707">
        <v>0</v>
      </c>
      <c r="L3707" s="3">
        <v>1</v>
      </c>
      <c r="M3707" s="3">
        <v>0</v>
      </c>
      <c r="N3707">
        <v>0</v>
      </c>
      <c r="O3707">
        <v>0</v>
      </c>
      <c r="P3707">
        <v>0</v>
      </c>
      <c r="Q3707">
        <v>0</v>
      </c>
      <c r="R3707" s="3">
        <v>0</v>
      </c>
      <c r="S3707" s="3">
        <v>0</v>
      </c>
      <c r="T3707">
        <v>0</v>
      </c>
      <c r="U3707">
        <v>0</v>
      </c>
      <c r="V3707" s="3">
        <v>0</v>
      </c>
      <c r="W3707" s="3">
        <v>0</v>
      </c>
      <c r="X3707">
        <v>0</v>
      </c>
      <c r="Y3707" t="s">
        <v>2882</v>
      </c>
    </row>
    <row r="3708" spans="1:25" hidden="1" x14ac:dyDescent="0.25">
      <c r="A3708" t="s">
        <v>45</v>
      </c>
      <c r="B3708" t="s">
        <v>116</v>
      </c>
      <c r="C3708" t="s">
        <v>2835</v>
      </c>
      <c r="D3708" t="s">
        <v>27</v>
      </c>
      <c r="E3708" s="2">
        <v>46051</v>
      </c>
      <c r="F3708" s="2">
        <v>46051</v>
      </c>
      <c r="G3708" s="3">
        <v>36</v>
      </c>
      <c r="H3708" t="s">
        <v>28</v>
      </c>
      <c r="I3708">
        <v>40</v>
      </c>
      <c r="J3708">
        <v>0</v>
      </c>
      <c r="K3708">
        <v>0</v>
      </c>
      <c r="L3708" s="3">
        <v>0</v>
      </c>
      <c r="M3708" s="3">
        <v>0</v>
      </c>
      <c r="N3708">
        <v>0</v>
      </c>
      <c r="O3708">
        <v>0</v>
      </c>
      <c r="P3708">
        <v>0</v>
      </c>
      <c r="Q3708">
        <v>0</v>
      </c>
      <c r="R3708" s="3">
        <v>0</v>
      </c>
      <c r="S3708" s="3">
        <v>0</v>
      </c>
      <c r="T3708">
        <v>0</v>
      </c>
      <c r="U3708">
        <v>0</v>
      </c>
      <c r="V3708" s="3">
        <v>0</v>
      </c>
      <c r="W3708" s="3">
        <v>0</v>
      </c>
      <c r="X3708">
        <v>0</v>
      </c>
      <c r="Y3708" t="s">
        <v>2883</v>
      </c>
    </row>
    <row r="3709" spans="1:25" hidden="1" x14ac:dyDescent="0.25">
      <c r="A3709" t="s">
        <v>47</v>
      </c>
      <c r="B3709" t="s">
        <v>137</v>
      </c>
      <c r="C3709" t="s">
        <v>2310</v>
      </c>
      <c r="D3709" t="s">
        <v>27</v>
      </c>
      <c r="E3709" s="2">
        <v>46051</v>
      </c>
      <c r="F3709" s="2">
        <v>46051</v>
      </c>
      <c r="G3709" s="3">
        <v>109</v>
      </c>
      <c r="H3709" t="s">
        <v>28</v>
      </c>
      <c r="I3709">
        <v>51</v>
      </c>
      <c r="J3709">
        <v>0</v>
      </c>
      <c r="K3709">
        <v>0</v>
      </c>
      <c r="L3709" s="3">
        <v>1</v>
      </c>
      <c r="M3709" s="3">
        <v>0</v>
      </c>
      <c r="N3709">
        <v>0</v>
      </c>
      <c r="O3709">
        <v>0</v>
      </c>
      <c r="P3709">
        <v>0</v>
      </c>
      <c r="Q3709">
        <v>8</v>
      </c>
      <c r="R3709" s="3">
        <v>0</v>
      </c>
      <c r="S3709" s="3">
        <v>0</v>
      </c>
      <c r="T3709">
        <v>0</v>
      </c>
      <c r="U3709">
        <v>0</v>
      </c>
      <c r="V3709" s="3">
        <v>0</v>
      </c>
      <c r="W3709" s="3">
        <v>0</v>
      </c>
      <c r="X3709">
        <v>0</v>
      </c>
      <c r="Y3709" t="s">
        <v>2884</v>
      </c>
    </row>
    <row r="3710" spans="1:25" hidden="1" x14ac:dyDescent="0.25">
      <c r="A3710" t="s">
        <v>49</v>
      </c>
      <c r="B3710" t="s">
        <v>118</v>
      </c>
      <c r="C3710" t="s">
        <v>50</v>
      </c>
      <c r="D3710" t="s">
        <v>27</v>
      </c>
      <c r="E3710" s="2">
        <v>46051</v>
      </c>
      <c r="F3710" s="2">
        <v>46051</v>
      </c>
      <c r="G3710" s="3">
        <v>30</v>
      </c>
      <c r="H3710" t="s">
        <v>28</v>
      </c>
      <c r="I3710">
        <v>59</v>
      </c>
      <c r="J3710">
        <v>0</v>
      </c>
      <c r="K3710">
        <v>0</v>
      </c>
      <c r="L3710" s="3">
        <v>1</v>
      </c>
      <c r="M3710" s="3">
        <v>1</v>
      </c>
      <c r="N3710">
        <v>0</v>
      </c>
      <c r="O3710">
        <v>1</v>
      </c>
      <c r="P3710">
        <v>0</v>
      </c>
      <c r="Q3710">
        <v>59</v>
      </c>
      <c r="R3710" s="3">
        <v>0</v>
      </c>
      <c r="S3710" s="3">
        <v>0</v>
      </c>
      <c r="T3710">
        <v>0</v>
      </c>
      <c r="U3710">
        <v>0</v>
      </c>
      <c r="V3710" s="3">
        <v>0</v>
      </c>
      <c r="W3710" s="3">
        <v>0</v>
      </c>
      <c r="X3710">
        <v>0</v>
      </c>
      <c r="Y3710" t="s">
        <v>2885</v>
      </c>
    </row>
    <row r="3711" spans="1:25" hidden="1" x14ac:dyDescent="0.25">
      <c r="A3711" t="s">
        <v>51</v>
      </c>
      <c r="B3711" t="s">
        <v>120</v>
      </c>
      <c r="C3711" t="s">
        <v>2379</v>
      </c>
      <c r="D3711" t="s">
        <v>27</v>
      </c>
      <c r="E3711" s="2">
        <v>46051</v>
      </c>
      <c r="F3711" s="2">
        <v>46051</v>
      </c>
      <c r="G3711" s="3">
        <v>59</v>
      </c>
      <c r="H3711" t="s">
        <v>28</v>
      </c>
      <c r="I3711">
        <v>30</v>
      </c>
      <c r="J3711">
        <v>0</v>
      </c>
      <c r="K3711">
        <v>0</v>
      </c>
      <c r="L3711" s="3">
        <v>1</v>
      </c>
      <c r="M3711" s="3">
        <v>0</v>
      </c>
      <c r="N3711">
        <v>1</v>
      </c>
      <c r="O3711">
        <v>0</v>
      </c>
      <c r="P3711">
        <v>0</v>
      </c>
      <c r="Q3711">
        <v>0</v>
      </c>
      <c r="R3711" s="3">
        <v>0</v>
      </c>
      <c r="S3711" s="3">
        <v>0</v>
      </c>
      <c r="T3711">
        <v>0</v>
      </c>
      <c r="U3711">
        <v>0</v>
      </c>
      <c r="V3711" s="3">
        <v>0</v>
      </c>
      <c r="W3711" s="3">
        <v>0</v>
      </c>
      <c r="X3711">
        <v>0</v>
      </c>
      <c r="Y3711" t="s">
        <v>2886</v>
      </c>
    </row>
    <row r="3712" spans="1:25" hidden="1" x14ac:dyDescent="0.25">
      <c r="A3712" t="s">
        <v>27</v>
      </c>
      <c r="B3712" t="s">
        <v>149</v>
      </c>
      <c r="C3712" t="s">
        <v>37</v>
      </c>
      <c r="D3712" t="s">
        <v>27</v>
      </c>
      <c r="E3712" s="2">
        <v>46051</v>
      </c>
      <c r="F3712" s="2">
        <v>46051</v>
      </c>
      <c r="G3712" s="3">
        <v>47</v>
      </c>
      <c r="H3712" t="s">
        <v>250</v>
      </c>
      <c r="I3712">
        <v>63</v>
      </c>
      <c r="J3712">
        <v>0</v>
      </c>
      <c r="K3712">
        <v>0</v>
      </c>
      <c r="L3712" s="3">
        <v>0</v>
      </c>
      <c r="M3712" s="3">
        <v>0</v>
      </c>
      <c r="N3712">
        <v>0</v>
      </c>
      <c r="O3712">
        <v>0</v>
      </c>
      <c r="P3712">
        <v>0</v>
      </c>
      <c r="Q3712">
        <v>0</v>
      </c>
      <c r="R3712" s="3">
        <v>0</v>
      </c>
      <c r="S3712" s="3">
        <v>0</v>
      </c>
      <c r="T3712">
        <v>0</v>
      </c>
      <c r="U3712">
        <v>0</v>
      </c>
      <c r="V3712" s="3">
        <v>0</v>
      </c>
      <c r="W3712" s="3">
        <v>0</v>
      </c>
      <c r="X3712">
        <v>0</v>
      </c>
      <c r="Y3712" t="s">
        <v>2887</v>
      </c>
    </row>
    <row r="3713" spans="1:25" hidden="1" x14ac:dyDescent="0.25">
      <c r="A3713" t="s">
        <v>48</v>
      </c>
      <c r="B3713" t="s">
        <v>149</v>
      </c>
      <c r="C3713" t="s">
        <v>2514</v>
      </c>
      <c r="D3713" t="s">
        <v>27</v>
      </c>
      <c r="E3713" s="2">
        <v>46051</v>
      </c>
      <c r="F3713" s="2">
        <v>46051</v>
      </c>
      <c r="G3713" s="3">
        <v>53</v>
      </c>
      <c r="H3713" t="s">
        <v>28</v>
      </c>
      <c r="I3713">
        <v>31</v>
      </c>
      <c r="J3713">
        <v>0</v>
      </c>
      <c r="K3713">
        <v>0</v>
      </c>
      <c r="L3713" s="3">
        <v>0</v>
      </c>
      <c r="M3713" s="3">
        <v>0</v>
      </c>
      <c r="N3713">
        <v>0</v>
      </c>
      <c r="O3713">
        <v>0</v>
      </c>
      <c r="P3713">
        <v>0</v>
      </c>
      <c r="Q3713">
        <v>0</v>
      </c>
      <c r="R3713" s="3">
        <v>0</v>
      </c>
      <c r="S3713" s="3">
        <v>0</v>
      </c>
      <c r="T3713">
        <v>0</v>
      </c>
      <c r="U3713">
        <v>0</v>
      </c>
      <c r="V3713" s="3">
        <v>0</v>
      </c>
      <c r="W3713" s="3">
        <v>0</v>
      </c>
      <c r="X3713">
        <v>0</v>
      </c>
      <c r="Y3713" t="s">
        <v>2888</v>
      </c>
    </row>
    <row r="3714" spans="1:25" hidden="1" x14ac:dyDescent="0.25">
      <c r="A3714" t="s">
        <v>58</v>
      </c>
      <c r="B3714" t="s">
        <v>739</v>
      </c>
      <c r="C3714" t="s">
        <v>27</v>
      </c>
      <c r="D3714" t="s">
        <v>27</v>
      </c>
      <c r="E3714" s="2">
        <v>46051</v>
      </c>
      <c r="F3714" s="2">
        <v>46051</v>
      </c>
      <c r="G3714" s="3">
        <v>54</v>
      </c>
      <c r="H3714" t="s">
        <v>1153</v>
      </c>
      <c r="I3714">
        <v>0</v>
      </c>
      <c r="J3714">
        <v>0</v>
      </c>
      <c r="K3714">
        <v>0</v>
      </c>
      <c r="L3714" s="3">
        <v>0</v>
      </c>
      <c r="M3714" s="3">
        <v>0</v>
      </c>
      <c r="N3714">
        <v>0</v>
      </c>
      <c r="O3714">
        <v>0</v>
      </c>
      <c r="P3714">
        <v>0</v>
      </c>
      <c r="Q3714">
        <v>0</v>
      </c>
      <c r="R3714" s="3">
        <v>0</v>
      </c>
      <c r="S3714" s="3">
        <v>0</v>
      </c>
      <c r="T3714">
        <v>0</v>
      </c>
      <c r="U3714">
        <v>0</v>
      </c>
      <c r="V3714" s="3">
        <v>0</v>
      </c>
      <c r="W3714" s="3">
        <v>0</v>
      </c>
      <c r="X3714" s="3">
        <v>0</v>
      </c>
      <c r="Y3714" t="s">
        <v>2888</v>
      </c>
    </row>
    <row r="3715" spans="1:25" hidden="1" x14ac:dyDescent="0.25">
      <c r="A3715" t="s">
        <v>438</v>
      </c>
      <c r="B3715" t="s">
        <v>798</v>
      </c>
      <c r="C3715" t="s">
        <v>27</v>
      </c>
      <c r="D3715" t="s">
        <v>27</v>
      </c>
      <c r="E3715" s="2">
        <v>46051</v>
      </c>
      <c r="F3715" s="2">
        <v>46051</v>
      </c>
      <c r="G3715" s="3">
        <v>33</v>
      </c>
      <c r="H3715" t="s">
        <v>1975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2803</v>
      </c>
    </row>
    <row r="3716" spans="1:25" hidden="1" x14ac:dyDescent="0.25">
      <c r="A3716" t="s">
        <v>454</v>
      </c>
      <c r="B3716" t="s">
        <v>106</v>
      </c>
      <c r="C3716" t="s">
        <v>27</v>
      </c>
      <c r="D3716" t="s">
        <v>27</v>
      </c>
      <c r="E3716" s="2">
        <v>46051</v>
      </c>
      <c r="F3716" s="2">
        <v>46051</v>
      </c>
      <c r="G3716" s="3">
        <v>72</v>
      </c>
      <c r="H3716" t="s">
        <v>763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2841</v>
      </c>
    </row>
    <row r="3717" spans="1:25" hidden="1" x14ac:dyDescent="0.25">
      <c r="A3717" t="s">
        <v>54</v>
      </c>
      <c r="B3717" t="s">
        <v>182</v>
      </c>
      <c r="C3717" t="s">
        <v>27</v>
      </c>
      <c r="D3717" t="s">
        <v>27</v>
      </c>
      <c r="E3717" s="2">
        <v>46051</v>
      </c>
      <c r="F3717" s="2">
        <v>46051</v>
      </c>
      <c r="G3717" s="3">
        <v>73</v>
      </c>
      <c r="H3717" t="s">
        <v>763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2841</v>
      </c>
    </row>
    <row r="3718" spans="1:25" hidden="1" x14ac:dyDescent="0.25">
      <c r="A3718" t="s">
        <v>27</v>
      </c>
      <c r="B3718" t="s">
        <v>184</v>
      </c>
      <c r="C3718" t="s">
        <v>35</v>
      </c>
      <c r="D3718" t="s">
        <v>27</v>
      </c>
      <c r="E3718" s="2">
        <v>46051</v>
      </c>
      <c r="F3718" s="2">
        <v>46051</v>
      </c>
      <c r="G3718" s="3">
        <v>74</v>
      </c>
      <c r="H3718" t="s">
        <v>763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t="s">
        <v>2841</v>
      </c>
    </row>
    <row r="3719" spans="1:25" hidden="1" x14ac:dyDescent="0.25">
      <c r="A3719" t="s">
        <v>27</v>
      </c>
      <c r="B3719" t="s">
        <v>186</v>
      </c>
      <c r="C3719" t="s">
        <v>46</v>
      </c>
      <c r="D3719" t="s">
        <v>27</v>
      </c>
      <c r="E3719" s="2">
        <v>46051</v>
      </c>
      <c r="F3719" s="2">
        <v>46051</v>
      </c>
      <c r="G3719" s="3">
        <v>75</v>
      </c>
      <c r="H3719" t="s">
        <v>763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t="s">
        <v>2841</v>
      </c>
    </row>
    <row r="3720" spans="1:25" hidden="1" x14ac:dyDescent="0.25">
      <c r="A3720" t="s">
        <v>27</v>
      </c>
      <c r="B3720" t="s">
        <v>188</v>
      </c>
      <c r="C3720" t="s">
        <v>55</v>
      </c>
      <c r="D3720" t="s">
        <v>27</v>
      </c>
      <c r="E3720" s="2">
        <v>46051</v>
      </c>
      <c r="F3720" s="2">
        <v>46051</v>
      </c>
      <c r="G3720" s="3">
        <v>76</v>
      </c>
      <c r="H3720" t="s">
        <v>763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2841</v>
      </c>
    </row>
    <row r="3721" spans="1:25" hidden="1" x14ac:dyDescent="0.25">
      <c r="A3721" t="s">
        <v>25</v>
      </c>
      <c r="B3721" t="s">
        <v>96</v>
      </c>
      <c r="C3721" t="s">
        <v>26</v>
      </c>
      <c r="D3721" t="s">
        <v>27</v>
      </c>
      <c r="E3721" s="2">
        <v>46052</v>
      </c>
      <c r="F3721" s="2">
        <v>46052</v>
      </c>
      <c r="G3721" s="3">
        <v>67</v>
      </c>
      <c r="H3721" t="s">
        <v>28</v>
      </c>
      <c r="I3721">
        <v>61</v>
      </c>
      <c r="J3721">
        <v>0</v>
      </c>
      <c r="K3721">
        <v>0</v>
      </c>
      <c r="L3721" s="3">
        <v>1</v>
      </c>
      <c r="M3721" s="3">
        <v>0</v>
      </c>
      <c r="N3721">
        <v>1</v>
      </c>
      <c r="O3721">
        <v>0</v>
      </c>
      <c r="P3721">
        <v>0</v>
      </c>
      <c r="Q3721">
        <v>0</v>
      </c>
      <c r="R3721" s="3">
        <v>0</v>
      </c>
      <c r="S3721" s="3">
        <v>0</v>
      </c>
      <c r="T3721">
        <v>0</v>
      </c>
      <c r="U3721">
        <v>0</v>
      </c>
      <c r="V3721" s="3">
        <v>0</v>
      </c>
      <c r="W3721" s="3">
        <v>0</v>
      </c>
      <c r="X3721">
        <v>0</v>
      </c>
      <c r="Y3721" t="s">
        <v>2889</v>
      </c>
    </row>
    <row r="3722" spans="1:25" hidden="1" x14ac:dyDescent="0.25">
      <c r="A3722" t="s">
        <v>29</v>
      </c>
      <c r="B3722" t="s">
        <v>100</v>
      </c>
      <c r="C3722" t="s">
        <v>95</v>
      </c>
      <c r="D3722" t="s">
        <v>2271</v>
      </c>
      <c r="E3722" s="2">
        <v>46052</v>
      </c>
      <c r="F3722" s="2">
        <v>46052</v>
      </c>
      <c r="G3722" s="3">
        <v>55</v>
      </c>
      <c r="H3722" t="s">
        <v>28</v>
      </c>
      <c r="I3722">
        <v>48</v>
      </c>
      <c r="J3722">
        <v>58</v>
      </c>
      <c r="K3722">
        <v>0</v>
      </c>
      <c r="L3722" s="3">
        <v>1</v>
      </c>
      <c r="M3722" s="3">
        <v>1</v>
      </c>
      <c r="N3722">
        <v>0</v>
      </c>
      <c r="O3722">
        <v>0</v>
      </c>
      <c r="P3722">
        <v>15</v>
      </c>
      <c r="Q3722">
        <v>18</v>
      </c>
      <c r="R3722" s="3">
        <v>0</v>
      </c>
      <c r="S3722" s="3">
        <v>0</v>
      </c>
      <c r="T3722">
        <v>0</v>
      </c>
      <c r="U3722">
        <v>0</v>
      </c>
      <c r="V3722" s="3">
        <v>0</v>
      </c>
      <c r="W3722" s="3">
        <v>0</v>
      </c>
      <c r="X3722">
        <v>4</v>
      </c>
      <c r="Y3722" t="s">
        <v>2890</v>
      </c>
    </row>
    <row r="3723" spans="1:25" hidden="1" x14ac:dyDescent="0.25">
      <c r="A3723" t="s">
        <v>344</v>
      </c>
      <c r="B3723" t="s">
        <v>102</v>
      </c>
      <c r="C3723" t="s">
        <v>2271</v>
      </c>
      <c r="D3723" t="s">
        <v>27</v>
      </c>
      <c r="E3723" s="2">
        <v>46052</v>
      </c>
      <c r="F3723" s="2">
        <v>46052</v>
      </c>
      <c r="G3723" s="3">
        <v>74</v>
      </c>
      <c r="H3723" t="s">
        <v>28</v>
      </c>
      <c r="I3723">
        <v>41</v>
      </c>
      <c r="J3723">
        <v>58</v>
      </c>
      <c r="K3723">
        <v>0</v>
      </c>
      <c r="L3723" s="3">
        <v>1</v>
      </c>
      <c r="M3723" s="3">
        <v>0</v>
      </c>
      <c r="N3723">
        <v>0</v>
      </c>
      <c r="O3723">
        <v>0</v>
      </c>
      <c r="P3723">
        <v>0</v>
      </c>
      <c r="Q3723">
        <v>0</v>
      </c>
      <c r="R3723" s="3">
        <v>0</v>
      </c>
      <c r="S3723" s="3">
        <v>0</v>
      </c>
      <c r="T3723">
        <v>0</v>
      </c>
      <c r="U3723">
        <v>0</v>
      </c>
      <c r="V3723" s="3">
        <v>0</v>
      </c>
      <c r="W3723" s="3">
        <v>0</v>
      </c>
      <c r="X3723">
        <v>1</v>
      </c>
      <c r="Y3723" t="s">
        <v>2891</v>
      </c>
    </row>
    <row r="3724" spans="1:25" hidden="1" x14ac:dyDescent="0.25">
      <c r="A3724" t="s">
        <v>31</v>
      </c>
      <c r="B3724" t="s">
        <v>104</v>
      </c>
      <c r="C3724" t="s">
        <v>32</v>
      </c>
      <c r="D3724" t="s">
        <v>27</v>
      </c>
      <c r="E3724" s="2">
        <v>46052</v>
      </c>
      <c r="F3724" s="2">
        <v>46052</v>
      </c>
      <c r="G3724" s="3">
        <v>36</v>
      </c>
      <c r="H3724" t="s">
        <v>28</v>
      </c>
      <c r="I3724">
        <v>122</v>
      </c>
      <c r="J3724">
        <v>0</v>
      </c>
      <c r="K3724">
        <v>0</v>
      </c>
      <c r="L3724" s="3">
        <v>1</v>
      </c>
      <c r="M3724" s="3">
        <v>0</v>
      </c>
      <c r="N3724">
        <v>0</v>
      </c>
      <c r="O3724">
        <v>0</v>
      </c>
      <c r="P3724">
        <v>0</v>
      </c>
      <c r="Q3724">
        <v>30</v>
      </c>
      <c r="R3724" s="3">
        <v>0</v>
      </c>
      <c r="S3724" s="3">
        <v>0</v>
      </c>
      <c r="T3724">
        <v>0</v>
      </c>
      <c r="U3724">
        <v>0</v>
      </c>
      <c r="V3724" s="3">
        <v>0</v>
      </c>
      <c r="W3724" s="3">
        <v>0</v>
      </c>
      <c r="X3724">
        <v>0</v>
      </c>
      <c r="Y3724" t="s">
        <v>2892</v>
      </c>
    </row>
    <row r="3725" spans="1:25" hidden="1" x14ac:dyDescent="0.25">
      <c r="A3725" t="s">
        <v>36</v>
      </c>
      <c r="B3725" t="s">
        <v>249</v>
      </c>
      <c r="C3725" t="s">
        <v>57</v>
      </c>
      <c r="D3725" t="s">
        <v>27</v>
      </c>
      <c r="E3725" s="2">
        <v>46052</v>
      </c>
      <c r="F3725" s="2">
        <v>46052</v>
      </c>
      <c r="G3725" s="3">
        <v>65</v>
      </c>
      <c r="H3725" t="s">
        <v>28</v>
      </c>
      <c r="I3725">
        <v>51</v>
      </c>
      <c r="J3725">
        <v>0</v>
      </c>
      <c r="K3725">
        <v>0</v>
      </c>
      <c r="L3725" s="3">
        <v>0</v>
      </c>
      <c r="M3725" s="3">
        <v>0</v>
      </c>
      <c r="N3725">
        <v>0</v>
      </c>
      <c r="O3725">
        <v>0</v>
      </c>
      <c r="P3725">
        <v>0</v>
      </c>
      <c r="Q3725">
        <v>0</v>
      </c>
      <c r="R3725" s="3">
        <v>0</v>
      </c>
      <c r="S3725" s="3">
        <v>0</v>
      </c>
      <c r="T3725">
        <v>0</v>
      </c>
      <c r="U3725">
        <v>0</v>
      </c>
      <c r="V3725" s="3">
        <v>0</v>
      </c>
      <c r="W3725" s="3">
        <v>0</v>
      </c>
      <c r="X3725">
        <v>4</v>
      </c>
      <c r="Y3725" t="s">
        <v>2893</v>
      </c>
    </row>
    <row r="3726" spans="1:25" hidden="1" x14ac:dyDescent="0.25">
      <c r="A3726" t="s">
        <v>38</v>
      </c>
      <c r="B3726" t="s">
        <v>108</v>
      </c>
      <c r="C3726" t="s">
        <v>27</v>
      </c>
      <c r="D3726" t="s">
        <v>27</v>
      </c>
      <c r="E3726" s="2">
        <v>46052</v>
      </c>
      <c r="F3726" s="2">
        <v>46052</v>
      </c>
      <c r="G3726" s="3">
        <v>31</v>
      </c>
      <c r="H3726" t="s">
        <v>28</v>
      </c>
      <c r="I3726">
        <v>46</v>
      </c>
      <c r="J3726">
        <v>0</v>
      </c>
      <c r="K3726">
        <v>0</v>
      </c>
      <c r="L3726" s="3">
        <v>1</v>
      </c>
      <c r="M3726" s="3">
        <v>0</v>
      </c>
      <c r="N3726">
        <v>0</v>
      </c>
      <c r="O3726">
        <v>0</v>
      </c>
      <c r="P3726">
        <v>0</v>
      </c>
      <c r="Q3726">
        <v>46</v>
      </c>
      <c r="R3726" s="3">
        <v>0</v>
      </c>
      <c r="S3726" s="3">
        <v>0</v>
      </c>
      <c r="T3726">
        <v>0</v>
      </c>
      <c r="U3726">
        <v>0</v>
      </c>
      <c r="V3726" s="3">
        <v>0</v>
      </c>
      <c r="W3726" s="3">
        <v>0</v>
      </c>
      <c r="X3726">
        <v>0</v>
      </c>
      <c r="Y3726" t="s">
        <v>2894</v>
      </c>
    </row>
    <row r="3727" spans="1:25" hidden="1" x14ac:dyDescent="0.25">
      <c r="A3727" t="s">
        <v>2679</v>
      </c>
      <c r="B3727" t="s">
        <v>2680</v>
      </c>
      <c r="C3727" t="s">
        <v>39</v>
      </c>
      <c r="D3727" t="s">
        <v>27</v>
      </c>
      <c r="E3727" s="2">
        <v>46052</v>
      </c>
      <c r="F3727" s="2">
        <v>46052</v>
      </c>
      <c r="G3727" s="3">
        <v>35</v>
      </c>
      <c r="H3727" t="s">
        <v>28</v>
      </c>
      <c r="I3727">
        <v>73</v>
      </c>
      <c r="J3727">
        <v>0</v>
      </c>
      <c r="K3727">
        <v>0</v>
      </c>
      <c r="L3727" s="3">
        <v>1</v>
      </c>
      <c r="M3727" s="3">
        <v>0</v>
      </c>
      <c r="N3727">
        <v>0</v>
      </c>
      <c r="O3727">
        <v>0</v>
      </c>
      <c r="P3727">
        <v>73</v>
      </c>
      <c r="Q3727">
        <v>73</v>
      </c>
      <c r="R3727" s="3">
        <v>0</v>
      </c>
      <c r="S3727" s="3">
        <v>0</v>
      </c>
      <c r="T3727">
        <v>0</v>
      </c>
      <c r="U3727">
        <v>0</v>
      </c>
      <c r="V3727" s="3">
        <v>0</v>
      </c>
      <c r="W3727" s="3">
        <v>0</v>
      </c>
      <c r="X3727">
        <v>1</v>
      </c>
      <c r="Y3727" t="s">
        <v>2895</v>
      </c>
    </row>
    <row r="3728" spans="1:25" hidden="1" x14ac:dyDescent="0.25">
      <c r="A3728" t="s">
        <v>40</v>
      </c>
      <c r="B3728" t="s">
        <v>110</v>
      </c>
      <c r="C3728" t="s">
        <v>2534</v>
      </c>
      <c r="D3728" t="s">
        <v>27</v>
      </c>
      <c r="E3728" s="2">
        <v>46052</v>
      </c>
      <c r="F3728" s="2">
        <v>46052</v>
      </c>
      <c r="G3728" s="3">
        <v>41</v>
      </c>
      <c r="H3728" t="s">
        <v>28</v>
      </c>
      <c r="I3728">
        <v>80</v>
      </c>
      <c r="J3728">
        <v>0</v>
      </c>
      <c r="K3728">
        <v>0</v>
      </c>
      <c r="L3728" s="3">
        <v>1</v>
      </c>
      <c r="M3728" s="3">
        <v>0</v>
      </c>
      <c r="N3728">
        <v>1</v>
      </c>
      <c r="O3728">
        <v>0</v>
      </c>
      <c r="P3728">
        <v>0</v>
      </c>
      <c r="Q3728">
        <v>68</v>
      </c>
      <c r="R3728" s="3">
        <v>0</v>
      </c>
      <c r="S3728" s="3">
        <v>0</v>
      </c>
      <c r="T3728">
        <v>0</v>
      </c>
      <c r="U3728">
        <v>0</v>
      </c>
      <c r="V3728" s="3">
        <v>0</v>
      </c>
      <c r="W3728" s="3">
        <v>0</v>
      </c>
      <c r="X3728">
        <v>0</v>
      </c>
      <c r="Y3728" t="s">
        <v>2896</v>
      </c>
    </row>
    <row r="3729" spans="1:25" hidden="1" x14ac:dyDescent="0.25">
      <c r="A3729" t="s">
        <v>1316</v>
      </c>
      <c r="B3729" t="s">
        <v>1348</v>
      </c>
      <c r="C3729" t="s">
        <v>52</v>
      </c>
      <c r="D3729" t="s">
        <v>27</v>
      </c>
      <c r="E3729" s="2">
        <v>46052</v>
      </c>
      <c r="F3729" s="2">
        <v>46052</v>
      </c>
      <c r="G3729" s="3">
        <v>83</v>
      </c>
      <c r="H3729" t="s">
        <v>28</v>
      </c>
      <c r="I3729">
        <v>50</v>
      </c>
      <c r="J3729">
        <v>0</v>
      </c>
      <c r="K3729">
        <v>0</v>
      </c>
      <c r="L3729" s="3">
        <v>0</v>
      </c>
      <c r="M3729" s="3">
        <v>0</v>
      </c>
      <c r="N3729">
        <v>0</v>
      </c>
      <c r="O3729">
        <v>0</v>
      </c>
      <c r="P3729">
        <v>0</v>
      </c>
      <c r="Q3729">
        <v>0</v>
      </c>
      <c r="R3729" s="3">
        <v>0</v>
      </c>
      <c r="S3729" s="3">
        <v>0</v>
      </c>
      <c r="T3729">
        <v>0</v>
      </c>
      <c r="U3729">
        <v>0</v>
      </c>
      <c r="V3729" s="3">
        <v>0</v>
      </c>
      <c r="W3729" s="3">
        <v>0</v>
      </c>
      <c r="X3729">
        <v>0</v>
      </c>
      <c r="Y3729" t="s">
        <v>2897</v>
      </c>
    </row>
    <row r="3730" spans="1:25" hidden="1" x14ac:dyDescent="0.25">
      <c r="A3730" t="s">
        <v>41</v>
      </c>
      <c r="B3730" t="s">
        <v>112</v>
      </c>
      <c r="C3730" t="s">
        <v>42</v>
      </c>
      <c r="D3730" t="s">
        <v>27</v>
      </c>
      <c r="E3730" s="2">
        <v>46052</v>
      </c>
      <c r="F3730" s="2">
        <v>46052</v>
      </c>
      <c r="G3730" s="3">
        <v>75</v>
      </c>
      <c r="H3730" t="s">
        <v>28</v>
      </c>
      <c r="I3730">
        <v>116</v>
      </c>
      <c r="J3730">
        <v>0</v>
      </c>
      <c r="K3730">
        <v>0</v>
      </c>
      <c r="L3730" s="3">
        <v>1</v>
      </c>
      <c r="M3730" s="3">
        <v>1</v>
      </c>
      <c r="N3730">
        <v>0</v>
      </c>
      <c r="O3730">
        <v>0</v>
      </c>
      <c r="P3730">
        <v>0</v>
      </c>
      <c r="Q3730">
        <v>0</v>
      </c>
      <c r="R3730" s="3">
        <v>0</v>
      </c>
      <c r="S3730" s="3">
        <v>0</v>
      </c>
      <c r="T3730">
        <v>0</v>
      </c>
      <c r="U3730">
        <v>0</v>
      </c>
      <c r="V3730" s="3">
        <v>0</v>
      </c>
      <c r="W3730" s="3">
        <v>0</v>
      </c>
      <c r="X3730">
        <v>5</v>
      </c>
      <c r="Y3730" t="s">
        <v>2898</v>
      </c>
    </row>
    <row r="3731" spans="1:25" hidden="1" x14ac:dyDescent="0.25">
      <c r="A3731" t="s">
        <v>43</v>
      </c>
      <c r="B3731" t="s">
        <v>114</v>
      </c>
      <c r="C3731" t="s">
        <v>2899</v>
      </c>
      <c r="D3731" t="s">
        <v>27</v>
      </c>
      <c r="E3731" s="2">
        <v>46052</v>
      </c>
      <c r="F3731" s="2">
        <v>46052</v>
      </c>
      <c r="G3731" s="3">
        <v>38</v>
      </c>
      <c r="H3731" t="s">
        <v>28</v>
      </c>
      <c r="I3731">
        <v>49</v>
      </c>
      <c r="J3731">
        <v>0</v>
      </c>
      <c r="K3731">
        <v>0</v>
      </c>
      <c r="L3731" s="3">
        <v>1</v>
      </c>
      <c r="M3731" s="3">
        <v>0</v>
      </c>
      <c r="N3731">
        <v>0</v>
      </c>
      <c r="O3731">
        <v>0</v>
      </c>
      <c r="P3731">
        <v>0</v>
      </c>
      <c r="Q3731">
        <v>0</v>
      </c>
      <c r="R3731" s="3">
        <v>0</v>
      </c>
      <c r="S3731" s="3">
        <v>0</v>
      </c>
      <c r="T3731">
        <v>0</v>
      </c>
      <c r="U3731">
        <v>0</v>
      </c>
      <c r="V3731" s="3">
        <v>0</v>
      </c>
      <c r="W3731" s="3">
        <v>0</v>
      </c>
      <c r="X3731">
        <v>0</v>
      </c>
      <c r="Y3731" t="s">
        <v>2900</v>
      </c>
    </row>
    <row r="3732" spans="1:25" hidden="1" x14ac:dyDescent="0.25">
      <c r="A3732" t="s">
        <v>2118</v>
      </c>
      <c r="B3732" t="s">
        <v>2119</v>
      </c>
      <c r="C3732" t="s">
        <v>27</v>
      </c>
      <c r="D3732" t="s">
        <v>27</v>
      </c>
      <c r="E3732" s="2">
        <v>46052</v>
      </c>
      <c r="F3732" s="2">
        <v>46052</v>
      </c>
      <c r="G3732" s="3">
        <v>48</v>
      </c>
      <c r="H3732" t="s">
        <v>28</v>
      </c>
      <c r="I3732">
        <v>64</v>
      </c>
      <c r="J3732">
        <v>0</v>
      </c>
      <c r="K3732">
        <v>0</v>
      </c>
      <c r="L3732" s="3">
        <v>1</v>
      </c>
      <c r="M3732" s="3">
        <v>0</v>
      </c>
      <c r="N3732">
        <v>0</v>
      </c>
      <c r="O3732">
        <v>0</v>
      </c>
      <c r="P3732">
        <v>0</v>
      </c>
      <c r="Q3732">
        <v>64</v>
      </c>
      <c r="R3732" s="3">
        <v>0</v>
      </c>
      <c r="S3732" s="3">
        <v>0</v>
      </c>
      <c r="T3732">
        <v>0</v>
      </c>
      <c r="U3732">
        <v>0</v>
      </c>
      <c r="V3732" s="3">
        <v>0</v>
      </c>
      <c r="W3732" s="3">
        <v>0</v>
      </c>
      <c r="X3732">
        <v>0</v>
      </c>
      <c r="Y3732" t="s">
        <v>2901</v>
      </c>
    </row>
    <row r="3733" spans="1:25" hidden="1" x14ac:dyDescent="0.25">
      <c r="A3733" t="s">
        <v>45</v>
      </c>
      <c r="B3733" t="s">
        <v>116</v>
      </c>
      <c r="C3733" t="s">
        <v>2835</v>
      </c>
      <c r="D3733" t="s">
        <v>27</v>
      </c>
      <c r="E3733" s="2">
        <v>46052</v>
      </c>
      <c r="F3733" s="2">
        <v>46052</v>
      </c>
      <c r="G3733" s="3">
        <v>48</v>
      </c>
      <c r="H3733" t="s">
        <v>28</v>
      </c>
      <c r="I3733">
        <v>68</v>
      </c>
      <c r="J3733">
        <v>0</v>
      </c>
      <c r="K3733">
        <v>0</v>
      </c>
      <c r="L3733" s="3">
        <v>1</v>
      </c>
      <c r="M3733" s="3">
        <v>0</v>
      </c>
      <c r="N3733">
        <v>0</v>
      </c>
      <c r="O3733">
        <v>0</v>
      </c>
      <c r="P3733">
        <v>0</v>
      </c>
      <c r="Q3733">
        <v>15</v>
      </c>
      <c r="R3733" s="3">
        <v>0</v>
      </c>
      <c r="S3733" s="3">
        <v>0</v>
      </c>
      <c r="T3733">
        <v>0</v>
      </c>
      <c r="U3733">
        <v>0</v>
      </c>
      <c r="V3733" s="3">
        <v>0</v>
      </c>
      <c r="W3733" s="3">
        <v>0</v>
      </c>
      <c r="X3733">
        <v>0</v>
      </c>
      <c r="Y3733" t="s">
        <v>2902</v>
      </c>
    </row>
    <row r="3734" spans="1:25" hidden="1" x14ac:dyDescent="0.25">
      <c r="A3734" t="s">
        <v>47</v>
      </c>
      <c r="B3734" t="s">
        <v>137</v>
      </c>
      <c r="C3734" t="s">
        <v>2310</v>
      </c>
      <c r="D3734" t="s">
        <v>27</v>
      </c>
      <c r="E3734" s="2">
        <v>46052</v>
      </c>
      <c r="F3734" s="2">
        <v>46052</v>
      </c>
      <c r="G3734" s="3">
        <v>62</v>
      </c>
      <c r="H3734" t="s">
        <v>28</v>
      </c>
      <c r="I3734">
        <v>49</v>
      </c>
      <c r="J3734">
        <v>0</v>
      </c>
      <c r="K3734">
        <v>0</v>
      </c>
      <c r="L3734" s="3">
        <v>1</v>
      </c>
      <c r="M3734" s="3">
        <v>0</v>
      </c>
      <c r="N3734">
        <v>0</v>
      </c>
      <c r="O3734">
        <v>0</v>
      </c>
      <c r="P3734">
        <v>0</v>
      </c>
      <c r="Q3734">
        <v>12</v>
      </c>
      <c r="R3734" s="3">
        <v>0</v>
      </c>
      <c r="S3734" s="3">
        <v>0</v>
      </c>
      <c r="T3734">
        <v>0</v>
      </c>
      <c r="U3734">
        <v>0</v>
      </c>
      <c r="V3734" s="3">
        <v>0</v>
      </c>
      <c r="W3734" s="3">
        <v>0</v>
      </c>
      <c r="X3734">
        <v>0</v>
      </c>
      <c r="Y3734" t="s">
        <v>2903</v>
      </c>
    </row>
    <row r="3735" spans="1:25" hidden="1" x14ac:dyDescent="0.25">
      <c r="A3735" t="s">
        <v>49</v>
      </c>
      <c r="B3735" t="s">
        <v>118</v>
      </c>
      <c r="C3735" t="s">
        <v>50</v>
      </c>
      <c r="D3735" t="s">
        <v>27</v>
      </c>
      <c r="E3735" s="2">
        <v>46052</v>
      </c>
      <c r="F3735" s="2">
        <v>46052</v>
      </c>
      <c r="G3735" s="3">
        <v>43</v>
      </c>
      <c r="H3735" t="s">
        <v>28</v>
      </c>
      <c r="I3735">
        <v>37</v>
      </c>
      <c r="J3735">
        <v>0</v>
      </c>
      <c r="K3735">
        <v>0</v>
      </c>
      <c r="L3735" s="3">
        <v>1</v>
      </c>
      <c r="M3735" s="3">
        <v>1</v>
      </c>
      <c r="N3735">
        <v>0</v>
      </c>
      <c r="O3735">
        <v>0</v>
      </c>
      <c r="P3735">
        <v>0</v>
      </c>
      <c r="Q3735">
        <v>37</v>
      </c>
      <c r="R3735" s="3">
        <v>0</v>
      </c>
      <c r="S3735" s="3">
        <v>0</v>
      </c>
      <c r="T3735">
        <v>0</v>
      </c>
      <c r="U3735">
        <v>0</v>
      </c>
      <c r="V3735" s="3">
        <v>0</v>
      </c>
      <c r="W3735" s="3">
        <v>0</v>
      </c>
      <c r="X3735">
        <v>0</v>
      </c>
      <c r="Y3735" t="s">
        <v>2904</v>
      </c>
    </row>
    <row r="3736" spans="1:25" hidden="1" x14ac:dyDescent="0.25">
      <c r="A3736" t="s">
        <v>51</v>
      </c>
      <c r="B3736" t="s">
        <v>120</v>
      </c>
      <c r="C3736" t="s">
        <v>2778</v>
      </c>
      <c r="D3736" t="s">
        <v>27</v>
      </c>
      <c r="E3736" s="2">
        <v>46052</v>
      </c>
      <c r="F3736" s="2">
        <v>46052</v>
      </c>
      <c r="G3736" s="3">
        <v>75</v>
      </c>
      <c r="H3736" t="s">
        <v>28</v>
      </c>
      <c r="I3736">
        <v>34</v>
      </c>
      <c r="J3736">
        <v>0</v>
      </c>
      <c r="K3736">
        <v>0</v>
      </c>
      <c r="L3736" s="3">
        <v>1</v>
      </c>
      <c r="M3736" s="3">
        <v>0</v>
      </c>
      <c r="N3736">
        <v>1</v>
      </c>
      <c r="O3736">
        <v>0</v>
      </c>
      <c r="P3736">
        <v>0</v>
      </c>
      <c r="Q3736">
        <v>0</v>
      </c>
      <c r="R3736" s="3">
        <v>0</v>
      </c>
      <c r="S3736" s="3">
        <v>0</v>
      </c>
      <c r="T3736">
        <v>0</v>
      </c>
      <c r="U3736">
        <v>0</v>
      </c>
      <c r="V3736" s="3">
        <v>0</v>
      </c>
      <c r="W3736" s="3">
        <v>0</v>
      </c>
      <c r="X3736">
        <v>0</v>
      </c>
      <c r="Y3736" t="s">
        <v>2905</v>
      </c>
    </row>
    <row r="3737" spans="1:25" hidden="1" x14ac:dyDescent="0.25">
      <c r="A3737" t="s">
        <v>48</v>
      </c>
      <c r="B3737" t="s">
        <v>149</v>
      </c>
      <c r="C3737" t="s">
        <v>37</v>
      </c>
      <c r="D3737" t="s">
        <v>27</v>
      </c>
      <c r="E3737" s="2">
        <v>46052</v>
      </c>
      <c r="F3737" s="2">
        <v>46052</v>
      </c>
      <c r="G3737" s="3">
        <v>23</v>
      </c>
      <c r="H3737" t="s">
        <v>28</v>
      </c>
      <c r="I3737">
        <v>78</v>
      </c>
      <c r="J3737">
        <v>0</v>
      </c>
      <c r="K3737">
        <v>0</v>
      </c>
      <c r="L3737" s="3">
        <v>1</v>
      </c>
      <c r="M3737" s="3">
        <v>0</v>
      </c>
      <c r="N3737">
        <v>0</v>
      </c>
      <c r="O3737">
        <v>0</v>
      </c>
      <c r="P3737">
        <v>0</v>
      </c>
      <c r="Q3737">
        <v>0</v>
      </c>
      <c r="R3737" s="3">
        <v>0</v>
      </c>
      <c r="S3737" s="3">
        <v>0</v>
      </c>
      <c r="T3737">
        <v>0</v>
      </c>
      <c r="U3737">
        <v>0</v>
      </c>
      <c r="V3737" s="3">
        <v>0</v>
      </c>
      <c r="W3737" s="3">
        <v>0</v>
      </c>
      <c r="X3737">
        <v>0</v>
      </c>
      <c r="Y3737" t="s">
        <v>2906</v>
      </c>
    </row>
    <row r="3738" spans="1:25" hidden="1" x14ac:dyDescent="0.25">
      <c r="A3738" t="s">
        <v>58</v>
      </c>
      <c r="B3738" t="s">
        <v>144</v>
      </c>
      <c r="C3738" t="s">
        <v>2514</v>
      </c>
      <c r="D3738" t="s">
        <v>27</v>
      </c>
      <c r="E3738" s="2">
        <v>46052</v>
      </c>
      <c r="F3738" s="2">
        <v>46052</v>
      </c>
      <c r="G3738" s="3">
        <v>77</v>
      </c>
      <c r="H3738" t="s">
        <v>28</v>
      </c>
      <c r="I3738">
        <v>80</v>
      </c>
      <c r="J3738">
        <v>0</v>
      </c>
      <c r="K3738">
        <v>0</v>
      </c>
      <c r="L3738" s="3">
        <v>1</v>
      </c>
      <c r="M3738" s="3">
        <v>0</v>
      </c>
      <c r="N3738">
        <v>0</v>
      </c>
      <c r="O3738">
        <v>0</v>
      </c>
      <c r="P3738">
        <v>0</v>
      </c>
      <c r="Q3738">
        <v>40</v>
      </c>
      <c r="R3738" s="3">
        <v>0</v>
      </c>
      <c r="S3738" s="3">
        <v>0</v>
      </c>
      <c r="T3738">
        <v>0</v>
      </c>
      <c r="U3738">
        <v>0</v>
      </c>
      <c r="V3738" s="3">
        <v>0</v>
      </c>
      <c r="W3738" s="3">
        <v>0</v>
      </c>
      <c r="X3738">
        <v>6</v>
      </c>
      <c r="Y3738" t="s">
        <v>2907</v>
      </c>
    </row>
    <row r="3739" spans="1:25" hidden="1" x14ac:dyDescent="0.25">
      <c r="A3739" t="s">
        <v>27</v>
      </c>
      <c r="B3739" t="s">
        <v>106</v>
      </c>
      <c r="C3739" t="s">
        <v>2379</v>
      </c>
      <c r="D3739" t="s">
        <v>27</v>
      </c>
      <c r="E3739" s="2">
        <v>46052</v>
      </c>
      <c r="F3739" s="2">
        <v>46052</v>
      </c>
      <c r="G3739" s="3">
        <v>78</v>
      </c>
      <c r="H3739" t="s">
        <v>2143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t="s">
        <v>2907</v>
      </c>
    </row>
    <row r="3740" spans="1:25" hidden="1" x14ac:dyDescent="0.25">
      <c r="A3740" t="s">
        <v>27</v>
      </c>
      <c r="B3740" t="s">
        <v>182</v>
      </c>
      <c r="C3740" t="s">
        <v>44</v>
      </c>
      <c r="D3740" t="s">
        <v>27</v>
      </c>
      <c r="E3740" s="2">
        <v>46052</v>
      </c>
      <c r="F3740" s="2">
        <v>46052</v>
      </c>
      <c r="G3740" s="3">
        <v>79</v>
      </c>
      <c r="H3740" t="s">
        <v>2143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 t="s">
        <v>2907</v>
      </c>
    </row>
    <row r="3741" spans="1:25" hidden="1" x14ac:dyDescent="0.25">
      <c r="A3741" t="s">
        <v>438</v>
      </c>
      <c r="B3741" t="s">
        <v>798</v>
      </c>
      <c r="C3741" t="s">
        <v>27</v>
      </c>
      <c r="D3741" t="s">
        <v>27</v>
      </c>
      <c r="E3741" s="2">
        <v>46052</v>
      </c>
      <c r="F3741" s="2">
        <v>46052</v>
      </c>
      <c r="G3741" s="3">
        <v>33</v>
      </c>
      <c r="H3741" t="s">
        <v>1975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t="s">
        <v>2803</v>
      </c>
    </row>
    <row r="3742" spans="1:25" hidden="1" x14ac:dyDescent="0.25">
      <c r="A3742" t="s">
        <v>454</v>
      </c>
      <c r="B3742" t="s">
        <v>106</v>
      </c>
      <c r="C3742" t="s">
        <v>27</v>
      </c>
      <c r="D3742" t="s">
        <v>27</v>
      </c>
      <c r="E3742" s="2">
        <v>46052</v>
      </c>
      <c r="F3742" s="2">
        <v>46052</v>
      </c>
      <c r="G3742" s="3">
        <v>72</v>
      </c>
      <c r="H3742" t="s">
        <v>763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 t="s">
        <v>2841</v>
      </c>
    </row>
    <row r="3743" spans="1:25" hidden="1" x14ac:dyDescent="0.25">
      <c r="A3743" t="s">
        <v>54</v>
      </c>
      <c r="B3743" t="s">
        <v>182</v>
      </c>
      <c r="C3743" t="s">
        <v>27</v>
      </c>
      <c r="D3743" t="s">
        <v>27</v>
      </c>
      <c r="E3743" s="2">
        <v>46052</v>
      </c>
      <c r="F3743" s="2">
        <v>46052</v>
      </c>
      <c r="G3743" s="3">
        <v>73</v>
      </c>
      <c r="H3743" t="s">
        <v>763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 t="s">
        <v>2841</v>
      </c>
    </row>
    <row r="3744" spans="1:25" hidden="1" x14ac:dyDescent="0.25">
      <c r="A3744" t="s">
        <v>27</v>
      </c>
      <c r="B3744" t="s">
        <v>184</v>
      </c>
      <c r="C3744" t="s">
        <v>35</v>
      </c>
      <c r="D3744" t="s">
        <v>27</v>
      </c>
      <c r="E3744" s="2">
        <v>46052</v>
      </c>
      <c r="F3744" s="2">
        <v>46052</v>
      </c>
      <c r="G3744" s="3">
        <v>74</v>
      </c>
      <c r="H3744" t="s">
        <v>763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 t="s">
        <v>2841</v>
      </c>
    </row>
    <row r="3745" spans="1:25" hidden="1" x14ac:dyDescent="0.25">
      <c r="A3745" t="s">
        <v>27</v>
      </c>
      <c r="B3745" t="s">
        <v>186</v>
      </c>
      <c r="C3745" t="s">
        <v>46</v>
      </c>
      <c r="D3745" t="s">
        <v>27</v>
      </c>
      <c r="E3745" s="2">
        <v>46052</v>
      </c>
      <c r="F3745" s="2">
        <v>46052</v>
      </c>
      <c r="G3745" s="3">
        <v>75</v>
      </c>
      <c r="H3745" t="s">
        <v>763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 t="s">
        <v>2841</v>
      </c>
    </row>
    <row r="3746" spans="1:25" hidden="1" x14ac:dyDescent="0.25">
      <c r="A3746" t="s">
        <v>27</v>
      </c>
      <c r="B3746" t="s">
        <v>188</v>
      </c>
      <c r="C3746" t="s">
        <v>55</v>
      </c>
      <c r="D3746" t="s">
        <v>27</v>
      </c>
      <c r="E3746" s="2">
        <v>46052</v>
      </c>
      <c r="F3746" s="2">
        <v>46052</v>
      </c>
      <c r="G3746" s="3">
        <v>76</v>
      </c>
      <c r="H3746" t="s">
        <v>763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 t="s">
        <v>2841</v>
      </c>
    </row>
    <row r="3747" spans="1:25" hidden="1" x14ac:dyDescent="0.25">
      <c r="A3747" t="s">
        <v>1316</v>
      </c>
      <c r="B3747" t="s">
        <v>112</v>
      </c>
      <c r="C3747" t="s">
        <v>2379</v>
      </c>
      <c r="D3747" t="s">
        <v>27</v>
      </c>
      <c r="E3747" s="2">
        <v>46053</v>
      </c>
      <c r="F3747" s="2">
        <v>46053</v>
      </c>
      <c r="G3747" s="3">
        <v>88</v>
      </c>
      <c r="H3747" t="s">
        <v>28</v>
      </c>
      <c r="I3747">
        <v>0</v>
      </c>
      <c r="J3747">
        <v>0</v>
      </c>
      <c r="K3747">
        <v>0</v>
      </c>
      <c r="L3747" s="3">
        <v>0</v>
      </c>
      <c r="M3747" s="3">
        <v>0</v>
      </c>
      <c r="N3747">
        <v>1</v>
      </c>
      <c r="O3747">
        <v>0</v>
      </c>
      <c r="P3747">
        <v>0</v>
      </c>
      <c r="Q3747">
        <v>119</v>
      </c>
      <c r="R3747" s="3">
        <v>1</v>
      </c>
      <c r="S3747" s="3">
        <v>0</v>
      </c>
      <c r="T3747">
        <v>119</v>
      </c>
      <c r="U3747">
        <v>0</v>
      </c>
      <c r="V3747" s="3">
        <v>1</v>
      </c>
      <c r="W3747" s="3">
        <v>0</v>
      </c>
      <c r="X3747">
        <v>7</v>
      </c>
      <c r="Y3747" t="s">
        <v>2908</v>
      </c>
    </row>
    <row r="3748" spans="1:25" hidden="1" x14ac:dyDescent="0.25">
      <c r="A3748" t="s">
        <v>41</v>
      </c>
      <c r="B3748" t="s">
        <v>112</v>
      </c>
      <c r="C3748" t="s">
        <v>42</v>
      </c>
      <c r="D3748" t="s">
        <v>27</v>
      </c>
      <c r="E3748" s="2">
        <v>46053</v>
      </c>
      <c r="F3748" s="2">
        <v>46053</v>
      </c>
      <c r="G3748" s="3">
        <v>88</v>
      </c>
      <c r="H3748" t="s">
        <v>28</v>
      </c>
      <c r="I3748">
        <v>0</v>
      </c>
      <c r="J3748">
        <v>0</v>
      </c>
      <c r="K3748">
        <v>0</v>
      </c>
      <c r="L3748" s="3">
        <v>0</v>
      </c>
      <c r="M3748" s="3">
        <v>0</v>
      </c>
      <c r="N3748">
        <v>1</v>
      </c>
      <c r="O3748">
        <v>0</v>
      </c>
      <c r="P3748">
        <v>0</v>
      </c>
      <c r="Q3748">
        <v>135</v>
      </c>
      <c r="R3748" s="3">
        <v>1</v>
      </c>
      <c r="S3748" s="3">
        <v>0</v>
      </c>
      <c r="T3748">
        <v>135</v>
      </c>
      <c r="U3748">
        <v>16</v>
      </c>
      <c r="V3748" s="3">
        <v>1</v>
      </c>
      <c r="W3748" s="3">
        <v>0</v>
      </c>
      <c r="X3748">
        <v>13</v>
      </c>
      <c r="Y3748" t="s">
        <v>2908</v>
      </c>
    </row>
    <row r="3749" spans="1:25" hidden="1" x14ac:dyDescent="0.25">
      <c r="A3749" t="s">
        <v>51</v>
      </c>
      <c r="B3749" t="s">
        <v>120</v>
      </c>
      <c r="C3749" t="s">
        <v>2514</v>
      </c>
      <c r="D3749" t="s">
        <v>27</v>
      </c>
      <c r="E3749" s="2">
        <v>46053</v>
      </c>
      <c r="F3749" s="2">
        <v>46053</v>
      </c>
      <c r="G3749" s="3">
        <v>79</v>
      </c>
      <c r="H3749" t="s">
        <v>28</v>
      </c>
      <c r="I3749">
        <v>0</v>
      </c>
      <c r="J3749">
        <v>0</v>
      </c>
      <c r="K3749">
        <v>0</v>
      </c>
      <c r="L3749" s="3">
        <v>0</v>
      </c>
      <c r="M3749" s="3">
        <v>0</v>
      </c>
      <c r="N3749">
        <v>0</v>
      </c>
      <c r="O3749">
        <v>0</v>
      </c>
      <c r="P3749">
        <v>0</v>
      </c>
      <c r="Q3749">
        <v>0</v>
      </c>
      <c r="R3749" s="3">
        <v>1</v>
      </c>
      <c r="S3749" s="3">
        <v>0</v>
      </c>
      <c r="T3749">
        <v>30</v>
      </c>
      <c r="U3749">
        <v>41</v>
      </c>
      <c r="V3749" s="3">
        <v>1</v>
      </c>
      <c r="W3749" s="3">
        <v>0</v>
      </c>
      <c r="X3749">
        <v>11</v>
      </c>
      <c r="Y3749" t="s">
        <v>2909</v>
      </c>
    </row>
    <row r="3750" spans="1:25" hidden="1" x14ac:dyDescent="0.25">
      <c r="A3750" t="s">
        <v>1316</v>
      </c>
      <c r="B3750" t="s">
        <v>112</v>
      </c>
      <c r="C3750" t="s">
        <v>2379</v>
      </c>
      <c r="D3750" t="s">
        <v>27</v>
      </c>
      <c r="E3750" s="2">
        <v>46054</v>
      </c>
      <c r="F3750" s="2">
        <v>46054</v>
      </c>
      <c r="G3750" s="3">
        <v>86</v>
      </c>
      <c r="H3750" t="s">
        <v>28</v>
      </c>
      <c r="I3750">
        <v>0</v>
      </c>
      <c r="J3750">
        <v>0</v>
      </c>
      <c r="K3750">
        <v>0</v>
      </c>
      <c r="L3750" s="3">
        <v>0</v>
      </c>
      <c r="M3750" s="3">
        <v>0</v>
      </c>
      <c r="N3750">
        <v>0</v>
      </c>
      <c r="O3750">
        <v>0</v>
      </c>
      <c r="P3750">
        <v>0</v>
      </c>
      <c r="Q3750">
        <v>31</v>
      </c>
      <c r="R3750" s="3">
        <v>0</v>
      </c>
      <c r="S3750" s="3">
        <v>1</v>
      </c>
      <c r="T3750">
        <v>31</v>
      </c>
      <c r="U3750">
        <v>0</v>
      </c>
      <c r="V3750" s="3">
        <v>0</v>
      </c>
      <c r="W3750" s="3">
        <v>1</v>
      </c>
      <c r="X3750">
        <v>3</v>
      </c>
      <c r="Y3750" t="s">
        <v>2910</v>
      </c>
    </row>
    <row r="3751" spans="1:25" hidden="1" x14ac:dyDescent="0.25">
      <c r="A3751" t="s">
        <v>41</v>
      </c>
      <c r="B3751" t="s">
        <v>112</v>
      </c>
      <c r="C3751" t="s">
        <v>42</v>
      </c>
      <c r="D3751" t="s">
        <v>27</v>
      </c>
      <c r="E3751" s="2">
        <v>46054</v>
      </c>
      <c r="F3751" s="2">
        <v>46054</v>
      </c>
      <c r="G3751" s="3">
        <v>86</v>
      </c>
      <c r="H3751" t="s">
        <v>28</v>
      </c>
      <c r="I3751">
        <v>0</v>
      </c>
      <c r="J3751">
        <v>0</v>
      </c>
      <c r="K3751">
        <v>0</v>
      </c>
      <c r="L3751" s="3">
        <v>0</v>
      </c>
      <c r="M3751" s="3">
        <v>0</v>
      </c>
      <c r="N3751">
        <v>0</v>
      </c>
      <c r="O3751">
        <v>0</v>
      </c>
      <c r="P3751">
        <v>0</v>
      </c>
      <c r="Q3751">
        <v>60</v>
      </c>
      <c r="R3751" s="3">
        <v>0</v>
      </c>
      <c r="S3751" s="3">
        <v>1</v>
      </c>
      <c r="T3751">
        <v>60</v>
      </c>
      <c r="U3751">
        <v>0</v>
      </c>
      <c r="V3751" s="3">
        <v>0</v>
      </c>
      <c r="W3751" s="3">
        <v>1</v>
      </c>
      <c r="X3751">
        <v>2</v>
      </c>
      <c r="Y3751" t="s">
        <v>2910</v>
      </c>
    </row>
    <row r="3752" spans="1:25" hidden="1" x14ac:dyDescent="0.25">
      <c r="A3752" t="s">
        <v>48</v>
      </c>
      <c r="B3752" t="s">
        <v>149</v>
      </c>
      <c r="C3752" t="s">
        <v>52</v>
      </c>
      <c r="D3752" t="s">
        <v>27</v>
      </c>
      <c r="E3752" s="2">
        <v>46054</v>
      </c>
      <c r="F3752" s="2">
        <v>46054</v>
      </c>
      <c r="G3752" s="3">
        <v>263</v>
      </c>
      <c r="H3752" t="s">
        <v>28</v>
      </c>
      <c r="I3752">
        <v>0</v>
      </c>
      <c r="J3752">
        <v>0</v>
      </c>
      <c r="K3752">
        <v>0</v>
      </c>
      <c r="L3752" s="3">
        <v>0</v>
      </c>
      <c r="M3752" s="3">
        <v>0</v>
      </c>
      <c r="N3752">
        <v>0</v>
      </c>
      <c r="O3752">
        <v>0</v>
      </c>
      <c r="P3752">
        <v>0</v>
      </c>
      <c r="Q3752">
        <f>10+6+1</f>
        <v>17</v>
      </c>
      <c r="R3752" s="3">
        <v>0</v>
      </c>
      <c r="S3752" s="3">
        <v>1</v>
      </c>
      <c r="T3752">
        <f>10+6+1</f>
        <v>17</v>
      </c>
      <c r="U3752">
        <v>59</v>
      </c>
      <c r="V3752" s="3">
        <v>0</v>
      </c>
      <c r="W3752" s="3">
        <v>1</v>
      </c>
      <c r="X3752">
        <v>4</v>
      </c>
      <c r="Y3752" t="s">
        <v>2911</v>
      </c>
    </row>
    <row r="3753" spans="1:25" hidden="1" x14ac:dyDescent="0.25">
      <c r="A3753" t="s">
        <v>344</v>
      </c>
      <c r="B3753" t="s">
        <v>149</v>
      </c>
      <c r="C3753" t="s">
        <v>37</v>
      </c>
      <c r="D3753" t="s">
        <v>27</v>
      </c>
      <c r="E3753" s="2">
        <v>46054</v>
      </c>
      <c r="F3753" s="2">
        <v>46054</v>
      </c>
      <c r="G3753" s="3">
        <v>263</v>
      </c>
      <c r="H3753" t="s">
        <v>28</v>
      </c>
      <c r="I3753">
        <v>0</v>
      </c>
      <c r="J3753">
        <v>0</v>
      </c>
      <c r="K3753">
        <v>0</v>
      </c>
      <c r="L3753" s="3">
        <v>0</v>
      </c>
      <c r="M3753" s="3">
        <v>0</v>
      </c>
      <c r="N3753">
        <v>0</v>
      </c>
      <c r="O3753">
        <v>0</v>
      </c>
      <c r="P3753">
        <v>0</v>
      </c>
      <c r="Q3753">
        <v>3</v>
      </c>
      <c r="R3753" s="3">
        <v>0</v>
      </c>
      <c r="S3753" s="3">
        <v>1</v>
      </c>
      <c r="T3753">
        <f>3+3</f>
        <v>6</v>
      </c>
      <c r="U3753">
        <v>138</v>
      </c>
      <c r="V3753" s="3">
        <v>0</v>
      </c>
      <c r="W3753" s="3">
        <v>1</v>
      </c>
      <c r="X3753">
        <v>5</v>
      </c>
      <c r="Y3753" t="s">
        <v>2911</v>
      </c>
    </row>
    <row r="3754" spans="1:25" hidden="1" x14ac:dyDescent="0.25">
      <c r="A3754" t="s">
        <v>25</v>
      </c>
      <c r="B3754" t="s">
        <v>96</v>
      </c>
      <c r="C3754" t="s">
        <v>26</v>
      </c>
      <c r="D3754" t="s">
        <v>27</v>
      </c>
      <c r="E3754" s="2">
        <v>46055</v>
      </c>
      <c r="F3754" s="2">
        <v>46055</v>
      </c>
      <c r="G3754" s="3">
        <v>79</v>
      </c>
      <c r="H3754" t="s">
        <v>28</v>
      </c>
      <c r="I3754">
        <v>40</v>
      </c>
      <c r="J3754">
        <v>0</v>
      </c>
      <c r="K3754">
        <v>0</v>
      </c>
      <c r="L3754" s="3">
        <v>1</v>
      </c>
      <c r="M3754" s="3">
        <v>0</v>
      </c>
      <c r="N3754">
        <v>1</v>
      </c>
      <c r="O3754">
        <v>0</v>
      </c>
      <c r="P3754">
        <v>0</v>
      </c>
      <c r="Q3754">
        <v>0</v>
      </c>
      <c r="R3754" s="3">
        <v>0</v>
      </c>
      <c r="S3754" s="3">
        <v>0</v>
      </c>
      <c r="T3754">
        <v>0</v>
      </c>
      <c r="U3754">
        <v>0</v>
      </c>
      <c r="V3754" s="3">
        <v>0</v>
      </c>
      <c r="W3754" s="3">
        <v>0</v>
      </c>
      <c r="X3754">
        <v>0</v>
      </c>
      <c r="Y3754" t="s">
        <v>2912</v>
      </c>
    </row>
    <row r="3755" spans="1:25" hidden="1" x14ac:dyDescent="0.25">
      <c r="A3755" t="s">
        <v>29</v>
      </c>
      <c r="B3755" t="s">
        <v>100</v>
      </c>
      <c r="C3755" t="s">
        <v>95</v>
      </c>
      <c r="D3755" t="s">
        <v>27</v>
      </c>
      <c r="E3755" s="2">
        <v>46055</v>
      </c>
      <c r="F3755" s="2">
        <v>46055</v>
      </c>
      <c r="G3755" s="3">
        <v>48</v>
      </c>
      <c r="H3755" t="s">
        <v>28</v>
      </c>
      <c r="I3755">
        <v>40</v>
      </c>
      <c r="J3755">
        <v>0</v>
      </c>
      <c r="K3755">
        <v>0</v>
      </c>
      <c r="L3755" s="3">
        <v>1</v>
      </c>
      <c r="M3755" s="3">
        <v>0</v>
      </c>
      <c r="N3755">
        <v>0</v>
      </c>
      <c r="O3755">
        <v>0</v>
      </c>
      <c r="P3755">
        <v>15</v>
      </c>
      <c r="Q3755">
        <v>9</v>
      </c>
      <c r="R3755" s="3">
        <v>0</v>
      </c>
      <c r="S3755" s="3">
        <v>0</v>
      </c>
      <c r="T3755">
        <v>0</v>
      </c>
      <c r="U3755">
        <v>0</v>
      </c>
      <c r="V3755" s="3">
        <v>0</v>
      </c>
      <c r="W3755" s="3">
        <v>0</v>
      </c>
      <c r="X3755">
        <v>3</v>
      </c>
      <c r="Y3755" t="s">
        <v>2913</v>
      </c>
    </row>
    <row r="3756" spans="1:25" hidden="1" x14ac:dyDescent="0.25">
      <c r="A3756" t="s">
        <v>344</v>
      </c>
      <c r="B3756" t="s">
        <v>102</v>
      </c>
      <c r="C3756" t="s">
        <v>2271</v>
      </c>
      <c r="D3756" t="s">
        <v>27</v>
      </c>
      <c r="E3756" s="2">
        <v>46055</v>
      </c>
      <c r="F3756" s="2">
        <v>46055</v>
      </c>
      <c r="G3756" s="3">
        <v>74</v>
      </c>
      <c r="H3756" t="s">
        <v>28</v>
      </c>
      <c r="I3756">
        <v>41</v>
      </c>
      <c r="J3756">
        <v>58</v>
      </c>
      <c r="K3756">
        <v>0</v>
      </c>
      <c r="L3756" s="3">
        <v>1</v>
      </c>
      <c r="M3756" s="3">
        <v>0</v>
      </c>
      <c r="N3756">
        <v>0</v>
      </c>
      <c r="O3756">
        <v>0</v>
      </c>
      <c r="P3756">
        <v>0</v>
      </c>
      <c r="Q3756">
        <v>0</v>
      </c>
      <c r="R3756" s="3">
        <v>0</v>
      </c>
      <c r="S3756" s="3">
        <v>0</v>
      </c>
      <c r="T3756">
        <v>0</v>
      </c>
      <c r="U3756">
        <v>0</v>
      </c>
      <c r="V3756" s="3">
        <v>0</v>
      </c>
      <c r="W3756" s="3">
        <v>0</v>
      </c>
      <c r="X3756">
        <v>1</v>
      </c>
      <c r="Y3756" t="s">
        <v>2891</v>
      </c>
    </row>
    <row r="3757" spans="1:25" hidden="1" x14ac:dyDescent="0.25">
      <c r="A3757" t="s">
        <v>31</v>
      </c>
      <c r="B3757" t="s">
        <v>104</v>
      </c>
      <c r="C3757" t="s">
        <v>32</v>
      </c>
      <c r="D3757" t="s">
        <v>27</v>
      </c>
      <c r="E3757" s="2">
        <v>46055</v>
      </c>
      <c r="F3757" s="2">
        <v>46055</v>
      </c>
      <c r="G3757" s="3">
        <v>62</v>
      </c>
      <c r="H3757" t="s">
        <v>28</v>
      </c>
      <c r="I3757">
        <v>88</v>
      </c>
      <c r="J3757">
        <v>0</v>
      </c>
      <c r="K3757">
        <v>0</v>
      </c>
      <c r="L3757" s="3">
        <v>1</v>
      </c>
      <c r="M3757" s="3">
        <v>0</v>
      </c>
      <c r="N3757">
        <v>0</v>
      </c>
      <c r="O3757">
        <v>0</v>
      </c>
      <c r="P3757">
        <v>0</v>
      </c>
      <c r="Q3757">
        <v>30</v>
      </c>
      <c r="R3757" s="3">
        <v>0</v>
      </c>
      <c r="S3757" s="3">
        <v>0</v>
      </c>
      <c r="T3757">
        <v>0</v>
      </c>
      <c r="U3757">
        <v>0</v>
      </c>
      <c r="V3757" s="3">
        <v>0</v>
      </c>
      <c r="W3757" s="3">
        <v>0</v>
      </c>
      <c r="X3757">
        <v>0</v>
      </c>
      <c r="Y3757" t="s">
        <v>2914</v>
      </c>
    </row>
    <row r="3758" spans="1:25" hidden="1" x14ac:dyDescent="0.25">
      <c r="A3758" t="s">
        <v>36</v>
      </c>
      <c r="B3758" t="s">
        <v>249</v>
      </c>
      <c r="C3758" t="s">
        <v>57</v>
      </c>
      <c r="D3758" t="s">
        <v>27</v>
      </c>
      <c r="E3758" s="2">
        <v>46055</v>
      </c>
      <c r="F3758" s="2">
        <v>46055</v>
      </c>
      <c r="G3758" s="3">
        <v>59</v>
      </c>
      <c r="H3758" t="s">
        <v>28</v>
      </c>
      <c r="I3758">
        <v>64</v>
      </c>
      <c r="J3758">
        <v>0</v>
      </c>
      <c r="K3758">
        <v>0</v>
      </c>
      <c r="L3758" s="3">
        <v>0</v>
      </c>
      <c r="M3758" s="3">
        <v>0</v>
      </c>
      <c r="N3758">
        <v>0</v>
      </c>
      <c r="O3758">
        <v>0</v>
      </c>
      <c r="P3758">
        <v>0</v>
      </c>
      <c r="Q3758">
        <v>0</v>
      </c>
      <c r="R3758" s="3">
        <v>0</v>
      </c>
      <c r="S3758" s="3">
        <v>0</v>
      </c>
      <c r="T3758">
        <v>0</v>
      </c>
      <c r="U3758">
        <v>0</v>
      </c>
      <c r="V3758" s="3">
        <v>0</v>
      </c>
      <c r="W3758" s="3">
        <v>0</v>
      </c>
      <c r="X3758">
        <v>0</v>
      </c>
      <c r="Y3758" t="s">
        <v>2915</v>
      </c>
    </row>
    <row r="3759" spans="1:25" hidden="1" x14ac:dyDescent="0.25">
      <c r="A3759" t="s">
        <v>38</v>
      </c>
      <c r="B3759" t="s">
        <v>108</v>
      </c>
      <c r="C3759" t="s">
        <v>27</v>
      </c>
      <c r="D3759" t="s">
        <v>27</v>
      </c>
      <c r="E3759" s="2">
        <v>46055</v>
      </c>
      <c r="F3759" s="2">
        <v>46055</v>
      </c>
      <c r="G3759" s="3">
        <v>33</v>
      </c>
      <c r="H3759" t="s">
        <v>28</v>
      </c>
      <c r="I3759">
        <v>46</v>
      </c>
      <c r="J3759">
        <v>0</v>
      </c>
      <c r="K3759">
        <v>0</v>
      </c>
      <c r="L3759" s="3">
        <v>1</v>
      </c>
      <c r="M3759" s="3">
        <v>0</v>
      </c>
      <c r="N3759">
        <v>0</v>
      </c>
      <c r="O3759">
        <v>0</v>
      </c>
      <c r="P3759">
        <v>0</v>
      </c>
      <c r="Q3759">
        <v>46</v>
      </c>
      <c r="R3759" s="3">
        <v>0</v>
      </c>
      <c r="S3759" s="3">
        <v>0</v>
      </c>
      <c r="T3759">
        <v>0</v>
      </c>
      <c r="U3759">
        <v>0</v>
      </c>
      <c r="V3759" s="3">
        <v>0</v>
      </c>
      <c r="W3759" s="3">
        <v>0</v>
      </c>
      <c r="X3759">
        <v>0</v>
      </c>
      <c r="Y3759" t="s">
        <v>2916</v>
      </c>
    </row>
    <row r="3760" spans="1:25" hidden="1" x14ac:dyDescent="0.25">
      <c r="A3760" t="s">
        <v>2679</v>
      </c>
      <c r="B3760" t="s">
        <v>2680</v>
      </c>
      <c r="C3760" t="s">
        <v>39</v>
      </c>
      <c r="D3760" t="s">
        <v>27</v>
      </c>
      <c r="E3760" s="2">
        <v>46055</v>
      </c>
      <c r="F3760" s="2">
        <v>46055</v>
      </c>
      <c r="G3760" s="3">
        <v>37</v>
      </c>
      <c r="H3760" t="s">
        <v>28</v>
      </c>
      <c r="I3760">
        <v>73</v>
      </c>
      <c r="J3760">
        <v>0</v>
      </c>
      <c r="K3760">
        <v>0</v>
      </c>
      <c r="L3760" s="3">
        <v>1</v>
      </c>
      <c r="M3760" s="3">
        <v>0</v>
      </c>
      <c r="N3760">
        <v>0</v>
      </c>
      <c r="O3760">
        <v>0</v>
      </c>
      <c r="P3760">
        <v>73</v>
      </c>
      <c r="Q3760">
        <v>73</v>
      </c>
      <c r="R3760" s="3">
        <v>0</v>
      </c>
      <c r="S3760" s="3">
        <v>0</v>
      </c>
      <c r="T3760">
        <v>0</v>
      </c>
      <c r="U3760">
        <v>0</v>
      </c>
      <c r="V3760" s="3">
        <v>0</v>
      </c>
      <c r="W3760" s="3">
        <v>0</v>
      </c>
      <c r="X3760">
        <v>1</v>
      </c>
      <c r="Y3760" t="s">
        <v>2917</v>
      </c>
    </row>
    <row r="3761" spans="1:25" hidden="1" x14ac:dyDescent="0.25">
      <c r="A3761" t="s">
        <v>40</v>
      </c>
      <c r="B3761" t="s">
        <v>110</v>
      </c>
      <c r="C3761" t="s">
        <v>2534</v>
      </c>
      <c r="D3761" t="s">
        <v>27</v>
      </c>
      <c r="E3761" s="2">
        <v>46055</v>
      </c>
      <c r="F3761" s="2">
        <v>46055</v>
      </c>
      <c r="G3761" s="3">
        <v>39</v>
      </c>
      <c r="H3761" t="s">
        <v>28</v>
      </c>
      <c r="I3761">
        <v>90</v>
      </c>
      <c r="J3761">
        <v>0</v>
      </c>
      <c r="K3761">
        <v>0</v>
      </c>
      <c r="L3761" s="3">
        <v>1</v>
      </c>
      <c r="M3761" s="3">
        <v>0</v>
      </c>
      <c r="N3761">
        <v>1</v>
      </c>
      <c r="O3761">
        <v>0</v>
      </c>
      <c r="P3761">
        <v>0</v>
      </c>
      <c r="Q3761">
        <v>68</v>
      </c>
      <c r="R3761" s="3">
        <v>0</v>
      </c>
      <c r="S3761" s="3">
        <v>0</v>
      </c>
      <c r="T3761">
        <v>0</v>
      </c>
      <c r="U3761">
        <v>0</v>
      </c>
      <c r="V3761" s="3">
        <v>0</v>
      </c>
      <c r="W3761" s="3">
        <v>0</v>
      </c>
      <c r="X3761">
        <v>0</v>
      </c>
      <c r="Y3761" t="s">
        <v>2918</v>
      </c>
    </row>
    <row r="3762" spans="1:25" hidden="1" x14ac:dyDescent="0.25">
      <c r="A3762" t="s">
        <v>1316</v>
      </c>
      <c r="B3762" t="s">
        <v>1348</v>
      </c>
      <c r="C3762" t="s">
        <v>52</v>
      </c>
      <c r="D3762" t="s">
        <v>27</v>
      </c>
      <c r="E3762" s="2">
        <v>46055</v>
      </c>
      <c r="F3762" s="2">
        <v>46055</v>
      </c>
      <c r="G3762" s="3">
        <v>65</v>
      </c>
      <c r="H3762" t="s">
        <v>28</v>
      </c>
      <c r="I3762">
        <v>40</v>
      </c>
      <c r="J3762">
        <v>0</v>
      </c>
      <c r="K3762">
        <v>0</v>
      </c>
      <c r="L3762" s="3">
        <v>0</v>
      </c>
      <c r="M3762" s="3">
        <v>0</v>
      </c>
      <c r="N3762">
        <v>0</v>
      </c>
      <c r="O3762">
        <v>0</v>
      </c>
      <c r="P3762">
        <v>0</v>
      </c>
      <c r="Q3762">
        <v>0</v>
      </c>
      <c r="R3762" s="3">
        <v>0</v>
      </c>
      <c r="S3762" s="3">
        <v>0</v>
      </c>
      <c r="T3762">
        <v>0</v>
      </c>
      <c r="U3762">
        <v>0</v>
      </c>
      <c r="V3762" s="3">
        <v>0</v>
      </c>
      <c r="W3762" s="3">
        <v>0</v>
      </c>
      <c r="X3762">
        <v>0</v>
      </c>
      <c r="Y3762" t="s">
        <v>2919</v>
      </c>
    </row>
    <row r="3763" spans="1:25" hidden="1" x14ac:dyDescent="0.25">
      <c r="A3763" t="s">
        <v>41</v>
      </c>
      <c r="B3763" t="s">
        <v>112</v>
      </c>
      <c r="C3763" t="s">
        <v>42</v>
      </c>
      <c r="D3763" t="s">
        <v>27</v>
      </c>
      <c r="E3763" s="2">
        <v>46055</v>
      </c>
      <c r="F3763" s="2">
        <v>46055</v>
      </c>
      <c r="G3763" s="3">
        <v>63</v>
      </c>
      <c r="H3763" t="s">
        <v>28</v>
      </c>
      <c r="I3763">
        <v>40</v>
      </c>
      <c r="J3763">
        <v>60</v>
      </c>
      <c r="K3763">
        <v>0</v>
      </c>
      <c r="L3763" s="3">
        <v>1</v>
      </c>
      <c r="M3763" s="3">
        <v>0</v>
      </c>
      <c r="N3763">
        <v>0</v>
      </c>
      <c r="O3763">
        <v>0</v>
      </c>
      <c r="P3763">
        <v>0</v>
      </c>
      <c r="Q3763">
        <v>4</v>
      </c>
      <c r="R3763" s="3">
        <v>0</v>
      </c>
      <c r="S3763" s="3">
        <v>0</v>
      </c>
      <c r="T3763">
        <v>0</v>
      </c>
      <c r="U3763">
        <v>0</v>
      </c>
      <c r="V3763" s="3">
        <v>0</v>
      </c>
      <c r="W3763" s="3">
        <v>0</v>
      </c>
      <c r="X3763">
        <v>2</v>
      </c>
      <c r="Y3763" t="s">
        <v>2920</v>
      </c>
    </row>
    <row r="3764" spans="1:25" hidden="1" x14ac:dyDescent="0.25">
      <c r="A3764" t="s">
        <v>43</v>
      </c>
      <c r="B3764" t="s">
        <v>114</v>
      </c>
      <c r="C3764" t="s">
        <v>2379</v>
      </c>
      <c r="D3764" t="s">
        <v>27</v>
      </c>
      <c r="E3764" s="2">
        <v>46055</v>
      </c>
      <c r="F3764" s="2">
        <v>46055</v>
      </c>
      <c r="G3764" s="3">
        <v>28</v>
      </c>
      <c r="H3764" t="s">
        <v>28</v>
      </c>
      <c r="I3764">
        <v>40</v>
      </c>
      <c r="J3764">
        <v>0</v>
      </c>
      <c r="K3764">
        <v>0</v>
      </c>
      <c r="L3764" s="3">
        <v>1</v>
      </c>
      <c r="M3764" s="3">
        <v>0</v>
      </c>
      <c r="N3764">
        <v>0</v>
      </c>
      <c r="O3764">
        <v>0</v>
      </c>
      <c r="P3764">
        <v>0</v>
      </c>
      <c r="Q3764">
        <v>0</v>
      </c>
      <c r="R3764" s="3">
        <v>0</v>
      </c>
      <c r="S3764" s="3">
        <v>0</v>
      </c>
      <c r="T3764">
        <v>0</v>
      </c>
      <c r="U3764">
        <v>0</v>
      </c>
      <c r="V3764" s="3">
        <v>0</v>
      </c>
      <c r="W3764" s="3">
        <v>0</v>
      </c>
      <c r="X3764">
        <v>0</v>
      </c>
      <c r="Y3764" t="s">
        <v>2921</v>
      </c>
    </row>
    <row r="3765" spans="1:25" hidden="1" x14ac:dyDescent="0.25">
      <c r="A3765" t="s">
        <v>2118</v>
      </c>
      <c r="B3765" t="s">
        <v>2119</v>
      </c>
      <c r="C3765" t="s">
        <v>27</v>
      </c>
      <c r="D3765" t="s">
        <v>27</v>
      </c>
      <c r="E3765" s="2">
        <v>46055</v>
      </c>
      <c r="F3765" s="2">
        <v>46055</v>
      </c>
      <c r="G3765" s="3">
        <v>34</v>
      </c>
      <c r="H3765" t="s">
        <v>28</v>
      </c>
      <c r="I3765">
        <v>63</v>
      </c>
      <c r="J3765">
        <v>0</v>
      </c>
      <c r="K3765">
        <v>0</v>
      </c>
      <c r="L3765" s="3">
        <v>1</v>
      </c>
      <c r="M3765" s="3">
        <v>0</v>
      </c>
      <c r="N3765">
        <v>0</v>
      </c>
      <c r="O3765">
        <v>0</v>
      </c>
      <c r="P3765">
        <v>0</v>
      </c>
      <c r="Q3765">
        <v>63</v>
      </c>
      <c r="R3765" s="3">
        <v>0</v>
      </c>
      <c r="S3765" s="3">
        <v>0</v>
      </c>
      <c r="T3765">
        <v>0</v>
      </c>
      <c r="U3765">
        <v>0</v>
      </c>
      <c r="V3765" s="3">
        <v>0</v>
      </c>
      <c r="W3765" s="3">
        <v>0</v>
      </c>
      <c r="X3765">
        <v>0</v>
      </c>
      <c r="Y3765" t="s">
        <v>2922</v>
      </c>
    </row>
    <row r="3766" spans="1:25" hidden="1" x14ac:dyDescent="0.25">
      <c r="A3766" t="s">
        <v>45</v>
      </c>
      <c r="B3766" t="s">
        <v>116</v>
      </c>
      <c r="C3766" t="s">
        <v>2835</v>
      </c>
      <c r="D3766" t="s">
        <v>27</v>
      </c>
      <c r="E3766" s="2">
        <v>46055</v>
      </c>
      <c r="F3766" s="2">
        <v>46055</v>
      </c>
      <c r="G3766" s="3">
        <v>60</v>
      </c>
      <c r="H3766" t="s">
        <v>28</v>
      </c>
      <c r="I3766">
        <v>67</v>
      </c>
      <c r="J3766">
        <v>0</v>
      </c>
      <c r="K3766">
        <v>0</v>
      </c>
      <c r="L3766" s="3">
        <v>1</v>
      </c>
      <c r="M3766" s="3">
        <v>0</v>
      </c>
      <c r="N3766">
        <v>0</v>
      </c>
      <c r="O3766">
        <v>0</v>
      </c>
      <c r="P3766">
        <v>0</v>
      </c>
      <c r="Q3766">
        <v>8</v>
      </c>
      <c r="R3766" s="3">
        <v>0</v>
      </c>
      <c r="S3766" s="3">
        <v>0</v>
      </c>
      <c r="T3766">
        <v>0</v>
      </c>
      <c r="U3766">
        <v>0</v>
      </c>
      <c r="V3766" s="3">
        <v>0</v>
      </c>
      <c r="W3766" s="3">
        <v>0</v>
      </c>
      <c r="X3766">
        <v>0</v>
      </c>
      <c r="Y3766" t="s">
        <v>2923</v>
      </c>
    </row>
    <row r="3767" spans="1:25" hidden="1" x14ac:dyDescent="0.25">
      <c r="A3767" t="s">
        <v>47</v>
      </c>
      <c r="B3767" t="s">
        <v>137</v>
      </c>
      <c r="C3767" t="s">
        <v>2310</v>
      </c>
      <c r="D3767" t="s">
        <v>27</v>
      </c>
      <c r="E3767" s="2">
        <v>46055</v>
      </c>
      <c r="F3767" s="2">
        <v>46055</v>
      </c>
      <c r="G3767" s="3">
        <v>103</v>
      </c>
      <c r="H3767" t="s">
        <v>28</v>
      </c>
      <c r="I3767">
        <v>39</v>
      </c>
      <c r="J3767">
        <v>0</v>
      </c>
      <c r="K3767">
        <v>0</v>
      </c>
      <c r="L3767" s="3">
        <v>1</v>
      </c>
      <c r="M3767" s="3">
        <v>0</v>
      </c>
      <c r="N3767">
        <v>0</v>
      </c>
      <c r="O3767">
        <v>0</v>
      </c>
      <c r="P3767">
        <v>0</v>
      </c>
      <c r="Q3767">
        <v>14</v>
      </c>
      <c r="R3767" s="3">
        <v>0</v>
      </c>
      <c r="S3767" s="3">
        <v>0</v>
      </c>
      <c r="T3767">
        <v>0</v>
      </c>
      <c r="U3767">
        <v>0</v>
      </c>
      <c r="V3767" s="3">
        <v>0</v>
      </c>
      <c r="W3767" s="3">
        <v>0</v>
      </c>
      <c r="X3767">
        <v>0</v>
      </c>
      <c r="Y3767" t="s">
        <v>2924</v>
      </c>
    </row>
    <row r="3768" spans="1:25" hidden="1" x14ac:dyDescent="0.25">
      <c r="A3768" t="s">
        <v>49</v>
      </c>
      <c r="B3768" t="s">
        <v>118</v>
      </c>
      <c r="C3768" t="s">
        <v>50</v>
      </c>
      <c r="D3768" t="s">
        <v>27</v>
      </c>
      <c r="E3768" s="2">
        <v>46055</v>
      </c>
      <c r="F3768" s="2">
        <v>46055</v>
      </c>
      <c r="G3768" s="3">
        <v>56</v>
      </c>
      <c r="H3768" t="s">
        <v>28</v>
      </c>
      <c r="I3768">
        <v>29</v>
      </c>
      <c r="J3768">
        <v>0</v>
      </c>
      <c r="K3768">
        <v>0</v>
      </c>
      <c r="L3768" s="3">
        <v>1</v>
      </c>
      <c r="M3768" s="3">
        <v>1</v>
      </c>
      <c r="N3768">
        <v>0</v>
      </c>
      <c r="O3768">
        <v>1</v>
      </c>
      <c r="P3768">
        <v>0</v>
      </c>
      <c r="Q3768">
        <v>29</v>
      </c>
      <c r="R3768" s="3">
        <v>0</v>
      </c>
      <c r="S3768" s="3">
        <v>0</v>
      </c>
      <c r="T3768">
        <v>0</v>
      </c>
      <c r="U3768">
        <v>0</v>
      </c>
      <c r="V3768" s="3">
        <v>0</v>
      </c>
      <c r="W3768" s="3">
        <v>0</v>
      </c>
      <c r="X3768">
        <v>0</v>
      </c>
      <c r="Y3768" t="s">
        <v>2925</v>
      </c>
    </row>
    <row r="3769" spans="1:25" hidden="1" x14ac:dyDescent="0.25">
      <c r="A3769" t="s">
        <v>51</v>
      </c>
      <c r="B3769" t="s">
        <v>120</v>
      </c>
      <c r="C3769" t="s">
        <v>51</v>
      </c>
      <c r="D3769" t="s">
        <v>27</v>
      </c>
      <c r="E3769" s="2">
        <v>46055</v>
      </c>
      <c r="F3769" s="2">
        <v>46055</v>
      </c>
      <c r="G3769" s="3">
        <v>55</v>
      </c>
      <c r="H3769" t="s">
        <v>28</v>
      </c>
      <c r="I3769">
        <v>31</v>
      </c>
      <c r="J3769">
        <v>0</v>
      </c>
      <c r="K3769">
        <v>0</v>
      </c>
      <c r="L3769" s="3">
        <v>1</v>
      </c>
      <c r="M3769" s="3">
        <v>0</v>
      </c>
      <c r="N3769">
        <v>1</v>
      </c>
      <c r="O3769">
        <v>0</v>
      </c>
      <c r="P3769">
        <v>0</v>
      </c>
      <c r="Q3769">
        <v>0</v>
      </c>
      <c r="R3769" s="3">
        <v>0</v>
      </c>
      <c r="S3769" s="3">
        <v>0</v>
      </c>
      <c r="T3769">
        <v>0</v>
      </c>
      <c r="U3769">
        <v>0</v>
      </c>
      <c r="V3769" s="3">
        <v>0</v>
      </c>
      <c r="W3769" s="3">
        <v>0</v>
      </c>
      <c r="X3769">
        <v>0</v>
      </c>
      <c r="Y3769" t="s">
        <v>2926</v>
      </c>
    </row>
    <row r="3770" spans="1:25" hidden="1" x14ac:dyDescent="0.25">
      <c r="A3770" t="s">
        <v>48</v>
      </c>
      <c r="B3770" t="s">
        <v>149</v>
      </c>
      <c r="C3770" t="s">
        <v>37</v>
      </c>
      <c r="D3770" t="s">
        <v>27</v>
      </c>
      <c r="E3770" s="2">
        <v>46055</v>
      </c>
      <c r="F3770" s="2">
        <v>46055</v>
      </c>
      <c r="G3770" s="3">
        <v>26</v>
      </c>
      <c r="H3770" t="s">
        <v>28</v>
      </c>
      <c r="I3770">
        <v>73</v>
      </c>
      <c r="J3770">
        <v>0</v>
      </c>
      <c r="K3770">
        <v>0</v>
      </c>
      <c r="L3770" s="3">
        <v>1</v>
      </c>
      <c r="M3770" s="3">
        <v>0</v>
      </c>
      <c r="N3770">
        <v>0</v>
      </c>
      <c r="O3770">
        <v>0</v>
      </c>
      <c r="P3770">
        <v>0</v>
      </c>
      <c r="Q3770">
        <v>0</v>
      </c>
      <c r="R3770" s="3">
        <v>0</v>
      </c>
      <c r="S3770" s="3">
        <v>0</v>
      </c>
      <c r="T3770">
        <v>0</v>
      </c>
      <c r="U3770">
        <v>0</v>
      </c>
      <c r="V3770" s="3">
        <v>0</v>
      </c>
      <c r="W3770" s="3">
        <v>0</v>
      </c>
      <c r="X3770">
        <v>0</v>
      </c>
      <c r="Y3770" t="s">
        <v>2927</v>
      </c>
    </row>
    <row r="3771" spans="1:25" hidden="1" x14ac:dyDescent="0.25">
      <c r="A3771" t="s">
        <v>58</v>
      </c>
      <c r="B3771" t="s">
        <v>144</v>
      </c>
      <c r="C3771" t="s">
        <v>2514</v>
      </c>
      <c r="D3771" t="s">
        <v>27</v>
      </c>
      <c r="E3771" s="2">
        <v>46055</v>
      </c>
      <c r="F3771" s="2">
        <v>46055</v>
      </c>
      <c r="G3771" s="3">
        <v>91</v>
      </c>
      <c r="H3771" t="s">
        <v>28</v>
      </c>
      <c r="I3771">
        <v>65</v>
      </c>
      <c r="J3771">
        <v>0</v>
      </c>
      <c r="K3771">
        <v>0</v>
      </c>
      <c r="L3771" s="3">
        <v>1</v>
      </c>
      <c r="M3771" s="3">
        <v>0</v>
      </c>
      <c r="N3771">
        <v>0</v>
      </c>
      <c r="O3771">
        <v>0</v>
      </c>
      <c r="P3771">
        <v>0</v>
      </c>
      <c r="Q3771">
        <v>40</v>
      </c>
      <c r="R3771" s="3">
        <v>0</v>
      </c>
      <c r="S3771" s="3">
        <v>0</v>
      </c>
      <c r="T3771">
        <v>0</v>
      </c>
      <c r="U3771">
        <v>0</v>
      </c>
      <c r="V3771" s="3">
        <v>0</v>
      </c>
      <c r="W3771" s="3">
        <v>0</v>
      </c>
      <c r="X3771">
        <v>0</v>
      </c>
      <c r="Y3771" t="s">
        <v>2928</v>
      </c>
    </row>
    <row r="3772" spans="1:25" hidden="1" x14ac:dyDescent="0.25">
      <c r="A3772" t="s">
        <v>27</v>
      </c>
      <c r="B3772" t="s">
        <v>798</v>
      </c>
      <c r="C3772" t="s">
        <v>44</v>
      </c>
      <c r="D3772" t="s">
        <v>27</v>
      </c>
      <c r="E3772" s="2">
        <v>46055</v>
      </c>
      <c r="F3772" s="2">
        <v>46055</v>
      </c>
      <c r="G3772" s="3">
        <v>33</v>
      </c>
      <c r="H3772" t="s">
        <v>2143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 t="s">
        <v>2803</v>
      </c>
    </row>
    <row r="3773" spans="1:25" hidden="1" x14ac:dyDescent="0.25">
      <c r="A3773" t="s">
        <v>438</v>
      </c>
      <c r="B3773" t="s">
        <v>798</v>
      </c>
      <c r="C3773" t="s">
        <v>27</v>
      </c>
      <c r="D3773" t="s">
        <v>27</v>
      </c>
      <c r="E3773" s="2">
        <v>46055</v>
      </c>
      <c r="F3773" s="2">
        <v>46055</v>
      </c>
      <c r="G3773" s="3">
        <v>33</v>
      </c>
      <c r="H3773" t="s">
        <v>1975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 t="s">
        <v>2803</v>
      </c>
    </row>
    <row r="3774" spans="1:25" hidden="1" x14ac:dyDescent="0.25">
      <c r="A3774" t="s">
        <v>454</v>
      </c>
      <c r="B3774" t="s">
        <v>106</v>
      </c>
      <c r="C3774" t="s">
        <v>27</v>
      </c>
      <c r="D3774" t="s">
        <v>27</v>
      </c>
      <c r="E3774" s="2">
        <v>46055</v>
      </c>
      <c r="F3774" s="2">
        <v>46055</v>
      </c>
      <c r="G3774" s="3">
        <v>72</v>
      </c>
      <c r="H3774" t="s">
        <v>763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 t="s">
        <v>2841</v>
      </c>
    </row>
    <row r="3775" spans="1:25" hidden="1" x14ac:dyDescent="0.25">
      <c r="A3775" t="s">
        <v>54</v>
      </c>
      <c r="B3775" t="s">
        <v>182</v>
      </c>
      <c r="C3775" t="s">
        <v>27</v>
      </c>
      <c r="D3775" t="s">
        <v>27</v>
      </c>
      <c r="E3775" s="2">
        <v>46055</v>
      </c>
      <c r="F3775" s="2">
        <v>46055</v>
      </c>
      <c r="G3775" s="3">
        <v>73</v>
      </c>
      <c r="H3775" t="s">
        <v>763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 t="s">
        <v>2841</v>
      </c>
    </row>
    <row r="3776" spans="1:25" hidden="1" x14ac:dyDescent="0.25">
      <c r="A3776" t="s">
        <v>27</v>
      </c>
      <c r="B3776" t="s">
        <v>184</v>
      </c>
      <c r="C3776" t="s">
        <v>35</v>
      </c>
      <c r="D3776" t="s">
        <v>27</v>
      </c>
      <c r="E3776" s="2">
        <v>46055</v>
      </c>
      <c r="F3776" s="2">
        <v>46055</v>
      </c>
      <c r="G3776" s="3">
        <v>74</v>
      </c>
      <c r="H3776" t="s">
        <v>763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 t="s">
        <v>2841</v>
      </c>
    </row>
    <row r="3777" spans="1:25" hidden="1" x14ac:dyDescent="0.25">
      <c r="A3777" t="s">
        <v>27</v>
      </c>
      <c r="B3777" t="s">
        <v>186</v>
      </c>
      <c r="C3777" t="s">
        <v>46</v>
      </c>
      <c r="D3777" t="s">
        <v>27</v>
      </c>
      <c r="E3777" s="2">
        <v>46055</v>
      </c>
      <c r="F3777" s="2">
        <v>46055</v>
      </c>
      <c r="G3777" s="3">
        <v>75</v>
      </c>
      <c r="H3777" t="s">
        <v>763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2841</v>
      </c>
    </row>
    <row r="3778" spans="1:25" hidden="1" x14ac:dyDescent="0.25">
      <c r="A3778" t="s">
        <v>27</v>
      </c>
      <c r="B3778" t="s">
        <v>188</v>
      </c>
      <c r="C3778" t="s">
        <v>55</v>
      </c>
      <c r="D3778" t="s">
        <v>27</v>
      </c>
      <c r="E3778" s="2">
        <v>46055</v>
      </c>
      <c r="F3778" s="2">
        <v>46055</v>
      </c>
      <c r="G3778" s="3">
        <v>76</v>
      </c>
      <c r="H3778" t="s">
        <v>763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2841</v>
      </c>
    </row>
    <row r="3779" spans="1:25" hidden="1" x14ac:dyDescent="0.25">
      <c r="A3779" t="s">
        <v>25</v>
      </c>
      <c r="B3779" t="s">
        <v>96</v>
      </c>
      <c r="C3779" t="s">
        <v>26</v>
      </c>
      <c r="D3779" t="s">
        <v>27</v>
      </c>
      <c r="E3779" s="2">
        <v>46056</v>
      </c>
      <c r="F3779" s="2">
        <v>46056</v>
      </c>
      <c r="G3779" s="3">
        <v>42</v>
      </c>
      <c r="H3779" t="s">
        <v>28</v>
      </c>
      <c r="I3779">
        <v>43</v>
      </c>
      <c r="J3779">
        <v>0</v>
      </c>
      <c r="K3779">
        <v>0</v>
      </c>
      <c r="L3779" s="3">
        <v>1</v>
      </c>
      <c r="M3779" s="3">
        <v>1</v>
      </c>
      <c r="N3779">
        <v>1</v>
      </c>
      <c r="O3779">
        <v>0</v>
      </c>
      <c r="P3779">
        <v>0</v>
      </c>
      <c r="Q3779">
        <v>0</v>
      </c>
      <c r="R3779" s="3">
        <v>0</v>
      </c>
      <c r="S3779" s="3">
        <v>0</v>
      </c>
      <c r="T3779">
        <v>0</v>
      </c>
      <c r="U3779">
        <v>0</v>
      </c>
      <c r="V3779" s="3">
        <v>0</v>
      </c>
      <c r="W3779" s="3">
        <v>0</v>
      </c>
      <c r="X3779">
        <v>0</v>
      </c>
      <c r="Y3779" t="s">
        <v>2929</v>
      </c>
    </row>
    <row r="3780" spans="1:25" hidden="1" x14ac:dyDescent="0.25">
      <c r="A3780" t="s">
        <v>29</v>
      </c>
      <c r="B3780" t="s">
        <v>100</v>
      </c>
      <c r="C3780" t="s">
        <v>95</v>
      </c>
      <c r="D3780" t="s">
        <v>27</v>
      </c>
      <c r="E3780" s="2">
        <v>46056</v>
      </c>
      <c r="F3780" s="2">
        <v>46056</v>
      </c>
      <c r="G3780" s="3">
        <v>38</v>
      </c>
      <c r="H3780" t="s">
        <v>28</v>
      </c>
      <c r="I3780">
        <v>33</v>
      </c>
      <c r="J3780">
        <v>1</v>
      </c>
      <c r="K3780">
        <v>0</v>
      </c>
      <c r="L3780" s="3">
        <v>1</v>
      </c>
      <c r="M3780" s="3">
        <v>0</v>
      </c>
      <c r="N3780">
        <v>0</v>
      </c>
      <c r="O3780">
        <v>0</v>
      </c>
      <c r="P3780">
        <v>2</v>
      </c>
      <c r="Q3780">
        <v>5</v>
      </c>
      <c r="R3780" s="3">
        <v>0</v>
      </c>
      <c r="S3780" s="3">
        <v>0</v>
      </c>
      <c r="T3780">
        <v>0</v>
      </c>
      <c r="U3780">
        <v>0</v>
      </c>
      <c r="V3780" s="3">
        <v>0</v>
      </c>
      <c r="W3780" s="3">
        <v>0</v>
      </c>
      <c r="X3780">
        <v>0</v>
      </c>
      <c r="Y3780" t="s">
        <v>2930</v>
      </c>
    </row>
    <row r="3781" spans="1:25" hidden="1" x14ac:dyDescent="0.25">
      <c r="A3781" t="s">
        <v>344</v>
      </c>
      <c r="B3781" t="s">
        <v>102</v>
      </c>
      <c r="C3781" t="s">
        <v>2271</v>
      </c>
      <c r="D3781" t="s">
        <v>27</v>
      </c>
      <c r="E3781" s="2">
        <v>46056</v>
      </c>
      <c r="F3781" s="2">
        <v>46056</v>
      </c>
      <c r="G3781" s="3">
        <v>74</v>
      </c>
      <c r="H3781" t="s">
        <v>28</v>
      </c>
      <c r="I3781">
        <v>41</v>
      </c>
      <c r="J3781">
        <v>58</v>
      </c>
      <c r="K3781">
        <v>0</v>
      </c>
      <c r="L3781" s="3">
        <v>1</v>
      </c>
      <c r="M3781" s="3">
        <v>0</v>
      </c>
      <c r="N3781">
        <v>0</v>
      </c>
      <c r="O3781">
        <v>0</v>
      </c>
      <c r="P3781">
        <v>0</v>
      </c>
      <c r="Q3781">
        <v>0</v>
      </c>
      <c r="R3781" s="3">
        <v>0</v>
      </c>
      <c r="S3781" s="3">
        <v>0</v>
      </c>
      <c r="T3781">
        <v>0</v>
      </c>
      <c r="U3781">
        <v>0</v>
      </c>
      <c r="V3781" s="3">
        <v>0</v>
      </c>
      <c r="W3781" s="3">
        <v>0</v>
      </c>
      <c r="X3781">
        <v>1</v>
      </c>
      <c r="Y3781" t="s">
        <v>2891</v>
      </c>
    </row>
    <row r="3782" spans="1:25" hidden="1" x14ac:dyDescent="0.25">
      <c r="A3782" t="s">
        <v>31</v>
      </c>
      <c r="B3782" t="s">
        <v>104</v>
      </c>
      <c r="C3782" t="s">
        <v>32</v>
      </c>
      <c r="D3782" t="s">
        <v>27</v>
      </c>
      <c r="E3782" s="2">
        <v>46056</v>
      </c>
      <c r="F3782" s="2">
        <v>46056</v>
      </c>
      <c r="G3782" s="3">
        <v>64</v>
      </c>
      <c r="H3782" t="s">
        <v>28</v>
      </c>
      <c r="I3782">
        <v>50</v>
      </c>
      <c r="J3782">
        <v>0</v>
      </c>
      <c r="K3782">
        <v>0</v>
      </c>
      <c r="L3782" s="3">
        <v>1</v>
      </c>
      <c r="M3782" s="3">
        <v>0</v>
      </c>
      <c r="N3782">
        <v>0</v>
      </c>
      <c r="O3782">
        <v>0</v>
      </c>
      <c r="P3782">
        <v>0</v>
      </c>
      <c r="Q3782">
        <v>30</v>
      </c>
      <c r="R3782" s="3">
        <v>0</v>
      </c>
      <c r="S3782" s="3">
        <v>0</v>
      </c>
      <c r="T3782">
        <v>0</v>
      </c>
      <c r="U3782">
        <v>0</v>
      </c>
      <c r="V3782" s="3">
        <v>0</v>
      </c>
      <c r="W3782" s="3">
        <v>0</v>
      </c>
      <c r="X3782">
        <v>0</v>
      </c>
      <c r="Y3782" t="s">
        <v>2931</v>
      </c>
    </row>
    <row r="3783" spans="1:25" hidden="1" x14ac:dyDescent="0.25">
      <c r="A3783" t="s">
        <v>38</v>
      </c>
      <c r="B3783" t="s">
        <v>108</v>
      </c>
      <c r="C3783" t="s">
        <v>27</v>
      </c>
      <c r="D3783" t="s">
        <v>27</v>
      </c>
      <c r="E3783" s="2">
        <v>46056</v>
      </c>
      <c r="F3783" s="2">
        <v>46056</v>
      </c>
      <c r="G3783" s="3">
        <v>32</v>
      </c>
      <c r="H3783" t="s">
        <v>28</v>
      </c>
      <c r="I3783">
        <v>30</v>
      </c>
      <c r="J3783">
        <v>0</v>
      </c>
      <c r="K3783">
        <v>0</v>
      </c>
      <c r="L3783" s="3">
        <v>1</v>
      </c>
      <c r="M3783" s="3">
        <v>0</v>
      </c>
      <c r="N3783">
        <v>0</v>
      </c>
      <c r="O3783">
        <v>0</v>
      </c>
      <c r="P3783">
        <v>0</v>
      </c>
      <c r="Q3783">
        <v>30</v>
      </c>
      <c r="R3783" s="3">
        <v>0</v>
      </c>
      <c r="S3783" s="3">
        <v>0</v>
      </c>
      <c r="T3783">
        <v>0</v>
      </c>
      <c r="U3783">
        <v>0</v>
      </c>
      <c r="V3783" s="3">
        <v>0</v>
      </c>
      <c r="W3783" s="3">
        <v>0</v>
      </c>
      <c r="X3783">
        <v>0</v>
      </c>
      <c r="Y3783" t="s">
        <v>2932</v>
      </c>
    </row>
    <row r="3784" spans="1:25" hidden="1" x14ac:dyDescent="0.25">
      <c r="A3784" t="s">
        <v>2679</v>
      </c>
      <c r="B3784" t="s">
        <v>2680</v>
      </c>
      <c r="C3784" t="s">
        <v>39</v>
      </c>
      <c r="D3784" t="s">
        <v>27</v>
      </c>
      <c r="E3784" s="2">
        <v>46056</v>
      </c>
      <c r="F3784" s="2">
        <v>46056</v>
      </c>
      <c r="G3784" s="3">
        <v>43</v>
      </c>
      <c r="H3784" t="s">
        <v>28</v>
      </c>
      <c r="I3784">
        <v>38</v>
      </c>
      <c r="J3784">
        <v>0</v>
      </c>
      <c r="K3784">
        <v>0</v>
      </c>
      <c r="L3784" s="3">
        <v>1</v>
      </c>
      <c r="M3784" s="3">
        <v>0</v>
      </c>
      <c r="N3784">
        <v>0</v>
      </c>
      <c r="O3784">
        <v>0</v>
      </c>
      <c r="P3784">
        <v>38</v>
      </c>
      <c r="Q3784">
        <v>38</v>
      </c>
      <c r="R3784" s="3">
        <v>0</v>
      </c>
      <c r="S3784" s="3">
        <v>0</v>
      </c>
      <c r="T3784">
        <v>0</v>
      </c>
      <c r="U3784">
        <v>0</v>
      </c>
      <c r="V3784" s="3">
        <v>0</v>
      </c>
      <c r="W3784" s="3">
        <v>0</v>
      </c>
      <c r="X3784">
        <v>0</v>
      </c>
      <c r="Y3784" t="s">
        <v>2933</v>
      </c>
    </row>
    <row r="3785" spans="1:25" hidden="1" x14ac:dyDescent="0.25">
      <c r="A3785" t="s">
        <v>40</v>
      </c>
      <c r="B3785" t="s">
        <v>110</v>
      </c>
      <c r="C3785" t="s">
        <v>2534</v>
      </c>
      <c r="D3785" t="s">
        <v>27</v>
      </c>
      <c r="E3785" s="2">
        <v>46056</v>
      </c>
      <c r="F3785" s="2">
        <v>46056</v>
      </c>
      <c r="G3785" s="3">
        <v>39</v>
      </c>
      <c r="H3785" t="s">
        <v>28</v>
      </c>
      <c r="I3785">
        <v>90</v>
      </c>
      <c r="J3785">
        <v>0</v>
      </c>
      <c r="K3785">
        <v>0</v>
      </c>
      <c r="L3785" s="3">
        <v>1</v>
      </c>
      <c r="M3785" s="3">
        <v>0</v>
      </c>
      <c r="N3785">
        <v>1</v>
      </c>
      <c r="O3785">
        <v>0</v>
      </c>
      <c r="P3785">
        <v>0</v>
      </c>
      <c r="Q3785">
        <v>68</v>
      </c>
      <c r="R3785" s="3">
        <v>0</v>
      </c>
      <c r="S3785" s="3">
        <v>0</v>
      </c>
      <c r="T3785">
        <v>0</v>
      </c>
      <c r="U3785">
        <v>0</v>
      </c>
      <c r="V3785" s="3">
        <v>0</v>
      </c>
      <c r="W3785" s="3">
        <v>0</v>
      </c>
      <c r="X3785">
        <v>0</v>
      </c>
      <c r="Y3785" t="s">
        <v>2918</v>
      </c>
    </row>
    <row r="3786" spans="1:25" hidden="1" x14ac:dyDescent="0.25">
      <c r="A3786" t="s">
        <v>1316</v>
      </c>
      <c r="B3786" t="s">
        <v>1348</v>
      </c>
      <c r="C3786" t="s">
        <v>52</v>
      </c>
      <c r="D3786" t="s">
        <v>27</v>
      </c>
      <c r="E3786" s="2">
        <v>46056</v>
      </c>
      <c r="F3786" s="2">
        <v>46056</v>
      </c>
      <c r="G3786" s="3">
        <v>50</v>
      </c>
      <c r="H3786" t="s">
        <v>28</v>
      </c>
      <c r="I3786">
        <v>58</v>
      </c>
      <c r="J3786">
        <v>0</v>
      </c>
      <c r="K3786">
        <v>0</v>
      </c>
      <c r="L3786" s="3">
        <v>0</v>
      </c>
      <c r="M3786" s="3">
        <v>0</v>
      </c>
      <c r="N3786">
        <v>0</v>
      </c>
      <c r="O3786">
        <v>0</v>
      </c>
      <c r="P3786">
        <v>0</v>
      </c>
      <c r="Q3786">
        <v>0</v>
      </c>
      <c r="R3786" s="3">
        <v>0</v>
      </c>
      <c r="S3786" s="3">
        <v>0</v>
      </c>
      <c r="T3786">
        <v>0</v>
      </c>
      <c r="U3786">
        <v>0</v>
      </c>
      <c r="V3786" s="3">
        <v>0</v>
      </c>
      <c r="W3786" s="3">
        <v>0</v>
      </c>
      <c r="X3786">
        <v>0</v>
      </c>
      <c r="Y3786" t="s">
        <v>2934</v>
      </c>
    </row>
    <row r="3787" spans="1:25" hidden="1" x14ac:dyDescent="0.25">
      <c r="A3787" t="s">
        <v>41</v>
      </c>
      <c r="B3787" t="s">
        <v>112</v>
      </c>
      <c r="C3787" t="s">
        <v>42</v>
      </c>
      <c r="D3787" t="s">
        <v>27</v>
      </c>
      <c r="E3787" s="2">
        <v>46056</v>
      </c>
      <c r="F3787" s="2">
        <v>46056</v>
      </c>
      <c r="G3787" s="3">
        <v>30</v>
      </c>
      <c r="H3787" t="s">
        <v>28</v>
      </c>
      <c r="I3787">
        <v>40</v>
      </c>
      <c r="J3787">
        <v>1</v>
      </c>
      <c r="K3787">
        <v>0</v>
      </c>
      <c r="L3787" s="3">
        <v>1</v>
      </c>
      <c r="M3787" s="3">
        <v>0</v>
      </c>
      <c r="N3787">
        <v>0</v>
      </c>
      <c r="O3787">
        <v>0</v>
      </c>
      <c r="P3787">
        <v>0</v>
      </c>
      <c r="Q3787">
        <v>2</v>
      </c>
      <c r="R3787" s="3">
        <v>0</v>
      </c>
      <c r="S3787" s="3">
        <v>0</v>
      </c>
      <c r="T3787">
        <v>0</v>
      </c>
      <c r="U3787">
        <v>0</v>
      </c>
      <c r="V3787" s="3">
        <v>0</v>
      </c>
      <c r="W3787" s="3">
        <v>0</v>
      </c>
      <c r="X3787">
        <v>0</v>
      </c>
      <c r="Y3787" t="s">
        <v>2935</v>
      </c>
    </row>
    <row r="3788" spans="1:25" hidden="1" x14ac:dyDescent="0.25">
      <c r="A3788" t="s">
        <v>43</v>
      </c>
      <c r="B3788" t="s">
        <v>114</v>
      </c>
      <c r="C3788" t="s">
        <v>44</v>
      </c>
      <c r="D3788" t="s">
        <v>27</v>
      </c>
      <c r="E3788" s="2">
        <v>46056</v>
      </c>
      <c r="F3788" s="2">
        <v>46056</v>
      </c>
      <c r="G3788" s="3">
        <v>70</v>
      </c>
      <c r="H3788" t="s">
        <v>28</v>
      </c>
      <c r="I3788">
        <v>77</v>
      </c>
      <c r="J3788">
        <v>0</v>
      </c>
      <c r="K3788">
        <v>0</v>
      </c>
      <c r="L3788" s="3">
        <v>1</v>
      </c>
      <c r="M3788" s="3">
        <v>0</v>
      </c>
      <c r="N3788">
        <v>0</v>
      </c>
      <c r="O3788">
        <v>0</v>
      </c>
      <c r="P3788">
        <v>0</v>
      </c>
      <c r="Q3788">
        <v>0</v>
      </c>
      <c r="R3788" s="3">
        <v>0</v>
      </c>
      <c r="S3788" s="3">
        <v>0</v>
      </c>
      <c r="T3788">
        <v>0</v>
      </c>
      <c r="U3788">
        <v>0</v>
      </c>
      <c r="V3788" s="3">
        <v>0</v>
      </c>
      <c r="W3788" s="3">
        <v>0</v>
      </c>
      <c r="X3788">
        <v>0</v>
      </c>
      <c r="Y3788" t="s">
        <v>2936</v>
      </c>
    </row>
    <row r="3789" spans="1:25" hidden="1" x14ac:dyDescent="0.25">
      <c r="A3789" t="s">
        <v>45</v>
      </c>
      <c r="B3789" t="s">
        <v>116</v>
      </c>
      <c r="C3789" t="s">
        <v>2835</v>
      </c>
      <c r="D3789" t="s">
        <v>27</v>
      </c>
      <c r="E3789" s="2">
        <v>46056</v>
      </c>
      <c r="F3789" s="2">
        <v>46056</v>
      </c>
      <c r="G3789" s="3">
        <v>77</v>
      </c>
      <c r="H3789" t="s">
        <v>28</v>
      </c>
      <c r="I3789">
        <v>34</v>
      </c>
      <c r="J3789">
        <v>5</v>
      </c>
      <c r="K3789">
        <v>0</v>
      </c>
      <c r="L3789" s="3">
        <v>1</v>
      </c>
      <c r="M3789" s="3">
        <v>0</v>
      </c>
      <c r="N3789">
        <v>0</v>
      </c>
      <c r="O3789">
        <v>0</v>
      </c>
      <c r="P3789">
        <v>0</v>
      </c>
      <c r="Q3789">
        <v>4</v>
      </c>
      <c r="R3789" s="3">
        <v>0</v>
      </c>
      <c r="S3789" s="3">
        <v>0</v>
      </c>
      <c r="T3789">
        <v>0</v>
      </c>
      <c r="U3789">
        <v>0</v>
      </c>
      <c r="V3789" s="3">
        <v>0</v>
      </c>
      <c r="W3789" s="3">
        <v>0</v>
      </c>
      <c r="X3789">
        <v>1</v>
      </c>
      <c r="Y3789" t="s">
        <v>2937</v>
      </c>
    </row>
    <row r="3790" spans="1:25" hidden="1" x14ac:dyDescent="0.25">
      <c r="A3790" t="s">
        <v>47</v>
      </c>
      <c r="B3790" t="s">
        <v>137</v>
      </c>
      <c r="C3790" t="s">
        <v>2310</v>
      </c>
      <c r="D3790" t="s">
        <v>27</v>
      </c>
      <c r="E3790" s="2">
        <v>46056</v>
      </c>
      <c r="F3790" s="2">
        <v>46056</v>
      </c>
      <c r="G3790" s="3">
        <v>583</v>
      </c>
      <c r="H3790" t="s">
        <v>28</v>
      </c>
      <c r="I3790">
        <v>57</v>
      </c>
      <c r="J3790">
        <v>0</v>
      </c>
      <c r="K3790">
        <v>0</v>
      </c>
      <c r="L3790" s="3">
        <v>1</v>
      </c>
      <c r="M3790" s="3">
        <v>0</v>
      </c>
      <c r="N3790">
        <v>0</v>
      </c>
      <c r="O3790">
        <v>0</v>
      </c>
      <c r="P3790">
        <v>0</v>
      </c>
      <c r="Q3790">
        <v>10</v>
      </c>
      <c r="R3790" s="3">
        <v>0</v>
      </c>
      <c r="S3790" s="3">
        <v>0</v>
      </c>
      <c r="T3790">
        <v>0</v>
      </c>
      <c r="U3790">
        <v>0</v>
      </c>
      <c r="V3790" s="3">
        <v>0</v>
      </c>
      <c r="W3790" s="3">
        <v>0</v>
      </c>
      <c r="X3790">
        <v>0</v>
      </c>
      <c r="Y3790" t="s">
        <v>2938</v>
      </c>
    </row>
    <row r="3791" spans="1:25" hidden="1" x14ac:dyDescent="0.25">
      <c r="A3791" t="s">
        <v>49</v>
      </c>
      <c r="B3791" t="s">
        <v>118</v>
      </c>
      <c r="C3791" t="s">
        <v>50</v>
      </c>
      <c r="D3791" t="s">
        <v>27</v>
      </c>
      <c r="E3791" s="2">
        <v>46056</v>
      </c>
      <c r="F3791" s="2">
        <v>46056</v>
      </c>
      <c r="G3791" s="3">
        <v>45</v>
      </c>
      <c r="H3791" t="s">
        <v>28</v>
      </c>
      <c r="I3791">
        <v>65</v>
      </c>
      <c r="J3791">
        <v>0</v>
      </c>
      <c r="K3791">
        <v>0</v>
      </c>
      <c r="L3791" s="3">
        <v>1</v>
      </c>
      <c r="M3791" s="3">
        <v>1</v>
      </c>
      <c r="N3791">
        <v>0</v>
      </c>
      <c r="O3791">
        <v>1</v>
      </c>
      <c r="P3791">
        <v>0</v>
      </c>
      <c r="Q3791">
        <v>65</v>
      </c>
      <c r="R3791" s="3">
        <v>0</v>
      </c>
      <c r="S3791" s="3">
        <v>0</v>
      </c>
      <c r="T3791">
        <v>0</v>
      </c>
      <c r="U3791">
        <v>0</v>
      </c>
      <c r="V3791" s="3">
        <v>0</v>
      </c>
      <c r="W3791" s="3">
        <v>0</v>
      </c>
      <c r="X3791">
        <v>0</v>
      </c>
      <c r="Y3791" t="s">
        <v>2939</v>
      </c>
    </row>
    <row r="3792" spans="1:25" hidden="1" x14ac:dyDescent="0.25">
      <c r="A3792" t="s">
        <v>48</v>
      </c>
      <c r="B3792" t="s">
        <v>149</v>
      </c>
      <c r="C3792" t="s">
        <v>37</v>
      </c>
      <c r="D3792" t="s">
        <v>27</v>
      </c>
      <c r="E3792" s="2">
        <v>46056</v>
      </c>
      <c r="F3792" s="2">
        <v>46056</v>
      </c>
      <c r="G3792" s="3">
        <v>28</v>
      </c>
      <c r="H3792" t="s">
        <v>28</v>
      </c>
      <c r="I3792">
        <v>24</v>
      </c>
      <c r="J3792">
        <v>0</v>
      </c>
      <c r="K3792">
        <v>0</v>
      </c>
      <c r="L3792" s="3">
        <v>1</v>
      </c>
      <c r="M3792" s="3">
        <v>0</v>
      </c>
      <c r="N3792">
        <v>0</v>
      </c>
      <c r="O3792">
        <v>0</v>
      </c>
      <c r="P3792">
        <v>0</v>
      </c>
      <c r="Q3792">
        <v>0</v>
      </c>
      <c r="R3792" s="3">
        <v>0</v>
      </c>
      <c r="S3792" s="3">
        <v>0</v>
      </c>
      <c r="T3792">
        <v>0</v>
      </c>
      <c r="U3792">
        <v>0</v>
      </c>
      <c r="V3792" s="3">
        <v>0</v>
      </c>
      <c r="W3792" s="3">
        <v>0</v>
      </c>
      <c r="X3792">
        <v>0</v>
      </c>
      <c r="Y3792" t="s">
        <v>2940</v>
      </c>
    </row>
    <row r="3793" spans="1:25" hidden="1" x14ac:dyDescent="0.25">
      <c r="A3793" t="s">
        <v>58</v>
      </c>
      <c r="B3793" t="s">
        <v>144</v>
      </c>
      <c r="C3793" t="s">
        <v>2514</v>
      </c>
      <c r="D3793" t="s">
        <v>27</v>
      </c>
      <c r="E3793" s="2">
        <v>46056</v>
      </c>
      <c r="F3793" s="2">
        <v>46056</v>
      </c>
      <c r="G3793" s="3">
        <v>69</v>
      </c>
      <c r="H3793" t="s">
        <v>28</v>
      </c>
      <c r="I3793">
        <v>14</v>
      </c>
      <c r="J3793">
        <v>0</v>
      </c>
      <c r="K3793">
        <v>0</v>
      </c>
      <c r="L3793" s="3">
        <v>1</v>
      </c>
      <c r="M3793" s="3">
        <v>0</v>
      </c>
      <c r="N3793">
        <v>0</v>
      </c>
      <c r="O3793">
        <v>0</v>
      </c>
      <c r="P3793">
        <v>0</v>
      </c>
      <c r="Q3793">
        <v>12</v>
      </c>
      <c r="R3793" s="3">
        <v>0</v>
      </c>
      <c r="S3793" s="3">
        <v>0</v>
      </c>
      <c r="T3793">
        <v>0</v>
      </c>
      <c r="U3793">
        <v>0</v>
      </c>
      <c r="V3793" s="3">
        <v>0</v>
      </c>
      <c r="W3793" s="3">
        <v>0</v>
      </c>
      <c r="X3793">
        <v>0</v>
      </c>
      <c r="Y3793" t="s">
        <v>2941</v>
      </c>
    </row>
    <row r="3794" spans="1:25" hidden="1" x14ac:dyDescent="0.25">
      <c r="A3794" t="s">
        <v>36</v>
      </c>
      <c r="B3794" t="s">
        <v>106</v>
      </c>
      <c r="C3794" t="s">
        <v>27</v>
      </c>
      <c r="D3794" t="s">
        <v>27</v>
      </c>
      <c r="E3794" s="2">
        <v>46056</v>
      </c>
      <c r="F3794" s="2">
        <v>46056</v>
      </c>
      <c r="G3794" s="3">
        <v>70</v>
      </c>
      <c r="H3794" t="s">
        <v>1153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2941</v>
      </c>
    </row>
    <row r="3795" spans="1:25" hidden="1" x14ac:dyDescent="0.25">
      <c r="A3795" t="s">
        <v>27</v>
      </c>
      <c r="B3795" t="s">
        <v>182</v>
      </c>
      <c r="C3795" t="s">
        <v>57</v>
      </c>
      <c r="D3795" t="s">
        <v>27</v>
      </c>
      <c r="E3795" s="2">
        <v>46056</v>
      </c>
      <c r="F3795" s="2">
        <v>46056</v>
      </c>
      <c r="G3795" s="3">
        <v>71</v>
      </c>
      <c r="H3795" t="s">
        <v>1153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2941</v>
      </c>
    </row>
    <row r="3796" spans="1:25" hidden="1" x14ac:dyDescent="0.25">
      <c r="A3796" t="s">
        <v>51</v>
      </c>
      <c r="B3796" t="s">
        <v>184</v>
      </c>
      <c r="C3796" t="s">
        <v>27</v>
      </c>
      <c r="D3796" t="s">
        <v>27</v>
      </c>
      <c r="E3796" s="2">
        <v>46056</v>
      </c>
      <c r="F3796" s="2">
        <v>46056</v>
      </c>
      <c r="G3796" s="3">
        <v>72</v>
      </c>
      <c r="H3796" t="s">
        <v>1153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2941</v>
      </c>
    </row>
    <row r="3797" spans="1:25" hidden="1" x14ac:dyDescent="0.25">
      <c r="A3797" t="s">
        <v>27</v>
      </c>
      <c r="B3797" t="s">
        <v>186</v>
      </c>
      <c r="C3797" t="s">
        <v>2379</v>
      </c>
      <c r="D3797" t="s">
        <v>27</v>
      </c>
      <c r="E3797" s="2">
        <v>46056</v>
      </c>
      <c r="F3797" s="2">
        <v>46056</v>
      </c>
      <c r="G3797" s="3">
        <v>73</v>
      </c>
      <c r="H3797" t="s">
        <v>1153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2941</v>
      </c>
    </row>
    <row r="3798" spans="1:25" hidden="1" x14ac:dyDescent="0.25">
      <c r="A3798" t="s">
        <v>438</v>
      </c>
      <c r="B3798" t="s">
        <v>798</v>
      </c>
      <c r="C3798" t="s">
        <v>27</v>
      </c>
      <c r="D3798" t="s">
        <v>27</v>
      </c>
      <c r="E3798" s="2">
        <v>46056</v>
      </c>
      <c r="F3798" s="2">
        <v>46056</v>
      </c>
      <c r="G3798" s="3">
        <v>33</v>
      </c>
      <c r="H3798" t="s">
        <v>1975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2803</v>
      </c>
    </row>
    <row r="3799" spans="1:25" hidden="1" x14ac:dyDescent="0.25">
      <c r="A3799" t="s">
        <v>454</v>
      </c>
      <c r="B3799" t="s">
        <v>106</v>
      </c>
      <c r="C3799" t="s">
        <v>27</v>
      </c>
      <c r="D3799" t="s">
        <v>27</v>
      </c>
      <c r="E3799" s="2">
        <v>46056</v>
      </c>
      <c r="F3799" s="2">
        <v>46056</v>
      </c>
      <c r="G3799" s="3">
        <v>72</v>
      </c>
      <c r="H3799" t="s">
        <v>763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2841</v>
      </c>
    </row>
    <row r="3800" spans="1:25" hidden="1" x14ac:dyDescent="0.25">
      <c r="A3800" t="s">
        <v>54</v>
      </c>
      <c r="B3800" t="s">
        <v>182</v>
      </c>
      <c r="C3800" t="s">
        <v>27</v>
      </c>
      <c r="D3800" t="s">
        <v>27</v>
      </c>
      <c r="E3800" s="2">
        <v>46056</v>
      </c>
      <c r="F3800" s="2">
        <v>46056</v>
      </c>
      <c r="G3800" s="3">
        <v>73</v>
      </c>
      <c r="H3800" t="s">
        <v>763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2841</v>
      </c>
    </row>
    <row r="3801" spans="1:25" hidden="1" x14ac:dyDescent="0.25">
      <c r="A3801" t="s">
        <v>27</v>
      </c>
      <c r="B3801" t="s">
        <v>184</v>
      </c>
      <c r="C3801" t="s">
        <v>35</v>
      </c>
      <c r="D3801" t="s">
        <v>27</v>
      </c>
      <c r="E3801" s="2">
        <v>46056</v>
      </c>
      <c r="F3801" s="2">
        <v>46056</v>
      </c>
      <c r="G3801" s="3">
        <v>74</v>
      </c>
      <c r="H3801" t="s">
        <v>763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2841</v>
      </c>
    </row>
    <row r="3802" spans="1:25" hidden="1" x14ac:dyDescent="0.25">
      <c r="A3802" t="s">
        <v>27</v>
      </c>
      <c r="B3802" t="s">
        <v>186</v>
      </c>
      <c r="C3802" t="s">
        <v>46</v>
      </c>
      <c r="D3802" t="s">
        <v>27</v>
      </c>
      <c r="E3802" s="2">
        <v>46056</v>
      </c>
      <c r="F3802" s="2">
        <v>46056</v>
      </c>
      <c r="G3802" s="3">
        <v>75</v>
      </c>
      <c r="H3802" t="s">
        <v>763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2841</v>
      </c>
    </row>
    <row r="3803" spans="1:25" hidden="1" x14ac:dyDescent="0.25">
      <c r="A3803" t="s">
        <v>27</v>
      </c>
      <c r="B3803" t="s">
        <v>188</v>
      </c>
      <c r="C3803" t="s">
        <v>55</v>
      </c>
      <c r="D3803" t="s">
        <v>27</v>
      </c>
      <c r="E3803" s="2">
        <v>46056</v>
      </c>
      <c r="F3803" s="2">
        <v>46056</v>
      </c>
      <c r="G3803" s="3">
        <v>76</v>
      </c>
      <c r="H3803" t="s">
        <v>763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2841</v>
      </c>
    </row>
    <row r="3804" spans="1:25" hidden="1" x14ac:dyDescent="0.25">
      <c r="A3804" t="s">
        <v>25</v>
      </c>
      <c r="B3804" t="s">
        <v>96</v>
      </c>
      <c r="C3804" t="s">
        <v>26</v>
      </c>
      <c r="D3804" t="s">
        <v>27</v>
      </c>
      <c r="E3804" s="2">
        <v>46057</v>
      </c>
      <c r="F3804" s="2">
        <v>46057</v>
      </c>
      <c r="G3804" s="3">
        <v>64</v>
      </c>
      <c r="H3804" t="s">
        <v>28</v>
      </c>
      <c r="I3804">
        <v>55</v>
      </c>
      <c r="J3804">
        <v>0</v>
      </c>
      <c r="K3804">
        <v>0</v>
      </c>
      <c r="L3804" s="3">
        <v>1</v>
      </c>
      <c r="M3804" s="3">
        <v>0</v>
      </c>
      <c r="N3804">
        <v>1</v>
      </c>
      <c r="O3804">
        <v>0</v>
      </c>
      <c r="P3804">
        <v>0</v>
      </c>
      <c r="Q3804">
        <v>0</v>
      </c>
      <c r="R3804" s="3">
        <v>0</v>
      </c>
      <c r="S3804" s="3">
        <v>0</v>
      </c>
      <c r="T3804">
        <v>0</v>
      </c>
      <c r="U3804">
        <v>0</v>
      </c>
      <c r="V3804" s="3">
        <v>0</v>
      </c>
      <c r="W3804" s="3">
        <v>0</v>
      </c>
      <c r="X3804">
        <v>0</v>
      </c>
      <c r="Y3804" t="s">
        <v>2942</v>
      </c>
    </row>
    <row r="3805" spans="1:25" hidden="1" x14ac:dyDescent="0.25">
      <c r="A3805" t="s">
        <v>29</v>
      </c>
      <c r="B3805" t="s">
        <v>100</v>
      </c>
      <c r="C3805" t="s">
        <v>95</v>
      </c>
      <c r="D3805" t="s">
        <v>27</v>
      </c>
      <c r="E3805" s="2">
        <v>46057</v>
      </c>
      <c r="F3805" s="2">
        <v>46057</v>
      </c>
      <c r="G3805" s="3">
        <v>32</v>
      </c>
      <c r="H3805" t="s">
        <v>28</v>
      </c>
      <c r="I3805">
        <v>44</v>
      </c>
      <c r="J3805">
        <v>0</v>
      </c>
      <c r="K3805">
        <v>0</v>
      </c>
      <c r="L3805" s="3">
        <v>1</v>
      </c>
      <c r="M3805" s="3">
        <v>0</v>
      </c>
      <c r="N3805">
        <v>0</v>
      </c>
      <c r="O3805">
        <v>0</v>
      </c>
      <c r="P3805">
        <v>10</v>
      </c>
      <c r="Q3805">
        <v>5</v>
      </c>
      <c r="R3805" s="3">
        <v>0</v>
      </c>
      <c r="S3805" s="3">
        <v>0</v>
      </c>
      <c r="T3805">
        <v>0</v>
      </c>
      <c r="U3805">
        <v>0</v>
      </c>
      <c r="V3805" s="3">
        <v>0</v>
      </c>
      <c r="W3805" s="3">
        <v>0</v>
      </c>
      <c r="X3805">
        <v>0</v>
      </c>
      <c r="Y3805" t="s">
        <v>2943</v>
      </c>
    </row>
    <row r="3806" spans="1:25" hidden="1" x14ac:dyDescent="0.25">
      <c r="A3806" t="s">
        <v>344</v>
      </c>
      <c r="B3806" t="s">
        <v>102</v>
      </c>
      <c r="C3806" t="s">
        <v>2271</v>
      </c>
      <c r="D3806" t="s">
        <v>27</v>
      </c>
      <c r="E3806" s="2">
        <v>46057</v>
      </c>
      <c r="F3806" s="2">
        <v>46057</v>
      </c>
      <c r="G3806" s="3">
        <v>74</v>
      </c>
      <c r="H3806" t="s">
        <v>28</v>
      </c>
      <c r="I3806">
        <v>41</v>
      </c>
      <c r="J3806">
        <v>58</v>
      </c>
      <c r="K3806">
        <v>0</v>
      </c>
      <c r="L3806" s="3">
        <v>1</v>
      </c>
      <c r="M3806" s="3">
        <v>0</v>
      </c>
      <c r="N3806">
        <v>0</v>
      </c>
      <c r="O3806">
        <v>0</v>
      </c>
      <c r="P3806">
        <v>0</v>
      </c>
      <c r="Q3806">
        <v>0</v>
      </c>
      <c r="R3806" s="3">
        <v>0</v>
      </c>
      <c r="S3806" s="3">
        <v>0</v>
      </c>
      <c r="T3806">
        <v>0</v>
      </c>
      <c r="U3806">
        <v>0</v>
      </c>
      <c r="V3806" s="3">
        <v>0</v>
      </c>
      <c r="W3806" s="3">
        <v>0</v>
      </c>
      <c r="X3806">
        <v>1</v>
      </c>
      <c r="Y3806" t="s">
        <v>2891</v>
      </c>
    </row>
    <row r="3807" spans="1:25" hidden="1" x14ac:dyDescent="0.25">
      <c r="A3807" t="s">
        <v>31</v>
      </c>
      <c r="B3807" t="s">
        <v>104</v>
      </c>
      <c r="C3807" t="s">
        <v>32</v>
      </c>
      <c r="D3807" t="s">
        <v>27</v>
      </c>
      <c r="E3807" s="2">
        <v>46057</v>
      </c>
      <c r="F3807" s="2">
        <v>46057</v>
      </c>
      <c r="G3807" s="3">
        <v>38</v>
      </c>
      <c r="H3807" t="s">
        <v>28</v>
      </c>
      <c r="I3807">
        <v>80</v>
      </c>
      <c r="J3807">
        <v>0</v>
      </c>
      <c r="K3807">
        <v>0</v>
      </c>
      <c r="L3807" s="3">
        <v>1</v>
      </c>
      <c r="M3807" s="3">
        <v>0</v>
      </c>
      <c r="N3807">
        <v>0</v>
      </c>
      <c r="O3807">
        <v>0</v>
      </c>
      <c r="P3807">
        <v>0</v>
      </c>
      <c r="Q3807">
        <v>30</v>
      </c>
      <c r="R3807" s="3">
        <v>0</v>
      </c>
      <c r="S3807" s="3">
        <v>0</v>
      </c>
      <c r="T3807">
        <v>0</v>
      </c>
      <c r="U3807">
        <v>0</v>
      </c>
      <c r="V3807" s="3">
        <v>0</v>
      </c>
      <c r="W3807" s="3">
        <v>0</v>
      </c>
      <c r="X3807">
        <v>0</v>
      </c>
      <c r="Y3807" t="s">
        <v>2944</v>
      </c>
    </row>
    <row r="3808" spans="1:25" hidden="1" x14ac:dyDescent="0.25">
      <c r="A3808" t="s">
        <v>36</v>
      </c>
      <c r="B3808" t="s">
        <v>249</v>
      </c>
      <c r="C3808" t="s">
        <v>57</v>
      </c>
      <c r="D3808" t="s">
        <v>27</v>
      </c>
      <c r="E3808" s="2">
        <v>46057</v>
      </c>
      <c r="F3808" s="2">
        <v>46057</v>
      </c>
      <c r="G3808" s="3">
        <v>53</v>
      </c>
      <c r="H3808" t="s">
        <v>28</v>
      </c>
      <c r="I3808">
        <v>53</v>
      </c>
      <c r="J3808">
        <v>0</v>
      </c>
      <c r="K3808">
        <v>0</v>
      </c>
      <c r="L3808" s="3">
        <v>0</v>
      </c>
      <c r="M3808" s="3">
        <v>0</v>
      </c>
      <c r="N3808">
        <v>0</v>
      </c>
      <c r="O3808">
        <v>0</v>
      </c>
      <c r="P3808">
        <v>0</v>
      </c>
      <c r="Q3808">
        <v>0</v>
      </c>
      <c r="R3808" s="3">
        <v>0</v>
      </c>
      <c r="S3808" s="3">
        <v>0</v>
      </c>
      <c r="T3808">
        <v>0</v>
      </c>
      <c r="U3808">
        <v>0</v>
      </c>
      <c r="V3808" s="3">
        <v>0</v>
      </c>
      <c r="W3808" s="3">
        <v>0</v>
      </c>
      <c r="X3808">
        <v>0</v>
      </c>
      <c r="Y3808" t="s">
        <v>2945</v>
      </c>
    </row>
    <row r="3809" spans="1:25" hidden="1" x14ac:dyDescent="0.25">
      <c r="A3809" t="s">
        <v>38</v>
      </c>
      <c r="B3809" t="s">
        <v>108</v>
      </c>
      <c r="C3809" t="s">
        <v>27</v>
      </c>
      <c r="D3809" t="s">
        <v>27</v>
      </c>
      <c r="E3809" s="2">
        <v>46057</v>
      </c>
      <c r="F3809" s="2">
        <v>46057</v>
      </c>
      <c r="G3809" s="3">
        <v>103</v>
      </c>
      <c r="H3809" t="s">
        <v>28</v>
      </c>
      <c r="I3809">
        <v>46</v>
      </c>
      <c r="J3809">
        <v>0</v>
      </c>
      <c r="K3809">
        <v>0</v>
      </c>
      <c r="L3809" s="3">
        <v>1</v>
      </c>
      <c r="M3809" s="3">
        <v>0</v>
      </c>
      <c r="N3809">
        <v>0</v>
      </c>
      <c r="O3809">
        <v>0</v>
      </c>
      <c r="P3809">
        <v>0</v>
      </c>
      <c r="Q3809">
        <v>46</v>
      </c>
      <c r="R3809" s="3">
        <v>0</v>
      </c>
      <c r="S3809" s="3">
        <v>0</v>
      </c>
      <c r="T3809">
        <v>0</v>
      </c>
      <c r="U3809">
        <v>0</v>
      </c>
      <c r="V3809" s="3">
        <v>0</v>
      </c>
      <c r="W3809" s="3">
        <v>0</v>
      </c>
      <c r="X3809">
        <v>0</v>
      </c>
      <c r="Y3809" t="s">
        <v>2946</v>
      </c>
    </row>
    <row r="3810" spans="1:25" hidden="1" x14ac:dyDescent="0.25">
      <c r="A3810" t="s">
        <v>2679</v>
      </c>
      <c r="B3810" t="s">
        <v>2680</v>
      </c>
      <c r="C3810" t="s">
        <v>39</v>
      </c>
      <c r="D3810" t="s">
        <v>27</v>
      </c>
      <c r="E3810" s="2">
        <v>46057</v>
      </c>
      <c r="F3810" s="2">
        <v>46057</v>
      </c>
      <c r="G3810" s="3">
        <v>42</v>
      </c>
      <c r="H3810" t="s">
        <v>28</v>
      </c>
      <c r="I3810">
        <v>69</v>
      </c>
      <c r="J3810">
        <v>0</v>
      </c>
      <c r="K3810">
        <v>0</v>
      </c>
      <c r="L3810" s="3">
        <v>1</v>
      </c>
      <c r="M3810" s="3">
        <v>0</v>
      </c>
      <c r="N3810">
        <v>0</v>
      </c>
      <c r="O3810">
        <v>0</v>
      </c>
      <c r="P3810">
        <v>69</v>
      </c>
      <c r="Q3810">
        <v>69</v>
      </c>
      <c r="R3810" s="3">
        <v>0</v>
      </c>
      <c r="S3810" s="3">
        <v>0</v>
      </c>
      <c r="T3810">
        <v>0</v>
      </c>
      <c r="U3810">
        <v>0</v>
      </c>
      <c r="V3810" s="3">
        <v>0</v>
      </c>
      <c r="W3810" s="3">
        <v>0</v>
      </c>
      <c r="X3810">
        <v>1</v>
      </c>
      <c r="Y3810" t="s">
        <v>2947</v>
      </c>
    </row>
    <row r="3811" spans="1:25" hidden="1" x14ac:dyDescent="0.25">
      <c r="A3811" t="s">
        <v>40</v>
      </c>
      <c r="B3811" t="s">
        <v>110</v>
      </c>
      <c r="C3811" t="s">
        <v>2534</v>
      </c>
      <c r="D3811" t="s">
        <v>27</v>
      </c>
      <c r="E3811" s="2">
        <v>46057</v>
      </c>
      <c r="F3811" s="2">
        <v>46057</v>
      </c>
      <c r="G3811" s="3">
        <v>168</v>
      </c>
      <c r="H3811" t="s">
        <v>28</v>
      </c>
      <c r="I3811">
        <v>121</v>
      </c>
      <c r="J3811">
        <v>0</v>
      </c>
      <c r="K3811">
        <v>0</v>
      </c>
      <c r="L3811" s="3">
        <v>1</v>
      </c>
      <c r="M3811" s="3">
        <v>0</v>
      </c>
      <c r="N3811">
        <v>1</v>
      </c>
      <c r="O3811">
        <v>0</v>
      </c>
      <c r="P3811">
        <v>0</v>
      </c>
      <c r="Q3811">
        <v>68</v>
      </c>
      <c r="R3811" s="3">
        <v>0</v>
      </c>
      <c r="S3811" s="3">
        <v>0</v>
      </c>
      <c r="T3811">
        <v>0</v>
      </c>
      <c r="U3811">
        <v>0</v>
      </c>
      <c r="V3811" s="3">
        <v>0</v>
      </c>
      <c r="W3811" s="3">
        <v>0</v>
      </c>
      <c r="X3811">
        <v>0</v>
      </c>
      <c r="Y3811" t="s">
        <v>2948</v>
      </c>
    </row>
    <row r="3812" spans="1:25" hidden="1" x14ac:dyDescent="0.25">
      <c r="A3812" t="s">
        <v>1316</v>
      </c>
      <c r="B3812" t="s">
        <v>1348</v>
      </c>
      <c r="C3812" t="s">
        <v>52</v>
      </c>
      <c r="D3812" t="s">
        <v>27</v>
      </c>
      <c r="E3812" s="2">
        <v>46057</v>
      </c>
      <c r="F3812" s="2">
        <v>46057</v>
      </c>
      <c r="G3812" s="3">
        <v>52</v>
      </c>
      <c r="H3812" t="s">
        <v>28</v>
      </c>
      <c r="I3812">
        <v>38</v>
      </c>
      <c r="J3812">
        <v>0</v>
      </c>
      <c r="K3812">
        <v>0</v>
      </c>
      <c r="L3812" s="3">
        <v>0</v>
      </c>
      <c r="M3812" s="3">
        <v>0</v>
      </c>
      <c r="N3812">
        <v>0</v>
      </c>
      <c r="O3812">
        <v>0</v>
      </c>
      <c r="P3812">
        <v>0</v>
      </c>
      <c r="Q3812">
        <v>0</v>
      </c>
      <c r="R3812" s="3">
        <v>0</v>
      </c>
      <c r="S3812" s="3">
        <v>0</v>
      </c>
      <c r="T3812">
        <v>0</v>
      </c>
      <c r="U3812">
        <v>0</v>
      </c>
      <c r="V3812" s="3">
        <v>0</v>
      </c>
      <c r="W3812" s="3">
        <v>0</v>
      </c>
      <c r="X3812">
        <v>0</v>
      </c>
      <c r="Y3812" t="s">
        <v>2949</v>
      </c>
    </row>
    <row r="3813" spans="1:25" hidden="1" x14ac:dyDescent="0.25">
      <c r="A3813" t="s">
        <v>41</v>
      </c>
      <c r="B3813" t="s">
        <v>112</v>
      </c>
      <c r="C3813" t="s">
        <v>42</v>
      </c>
      <c r="D3813" t="s">
        <v>27</v>
      </c>
      <c r="E3813" s="2">
        <v>46057</v>
      </c>
      <c r="F3813" s="2">
        <v>46057</v>
      </c>
      <c r="G3813" s="3">
        <v>53</v>
      </c>
      <c r="H3813" t="s">
        <v>28</v>
      </c>
      <c r="I3813">
        <v>40</v>
      </c>
      <c r="J3813">
        <v>0</v>
      </c>
      <c r="K3813">
        <v>0</v>
      </c>
      <c r="L3813" s="3">
        <v>1</v>
      </c>
      <c r="M3813" s="3">
        <v>0</v>
      </c>
      <c r="N3813">
        <v>0</v>
      </c>
      <c r="O3813">
        <v>0</v>
      </c>
      <c r="P3813">
        <v>0</v>
      </c>
      <c r="Q3813">
        <v>0</v>
      </c>
      <c r="R3813" s="3">
        <v>0</v>
      </c>
      <c r="S3813" s="3">
        <v>0</v>
      </c>
      <c r="T3813">
        <v>0</v>
      </c>
      <c r="U3813">
        <v>0</v>
      </c>
      <c r="V3813" s="3">
        <v>0</v>
      </c>
      <c r="W3813" s="3">
        <v>0</v>
      </c>
      <c r="X3813">
        <v>0</v>
      </c>
      <c r="Y3813" t="s">
        <v>2950</v>
      </c>
    </row>
    <row r="3814" spans="1:25" hidden="1" x14ac:dyDescent="0.25">
      <c r="A3814" t="s">
        <v>43</v>
      </c>
      <c r="B3814" t="s">
        <v>114</v>
      </c>
      <c r="C3814" t="s">
        <v>44</v>
      </c>
      <c r="D3814" t="s">
        <v>27</v>
      </c>
      <c r="E3814" s="2">
        <v>46057</v>
      </c>
      <c r="F3814" s="2">
        <v>46057</v>
      </c>
      <c r="G3814" s="3">
        <v>39</v>
      </c>
      <c r="H3814" t="s">
        <v>28</v>
      </c>
      <c r="I3814">
        <v>41</v>
      </c>
      <c r="J3814">
        <v>0</v>
      </c>
      <c r="K3814">
        <v>0</v>
      </c>
      <c r="L3814" s="3">
        <v>1</v>
      </c>
      <c r="M3814" s="3">
        <v>0</v>
      </c>
      <c r="N3814">
        <v>0</v>
      </c>
      <c r="O3814">
        <v>0</v>
      </c>
      <c r="P3814">
        <v>0</v>
      </c>
      <c r="Q3814">
        <v>4</v>
      </c>
      <c r="R3814" s="3">
        <v>0</v>
      </c>
      <c r="S3814" s="3">
        <v>0</v>
      </c>
      <c r="T3814">
        <v>0</v>
      </c>
      <c r="U3814">
        <v>0</v>
      </c>
      <c r="V3814" s="3">
        <v>0</v>
      </c>
      <c r="W3814" s="3">
        <v>0</v>
      </c>
      <c r="X3814">
        <v>0</v>
      </c>
      <c r="Y3814" t="s">
        <v>2951</v>
      </c>
    </row>
    <row r="3815" spans="1:25" hidden="1" x14ac:dyDescent="0.25">
      <c r="A3815" t="s">
        <v>2118</v>
      </c>
      <c r="B3815" t="s">
        <v>2119</v>
      </c>
      <c r="C3815" t="s">
        <v>27</v>
      </c>
      <c r="D3815" t="s">
        <v>27</v>
      </c>
      <c r="E3815" s="2">
        <v>46057</v>
      </c>
      <c r="F3815" s="2">
        <v>46057</v>
      </c>
      <c r="G3815" s="3">
        <v>40</v>
      </c>
      <c r="H3815" t="s">
        <v>28</v>
      </c>
      <c r="I3815">
        <v>64</v>
      </c>
      <c r="J3815">
        <v>0</v>
      </c>
      <c r="K3815">
        <v>0</v>
      </c>
      <c r="L3815" s="3">
        <v>1</v>
      </c>
      <c r="M3815" s="3">
        <v>0</v>
      </c>
      <c r="N3815">
        <v>0</v>
      </c>
      <c r="O3815">
        <v>0</v>
      </c>
      <c r="P3815">
        <v>0</v>
      </c>
      <c r="Q3815">
        <v>64</v>
      </c>
      <c r="R3815" s="3">
        <v>0</v>
      </c>
      <c r="S3815" s="3">
        <v>0</v>
      </c>
      <c r="T3815">
        <v>0</v>
      </c>
      <c r="U3815">
        <v>0</v>
      </c>
      <c r="V3815" s="3">
        <v>0</v>
      </c>
      <c r="W3815" s="3">
        <v>0</v>
      </c>
      <c r="X3815">
        <v>0</v>
      </c>
      <c r="Y3815" t="s">
        <v>2952</v>
      </c>
    </row>
    <row r="3816" spans="1:25" hidden="1" x14ac:dyDescent="0.25">
      <c r="A3816" t="s">
        <v>45</v>
      </c>
      <c r="B3816" t="s">
        <v>116</v>
      </c>
      <c r="C3816" t="s">
        <v>2835</v>
      </c>
      <c r="D3816" t="s">
        <v>27</v>
      </c>
      <c r="E3816" s="2">
        <v>46057</v>
      </c>
      <c r="F3816" s="2">
        <v>46057</v>
      </c>
      <c r="G3816" s="3">
        <v>47</v>
      </c>
      <c r="H3816" t="s">
        <v>28</v>
      </c>
      <c r="I3816">
        <v>69</v>
      </c>
      <c r="J3816">
        <v>0</v>
      </c>
      <c r="K3816">
        <v>0</v>
      </c>
      <c r="L3816" s="3">
        <v>1</v>
      </c>
      <c r="M3816" s="3">
        <v>0</v>
      </c>
      <c r="N3816">
        <v>0</v>
      </c>
      <c r="O3816">
        <v>0</v>
      </c>
      <c r="P3816">
        <v>0</v>
      </c>
      <c r="Q3816">
        <v>12</v>
      </c>
      <c r="R3816" s="3">
        <v>0</v>
      </c>
      <c r="S3816" s="3">
        <v>0</v>
      </c>
      <c r="T3816">
        <v>0</v>
      </c>
      <c r="U3816">
        <v>0</v>
      </c>
      <c r="V3816" s="3">
        <v>0</v>
      </c>
      <c r="W3816" s="3">
        <v>0</v>
      </c>
      <c r="X3816">
        <v>0</v>
      </c>
      <c r="Y3816" t="s">
        <v>2953</v>
      </c>
    </row>
    <row r="3817" spans="1:25" hidden="1" x14ac:dyDescent="0.25">
      <c r="A3817" t="s">
        <v>47</v>
      </c>
      <c r="B3817" t="s">
        <v>137</v>
      </c>
      <c r="C3817" t="s">
        <v>2310</v>
      </c>
      <c r="D3817" t="s">
        <v>27</v>
      </c>
      <c r="E3817" s="2">
        <v>46057</v>
      </c>
      <c r="F3817" s="2">
        <v>46057</v>
      </c>
      <c r="G3817" s="3">
        <v>130</v>
      </c>
      <c r="H3817" t="s">
        <v>28</v>
      </c>
      <c r="I3817">
        <v>72</v>
      </c>
      <c r="J3817">
        <v>0</v>
      </c>
      <c r="K3817">
        <v>0</v>
      </c>
      <c r="L3817" s="3">
        <v>1</v>
      </c>
      <c r="M3817" s="3">
        <v>0</v>
      </c>
      <c r="N3817">
        <v>0</v>
      </c>
      <c r="O3817">
        <v>0</v>
      </c>
      <c r="P3817">
        <v>0</v>
      </c>
      <c r="Q3817">
        <v>16</v>
      </c>
      <c r="R3817" s="3">
        <v>0</v>
      </c>
      <c r="S3817" s="3">
        <v>0</v>
      </c>
      <c r="T3817">
        <v>0</v>
      </c>
      <c r="U3817">
        <v>0</v>
      </c>
      <c r="V3817" s="3">
        <v>0</v>
      </c>
      <c r="W3817" s="3">
        <v>0</v>
      </c>
      <c r="X3817">
        <v>0</v>
      </c>
      <c r="Y3817" t="s">
        <v>2954</v>
      </c>
    </row>
    <row r="3818" spans="1:25" hidden="1" x14ac:dyDescent="0.25">
      <c r="A3818" t="s">
        <v>49</v>
      </c>
      <c r="B3818" t="s">
        <v>118</v>
      </c>
      <c r="C3818" t="s">
        <v>50</v>
      </c>
      <c r="D3818" t="s">
        <v>27</v>
      </c>
      <c r="E3818" s="2">
        <v>46057</v>
      </c>
      <c r="F3818" s="2">
        <v>46057</v>
      </c>
      <c r="G3818" s="3">
        <v>30</v>
      </c>
      <c r="H3818" t="s">
        <v>28</v>
      </c>
      <c r="I3818">
        <v>42</v>
      </c>
      <c r="J3818">
        <v>0</v>
      </c>
      <c r="K3818">
        <v>0</v>
      </c>
      <c r="L3818" s="3">
        <v>1</v>
      </c>
      <c r="M3818" s="3">
        <v>1</v>
      </c>
      <c r="N3818">
        <v>0</v>
      </c>
      <c r="O3818">
        <v>0</v>
      </c>
      <c r="P3818">
        <v>0</v>
      </c>
      <c r="Q3818">
        <v>42</v>
      </c>
      <c r="R3818" s="3">
        <v>0</v>
      </c>
      <c r="S3818" s="3">
        <v>0</v>
      </c>
      <c r="T3818">
        <v>0</v>
      </c>
      <c r="U3818">
        <v>0</v>
      </c>
      <c r="V3818" s="3">
        <v>0</v>
      </c>
      <c r="W3818" s="3">
        <v>0</v>
      </c>
      <c r="X3818">
        <v>0</v>
      </c>
      <c r="Y3818" t="s">
        <v>2955</v>
      </c>
    </row>
    <row r="3819" spans="1:25" hidden="1" x14ac:dyDescent="0.25">
      <c r="A3819" t="s">
        <v>51</v>
      </c>
      <c r="B3819" t="s">
        <v>120</v>
      </c>
      <c r="C3819" t="s">
        <v>2379</v>
      </c>
      <c r="D3819" t="s">
        <v>27</v>
      </c>
      <c r="E3819" s="2">
        <v>46057</v>
      </c>
      <c r="F3819" s="2">
        <v>46057</v>
      </c>
      <c r="G3819" s="3">
        <v>76</v>
      </c>
      <c r="H3819" t="s">
        <v>28</v>
      </c>
      <c r="I3819">
        <v>33</v>
      </c>
      <c r="J3819">
        <v>0</v>
      </c>
      <c r="K3819">
        <v>0</v>
      </c>
      <c r="L3819" s="3">
        <v>1</v>
      </c>
      <c r="M3819" s="3">
        <v>0</v>
      </c>
      <c r="N3819">
        <v>1</v>
      </c>
      <c r="O3819">
        <v>0</v>
      </c>
      <c r="P3819">
        <v>0</v>
      </c>
      <c r="Q3819">
        <v>0</v>
      </c>
      <c r="R3819" s="3">
        <v>0</v>
      </c>
      <c r="S3819" s="3">
        <v>0</v>
      </c>
      <c r="T3819">
        <v>0</v>
      </c>
      <c r="U3819">
        <v>0</v>
      </c>
      <c r="V3819" s="3">
        <v>0</v>
      </c>
      <c r="W3819" s="3">
        <v>0</v>
      </c>
      <c r="X3819">
        <v>0</v>
      </c>
      <c r="Y3819" t="s">
        <v>2956</v>
      </c>
    </row>
    <row r="3820" spans="1:25" hidden="1" x14ac:dyDescent="0.25">
      <c r="A3820" t="s">
        <v>48</v>
      </c>
      <c r="B3820" t="s">
        <v>149</v>
      </c>
      <c r="C3820" t="s">
        <v>37</v>
      </c>
      <c r="D3820" t="s">
        <v>27</v>
      </c>
      <c r="E3820" s="2">
        <v>46057</v>
      </c>
      <c r="F3820" s="2">
        <v>46057</v>
      </c>
      <c r="G3820" s="3">
        <v>24</v>
      </c>
      <c r="H3820" t="s">
        <v>28</v>
      </c>
      <c r="I3820">
        <v>65</v>
      </c>
      <c r="J3820">
        <v>0</v>
      </c>
      <c r="K3820">
        <v>0</v>
      </c>
      <c r="L3820" s="3">
        <v>1</v>
      </c>
      <c r="M3820" s="3">
        <v>0</v>
      </c>
      <c r="N3820">
        <v>0</v>
      </c>
      <c r="O3820">
        <v>0</v>
      </c>
      <c r="P3820">
        <v>0</v>
      </c>
      <c r="Q3820">
        <v>2</v>
      </c>
      <c r="R3820" s="3">
        <v>0</v>
      </c>
      <c r="S3820" s="3">
        <v>0</v>
      </c>
      <c r="T3820">
        <v>0</v>
      </c>
      <c r="U3820">
        <v>0</v>
      </c>
      <c r="V3820" s="3">
        <v>0</v>
      </c>
      <c r="W3820" s="3">
        <v>0</v>
      </c>
      <c r="X3820">
        <v>0</v>
      </c>
      <c r="Y3820" t="s">
        <v>2957</v>
      </c>
    </row>
    <row r="3821" spans="1:25" hidden="1" x14ac:dyDescent="0.25">
      <c r="A3821" t="s">
        <v>58</v>
      </c>
      <c r="B3821" t="s">
        <v>144</v>
      </c>
      <c r="C3821" t="s">
        <v>2514</v>
      </c>
      <c r="D3821" t="s">
        <v>27</v>
      </c>
      <c r="E3821" s="2">
        <v>46057</v>
      </c>
      <c r="F3821" s="2">
        <v>46057</v>
      </c>
      <c r="G3821" s="3">
        <v>61</v>
      </c>
      <c r="H3821" t="s">
        <v>28</v>
      </c>
      <c r="I3821">
        <v>75</v>
      </c>
      <c r="J3821">
        <v>0</v>
      </c>
      <c r="K3821">
        <v>0</v>
      </c>
      <c r="L3821" s="3">
        <v>1</v>
      </c>
      <c r="M3821" s="3">
        <v>0</v>
      </c>
      <c r="N3821">
        <v>0</v>
      </c>
      <c r="O3821">
        <v>0</v>
      </c>
      <c r="P3821">
        <v>0</v>
      </c>
      <c r="Q3821">
        <v>40</v>
      </c>
      <c r="R3821" s="3">
        <v>0</v>
      </c>
      <c r="S3821" s="3">
        <v>0</v>
      </c>
      <c r="T3821">
        <v>0</v>
      </c>
      <c r="U3821">
        <v>0</v>
      </c>
      <c r="V3821" s="3">
        <v>0</v>
      </c>
      <c r="W3821" s="3">
        <v>0</v>
      </c>
      <c r="X3821">
        <v>1</v>
      </c>
      <c r="Y3821" t="s">
        <v>2958</v>
      </c>
    </row>
    <row r="3822" spans="1:25" hidden="1" x14ac:dyDescent="0.25">
      <c r="A3822" t="s">
        <v>438</v>
      </c>
      <c r="B3822" t="s">
        <v>798</v>
      </c>
      <c r="C3822" t="s">
        <v>27</v>
      </c>
      <c r="D3822" t="s">
        <v>27</v>
      </c>
      <c r="E3822" s="2">
        <v>46057</v>
      </c>
      <c r="F3822" s="2">
        <v>46057</v>
      </c>
      <c r="G3822" s="3">
        <v>33</v>
      </c>
      <c r="H3822" t="s">
        <v>1975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2803</v>
      </c>
    </row>
    <row r="3823" spans="1:25" hidden="1" x14ac:dyDescent="0.25">
      <c r="A3823" t="s">
        <v>454</v>
      </c>
      <c r="B3823" t="s">
        <v>106</v>
      </c>
      <c r="C3823" t="s">
        <v>27</v>
      </c>
      <c r="D3823" t="s">
        <v>27</v>
      </c>
      <c r="E3823" s="2">
        <v>46057</v>
      </c>
      <c r="F3823" s="2">
        <v>46057</v>
      </c>
      <c r="G3823" s="3">
        <v>72</v>
      </c>
      <c r="H3823" t="s">
        <v>763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t="s">
        <v>2841</v>
      </c>
    </row>
    <row r="3824" spans="1:25" hidden="1" x14ac:dyDescent="0.25">
      <c r="A3824" t="s">
        <v>54</v>
      </c>
      <c r="B3824" t="s">
        <v>182</v>
      </c>
      <c r="C3824" t="s">
        <v>27</v>
      </c>
      <c r="D3824" t="s">
        <v>27</v>
      </c>
      <c r="E3824" s="2">
        <v>46057</v>
      </c>
      <c r="F3824" s="2">
        <v>46057</v>
      </c>
      <c r="G3824" s="3">
        <v>73</v>
      </c>
      <c r="H3824" t="s">
        <v>763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2841</v>
      </c>
    </row>
    <row r="3825" spans="1:25" hidden="1" x14ac:dyDescent="0.25">
      <c r="A3825" t="s">
        <v>27</v>
      </c>
      <c r="B3825" t="s">
        <v>184</v>
      </c>
      <c r="C3825" t="s">
        <v>35</v>
      </c>
      <c r="D3825" t="s">
        <v>27</v>
      </c>
      <c r="E3825" s="2">
        <v>46057</v>
      </c>
      <c r="F3825" s="2">
        <v>46057</v>
      </c>
      <c r="G3825" s="3">
        <v>74</v>
      </c>
      <c r="H3825" t="s">
        <v>763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2841</v>
      </c>
    </row>
    <row r="3826" spans="1:25" hidden="1" x14ac:dyDescent="0.25">
      <c r="A3826" t="s">
        <v>27</v>
      </c>
      <c r="B3826" t="s">
        <v>186</v>
      </c>
      <c r="C3826" t="s">
        <v>46</v>
      </c>
      <c r="D3826" t="s">
        <v>27</v>
      </c>
      <c r="E3826" s="2">
        <v>46057</v>
      </c>
      <c r="F3826" s="2">
        <v>46057</v>
      </c>
      <c r="G3826" s="3">
        <v>75</v>
      </c>
      <c r="H3826" t="s">
        <v>763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2841</v>
      </c>
    </row>
    <row r="3827" spans="1:25" hidden="1" x14ac:dyDescent="0.25">
      <c r="A3827" t="s">
        <v>27</v>
      </c>
      <c r="B3827" t="s">
        <v>188</v>
      </c>
      <c r="C3827" t="s">
        <v>55</v>
      </c>
      <c r="D3827" t="s">
        <v>27</v>
      </c>
      <c r="E3827" s="2">
        <v>46057</v>
      </c>
      <c r="F3827" s="2">
        <v>46057</v>
      </c>
      <c r="G3827" s="3">
        <v>76</v>
      </c>
      <c r="H3827" t="s">
        <v>763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2841</v>
      </c>
    </row>
    <row r="3828" spans="1:25" hidden="1" x14ac:dyDescent="0.25">
      <c r="A3828" t="s">
        <v>25</v>
      </c>
      <c r="B3828" t="s">
        <v>96</v>
      </c>
      <c r="C3828" t="s">
        <v>26</v>
      </c>
      <c r="D3828" t="s">
        <v>27</v>
      </c>
      <c r="E3828" s="2">
        <v>46058</v>
      </c>
      <c r="F3828" s="2">
        <v>46058</v>
      </c>
      <c r="G3828" s="3">
        <v>30</v>
      </c>
      <c r="H3828" t="s">
        <v>28</v>
      </c>
      <c r="I3828">
        <v>40</v>
      </c>
      <c r="J3828">
        <v>0</v>
      </c>
      <c r="K3828">
        <v>0</v>
      </c>
      <c r="L3828" s="3">
        <v>0</v>
      </c>
      <c r="M3828" s="3">
        <v>0</v>
      </c>
      <c r="N3828">
        <v>1</v>
      </c>
      <c r="O3828">
        <v>0</v>
      </c>
      <c r="P3828">
        <v>0</v>
      </c>
      <c r="Q3828">
        <v>0</v>
      </c>
      <c r="R3828" s="3">
        <v>0</v>
      </c>
      <c r="S3828" s="3">
        <v>0</v>
      </c>
      <c r="T3828">
        <v>0</v>
      </c>
      <c r="U3828">
        <v>0</v>
      </c>
      <c r="V3828" s="3">
        <v>0</v>
      </c>
      <c r="W3828" s="3">
        <v>0</v>
      </c>
      <c r="X3828">
        <v>0</v>
      </c>
      <c r="Y3828" t="s">
        <v>2959</v>
      </c>
    </row>
    <row r="3829" spans="1:25" hidden="1" x14ac:dyDescent="0.25">
      <c r="A3829" t="s">
        <v>29</v>
      </c>
      <c r="B3829" t="s">
        <v>100</v>
      </c>
      <c r="C3829" t="s">
        <v>95</v>
      </c>
      <c r="D3829" t="s">
        <v>27</v>
      </c>
      <c r="E3829" s="2">
        <v>46058</v>
      </c>
      <c r="F3829" s="2">
        <v>46058</v>
      </c>
      <c r="G3829" s="3">
        <v>26</v>
      </c>
      <c r="H3829" t="s">
        <v>28</v>
      </c>
      <c r="I3829">
        <v>33</v>
      </c>
      <c r="J3829">
        <v>0</v>
      </c>
      <c r="K3829">
        <v>0</v>
      </c>
      <c r="L3829" s="3">
        <v>1</v>
      </c>
      <c r="M3829" s="3">
        <v>0</v>
      </c>
      <c r="N3829">
        <v>0</v>
      </c>
      <c r="O3829">
        <v>0</v>
      </c>
      <c r="P3829">
        <v>0</v>
      </c>
      <c r="Q3829">
        <v>0</v>
      </c>
      <c r="R3829" s="3">
        <v>0</v>
      </c>
      <c r="S3829" s="3">
        <v>0</v>
      </c>
      <c r="T3829">
        <v>0</v>
      </c>
      <c r="U3829">
        <v>0</v>
      </c>
      <c r="V3829" s="3">
        <v>0</v>
      </c>
      <c r="W3829" s="3">
        <v>0</v>
      </c>
      <c r="X3829">
        <v>0</v>
      </c>
      <c r="Y3829" t="s">
        <v>2960</v>
      </c>
    </row>
    <row r="3830" spans="1:25" hidden="1" x14ac:dyDescent="0.25">
      <c r="A3830" t="s">
        <v>344</v>
      </c>
      <c r="B3830" t="s">
        <v>102</v>
      </c>
      <c r="C3830" t="s">
        <v>2271</v>
      </c>
      <c r="D3830" t="s">
        <v>27</v>
      </c>
      <c r="E3830" s="2">
        <v>46058</v>
      </c>
      <c r="F3830" s="2">
        <v>46058</v>
      </c>
      <c r="G3830" s="3">
        <v>46</v>
      </c>
      <c r="H3830" t="s">
        <v>28</v>
      </c>
      <c r="I3830">
        <v>34</v>
      </c>
      <c r="J3830">
        <v>0</v>
      </c>
      <c r="K3830">
        <v>0</v>
      </c>
      <c r="L3830" s="3">
        <v>0</v>
      </c>
      <c r="M3830" s="3">
        <v>0</v>
      </c>
      <c r="N3830">
        <v>0</v>
      </c>
      <c r="O3830">
        <v>0</v>
      </c>
      <c r="P3830">
        <v>0</v>
      </c>
      <c r="Q3830">
        <v>0</v>
      </c>
      <c r="R3830" s="3">
        <v>0</v>
      </c>
      <c r="S3830" s="3">
        <v>0</v>
      </c>
      <c r="T3830">
        <v>0</v>
      </c>
      <c r="U3830">
        <v>0</v>
      </c>
      <c r="V3830" s="3">
        <v>0</v>
      </c>
      <c r="W3830" s="3">
        <v>0</v>
      </c>
      <c r="X3830">
        <v>0</v>
      </c>
      <c r="Y3830" t="s">
        <v>2961</v>
      </c>
    </row>
    <row r="3831" spans="1:25" hidden="1" x14ac:dyDescent="0.25">
      <c r="A3831" t="s">
        <v>31</v>
      </c>
      <c r="B3831" t="s">
        <v>104</v>
      </c>
      <c r="C3831" t="s">
        <v>32</v>
      </c>
      <c r="D3831" t="s">
        <v>27</v>
      </c>
      <c r="E3831" s="2">
        <v>46058</v>
      </c>
      <c r="F3831" s="2">
        <v>46058</v>
      </c>
      <c r="G3831" s="3">
        <v>43</v>
      </c>
      <c r="H3831" t="s">
        <v>28</v>
      </c>
      <c r="I3831">
        <v>62</v>
      </c>
      <c r="J3831">
        <v>0</v>
      </c>
      <c r="K3831">
        <v>0</v>
      </c>
      <c r="L3831" s="3">
        <v>1</v>
      </c>
      <c r="M3831" s="3">
        <v>0</v>
      </c>
      <c r="N3831">
        <v>0</v>
      </c>
      <c r="O3831">
        <v>0</v>
      </c>
      <c r="P3831">
        <v>0</v>
      </c>
      <c r="Q3831">
        <v>30</v>
      </c>
      <c r="R3831" s="3">
        <v>0</v>
      </c>
      <c r="S3831" s="3">
        <v>0</v>
      </c>
      <c r="T3831">
        <v>0</v>
      </c>
      <c r="U3831">
        <v>0</v>
      </c>
      <c r="V3831" s="3">
        <v>0</v>
      </c>
      <c r="W3831" s="3">
        <v>0</v>
      </c>
      <c r="X3831">
        <v>0</v>
      </c>
      <c r="Y3831" t="s">
        <v>2962</v>
      </c>
    </row>
    <row r="3832" spans="1:25" hidden="1" x14ac:dyDescent="0.25">
      <c r="A3832" t="s">
        <v>36</v>
      </c>
      <c r="B3832" t="s">
        <v>249</v>
      </c>
      <c r="C3832" t="s">
        <v>57</v>
      </c>
      <c r="D3832" t="s">
        <v>27</v>
      </c>
      <c r="E3832" s="2">
        <v>46058</v>
      </c>
      <c r="F3832" s="2">
        <v>46058</v>
      </c>
      <c r="G3832" s="3">
        <v>253</v>
      </c>
      <c r="H3832" t="s">
        <v>28</v>
      </c>
      <c r="I3832">
        <v>37</v>
      </c>
      <c r="J3832">
        <v>0</v>
      </c>
      <c r="K3832">
        <v>0</v>
      </c>
      <c r="L3832" s="3">
        <v>0</v>
      </c>
      <c r="M3832" s="3">
        <v>0</v>
      </c>
      <c r="N3832">
        <v>0</v>
      </c>
      <c r="O3832">
        <v>0</v>
      </c>
      <c r="P3832">
        <v>0</v>
      </c>
      <c r="Q3832">
        <v>0</v>
      </c>
      <c r="R3832" s="3">
        <v>0</v>
      </c>
      <c r="S3832" s="3">
        <v>0</v>
      </c>
      <c r="T3832">
        <v>0</v>
      </c>
      <c r="U3832">
        <v>0</v>
      </c>
      <c r="V3832" s="3">
        <v>0</v>
      </c>
      <c r="W3832" s="3">
        <v>0</v>
      </c>
      <c r="X3832">
        <v>0</v>
      </c>
      <c r="Y3832" t="s">
        <v>2963</v>
      </c>
    </row>
    <row r="3833" spans="1:25" hidden="1" x14ac:dyDescent="0.25">
      <c r="A3833" t="s">
        <v>38</v>
      </c>
      <c r="B3833" t="s">
        <v>108</v>
      </c>
      <c r="C3833" t="s">
        <v>27</v>
      </c>
      <c r="D3833" t="s">
        <v>27</v>
      </c>
      <c r="E3833" s="2">
        <v>46058</v>
      </c>
      <c r="F3833" s="2">
        <v>46058</v>
      </c>
      <c r="G3833" s="3">
        <v>43</v>
      </c>
      <c r="H3833" t="s">
        <v>28</v>
      </c>
      <c r="I3833">
        <v>32</v>
      </c>
      <c r="J3833">
        <v>0</v>
      </c>
      <c r="K3833">
        <v>0</v>
      </c>
      <c r="L3833" s="3">
        <v>1</v>
      </c>
      <c r="M3833" s="3">
        <v>0</v>
      </c>
      <c r="N3833">
        <v>0</v>
      </c>
      <c r="O3833">
        <v>0</v>
      </c>
      <c r="P3833">
        <v>0</v>
      </c>
      <c r="Q3833">
        <v>32</v>
      </c>
      <c r="R3833" s="3">
        <v>0</v>
      </c>
      <c r="S3833" s="3">
        <v>0</v>
      </c>
      <c r="T3833">
        <v>0</v>
      </c>
      <c r="U3833">
        <v>0</v>
      </c>
      <c r="V3833" s="3">
        <v>0</v>
      </c>
      <c r="W3833" s="3">
        <v>0</v>
      </c>
      <c r="X3833">
        <v>0</v>
      </c>
      <c r="Y3833" t="s">
        <v>2964</v>
      </c>
    </row>
    <row r="3834" spans="1:25" hidden="1" x14ac:dyDescent="0.25">
      <c r="A3834" t="s">
        <v>2679</v>
      </c>
      <c r="B3834" t="s">
        <v>2680</v>
      </c>
      <c r="C3834" t="s">
        <v>39</v>
      </c>
      <c r="D3834" t="s">
        <v>27</v>
      </c>
      <c r="E3834" s="2">
        <v>46058</v>
      </c>
      <c r="F3834" s="2">
        <v>46058</v>
      </c>
      <c r="G3834" s="3">
        <v>36</v>
      </c>
      <c r="H3834" t="s">
        <v>28</v>
      </c>
      <c r="I3834">
        <v>39</v>
      </c>
      <c r="J3834">
        <v>0</v>
      </c>
      <c r="K3834">
        <v>0</v>
      </c>
      <c r="L3834" s="3">
        <v>1</v>
      </c>
      <c r="M3834" s="3">
        <v>0</v>
      </c>
      <c r="N3834">
        <v>0</v>
      </c>
      <c r="O3834">
        <v>0</v>
      </c>
      <c r="P3834">
        <v>39</v>
      </c>
      <c r="Q3834">
        <v>39</v>
      </c>
      <c r="R3834" s="3">
        <v>0</v>
      </c>
      <c r="S3834" s="3">
        <v>0</v>
      </c>
      <c r="T3834">
        <v>0</v>
      </c>
      <c r="U3834">
        <v>0</v>
      </c>
      <c r="V3834" s="3">
        <v>0</v>
      </c>
      <c r="W3834" s="3">
        <v>0</v>
      </c>
      <c r="X3834">
        <v>0</v>
      </c>
      <c r="Y3834" t="s">
        <v>2965</v>
      </c>
    </row>
    <row r="3835" spans="1:25" hidden="1" x14ac:dyDescent="0.25">
      <c r="A3835" t="s">
        <v>40</v>
      </c>
      <c r="B3835" t="s">
        <v>110</v>
      </c>
      <c r="C3835" t="s">
        <v>2534</v>
      </c>
      <c r="D3835" t="s">
        <v>27</v>
      </c>
      <c r="E3835" s="2">
        <v>46058</v>
      </c>
      <c r="F3835" s="2">
        <v>46058</v>
      </c>
      <c r="G3835" s="3">
        <v>98</v>
      </c>
      <c r="H3835" t="s">
        <v>28</v>
      </c>
      <c r="I3835">
        <v>82</v>
      </c>
      <c r="J3835">
        <v>0</v>
      </c>
      <c r="K3835">
        <v>0</v>
      </c>
      <c r="L3835" s="3">
        <v>1</v>
      </c>
      <c r="M3835" s="3">
        <v>0</v>
      </c>
      <c r="N3835">
        <v>0</v>
      </c>
      <c r="O3835">
        <v>0</v>
      </c>
      <c r="P3835">
        <v>0</v>
      </c>
      <c r="Q3835">
        <v>68</v>
      </c>
      <c r="R3835" s="3">
        <v>0</v>
      </c>
      <c r="S3835" s="3">
        <v>0</v>
      </c>
      <c r="T3835">
        <v>0</v>
      </c>
      <c r="U3835">
        <v>0</v>
      </c>
      <c r="V3835" s="3">
        <v>0</v>
      </c>
      <c r="W3835" s="3">
        <v>0</v>
      </c>
      <c r="X3835">
        <v>0</v>
      </c>
      <c r="Y3835" t="s">
        <v>2966</v>
      </c>
    </row>
    <row r="3836" spans="1:25" hidden="1" x14ac:dyDescent="0.25">
      <c r="A3836" t="s">
        <v>1316</v>
      </c>
      <c r="B3836" t="s">
        <v>1348</v>
      </c>
      <c r="C3836" t="s">
        <v>52</v>
      </c>
      <c r="D3836" t="s">
        <v>27</v>
      </c>
      <c r="E3836" s="2">
        <v>46058</v>
      </c>
      <c r="F3836" s="2">
        <v>46058</v>
      </c>
      <c r="G3836" s="3">
        <v>41</v>
      </c>
      <c r="H3836" t="s">
        <v>28</v>
      </c>
      <c r="I3836">
        <v>40</v>
      </c>
      <c r="J3836">
        <v>0</v>
      </c>
      <c r="K3836">
        <v>0</v>
      </c>
      <c r="L3836" s="3">
        <v>0</v>
      </c>
      <c r="M3836" s="3">
        <v>0</v>
      </c>
      <c r="N3836">
        <v>0</v>
      </c>
      <c r="O3836">
        <v>0</v>
      </c>
      <c r="P3836">
        <v>0</v>
      </c>
      <c r="Q3836">
        <v>0</v>
      </c>
      <c r="R3836" s="3">
        <v>0</v>
      </c>
      <c r="S3836" s="3">
        <v>0</v>
      </c>
      <c r="T3836">
        <v>0</v>
      </c>
      <c r="U3836">
        <v>0</v>
      </c>
      <c r="V3836" s="3">
        <v>0</v>
      </c>
      <c r="W3836" s="3">
        <v>0</v>
      </c>
      <c r="X3836">
        <v>0</v>
      </c>
      <c r="Y3836" t="s">
        <v>2967</v>
      </c>
    </row>
    <row r="3837" spans="1:25" hidden="1" x14ac:dyDescent="0.25">
      <c r="A3837" t="s">
        <v>41</v>
      </c>
      <c r="B3837" t="s">
        <v>112</v>
      </c>
      <c r="C3837" t="s">
        <v>42</v>
      </c>
      <c r="D3837" t="s">
        <v>27</v>
      </c>
      <c r="E3837" s="2">
        <v>46058</v>
      </c>
      <c r="F3837" s="2">
        <v>46058</v>
      </c>
      <c r="G3837" s="3">
        <v>35</v>
      </c>
      <c r="H3837" t="s">
        <v>28</v>
      </c>
      <c r="I3837">
        <v>51</v>
      </c>
      <c r="J3837">
        <v>0</v>
      </c>
      <c r="K3837">
        <v>0</v>
      </c>
      <c r="L3837" s="3">
        <v>1</v>
      </c>
      <c r="M3837" s="3">
        <v>0</v>
      </c>
      <c r="N3837">
        <v>0</v>
      </c>
      <c r="O3837">
        <v>0</v>
      </c>
      <c r="P3837">
        <v>0</v>
      </c>
      <c r="Q3837">
        <v>4</v>
      </c>
      <c r="R3837" s="3">
        <v>0</v>
      </c>
      <c r="S3837" s="3">
        <v>0</v>
      </c>
      <c r="T3837">
        <v>0</v>
      </c>
      <c r="U3837">
        <v>0</v>
      </c>
      <c r="V3837" s="3">
        <v>0</v>
      </c>
      <c r="W3837" s="3">
        <v>0</v>
      </c>
      <c r="X3837">
        <v>0</v>
      </c>
      <c r="Y3837" t="s">
        <v>2968</v>
      </c>
    </row>
    <row r="3838" spans="1:25" hidden="1" x14ac:dyDescent="0.25">
      <c r="A3838" t="s">
        <v>43</v>
      </c>
      <c r="B3838" t="s">
        <v>114</v>
      </c>
      <c r="C3838" t="s">
        <v>44</v>
      </c>
      <c r="D3838" t="s">
        <v>27</v>
      </c>
      <c r="E3838" s="2">
        <v>46058</v>
      </c>
      <c r="F3838" s="2">
        <v>46058</v>
      </c>
      <c r="G3838" s="3">
        <v>35</v>
      </c>
      <c r="H3838" t="s">
        <v>28</v>
      </c>
      <c r="I3838">
        <v>65</v>
      </c>
      <c r="J3838">
        <v>0</v>
      </c>
      <c r="K3838">
        <v>0</v>
      </c>
      <c r="L3838" s="3">
        <v>1</v>
      </c>
      <c r="M3838" s="3">
        <v>0</v>
      </c>
      <c r="N3838">
        <v>0</v>
      </c>
      <c r="O3838">
        <v>0</v>
      </c>
      <c r="P3838">
        <v>0</v>
      </c>
      <c r="Q3838">
        <v>4</v>
      </c>
      <c r="R3838" s="3">
        <v>0</v>
      </c>
      <c r="S3838" s="3">
        <v>0</v>
      </c>
      <c r="T3838">
        <v>0</v>
      </c>
      <c r="U3838">
        <v>0</v>
      </c>
      <c r="V3838" s="3">
        <v>0</v>
      </c>
      <c r="W3838" s="3">
        <v>0</v>
      </c>
      <c r="X3838">
        <v>0</v>
      </c>
      <c r="Y3838" t="s">
        <v>2969</v>
      </c>
    </row>
    <row r="3839" spans="1:25" hidden="1" x14ac:dyDescent="0.25">
      <c r="A3839" t="s">
        <v>45</v>
      </c>
      <c r="B3839" t="s">
        <v>116</v>
      </c>
      <c r="C3839" t="s">
        <v>2835</v>
      </c>
      <c r="D3839" t="s">
        <v>27</v>
      </c>
      <c r="E3839" s="2">
        <v>46058</v>
      </c>
      <c r="F3839" s="2">
        <v>46058</v>
      </c>
      <c r="G3839" s="3">
        <v>46</v>
      </c>
      <c r="H3839" t="s">
        <v>28</v>
      </c>
      <c r="I3839">
        <v>34</v>
      </c>
      <c r="J3839">
        <v>0</v>
      </c>
      <c r="K3839">
        <v>0</v>
      </c>
      <c r="L3839" s="3">
        <v>0</v>
      </c>
      <c r="M3839" s="3">
        <v>0</v>
      </c>
      <c r="N3839">
        <v>0</v>
      </c>
      <c r="O3839">
        <v>0</v>
      </c>
      <c r="P3839">
        <v>0</v>
      </c>
      <c r="Q3839">
        <v>0</v>
      </c>
      <c r="R3839" s="3">
        <v>0</v>
      </c>
      <c r="S3839" s="3">
        <v>0</v>
      </c>
      <c r="T3839">
        <v>0</v>
      </c>
      <c r="U3839">
        <v>0</v>
      </c>
      <c r="V3839" s="3">
        <v>0</v>
      </c>
      <c r="W3839" s="3">
        <v>0</v>
      </c>
      <c r="X3839">
        <v>0</v>
      </c>
      <c r="Y3839" t="s">
        <v>2970</v>
      </c>
    </row>
    <row r="3840" spans="1:25" hidden="1" x14ac:dyDescent="0.25">
      <c r="A3840" t="s">
        <v>47</v>
      </c>
      <c r="B3840" t="s">
        <v>137</v>
      </c>
      <c r="C3840" t="s">
        <v>2310</v>
      </c>
      <c r="D3840" t="s">
        <v>27</v>
      </c>
      <c r="E3840" s="2">
        <v>46058</v>
      </c>
      <c r="F3840" s="2">
        <v>46058</v>
      </c>
      <c r="G3840" s="3">
        <v>159</v>
      </c>
      <c r="H3840" t="s">
        <v>28</v>
      </c>
      <c r="I3840">
        <v>52</v>
      </c>
      <c r="J3840">
        <v>0</v>
      </c>
      <c r="K3840">
        <v>0</v>
      </c>
      <c r="L3840" s="3">
        <v>1</v>
      </c>
      <c r="M3840" s="3">
        <v>0</v>
      </c>
      <c r="N3840">
        <v>0</v>
      </c>
      <c r="O3840">
        <v>0</v>
      </c>
      <c r="P3840">
        <v>0</v>
      </c>
      <c r="Q3840">
        <v>10</v>
      </c>
      <c r="R3840" s="3">
        <v>0</v>
      </c>
      <c r="S3840" s="3">
        <v>0</v>
      </c>
      <c r="T3840">
        <v>0</v>
      </c>
      <c r="U3840">
        <v>0</v>
      </c>
      <c r="V3840" s="3">
        <v>0</v>
      </c>
      <c r="W3840" s="3">
        <v>0</v>
      </c>
      <c r="X3840">
        <v>0</v>
      </c>
      <c r="Y3840" t="s">
        <v>2971</v>
      </c>
    </row>
    <row r="3841" spans="1:25" hidden="1" x14ac:dyDescent="0.25">
      <c r="A3841" t="s">
        <v>49</v>
      </c>
      <c r="B3841" t="s">
        <v>118</v>
      </c>
      <c r="C3841" t="s">
        <v>50</v>
      </c>
      <c r="D3841" t="s">
        <v>27</v>
      </c>
      <c r="E3841" s="2">
        <v>46058</v>
      </c>
      <c r="F3841" s="2">
        <v>46058</v>
      </c>
      <c r="G3841" s="3">
        <v>35</v>
      </c>
      <c r="H3841" t="s">
        <v>28</v>
      </c>
      <c r="I3841">
        <v>72</v>
      </c>
      <c r="J3841">
        <v>0</v>
      </c>
      <c r="K3841">
        <v>0</v>
      </c>
      <c r="L3841" s="3">
        <v>1</v>
      </c>
      <c r="M3841" s="3">
        <v>1</v>
      </c>
      <c r="N3841">
        <v>0</v>
      </c>
      <c r="O3841">
        <v>1</v>
      </c>
      <c r="P3841">
        <v>0</v>
      </c>
      <c r="Q3841">
        <v>72</v>
      </c>
      <c r="R3841" s="3">
        <v>0</v>
      </c>
      <c r="S3841" s="3">
        <v>0</v>
      </c>
      <c r="T3841">
        <v>0</v>
      </c>
      <c r="U3841">
        <v>0</v>
      </c>
      <c r="V3841" s="3">
        <v>0</v>
      </c>
      <c r="W3841" s="3">
        <v>0</v>
      </c>
      <c r="X3841">
        <v>0</v>
      </c>
      <c r="Y3841" t="s">
        <v>2972</v>
      </c>
    </row>
    <row r="3842" spans="1:25" hidden="1" x14ac:dyDescent="0.25">
      <c r="A3842" t="s">
        <v>51</v>
      </c>
      <c r="B3842" t="s">
        <v>120</v>
      </c>
      <c r="C3842" t="s">
        <v>2379</v>
      </c>
      <c r="D3842" t="s">
        <v>27</v>
      </c>
      <c r="E3842" s="2">
        <v>46058</v>
      </c>
      <c r="F3842" s="2">
        <v>46058</v>
      </c>
      <c r="G3842" s="3">
        <v>77</v>
      </c>
      <c r="H3842" t="s">
        <v>28</v>
      </c>
      <c r="I3842">
        <v>28</v>
      </c>
      <c r="J3842">
        <v>0</v>
      </c>
      <c r="K3842">
        <v>0</v>
      </c>
      <c r="L3842" s="3">
        <v>1</v>
      </c>
      <c r="M3842" s="3">
        <v>0</v>
      </c>
      <c r="N3842">
        <v>1</v>
      </c>
      <c r="O3842">
        <v>0</v>
      </c>
      <c r="P3842">
        <v>0</v>
      </c>
      <c r="Q3842">
        <v>0</v>
      </c>
      <c r="R3842" s="3">
        <v>0</v>
      </c>
      <c r="S3842" s="3">
        <v>0</v>
      </c>
      <c r="T3842">
        <v>0</v>
      </c>
      <c r="U3842">
        <v>0</v>
      </c>
      <c r="V3842" s="3">
        <v>0</v>
      </c>
      <c r="W3842" s="3">
        <v>0</v>
      </c>
      <c r="X3842">
        <v>0</v>
      </c>
      <c r="Y3842" t="s">
        <v>2973</v>
      </c>
    </row>
    <row r="3843" spans="1:25" hidden="1" x14ac:dyDescent="0.25">
      <c r="A3843" t="s">
        <v>48</v>
      </c>
      <c r="B3843" t="s">
        <v>149</v>
      </c>
      <c r="C3843" t="s">
        <v>37</v>
      </c>
      <c r="D3843" t="s">
        <v>27</v>
      </c>
      <c r="E3843" s="2">
        <v>46058</v>
      </c>
      <c r="F3843" s="2">
        <v>46058</v>
      </c>
      <c r="G3843" s="3">
        <v>24</v>
      </c>
      <c r="H3843" t="s">
        <v>28</v>
      </c>
      <c r="I3843">
        <v>65</v>
      </c>
      <c r="J3843">
        <v>0</v>
      </c>
      <c r="K3843">
        <v>0</v>
      </c>
      <c r="L3843" s="3">
        <v>1</v>
      </c>
      <c r="M3843" s="3">
        <v>0</v>
      </c>
      <c r="N3843">
        <v>0</v>
      </c>
      <c r="O3843">
        <v>0</v>
      </c>
      <c r="P3843">
        <v>0</v>
      </c>
      <c r="Q3843">
        <v>2</v>
      </c>
      <c r="R3843" s="3">
        <v>0</v>
      </c>
      <c r="S3843" s="3">
        <v>0</v>
      </c>
      <c r="T3843">
        <v>0</v>
      </c>
      <c r="U3843">
        <v>0</v>
      </c>
      <c r="V3843" s="3">
        <v>0</v>
      </c>
      <c r="W3843" s="3">
        <v>0</v>
      </c>
      <c r="X3843">
        <v>0</v>
      </c>
      <c r="Y3843" t="s">
        <v>2957</v>
      </c>
    </row>
    <row r="3844" spans="1:25" hidden="1" x14ac:dyDescent="0.25">
      <c r="A3844" t="s">
        <v>27</v>
      </c>
      <c r="B3844" t="s">
        <v>739</v>
      </c>
      <c r="C3844" t="s">
        <v>2514</v>
      </c>
      <c r="D3844" t="s">
        <v>27</v>
      </c>
      <c r="E3844" s="2">
        <v>46058</v>
      </c>
      <c r="F3844" s="2">
        <v>46058</v>
      </c>
      <c r="G3844" s="3">
        <v>25</v>
      </c>
      <c r="H3844" t="s">
        <v>2312</v>
      </c>
      <c r="I3844">
        <v>0</v>
      </c>
      <c r="J3844">
        <v>0</v>
      </c>
      <c r="K3844">
        <v>0</v>
      </c>
      <c r="L3844" s="3">
        <v>0</v>
      </c>
      <c r="M3844" s="3">
        <v>0</v>
      </c>
      <c r="N3844">
        <v>0</v>
      </c>
      <c r="O3844">
        <v>0</v>
      </c>
      <c r="P3844">
        <v>0</v>
      </c>
      <c r="Q3844">
        <v>0</v>
      </c>
      <c r="R3844" s="3">
        <v>0</v>
      </c>
      <c r="S3844" s="3">
        <v>0</v>
      </c>
      <c r="T3844">
        <v>0</v>
      </c>
      <c r="U3844">
        <v>0</v>
      </c>
      <c r="V3844" s="3">
        <v>0</v>
      </c>
      <c r="W3844" s="3">
        <v>0</v>
      </c>
      <c r="X3844" s="3">
        <v>0</v>
      </c>
      <c r="Y3844" t="s">
        <v>2957</v>
      </c>
    </row>
    <row r="3845" spans="1:25" hidden="1" x14ac:dyDescent="0.25">
      <c r="A3845" t="s">
        <v>58</v>
      </c>
      <c r="B3845" t="s">
        <v>755</v>
      </c>
      <c r="C3845" t="s">
        <v>27</v>
      </c>
      <c r="D3845" t="s">
        <v>27</v>
      </c>
      <c r="E3845" s="2">
        <v>46058</v>
      </c>
      <c r="F3845" s="2">
        <v>46058</v>
      </c>
      <c r="G3845" s="3">
        <v>26</v>
      </c>
      <c r="H3845" t="s">
        <v>28</v>
      </c>
      <c r="I3845">
        <v>50</v>
      </c>
      <c r="J3845">
        <v>0</v>
      </c>
      <c r="K3845">
        <v>0</v>
      </c>
      <c r="L3845" s="3">
        <v>0</v>
      </c>
      <c r="M3845" s="3">
        <v>0</v>
      </c>
      <c r="N3845">
        <v>0</v>
      </c>
      <c r="O3845">
        <v>0</v>
      </c>
      <c r="P3845">
        <v>0</v>
      </c>
      <c r="Q3845">
        <v>0</v>
      </c>
      <c r="R3845" s="3">
        <v>0</v>
      </c>
      <c r="S3845" s="3">
        <v>0</v>
      </c>
      <c r="T3845">
        <v>0</v>
      </c>
      <c r="U3845">
        <v>0</v>
      </c>
      <c r="V3845" s="3">
        <v>0</v>
      </c>
      <c r="W3845" s="3">
        <v>0</v>
      </c>
      <c r="X3845" s="3">
        <v>0</v>
      </c>
      <c r="Y3845" t="s">
        <v>2957</v>
      </c>
    </row>
    <row r="3846" spans="1:25" hidden="1" x14ac:dyDescent="0.25">
      <c r="A3846" t="s">
        <v>438</v>
      </c>
      <c r="B3846" t="s">
        <v>798</v>
      </c>
      <c r="C3846" t="s">
        <v>27</v>
      </c>
      <c r="D3846" t="s">
        <v>27</v>
      </c>
      <c r="E3846" s="2">
        <v>46058</v>
      </c>
      <c r="F3846" s="2">
        <v>46058</v>
      </c>
      <c r="G3846" s="3">
        <v>33</v>
      </c>
      <c r="H3846" t="s">
        <v>1975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2803</v>
      </c>
    </row>
    <row r="3847" spans="1:25" hidden="1" x14ac:dyDescent="0.25">
      <c r="A3847" t="s">
        <v>454</v>
      </c>
      <c r="B3847" t="s">
        <v>106</v>
      </c>
      <c r="C3847" t="s">
        <v>27</v>
      </c>
      <c r="D3847" t="s">
        <v>27</v>
      </c>
      <c r="E3847" s="2">
        <v>46058</v>
      </c>
      <c r="F3847" s="2">
        <v>46058</v>
      </c>
      <c r="G3847" s="3">
        <v>72</v>
      </c>
      <c r="H3847" t="s">
        <v>763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 t="s">
        <v>2841</v>
      </c>
    </row>
    <row r="3848" spans="1:25" hidden="1" x14ac:dyDescent="0.25">
      <c r="A3848" t="s">
        <v>54</v>
      </c>
      <c r="B3848" t="s">
        <v>182</v>
      </c>
      <c r="C3848" t="s">
        <v>27</v>
      </c>
      <c r="D3848" t="s">
        <v>27</v>
      </c>
      <c r="E3848" s="2">
        <v>46058</v>
      </c>
      <c r="F3848" s="2">
        <v>46058</v>
      </c>
      <c r="G3848" s="3">
        <v>73</v>
      </c>
      <c r="H3848" t="s">
        <v>763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2841</v>
      </c>
    </row>
    <row r="3849" spans="1:25" hidden="1" x14ac:dyDescent="0.25">
      <c r="A3849" t="s">
        <v>27</v>
      </c>
      <c r="B3849" t="s">
        <v>184</v>
      </c>
      <c r="C3849" t="s">
        <v>35</v>
      </c>
      <c r="D3849" t="s">
        <v>27</v>
      </c>
      <c r="E3849" s="2">
        <v>46058</v>
      </c>
      <c r="F3849" s="2">
        <v>46058</v>
      </c>
      <c r="G3849" s="3">
        <v>74</v>
      </c>
      <c r="H3849" t="s">
        <v>763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 t="s">
        <v>2841</v>
      </c>
    </row>
    <row r="3850" spans="1:25" hidden="1" x14ac:dyDescent="0.25">
      <c r="A3850" t="s">
        <v>27</v>
      </c>
      <c r="B3850" t="s">
        <v>186</v>
      </c>
      <c r="C3850" t="s">
        <v>46</v>
      </c>
      <c r="D3850" t="s">
        <v>27</v>
      </c>
      <c r="E3850" s="2">
        <v>46058</v>
      </c>
      <c r="F3850" s="2">
        <v>46058</v>
      </c>
      <c r="G3850" s="3">
        <v>75</v>
      </c>
      <c r="H3850" t="s">
        <v>763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2841</v>
      </c>
    </row>
    <row r="3851" spans="1:25" hidden="1" x14ac:dyDescent="0.25">
      <c r="A3851" t="s">
        <v>27</v>
      </c>
      <c r="B3851" t="s">
        <v>188</v>
      </c>
      <c r="C3851" t="s">
        <v>55</v>
      </c>
      <c r="D3851" t="s">
        <v>27</v>
      </c>
      <c r="E3851" s="2">
        <v>46058</v>
      </c>
      <c r="F3851" s="2">
        <v>46058</v>
      </c>
      <c r="G3851" s="3">
        <v>76</v>
      </c>
      <c r="H3851" t="s">
        <v>763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 t="s">
        <v>2841</v>
      </c>
    </row>
    <row r="3852" spans="1:25" hidden="1" x14ac:dyDescent="0.25">
      <c r="A3852" t="s">
        <v>25</v>
      </c>
      <c r="B3852" t="s">
        <v>96</v>
      </c>
      <c r="C3852" t="s">
        <v>26</v>
      </c>
      <c r="D3852" t="s">
        <v>27</v>
      </c>
      <c r="E3852" s="2">
        <v>46059</v>
      </c>
      <c r="F3852" s="2">
        <v>46059</v>
      </c>
      <c r="G3852" s="3">
        <v>48</v>
      </c>
      <c r="H3852" t="s">
        <v>28</v>
      </c>
      <c r="I3852">
        <v>65</v>
      </c>
      <c r="J3852">
        <v>0</v>
      </c>
      <c r="K3852">
        <v>0</v>
      </c>
      <c r="L3852" s="3">
        <v>1</v>
      </c>
      <c r="M3852" s="3">
        <v>0</v>
      </c>
      <c r="N3852">
        <v>1</v>
      </c>
      <c r="O3852">
        <v>0</v>
      </c>
      <c r="P3852">
        <v>0</v>
      </c>
      <c r="Q3852">
        <v>0</v>
      </c>
      <c r="R3852" s="3">
        <v>0</v>
      </c>
      <c r="S3852" s="3">
        <v>0</v>
      </c>
      <c r="T3852">
        <v>0</v>
      </c>
      <c r="U3852">
        <v>0</v>
      </c>
      <c r="V3852" s="3">
        <v>0</v>
      </c>
      <c r="W3852" s="3">
        <v>0</v>
      </c>
      <c r="X3852">
        <v>0</v>
      </c>
      <c r="Y3852" t="s">
        <v>2974</v>
      </c>
    </row>
    <row r="3853" spans="1:25" hidden="1" x14ac:dyDescent="0.25">
      <c r="A3853" t="s">
        <v>29</v>
      </c>
      <c r="B3853" t="s">
        <v>100</v>
      </c>
      <c r="C3853" t="s">
        <v>95</v>
      </c>
      <c r="D3853" t="s">
        <v>27</v>
      </c>
      <c r="E3853" s="2">
        <v>46059</v>
      </c>
      <c r="F3853" s="2">
        <v>46059</v>
      </c>
      <c r="G3853" s="3">
        <v>28</v>
      </c>
      <c r="H3853" t="s">
        <v>28</v>
      </c>
      <c r="I3853">
        <v>53</v>
      </c>
      <c r="J3853">
        <v>0</v>
      </c>
      <c r="K3853">
        <v>0</v>
      </c>
      <c r="L3853" s="3">
        <v>1</v>
      </c>
      <c r="M3853" s="3">
        <v>0</v>
      </c>
      <c r="N3853">
        <v>0</v>
      </c>
      <c r="O3853">
        <v>0</v>
      </c>
      <c r="P3853">
        <v>5</v>
      </c>
      <c r="Q3853">
        <v>10</v>
      </c>
      <c r="R3853" s="3">
        <v>0</v>
      </c>
      <c r="S3853" s="3">
        <v>0</v>
      </c>
      <c r="T3853">
        <v>0</v>
      </c>
      <c r="U3853">
        <v>0</v>
      </c>
      <c r="V3853" s="3">
        <v>0</v>
      </c>
      <c r="W3853" s="3">
        <v>0</v>
      </c>
      <c r="X3853">
        <v>0</v>
      </c>
      <c r="Y3853" t="s">
        <v>2975</v>
      </c>
    </row>
    <row r="3854" spans="1:25" hidden="1" x14ac:dyDescent="0.25">
      <c r="A3854" t="s">
        <v>344</v>
      </c>
      <c r="B3854" t="s">
        <v>102</v>
      </c>
      <c r="C3854" t="s">
        <v>2271</v>
      </c>
      <c r="D3854" t="s">
        <v>27</v>
      </c>
      <c r="E3854" s="2">
        <v>46059</v>
      </c>
      <c r="F3854" s="2">
        <v>46059</v>
      </c>
      <c r="G3854" s="3">
        <v>46</v>
      </c>
      <c r="H3854" t="s">
        <v>28</v>
      </c>
      <c r="I3854">
        <v>34</v>
      </c>
      <c r="J3854">
        <v>0</v>
      </c>
      <c r="K3854">
        <v>0</v>
      </c>
      <c r="L3854" s="3">
        <v>0</v>
      </c>
      <c r="M3854" s="3">
        <v>0</v>
      </c>
      <c r="N3854">
        <v>0</v>
      </c>
      <c r="O3854">
        <v>0</v>
      </c>
      <c r="P3854">
        <v>0</v>
      </c>
      <c r="Q3854">
        <v>0</v>
      </c>
      <c r="R3854" s="3">
        <v>0</v>
      </c>
      <c r="S3854" s="3">
        <v>0</v>
      </c>
      <c r="T3854">
        <v>0</v>
      </c>
      <c r="U3854">
        <v>0</v>
      </c>
      <c r="V3854" s="3">
        <v>0</v>
      </c>
      <c r="W3854" s="3">
        <v>0</v>
      </c>
      <c r="X3854">
        <v>0</v>
      </c>
      <c r="Y3854" t="s">
        <v>2961</v>
      </c>
    </row>
    <row r="3855" spans="1:25" hidden="1" x14ac:dyDescent="0.25">
      <c r="A3855" t="s">
        <v>31</v>
      </c>
      <c r="B3855" t="s">
        <v>104</v>
      </c>
      <c r="C3855" t="s">
        <v>32</v>
      </c>
      <c r="D3855" t="s">
        <v>27</v>
      </c>
      <c r="E3855" s="2">
        <v>46059</v>
      </c>
      <c r="F3855" s="2">
        <v>46059</v>
      </c>
      <c r="G3855" s="3">
        <v>71</v>
      </c>
      <c r="H3855" t="s">
        <v>28</v>
      </c>
      <c r="I3855">
        <v>78</v>
      </c>
      <c r="J3855">
        <v>0</v>
      </c>
      <c r="K3855">
        <v>0</v>
      </c>
      <c r="L3855" s="3">
        <v>1</v>
      </c>
      <c r="M3855" s="3">
        <v>0</v>
      </c>
      <c r="N3855">
        <v>0</v>
      </c>
      <c r="O3855">
        <v>0</v>
      </c>
      <c r="P3855">
        <v>0</v>
      </c>
      <c r="Q3855">
        <v>35</v>
      </c>
      <c r="R3855" s="3">
        <v>0</v>
      </c>
      <c r="S3855" s="3">
        <v>0</v>
      </c>
      <c r="T3855">
        <v>0</v>
      </c>
      <c r="U3855">
        <v>0</v>
      </c>
      <c r="V3855" s="3">
        <v>0</v>
      </c>
      <c r="W3855" s="3">
        <v>0</v>
      </c>
      <c r="X3855">
        <v>0</v>
      </c>
      <c r="Y3855" t="s">
        <v>2976</v>
      </c>
    </row>
    <row r="3856" spans="1:25" hidden="1" x14ac:dyDescent="0.25">
      <c r="A3856" t="s">
        <v>36</v>
      </c>
      <c r="B3856" t="s">
        <v>249</v>
      </c>
      <c r="C3856" t="s">
        <v>57</v>
      </c>
      <c r="D3856" t="s">
        <v>27</v>
      </c>
      <c r="E3856" s="2">
        <v>46059</v>
      </c>
      <c r="F3856" s="2">
        <v>46059</v>
      </c>
      <c r="G3856" s="3">
        <v>98</v>
      </c>
      <c r="H3856" t="s">
        <v>28</v>
      </c>
      <c r="I3856">
        <v>54</v>
      </c>
      <c r="J3856">
        <v>0</v>
      </c>
      <c r="K3856">
        <v>0</v>
      </c>
      <c r="L3856" s="3">
        <v>0</v>
      </c>
      <c r="M3856" s="3">
        <v>0</v>
      </c>
      <c r="N3856">
        <v>0</v>
      </c>
      <c r="O3856">
        <v>0</v>
      </c>
      <c r="P3856">
        <v>0</v>
      </c>
      <c r="Q3856">
        <v>0</v>
      </c>
      <c r="R3856" s="3">
        <v>0</v>
      </c>
      <c r="S3856" s="3">
        <v>0</v>
      </c>
      <c r="T3856">
        <v>0</v>
      </c>
      <c r="U3856">
        <v>0</v>
      </c>
      <c r="V3856" s="3">
        <v>0</v>
      </c>
      <c r="W3856" s="3">
        <v>0</v>
      </c>
      <c r="X3856">
        <v>0</v>
      </c>
      <c r="Y3856" t="s">
        <v>2977</v>
      </c>
    </row>
    <row r="3857" spans="1:25" hidden="1" x14ac:dyDescent="0.25">
      <c r="A3857" t="s">
        <v>38</v>
      </c>
      <c r="B3857" t="s">
        <v>108</v>
      </c>
      <c r="C3857" t="s">
        <v>27</v>
      </c>
      <c r="D3857" t="s">
        <v>27</v>
      </c>
      <c r="E3857" s="2">
        <v>46059</v>
      </c>
      <c r="F3857" s="2">
        <v>46059</v>
      </c>
      <c r="G3857" s="3">
        <v>33</v>
      </c>
      <c r="H3857" t="s">
        <v>28</v>
      </c>
      <c r="I3857">
        <v>40</v>
      </c>
      <c r="J3857">
        <v>0</v>
      </c>
      <c r="K3857">
        <v>0</v>
      </c>
      <c r="L3857" s="3">
        <v>1</v>
      </c>
      <c r="M3857" s="3">
        <v>0</v>
      </c>
      <c r="N3857">
        <v>0</v>
      </c>
      <c r="O3857">
        <v>0</v>
      </c>
      <c r="P3857">
        <v>0</v>
      </c>
      <c r="Q3857">
        <v>40</v>
      </c>
      <c r="R3857" s="3">
        <v>0</v>
      </c>
      <c r="S3857" s="3">
        <v>0</v>
      </c>
      <c r="T3857">
        <v>0</v>
      </c>
      <c r="U3857">
        <v>0</v>
      </c>
      <c r="V3857" s="3">
        <v>0</v>
      </c>
      <c r="W3857" s="3">
        <v>0</v>
      </c>
      <c r="X3857">
        <v>0</v>
      </c>
      <c r="Y3857" t="s">
        <v>2978</v>
      </c>
    </row>
    <row r="3858" spans="1:25" hidden="1" x14ac:dyDescent="0.25">
      <c r="A3858" t="s">
        <v>2679</v>
      </c>
      <c r="B3858" t="s">
        <v>2680</v>
      </c>
      <c r="C3858" t="s">
        <v>39</v>
      </c>
      <c r="D3858" t="s">
        <v>27</v>
      </c>
      <c r="E3858" s="2">
        <v>46059</v>
      </c>
      <c r="F3858" s="2">
        <v>46059</v>
      </c>
      <c r="G3858" s="5">
        <v>2562</v>
      </c>
      <c r="H3858" t="s">
        <v>28</v>
      </c>
      <c r="I3858">
        <v>76</v>
      </c>
      <c r="J3858">
        <v>0</v>
      </c>
      <c r="K3858">
        <v>0</v>
      </c>
      <c r="L3858" s="3">
        <v>0</v>
      </c>
      <c r="M3858" s="3">
        <v>0</v>
      </c>
      <c r="N3858">
        <v>0</v>
      </c>
      <c r="O3858">
        <v>0</v>
      </c>
      <c r="P3858">
        <v>0</v>
      </c>
      <c r="Q3858">
        <v>76</v>
      </c>
      <c r="R3858" s="3">
        <v>0</v>
      </c>
      <c r="S3858" s="3">
        <v>0</v>
      </c>
      <c r="T3858">
        <v>0</v>
      </c>
      <c r="U3858">
        <v>0</v>
      </c>
      <c r="V3858" s="3">
        <v>0</v>
      </c>
      <c r="W3858" s="3">
        <v>0</v>
      </c>
      <c r="X3858">
        <v>0</v>
      </c>
      <c r="Y3858" t="s">
        <v>2979</v>
      </c>
    </row>
    <row r="3859" spans="1:25" hidden="1" x14ac:dyDescent="0.25">
      <c r="A3859" t="s">
        <v>40</v>
      </c>
      <c r="B3859" t="s">
        <v>110</v>
      </c>
      <c r="C3859" t="s">
        <v>2534</v>
      </c>
      <c r="D3859" t="s">
        <v>27</v>
      </c>
      <c r="E3859" s="2">
        <v>46059</v>
      </c>
      <c r="F3859" s="2">
        <v>46059</v>
      </c>
      <c r="G3859" s="3">
        <v>40</v>
      </c>
      <c r="H3859" t="s">
        <v>28</v>
      </c>
      <c r="I3859">
        <v>81</v>
      </c>
      <c r="J3859">
        <v>0</v>
      </c>
      <c r="K3859">
        <v>0</v>
      </c>
      <c r="L3859" s="3">
        <v>1</v>
      </c>
      <c r="M3859" s="3">
        <v>0</v>
      </c>
      <c r="N3859">
        <v>1</v>
      </c>
      <c r="O3859">
        <v>0</v>
      </c>
      <c r="P3859">
        <v>0</v>
      </c>
      <c r="Q3859">
        <v>68</v>
      </c>
      <c r="R3859" s="3">
        <v>0</v>
      </c>
      <c r="S3859" s="3">
        <v>0</v>
      </c>
      <c r="T3859">
        <v>0</v>
      </c>
      <c r="U3859">
        <v>0</v>
      </c>
      <c r="V3859" s="3">
        <v>0</v>
      </c>
      <c r="W3859" s="3">
        <v>0</v>
      </c>
      <c r="X3859">
        <v>0</v>
      </c>
      <c r="Y3859" t="s">
        <v>2980</v>
      </c>
    </row>
    <row r="3860" spans="1:25" hidden="1" x14ac:dyDescent="0.25">
      <c r="A3860" t="s">
        <v>1316</v>
      </c>
      <c r="B3860" t="s">
        <v>1348</v>
      </c>
      <c r="C3860" t="s">
        <v>52</v>
      </c>
      <c r="D3860" t="s">
        <v>27</v>
      </c>
      <c r="E3860" s="2">
        <v>46059</v>
      </c>
      <c r="F3860" s="2">
        <v>46059</v>
      </c>
      <c r="G3860" s="3">
        <v>40</v>
      </c>
      <c r="H3860" t="s">
        <v>28</v>
      </c>
      <c r="I3860">
        <v>42</v>
      </c>
      <c r="J3860">
        <v>0</v>
      </c>
      <c r="K3860">
        <v>0</v>
      </c>
      <c r="L3860" s="3">
        <v>0</v>
      </c>
      <c r="M3860" s="3">
        <v>0</v>
      </c>
      <c r="N3860">
        <v>0</v>
      </c>
      <c r="O3860">
        <v>0</v>
      </c>
      <c r="P3860">
        <v>0</v>
      </c>
      <c r="Q3860">
        <v>0</v>
      </c>
      <c r="R3860" s="3">
        <v>0</v>
      </c>
      <c r="S3860" s="3">
        <v>0</v>
      </c>
      <c r="T3860">
        <v>0</v>
      </c>
      <c r="U3860">
        <v>0</v>
      </c>
      <c r="V3860" s="3">
        <v>0</v>
      </c>
      <c r="W3860" s="3">
        <v>0</v>
      </c>
      <c r="X3860">
        <v>0</v>
      </c>
      <c r="Y3860" t="s">
        <v>2981</v>
      </c>
    </row>
    <row r="3861" spans="1:25" hidden="1" x14ac:dyDescent="0.25">
      <c r="A3861" t="s">
        <v>41</v>
      </c>
      <c r="B3861" t="s">
        <v>112</v>
      </c>
      <c r="C3861" t="s">
        <v>42</v>
      </c>
      <c r="D3861" t="s">
        <v>27</v>
      </c>
      <c r="E3861" s="2">
        <v>46059</v>
      </c>
      <c r="F3861" s="2">
        <v>46059</v>
      </c>
      <c r="G3861" s="3">
        <v>43</v>
      </c>
      <c r="H3861" t="s">
        <v>28</v>
      </c>
      <c r="I3861">
        <v>44</v>
      </c>
      <c r="J3861">
        <v>0</v>
      </c>
      <c r="K3861">
        <v>0</v>
      </c>
      <c r="L3861" s="3">
        <v>1</v>
      </c>
      <c r="M3861" s="3">
        <v>0</v>
      </c>
      <c r="N3861">
        <v>0</v>
      </c>
      <c r="O3861">
        <v>0</v>
      </c>
      <c r="P3861">
        <v>0</v>
      </c>
      <c r="Q3861">
        <v>1</v>
      </c>
      <c r="R3861" s="3">
        <v>0</v>
      </c>
      <c r="S3861" s="3">
        <v>0</v>
      </c>
      <c r="T3861">
        <v>0</v>
      </c>
      <c r="U3861">
        <v>0</v>
      </c>
      <c r="V3861" s="3">
        <v>0</v>
      </c>
      <c r="W3861" s="3">
        <v>0</v>
      </c>
      <c r="X3861">
        <v>0</v>
      </c>
      <c r="Y3861" t="s">
        <v>2982</v>
      </c>
    </row>
    <row r="3862" spans="1:25" hidden="1" x14ac:dyDescent="0.25">
      <c r="A3862" t="s">
        <v>43</v>
      </c>
      <c r="B3862" t="s">
        <v>114</v>
      </c>
      <c r="C3862" t="s">
        <v>44</v>
      </c>
      <c r="D3862" t="s">
        <v>27</v>
      </c>
      <c r="E3862" s="2">
        <v>46059</v>
      </c>
      <c r="F3862" s="2">
        <v>46059</v>
      </c>
      <c r="G3862" s="3">
        <v>50</v>
      </c>
      <c r="H3862" t="s">
        <v>28</v>
      </c>
      <c r="I3862">
        <v>50</v>
      </c>
      <c r="J3862">
        <v>0</v>
      </c>
      <c r="K3862">
        <v>0</v>
      </c>
      <c r="L3862" s="3">
        <v>1</v>
      </c>
      <c r="M3862" s="3">
        <v>0</v>
      </c>
      <c r="N3862">
        <v>0</v>
      </c>
      <c r="O3862">
        <v>0</v>
      </c>
      <c r="P3862">
        <v>3</v>
      </c>
      <c r="Q3862">
        <v>4</v>
      </c>
      <c r="R3862" s="3">
        <v>0</v>
      </c>
      <c r="S3862" s="3">
        <v>0</v>
      </c>
      <c r="T3862">
        <v>0</v>
      </c>
      <c r="U3862">
        <v>0</v>
      </c>
      <c r="V3862" s="3">
        <v>0</v>
      </c>
      <c r="W3862" s="3">
        <v>0</v>
      </c>
      <c r="X3862">
        <v>0</v>
      </c>
      <c r="Y3862" t="s">
        <v>2983</v>
      </c>
    </row>
    <row r="3863" spans="1:25" hidden="1" x14ac:dyDescent="0.25">
      <c r="A3863" t="s">
        <v>2118</v>
      </c>
      <c r="B3863" t="s">
        <v>2119</v>
      </c>
      <c r="C3863" t="s">
        <v>27</v>
      </c>
      <c r="D3863" t="s">
        <v>27</v>
      </c>
      <c r="E3863" s="2">
        <v>46059</v>
      </c>
      <c r="F3863" s="2">
        <v>46059</v>
      </c>
      <c r="G3863" s="3">
        <v>34</v>
      </c>
      <c r="H3863" t="s">
        <v>28</v>
      </c>
      <c r="I3863">
        <v>64</v>
      </c>
      <c r="J3863">
        <v>0</v>
      </c>
      <c r="K3863">
        <v>0</v>
      </c>
      <c r="L3863" s="3">
        <v>1</v>
      </c>
      <c r="M3863" s="3">
        <v>0</v>
      </c>
      <c r="N3863">
        <v>0</v>
      </c>
      <c r="O3863">
        <v>0</v>
      </c>
      <c r="P3863">
        <v>0</v>
      </c>
      <c r="Q3863">
        <v>64</v>
      </c>
      <c r="R3863" s="3">
        <v>0</v>
      </c>
      <c r="S3863" s="3">
        <v>0</v>
      </c>
      <c r="T3863">
        <v>0</v>
      </c>
      <c r="U3863">
        <v>0</v>
      </c>
      <c r="V3863" s="3">
        <v>0</v>
      </c>
      <c r="W3863" s="3">
        <v>0</v>
      </c>
      <c r="X3863">
        <v>0</v>
      </c>
      <c r="Y3863" t="s">
        <v>2984</v>
      </c>
    </row>
    <row r="3864" spans="1:25" hidden="1" x14ac:dyDescent="0.25">
      <c r="A3864" t="s">
        <v>45</v>
      </c>
      <c r="B3864" t="s">
        <v>116</v>
      </c>
      <c r="C3864" t="s">
        <v>2835</v>
      </c>
      <c r="D3864" t="s">
        <v>27</v>
      </c>
      <c r="E3864" s="2">
        <v>46059</v>
      </c>
      <c r="F3864" s="2">
        <v>46059</v>
      </c>
      <c r="G3864" s="3">
        <v>42</v>
      </c>
      <c r="H3864" t="s">
        <v>28</v>
      </c>
      <c r="I3864">
        <v>68</v>
      </c>
      <c r="J3864">
        <v>0</v>
      </c>
      <c r="K3864">
        <v>0</v>
      </c>
      <c r="L3864" s="3">
        <v>1</v>
      </c>
      <c r="M3864" s="3">
        <v>0</v>
      </c>
      <c r="N3864">
        <v>0</v>
      </c>
      <c r="O3864">
        <v>0</v>
      </c>
      <c r="P3864">
        <v>0</v>
      </c>
      <c r="Q3864">
        <v>12</v>
      </c>
      <c r="R3864" s="3">
        <v>0</v>
      </c>
      <c r="S3864" s="3">
        <v>0</v>
      </c>
      <c r="T3864">
        <v>0</v>
      </c>
      <c r="U3864">
        <v>0</v>
      </c>
      <c r="V3864" s="3">
        <v>0</v>
      </c>
      <c r="W3864" s="3">
        <v>0</v>
      </c>
      <c r="X3864">
        <v>1</v>
      </c>
      <c r="Y3864" t="s">
        <v>2985</v>
      </c>
    </row>
    <row r="3865" spans="1:25" hidden="1" x14ac:dyDescent="0.25">
      <c r="A3865" t="s">
        <v>47</v>
      </c>
      <c r="B3865" t="s">
        <v>137</v>
      </c>
      <c r="C3865" t="s">
        <v>2310</v>
      </c>
      <c r="D3865" t="s">
        <v>27</v>
      </c>
      <c r="E3865" s="2">
        <v>46059</v>
      </c>
      <c r="F3865" s="2">
        <v>46059</v>
      </c>
      <c r="G3865" s="3">
        <v>70</v>
      </c>
      <c r="H3865" t="s">
        <v>28</v>
      </c>
      <c r="I3865">
        <v>74</v>
      </c>
      <c r="J3865">
        <v>0</v>
      </c>
      <c r="K3865">
        <v>0</v>
      </c>
      <c r="L3865" s="3">
        <v>1</v>
      </c>
      <c r="M3865" s="3">
        <v>0</v>
      </c>
      <c r="N3865">
        <v>0</v>
      </c>
      <c r="O3865">
        <v>0</v>
      </c>
      <c r="P3865">
        <v>0</v>
      </c>
      <c r="Q3865">
        <v>16</v>
      </c>
      <c r="R3865" s="3">
        <v>0</v>
      </c>
      <c r="S3865" s="3">
        <v>0</v>
      </c>
      <c r="T3865">
        <v>0</v>
      </c>
      <c r="U3865">
        <v>0</v>
      </c>
      <c r="V3865" s="3">
        <v>0</v>
      </c>
      <c r="W3865" s="3">
        <v>0</v>
      </c>
      <c r="X3865">
        <v>0</v>
      </c>
      <c r="Y3865" t="s">
        <v>2986</v>
      </c>
    </row>
    <row r="3866" spans="1:25" hidden="1" x14ac:dyDescent="0.25">
      <c r="A3866" t="s">
        <v>49</v>
      </c>
      <c r="B3866" t="s">
        <v>118</v>
      </c>
      <c r="C3866" t="s">
        <v>50</v>
      </c>
      <c r="D3866" t="s">
        <v>27</v>
      </c>
      <c r="E3866" s="2">
        <v>46059</v>
      </c>
      <c r="F3866" s="2">
        <v>46059</v>
      </c>
      <c r="G3866" s="3">
        <v>25</v>
      </c>
      <c r="H3866" t="s">
        <v>28</v>
      </c>
      <c r="I3866">
        <v>41</v>
      </c>
      <c r="J3866">
        <v>0</v>
      </c>
      <c r="K3866">
        <v>0</v>
      </c>
      <c r="L3866" s="3">
        <v>1</v>
      </c>
      <c r="M3866" s="3">
        <v>1</v>
      </c>
      <c r="N3866">
        <v>0</v>
      </c>
      <c r="O3866">
        <v>0</v>
      </c>
      <c r="P3866">
        <v>0</v>
      </c>
      <c r="Q3866">
        <v>41</v>
      </c>
      <c r="R3866" s="3">
        <v>0</v>
      </c>
      <c r="S3866" s="3">
        <v>0</v>
      </c>
      <c r="T3866">
        <v>0</v>
      </c>
      <c r="U3866">
        <v>0</v>
      </c>
      <c r="V3866" s="3">
        <v>0</v>
      </c>
      <c r="W3866" s="3">
        <v>0</v>
      </c>
      <c r="X3866">
        <v>0</v>
      </c>
      <c r="Y3866" t="s">
        <v>2987</v>
      </c>
    </row>
    <row r="3867" spans="1:25" hidden="1" x14ac:dyDescent="0.25">
      <c r="A3867" t="s">
        <v>51</v>
      </c>
      <c r="B3867" t="s">
        <v>120</v>
      </c>
      <c r="C3867" t="s">
        <v>2379</v>
      </c>
      <c r="D3867" t="s">
        <v>27</v>
      </c>
      <c r="E3867" s="2">
        <v>46059</v>
      </c>
      <c r="F3867" s="2">
        <v>46059</v>
      </c>
      <c r="G3867" s="3">
        <v>53</v>
      </c>
      <c r="H3867" t="s">
        <v>28</v>
      </c>
      <c r="I3867">
        <v>36</v>
      </c>
      <c r="J3867">
        <v>0</v>
      </c>
      <c r="K3867">
        <v>0</v>
      </c>
      <c r="L3867" s="3">
        <v>1</v>
      </c>
      <c r="M3867" s="3">
        <v>0</v>
      </c>
      <c r="N3867">
        <v>1</v>
      </c>
      <c r="O3867">
        <v>0</v>
      </c>
      <c r="P3867">
        <v>0</v>
      </c>
      <c r="Q3867">
        <v>0</v>
      </c>
      <c r="R3867" s="3">
        <v>0</v>
      </c>
      <c r="S3867" s="3">
        <v>0</v>
      </c>
      <c r="T3867">
        <v>0</v>
      </c>
      <c r="U3867">
        <v>0</v>
      </c>
      <c r="V3867" s="3">
        <v>0</v>
      </c>
      <c r="W3867" s="3">
        <v>0</v>
      </c>
      <c r="X3867">
        <v>0</v>
      </c>
      <c r="Y3867" t="s">
        <v>2988</v>
      </c>
    </row>
    <row r="3868" spans="1:25" hidden="1" x14ac:dyDescent="0.25">
      <c r="A3868" t="s">
        <v>48</v>
      </c>
      <c r="B3868" t="s">
        <v>149</v>
      </c>
      <c r="C3868" t="s">
        <v>37</v>
      </c>
      <c r="D3868" t="s">
        <v>27</v>
      </c>
      <c r="E3868" s="2">
        <v>46059</v>
      </c>
      <c r="F3868" s="2">
        <v>46059</v>
      </c>
      <c r="G3868" s="3">
        <v>23</v>
      </c>
      <c r="H3868" t="s">
        <v>28</v>
      </c>
      <c r="I3868">
        <v>75</v>
      </c>
      <c r="J3868">
        <v>0</v>
      </c>
      <c r="K3868">
        <v>0</v>
      </c>
      <c r="L3868" s="3">
        <v>1</v>
      </c>
      <c r="M3868" s="3">
        <v>0</v>
      </c>
      <c r="N3868">
        <v>0</v>
      </c>
      <c r="O3868">
        <v>0</v>
      </c>
      <c r="P3868">
        <v>0</v>
      </c>
      <c r="Q3868">
        <v>0</v>
      </c>
      <c r="R3868" s="3">
        <v>0</v>
      </c>
      <c r="S3868" s="3">
        <v>0</v>
      </c>
      <c r="T3868">
        <v>0</v>
      </c>
      <c r="U3868">
        <v>0</v>
      </c>
      <c r="V3868" s="3">
        <v>0</v>
      </c>
      <c r="W3868" s="3">
        <v>0</v>
      </c>
      <c r="X3868">
        <v>0</v>
      </c>
      <c r="Y3868" t="s">
        <v>2989</v>
      </c>
    </row>
    <row r="3869" spans="1:25" hidden="1" x14ac:dyDescent="0.25">
      <c r="A3869" t="s">
        <v>58</v>
      </c>
      <c r="B3869" t="s">
        <v>144</v>
      </c>
      <c r="C3869" t="s">
        <v>2514</v>
      </c>
      <c r="D3869" t="s">
        <v>27</v>
      </c>
      <c r="E3869" s="2">
        <v>46059</v>
      </c>
      <c r="F3869" s="2">
        <v>46059</v>
      </c>
      <c r="G3869" s="3">
        <v>54</v>
      </c>
      <c r="H3869" t="s">
        <v>28</v>
      </c>
      <c r="I3869">
        <v>30</v>
      </c>
      <c r="J3869">
        <v>0</v>
      </c>
      <c r="K3869">
        <v>0</v>
      </c>
      <c r="L3869" s="3">
        <v>1</v>
      </c>
      <c r="M3869" s="3">
        <v>0</v>
      </c>
      <c r="N3869">
        <v>0</v>
      </c>
      <c r="O3869">
        <v>0</v>
      </c>
      <c r="P3869">
        <v>0</v>
      </c>
      <c r="Q3869">
        <v>10</v>
      </c>
      <c r="R3869" s="3">
        <v>0</v>
      </c>
      <c r="S3869" s="3">
        <v>0</v>
      </c>
      <c r="T3869">
        <v>0</v>
      </c>
      <c r="U3869">
        <v>0</v>
      </c>
      <c r="V3869" s="3">
        <v>0</v>
      </c>
      <c r="W3869" s="3">
        <v>0</v>
      </c>
      <c r="X3869">
        <v>0</v>
      </c>
      <c r="Y3869" t="s">
        <v>2990</v>
      </c>
    </row>
    <row r="3870" spans="1:25" hidden="1" x14ac:dyDescent="0.25">
      <c r="A3870" t="s">
        <v>438</v>
      </c>
      <c r="B3870" t="s">
        <v>798</v>
      </c>
      <c r="C3870" t="s">
        <v>27</v>
      </c>
      <c r="D3870" t="s">
        <v>27</v>
      </c>
      <c r="E3870" s="2">
        <v>46059</v>
      </c>
      <c r="F3870" s="2">
        <v>46059</v>
      </c>
      <c r="G3870" s="3">
        <v>33</v>
      </c>
      <c r="H3870" t="s">
        <v>1975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 t="s">
        <v>2803</v>
      </c>
    </row>
    <row r="3871" spans="1:25" hidden="1" x14ac:dyDescent="0.25">
      <c r="A3871" t="s">
        <v>454</v>
      </c>
      <c r="B3871" t="s">
        <v>106</v>
      </c>
      <c r="C3871" t="s">
        <v>27</v>
      </c>
      <c r="D3871" t="s">
        <v>27</v>
      </c>
      <c r="E3871" s="2">
        <v>46059</v>
      </c>
      <c r="F3871" s="2">
        <v>46059</v>
      </c>
      <c r="G3871" s="3">
        <v>72</v>
      </c>
      <c r="H3871" t="s">
        <v>763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 t="s">
        <v>2841</v>
      </c>
    </row>
    <row r="3872" spans="1:25" hidden="1" x14ac:dyDescent="0.25">
      <c r="A3872" t="s">
        <v>54</v>
      </c>
      <c r="B3872" t="s">
        <v>182</v>
      </c>
      <c r="C3872" t="s">
        <v>27</v>
      </c>
      <c r="D3872" t="s">
        <v>27</v>
      </c>
      <c r="E3872" s="2">
        <v>46059</v>
      </c>
      <c r="F3872" s="2">
        <v>46059</v>
      </c>
      <c r="G3872" s="3">
        <v>73</v>
      </c>
      <c r="H3872" t="s">
        <v>763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2841</v>
      </c>
    </row>
    <row r="3873" spans="1:25" hidden="1" x14ac:dyDescent="0.25">
      <c r="A3873" t="s">
        <v>27</v>
      </c>
      <c r="B3873" t="s">
        <v>184</v>
      </c>
      <c r="C3873" t="s">
        <v>35</v>
      </c>
      <c r="D3873" t="s">
        <v>27</v>
      </c>
      <c r="E3873" s="2">
        <v>46059</v>
      </c>
      <c r="F3873" s="2">
        <v>46059</v>
      </c>
      <c r="G3873" s="3">
        <v>74</v>
      </c>
      <c r="H3873" t="s">
        <v>763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 t="s">
        <v>2841</v>
      </c>
    </row>
    <row r="3874" spans="1:25" hidden="1" x14ac:dyDescent="0.25">
      <c r="A3874" t="s">
        <v>27</v>
      </c>
      <c r="B3874" t="s">
        <v>186</v>
      </c>
      <c r="C3874" t="s">
        <v>46</v>
      </c>
      <c r="D3874" t="s">
        <v>27</v>
      </c>
      <c r="E3874" s="2">
        <v>46059</v>
      </c>
      <c r="F3874" s="2">
        <v>46059</v>
      </c>
      <c r="G3874" s="3">
        <v>75</v>
      </c>
      <c r="H3874" t="s">
        <v>763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 t="s">
        <v>2841</v>
      </c>
    </row>
    <row r="3875" spans="1:25" hidden="1" x14ac:dyDescent="0.25">
      <c r="A3875" t="s">
        <v>27</v>
      </c>
      <c r="B3875" t="s">
        <v>188</v>
      </c>
      <c r="C3875" t="s">
        <v>55</v>
      </c>
      <c r="D3875" t="s">
        <v>27</v>
      </c>
      <c r="E3875" s="2">
        <v>46059</v>
      </c>
      <c r="F3875" s="2">
        <v>46059</v>
      </c>
      <c r="G3875" s="3">
        <v>76</v>
      </c>
      <c r="H3875" t="s">
        <v>763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2841</v>
      </c>
    </row>
    <row r="3876" spans="1:25" hidden="1" x14ac:dyDescent="0.25">
      <c r="A3876" t="s">
        <v>41</v>
      </c>
      <c r="B3876" t="s">
        <v>112</v>
      </c>
      <c r="C3876" t="s">
        <v>42</v>
      </c>
      <c r="D3876" t="s">
        <v>27</v>
      </c>
      <c r="E3876" s="2">
        <v>46060</v>
      </c>
      <c r="F3876" s="2">
        <v>46060</v>
      </c>
      <c r="G3876" s="3">
        <v>151</v>
      </c>
      <c r="H3876" t="s">
        <v>28</v>
      </c>
      <c r="I3876">
        <v>0</v>
      </c>
      <c r="J3876">
        <v>0</v>
      </c>
      <c r="K3876">
        <v>0</v>
      </c>
      <c r="L3876" s="3">
        <v>0</v>
      </c>
      <c r="M3876" s="3">
        <v>0</v>
      </c>
      <c r="N3876">
        <v>1</v>
      </c>
      <c r="O3876">
        <v>0</v>
      </c>
      <c r="P3876">
        <v>0</v>
      </c>
      <c r="Q3876">
        <v>86</v>
      </c>
      <c r="R3876" s="3">
        <v>1</v>
      </c>
      <c r="S3876" s="3">
        <v>0</v>
      </c>
      <c r="T3876">
        <v>86</v>
      </c>
      <c r="U3876">
        <v>14</v>
      </c>
      <c r="V3876" s="3">
        <v>1</v>
      </c>
      <c r="W3876" s="3">
        <v>0</v>
      </c>
      <c r="X3876">
        <v>4</v>
      </c>
      <c r="Y3876" t="s">
        <v>2991</v>
      </c>
    </row>
    <row r="3877" spans="1:25" hidden="1" x14ac:dyDescent="0.25">
      <c r="A3877" t="s">
        <v>51</v>
      </c>
      <c r="B3877" t="s">
        <v>120</v>
      </c>
      <c r="C3877" t="s">
        <v>2514</v>
      </c>
      <c r="D3877" t="s">
        <v>27</v>
      </c>
      <c r="E3877" s="2">
        <v>46060</v>
      </c>
      <c r="F3877" s="2">
        <v>46060</v>
      </c>
      <c r="G3877" s="3">
        <v>116</v>
      </c>
      <c r="H3877" t="s">
        <v>28</v>
      </c>
      <c r="I3877">
        <v>0</v>
      </c>
      <c r="J3877">
        <v>0</v>
      </c>
      <c r="K3877">
        <v>0</v>
      </c>
      <c r="L3877" s="3">
        <v>0</v>
      </c>
      <c r="M3877" s="3">
        <v>0</v>
      </c>
      <c r="N3877">
        <v>0</v>
      </c>
      <c r="O3877">
        <v>0</v>
      </c>
      <c r="P3877">
        <v>0</v>
      </c>
      <c r="Q3877">
        <v>0</v>
      </c>
      <c r="R3877" s="3">
        <v>1</v>
      </c>
      <c r="S3877" s="3">
        <v>0</v>
      </c>
      <c r="T3877">
        <v>51</v>
      </c>
      <c r="U3877">
        <v>41</v>
      </c>
      <c r="V3877" s="3">
        <v>1</v>
      </c>
      <c r="W3877" s="3">
        <v>0</v>
      </c>
      <c r="X3877">
        <v>0</v>
      </c>
      <c r="Y3877" t="s">
        <v>2992</v>
      </c>
    </row>
    <row r="3878" spans="1:25" hidden="1" x14ac:dyDescent="0.25">
      <c r="A3878" t="s">
        <v>41</v>
      </c>
      <c r="B3878" t="s">
        <v>112</v>
      </c>
      <c r="C3878" t="s">
        <v>42</v>
      </c>
      <c r="D3878" t="s">
        <v>27</v>
      </c>
      <c r="E3878" s="2">
        <v>46061</v>
      </c>
      <c r="F3878" s="2">
        <v>46061</v>
      </c>
      <c r="G3878" s="3">
        <v>186</v>
      </c>
      <c r="H3878" t="s">
        <v>28</v>
      </c>
      <c r="I3878">
        <v>0</v>
      </c>
      <c r="J3878">
        <v>0</v>
      </c>
      <c r="K3878">
        <v>0</v>
      </c>
      <c r="L3878" s="3">
        <v>0</v>
      </c>
      <c r="M3878" s="3">
        <v>0</v>
      </c>
      <c r="N3878">
        <v>1</v>
      </c>
      <c r="O3878">
        <v>0</v>
      </c>
      <c r="P3878">
        <v>70</v>
      </c>
      <c r="Q3878">
        <v>0</v>
      </c>
      <c r="R3878" s="3">
        <v>0</v>
      </c>
      <c r="S3878" s="3">
        <v>1</v>
      </c>
      <c r="T3878">
        <v>0</v>
      </c>
      <c r="U3878">
        <f>150+10</f>
        <v>160</v>
      </c>
      <c r="V3878" s="3">
        <v>0</v>
      </c>
      <c r="W3878" s="3">
        <v>0</v>
      </c>
      <c r="X3878">
        <v>6</v>
      </c>
      <c r="Y3878" t="s">
        <v>2993</v>
      </c>
    </row>
    <row r="3879" spans="1:25" hidden="1" x14ac:dyDescent="0.25">
      <c r="A3879" t="s">
        <v>48</v>
      </c>
      <c r="B3879" t="s">
        <v>149</v>
      </c>
      <c r="C3879" t="s">
        <v>52</v>
      </c>
      <c r="D3879" t="s">
        <v>27</v>
      </c>
      <c r="E3879" s="2">
        <v>46061</v>
      </c>
      <c r="F3879" s="2">
        <v>46061</v>
      </c>
      <c r="G3879" s="3">
        <v>108</v>
      </c>
      <c r="H3879" t="s">
        <v>28</v>
      </c>
      <c r="I3879">
        <v>0</v>
      </c>
      <c r="J3879">
        <v>0</v>
      </c>
      <c r="K3879">
        <v>0</v>
      </c>
      <c r="L3879" s="3">
        <v>0</v>
      </c>
      <c r="M3879" s="3">
        <v>0</v>
      </c>
      <c r="N3879">
        <v>0</v>
      </c>
      <c r="O3879">
        <v>0</v>
      </c>
      <c r="P3879">
        <v>0</v>
      </c>
      <c r="Q3879">
        <v>5</v>
      </c>
      <c r="R3879" s="3">
        <v>0</v>
      </c>
      <c r="S3879" s="3">
        <v>1</v>
      </c>
      <c r="T3879">
        <v>11</v>
      </c>
      <c r="U3879">
        <v>102</v>
      </c>
      <c r="V3879" s="3">
        <v>0</v>
      </c>
      <c r="W3879" s="3">
        <v>1</v>
      </c>
      <c r="X3879">
        <v>4</v>
      </c>
      <c r="Y3879" t="s">
        <v>2994</v>
      </c>
    </row>
    <row r="3880" spans="1:25" hidden="1" x14ac:dyDescent="0.25">
      <c r="A3880" t="s">
        <v>344</v>
      </c>
      <c r="B3880" t="s">
        <v>149</v>
      </c>
      <c r="C3880" t="s">
        <v>44</v>
      </c>
      <c r="D3880" t="s">
        <v>27</v>
      </c>
      <c r="E3880" s="2">
        <v>46061</v>
      </c>
      <c r="F3880" s="2">
        <v>46061</v>
      </c>
      <c r="G3880" s="3">
        <v>108</v>
      </c>
      <c r="H3880" t="s">
        <v>28</v>
      </c>
      <c r="I3880">
        <v>0</v>
      </c>
      <c r="J3880">
        <v>0</v>
      </c>
      <c r="K3880">
        <v>0</v>
      </c>
      <c r="L3880" s="3">
        <v>0</v>
      </c>
      <c r="M3880" s="3">
        <v>0</v>
      </c>
      <c r="N3880">
        <v>0</v>
      </c>
      <c r="O3880">
        <v>0</v>
      </c>
      <c r="P3880">
        <v>0</v>
      </c>
      <c r="Q3880">
        <v>3</v>
      </c>
      <c r="R3880" s="3">
        <v>0</v>
      </c>
      <c r="S3880" s="3">
        <v>1</v>
      </c>
      <c r="T3880">
        <v>3</v>
      </c>
      <c r="U3880">
        <f>94+40</f>
        <v>134</v>
      </c>
      <c r="V3880" s="3">
        <v>0</v>
      </c>
      <c r="W3880" s="3">
        <v>1</v>
      </c>
      <c r="X3880">
        <v>4</v>
      </c>
      <c r="Y3880" t="s">
        <v>2994</v>
      </c>
    </row>
    <row r="3881" spans="1:25" hidden="1" x14ac:dyDescent="0.25">
      <c r="A3881" t="s">
        <v>25</v>
      </c>
      <c r="B3881" t="s">
        <v>96</v>
      </c>
      <c r="C3881" t="s">
        <v>26</v>
      </c>
      <c r="D3881" t="s">
        <v>27</v>
      </c>
      <c r="E3881" s="2">
        <v>46062</v>
      </c>
      <c r="F3881" s="2">
        <v>46062</v>
      </c>
      <c r="G3881" s="3">
        <v>41</v>
      </c>
      <c r="H3881" t="s">
        <v>28</v>
      </c>
      <c r="I3881">
        <v>40</v>
      </c>
      <c r="J3881">
        <v>0</v>
      </c>
      <c r="K3881">
        <v>0</v>
      </c>
      <c r="L3881" s="3">
        <v>1</v>
      </c>
      <c r="M3881" s="3">
        <v>0</v>
      </c>
      <c r="N3881">
        <v>1</v>
      </c>
      <c r="O3881">
        <v>0</v>
      </c>
      <c r="P3881">
        <v>0</v>
      </c>
      <c r="Q3881">
        <v>0</v>
      </c>
      <c r="R3881" s="3">
        <v>0</v>
      </c>
      <c r="S3881" s="3">
        <v>0</v>
      </c>
      <c r="T3881">
        <v>0</v>
      </c>
      <c r="U3881">
        <v>0</v>
      </c>
      <c r="V3881" s="3">
        <v>0</v>
      </c>
      <c r="W3881" s="3">
        <v>0</v>
      </c>
      <c r="X3881">
        <v>0</v>
      </c>
      <c r="Y3881" t="s">
        <v>2995</v>
      </c>
    </row>
    <row r="3882" spans="1:25" hidden="1" x14ac:dyDescent="0.25">
      <c r="A3882" t="s">
        <v>344</v>
      </c>
      <c r="B3882" t="s">
        <v>102</v>
      </c>
      <c r="C3882" t="s">
        <v>95</v>
      </c>
      <c r="D3882" t="s">
        <v>27</v>
      </c>
      <c r="E3882" s="2">
        <v>46062</v>
      </c>
      <c r="F3882" s="2">
        <v>46062</v>
      </c>
      <c r="G3882" s="3">
        <v>46</v>
      </c>
      <c r="H3882" t="s">
        <v>28</v>
      </c>
      <c r="I3882">
        <v>34</v>
      </c>
      <c r="J3882">
        <v>0</v>
      </c>
      <c r="K3882">
        <v>0</v>
      </c>
      <c r="L3882" s="3">
        <v>0</v>
      </c>
      <c r="M3882" s="3">
        <v>0</v>
      </c>
      <c r="N3882">
        <v>0</v>
      </c>
      <c r="O3882">
        <v>0</v>
      </c>
      <c r="P3882">
        <v>0</v>
      </c>
      <c r="Q3882">
        <v>0</v>
      </c>
      <c r="R3882" s="3">
        <v>0</v>
      </c>
      <c r="S3882" s="3">
        <v>0</v>
      </c>
      <c r="T3882">
        <v>0</v>
      </c>
      <c r="U3882">
        <v>0</v>
      </c>
      <c r="V3882" s="3">
        <v>0</v>
      </c>
      <c r="W3882" s="3">
        <v>0</v>
      </c>
      <c r="X3882">
        <v>0</v>
      </c>
      <c r="Y3882" t="s">
        <v>2961</v>
      </c>
    </row>
    <row r="3883" spans="1:25" hidden="1" x14ac:dyDescent="0.25">
      <c r="A3883" t="s">
        <v>31</v>
      </c>
      <c r="B3883" t="s">
        <v>104</v>
      </c>
      <c r="C3883" t="s">
        <v>32</v>
      </c>
      <c r="D3883" t="s">
        <v>27</v>
      </c>
      <c r="E3883" s="2">
        <v>46062</v>
      </c>
      <c r="F3883" s="2">
        <v>46062</v>
      </c>
      <c r="G3883" s="3">
        <v>46</v>
      </c>
      <c r="H3883" t="s">
        <v>28</v>
      </c>
      <c r="I3883">
        <v>92</v>
      </c>
      <c r="J3883">
        <v>0</v>
      </c>
      <c r="K3883">
        <v>0</v>
      </c>
      <c r="L3883" s="3">
        <v>1</v>
      </c>
      <c r="M3883" s="3">
        <v>0</v>
      </c>
      <c r="N3883">
        <v>0</v>
      </c>
      <c r="O3883">
        <v>0</v>
      </c>
      <c r="P3883">
        <v>0</v>
      </c>
      <c r="Q3883">
        <v>37</v>
      </c>
      <c r="R3883" s="3">
        <v>0</v>
      </c>
      <c r="S3883" s="3">
        <v>0</v>
      </c>
      <c r="T3883">
        <v>0</v>
      </c>
      <c r="U3883">
        <v>0</v>
      </c>
      <c r="V3883" s="3">
        <v>0</v>
      </c>
      <c r="W3883" s="3">
        <v>0</v>
      </c>
      <c r="X3883">
        <v>2</v>
      </c>
      <c r="Y3883" t="s">
        <v>2996</v>
      </c>
    </row>
    <row r="3884" spans="1:25" hidden="1" x14ac:dyDescent="0.25">
      <c r="A3884" t="s">
        <v>597</v>
      </c>
      <c r="B3884" t="s">
        <v>598</v>
      </c>
      <c r="C3884" t="s">
        <v>57</v>
      </c>
      <c r="D3884" t="s">
        <v>27</v>
      </c>
      <c r="E3884" s="2">
        <v>46062</v>
      </c>
      <c r="F3884" s="2">
        <v>46062</v>
      </c>
      <c r="G3884" s="3">
        <v>33</v>
      </c>
      <c r="H3884" t="s">
        <v>28</v>
      </c>
      <c r="I3884">
        <v>32</v>
      </c>
      <c r="J3884">
        <v>0</v>
      </c>
      <c r="K3884">
        <v>0</v>
      </c>
      <c r="L3884" s="3">
        <v>0</v>
      </c>
      <c r="M3884" s="3">
        <v>0</v>
      </c>
      <c r="N3884">
        <v>0</v>
      </c>
      <c r="O3884">
        <v>0</v>
      </c>
      <c r="P3884">
        <v>0</v>
      </c>
      <c r="Q3884">
        <v>0</v>
      </c>
      <c r="R3884" s="3">
        <v>0</v>
      </c>
      <c r="S3884" s="3">
        <v>0</v>
      </c>
      <c r="T3884">
        <v>0</v>
      </c>
      <c r="U3884">
        <v>0</v>
      </c>
      <c r="V3884" s="3">
        <v>0</v>
      </c>
      <c r="W3884" s="3">
        <v>0</v>
      </c>
      <c r="X3884">
        <v>0</v>
      </c>
      <c r="Y3884" t="s">
        <v>2997</v>
      </c>
    </row>
    <row r="3885" spans="1:25" hidden="1" x14ac:dyDescent="0.25">
      <c r="A3885" t="s">
        <v>2899</v>
      </c>
      <c r="B3885" t="s">
        <v>2998</v>
      </c>
      <c r="C3885" t="s">
        <v>52</v>
      </c>
      <c r="D3885" t="s">
        <v>27</v>
      </c>
      <c r="E3885" s="2">
        <v>46062</v>
      </c>
      <c r="F3885" s="2">
        <v>46062</v>
      </c>
      <c r="G3885" s="3">
        <v>38</v>
      </c>
      <c r="H3885" t="s">
        <v>28</v>
      </c>
      <c r="I3885">
        <v>60</v>
      </c>
      <c r="J3885">
        <v>0</v>
      </c>
      <c r="K3885">
        <v>0</v>
      </c>
      <c r="L3885" s="3">
        <v>0</v>
      </c>
      <c r="M3885" s="3">
        <v>0</v>
      </c>
      <c r="N3885">
        <v>0</v>
      </c>
      <c r="O3885">
        <v>0</v>
      </c>
      <c r="P3885">
        <v>0</v>
      </c>
      <c r="Q3885">
        <v>0</v>
      </c>
      <c r="R3885" s="3">
        <v>0</v>
      </c>
      <c r="S3885" s="3">
        <v>0</v>
      </c>
      <c r="T3885">
        <v>0</v>
      </c>
      <c r="U3885">
        <v>0</v>
      </c>
      <c r="V3885" s="3">
        <v>0</v>
      </c>
      <c r="W3885" s="3">
        <v>0</v>
      </c>
      <c r="X3885">
        <v>0</v>
      </c>
      <c r="Y3885" t="s">
        <v>2999</v>
      </c>
    </row>
    <row r="3886" spans="1:25" hidden="1" x14ac:dyDescent="0.25">
      <c r="A3886" t="s">
        <v>2755</v>
      </c>
      <c r="B3886" t="s">
        <v>3000</v>
      </c>
      <c r="C3886" t="s">
        <v>2514</v>
      </c>
      <c r="D3886" t="s">
        <v>27</v>
      </c>
      <c r="E3886" s="2">
        <v>46062</v>
      </c>
      <c r="F3886" s="2">
        <v>46062</v>
      </c>
      <c r="G3886" s="3">
        <v>232</v>
      </c>
      <c r="H3886" t="s">
        <v>28</v>
      </c>
      <c r="I3886">
        <v>59</v>
      </c>
      <c r="J3886">
        <v>0</v>
      </c>
      <c r="K3886">
        <v>0</v>
      </c>
      <c r="L3886" s="3">
        <v>1</v>
      </c>
      <c r="M3886" s="3">
        <v>0</v>
      </c>
      <c r="N3886">
        <v>0</v>
      </c>
      <c r="O3886">
        <v>0</v>
      </c>
      <c r="P3886">
        <v>0</v>
      </c>
      <c r="Q3886">
        <v>20</v>
      </c>
      <c r="R3886" s="3">
        <v>0</v>
      </c>
      <c r="S3886" s="3">
        <v>0</v>
      </c>
      <c r="T3886">
        <v>0</v>
      </c>
      <c r="U3886">
        <v>0</v>
      </c>
      <c r="V3886" s="3">
        <v>0</v>
      </c>
      <c r="W3886" s="3">
        <v>0</v>
      </c>
      <c r="X3886">
        <v>0</v>
      </c>
      <c r="Y3886" t="s">
        <v>3001</v>
      </c>
    </row>
    <row r="3887" spans="1:25" hidden="1" x14ac:dyDescent="0.25">
      <c r="A3887" t="s">
        <v>36</v>
      </c>
      <c r="B3887" t="s">
        <v>249</v>
      </c>
      <c r="C3887" t="s">
        <v>2534</v>
      </c>
      <c r="D3887" t="s">
        <v>27</v>
      </c>
      <c r="E3887" s="2">
        <v>46062</v>
      </c>
      <c r="F3887" s="2">
        <v>46062</v>
      </c>
      <c r="G3887" s="3">
        <v>111</v>
      </c>
      <c r="H3887" t="s">
        <v>28</v>
      </c>
      <c r="I3887">
        <v>92</v>
      </c>
      <c r="J3887">
        <v>0</v>
      </c>
      <c r="K3887">
        <v>0</v>
      </c>
      <c r="L3887" s="3">
        <v>1</v>
      </c>
      <c r="M3887" s="3">
        <v>0</v>
      </c>
      <c r="N3887">
        <v>1</v>
      </c>
      <c r="O3887">
        <v>0</v>
      </c>
      <c r="P3887">
        <v>0</v>
      </c>
      <c r="Q3887">
        <v>0</v>
      </c>
      <c r="R3887" s="3">
        <v>0</v>
      </c>
      <c r="S3887" s="3">
        <v>0</v>
      </c>
      <c r="T3887">
        <v>0</v>
      </c>
      <c r="U3887">
        <v>0</v>
      </c>
      <c r="V3887" s="3">
        <v>0</v>
      </c>
      <c r="W3887" s="3">
        <v>0</v>
      </c>
      <c r="X3887">
        <v>0</v>
      </c>
      <c r="Y3887" t="s">
        <v>3002</v>
      </c>
    </row>
    <row r="3888" spans="1:25" hidden="1" x14ac:dyDescent="0.25">
      <c r="A3888" t="s">
        <v>38</v>
      </c>
      <c r="B3888" t="s">
        <v>108</v>
      </c>
      <c r="C3888" t="s">
        <v>27</v>
      </c>
      <c r="D3888" t="s">
        <v>27</v>
      </c>
      <c r="E3888" s="2">
        <v>46062</v>
      </c>
      <c r="F3888" s="2">
        <v>46062</v>
      </c>
      <c r="G3888" s="3">
        <v>51</v>
      </c>
      <c r="H3888" t="s">
        <v>28</v>
      </c>
      <c r="I3888">
        <v>40</v>
      </c>
      <c r="J3888">
        <v>0</v>
      </c>
      <c r="K3888">
        <v>0</v>
      </c>
      <c r="L3888" s="3">
        <v>1</v>
      </c>
      <c r="M3888" s="3">
        <v>0</v>
      </c>
      <c r="N3888">
        <v>0</v>
      </c>
      <c r="O3888">
        <v>0</v>
      </c>
      <c r="P3888">
        <v>0</v>
      </c>
      <c r="Q3888">
        <v>40</v>
      </c>
      <c r="R3888" s="3">
        <v>0</v>
      </c>
      <c r="S3888" s="3">
        <v>0</v>
      </c>
      <c r="T3888">
        <v>0</v>
      </c>
      <c r="U3888">
        <v>0</v>
      </c>
      <c r="V3888" s="3">
        <v>0</v>
      </c>
      <c r="W3888" s="3">
        <v>0</v>
      </c>
      <c r="X3888">
        <v>0</v>
      </c>
      <c r="Y3888" t="s">
        <v>3003</v>
      </c>
    </row>
    <row r="3889" spans="1:25" hidden="1" x14ac:dyDescent="0.25">
      <c r="A3889" t="s">
        <v>2679</v>
      </c>
      <c r="B3889" t="s">
        <v>2680</v>
      </c>
      <c r="C3889" t="s">
        <v>39</v>
      </c>
      <c r="D3889" t="s">
        <v>27</v>
      </c>
      <c r="E3889" s="2">
        <v>46062</v>
      </c>
      <c r="F3889" s="2">
        <v>46062</v>
      </c>
      <c r="G3889" s="3">
        <v>50</v>
      </c>
      <c r="H3889" t="s">
        <v>28</v>
      </c>
      <c r="I3889">
        <v>76</v>
      </c>
      <c r="J3889">
        <v>0</v>
      </c>
      <c r="K3889">
        <v>0</v>
      </c>
      <c r="L3889" s="3">
        <v>1</v>
      </c>
      <c r="M3889" s="3">
        <v>0</v>
      </c>
      <c r="N3889">
        <v>0</v>
      </c>
      <c r="O3889">
        <v>0</v>
      </c>
      <c r="P3889">
        <v>76</v>
      </c>
      <c r="Q3889">
        <v>76</v>
      </c>
      <c r="R3889" s="3">
        <v>0</v>
      </c>
      <c r="S3889" s="3">
        <v>0</v>
      </c>
      <c r="T3889">
        <v>0</v>
      </c>
      <c r="U3889">
        <v>0</v>
      </c>
      <c r="V3889" s="3">
        <v>0</v>
      </c>
      <c r="W3889" s="3">
        <v>0</v>
      </c>
      <c r="X3889">
        <v>1</v>
      </c>
      <c r="Y3889" t="s">
        <v>3004</v>
      </c>
    </row>
    <row r="3890" spans="1:25" hidden="1" x14ac:dyDescent="0.25">
      <c r="A3890" t="s">
        <v>41</v>
      </c>
      <c r="B3890" t="s">
        <v>112</v>
      </c>
      <c r="C3890" t="s">
        <v>42</v>
      </c>
      <c r="D3890" t="s">
        <v>27</v>
      </c>
      <c r="E3890" s="2">
        <v>46062</v>
      </c>
      <c r="F3890" s="2">
        <v>46062</v>
      </c>
      <c r="G3890" s="3">
        <v>68</v>
      </c>
      <c r="H3890" t="s">
        <v>28</v>
      </c>
      <c r="I3890">
        <v>45</v>
      </c>
      <c r="J3890">
        <v>0</v>
      </c>
      <c r="K3890">
        <v>0</v>
      </c>
      <c r="L3890" s="3">
        <v>1</v>
      </c>
      <c r="M3890" s="3">
        <v>0</v>
      </c>
      <c r="N3890">
        <v>0</v>
      </c>
      <c r="O3890">
        <v>0</v>
      </c>
      <c r="P3890">
        <v>0</v>
      </c>
      <c r="Q3890">
        <v>4</v>
      </c>
      <c r="R3890" s="3">
        <v>0</v>
      </c>
      <c r="S3890" s="3">
        <v>0</v>
      </c>
      <c r="T3890">
        <v>0</v>
      </c>
      <c r="U3890">
        <v>0</v>
      </c>
      <c r="V3890" s="3">
        <v>0</v>
      </c>
      <c r="W3890" s="3">
        <v>0</v>
      </c>
      <c r="X3890">
        <v>0</v>
      </c>
      <c r="Y3890" t="s">
        <v>3005</v>
      </c>
    </row>
    <row r="3891" spans="1:25" hidden="1" x14ac:dyDescent="0.25">
      <c r="A3891" t="s">
        <v>43</v>
      </c>
      <c r="B3891" t="s">
        <v>114</v>
      </c>
      <c r="C3891" t="s">
        <v>44</v>
      </c>
      <c r="D3891" t="s">
        <v>27</v>
      </c>
      <c r="E3891" s="2">
        <v>46062</v>
      </c>
      <c r="F3891" s="2">
        <v>46062</v>
      </c>
      <c r="G3891" s="3">
        <v>29</v>
      </c>
      <c r="H3891" t="s">
        <v>28</v>
      </c>
      <c r="I3891">
        <v>43</v>
      </c>
      <c r="J3891">
        <v>0</v>
      </c>
      <c r="K3891">
        <v>0</v>
      </c>
      <c r="L3891" s="3">
        <v>1</v>
      </c>
      <c r="M3891" s="3">
        <v>0</v>
      </c>
      <c r="N3891">
        <v>0</v>
      </c>
      <c r="O3891">
        <v>0</v>
      </c>
      <c r="P3891">
        <v>0</v>
      </c>
      <c r="Q3891">
        <v>0</v>
      </c>
      <c r="R3891" s="3">
        <v>0</v>
      </c>
      <c r="S3891" s="3">
        <v>0</v>
      </c>
      <c r="T3891">
        <v>0</v>
      </c>
      <c r="U3891">
        <v>0</v>
      </c>
      <c r="V3891" s="3">
        <v>0</v>
      </c>
      <c r="W3891" s="3">
        <v>0</v>
      </c>
      <c r="X3891">
        <v>0</v>
      </c>
      <c r="Y3891" t="s">
        <v>3006</v>
      </c>
    </row>
    <row r="3892" spans="1:25" hidden="1" x14ac:dyDescent="0.25">
      <c r="A3892" t="s">
        <v>2118</v>
      </c>
      <c r="B3892" t="s">
        <v>2119</v>
      </c>
      <c r="C3892" t="s">
        <v>27</v>
      </c>
      <c r="D3892" t="s">
        <v>27</v>
      </c>
      <c r="E3892" s="2">
        <v>46062</v>
      </c>
      <c r="F3892" s="2">
        <v>46062</v>
      </c>
      <c r="G3892" s="3">
        <v>49</v>
      </c>
      <c r="H3892" t="s">
        <v>28</v>
      </c>
      <c r="I3892">
        <v>63</v>
      </c>
      <c r="J3892">
        <v>0</v>
      </c>
      <c r="K3892">
        <v>0</v>
      </c>
      <c r="L3892" s="3">
        <v>1</v>
      </c>
      <c r="M3892" s="3">
        <v>0</v>
      </c>
      <c r="N3892">
        <v>0</v>
      </c>
      <c r="O3892">
        <v>0</v>
      </c>
      <c r="P3892">
        <v>0</v>
      </c>
      <c r="Q3892">
        <v>63</v>
      </c>
      <c r="R3892" s="3">
        <v>0</v>
      </c>
      <c r="S3892" s="3">
        <v>0</v>
      </c>
      <c r="T3892">
        <v>0</v>
      </c>
      <c r="U3892">
        <v>0</v>
      </c>
      <c r="V3892" s="3">
        <v>0</v>
      </c>
      <c r="W3892" s="3">
        <v>0</v>
      </c>
      <c r="X3892">
        <v>0</v>
      </c>
      <c r="Y3892" t="s">
        <v>3007</v>
      </c>
    </row>
    <row r="3893" spans="1:25" hidden="1" x14ac:dyDescent="0.25">
      <c r="A3893" t="s">
        <v>45</v>
      </c>
      <c r="B3893" t="s">
        <v>116</v>
      </c>
      <c r="C3893" t="s">
        <v>2835</v>
      </c>
      <c r="D3893" t="s">
        <v>27</v>
      </c>
      <c r="E3893" s="2">
        <v>46062</v>
      </c>
      <c r="F3893" s="2">
        <v>46062</v>
      </c>
      <c r="G3893" s="3">
        <v>48</v>
      </c>
      <c r="H3893" t="s">
        <v>28</v>
      </c>
      <c r="I3893">
        <v>69</v>
      </c>
      <c r="J3893">
        <v>0</v>
      </c>
      <c r="K3893">
        <v>0</v>
      </c>
      <c r="L3893" s="3">
        <v>1</v>
      </c>
      <c r="M3893" s="3">
        <v>0</v>
      </c>
      <c r="N3893">
        <v>0</v>
      </c>
      <c r="O3893">
        <v>0</v>
      </c>
      <c r="P3893">
        <v>0</v>
      </c>
      <c r="Q3893">
        <v>8</v>
      </c>
      <c r="R3893" s="3">
        <v>0</v>
      </c>
      <c r="S3893" s="3">
        <v>0</v>
      </c>
      <c r="T3893">
        <v>0</v>
      </c>
      <c r="U3893">
        <v>0</v>
      </c>
      <c r="V3893" s="3">
        <v>0</v>
      </c>
      <c r="W3893" s="3">
        <v>0</v>
      </c>
      <c r="X3893">
        <v>0</v>
      </c>
      <c r="Y3893" t="s">
        <v>3008</v>
      </c>
    </row>
    <row r="3894" spans="1:25" hidden="1" x14ac:dyDescent="0.25">
      <c r="A3894" t="s">
        <v>47</v>
      </c>
      <c r="B3894" t="s">
        <v>137</v>
      </c>
      <c r="C3894" t="s">
        <v>2310</v>
      </c>
      <c r="D3894" t="s">
        <v>27</v>
      </c>
      <c r="E3894" s="2">
        <v>46062</v>
      </c>
      <c r="F3894" s="2">
        <v>46062</v>
      </c>
      <c r="G3894" s="5">
        <v>1970</v>
      </c>
      <c r="H3894" t="s">
        <v>28</v>
      </c>
      <c r="I3894">
        <v>51</v>
      </c>
      <c r="J3894">
        <v>0</v>
      </c>
      <c r="K3894">
        <v>0</v>
      </c>
      <c r="L3894" s="3">
        <v>1</v>
      </c>
      <c r="M3894" s="3">
        <v>0</v>
      </c>
      <c r="N3894">
        <v>0</v>
      </c>
      <c r="O3894">
        <v>0</v>
      </c>
      <c r="P3894">
        <v>0</v>
      </c>
      <c r="Q3894">
        <v>8</v>
      </c>
      <c r="R3894" s="3">
        <v>0</v>
      </c>
      <c r="S3894" s="3">
        <v>0</v>
      </c>
      <c r="T3894">
        <v>0</v>
      </c>
      <c r="U3894">
        <v>0</v>
      </c>
      <c r="V3894" s="3">
        <v>0</v>
      </c>
      <c r="W3894" s="3">
        <v>0</v>
      </c>
      <c r="X3894">
        <v>1</v>
      </c>
      <c r="Y3894" t="s">
        <v>3009</v>
      </c>
    </row>
    <row r="3895" spans="1:25" hidden="1" x14ac:dyDescent="0.25">
      <c r="A3895" t="s">
        <v>49</v>
      </c>
      <c r="B3895" t="s">
        <v>118</v>
      </c>
      <c r="C3895" t="s">
        <v>50</v>
      </c>
      <c r="D3895" t="s">
        <v>27</v>
      </c>
      <c r="E3895" s="2">
        <v>46062</v>
      </c>
      <c r="F3895" s="2">
        <v>46062</v>
      </c>
      <c r="G3895" s="3">
        <v>59</v>
      </c>
      <c r="H3895" t="s">
        <v>28</v>
      </c>
      <c r="I3895">
        <v>34</v>
      </c>
      <c r="J3895">
        <v>0</v>
      </c>
      <c r="K3895">
        <v>0</v>
      </c>
      <c r="L3895" s="3">
        <v>1</v>
      </c>
      <c r="M3895" s="3">
        <v>1</v>
      </c>
      <c r="N3895">
        <v>0</v>
      </c>
      <c r="O3895">
        <v>1</v>
      </c>
      <c r="P3895">
        <v>0</v>
      </c>
      <c r="Q3895">
        <v>34</v>
      </c>
      <c r="R3895" s="3">
        <v>0</v>
      </c>
      <c r="S3895" s="3">
        <v>0</v>
      </c>
      <c r="T3895">
        <v>0</v>
      </c>
      <c r="U3895">
        <v>0</v>
      </c>
      <c r="V3895" s="3">
        <v>0</v>
      </c>
      <c r="W3895" s="3">
        <v>0</v>
      </c>
      <c r="X3895">
        <v>0</v>
      </c>
      <c r="Y3895" t="s">
        <v>3010</v>
      </c>
    </row>
    <row r="3896" spans="1:25" hidden="1" x14ac:dyDescent="0.25">
      <c r="A3896" t="s">
        <v>51</v>
      </c>
      <c r="B3896" t="s">
        <v>120</v>
      </c>
      <c r="C3896" t="s">
        <v>2379</v>
      </c>
      <c r="D3896" t="s">
        <v>27</v>
      </c>
      <c r="E3896" s="2">
        <v>46062</v>
      </c>
      <c r="F3896" s="2">
        <v>46062</v>
      </c>
      <c r="G3896" s="3">
        <v>50</v>
      </c>
      <c r="H3896" t="s">
        <v>28</v>
      </c>
      <c r="I3896">
        <v>42</v>
      </c>
      <c r="J3896">
        <v>0</v>
      </c>
      <c r="K3896">
        <v>0</v>
      </c>
      <c r="L3896" s="3">
        <v>1</v>
      </c>
      <c r="M3896" s="3">
        <v>0</v>
      </c>
      <c r="N3896">
        <v>1</v>
      </c>
      <c r="O3896">
        <v>0</v>
      </c>
      <c r="P3896">
        <v>0</v>
      </c>
      <c r="Q3896">
        <v>0</v>
      </c>
      <c r="R3896" s="3">
        <v>0</v>
      </c>
      <c r="S3896" s="3">
        <v>0</v>
      </c>
      <c r="T3896">
        <v>0</v>
      </c>
      <c r="U3896">
        <v>0</v>
      </c>
      <c r="V3896" s="3">
        <v>0</v>
      </c>
      <c r="W3896" s="3">
        <v>0</v>
      </c>
      <c r="X3896">
        <v>0</v>
      </c>
      <c r="Y3896" t="s">
        <v>3011</v>
      </c>
    </row>
    <row r="3897" spans="1:25" hidden="1" x14ac:dyDescent="0.25">
      <c r="A3897" t="s">
        <v>48</v>
      </c>
      <c r="B3897" t="s">
        <v>149</v>
      </c>
      <c r="C3897" t="s">
        <v>37</v>
      </c>
      <c r="D3897" t="s">
        <v>27</v>
      </c>
      <c r="E3897" s="2">
        <v>46062</v>
      </c>
      <c r="F3897" s="2">
        <v>46062</v>
      </c>
      <c r="G3897" s="3">
        <v>21</v>
      </c>
      <c r="H3897" t="s">
        <v>28</v>
      </c>
      <c r="I3897">
        <v>75</v>
      </c>
      <c r="J3897">
        <v>0</v>
      </c>
      <c r="K3897">
        <v>0</v>
      </c>
      <c r="L3897" s="3">
        <v>1</v>
      </c>
      <c r="M3897" s="3">
        <v>0</v>
      </c>
      <c r="N3897">
        <v>0</v>
      </c>
      <c r="O3897">
        <v>0</v>
      </c>
      <c r="P3897">
        <v>0</v>
      </c>
      <c r="Q3897">
        <v>0</v>
      </c>
      <c r="R3897" s="3">
        <v>0</v>
      </c>
      <c r="S3897" s="3">
        <v>0</v>
      </c>
      <c r="T3897">
        <v>0</v>
      </c>
      <c r="U3897">
        <v>0</v>
      </c>
      <c r="V3897" s="3">
        <v>0</v>
      </c>
      <c r="W3897" s="3">
        <v>0</v>
      </c>
      <c r="X3897">
        <v>0</v>
      </c>
      <c r="Y3897" t="s">
        <v>3012</v>
      </c>
    </row>
    <row r="3898" spans="1:25" hidden="1" x14ac:dyDescent="0.25">
      <c r="A3898" t="s">
        <v>27</v>
      </c>
      <c r="B3898" t="s">
        <v>739</v>
      </c>
      <c r="C3898" t="s">
        <v>2271</v>
      </c>
      <c r="D3898" t="s">
        <v>27</v>
      </c>
      <c r="E3898" s="2">
        <v>46062</v>
      </c>
      <c r="F3898" s="2">
        <v>46062</v>
      </c>
      <c r="G3898" s="3">
        <v>22</v>
      </c>
      <c r="H3898" t="s">
        <v>1448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3012</v>
      </c>
    </row>
    <row r="3899" spans="1:25" hidden="1" x14ac:dyDescent="0.25">
      <c r="A3899" t="s">
        <v>58</v>
      </c>
      <c r="B3899" t="s">
        <v>755</v>
      </c>
      <c r="C3899" t="s">
        <v>27</v>
      </c>
      <c r="D3899" t="s">
        <v>27</v>
      </c>
      <c r="E3899" s="2">
        <v>46062</v>
      </c>
      <c r="F3899" s="2">
        <v>46062</v>
      </c>
      <c r="G3899" s="3">
        <v>23</v>
      </c>
      <c r="H3899" t="s">
        <v>903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3012</v>
      </c>
    </row>
    <row r="3900" spans="1:25" hidden="1" x14ac:dyDescent="0.25">
      <c r="A3900" t="s">
        <v>438</v>
      </c>
      <c r="B3900" t="s">
        <v>798</v>
      </c>
      <c r="C3900" t="s">
        <v>27</v>
      </c>
      <c r="D3900" t="s">
        <v>27</v>
      </c>
      <c r="E3900" s="2">
        <v>46062</v>
      </c>
      <c r="F3900" s="2">
        <v>46062</v>
      </c>
      <c r="G3900" s="3">
        <v>33</v>
      </c>
      <c r="H3900" t="s">
        <v>1975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2803</v>
      </c>
    </row>
    <row r="3901" spans="1:25" hidden="1" x14ac:dyDescent="0.25">
      <c r="A3901" t="s">
        <v>454</v>
      </c>
      <c r="B3901" t="s">
        <v>106</v>
      </c>
      <c r="C3901" t="s">
        <v>27</v>
      </c>
      <c r="D3901" t="s">
        <v>27</v>
      </c>
      <c r="E3901" s="2">
        <v>46062</v>
      </c>
      <c r="F3901" s="2">
        <v>46062</v>
      </c>
      <c r="G3901" s="3">
        <v>72</v>
      </c>
      <c r="H3901" t="s">
        <v>763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2841</v>
      </c>
    </row>
    <row r="3902" spans="1:25" hidden="1" x14ac:dyDescent="0.25">
      <c r="A3902" t="s">
        <v>54</v>
      </c>
      <c r="B3902" t="s">
        <v>182</v>
      </c>
      <c r="C3902" t="s">
        <v>27</v>
      </c>
      <c r="D3902" t="s">
        <v>27</v>
      </c>
      <c r="E3902" s="2">
        <v>46062</v>
      </c>
      <c r="F3902" s="2">
        <v>46062</v>
      </c>
      <c r="G3902" s="3">
        <v>73</v>
      </c>
      <c r="H3902" t="s">
        <v>763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2841</v>
      </c>
    </row>
    <row r="3903" spans="1:25" hidden="1" x14ac:dyDescent="0.25">
      <c r="A3903" t="s">
        <v>27</v>
      </c>
      <c r="B3903" t="s">
        <v>184</v>
      </c>
      <c r="C3903" t="s">
        <v>35</v>
      </c>
      <c r="D3903" t="s">
        <v>27</v>
      </c>
      <c r="E3903" s="2">
        <v>46062</v>
      </c>
      <c r="F3903" s="2">
        <v>46062</v>
      </c>
      <c r="G3903" s="3">
        <v>74</v>
      </c>
      <c r="H3903" t="s">
        <v>763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2841</v>
      </c>
    </row>
    <row r="3904" spans="1:25" hidden="1" x14ac:dyDescent="0.25">
      <c r="A3904" t="s">
        <v>27</v>
      </c>
      <c r="B3904" t="s">
        <v>186</v>
      </c>
      <c r="C3904" t="s">
        <v>46</v>
      </c>
      <c r="D3904" t="s">
        <v>27</v>
      </c>
      <c r="E3904" s="2">
        <v>46062</v>
      </c>
      <c r="F3904" s="2">
        <v>46062</v>
      </c>
      <c r="G3904" s="3">
        <v>75</v>
      </c>
      <c r="H3904" t="s">
        <v>763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2841</v>
      </c>
    </row>
    <row r="3905" spans="1:25" hidden="1" x14ac:dyDescent="0.25">
      <c r="A3905" t="s">
        <v>27</v>
      </c>
      <c r="B3905" t="s">
        <v>188</v>
      </c>
      <c r="C3905" t="s">
        <v>55</v>
      </c>
      <c r="D3905" t="s">
        <v>27</v>
      </c>
      <c r="E3905" s="2">
        <v>46062</v>
      </c>
      <c r="F3905" s="2">
        <v>46062</v>
      </c>
      <c r="G3905" s="3">
        <v>76</v>
      </c>
      <c r="H3905" t="s">
        <v>763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2841</v>
      </c>
    </row>
    <row r="3906" spans="1:25" hidden="1" x14ac:dyDescent="0.25">
      <c r="A3906" t="s">
        <v>25</v>
      </c>
      <c r="B3906" t="s">
        <v>96</v>
      </c>
      <c r="C3906" t="s">
        <v>26</v>
      </c>
      <c r="D3906" t="s">
        <v>27</v>
      </c>
      <c r="E3906" s="2">
        <v>46063</v>
      </c>
      <c r="F3906" s="2">
        <v>46063</v>
      </c>
      <c r="G3906" s="3">
        <v>42</v>
      </c>
      <c r="H3906" t="s">
        <v>28</v>
      </c>
      <c r="I3906">
        <v>51</v>
      </c>
      <c r="J3906">
        <v>0</v>
      </c>
      <c r="K3906">
        <v>0</v>
      </c>
      <c r="L3906" s="3">
        <v>1</v>
      </c>
      <c r="M3906" s="3">
        <v>0</v>
      </c>
      <c r="N3906">
        <v>1</v>
      </c>
      <c r="O3906">
        <v>0</v>
      </c>
      <c r="P3906">
        <v>0</v>
      </c>
      <c r="Q3906">
        <v>0</v>
      </c>
      <c r="R3906" s="3">
        <v>0</v>
      </c>
      <c r="S3906" s="3">
        <v>0</v>
      </c>
      <c r="T3906">
        <v>0</v>
      </c>
      <c r="U3906">
        <v>0</v>
      </c>
      <c r="V3906" s="3">
        <v>0</v>
      </c>
      <c r="W3906" s="3">
        <v>0</v>
      </c>
      <c r="X3906">
        <v>0</v>
      </c>
      <c r="Y3906" t="s">
        <v>3013</v>
      </c>
    </row>
    <row r="3907" spans="1:25" hidden="1" x14ac:dyDescent="0.25">
      <c r="A3907" t="s">
        <v>344</v>
      </c>
      <c r="B3907" t="s">
        <v>102</v>
      </c>
      <c r="C3907" t="s">
        <v>95</v>
      </c>
      <c r="D3907" t="s">
        <v>27</v>
      </c>
      <c r="E3907" s="2">
        <v>46063</v>
      </c>
      <c r="F3907" s="2">
        <v>46063</v>
      </c>
      <c r="G3907" s="3">
        <v>46</v>
      </c>
      <c r="H3907" t="s">
        <v>28</v>
      </c>
      <c r="I3907">
        <v>34</v>
      </c>
      <c r="J3907">
        <v>0</v>
      </c>
      <c r="K3907">
        <v>0</v>
      </c>
      <c r="L3907" s="3">
        <v>0</v>
      </c>
      <c r="M3907" s="3">
        <v>0</v>
      </c>
      <c r="N3907">
        <v>0</v>
      </c>
      <c r="O3907">
        <v>0</v>
      </c>
      <c r="P3907">
        <v>0</v>
      </c>
      <c r="Q3907">
        <v>0</v>
      </c>
      <c r="R3907" s="3">
        <v>0</v>
      </c>
      <c r="S3907" s="3">
        <v>0</v>
      </c>
      <c r="T3907">
        <v>0</v>
      </c>
      <c r="U3907">
        <v>0</v>
      </c>
      <c r="V3907" s="3">
        <v>0</v>
      </c>
      <c r="W3907" s="3">
        <v>0</v>
      </c>
      <c r="X3907">
        <v>0</v>
      </c>
      <c r="Y3907" t="s">
        <v>2961</v>
      </c>
    </row>
    <row r="3908" spans="1:25" hidden="1" x14ac:dyDescent="0.25">
      <c r="A3908" t="s">
        <v>31</v>
      </c>
      <c r="B3908" t="s">
        <v>104</v>
      </c>
      <c r="C3908" t="s">
        <v>32</v>
      </c>
      <c r="D3908" t="s">
        <v>27</v>
      </c>
      <c r="E3908" s="2">
        <v>46063</v>
      </c>
      <c r="F3908" s="2">
        <v>46063</v>
      </c>
      <c r="G3908" s="3">
        <v>45</v>
      </c>
      <c r="H3908" t="s">
        <v>28</v>
      </c>
      <c r="I3908">
        <v>57</v>
      </c>
      <c r="J3908">
        <v>0</v>
      </c>
      <c r="K3908">
        <v>0</v>
      </c>
      <c r="L3908" s="3">
        <v>1</v>
      </c>
      <c r="M3908" s="3">
        <v>0</v>
      </c>
      <c r="N3908">
        <v>0</v>
      </c>
      <c r="O3908">
        <v>0</v>
      </c>
      <c r="P3908">
        <v>0</v>
      </c>
      <c r="Q3908">
        <v>37</v>
      </c>
      <c r="R3908" s="3">
        <v>0</v>
      </c>
      <c r="S3908" s="3">
        <v>0</v>
      </c>
      <c r="T3908">
        <v>0</v>
      </c>
      <c r="U3908">
        <v>0</v>
      </c>
      <c r="V3908" s="3">
        <v>0</v>
      </c>
      <c r="W3908" s="3">
        <v>0</v>
      </c>
      <c r="X3908">
        <v>2</v>
      </c>
      <c r="Y3908" t="s">
        <v>3014</v>
      </c>
    </row>
    <row r="3909" spans="1:25" hidden="1" x14ac:dyDescent="0.25">
      <c r="A3909" t="s">
        <v>36</v>
      </c>
      <c r="B3909" t="s">
        <v>249</v>
      </c>
      <c r="C3909" t="s">
        <v>2534</v>
      </c>
      <c r="D3909" t="s">
        <v>27</v>
      </c>
      <c r="E3909" s="2">
        <v>46063</v>
      </c>
      <c r="F3909" s="2">
        <v>46063</v>
      </c>
      <c r="G3909" s="3">
        <v>81</v>
      </c>
      <c r="H3909" t="s">
        <v>28</v>
      </c>
      <c r="I3909">
        <v>121</v>
      </c>
      <c r="J3909">
        <v>0</v>
      </c>
      <c r="K3909">
        <v>0</v>
      </c>
      <c r="L3909" s="3">
        <v>1</v>
      </c>
      <c r="M3909" s="3">
        <v>0</v>
      </c>
      <c r="N3909">
        <v>1</v>
      </c>
      <c r="O3909">
        <v>0</v>
      </c>
      <c r="P3909">
        <v>0</v>
      </c>
      <c r="Q3909">
        <v>0</v>
      </c>
      <c r="R3909" s="3">
        <v>0</v>
      </c>
      <c r="S3909" s="3">
        <v>0</v>
      </c>
      <c r="T3909">
        <v>0</v>
      </c>
      <c r="U3909">
        <v>0</v>
      </c>
      <c r="V3909" s="3">
        <v>0</v>
      </c>
      <c r="W3909" s="3">
        <v>0</v>
      </c>
      <c r="X3909">
        <v>0</v>
      </c>
      <c r="Y3909" t="s">
        <v>3015</v>
      </c>
    </row>
    <row r="3910" spans="1:25" hidden="1" x14ac:dyDescent="0.25">
      <c r="A3910" t="s">
        <v>38</v>
      </c>
      <c r="B3910" t="s">
        <v>108</v>
      </c>
      <c r="C3910" t="s">
        <v>27</v>
      </c>
      <c r="D3910" t="s">
        <v>27</v>
      </c>
      <c r="E3910" s="2">
        <v>46063</v>
      </c>
      <c r="F3910" s="2">
        <v>46063</v>
      </c>
      <c r="G3910" s="3">
        <v>36</v>
      </c>
      <c r="H3910" t="s">
        <v>28</v>
      </c>
      <c r="I3910">
        <v>33</v>
      </c>
      <c r="J3910">
        <v>0</v>
      </c>
      <c r="K3910">
        <v>0</v>
      </c>
      <c r="L3910" s="3">
        <v>1</v>
      </c>
      <c r="M3910" s="3">
        <v>0</v>
      </c>
      <c r="N3910">
        <v>0</v>
      </c>
      <c r="O3910">
        <v>0</v>
      </c>
      <c r="P3910">
        <v>0</v>
      </c>
      <c r="Q3910">
        <v>33</v>
      </c>
      <c r="R3910" s="3">
        <v>0</v>
      </c>
      <c r="S3910" s="3">
        <v>0</v>
      </c>
      <c r="T3910">
        <v>0</v>
      </c>
      <c r="U3910">
        <v>0</v>
      </c>
      <c r="V3910" s="3">
        <v>0</v>
      </c>
      <c r="W3910" s="3">
        <v>0</v>
      </c>
      <c r="X3910">
        <v>0</v>
      </c>
      <c r="Y3910" t="s">
        <v>3016</v>
      </c>
    </row>
    <row r="3911" spans="1:25" hidden="1" x14ac:dyDescent="0.25">
      <c r="A3911" t="s">
        <v>2679</v>
      </c>
      <c r="B3911" t="s">
        <v>2680</v>
      </c>
      <c r="C3911" t="s">
        <v>39</v>
      </c>
      <c r="D3911" t="s">
        <v>27</v>
      </c>
      <c r="E3911" s="2">
        <v>46063</v>
      </c>
      <c r="F3911" s="2">
        <v>46063</v>
      </c>
      <c r="G3911" s="3">
        <v>101</v>
      </c>
      <c r="H3911" t="s">
        <v>28</v>
      </c>
      <c r="I3911">
        <v>41</v>
      </c>
      <c r="J3911">
        <v>0</v>
      </c>
      <c r="K3911">
        <v>0</v>
      </c>
      <c r="L3911" s="3">
        <v>1</v>
      </c>
      <c r="M3911" s="3">
        <v>0</v>
      </c>
      <c r="N3911">
        <v>0</v>
      </c>
      <c r="O3911">
        <v>0</v>
      </c>
      <c r="P3911">
        <v>41</v>
      </c>
      <c r="Q3911">
        <v>41</v>
      </c>
      <c r="R3911" s="3">
        <v>0</v>
      </c>
      <c r="S3911" s="3">
        <v>0</v>
      </c>
      <c r="T3911">
        <v>0</v>
      </c>
      <c r="U3911">
        <v>0</v>
      </c>
      <c r="V3911" s="3">
        <v>0</v>
      </c>
      <c r="W3911" s="3">
        <v>0</v>
      </c>
      <c r="X3911">
        <v>0</v>
      </c>
      <c r="Y3911" t="s">
        <v>3017</v>
      </c>
    </row>
    <row r="3912" spans="1:25" hidden="1" x14ac:dyDescent="0.25">
      <c r="A3912" t="s">
        <v>1316</v>
      </c>
      <c r="B3912" t="s">
        <v>1348</v>
      </c>
      <c r="C3912" t="s">
        <v>52</v>
      </c>
      <c r="D3912" t="s">
        <v>27</v>
      </c>
      <c r="E3912" s="2">
        <v>46063</v>
      </c>
      <c r="F3912" s="2">
        <v>46063</v>
      </c>
      <c r="G3912" s="3">
        <v>37</v>
      </c>
      <c r="H3912" t="s">
        <v>28</v>
      </c>
      <c r="I3912">
        <v>40</v>
      </c>
      <c r="J3912">
        <v>0</v>
      </c>
      <c r="K3912">
        <v>0</v>
      </c>
      <c r="L3912" s="3">
        <v>0</v>
      </c>
      <c r="M3912" s="3">
        <v>0</v>
      </c>
      <c r="N3912">
        <v>0</v>
      </c>
      <c r="O3912">
        <v>0</v>
      </c>
      <c r="P3912">
        <v>0</v>
      </c>
      <c r="Q3912">
        <v>0</v>
      </c>
      <c r="R3912" s="3">
        <v>0</v>
      </c>
      <c r="S3912" s="3">
        <v>0</v>
      </c>
      <c r="T3912">
        <v>0</v>
      </c>
      <c r="U3912">
        <v>0</v>
      </c>
      <c r="V3912" s="3">
        <v>0</v>
      </c>
      <c r="W3912" s="3">
        <v>0</v>
      </c>
      <c r="X3912">
        <v>0</v>
      </c>
      <c r="Y3912" t="s">
        <v>3018</v>
      </c>
    </row>
    <row r="3913" spans="1:25" hidden="1" x14ac:dyDescent="0.25">
      <c r="A3913" t="s">
        <v>41</v>
      </c>
      <c r="B3913" t="s">
        <v>112</v>
      </c>
      <c r="C3913" t="s">
        <v>42</v>
      </c>
      <c r="D3913" t="s">
        <v>27</v>
      </c>
      <c r="E3913" s="2">
        <v>46063</v>
      </c>
      <c r="F3913" s="2">
        <v>46063</v>
      </c>
      <c r="G3913" s="3">
        <v>49</v>
      </c>
      <c r="H3913" t="s">
        <v>28</v>
      </c>
      <c r="I3913">
        <v>46</v>
      </c>
      <c r="J3913">
        <v>0</v>
      </c>
      <c r="K3913">
        <v>0</v>
      </c>
      <c r="L3913" s="3">
        <v>1</v>
      </c>
      <c r="M3913" s="3">
        <v>0</v>
      </c>
      <c r="N3913">
        <v>0</v>
      </c>
      <c r="O3913">
        <v>0</v>
      </c>
      <c r="P3913">
        <v>0</v>
      </c>
      <c r="Q3913">
        <v>1</v>
      </c>
      <c r="R3913" s="3">
        <v>0</v>
      </c>
      <c r="S3913" s="3">
        <v>0</v>
      </c>
      <c r="T3913">
        <v>0</v>
      </c>
      <c r="U3913">
        <v>0</v>
      </c>
      <c r="V3913" s="3">
        <v>0</v>
      </c>
      <c r="W3913" s="3">
        <v>0</v>
      </c>
      <c r="X3913">
        <v>0</v>
      </c>
      <c r="Y3913" t="s">
        <v>3019</v>
      </c>
    </row>
    <row r="3914" spans="1:25" hidden="1" x14ac:dyDescent="0.25">
      <c r="A3914" t="s">
        <v>43</v>
      </c>
      <c r="B3914" t="s">
        <v>114</v>
      </c>
      <c r="C3914" t="s">
        <v>44</v>
      </c>
      <c r="D3914" t="s">
        <v>27</v>
      </c>
      <c r="E3914" s="2">
        <v>46063</v>
      </c>
      <c r="F3914" s="2">
        <v>46063</v>
      </c>
      <c r="G3914" s="3">
        <v>27</v>
      </c>
      <c r="H3914" t="s">
        <v>28</v>
      </c>
      <c r="I3914">
        <v>71</v>
      </c>
      <c r="J3914">
        <v>0</v>
      </c>
      <c r="K3914">
        <v>0</v>
      </c>
      <c r="L3914" s="3">
        <v>1</v>
      </c>
      <c r="M3914" s="3">
        <v>0</v>
      </c>
      <c r="N3914">
        <v>0</v>
      </c>
      <c r="O3914">
        <v>0</v>
      </c>
      <c r="P3914">
        <v>0</v>
      </c>
      <c r="Q3914">
        <v>4</v>
      </c>
      <c r="R3914" s="3">
        <v>0</v>
      </c>
      <c r="S3914" s="3">
        <v>0</v>
      </c>
      <c r="T3914">
        <v>0</v>
      </c>
      <c r="U3914">
        <v>0</v>
      </c>
      <c r="V3914" s="3">
        <v>0</v>
      </c>
      <c r="W3914" s="3">
        <v>0</v>
      </c>
      <c r="X3914">
        <v>0</v>
      </c>
      <c r="Y3914" t="s">
        <v>3020</v>
      </c>
    </row>
    <row r="3915" spans="1:25" hidden="1" x14ac:dyDescent="0.25">
      <c r="A3915" t="s">
        <v>45</v>
      </c>
      <c r="B3915" t="s">
        <v>116</v>
      </c>
      <c r="C3915" t="s">
        <v>2835</v>
      </c>
      <c r="D3915" t="s">
        <v>27</v>
      </c>
      <c r="E3915" s="2">
        <v>46063</v>
      </c>
      <c r="F3915" s="2">
        <v>46063</v>
      </c>
      <c r="G3915" s="3">
        <v>44</v>
      </c>
      <c r="H3915" t="s">
        <v>28</v>
      </c>
      <c r="I3915">
        <v>32</v>
      </c>
      <c r="J3915">
        <v>0</v>
      </c>
      <c r="K3915">
        <v>0</v>
      </c>
      <c r="L3915" s="3">
        <v>0</v>
      </c>
      <c r="M3915" s="3">
        <v>0</v>
      </c>
      <c r="N3915">
        <v>0</v>
      </c>
      <c r="O3915">
        <v>0</v>
      </c>
      <c r="P3915">
        <v>0</v>
      </c>
      <c r="Q3915">
        <v>0</v>
      </c>
      <c r="R3915" s="3">
        <v>0</v>
      </c>
      <c r="S3915" s="3">
        <v>0</v>
      </c>
      <c r="T3915">
        <v>0</v>
      </c>
      <c r="U3915">
        <v>0</v>
      </c>
      <c r="V3915" s="3">
        <v>0</v>
      </c>
      <c r="W3915" s="3">
        <v>0</v>
      </c>
      <c r="X3915">
        <v>0</v>
      </c>
      <c r="Y3915" t="s">
        <v>3021</v>
      </c>
    </row>
    <row r="3916" spans="1:25" hidden="1" x14ac:dyDescent="0.25">
      <c r="A3916" t="s">
        <v>47</v>
      </c>
      <c r="B3916" t="s">
        <v>137</v>
      </c>
      <c r="C3916" t="s">
        <v>2310</v>
      </c>
      <c r="D3916" t="s">
        <v>27</v>
      </c>
      <c r="E3916" s="2">
        <v>46063</v>
      </c>
      <c r="F3916" s="2">
        <v>46063</v>
      </c>
      <c r="G3916" s="3">
        <v>132</v>
      </c>
      <c r="H3916" t="s">
        <v>28</v>
      </c>
      <c r="I3916">
        <v>63</v>
      </c>
      <c r="J3916">
        <v>0</v>
      </c>
      <c r="K3916">
        <v>0</v>
      </c>
      <c r="L3916" s="3">
        <v>1</v>
      </c>
      <c r="M3916" s="3">
        <v>0</v>
      </c>
      <c r="N3916">
        <v>0</v>
      </c>
      <c r="O3916">
        <v>0</v>
      </c>
      <c r="P3916">
        <v>0</v>
      </c>
      <c r="Q3916">
        <v>6</v>
      </c>
      <c r="R3916" s="3">
        <v>0</v>
      </c>
      <c r="S3916" s="3">
        <v>0</v>
      </c>
      <c r="T3916">
        <v>0</v>
      </c>
      <c r="U3916">
        <v>0</v>
      </c>
      <c r="V3916" s="3">
        <v>0</v>
      </c>
      <c r="W3916" s="3">
        <v>0</v>
      </c>
      <c r="X3916">
        <v>0</v>
      </c>
      <c r="Y3916" t="s">
        <v>3022</v>
      </c>
    </row>
    <row r="3917" spans="1:25" hidden="1" x14ac:dyDescent="0.25">
      <c r="A3917" t="s">
        <v>49</v>
      </c>
      <c r="B3917" t="s">
        <v>118</v>
      </c>
      <c r="C3917" t="s">
        <v>50</v>
      </c>
      <c r="D3917" t="s">
        <v>27</v>
      </c>
      <c r="E3917" s="2">
        <v>46063</v>
      </c>
      <c r="F3917" s="2">
        <v>46063</v>
      </c>
      <c r="G3917" s="3">
        <v>32</v>
      </c>
      <c r="H3917" t="s">
        <v>28</v>
      </c>
      <c r="I3917">
        <v>66</v>
      </c>
      <c r="J3917">
        <v>0</v>
      </c>
      <c r="K3917">
        <v>0</v>
      </c>
      <c r="L3917" s="3">
        <v>1</v>
      </c>
      <c r="M3917" s="3">
        <v>1</v>
      </c>
      <c r="N3917">
        <v>0</v>
      </c>
      <c r="O3917">
        <v>1</v>
      </c>
      <c r="P3917">
        <v>0</v>
      </c>
      <c r="Q3917">
        <v>66</v>
      </c>
      <c r="R3917" s="3">
        <v>0</v>
      </c>
      <c r="S3917" s="3">
        <v>0</v>
      </c>
      <c r="T3917">
        <v>0</v>
      </c>
      <c r="U3917">
        <v>0</v>
      </c>
      <c r="V3917" s="3">
        <v>0</v>
      </c>
      <c r="W3917" s="3">
        <v>0</v>
      </c>
      <c r="X3917">
        <v>0</v>
      </c>
      <c r="Y3917" t="s">
        <v>3023</v>
      </c>
    </row>
    <row r="3918" spans="1:25" hidden="1" x14ac:dyDescent="0.25">
      <c r="A3918" t="s">
        <v>51</v>
      </c>
      <c r="B3918" t="s">
        <v>120</v>
      </c>
      <c r="C3918" t="s">
        <v>2514</v>
      </c>
      <c r="D3918" t="s">
        <v>27</v>
      </c>
      <c r="E3918" s="2">
        <v>46063</v>
      </c>
      <c r="F3918" s="2">
        <v>46063</v>
      </c>
      <c r="G3918" s="3">
        <v>52</v>
      </c>
      <c r="H3918" t="s">
        <v>28</v>
      </c>
      <c r="I3918">
        <v>30</v>
      </c>
      <c r="J3918">
        <v>0</v>
      </c>
      <c r="K3918">
        <v>0</v>
      </c>
      <c r="L3918" s="3">
        <v>1</v>
      </c>
      <c r="M3918" s="3">
        <v>0</v>
      </c>
      <c r="N3918">
        <v>0</v>
      </c>
      <c r="O3918">
        <v>0</v>
      </c>
      <c r="P3918">
        <v>0</v>
      </c>
      <c r="Q3918">
        <v>0</v>
      </c>
      <c r="R3918" s="3">
        <v>0</v>
      </c>
      <c r="S3918" s="3">
        <v>0</v>
      </c>
      <c r="T3918">
        <v>0</v>
      </c>
      <c r="U3918">
        <v>0</v>
      </c>
      <c r="V3918" s="3">
        <v>0</v>
      </c>
      <c r="W3918" s="3">
        <v>0</v>
      </c>
      <c r="X3918">
        <v>0</v>
      </c>
      <c r="Y3918" t="s">
        <v>3024</v>
      </c>
    </row>
    <row r="3919" spans="1:25" hidden="1" x14ac:dyDescent="0.25">
      <c r="A3919" t="s">
        <v>48</v>
      </c>
      <c r="B3919" t="s">
        <v>149</v>
      </c>
      <c r="C3919" t="s">
        <v>37</v>
      </c>
      <c r="D3919" t="s">
        <v>27</v>
      </c>
      <c r="E3919" s="2">
        <v>46063</v>
      </c>
      <c r="F3919" s="2">
        <v>46063</v>
      </c>
      <c r="G3919" s="3">
        <v>36</v>
      </c>
      <c r="H3919" t="s">
        <v>28</v>
      </c>
      <c r="I3919">
        <v>26</v>
      </c>
      <c r="J3919">
        <v>0</v>
      </c>
      <c r="K3919">
        <v>0</v>
      </c>
      <c r="L3919" s="3">
        <v>1</v>
      </c>
      <c r="M3919" s="3">
        <v>0</v>
      </c>
      <c r="N3919">
        <v>0</v>
      </c>
      <c r="O3919">
        <v>0</v>
      </c>
      <c r="P3919">
        <v>0</v>
      </c>
      <c r="Q3919">
        <v>0</v>
      </c>
      <c r="R3919" s="3">
        <v>0</v>
      </c>
      <c r="S3919" s="3">
        <v>0</v>
      </c>
      <c r="T3919">
        <v>0</v>
      </c>
      <c r="U3919">
        <v>0</v>
      </c>
      <c r="V3919" s="3">
        <v>0</v>
      </c>
      <c r="W3919" s="3">
        <v>0</v>
      </c>
      <c r="X3919">
        <v>0</v>
      </c>
      <c r="Y3919" t="s">
        <v>3025</v>
      </c>
    </row>
    <row r="3920" spans="1:25" hidden="1" x14ac:dyDescent="0.25">
      <c r="A3920" t="s">
        <v>27</v>
      </c>
      <c r="B3920" t="s">
        <v>739</v>
      </c>
      <c r="C3920" t="s">
        <v>57</v>
      </c>
      <c r="D3920" t="s">
        <v>27</v>
      </c>
      <c r="E3920" s="2">
        <v>46063</v>
      </c>
      <c r="F3920" s="2">
        <v>46063</v>
      </c>
      <c r="G3920" s="3">
        <v>36</v>
      </c>
      <c r="H3920" t="s">
        <v>1448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 t="s">
        <v>3025</v>
      </c>
    </row>
    <row r="3921" spans="1:25" hidden="1" x14ac:dyDescent="0.25">
      <c r="A3921" t="s">
        <v>27</v>
      </c>
      <c r="B3921" t="s">
        <v>755</v>
      </c>
      <c r="C3921" t="s">
        <v>2271</v>
      </c>
      <c r="D3921" t="s">
        <v>27</v>
      </c>
      <c r="E3921" s="2">
        <v>46063</v>
      </c>
      <c r="F3921" s="2">
        <v>46063</v>
      </c>
      <c r="G3921" s="3">
        <v>36</v>
      </c>
      <c r="H3921" t="s">
        <v>1448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3025</v>
      </c>
    </row>
    <row r="3922" spans="1:25" hidden="1" x14ac:dyDescent="0.25">
      <c r="A3922" t="s">
        <v>27</v>
      </c>
      <c r="B3922" t="s">
        <v>758</v>
      </c>
      <c r="C3922" t="s">
        <v>2379</v>
      </c>
      <c r="D3922" t="s">
        <v>27</v>
      </c>
      <c r="E3922" s="2">
        <v>46063</v>
      </c>
      <c r="F3922" s="2">
        <v>46063</v>
      </c>
      <c r="G3922" s="3">
        <v>36</v>
      </c>
      <c r="H3922" t="s">
        <v>2143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 t="s">
        <v>3025</v>
      </c>
    </row>
    <row r="3923" spans="1:25" hidden="1" x14ac:dyDescent="0.25">
      <c r="A3923" t="s">
        <v>40</v>
      </c>
      <c r="B3923" t="s">
        <v>798</v>
      </c>
      <c r="C3923" t="s">
        <v>27</v>
      </c>
      <c r="D3923" t="s">
        <v>27</v>
      </c>
      <c r="E3923" s="2">
        <v>46063</v>
      </c>
      <c r="F3923" s="2">
        <v>46063</v>
      </c>
      <c r="G3923" s="3">
        <v>36</v>
      </c>
      <c r="H3923" t="s">
        <v>1975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 t="s">
        <v>3025</v>
      </c>
    </row>
    <row r="3924" spans="1:25" hidden="1" x14ac:dyDescent="0.25">
      <c r="A3924" t="s">
        <v>438</v>
      </c>
      <c r="B3924" t="s">
        <v>798</v>
      </c>
      <c r="C3924" t="s">
        <v>27</v>
      </c>
      <c r="D3924" t="s">
        <v>27</v>
      </c>
      <c r="E3924" s="2">
        <v>46063</v>
      </c>
      <c r="F3924" s="2">
        <v>46063</v>
      </c>
      <c r="G3924" s="3">
        <v>33</v>
      </c>
      <c r="H3924" t="s">
        <v>1975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 t="s">
        <v>2803</v>
      </c>
    </row>
    <row r="3925" spans="1:25" hidden="1" x14ac:dyDescent="0.25">
      <c r="A3925" t="s">
        <v>454</v>
      </c>
      <c r="B3925" t="s">
        <v>106</v>
      </c>
      <c r="C3925" t="s">
        <v>27</v>
      </c>
      <c r="D3925" t="s">
        <v>27</v>
      </c>
      <c r="E3925" s="2">
        <v>46063</v>
      </c>
      <c r="F3925" s="2">
        <v>46063</v>
      </c>
      <c r="G3925" s="3">
        <v>72</v>
      </c>
      <c r="H3925" t="s">
        <v>763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 t="s">
        <v>2841</v>
      </c>
    </row>
    <row r="3926" spans="1:25" hidden="1" x14ac:dyDescent="0.25">
      <c r="A3926" t="s">
        <v>54</v>
      </c>
      <c r="B3926" t="s">
        <v>182</v>
      </c>
      <c r="C3926" t="s">
        <v>27</v>
      </c>
      <c r="D3926" t="s">
        <v>27</v>
      </c>
      <c r="E3926" s="2">
        <v>46063</v>
      </c>
      <c r="F3926" s="2">
        <v>46063</v>
      </c>
      <c r="G3926" s="3">
        <v>73</v>
      </c>
      <c r="H3926" t="s">
        <v>763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 t="s">
        <v>2841</v>
      </c>
    </row>
    <row r="3927" spans="1:25" hidden="1" x14ac:dyDescent="0.25">
      <c r="A3927" t="s">
        <v>27</v>
      </c>
      <c r="B3927" t="s">
        <v>184</v>
      </c>
      <c r="C3927" t="s">
        <v>35</v>
      </c>
      <c r="D3927" t="s">
        <v>27</v>
      </c>
      <c r="E3927" s="2">
        <v>46063</v>
      </c>
      <c r="F3927" s="2">
        <v>46063</v>
      </c>
      <c r="G3927" s="3">
        <v>74</v>
      </c>
      <c r="H3927" t="s">
        <v>763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2841</v>
      </c>
    </row>
    <row r="3928" spans="1:25" hidden="1" x14ac:dyDescent="0.25">
      <c r="A3928" t="s">
        <v>27</v>
      </c>
      <c r="B3928" t="s">
        <v>186</v>
      </c>
      <c r="C3928" t="s">
        <v>46</v>
      </c>
      <c r="D3928" t="s">
        <v>27</v>
      </c>
      <c r="E3928" s="2">
        <v>46063</v>
      </c>
      <c r="F3928" s="2">
        <v>46063</v>
      </c>
      <c r="G3928" s="3">
        <v>75</v>
      </c>
      <c r="H3928" t="s">
        <v>763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 t="s">
        <v>2841</v>
      </c>
    </row>
    <row r="3929" spans="1:25" hidden="1" x14ac:dyDescent="0.25">
      <c r="A3929" t="s">
        <v>27</v>
      </c>
      <c r="B3929" t="s">
        <v>188</v>
      </c>
      <c r="C3929" t="s">
        <v>55</v>
      </c>
      <c r="D3929" t="s">
        <v>27</v>
      </c>
      <c r="E3929" s="2">
        <v>46063</v>
      </c>
      <c r="F3929" s="2">
        <v>46063</v>
      </c>
      <c r="G3929" s="3">
        <v>76</v>
      </c>
      <c r="H3929" t="s">
        <v>763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 t="s">
        <v>2841</v>
      </c>
    </row>
    <row r="3930" spans="1:25" hidden="1" x14ac:dyDescent="0.25">
      <c r="A3930" t="s">
        <v>25</v>
      </c>
      <c r="B3930" t="s">
        <v>96</v>
      </c>
      <c r="C3930" t="s">
        <v>26</v>
      </c>
      <c r="D3930" t="s">
        <v>27</v>
      </c>
      <c r="E3930" s="2">
        <v>46064</v>
      </c>
      <c r="F3930" s="2">
        <v>46064</v>
      </c>
      <c r="G3930" s="3">
        <v>46</v>
      </c>
      <c r="H3930" t="s">
        <v>28</v>
      </c>
      <c r="I3930">
        <v>56</v>
      </c>
      <c r="J3930">
        <v>0</v>
      </c>
      <c r="K3930">
        <v>0</v>
      </c>
      <c r="L3930" s="3">
        <v>1</v>
      </c>
      <c r="M3930" s="3">
        <v>0</v>
      </c>
      <c r="N3930">
        <v>1</v>
      </c>
      <c r="O3930">
        <v>0</v>
      </c>
      <c r="P3930">
        <v>0</v>
      </c>
      <c r="Q3930">
        <v>0</v>
      </c>
      <c r="R3930" s="3">
        <v>0</v>
      </c>
      <c r="S3930" s="3">
        <v>0</v>
      </c>
      <c r="T3930">
        <v>0</v>
      </c>
      <c r="U3930">
        <v>0</v>
      </c>
      <c r="V3930" s="3">
        <v>0</v>
      </c>
      <c r="W3930" s="3">
        <v>0</v>
      </c>
      <c r="X3930">
        <v>0</v>
      </c>
      <c r="Y3930" t="s">
        <v>3026</v>
      </c>
    </row>
    <row r="3931" spans="1:25" hidden="1" x14ac:dyDescent="0.25">
      <c r="A3931" t="s">
        <v>344</v>
      </c>
      <c r="B3931" t="s">
        <v>102</v>
      </c>
      <c r="C3931" t="s">
        <v>95</v>
      </c>
      <c r="D3931" t="s">
        <v>27</v>
      </c>
      <c r="E3931" s="2">
        <v>46064</v>
      </c>
      <c r="F3931" s="2">
        <v>46064</v>
      </c>
      <c r="G3931" s="3">
        <v>46</v>
      </c>
      <c r="H3931" t="s">
        <v>28</v>
      </c>
      <c r="I3931">
        <v>34</v>
      </c>
      <c r="J3931">
        <v>0</v>
      </c>
      <c r="K3931">
        <v>0</v>
      </c>
      <c r="L3931" s="3">
        <v>0</v>
      </c>
      <c r="M3931" s="3">
        <v>0</v>
      </c>
      <c r="N3931">
        <v>0</v>
      </c>
      <c r="O3931">
        <v>0</v>
      </c>
      <c r="P3931">
        <v>0</v>
      </c>
      <c r="Q3931">
        <v>0</v>
      </c>
      <c r="R3931" s="3">
        <v>0</v>
      </c>
      <c r="S3931" s="3">
        <v>0</v>
      </c>
      <c r="T3931">
        <v>0</v>
      </c>
      <c r="U3931">
        <v>0</v>
      </c>
      <c r="V3931" s="3">
        <v>0</v>
      </c>
      <c r="W3931" s="3">
        <v>0</v>
      </c>
      <c r="X3931">
        <v>0</v>
      </c>
      <c r="Y3931" t="s">
        <v>2961</v>
      </c>
    </row>
    <row r="3932" spans="1:25" hidden="1" x14ac:dyDescent="0.25">
      <c r="A3932" t="s">
        <v>31</v>
      </c>
      <c r="B3932" t="s">
        <v>104</v>
      </c>
      <c r="C3932" t="s">
        <v>32</v>
      </c>
      <c r="D3932" t="s">
        <v>27</v>
      </c>
      <c r="E3932" s="2">
        <v>46064</v>
      </c>
      <c r="F3932" s="2">
        <v>46064</v>
      </c>
      <c r="G3932" s="3">
        <v>63</v>
      </c>
      <c r="H3932" t="s">
        <v>28</v>
      </c>
      <c r="I3932">
        <v>87</v>
      </c>
      <c r="J3932">
        <v>0</v>
      </c>
      <c r="K3932">
        <v>0</v>
      </c>
      <c r="L3932" s="3">
        <v>1</v>
      </c>
      <c r="M3932" s="3">
        <v>0</v>
      </c>
      <c r="N3932">
        <v>0</v>
      </c>
      <c r="O3932">
        <v>0</v>
      </c>
      <c r="P3932">
        <v>0</v>
      </c>
      <c r="Q3932">
        <v>37</v>
      </c>
      <c r="R3932" s="3">
        <v>0</v>
      </c>
      <c r="S3932" s="3">
        <v>0</v>
      </c>
      <c r="T3932">
        <v>0</v>
      </c>
      <c r="U3932">
        <v>0</v>
      </c>
      <c r="V3932" s="3">
        <v>0</v>
      </c>
      <c r="W3932" s="3">
        <v>0</v>
      </c>
      <c r="X3932">
        <v>2</v>
      </c>
      <c r="Y3932" t="s">
        <v>3027</v>
      </c>
    </row>
    <row r="3933" spans="1:25" hidden="1" x14ac:dyDescent="0.25">
      <c r="A3933" t="s">
        <v>3028</v>
      </c>
      <c r="B3933" t="s">
        <v>590</v>
      </c>
      <c r="C3933" t="s">
        <v>2514</v>
      </c>
      <c r="D3933" t="s">
        <v>27</v>
      </c>
      <c r="E3933" s="2">
        <v>46064</v>
      </c>
      <c r="F3933" s="2">
        <v>46064</v>
      </c>
      <c r="G3933" s="3">
        <v>183</v>
      </c>
      <c r="H3933" t="s">
        <v>28</v>
      </c>
      <c r="I3933">
        <v>63</v>
      </c>
      <c r="J3933">
        <v>0</v>
      </c>
      <c r="K3933">
        <v>0</v>
      </c>
      <c r="L3933" s="3">
        <v>1</v>
      </c>
      <c r="M3933" s="3">
        <v>0</v>
      </c>
      <c r="N3933">
        <v>0</v>
      </c>
      <c r="O3933">
        <v>0</v>
      </c>
      <c r="P3933">
        <v>0</v>
      </c>
      <c r="Q3933">
        <v>30</v>
      </c>
      <c r="R3933" s="3">
        <v>0</v>
      </c>
      <c r="S3933" s="3">
        <v>0</v>
      </c>
      <c r="T3933">
        <v>0</v>
      </c>
      <c r="U3933">
        <v>0</v>
      </c>
      <c r="V3933" s="3">
        <v>0</v>
      </c>
      <c r="W3933" s="3">
        <v>0</v>
      </c>
      <c r="X3933">
        <v>0</v>
      </c>
      <c r="Y3933" t="s">
        <v>3029</v>
      </c>
    </row>
    <row r="3934" spans="1:25" hidden="1" x14ac:dyDescent="0.25">
      <c r="A3934" t="s">
        <v>597</v>
      </c>
      <c r="B3934" t="s">
        <v>598</v>
      </c>
      <c r="C3934" t="s">
        <v>57</v>
      </c>
      <c r="D3934" t="s">
        <v>27</v>
      </c>
      <c r="E3934" s="2">
        <v>46064</v>
      </c>
      <c r="F3934" s="2">
        <v>46064</v>
      </c>
      <c r="G3934" s="3">
        <v>35</v>
      </c>
      <c r="H3934" t="s">
        <v>28</v>
      </c>
      <c r="I3934">
        <v>48</v>
      </c>
      <c r="J3934">
        <v>0</v>
      </c>
      <c r="K3934">
        <v>0</v>
      </c>
      <c r="L3934" s="3">
        <v>0</v>
      </c>
      <c r="M3934" s="3">
        <v>0</v>
      </c>
      <c r="N3934">
        <v>0</v>
      </c>
      <c r="O3934">
        <v>0</v>
      </c>
      <c r="P3934">
        <v>0</v>
      </c>
      <c r="Q3934">
        <v>0</v>
      </c>
      <c r="R3934" s="3">
        <v>0</v>
      </c>
      <c r="S3934" s="3">
        <v>0</v>
      </c>
      <c r="T3934">
        <v>0</v>
      </c>
      <c r="U3934">
        <v>0</v>
      </c>
      <c r="V3934" s="3">
        <v>0</v>
      </c>
      <c r="W3934" s="3">
        <v>0</v>
      </c>
      <c r="X3934">
        <v>0</v>
      </c>
      <c r="Y3934" t="s">
        <v>3030</v>
      </c>
    </row>
    <row r="3935" spans="1:25" hidden="1" x14ac:dyDescent="0.25">
      <c r="A3935" t="s">
        <v>36</v>
      </c>
      <c r="B3935" t="s">
        <v>249</v>
      </c>
      <c r="C3935" t="s">
        <v>2534</v>
      </c>
      <c r="D3935" t="s">
        <v>27</v>
      </c>
      <c r="E3935" s="2">
        <v>46064</v>
      </c>
      <c r="F3935" s="2">
        <v>46064</v>
      </c>
      <c r="G3935" s="3">
        <v>119</v>
      </c>
      <c r="H3935" t="s">
        <v>28</v>
      </c>
      <c r="I3935">
        <v>87</v>
      </c>
      <c r="J3935">
        <v>0</v>
      </c>
      <c r="K3935">
        <v>0</v>
      </c>
      <c r="L3935" s="3">
        <v>1</v>
      </c>
      <c r="M3935" s="3">
        <v>0</v>
      </c>
      <c r="N3935">
        <v>1</v>
      </c>
      <c r="O3935">
        <v>0</v>
      </c>
      <c r="P3935">
        <v>0</v>
      </c>
      <c r="Q3935">
        <v>0</v>
      </c>
      <c r="R3935" s="3">
        <v>0</v>
      </c>
      <c r="S3935" s="3">
        <v>0</v>
      </c>
      <c r="T3935">
        <v>0</v>
      </c>
      <c r="U3935">
        <v>0</v>
      </c>
      <c r="V3935" s="3">
        <v>0</v>
      </c>
      <c r="W3935" s="3">
        <v>0</v>
      </c>
      <c r="X3935">
        <v>0</v>
      </c>
      <c r="Y3935" t="s">
        <v>3031</v>
      </c>
    </row>
    <row r="3936" spans="1:25" hidden="1" x14ac:dyDescent="0.25">
      <c r="A3936" t="s">
        <v>38</v>
      </c>
      <c r="B3936" t="s">
        <v>108</v>
      </c>
      <c r="C3936" t="s">
        <v>27</v>
      </c>
      <c r="D3936" t="s">
        <v>27</v>
      </c>
      <c r="E3936" s="2">
        <v>46064</v>
      </c>
      <c r="F3936" s="2">
        <v>46064</v>
      </c>
      <c r="G3936" s="3">
        <v>42</v>
      </c>
      <c r="H3936" t="s">
        <v>28</v>
      </c>
      <c r="I3936">
        <v>48</v>
      </c>
      <c r="J3936">
        <v>0</v>
      </c>
      <c r="K3936">
        <v>0</v>
      </c>
      <c r="L3936" s="3">
        <v>1</v>
      </c>
      <c r="M3936" s="3">
        <v>0</v>
      </c>
      <c r="N3936">
        <v>0</v>
      </c>
      <c r="O3936">
        <v>0</v>
      </c>
      <c r="P3936">
        <v>0</v>
      </c>
      <c r="Q3936">
        <v>48</v>
      </c>
      <c r="R3936" s="3">
        <v>0</v>
      </c>
      <c r="S3936" s="3">
        <v>0</v>
      </c>
      <c r="T3936">
        <v>0</v>
      </c>
      <c r="U3936">
        <v>0</v>
      </c>
      <c r="V3936" s="3">
        <v>0</v>
      </c>
      <c r="W3936" s="3">
        <v>0</v>
      </c>
      <c r="X3936">
        <v>0</v>
      </c>
      <c r="Y3936" t="s">
        <v>3032</v>
      </c>
    </row>
    <row r="3937" spans="1:25" hidden="1" x14ac:dyDescent="0.25">
      <c r="A3937" t="s">
        <v>2679</v>
      </c>
      <c r="B3937" t="s">
        <v>2680</v>
      </c>
      <c r="C3937" t="s">
        <v>39</v>
      </c>
      <c r="D3937" t="s">
        <v>27</v>
      </c>
      <c r="E3937" s="2">
        <v>46064</v>
      </c>
      <c r="F3937" s="2">
        <v>46064</v>
      </c>
      <c r="G3937" s="3">
        <v>39</v>
      </c>
      <c r="H3937" t="s">
        <v>28</v>
      </c>
      <c r="I3937">
        <v>79</v>
      </c>
      <c r="J3937">
        <v>0</v>
      </c>
      <c r="K3937">
        <v>0</v>
      </c>
      <c r="L3937" s="3">
        <v>0</v>
      </c>
      <c r="M3937" s="3">
        <v>0</v>
      </c>
      <c r="N3937">
        <v>0</v>
      </c>
      <c r="O3937">
        <v>0</v>
      </c>
      <c r="P3937">
        <v>0</v>
      </c>
      <c r="Q3937">
        <v>79</v>
      </c>
      <c r="R3937" s="3">
        <v>0</v>
      </c>
      <c r="S3937" s="3">
        <v>0</v>
      </c>
      <c r="T3937">
        <v>0</v>
      </c>
      <c r="U3937">
        <v>0</v>
      </c>
      <c r="V3937" s="3">
        <v>0</v>
      </c>
      <c r="W3937" s="3">
        <v>0</v>
      </c>
      <c r="X3937">
        <v>0</v>
      </c>
      <c r="Y3937" t="s">
        <v>3033</v>
      </c>
    </row>
    <row r="3938" spans="1:25" hidden="1" x14ac:dyDescent="0.25">
      <c r="A3938" t="s">
        <v>41</v>
      </c>
      <c r="B3938" t="s">
        <v>112</v>
      </c>
      <c r="C3938" t="s">
        <v>42</v>
      </c>
      <c r="D3938" t="s">
        <v>27</v>
      </c>
      <c r="E3938" s="2">
        <v>46064</v>
      </c>
      <c r="F3938" s="2">
        <v>46064</v>
      </c>
      <c r="G3938" s="3">
        <v>49</v>
      </c>
      <c r="H3938" t="s">
        <v>28</v>
      </c>
      <c r="I3938">
        <v>46</v>
      </c>
      <c r="J3938">
        <v>0</v>
      </c>
      <c r="K3938">
        <v>0</v>
      </c>
      <c r="L3938" s="3">
        <v>1</v>
      </c>
      <c r="M3938" s="3">
        <v>0</v>
      </c>
      <c r="N3938">
        <v>0</v>
      </c>
      <c r="O3938">
        <v>0</v>
      </c>
      <c r="P3938">
        <v>0</v>
      </c>
      <c r="Q3938">
        <v>1</v>
      </c>
      <c r="R3938" s="3">
        <v>0</v>
      </c>
      <c r="S3938" s="3">
        <v>0</v>
      </c>
      <c r="T3938">
        <v>0</v>
      </c>
      <c r="U3938">
        <v>0</v>
      </c>
      <c r="V3938" s="3">
        <v>0</v>
      </c>
      <c r="W3938" s="3">
        <v>0</v>
      </c>
      <c r="X3938">
        <v>1</v>
      </c>
      <c r="Y3938" t="s">
        <v>3019</v>
      </c>
    </row>
    <row r="3939" spans="1:25" hidden="1" x14ac:dyDescent="0.25">
      <c r="A3939" t="s">
        <v>1316</v>
      </c>
      <c r="B3939" t="s">
        <v>1348</v>
      </c>
      <c r="C3939" t="s">
        <v>52</v>
      </c>
      <c r="D3939" t="s">
        <v>27</v>
      </c>
      <c r="E3939" s="2">
        <v>46064</v>
      </c>
      <c r="F3939" s="2">
        <v>46064</v>
      </c>
      <c r="G3939" s="3">
        <v>36</v>
      </c>
      <c r="H3939" t="s">
        <v>28</v>
      </c>
      <c r="I3939">
        <v>31</v>
      </c>
      <c r="J3939">
        <v>0</v>
      </c>
      <c r="K3939">
        <v>0</v>
      </c>
      <c r="L3939" s="3">
        <v>0</v>
      </c>
      <c r="M3939" s="3">
        <v>0</v>
      </c>
      <c r="N3939">
        <v>0</v>
      </c>
      <c r="O3939">
        <v>0</v>
      </c>
      <c r="P3939">
        <v>0</v>
      </c>
      <c r="Q3939">
        <v>0</v>
      </c>
      <c r="R3939" s="3">
        <v>0</v>
      </c>
      <c r="S3939" s="3">
        <v>0</v>
      </c>
      <c r="T3939">
        <v>0</v>
      </c>
      <c r="U3939">
        <v>0</v>
      </c>
      <c r="V3939" s="3">
        <v>0</v>
      </c>
      <c r="W3939" s="3">
        <v>0</v>
      </c>
      <c r="X3939">
        <v>0</v>
      </c>
      <c r="Y3939" t="s">
        <v>3034</v>
      </c>
    </row>
    <row r="3940" spans="1:25" hidden="1" x14ac:dyDescent="0.25">
      <c r="A3940" t="s">
        <v>43</v>
      </c>
      <c r="B3940" t="s">
        <v>114</v>
      </c>
      <c r="C3940" t="s">
        <v>44</v>
      </c>
      <c r="D3940" t="s">
        <v>27</v>
      </c>
      <c r="E3940" s="2">
        <v>46064</v>
      </c>
      <c r="F3940" s="2">
        <v>46064</v>
      </c>
      <c r="G3940" s="3">
        <v>41</v>
      </c>
      <c r="H3940" t="s">
        <v>28</v>
      </c>
      <c r="I3940">
        <v>41</v>
      </c>
      <c r="J3940">
        <v>0</v>
      </c>
      <c r="K3940">
        <v>0</v>
      </c>
      <c r="L3940" s="3">
        <v>1</v>
      </c>
      <c r="M3940" s="3">
        <v>0</v>
      </c>
      <c r="N3940">
        <v>0</v>
      </c>
      <c r="O3940">
        <v>0</v>
      </c>
      <c r="P3940">
        <v>0</v>
      </c>
      <c r="Q3940">
        <v>4</v>
      </c>
      <c r="R3940" s="3">
        <v>0</v>
      </c>
      <c r="S3940" s="3">
        <v>0</v>
      </c>
      <c r="T3940">
        <v>0</v>
      </c>
      <c r="U3940">
        <v>0</v>
      </c>
      <c r="V3940" s="3">
        <v>0</v>
      </c>
      <c r="W3940" s="3">
        <v>0</v>
      </c>
      <c r="X3940">
        <v>0</v>
      </c>
      <c r="Y3940" t="s">
        <v>3035</v>
      </c>
    </row>
    <row r="3941" spans="1:25" hidden="1" x14ac:dyDescent="0.25">
      <c r="A3941" t="s">
        <v>2118</v>
      </c>
      <c r="B3941" t="s">
        <v>2119</v>
      </c>
      <c r="C3941" t="s">
        <v>27</v>
      </c>
      <c r="D3941" t="s">
        <v>27</v>
      </c>
      <c r="E3941" s="2">
        <v>46064</v>
      </c>
      <c r="F3941" s="2">
        <v>46064</v>
      </c>
      <c r="G3941" s="3">
        <v>66</v>
      </c>
      <c r="H3941" t="s">
        <v>28</v>
      </c>
      <c r="I3941">
        <v>64</v>
      </c>
      <c r="J3941">
        <v>0</v>
      </c>
      <c r="K3941">
        <v>0</v>
      </c>
      <c r="L3941" s="3">
        <v>1</v>
      </c>
      <c r="M3941" s="3">
        <v>0</v>
      </c>
      <c r="N3941">
        <v>0</v>
      </c>
      <c r="O3941">
        <v>0</v>
      </c>
      <c r="P3941">
        <v>0</v>
      </c>
      <c r="Q3941">
        <v>64</v>
      </c>
      <c r="R3941" s="3">
        <v>0</v>
      </c>
      <c r="S3941" s="3">
        <v>0</v>
      </c>
      <c r="T3941">
        <v>0</v>
      </c>
      <c r="U3941">
        <v>0</v>
      </c>
      <c r="V3941" s="3">
        <v>0</v>
      </c>
      <c r="W3941" s="3">
        <v>0</v>
      </c>
      <c r="X3941">
        <v>0</v>
      </c>
      <c r="Y3941" t="s">
        <v>3036</v>
      </c>
    </row>
    <row r="3942" spans="1:25" hidden="1" x14ac:dyDescent="0.25">
      <c r="A3942" t="s">
        <v>45</v>
      </c>
      <c r="B3942" t="s">
        <v>116</v>
      </c>
      <c r="C3942" t="s">
        <v>2835</v>
      </c>
      <c r="D3942" t="s">
        <v>27</v>
      </c>
      <c r="E3942" s="2">
        <v>46064</v>
      </c>
      <c r="F3942" s="2">
        <v>46064</v>
      </c>
      <c r="G3942" s="3">
        <v>40</v>
      </c>
      <c r="H3942" t="s">
        <v>28</v>
      </c>
      <c r="I3942">
        <v>78</v>
      </c>
      <c r="J3942">
        <v>0</v>
      </c>
      <c r="K3942">
        <v>0</v>
      </c>
      <c r="L3942" s="3">
        <v>1</v>
      </c>
      <c r="M3942" s="3">
        <v>0</v>
      </c>
      <c r="N3942">
        <v>0</v>
      </c>
      <c r="O3942">
        <v>0</v>
      </c>
      <c r="P3942">
        <v>0</v>
      </c>
      <c r="Q3942">
        <v>12</v>
      </c>
      <c r="R3942" s="3">
        <v>0</v>
      </c>
      <c r="S3942" s="3">
        <v>0</v>
      </c>
      <c r="T3942">
        <v>0</v>
      </c>
      <c r="U3942">
        <v>0</v>
      </c>
      <c r="V3942" s="3">
        <v>0</v>
      </c>
      <c r="W3942" s="3">
        <v>0</v>
      </c>
      <c r="X3942">
        <v>1</v>
      </c>
      <c r="Y3942" t="s">
        <v>3037</v>
      </c>
    </row>
    <row r="3943" spans="1:25" hidden="1" x14ac:dyDescent="0.25">
      <c r="A3943" t="s">
        <v>47</v>
      </c>
      <c r="B3943" t="s">
        <v>137</v>
      </c>
      <c r="C3943" t="s">
        <v>2310</v>
      </c>
      <c r="D3943" t="s">
        <v>27</v>
      </c>
      <c r="E3943" s="2">
        <v>46064</v>
      </c>
      <c r="F3943" s="2">
        <v>46064</v>
      </c>
      <c r="G3943" s="3">
        <v>117</v>
      </c>
      <c r="H3943" t="s">
        <v>28</v>
      </c>
      <c r="I3943">
        <v>89</v>
      </c>
      <c r="J3943">
        <v>0</v>
      </c>
      <c r="K3943">
        <v>0</v>
      </c>
      <c r="L3943" s="3">
        <v>1</v>
      </c>
      <c r="M3943" s="3">
        <v>0</v>
      </c>
      <c r="N3943">
        <v>0</v>
      </c>
      <c r="O3943">
        <v>0</v>
      </c>
      <c r="P3943">
        <v>0</v>
      </c>
      <c r="Q3943">
        <v>6</v>
      </c>
      <c r="R3943" s="3">
        <v>0</v>
      </c>
      <c r="S3943" s="3">
        <v>0</v>
      </c>
      <c r="T3943">
        <v>0</v>
      </c>
      <c r="U3943">
        <v>0</v>
      </c>
      <c r="V3943" s="3">
        <v>0</v>
      </c>
      <c r="W3943" s="3">
        <v>0</v>
      </c>
      <c r="X3943">
        <v>0</v>
      </c>
      <c r="Y3943" t="s">
        <v>3038</v>
      </c>
    </row>
    <row r="3944" spans="1:25" hidden="1" x14ac:dyDescent="0.25">
      <c r="A3944" t="s">
        <v>49</v>
      </c>
      <c r="B3944" t="s">
        <v>118</v>
      </c>
      <c r="C3944" t="s">
        <v>50</v>
      </c>
      <c r="D3944" t="s">
        <v>27</v>
      </c>
      <c r="E3944" s="2">
        <v>46064</v>
      </c>
      <c r="F3944" s="2">
        <v>46064</v>
      </c>
      <c r="G3944" s="3">
        <v>25</v>
      </c>
      <c r="H3944" t="s">
        <v>28</v>
      </c>
      <c r="I3944">
        <v>42</v>
      </c>
      <c r="J3944">
        <v>0</v>
      </c>
      <c r="K3944">
        <v>0</v>
      </c>
      <c r="L3944" s="3">
        <v>1</v>
      </c>
      <c r="M3944" s="3">
        <v>1</v>
      </c>
      <c r="N3944">
        <v>0</v>
      </c>
      <c r="O3944">
        <v>0</v>
      </c>
      <c r="P3944">
        <v>0</v>
      </c>
      <c r="Q3944">
        <v>42</v>
      </c>
      <c r="R3944" s="3">
        <v>0</v>
      </c>
      <c r="S3944" s="3">
        <v>0</v>
      </c>
      <c r="T3944">
        <v>0</v>
      </c>
      <c r="U3944">
        <v>0</v>
      </c>
      <c r="V3944" s="3">
        <v>0</v>
      </c>
      <c r="W3944" s="3">
        <v>0</v>
      </c>
      <c r="X3944">
        <v>0</v>
      </c>
      <c r="Y3944" t="s">
        <v>3039</v>
      </c>
    </row>
    <row r="3945" spans="1:25" hidden="1" x14ac:dyDescent="0.25">
      <c r="A3945" t="s">
        <v>51</v>
      </c>
      <c r="B3945" t="s">
        <v>120</v>
      </c>
      <c r="C3945" t="s">
        <v>2379</v>
      </c>
      <c r="D3945" t="s">
        <v>27</v>
      </c>
      <c r="E3945" s="2">
        <v>46064</v>
      </c>
      <c r="F3945" s="2">
        <v>46064</v>
      </c>
      <c r="G3945" s="3">
        <v>33</v>
      </c>
      <c r="H3945" t="s">
        <v>28</v>
      </c>
      <c r="I3945">
        <v>35</v>
      </c>
      <c r="J3945">
        <v>0</v>
      </c>
      <c r="K3945">
        <v>0</v>
      </c>
      <c r="L3945" s="3">
        <v>1</v>
      </c>
      <c r="M3945" s="3">
        <v>0</v>
      </c>
      <c r="N3945">
        <v>1</v>
      </c>
      <c r="O3945">
        <v>0</v>
      </c>
      <c r="P3945">
        <v>0</v>
      </c>
      <c r="Q3945">
        <v>0</v>
      </c>
      <c r="R3945" s="3">
        <v>0</v>
      </c>
      <c r="S3945" s="3">
        <v>0</v>
      </c>
      <c r="T3945">
        <v>0</v>
      </c>
      <c r="U3945">
        <v>0</v>
      </c>
      <c r="V3945" s="3">
        <v>0</v>
      </c>
      <c r="W3945" s="3">
        <v>0</v>
      </c>
      <c r="X3945">
        <v>0</v>
      </c>
      <c r="Y3945" t="s">
        <v>3040</v>
      </c>
    </row>
    <row r="3946" spans="1:25" hidden="1" x14ac:dyDescent="0.25">
      <c r="A3946" t="s">
        <v>48</v>
      </c>
      <c r="B3946" t="s">
        <v>149</v>
      </c>
      <c r="C3946" t="s">
        <v>37</v>
      </c>
      <c r="D3946" t="s">
        <v>27</v>
      </c>
      <c r="E3946" s="2">
        <v>46064</v>
      </c>
      <c r="F3946" s="2">
        <v>46064</v>
      </c>
      <c r="G3946" s="3">
        <v>21</v>
      </c>
      <c r="H3946" t="s">
        <v>28</v>
      </c>
      <c r="I3946">
        <v>60</v>
      </c>
      <c r="J3946">
        <v>0</v>
      </c>
      <c r="K3946">
        <v>0</v>
      </c>
      <c r="L3946" s="3">
        <v>1</v>
      </c>
      <c r="M3946" s="3">
        <v>0</v>
      </c>
      <c r="N3946">
        <v>0</v>
      </c>
      <c r="O3946">
        <v>0</v>
      </c>
      <c r="P3946">
        <v>0</v>
      </c>
      <c r="Q3946">
        <v>0</v>
      </c>
      <c r="R3946" s="3">
        <v>0</v>
      </c>
      <c r="S3946" s="3">
        <v>0</v>
      </c>
      <c r="T3946">
        <v>0</v>
      </c>
      <c r="U3946">
        <v>0</v>
      </c>
      <c r="V3946" s="3">
        <v>0</v>
      </c>
      <c r="W3946" s="3">
        <v>0</v>
      </c>
      <c r="X3946">
        <v>0</v>
      </c>
      <c r="Y3946" t="s">
        <v>3041</v>
      </c>
    </row>
    <row r="3947" spans="1:25" hidden="1" x14ac:dyDescent="0.25">
      <c r="A3947" t="s">
        <v>27</v>
      </c>
      <c r="B3947" t="s">
        <v>739</v>
      </c>
      <c r="C3947" t="s">
        <v>2271</v>
      </c>
      <c r="D3947" t="s">
        <v>27</v>
      </c>
      <c r="E3947" s="2">
        <v>46064</v>
      </c>
      <c r="F3947" s="2">
        <v>46064</v>
      </c>
      <c r="G3947" s="3">
        <v>23</v>
      </c>
      <c r="H3947" t="s">
        <v>1448</v>
      </c>
      <c r="I3947">
        <v>0</v>
      </c>
      <c r="J3947">
        <v>0</v>
      </c>
      <c r="K3947">
        <v>0</v>
      </c>
      <c r="L3947" s="3">
        <v>0</v>
      </c>
      <c r="M3947" s="3">
        <v>0</v>
      </c>
      <c r="N3947">
        <v>0</v>
      </c>
      <c r="O3947">
        <v>0</v>
      </c>
      <c r="P3947">
        <v>0</v>
      </c>
      <c r="Q3947">
        <v>0</v>
      </c>
      <c r="R3947" s="3">
        <v>0</v>
      </c>
      <c r="S3947" s="3">
        <v>0</v>
      </c>
      <c r="T3947">
        <v>0</v>
      </c>
      <c r="U3947">
        <v>0</v>
      </c>
      <c r="V3947" s="3">
        <v>0</v>
      </c>
      <c r="W3947" s="3">
        <v>0</v>
      </c>
      <c r="X3947" s="3">
        <v>0</v>
      </c>
      <c r="Y3947" t="s">
        <v>3041</v>
      </c>
    </row>
    <row r="3948" spans="1:25" hidden="1" x14ac:dyDescent="0.25">
      <c r="A3948" t="s">
        <v>40</v>
      </c>
      <c r="B3948" t="s">
        <v>798</v>
      </c>
      <c r="C3948" t="s">
        <v>27</v>
      </c>
      <c r="D3948" t="s">
        <v>27</v>
      </c>
      <c r="E3948" s="2">
        <v>46064</v>
      </c>
      <c r="F3948" s="2">
        <v>46064</v>
      </c>
      <c r="G3948" s="3">
        <v>36</v>
      </c>
      <c r="H3948" t="s">
        <v>1975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 t="s">
        <v>3025</v>
      </c>
    </row>
    <row r="3949" spans="1:25" hidden="1" x14ac:dyDescent="0.25">
      <c r="A3949" t="s">
        <v>438</v>
      </c>
      <c r="B3949" t="s">
        <v>798</v>
      </c>
      <c r="C3949" t="s">
        <v>27</v>
      </c>
      <c r="D3949" t="s">
        <v>27</v>
      </c>
      <c r="E3949" s="2">
        <v>46064</v>
      </c>
      <c r="F3949" s="2">
        <v>46064</v>
      </c>
      <c r="G3949" s="3">
        <v>33</v>
      </c>
      <c r="H3949" t="s">
        <v>1975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 t="s">
        <v>2803</v>
      </c>
    </row>
    <row r="3950" spans="1:25" hidden="1" x14ac:dyDescent="0.25">
      <c r="A3950" t="s">
        <v>454</v>
      </c>
      <c r="B3950" t="s">
        <v>106</v>
      </c>
      <c r="C3950" t="s">
        <v>27</v>
      </c>
      <c r="D3950" t="s">
        <v>27</v>
      </c>
      <c r="E3950" s="2">
        <v>46064</v>
      </c>
      <c r="F3950" s="2">
        <v>46064</v>
      </c>
      <c r="G3950" s="3">
        <v>72</v>
      </c>
      <c r="H3950" t="s">
        <v>763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2841</v>
      </c>
    </row>
    <row r="3951" spans="1:25" hidden="1" x14ac:dyDescent="0.25">
      <c r="A3951" t="s">
        <v>54</v>
      </c>
      <c r="B3951" t="s">
        <v>182</v>
      </c>
      <c r="C3951" t="s">
        <v>27</v>
      </c>
      <c r="D3951" t="s">
        <v>27</v>
      </c>
      <c r="E3951" s="2">
        <v>46064</v>
      </c>
      <c r="F3951" s="2">
        <v>46064</v>
      </c>
      <c r="G3951" s="3">
        <v>73</v>
      </c>
      <c r="H3951" t="s">
        <v>763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2841</v>
      </c>
    </row>
    <row r="3952" spans="1:25" hidden="1" x14ac:dyDescent="0.25">
      <c r="A3952" t="s">
        <v>27</v>
      </c>
      <c r="B3952" t="s">
        <v>184</v>
      </c>
      <c r="C3952" t="s">
        <v>35</v>
      </c>
      <c r="D3952" t="s">
        <v>27</v>
      </c>
      <c r="E3952" s="2">
        <v>46064</v>
      </c>
      <c r="F3952" s="2">
        <v>46064</v>
      </c>
      <c r="G3952" s="3">
        <v>74</v>
      </c>
      <c r="H3952" t="s">
        <v>763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2841</v>
      </c>
    </row>
    <row r="3953" spans="1:25" hidden="1" x14ac:dyDescent="0.25">
      <c r="A3953" t="s">
        <v>27</v>
      </c>
      <c r="B3953" t="s">
        <v>186</v>
      </c>
      <c r="C3953" t="s">
        <v>46</v>
      </c>
      <c r="D3953" t="s">
        <v>27</v>
      </c>
      <c r="E3953" s="2">
        <v>46064</v>
      </c>
      <c r="F3953" s="2">
        <v>46064</v>
      </c>
      <c r="G3953" s="3">
        <v>75</v>
      </c>
      <c r="H3953" t="s">
        <v>763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2841</v>
      </c>
    </row>
    <row r="3954" spans="1:25" hidden="1" x14ac:dyDescent="0.25">
      <c r="A3954" t="s">
        <v>27</v>
      </c>
      <c r="B3954" t="s">
        <v>188</v>
      </c>
      <c r="C3954" t="s">
        <v>55</v>
      </c>
      <c r="D3954" t="s">
        <v>27</v>
      </c>
      <c r="E3954" s="2">
        <v>46064</v>
      </c>
      <c r="F3954" s="2">
        <v>46064</v>
      </c>
      <c r="G3954" s="3">
        <v>76</v>
      </c>
      <c r="H3954" t="s">
        <v>763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t="s">
        <v>2841</v>
      </c>
    </row>
    <row r="3955" spans="1:25" hidden="1" x14ac:dyDescent="0.25">
      <c r="A3955" t="s">
        <v>25</v>
      </c>
      <c r="B3955" t="s">
        <v>96</v>
      </c>
      <c r="C3955" t="s">
        <v>26</v>
      </c>
      <c r="D3955" t="s">
        <v>27</v>
      </c>
      <c r="E3955" s="2">
        <v>46065</v>
      </c>
      <c r="F3955" s="2">
        <v>46065</v>
      </c>
      <c r="G3955" s="3">
        <v>41</v>
      </c>
      <c r="H3955" t="s">
        <v>28</v>
      </c>
      <c r="I3955">
        <v>53</v>
      </c>
      <c r="J3955">
        <v>0</v>
      </c>
      <c r="K3955">
        <v>0</v>
      </c>
      <c r="L3955" s="3">
        <v>1</v>
      </c>
      <c r="M3955" s="3">
        <v>0</v>
      </c>
      <c r="N3955">
        <v>1</v>
      </c>
      <c r="O3955">
        <v>0</v>
      </c>
      <c r="P3955">
        <v>0</v>
      </c>
      <c r="Q3955">
        <v>0</v>
      </c>
      <c r="R3955" s="3">
        <v>0</v>
      </c>
      <c r="S3955" s="3">
        <v>0</v>
      </c>
      <c r="T3955">
        <v>0</v>
      </c>
      <c r="U3955">
        <v>0</v>
      </c>
      <c r="V3955" s="3">
        <v>0</v>
      </c>
      <c r="W3955" s="3">
        <v>0</v>
      </c>
      <c r="X3955">
        <v>0</v>
      </c>
      <c r="Y3955" t="s">
        <v>3042</v>
      </c>
    </row>
    <row r="3956" spans="1:25" hidden="1" x14ac:dyDescent="0.25">
      <c r="A3956" t="s">
        <v>344</v>
      </c>
      <c r="B3956" t="s">
        <v>102</v>
      </c>
      <c r="C3956" t="s">
        <v>95</v>
      </c>
      <c r="D3956" t="s">
        <v>27</v>
      </c>
      <c r="E3956" s="2">
        <v>46065</v>
      </c>
      <c r="F3956" s="2">
        <v>46065</v>
      </c>
      <c r="G3956" s="3">
        <v>46</v>
      </c>
      <c r="H3956" t="s">
        <v>28</v>
      </c>
      <c r="I3956">
        <v>34</v>
      </c>
      <c r="J3956">
        <v>0</v>
      </c>
      <c r="K3956">
        <v>0</v>
      </c>
      <c r="L3956" s="3">
        <v>0</v>
      </c>
      <c r="M3956" s="3">
        <v>0</v>
      </c>
      <c r="N3956">
        <v>0</v>
      </c>
      <c r="O3956">
        <v>0</v>
      </c>
      <c r="P3956">
        <v>0</v>
      </c>
      <c r="Q3956">
        <v>0</v>
      </c>
      <c r="R3956" s="3">
        <v>0</v>
      </c>
      <c r="S3956" s="3">
        <v>0</v>
      </c>
      <c r="T3956">
        <v>0</v>
      </c>
      <c r="U3956">
        <v>0</v>
      </c>
      <c r="V3956" s="3">
        <v>0</v>
      </c>
      <c r="W3956" s="3">
        <v>0</v>
      </c>
      <c r="X3956">
        <v>0</v>
      </c>
      <c r="Y3956" t="s">
        <v>2961</v>
      </c>
    </row>
    <row r="3957" spans="1:25" hidden="1" x14ac:dyDescent="0.25">
      <c r="A3957" t="s">
        <v>31</v>
      </c>
      <c r="B3957" t="s">
        <v>104</v>
      </c>
      <c r="C3957" t="s">
        <v>32</v>
      </c>
      <c r="D3957" t="s">
        <v>27</v>
      </c>
      <c r="E3957" s="2">
        <v>46065</v>
      </c>
      <c r="F3957" s="2">
        <v>46065</v>
      </c>
      <c r="G3957" s="3">
        <v>63</v>
      </c>
      <c r="H3957" t="s">
        <v>28</v>
      </c>
      <c r="I3957">
        <v>69</v>
      </c>
      <c r="J3957">
        <v>0</v>
      </c>
      <c r="K3957">
        <v>0</v>
      </c>
      <c r="L3957" s="3">
        <v>1</v>
      </c>
      <c r="M3957" s="3">
        <v>0</v>
      </c>
      <c r="N3957">
        <v>0</v>
      </c>
      <c r="O3957">
        <v>0</v>
      </c>
      <c r="P3957">
        <v>0</v>
      </c>
      <c r="Q3957">
        <v>37</v>
      </c>
      <c r="R3957" s="3">
        <v>0</v>
      </c>
      <c r="S3957" s="3">
        <v>0</v>
      </c>
      <c r="T3957">
        <v>0</v>
      </c>
      <c r="U3957">
        <v>0</v>
      </c>
      <c r="V3957" s="3">
        <v>0</v>
      </c>
      <c r="W3957" s="3">
        <v>0</v>
      </c>
      <c r="X3957">
        <v>2</v>
      </c>
      <c r="Y3957" t="s">
        <v>3043</v>
      </c>
    </row>
    <row r="3958" spans="1:25" hidden="1" x14ac:dyDescent="0.25">
      <c r="A3958" t="s">
        <v>597</v>
      </c>
      <c r="B3958" t="s">
        <v>598</v>
      </c>
      <c r="C3958" t="s">
        <v>57</v>
      </c>
      <c r="D3958" t="s">
        <v>27</v>
      </c>
      <c r="E3958" s="2">
        <v>46065</v>
      </c>
      <c r="F3958" s="2">
        <v>46065</v>
      </c>
      <c r="G3958" s="3">
        <v>42</v>
      </c>
      <c r="H3958" t="s">
        <v>28</v>
      </c>
      <c r="I3958">
        <v>40</v>
      </c>
      <c r="J3958">
        <v>0</v>
      </c>
      <c r="K3958">
        <v>0</v>
      </c>
      <c r="L3958" s="3">
        <v>0</v>
      </c>
      <c r="M3958" s="3">
        <v>0</v>
      </c>
      <c r="N3958">
        <v>0</v>
      </c>
      <c r="O3958">
        <v>0</v>
      </c>
      <c r="P3958">
        <v>0</v>
      </c>
      <c r="Q3958">
        <v>0</v>
      </c>
      <c r="R3958" s="3">
        <v>0</v>
      </c>
      <c r="S3958" s="3">
        <v>0</v>
      </c>
      <c r="T3958">
        <v>0</v>
      </c>
      <c r="U3958">
        <v>0</v>
      </c>
      <c r="V3958" s="3">
        <v>0</v>
      </c>
      <c r="W3958" s="3">
        <v>0</v>
      </c>
      <c r="X3958">
        <v>0</v>
      </c>
      <c r="Y3958" t="s">
        <v>3044</v>
      </c>
    </row>
    <row r="3959" spans="1:25" hidden="1" x14ac:dyDescent="0.25">
      <c r="A3959" t="s">
        <v>36</v>
      </c>
      <c r="B3959" t="s">
        <v>249</v>
      </c>
      <c r="C3959" t="s">
        <v>2534</v>
      </c>
      <c r="D3959" t="s">
        <v>27</v>
      </c>
      <c r="E3959" s="2">
        <v>46065</v>
      </c>
      <c r="F3959" s="2">
        <v>46065</v>
      </c>
      <c r="G3959" s="3">
        <v>117</v>
      </c>
      <c r="H3959" t="s">
        <v>28</v>
      </c>
      <c r="I3959">
        <v>112</v>
      </c>
      <c r="J3959">
        <v>0</v>
      </c>
      <c r="K3959">
        <v>0</v>
      </c>
      <c r="L3959" s="3">
        <v>1</v>
      </c>
      <c r="M3959" s="3">
        <v>0</v>
      </c>
      <c r="N3959">
        <v>1</v>
      </c>
      <c r="O3959">
        <v>0</v>
      </c>
      <c r="P3959">
        <v>0</v>
      </c>
      <c r="Q3959">
        <v>0</v>
      </c>
      <c r="R3959" s="3">
        <v>0</v>
      </c>
      <c r="S3959" s="3">
        <v>0</v>
      </c>
      <c r="T3959">
        <v>0</v>
      </c>
      <c r="U3959">
        <v>0</v>
      </c>
      <c r="V3959" s="3">
        <v>0</v>
      </c>
      <c r="W3959" s="3">
        <v>0</v>
      </c>
      <c r="X3959">
        <v>0</v>
      </c>
      <c r="Y3959" t="s">
        <v>3045</v>
      </c>
    </row>
    <row r="3960" spans="1:25" hidden="1" x14ac:dyDescent="0.25">
      <c r="A3960" t="s">
        <v>38</v>
      </c>
      <c r="B3960" t="s">
        <v>108</v>
      </c>
      <c r="C3960" t="s">
        <v>27</v>
      </c>
      <c r="D3960" t="s">
        <v>27</v>
      </c>
      <c r="E3960" s="2">
        <v>46065</v>
      </c>
      <c r="F3960" s="2">
        <v>46065</v>
      </c>
      <c r="G3960" s="3">
        <v>44</v>
      </c>
      <c r="H3960" t="s">
        <v>28</v>
      </c>
      <c r="I3960">
        <v>32</v>
      </c>
      <c r="J3960">
        <v>0</v>
      </c>
      <c r="K3960">
        <v>0</v>
      </c>
      <c r="L3960" s="3">
        <v>1</v>
      </c>
      <c r="M3960" s="3">
        <v>0</v>
      </c>
      <c r="N3960">
        <v>0</v>
      </c>
      <c r="O3960">
        <v>0</v>
      </c>
      <c r="P3960">
        <v>0</v>
      </c>
      <c r="Q3960">
        <v>32</v>
      </c>
      <c r="R3960" s="3">
        <v>0</v>
      </c>
      <c r="S3960" s="3">
        <v>0</v>
      </c>
      <c r="T3960">
        <v>0</v>
      </c>
      <c r="U3960">
        <v>0</v>
      </c>
      <c r="V3960" s="3">
        <v>0</v>
      </c>
      <c r="W3960" s="3">
        <v>0</v>
      </c>
      <c r="X3960">
        <v>0</v>
      </c>
      <c r="Y3960" t="s">
        <v>3046</v>
      </c>
    </row>
    <row r="3961" spans="1:25" hidden="1" x14ac:dyDescent="0.25">
      <c r="A3961" t="s">
        <v>2679</v>
      </c>
      <c r="B3961" t="s">
        <v>2680</v>
      </c>
      <c r="C3961" t="s">
        <v>39</v>
      </c>
      <c r="D3961" t="s">
        <v>27</v>
      </c>
      <c r="E3961" s="2">
        <v>46065</v>
      </c>
      <c r="F3961" s="2">
        <v>46065</v>
      </c>
      <c r="G3961" s="5">
        <v>3005</v>
      </c>
      <c r="H3961" t="s">
        <v>28</v>
      </c>
      <c r="I3961">
        <v>37</v>
      </c>
      <c r="J3961">
        <v>0</v>
      </c>
      <c r="K3961">
        <v>0</v>
      </c>
      <c r="L3961" s="3">
        <v>0</v>
      </c>
      <c r="M3961" s="3">
        <v>0</v>
      </c>
      <c r="N3961">
        <v>0</v>
      </c>
      <c r="O3961">
        <v>0</v>
      </c>
      <c r="P3961">
        <v>0</v>
      </c>
      <c r="Q3961">
        <v>37</v>
      </c>
      <c r="R3961" s="3">
        <v>0</v>
      </c>
      <c r="S3961" s="3">
        <v>0</v>
      </c>
      <c r="T3961">
        <v>0</v>
      </c>
      <c r="U3961">
        <v>0</v>
      </c>
      <c r="V3961" s="3">
        <v>0</v>
      </c>
      <c r="W3961" s="3">
        <v>0</v>
      </c>
      <c r="X3961">
        <v>0</v>
      </c>
      <c r="Y3961" t="s">
        <v>3047</v>
      </c>
    </row>
    <row r="3962" spans="1:25" hidden="1" x14ac:dyDescent="0.25">
      <c r="A3962" t="s">
        <v>1316</v>
      </c>
      <c r="B3962" t="s">
        <v>1348</v>
      </c>
      <c r="C3962" t="s">
        <v>52</v>
      </c>
      <c r="D3962" t="s">
        <v>27</v>
      </c>
      <c r="E3962" s="2">
        <v>46065</v>
      </c>
      <c r="F3962" s="2">
        <v>46065</v>
      </c>
      <c r="G3962" s="3">
        <v>36</v>
      </c>
      <c r="H3962" t="s">
        <v>28</v>
      </c>
      <c r="I3962">
        <v>45</v>
      </c>
      <c r="J3962">
        <v>0</v>
      </c>
      <c r="K3962">
        <v>0</v>
      </c>
      <c r="L3962" s="3">
        <v>0</v>
      </c>
      <c r="M3962" s="3">
        <v>0</v>
      </c>
      <c r="N3962">
        <v>0</v>
      </c>
      <c r="O3962">
        <v>0</v>
      </c>
      <c r="P3962">
        <v>0</v>
      </c>
      <c r="Q3962">
        <v>0</v>
      </c>
      <c r="R3962" s="3">
        <v>0</v>
      </c>
      <c r="S3962" s="3">
        <v>0</v>
      </c>
      <c r="T3962">
        <v>0</v>
      </c>
      <c r="U3962">
        <v>0</v>
      </c>
      <c r="V3962" s="3">
        <v>0</v>
      </c>
      <c r="W3962" s="3">
        <v>0</v>
      </c>
      <c r="X3962">
        <v>0</v>
      </c>
      <c r="Y3962" t="s">
        <v>3048</v>
      </c>
    </row>
    <row r="3963" spans="1:25" hidden="1" x14ac:dyDescent="0.25">
      <c r="A3963" t="s">
        <v>41</v>
      </c>
      <c r="B3963" t="s">
        <v>112</v>
      </c>
      <c r="C3963" t="s">
        <v>42</v>
      </c>
      <c r="D3963" t="s">
        <v>27</v>
      </c>
      <c r="E3963" s="2">
        <v>46065</v>
      </c>
      <c r="F3963" s="2">
        <v>46065</v>
      </c>
      <c r="G3963" s="3">
        <v>32</v>
      </c>
      <c r="H3963" t="s">
        <v>28</v>
      </c>
      <c r="I3963">
        <v>49</v>
      </c>
      <c r="J3963">
        <v>0</v>
      </c>
      <c r="K3963">
        <v>0</v>
      </c>
      <c r="L3963" s="3">
        <v>1</v>
      </c>
      <c r="M3963" s="3">
        <v>0</v>
      </c>
      <c r="N3963">
        <v>0</v>
      </c>
      <c r="O3963">
        <v>0</v>
      </c>
      <c r="P3963">
        <v>0</v>
      </c>
      <c r="Q3963">
        <v>4</v>
      </c>
      <c r="R3963" s="3">
        <v>0</v>
      </c>
      <c r="S3963" s="3">
        <v>0</v>
      </c>
      <c r="T3963">
        <v>0</v>
      </c>
      <c r="U3963">
        <v>0</v>
      </c>
      <c r="V3963" s="3">
        <v>0</v>
      </c>
      <c r="W3963" s="3">
        <v>0</v>
      </c>
      <c r="X3963">
        <v>0</v>
      </c>
      <c r="Y3963" t="s">
        <v>3049</v>
      </c>
    </row>
    <row r="3964" spans="1:25" hidden="1" x14ac:dyDescent="0.25">
      <c r="A3964" t="s">
        <v>43</v>
      </c>
      <c r="B3964" t="s">
        <v>114</v>
      </c>
      <c r="C3964" t="s">
        <v>44</v>
      </c>
      <c r="D3964" t="s">
        <v>27</v>
      </c>
      <c r="E3964" s="2">
        <v>46065</v>
      </c>
      <c r="F3964" s="2">
        <v>46065</v>
      </c>
      <c r="G3964" s="3">
        <v>30</v>
      </c>
      <c r="H3964" t="s">
        <v>28</v>
      </c>
      <c r="I3964">
        <v>68</v>
      </c>
      <c r="J3964">
        <v>0</v>
      </c>
      <c r="K3964">
        <v>0</v>
      </c>
      <c r="L3964" s="3">
        <v>1</v>
      </c>
      <c r="M3964" s="3">
        <v>0</v>
      </c>
      <c r="N3964">
        <v>0</v>
      </c>
      <c r="O3964">
        <v>0</v>
      </c>
      <c r="P3964">
        <v>0</v>
      </c>
      <c r="Q3964">
        <v>4</v>
      </c>
      <c r="R3964" s="3">
        <v>0</v>
      </c>
      <c r="S3964" s="3">
        <v>0</v>
      </c>
      <c r="T3964">
        <v>0</v>
      </c>
      <c r="U3964">
        <v>0</v>
      </c>
      <c r="V3964" s="3">
        <v>0</v>
      </c>
      <c r="W3964" s="3">
        <v>0</v>
      </c>
      <c r="X3964">
        <v>0</v>
      </c>
      <c r="Y3964" t="s">
        <v>3050</v>
      </c>
    </row>
    <row r="3965" spans="1:25" hidden="1" x14ac:dyDescent="0.25">
      <c r="A3965" t="s">
        <v>45</v>
      </c>
      <c r="B3965" t="s">
        <v>116</v>
      </c>
      <c r="C3965" t="s">
        <v>2835</v>
      </c>
      <c r="D3965" t="s">
        <v>27</v>
      </c>
      <c r="E3965" s="2">
        <v>46065</v>
      </c>
      <c r="F3965" s="2">
        <v>46065</v>
      </c>
      <c r="G3965" s="3">
        <v>61</v>
      </c>
      <c r="H3965" t="s">
        <v>28</v>
      </c>
      <c r="I3965">
        <v>32</v>
      </c>
      <c r="J3965">
        <v>0</v>
      </c>
      <c r="K3965">
        <v>0</v>
      </c>
      <c r="L3965" s="3">
        <v>0</v>
      </c>
      <c r="M3965" s="3">
        <v>0</v>
      </c>
      <c r="N3965">
        <v>0</v>
      </c>
      <c r="O3965">
        <v>0</v>
      </c>
      <c r="P3965">
        <v>0</v>
      </c>
      <c r="Q3965">
        <v>8</v>
      </c>
      <c r="R3965" s="3">
        <v>0</v>
      </c>
      <c r="S3965" s="3">
        <v>0</v>
      </c>
      <c r="T3965">
        <v>0</v>
      </c>
      <c r="U3965">
        <v>0</v>
      </c>
      <c r="V3965" s="3">
        <v>0</v>
      </c>
      <c r="W3965" s="3">
        <v>0</v>
      </c>
      <c r="X3965">
        <v>0</v>
      </c>
      <c r="Y3965" t="s">
        <v>3051</v>
      </c>
    </row>
    <row r="3966" spans="1:25" hidden="1" x14ac:dyDescent="0.25">
      <c r="A3966" t="s">
        <v>47</v>
      </c>
      <c r="B3966" t="s">
        <v>137</v>
      </c>
      <c r="C3966" t="s">
        <v>2310</v>
      </c>
      <c r="D3966" t="s">
        <v>27</v>
      </c>
      <c r="E3966" s="2">
        <v>46065</v>
      </c>
      <c r="F3966" s="2">
        <v>46065</v>
      </c>
      <c r="G3966" s="3">
        <v>54</v>
      </c>
      <c r="H3966" t="s">
        <v>28</v>
      </c>
      <c r="I3966">
        <v>54</v>
      </c>
      <c r="J3966">
        <v>10</v>
      </c>
      <c r="K3966">
        <v>0</v>
      </c>
      <c r="L3966" s="3">
        <v>1</v>
      </c>
      <c r="M3966" s="3">
        <v>0</v>
      </c>
      <c r="N3966">
        <v>0</v>
      </c>
      <c r="O3966">
        <v>0</v>
      </c>
      <c r="P3966">
        <v>0</v>
      </c>
      <c r="Q3966">
        <v>2</v>
      </c>
      <c r="R3966" s="3">
        <v>0</v>
      </c>
      <c r="S3966" s="3">
        <v>0</v>
      </c>
      <c r="T3966">
        <v>0</v>
      </c>
      <c r="U3966">
        <v>0</v>
      </c>
      <c r="V3966" s="3">
        <v>0</v>
      </c>
      <c r="W3966" s="3">
        <v>0</v>
      </c>
      <c r="X3966">
        <v>0</v>
      </c>
      <c r="Y3966" t="s">
        <v>3052</v>
      </c>
    </row>
    <row r="3967" spans="1:25" hidden="1" x14ac:dyDescent="0.25">
      <c r="A3967" t="s">
        <v>49</v>
      </c>
      <c r="B3967" t="s">
        <v>118</v>
      </c>
      <c r="C3967" t="s">
        <v>50</v>
      </c>
      <c r="D3967" t="s">
        <v>27</v>
      </c>
      <c r="E3967" s="2">
        <v>46065</v>
      </c>
      <c r="F3967" s="2">
        <v>46065</v>
      </c>
      <c r="G3967" s="3">
        <v>36</v>
      </c>
      <c r="H3967" t="s">
        <v>28</v>
      </c>
      <c r="I3967">
        <v>72</v>
      </c>
      <c r="J3967">
        <v>0</v>
      </c>
      <c r="K3967">
        <v>0</v>
      </c>
      <c r="L3967" s="3">
        <v>1</v>
      </c>
      <c r="M3967" s="3">
        <v>1</v>
      </c>
      <c r="N3967">
        <v>0</v>
      </c>
      <c r="O3967">
        <v>1</v>
      </c>
      <c r="P3967">
        <v>0</v>
      </c>
      <c r="Q3967">
        <v>72</v>
      </c>
      <c r="R3967" s="3">
        <v>0</v>
      </c>
      <c r="S3967" s="3">
        <v>0</v>
      </c>
      <c r="T3967">
        <v>0</v>
      </c>
      <c r="U3967">
        <v>0</v>
      </c>
      <c r="V3967" s="3">
        <v>0</v>
      </c>
      <c r="W3967" s="3">
        <v>0</v>
      </c>
      <c r="X3967">
        <v>0</v>
      </c>
      <c r="Y3967" t="s">
        <v>3053</v>
      </c>
    </row>
    <row r="3968" spans="1:25" hidden="1" x14ac:dyDescent="0.25">
      <c r="A3968" t="s">
        <v>51</v>
      </c>
      <c r="B3968" t="s">
        <v>120</v>
      </c>
      <c r="C3968" t="s">
        <v>2379</v>
      </c>
      <c r="D3968" t="s">
        <v>27</v>
      </c>
      <c r="E3968" s="2">
        <v>46065</v>
      </c>
      <c r="F3968" s="2">
        <v>46065</v>
      </c>
      <c r="G3968" s="3">
        <v>66</v>
      </c>
      <c r="H3968" t="s">
        <v>28</v>
      </c>
      <c r="I3968">
        <v>33</v>
      </c>
      <c r="J3968">
        <v>100</v>
      </c>
      <c r="K3968">
        <v>0</v>
      </c>
      <c r="L3968" s="3">
        <v>1</v>
      </c>
      <c r="M3968" s="3">
        <v>0</v>
      </c>
      <c r="N3968">
        <v>0</v>
      </c>
      <c r="O3968">
        <v>1</v>
      </c>
      <c r="P3968">
        <v>0</v>
      </c>
      <c r="Q3968">
        <v>0</v>
      </c>
      <c r="R3968" s="3">
        <v>0</v>
      </c>
      <c r="S3968" s="3">
        <v>0</v>
      </c>
      <c r="T3968">
        <v>0</v>
      </c>
      <c r="U3968">
        <v>0</v>
      </c>
      <c r="V3968" s="3">
        <v>0</v>
      </c>
      <c r="W3968" s="3">
        <v>0</v>
      </c>
      <c r="X3968">
        <v>8</v>
      </c>
      <c r="Y3968" t="s">
        <v>3054</v>
      </c>
    </row>
    <row r="3969" spans="1:25" hidden="1" x14ac:dyDescent="0.25">
      <c r="A3969" t="s">
        <v>48</v>
      </c>
      <c r="B3969" t="s">
        <v>149</v>
      </c>
      <c r="C3969" t="s">
        <v>37</v>
      </c>
      <c r="D3969" t="s">
        <v>27</v>
      </c>
      <c r="E3969" s="2">
        <v>46065</v>
      </c>
      <c r="F3969" s="2">
        <v>46065</v>
      </c>
      <c r="G3969" s="3">
        <v>32</v>
      </c>
      <c r="H3969" t="s">
        <v>28</v>
      </c>
      <c r="I3969">
        <v>31</v>
      </c>
      <c r="J3969">
        <v>0</v>
      </c>
      <c r="K3969">
        <v>0</v>
      </c>
      <c r="L3969" s="3">
        <v>1</v>
      </c>
      <c r="M3969" s="3">
        <v>0</v>
      </c>
      <c r="N3969">
        <v>0</v>
      </c>
      <c r="O3969">
        <v>0</v>
      </c>
      <c r="P3969">
        <v>0</v>
      </c>
      <c r="Q3969">
        <v>0</v>
      </c>
      <c r="R3969" s="3">
        <v>0</v>
      </c>
      <c r="S3969" s="3">
        <v>0</v>
      </c>
      <c r="T3969">
        <v>0</v>
      </c>
      <c r="U3969">
        <v>0</v>
      </c>
      <c r="V3969" s="3">
        <v>0</v>
      </c>
      <c r="W3969" s="3">
        <v>0</v>
      </c>
      <c r="X3969">
        <v>0</v>
      </c>
      <c r="Y3969" t="s">
        <v>3055</v>
      </c>
    </row>
    <row r="3970" spans="1:25" hidden="1" x14ac:dyDescent="0.25">
      <c r="A3970" t="s">
        <v>27</v>
      </c>
      <c r="B3970" t="s">
        <v>739</v>
      </c>
      <c r="C3970" t="s">
        <v>2271</v>
      </c>
      <c r="D3970" t="s">
        <v>27</v>
      </c>
      <c r="E3970" s="2">
        <v>46065</v>
      </c>
      <c r="F3970" s="2">
        <v>46065</v>
      </c>
      <c r="G3970" s="3">
        <v>33</v>
      </c>
      <c r="H3970" t="s">
        <v>1448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 t="s">
        <v>3055</v>
      </c>
    </row>
    <row r="3971" spans="1:25" hidden="1" x14ac:dyDescent="0.25">
      <c r="A3971" t="s">
        <v>27</v>
      </c>
      <c r="B3971" t="s">
        <v>755</v>
      </c>
      <c r="C3971" t="s">
        <v>2514</v>
      </c>
      <c r="D3971" t="s">
        <v>27</v>
      </c>
      <c r="E3971" s="2">
        <v>46065</v>
      </c>
      <c r="F3971" s="2">
        <v>46065</v>
      </c>
      <c r="G3971" s="3">
        <v>34</v>
      </c>
      <c r="H3971" t="s">
        <v>28</v>
      </c>
      <c r="I3971">
        <v>51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 t="s">
        <v>3055</v>
      </c>
    </row>
    <row r="3972" spans="1:25" hidden="1" x14ac:dyDescent="0.25">
      <c r="A3972" t="s">
        <v>40</v>
      </c>
      <c r="B3972" t="s">
        <v>798</v>
      </c>
      <c r="C3972" t="s">
        <v>27</v>
      </c>
      <c r="D3972" t="s">
        <v>27</v>
      </c>
      <c r="E3972" s="2">
        <v>46065</v>
      </c>
      <c r="F3972" s="2">
        <v>46065</v>
      </c>
      <c r="G3972" s="3">
        <v>36</v>
      </c>
      <c r="H3972" t="s">
        <v>1975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 t="s">
        <v>3025</v>
      </c>
    </row>
    <row r="3973" spans="1:25" hidden="1" x14ac:dyDescent="0.25">
      <c r="A3973" t="s">
        <v>438</v>
      </c>
      <c r="B3973" t="s">
        <v>798</v>
      </c>
      <c r="C3973" t="s">
        <v>27</v>
      </c>
      <c r="D3973" t="s">
        <v>27</v>
      </c>
      <c r="E3973" s="2">
        <v>46065</v>
      </c>
      <c r="F3973" s="2">
        <v>46065</v>
      </c>
      <c r="G3973" s="3">
        <v>33</v>
      </c>
      <c r="H3973" t="s">
        <v>1975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2803</v>
      </c>
    </row>
    <row r="3974" spans="1:25" hidden="1" x14ac:dyDescent="0.25">
      <c r="A3974" t="s">
        <v>454</v>
      </c>
      <c r="B3974" t="s">
        <v>106</v>
      </c>
      <c r="C3974" t="s">
        <v>27</v>
      </c>
      <c r="D3974" t="s">
        <v>27</v>
      </c>
      <c r="E3974" s="2">
        <v>46065</v>
      </c>
      <c r="F3974" s="2">
        <v>46065</v>
      </c>
      <c r="G3974" s="3">
        <v>72</v>
      </c>
      <c r="H3974" t="s">
        <v>763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2841</v>
      </c>
    </row>
    <row r="3975" spans="1:25" hidden="1" x14ac:dyDescent="0.25">
      <c r="A3975" t="s">
        <v>54</v>
      </c>
      <c r="B3975" t="s">
        <v>182</v>
      </c>
      <c r="C3975" t="s">
        <v>27</v>
      </c>
      <c r="D3975" t="s">
        <v>27</v>
      </c>
      <c r="E3975" s="2">
        <v>46065</v>
      </c>
      <c r="F3975" s="2">
        <v>46065</v>
      </c>
      <c r="G3975" s="3">
        <v>73</v>
      </c>
      <c r="H3975" t="s">
        <v>763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t="s">
        <v>2841</v>
      </c>
    </row>
    <row r="3976" spans="1:25" hidden="1" x14ac:dyDescent="0.25">
      <c r="A3976" t="s">
        <v>27</v>
      </c>
      <c r="B3976" t="s">
        <v>184</v>
      </c>
      <c r="C3976" t="s">
        <v>35</v>
      </c>
      <c r="D3976" t="s">
        <v>27</v>
      </c>
      <c r="E3976" s="2">
        <v>46065</v>
      </c>
      <c r="F3976" s="2">
        <v>46065</v>
      </c>
      <c r="G3976" s="3">
        <v>74</v>
      </c>
      <c r="H3976" t="s">
        <v>763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2841</v>
      </c>
    </row>
    <row r="3977" spans="1:25" hidden="1" x14ac:dyDescent="0.25">
      <c r="A3977" t="s">
        <v>27</v>
      </c>
      <c r="B3977" t="s">
        <v>186</v>
      </c>
      <c r="C3977" t="s">
        <v>46</v>
      </c>
      <c r="D3977" t="s">
        <v>27</v>
      </c>
      <c r="E3977" s="2">
        <v>46065</v>
      </c>
      <c r="F3977" s="2">
        <v>46065</v>
      </c>
      <c r="G3977" s="3">
        <v>75</v>
      </c>
      <c r="H3977" t="s">
        <v>763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2841</v>
      </c>
    </row>
    <row r="3978" spans="1:25" hidden="1" x14ac:dyDescent="0.25">
      <c r="A3978" t="s">
        <v>27</v>
      </c>
      <c r="B3978" t="s">
        <v>188</v>
      </c>
      <c r="C3978" t="s">
        <v>55</v>
      </c>
      <c r="D3978" t="s">
        <v>27</v>
      </c>
      <c r="E3978" s="2">
        <v>46065</v>
      </c>
      <c r="F3978" s="2">
        <v>46065</v>
      </c>
      <c r="G3978" s="3">
        <v>76</v>
      </c>
      <c r="H3978" t="s">
        <v>763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2841</v>
      </c>
    </row>
    <row r="3979" spans="1:25" hidden="1" x14ac:dyDescent="0.25">
      <c r="A3979" t="s">
        <v>25</v>
      </c>
      <c r="B3979" t="s">
        <v>96</v>
      </c>
      <c r="C3979" t="s">
        <v>26</v>
      </c>
      <c r="D3979" t="s">
        <v>27</v>
      </c>
      <c r="E3979" s="2">
        <v>46066</v>
      </c>
      <c r="F3979" s="2">
        <v>46066</v>
      </c>
      <c r="G3979" s="3">
        <v>35</v>
      </c>
      <c r="H3979" t="s">
        <v>28</v>
      </c>
      <c r="I3979">
        <v>52</v>
      </c>
      <c r="J3979">
        <v>0</v>
      </c>
      <c r="K3979">
        <v>0</v>
      </c>
      <c r="L3979" s="3">
        <v>1</v>
      </c>
      <c r="M3979" s="3">
        <v>0</v>
      </c>
      <c r="N3979">
        <v>1</v>
      </c>
      <c r="O3979">
        <v>0</v>
      </c>
      <c r="P3979">
        <v>0</v>
      </c>
      <c r="Q3979">
        <v>0</v>
      </c>
      <c r="R3979" s="3">
        <v>0</v>
      </c>
      <c r="S3979" s="3">
        <v>0</v>
      </c>
      <c r="T3979">
        <v>0</v>
      </c>
      <c r="U3979">
        <v>0</v>
      </c>
      <c r="V3979" s="3">
        <v>0</v>
      </c>
      <c r="W3979" s="3">
        <v>0</v>
      </c>
      <c r="X3979">
        <v>0</v>
      </c>
      <c r="Y3979" t="s">
        <v>3056</v>
      </c>
    </row>
    <row r="3980" spans="1:25" hidden="1" x14ac:dyDescent="0.25">
      <c r="A3980" t="s">
        <v>344</v>
      </c>
      <c r="B3980" t="s">
        <v>102</v>
      </c>
      <c r="C3980" t="s">
        <v>95</v>
      </c>
      <c r="D3980" t="s">
        <v>27</v>
      </c>
      <c r="E3980" s="2">
        <v>46066</v>
      </c>
      <c r="F3980" s="2">
        <v>46066</v>
      </c>
      <c r="G3980" s="3">
        <v>46</v>
      </c>
      <c r="H3980" t="s">
        <v>28</v>
      </c>
      <c r="I3980">
        <f>55+81</f>
        <v>136</v>
      </c>
      <c r="J3980">
        <v>0</v>
      </c>
      <c r="K3980">
        <v>0</v>
      </c>
      <c r="L3980" s="3">
        <v>1</v>
      </c>
      <c r="M3980" s="3">
        <v>0</v>
      </c>
      <c r="N3980">
        <v>0</v>
      </c>
      <c r="O3980">
        <v>0</v>
      </c>
      <c r="P3980">
        <v>0</v>
      </c>
      <c r="Q3980">
        <v>0</v>
      </c>
      <c r="R3980" s="3">
        <v>0</v>
      </c>
      <c r="S3980" s="3">
        <v>0</v>
      </c>
      <c r="T3980">
        <v>0</v>
      </c>
      <c r="U3980">
        <v>0</v>
      </c>
      <c r="V3980" s="3">
        <v>0</v>
      </c>
      <c r="W3980" s="3">
        <v>0</v>
      </c>
      <c r="X3980">
        <v>4</v>
      </c>
      <c r="Y3980" t="s">
        <v>2961</v>
      </c>
    </row>
    <row r="3981" spans="1:25" hidden="1" x14ac:dyDescent="0.25">
      <c r="A3981" t="s">
        <v>31</v>
      </c>
      <c r="B3981" t="s">
        <v>104</v>
      </c>
      <c r="C3981" t="s">
        <v>32</v>
      </c>
      <c r="D3981" t="s">
        <v>27</v>
      </c>
      <c r="E3981" s="2">
        <v>46066</v>
      </c>
      <c r="F3981" s="2">
        <v>46066</v>
      </c>
      <c r="G3981" s="3">
        <v>78</v>
      </c>
      <c r="H3981" t="s">
        <v>28</v>
      </c>
      <c r="I3981">
        <v>180</v>
      </c>
      <c r="J3981">
        <v>0</v>
      </c>
      <c r="K3981">
        <v>0</v>
      </c>
      <c r="L3981" s="3">
        <v>1</v>
      </c>
      <c r="M3981" s="3">
        <v>0</v>
      </c>
      <c r="N3981">
        <v>0</v>
      </c>
      <c r="O3981">
        <v>0</v>
      </c>
      <c r="P3981">
        <v>0</v>
      </c>
      <c r="Q3981">
        <v>35</v>
      </c>
      <c r="R3981" s="3">
        <v>0</v>
      </c>
      <c r="S3981" s="3">
        <v>0</v>
      </c>
      <c r="T3981">
        <v>0</v>
      </c>
      <c r="U3981">
        <v>0</v>
      </c>
      <c r="V3981" s="3">
        <v>0</v>
      </c>
      <c r="W3981" s="3">
        <v>0</v>
      </c>
      <c r="X3981">
        <v>2</v>
      </c>
      <c r="Y3981" t="s">
        <v>3057</v>
      </c>
    </row>
    <row r="3982" spans="1:25" hidden="1" x14ac:dyDescent="0.25">
      <c r="A3982" t="s">
        <v>597</v>
      </c>
      <c r="B3982" t="s">
        <v>598</v>
      </c>
      <c r="C3982" t="s">
        <v>57</v>
      </c>
      <c r="D3982" t="s">
        <v>27</v>
      </c>
      <c r="E3982" s="2">
        <v>46066</v>
      </c>
      <c r="F3982" s="2">
        <v>46066</v>
      </c>
      <c r="G3982" s="3">
        <v>35</v>
      </c>
      <c r="H3982" t="s">
        <v>28</v>
      </c>
      <c r="I3982">
        <v>54</v>
      </c>
      <c r="J3982">
        <v>0</v>
      </c>
      <c r="K3982">
        <v>0</v>
      </c>
      <c r="L3982" s="3">
        <v>0</v>
      </c>
      <c r="M3982" s="3">
        <v>0</v>
      </c>
      <c r="N3982">
        <v>0</v>
      </c>
      <c r="O3982">
        <v>0</v>
      </c>
      <c r="P3982">
        <v>0</v>
      </c>
      <c r="Q3982">
        <v>0</v>
      </c>
      <c r="R3982" s="3">
        <v>0</v>
      </c>
      <c r="S3982" s="3">
        <v>0</v>
      </c>
      <c r="T3982">
        <v>0</v>
      </c>
      <c r="U3982">
        <v>0</v>
      </c>
      <c r="V3982" s="3">
        <v>0</v>
      </c>
      <c r="W3982" s="3">
        <v>0</v>
      </c>
      <c r="X3982">
        <v>0</v>
      </c>
      <c r="Y3982" t="s">
        <v>3058</v>
      </c>
    </row>
    <row r="3983" spans="1:25" hidden="1" x14ac:dyDescent="0.25">
      <c r="A3983" t="s">
        <v>2899</v>
      </c>
      <c r="B3983" t="s">
        <v>2998</v>
      </c>
      <c r="C3983" t="s">
        <v>2514</v>
      </c>
      <c r="D3983" t="s">
        <v>27</v>
      </c>
      <c r="E3983" s="2">
        <v>46066</v>
      </c>
      <c r="F3983" s="2">
        <v>46066</v>
      </c>
      <c r="G3983" s="3">
        <v>166</v>
      </c>
      <c r="H3983" t="s">
        <v>28</v>
      </c>
      <c r="I3983">
        <v>58</v>
      </c>
      <c r="J3983">
        <v>0</v>
      </c>
      <c r="K3983">
        <v>0</v>
      </c>
      <c r="L3983" s="3">
        <v>1</v>
      </c>
      <c r="M3983" s="3">
        <v>0</v>
      </c>
      <c r="N3983">
        <v>0</v>
      </c>
      <c r="O3983">
        <v>0</v>
      </c>
      <c r="P3983">
        <v>0</v>
      </c>
      <c r="Q3983">
        <v>20</v>
      </c>
      <c r="R3983" s="3">
        <v>0</v>
      </c>
      <c r="S3983" s="3">
        <v>0</v>
      </c>
      <c r="T3983">
        <v>0</v>
      </c>
      <c r="U3983">
        <v>0</v>
      </c>
      <c r="V3983" s="3">
        <v>0</v>
      </c>
      <c r="W3983" s="3">
        <v>0</v>
      </c>
      <c r="X3983">
        <v>0</v>
      </c>
      <c r="Y3983" t="s">
        <v>3059</v>
      </c>
    </row>
    <row r="3984" spans="1:25" hidden="1" x14ac:dyDescent="0.25">
      <c r="A3984" t="s">
        <v>36</v>
      </c>
      <c r="B3984" t="s">
        <v>249</v>
      </c>
      <c r="C3984" t="s">
        <v>2534</v>
      </c>
      <c r="D3984" t="s">
        <v>27</v>
      </c>
      <c r="E3984" s="2">
        <v>46066</v>
      </c>
      <c r="F3984" s="2">
        <v>46066</v>
      </c>
      <c r="G3984" s="3">
        <v>116</v>
      </c>
      <c r="H3984" t="s">
        <v>28</v>
      </c>
      <c r="I3984">
        <v>83</v>
      </c>
      <c r="J3984">
        <v>0</v>
      </c>
      <c r="K3984">
        <v>0</v>
      </c>
      <c r="L3984" s="3">
        <v>1</v>
      </c>
      <c r="M3984" s="3">
        <v>0</v>
      </c>
      <c r="N3984">
        <v>11</v>
      </c>
      <c r="O3984">
        <v>0</v>
      </c>
      <c r="P3984">
        <v>0</v>
      </c>
      <c r="Q3984">
        <v>0</v>
      </c>
      <c r="R3984" s="3">
        <v>0</v>
      </c>
      <c r="S3984" s="3">
        <v>0</v>
      </c>
      <c r="T3984">
        <v>0</v>
      </c>
      <c r="U3984">
        <v>0</v>
      </c>
      <c r="V3984" s="3">
        <v>0</v>
      </c>
      <c r="W3984" s="3">
        <v>0</v>
      </c>
      <c r="X3984">
        <v>0</v>
      </c>
      <c r="Y3984" t="s">
        <v>3060</v>
      </c>
    </row>
    <row r="3985" spans="1:25" hidden="1" x14ac:dyDescent="0.25">
      <c r="A3985" t="s">
        <v>38</v>
      </c>
      <c r="B3985" t="s">
        <v>108</v>
      </c>
      <c r="C3985" t="s">
        <v>27</v>
      </c>
      <c r="D3985" t="s">
        <v>27</v>
      </c>
      <c r="E3985" s="2">
        <v>46066</v>
      </c>
      <c r="F3985" s="2">
        <v>46066</v>
      </c>
      <c r="G3985" s="3">
        <v>36</v>
      </c>
      <c r="H3985" t="s">
        <v>28</v>
      </c>
      <c r="I3985">
        <v>47</v>
      </c>
      <c r="J3985">
        <v>0</v>
      </c>
      <c r="K3985">
        <v>0</v>
      </c>
      <c r="L3985" s="3">
        <v>1</v>
      </c>
      <c r="M3985" s="3">
        <v>0</v>
      </c>
      <c r="N3985">
        <v>0</v>
      </c>
      <c r="O3985">
        <v>0</v>
      </c>
      <c r="P3985">
        <v>0</v>
      </c>
      <c r="Q3985">
        <v>47</v>
      </c>
      <c r="R3985" s="3">
        <v>0</v>
      </c>
      <c r="S3985" s="3">
        <v>0</v>
      </c>
      <c r="T3985">
        <v>0</v>
      </c>
      <c r="U3985">
        <v>0</v>
      </c>
      <c r="V3985" s="3">
        <v>0</v>
      </c>
      <c r="W3985" s="3">
        <v>0</v>
      </c>
      <c r="X3985">
        <v>0</v>
      </c>
      <c r="Y3985" t="s">
        <v>3061</v>
      </c>
    </row>
    <row r="3986" spans="1:25" hidden="1" x14ac:dyDescent="0.25">
      <c r="A3986" t="s">
        <v>2679</v>
      </c>
      <c r="B3986" t="s">
        <v>2680</v>
      </c>
      <c r="C3986" t="s">
        <v>39</v>
      </c>
      <c r="D3986" t="s">
        <v>27</v>
      </c>
      <c r="E3986" s="2">
        <v>46066</v>
      </c>
      <c r="F3986" s="2">
        <v>46066</v>
      </c>
      <c r="G3986" s="3">
        <v>47</v>
      </c>
      <c r="H3986" t="s">
        <v>28</v>
      </c>
      <c r="I3986">
        <v>79</v>
      </c>
      <c r="J3986">
        <v>0</v>
      </c>
      <c r="K3986">
        <v>0</v>
      </c>
      <c r="L3986" s="3">
        <v>1</v>
      </c>
      <c r="M3986" s="3">
        <v>0</v>
      </c>
      <c r="N3986">
        <v>0</v>
      </c>
      <c r="O3986">
        <v>0</v>
      </c>
      <c r="P3986">
        <v>0</v>
      </c>
      <c r="Q3986">
        <v>79</v>
      </c>
      <c r="R3986" s="3">
        <v>0</v>
      </c>
      <c r="S3986" s="3">
        <v>0</v>
      </c>
      <c r="T3986">
        <v>0</v>
      </c>
      <c r="U3986">
        <v>0</v>
      </c>
      <c r="V3986" s="3">
        <v>0</v>
      </c>
      <c r="W3986" s="3">
        <v>0</v>
      </c>
      <c r="X3986">
        <v>1</v>
      </c>
      <c r="Y3986" t="s">
        <v>3062</v>
      </c>
    </row>
    <row r="3987" spans="1:25" hidden="1" x14ac:dyDescent="0.25">
      <c r="A3987" t="s">
        <v>1316</v>
      </c>
      <c r="B3987" t="s">
        <v>1348</v>
      </c>
      <c r="C3987" t="s">
        <v>52</v>
      </c>
      <c r="D3987" t="s">
        <v>27</v>
      </c>
      <c r="E3987" s="2">
        <v>46066</v>
      </c>
      <c r="F3987" s="2">
        <v>46066</v>
      </c>
      <c r="G3987" s="3">
        <v>40</v>
      </c>
      <c r="H3987" t="s">
        <v>28</v>
      </c>
      <c r="I3987">
        <v>40</v>
      </c>
      <c r="J3987">
        <v>0</v>
      </c>
      <c r="K3987">
        <v>0</v>
      </c>
      <c r="L3987" s="3">
        <v>0</v>
      </c>
      <c r="M3987" s="3">
        <v>0</v>
      </c>
      <c r="N3987">
        <v>0</v>
      </c>
      <c r="O3987">
        <v>0</v>
      </c>
      <c r="P3987">
        <v>0</v>
      </c>
      <c r="Q3987">
        <v>0</v>
      </c>
      <c r="R3987" s="3">
        <v>0</v>
      </c>
      <c r="S3987" s="3">
        <v>0</v>
      </c>
      <c r="T3987">
        <v>0</v>
      </c>
      <c r="U3987">
        <v>0</v>
      </c>
      <c r="V3987" s="3">
        <v>0</v>
      </c>
      <c r="W3987" s="3">
        <v>0</v>
      </c>
      <c r="X3987">
        <v>0</v>
      </c>
      <c r="Y3987" t="s">
        <v>3063</v>
      </c>
    </row>
    <row r="3988" spans="1:25" hidden="1" x14ac:dyDescent="0.25">
      <c r="A3988" t="s">
        <v>41</v>
      </c>
      <c r="B3988" t="s">
        <v>112</v>
      </c>
      <c r="C3988" t="s">
        <v>42</v>
      </c>
      <c r="D3988" t="s">
        <v>27</v>
      </c>
      <c r="E3988" s="2">
        <v>46066</v>
      </c>
      <c r="F3988" s="2">
        <v>46066</v>
      </c>
      <c r="G3988" s="3">
        <v>32</v>
      </c>
      <c r="H3988" t="s">
        <v>28</v>
      </c>
      <c r="I3988">
        <v>42</v>
      </c>
      <c r="J3988">
        <v>0</v>
      </c>
      <c r="K3988">
        <v>0</v>
      </c>
      <c r="L3988" s="3">
        <v>1</v>
      </c>
      <c r="M3988" s="3">
        <v>0</v>
      </c>
      <c r="N3988">
        <v>0</v>
      </c>
      <c r="O3988">
        <v>0</v>
      </c>
      <c r="P3988">
        <v>0</v>
      </c>
      <c r="Q3988">
        <v>1</v>
      </c>
      <c r="R3988" s="3">
        <v>0</v>
      </c>
      <c r="S3988" s="3">
        <v>0</v>
      </c>
      <c r="T3988">
        <v>0</v>
      </c>
      <c r="U3988">
        <v>0</v>
      </c>
      <c r="V3988" s="3">
        <v>0</v>
      </c>
      <c r="W3988" s="3">
        <v>0</v>
      </c>
      <c r="X3988">
        <v>0</v>
      </c>
      <c r="Y3988" t="s">
        <v>3064</v>
      </c>
    </row>
    <row r="3989" spans="1:25" hidden="1" x14ac:dyDescent="0.25">
      <c r="A3989" t="s">
        <v>43</v>
      </c>
      <c r="B3989" t="s">
        <v>114</v>
      </c>
      <c r="C3989" t="s">
        <v>2379</v>
      </c>
      <c r="D3989" t="s">
        <v>27</v>
      </c>
      <c r="E3989" s="2">
        <v>46066</v>
      </c>
      <c r="F3989" s="2">
        <v>46066</v>
      </c>
      <c r="G3989" s="3">
        <v>41</v>
      </c>
      <c r="H3989" t="s">
        <v>28</v>
      </c>
      <c r="I3989">
        <v>47</v>
      </c>
      <c r="J3989">
        <v>0</v>
      </c>
      <c r="K3989">
        <v>0</v>
      </c>
      <c r="L3989" s="3">
        <v>1</v>
      </c>
      <c r="M3989" s="3">
        <v>0</v>
      </c>
      <c r="N3989">
        <v>0</v>
      </c>
      <c r="O3989">
        <v>0</v>
      </c>
      <c r="P3989">
        <v>0</v>
      </c>
      <c r="Q3989">
        <v>4</v>
      </c>
      <c r="R3989" s="3">
        <v>0</v>
      </c>
      <c r="S3989" s="3">
        <v>0</v>
      </c>
      <c r="T3989">
        <v>0</v>
      </c>
      <c r="U3989">
        <v>0</v>
      </c>
      <c r="V3989" s="3">
        <v>0</v>
      </c>
      <c r="W3989" s="3">
        <v>0</v>
      </c>
      <c r="X3989">
        <v>0</v>
      </c>
      <c r="Y3989" t="s">
        <v>3065</v>
      </c>
    </row>
    <row r="3990" spans="1:25" hidden="1" x14ac:dyDescent="0.25">
      <c r="A3990" t="s">
        <v>2118</v>
      </c>
      <c r="B3990" t="s">
        <v>2119</v>
      </c>
      <c r="C3990" t="s">
        <v>27</v>
      </c>
      <c r="D3990" t="s">
        <v>27</v>
      </c>
      <c r="E3990" s="2">
        <v>46066</v>
      </c>
      <c r="F3990" s="2">
        <v>46066</v>
      </c>
      <c r="G3990" s="3">
        <v>58</v>
      </c>
      <c r="H3990" t="s">
        <v>28</v>
      </c>
      <c r="I3990">
        <v>66</v>
      </c>
      <c r="J3990">
        <v>0</v>
      </c>
      <c r="K3990">
        <v>0</v>
      </c>
      <c r="L3990" s="3">
        <v>1</v>
      </c>
      <c r="M3990" s="3">
        <v>0</v>
      </c>
      <c r="N3990">
        <v>0</v>
      </c>
      <c r="O3990">
        <v>0</v>
      </c>
      <c r="P3990">
        <v>0</v>
      </c>
      <c r="Q3990">
        <v>66</v>
      </c>
      <c r="R3990" s="3">
        <v>0</v>
      </c>
      <c r="S3990" s="3">
        <v>0</v>
      </c>
      <c r="T3990">
        <v>0</v>
      </c>
      <c r="U3990">
        <v>0</v>
      </c>
      <c r="V3990" s="3">
        <v>0</v>
      </c>
      <c r="W3990" s="3">
        <v>0</v>
      </c>
      <c r="X3990">
        <v>0</v>
      </c>
      <c r="Y3990" t="s">
        <v>3066</v>
      </c>
    </row>
    <row r="3991" spans="1:25" hidden="1" x14ac:dyDescent="0.25">
      <c r="A3991" t="s">
        <v>45</v>
      </c>
      <c r="B3991" t="s">
        <v>116</v>
      </c>
      <c r="C3991" t="s">
        <v>2835</v>
      </c>
      <c r="D3991" t="s">
        <v>27</v>
      </c>
      <c r="E3991" s="2">
        <v>46066</v>
      </c>
      <c r="F3991" s="2">
        <v>46066</v>
      </c>
      <c r="G3991" s="3">
        <v>59</v>
      </c>
      <c r="H3991" t="s">
        <v>28</v>
      </c>
      <c r="I3991">
        <v>72</v>
      </c>
      <c r="J3991">
        <v>0</v>
      </c>
      <c r="K3991">
        <v>0</v>
      </c>
      <c r="L3991" s="3">
        <v>1</v>
      </c>
      <c r="M3991" s="3">
        <v>0</v>
      </c>
      <c r="N3991">
        <v>0</v>
      </c>
      <c r="O3991">
        <v>0</v>
      </c>
      <c r="P3991">
        <v>0</v>
      </c>
      <c r="Q3991">
        <v>12</v>
      </c>
      <c r="R3991" s="3">
        <v>0</v>
      </c>
      <c r="S3991" s="3">
        <v>0</v>
      </c>
      <c r="T3991">
        <v>0</v>
      </c>
      <c r="U3991">
        <v>0</v>
      </c>
      <c r="V3991" s="3">
        <v>0</v>
      </c>
      <c r="W3991" s="3">
        <v>0</v>
      </c>
      <c r="X3991">
        <v>0</v>
      </c>
      <c r="Y3991" t="s">
        <v>3067</v>
      </c>
    </row>
    <row r="3992" spans="1:25" hidden="1" x14ac:dyDescent="0.25">
      <c r="A3992" t="s">
        <v>47</v>
      </c>
      <c r="B3992" t="s">
        <v>137</v>
      </c>
      <c r="C3992" t="s">
        <v>2310</v>
      </c>
      <c r="D3992" t="s">
        <v>27</v>
      </c>
      <c r="E3992" s="2">
        <v>46066</v>
      </c>
      <c r="F3992" s="2">
        <v>46066</v>
      </c>
      <c r="G3992" s="3">
        <v>124</v>
      </c>
      <c r="H3992" t="s">
        <v>28</v>
      </c>
      <c r="I3992">
        <v>82</v>
      </c>
      <c r="J3992">
        <v>0</v>
      </c>
      <c r="K3992">
        <v>0</v>
      </c>
      <c r="L3992" s="3">
        <v>1</v>
      </c>
      <c r="M3992" s="3">
        <v>0</v>
      </c>
      <c r="N3992">
        <v>0</v>
      </c>
      <c r="O3992">
        <v>0</v>
      </c>
      <c r="P3992">
        <v>0</v>
      </c>
      <c r="Q3992">
        <v>4</v>
      </c>
      <c r="R3992" s="3">
        <v>0</v>
      </c>
      <c r="S3992" s="3">
        <v>0</v>
      </c>
      <c r="T3992">
        <v>0</v>
      </c>
      <c r="U3992">
        <v>0</v>
      </c>
      <c r="V3992" s="3">
        <v>0</v>
      </c>
      <c r="W3992" s="3">
        <v>0</v>
      </c>
      <c r="X3992">
        <v>0</v>
      </c>
      <c r="Y3992" t="s">
        <v>3068</v>
      </c>
    </row>
    <row r="3993" spans="1:25" hidden="1" x14ac:dyDescent="0.25">
      <c r="A3993" t="s">
        <v>49</v>
      </c>
      <c r="B3993" t="s">
        <v>118</v>
      </c>
      <c r="C3993" t="s">
        <v>50</v>
      </c>
      <c r="D3993" t="s">
        <v>27</v>
      </c>
      <c r="E3993" s="2">
        <v>46066</v>
      </c>
      <c r="F3993" s="2">
        <v>46066</v>
      </c>
      <c r="G3993" s="3">
        <v>39</v>
      </c>
      <c r="H3993" t="s">
        <v>28</v>
      </c>
      <c r="I3993">
        <v>40</v>
      </c>
      <c r="J3993">
        <v>0</v>
      </c>
      <c r="K3993">
        <v>0</v>
      </c>
      <c r="L3993" s="3">
        <v>1</v>
      </c>
      <c r="M3993" s="3">
        <v>1</v>
      </c>
      <c r="N3993">
        <v>0</v>
      </c>
      <c r="O3993">
        <v>0</v>
      </c>
      <c r="P3993">
        <v>0</v>
      </c>
      <c r="Q3993">
        <v>40</v>
      </c>
      <c r="R3993" s="3">
        <v>0</v>
      </c>
      <c r="S3993" s="3">
        <v>0</v>
      </c>
      <c r="T3993">
        <v>0</v>
      </c>
      <c r="U3993">
        <v>0</v>
      </c>
      <c r="V3993" s="3">
        <v>0</v>
      </c>
      <c r="W3993" s="3">
        <v>0</v>
      </c>
      <c r="X3993">
        <v>0</v>
      </c>
      <c r="Y3993" t="s">
        <v>3069</v>
      </c>
    </row>
    <row r="3994" spans="1:25" hidden="1" x14ac:dyDescent="0.25">
      <c r="A3994" t="s">
        <v>51</v>
      </c>
      <c r="B3994" t="s">
        <v>120</v>
      </c>
      <c r="C3994" t="s">
        <v>51</v>
      </c>
      <c r="D3994" t="s">
        <v>27</v>
      </c>
      <c r="E3994" s="2">
        <v>46066</v>
      </c>
      <c r="F3994" s="2">
        <v>46066</v>
      </c>
      <c r="G3994" s="3">
        <v>45</v>
      </c>
      <c r="H3994" t="s">
        <v>28</v>
      </c>
      <c r="I3994">
        <v>47</v>
      </c>
      <c r="J3994">
        <v>0</v>
      </c>
      <c r="K3994">
        <v>0</v>
      </c>
      <c r="L3994" s="3">
        <v>1</v>
      </c>
      <c r="M3994" s="3">
        <v>0</v>
      </c>
      <c r="N3994">
        <v>1</v>
      </c>
      <c r="O3994">
        <v>0</v>
      </c>
      <c r="P3994">
        <v>0</v>
      </c>
      <c r="Q3994">
        <v>0</v>
      </c>
      <c r="R3994" s="3">
        <v>0</v>
      </c>
      <c r="S3994" s="3">
        <v>0</v>
      </c>
      <c r="T3994">
        <v>0</v>
      </c>
      <c r="U3994">
        <v>0</v>
      </c>
      <c r="V3994" s="3">
        <v>0</v>
      </c>
      <c r="W3994" s="3">
        <v>0</v>
      </c>
      <c r="X3994">
        <v>0</v>
      </c>
      <c r="Y3994" t="s">
        <v>3070</v>
      </c>
    </row>
    <row r="3995" spans="1:25" hidden="1" x14ac:dyDescent="0.25">
      <c r="A3995" t="s">
        <v>48</v>
      </c>
      <c r="B3995" t="s">
        <v>149</v>
      </c>
      <c r="C3995" t="s">
        <v>37</v>
      </c>
      <c r="D3995" t="s">
        <v>27</v>
      </c>
      <c r="E3995" s="2">
        <v>46066</v>
      </c>
      <c r="F3995" s="2">
        <v>46066</v>
      </c>
      <c r="G3995" s="3">
        <v>22</v>
      </c>
      <c r="H3995" t="s">
        <v>28</v>
      </c>
      <c r="I3995">
        <v>75</v>
      </c>
      <c r="J3995">
        <v>0</v>
      </c>
      <c r="K3995">
        <v>0</v>
      </c>
      <c r="L3995" s="3">
        <v>1</v>
      </c>
      <c r="M3995" s="3">
        <v>0</v>
      </c>
      <c r="N3995">
        <v>0</v>
      </c>
      <c r="O3995">
        <v>0</v>
      </c>
      <c r="P3995">
        <v>0</v>
      </c>
      <c r="Q3995">
        <v>0</v>
      </c>
      <c r="R3995" s="3">
        <v>0</v>
      </c>
      <c r="S3995" s="3">
        <v>0</v>
      </c>
      <c r="T3995">
        <v>0</v>
      </c>
      <c r="U3995">
        <v>0</v>
      </c>
      <c r="V3995" s="3">
        <v>0</v>
      </c>
      <c r="W3995" s="3">
        <v>0</v>
      </c>
      <c r="X3995">
        <v>0</v>
      </c>
      <c r="Y3995" t="s">
        <v>3071</v>
      </c>
    </row>
    <row r="3996" spans="1:25" hidden="1" x14ac:dyDescent="0.25">
      <c r="A3996" t="s">
        <v>48</v>
      </c>
      <c r="C3996" t="s">
        <v>2271</v>
      </c>
      <c r="D3996" t="s">
        <v>27</v>
      </c>
      <c r="E3996" s="2">
        <v>46066</v>
      </c>
      <c r="F3996" s="2">
        <v>46066</v>
      </c>
      <c r="G3996" s="3">
        <v>23</v>
      </c>
      <c r="H3996" t="s">
        <v>1448</v>
      </c>
      <c r="I3996">
        <v>0</v>
      </c>
      <c r="J3996">
        <v>0</v>
      </c>
      <c r="K3996">
        <v>0</v>
      </c>
      <c r="L3996" s="3">
        <v>0</v>
      </c>
      <c r="M3996" s="3">
        <v>0</v>
      </c>
      <c r="N3996">
        <v>0</v>
      </c>
      <c r="O3996">
        <v>0</v>
      </c>
      <c r="P3996">
        <v>0</v>
      </c>
      <c r="Q3996">
        <v>0</v>
      </c>
      <c r="R3996" s="3">
        <v>0</v>
      </c>
      <c r="S3996" s="3">
        <v>0</v>
      </c>
      <c r="T3996">
        <v>0</v>
      </c>
      <c r="U3996">
        <v>0</v>
      </c>
      <c r="V3996" s="3">
        <v>0</v>
      </c>
      <c r="W3996" s="3">
        <v>0</v>
      </c>
      <c r="X3996" s="3">
        <v>0</v>
      </c>
      <c r="Y3996" t="s">
        <v>3071</v>
      </c>
    </row>
    <row r="3997" spans="1:25" hidden="1" x14ac:dyDescent="0.25">
      <c r="A3997" t="s">
        <v>40</v>
      </c>
      <c r="B3997" t="s">
        <v>798</v>
      </c>
      <c r="C3997" t="s">
        <v>27</v>
      </c>
      <c r="D3997" t="s">
        <v>27</v>
      </c>
      <c r="E3997" s="2">
        <v>46066</v>
      </c>
      <c r="F3997" s="2">
        <v>46066</v>
      </c>
      <c r="G3997" s="3">
        <v>24</v>
      </c>
      <c r="H3997" t="s">
        <v>1975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 t="s">
        <v>3025</v>
      </c>
    </row>
    <row r="3998" spans="1:25" hidden="1" x14ac:dyDescent="0.25">
      <c r="A3998" t="s">
        <v>438</v>
      </c>
      <c r="B3998" t="s">
        <v>798</v>
      </c>
      <c r="C3998" t="s">
        <v>27</v>
      </c>
      <c r="D3998" t="s">
        <v>27</v>
      </c>
      <c r="E3998" s="2">
        <v>46066</v>
      </c>
      <c r="F3998" s="2">
        <v>46066</v>
      </c>
      <c r="G3998" s="3">
        <v>25</v>
      </c>
      <c r="H3998" t="s">
        <v>1975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 t="s">
        <v>2803</v>
      </c>
    </row>
    <row r="3999" spans="1:25" hidden="1" x14ac:dyDescent="0.25">
      <c r="A3999" t="s">
        <v>454</v>
      </c>
      <c r="B3999" t="s">
        <v>106</v>
      </c>
      <c r="C3999" t="s">
        <v>27</v>
      </c>
      <c r="D3999" t="s">
        <v>27</v>
      </c>
      <c r="E3999" s="2">
        <v>46066</v>
      </c>
      <c r="F3999" s="2">
        <v>46066</v>
      </c>
      <c r="G3999" s="3">
        <v>26</v>
      </c>
      <c r="H3999" t="s">
        <v>763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 t="s">
        <v>2841</v>
      </c>
    </row>
    <row r="4000" spans="1:25" hidden="1" x14ac:dyDescent="0.25">
      <c r="A4000" t="s">
        <v>54</v>
      </c>
      <c r="B4000" t="s">
        <v>182</v>
      </c>
      <c r="C4000" t="s">
        <v>27</v>
      </c>
      <c r="D4000" t="s">
        <v>27</v>
      </c>
      <c r="E4000" s="2">
        <v>46066</v>
      </c>
      <c r="F4000" s="2">
        <v>46066</v>
      </c>
      <c r="G4000" s="3">
        <v>27</v>
      </c>
      <c r="H4000" t="s">
        <v>763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 t="s">
        <v>2841</v>
      </c>
    </row>
    <row r="4001" spans="1:25" hidden="1" x14ac:dyDescent="0.25">
      <c r="A4001" t="s">
        <v>27</v>
      </c>
      <c r="B4001" t="s">
        <v>184</v>
      </c>
      <c r="C4001" t="s">
        <v>35</v>
      </c>
      <c r="D4001" t="s">
        <v>27</v>
      </c>
      <c r="E4001" s="2">
        <v>46066</v>
      </c>
      <c r="F4001" s="2">
        <v>46066</v>
      </c>
      <c r="G4001" s="3">
        <v>28</v>
      </c>
      <c r="H4001" t="s">
        <v>763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 t="s">
        <v>2841</v>
      </c>
    </row>
    <row r="4002" spans="1:25" hidden="1" x14ac:dyDescent="0.25">
      <c r="A4002" t="s">
        <v>27</v>
      </c>
      <c r="B4002" t="s">
        <v>186</v>
      </c>
      <c r="C4002" t="s">
        <v>46</v>
      </c>
      <c r="D4002" t="s">
        <v>27</v>
      </c>
      <c r="E4002" s="2">
        <v>46066</v>
      </c>
      <c r="F4002" s="2">
        <v>46066</v>
      </c>
      <c r="G4002" s="3">
        <v>29</v>
      </c>
      <c r="H4002" t="s">
        <v>763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 t="s">
        <v>2841</v>
      </c>
    </row>
    <row r="4003" spans="1:25" hidden="1" x14ac:dyDescent="0.25">
      <c r="A4003" t="s">
        <v>27</v>
      </c>
      <c r="B4003" t="s">
        <v>188</v>
      </c>
      <c r="C4003" t="s">
        <v>55</v>
      </c>
      <c r="D4003" t="s">
        <v>27</v>
      </c>
      <c r="E4003" s="2">
        <v>46066</v>
      </c>
      <c r="F4003" s="2">
        <v>46066</v>
      </c>
      <c r="G4003" s="3">
        <v>30</v>
      </c>
      <c r="H4003" t="s">
        <v>763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t="s">
        <v>2841</v>
      </c>
    </row>
    <row r="4004" spans="1:25" hidden="1" x14ac:dyDescent="0.25">
      <c r="A4004" t="s">
        <v>51</v>
      </c>
      <c r="B4004" t="s">
        <v>120</v>
      </c>
      <c r="C4004" t="s">
        <v>37</v>
      </c>
      <c r="D4004" t="s">
        <v>27</v>
      </c>
      <c r="E4004" s="2">
        <v>46067</v>
      </c>
      <c r="F4004" s="2">
        <v>46067</v>
      </c>
      <c r="G4004" s="3">
        <v>92</v>
      </c>
      <c r="H4004" t="s">
        <v>28</v>
      </c>
      <c r="I4004">
        <v>0</v>
      </c>
      <c r="J4004">
        <v>0</v>
      </c>
      <c r="K4004">
        <v>0</v>
      </c>
      <c r="L4004" s="3">
        <v>0</v>
      </c>
      <c r="M4004" s="3">
        <v>0</v>
      </c>
      <c r="N4004">
        <v>0</v>
      </c>
      <c r="O4004">
        <v>0</v>
      </c>
      <c r="P4004">
        <v>0</v>
      </c>
      <c r="Q4004">
        <v>0</v>
      </c>
      <c r="R4004" s="3">
        <v>1</v>
      </c>
      <c r="S4004" s="3">
        <v>0</v>
      </c>
      <c r="T4004">
        <v>18</v>
      </c>
      <c r="U4004">
        <v>41</v>
      </c>
      <c r="V4004" s="3">
        <v>1</v>
      </c>
      <c r="W4004" s="3">
        <v>0</v>
      </c>
      <c r="X4004">
        <v>4</v>
      </c>
      <c r="Y4004" t="s">
        <v>3072</v>
      </c>
    </row>
    <row r="4005" spans="1:25" hidden="1" x14ac:dyDescent="0.25">
      <c r="A4005" t="s">
        <v>41</v>
      </c>
      <c r="B4005" t="s">
        <v>112</v>
      </c>
      <c r="C4005" t="s">
        <v>42</v>
      </c>
      <c r="D4005" t="s">
        <v>27</v>
      </c>
      <c r="E4005" s="2">
        <v>46067</v>
      </c>
      <c r="F4005" s="2">
        <v>46067</v>
      </c>
      <c r="G4005" s="3">
        <v>151</v>
      </c>
      <c r="H4005" t="s">
        <v>28</v>
      </c>
      <c r="I4005">
        <v>0</v>
      </c>
      <c r="J4005">
        <v>0</v>
      </c>
      <c r="K4005">
        <v>0</v>
      </c>
      <c r="L4005" s="3">
        <v>0</v>
      </c>
      <c r="M4005" s="3">
        <v>0</v>
      </c>
      <c r="N4005">
        <v>1</v>
      </c>
      <c r="O4005">
        <v>0</v>
      </c>
      <c r="P4005">
        <v>0</v>
      </c>
      <c r="Q4005">
        <v>86</v>
      </c>
      <c r="R4005" s="3">
        <v>1</v>
      </c>
      <c r="S4005" s="3">
        <v>0</v>
      </c>
      <c r="T4005">
        <v>86</v>
      </c>
      <c r="U4005">
        <v>14</v>
      </c>
      <c r="V4005" s="3">
        <v>1</v>
      </c>
      <c r="W4005" s="3">
        <v>0</v>
      </c>
      <c r="X4005">
        <v>4</v>
      </c>
      <c r="Y4005" t="s">
        <v>2991</v>
      </c>
    </row>
    <row r="4006" spans="1:25" hidden="1" x14ac:dyDescent="0.25">
      <c r="A4006" t="s">
        <v>41</v>
      </c>
      <c r="B4006" t="s">
        <v>112</v>
      </c>
      <c r="C4006" t="s">
        <v>42</v>
      </c>
      <c r="D4006" t="s">
        <v>27</v>
      </c>
      <c r="E4006" s="2">
        <v>46068</v>
      </c>
      <c r="F4006" s="2">
        <v>46068</v>
      </c>
      <c r="G4006" s="3">
        <v>151</v>
      </c>
      <c r="H4006" t="s">
        <v>3152</v>
      </c>
      <c r="I4006">
        <v>0</v>
      </c>
      <c r="J4006">
        <v>0</v>
      </c>
      <c r="K4006">
        <v>0</v>
      </c>
      <c r="L4006" s="3">
        <v>0</v>
      </c>
      <c r="M4006" s="3">
        <v>0</v>
      </c>
      <c r="N4006">
        <v>0</v>
      </c>
      <c r="O4006">
        <v>0</v>
      </c>
      <c r="P4006">
        <v>0</v>
      </c>
      <c r="Q4006">
        <v>0</v>
      </c>
      <c r="R4006" s="3">
        <v>0</v>
      </c>
      <c r="S4006" s="3">
        <v>0</v>
      </c>
      <c r="T4006">
        <v>0</v>
      </c>
      <c r="U4006">
        <v>0</v>
      </c>
      <c r="V4006" s="3">
        <v>0</v>
      </c>
      <c r="W4006" s="3">
        <v>0</v>
      </c>
      <c r="X4006">
        <v>0</v>
      </c>
      <c r="Y4006" t="s">
        <v>2991</v>
      </c>
    </row>
    <row r="4007" spans="1:25" hidden="1" x14ac:dyDescent="0.25">
      <c r="A4007" t="s">
        <v>51</v>
      </c>
      <c r="B4007" t="s">
        <v>120</v>
      </c>
      <c r="C4007" t="s">
        <v>44</v>
      </c>
      <c r="D4007" t="s">
        <v>27</v>
      </c>
      <c r="E4007" s="2">
        <v>46068</v>
      </c>
      <c r="F4007" s="2">
        <v>46068</v>
      </c>
      <c r="G4007" s="3">
        <v>102</v>
      </c>
      <c r="H4007" t="s">
        <v>28</v>
      </c>
      <c r="I4007">
        <v>0</v>
      </c>
      <c r="J4007">
        <v>0</v>
      </c>
      <c r="K4007">
        <v>0</v>
      </c>
      <c r="L4007" s="3">
        <v>0</v>
      </c>
      <c r="M4007" s="3">
        <v>0</v>
      </c>
      <c r="N4007">
        <v>0</v>
      </c>
      <c r="O4007">
        <v>0</v>
      </c>
      <c r="P4007">
        <v>0</v>
      </c>
      <c r="Q4007">
        <v>0</v>
      </c>
      <c r="R4007" s="3">
        <v>0</v>
      </c>
      <c r="S4007" s="3">
        <v>1</v>
      </c>
      <c r="T4007">
        <v>3</v>
      </c>
      <c r="U4007">
        <v>73</v>
      </c>
      <c r="V4007" s="3">
        <v>0</v>
      </c>
      <c r="W4007" s="3">
        <v>0</v>
      </c>
      <c r="X4007">
        <v>6</v>
      </c>
      <c r="Y4007" t="s">
        <v>3073</v>
      </c>
    </row>
    <row r="4008" spans="1:25" hidden="1" x14ac:dyDescent="0.25">
      <c r="A4008" t="s">
        <v>48</v>
      </c>
      <c r="B4008" t="s">
        <v>149</v>
      </c>
      <c r="C4008" t="s">
        <v>37</v>
      </c>
      <c r="D4008" t="s">
        <v>27</v>
      </c>
      <c r="E4008" s="2">
        <v>46068</v>
      </c>
      <c r="F4008" s="2">
        <v>46068</v>
      </c>
      <c r="G4008" s="3">
        <v>422</v>
      </c>
      <c r="H4008" t="s">
        <v>28</v>
      </c>
      <c r="I4008">
        <v>0</v>
      </c>
      <c r="J4008">
        <v>0</v>
      </c>
      <c r="K4008">
        <v>0</v>
      </c>
      <c r="L4008" s="3">
        <v>0</v>
      </c>
      <c r="M4008" s="3">
        <v>0</v>
      </c>
      <c r="N4008">
        <v>0</v>
      </c>
      <c r="O4008">
        <v>0</v>
      </c>
      <c r="P4008">
        <v>0</v>
      </c>
      <c r="Q4008">
        <v>3</v>
      </c>
      <c r="R4008" s="3">
        <v>0</v>
      </c>
      <c r="S4008" s="3">
        <v>1</v>
      </c>
      <c r="T4008">
        <v>7</v>
      </c>
      <c r="U4008">
        <v>110</v>
      </c>
      <c r="V4008" s="3">
        <v>0</v>
      </c>
      <c r="W4008" s="3">
        <v>1</v>
      </c>
      <c r="X4008">
        <v>3</v>
      </c>
      <c r="Y4008" t="s">
        <v>3074</v>
      </c>
    </row>
    <row r="4009" spans="1:25" hidden="1" x14ac:dyDescent="0.25">
      <c r="A4009" t="s">
        <v>1316</v>
      </c>
      <c r="B4009" t="s">
        <v>149</v>
      </c>
      <c r="C4009" t="s">
        <v>2835</v>
      </c>
      <c r="D4009" t="s">
        <v>27</v>
      </c>
      <c r="E4009" s="2">
        <v>46068</v>
      </c>
      <c r="F4009" s="2">
        <v>46068</v>
      </c>
      <c r="G4009" s="3">
        <v>422</v>
      </c>
      <c r="H4009" t="s">
        <v>28</v>
      </c>
      <c r="I4009">
        <v>0</v>
      </c>
      <c r="J4009">
        <v>0</v>
      </c>
      <c r="K4009">
        <v>0</v>
      </c>
      <c r="L4009" s="3">
        <v>1</v>
      </c>
      <c r="M4009" s="3">
        <v>1</v>
      </c>
      <c r="N4009">
        <v>0</v>
      </c>
      <c r="O4009">
        <v>1</v>
      </c>
      <c r="P4009">
        <v>0</v>
      </c>
      <c r="Q4009">
        <v>3</v>
      </c>
      <c r="R4009" s="3">
        <v>0</v>
      </c>
      <c r="S4009" s="3">
        <v>1</v>
      </c>
      <c r="T4009">
        <v>7</v>
      </c>
      <c r="U4009">
        <v>110</v>
      </c>
      <c r="V4009" s="3">
        <v>0</v>
      </c>
      <c r="W4009" s="3">
        <v>1</v>
      </c>
      <c r="X4009">
        <v>3</v>
      </c>
      <c r="Y4009" t="s">
        <v>3074</v>
      </c>
    </row>
    <row r="4010" spans="1:25" hidden="1" x14ac:dyDescent="0.25">
      <c r="A4010" t="s">
        <v>25</v>
      </c>
      <c r="B4010" t="s">
        <v>96</v>
      </c>
      <c r="C4010" t="s">
        <v>26</v>
      </c>
      <c r="D4010" t="s">
        <v>27</v>
      </c>
      <c r="E4010" s="2">
        <v>46069</v>
      </c>
      <c r="F4010" s="2">
        <v>46069</v>
      </c>
      <c r="G4010" s="3">
        <v>41</v>
      </c>
      <c r="H4010" t="s">
        <v>28</v>
      </c>
      <c r="I4010">
        <v>38</v>
      </c>
      <c r="J4010">
        <v>0</v>
      </c>
      <c r="K4010">
        <v>0</v>
      </c>
      <c r="L4010" s="3">
        <v>0</v>
      </c>
      <c r="M4010" s="3">
        <v>0</v>
      </c>
      <c r="N4010">
        <v>1</v>
      </c>
      <c r="O4010">
        <v>0</v>
      </c>
      <c r="P4010">
        <v>0</v>
      </c>
      <c r="Q4010">
        <v>0</v>
      </c>
      <c r="R4010" s="3">
        <v>0</v>
      </c>
      <c r="S4010" s="3">
        <v>0</v>
      </c>
      <c r="T4010">
        <v>0</v>
      </c>
      <c r="U4010">
        <v>0</v>
      </c>
      <c r="V4010" s="3">
        <v>0</v>
      </c>
      <c r="W4010" s="3">
        <v>0</v>
      </c>
      <c r="X4010">
        <v>0</v>
      </c>
      <c r="Y4010" t="s">
        <v>3075</v>
      </c>
    </row>
    <row r="4011" spans="1:25" hidden="1" x14ac:dyDescent="0.25">
      <c r="A4011" t="s">
        <v>31</v>
      </c>
      <c r="B4011" t="s">
        <v>104</v>
      </c>
      <c r="C4011" t="s">
        <v>32</v>
      </c>
      <c r="D4011" t="s">
        <v>27</v>
      </c>
      <c r="E4011" s="2">
        <v>46069</v>
      </c>
      <c r="F4011" s="2">
        <v>46069</v>
      </c>
      <c r="G4011" s="3">
        <v>49</v>
      </c>
      <c r="H4011" t="s">
        <v>28</v>
      </c>
      <c r="I4011">
        <v>93</v>
      </c>
      <c r="J4011">
        <v>3</v>
      </c>
      <c r="K4011">
        <v>0</v>
      </c>
      <c r="L4011" s="3">
        <v>0</v>
      </c>
      <c r="M4011" s="3">
        <v>0</v>
      </c>
      <c r="N4011">
        <v>0</v>
      </c>
      <c r="O4011">
        <v>0</v>
      </c>
      <c r="P4011">
        <v>0</v>
      </c>
      <c r="Q4011">
        <v>34</v>
      </c>
      <c r="R4011" s="3">
        <v>0</v>
      </c>
      <c r="S4011" s="3">
        <v>0</v>
      </c>
      <c r="T4011">
        <v>0</v>
      </c>
      <c r="U4011">
        <v>0</v>
      </c>
      <c r="V4011" s="3">
        <v>0</v>
      </c>
      <c r="W4011" s="3">
        <v>0</v>
      </c>
      <c r="X4011">
        <v>1</v>
      </c>
      <c r="Y4011" t="s">
        <v>3076</v>
      </c>
    </row>
    <row r="4012" spans="1:25" hidden="1" x14ac:dyDescent="0.25">
      <c r="A4012" t="s">
        <v>33</v>
      </c>
      <c r="B4012" t="s">
        <v>106</v>
      </c>
      <c r="C4012" t="s">
        <v>2835</v>
      </c>
      <c r="D4012" t="s">
        <v>27</v>
      </c>
      <c r="E4012" s="2">
        <v>46069</v>
      </c>
      <c r="F4012" s="2">
        <v>46069</v>
      </c>
      <c r="G4012" s="3">
        <v>26</v>
      </c>
      <c r="H4012" t="s">
        <v>28</v>
      </c>
      <c r="I4012">
        <v>64</v>
      </c>
      <c r="J4012">
        <v>0</v>
      </c>
      <c r="K4012">
        <v>0</v>
      </c>
      <c r="L4012" s="3">
        <v>0</v>
      </c>
      <c r="M4012" s="3">
        <v>0</v>
      </c>
      <c r="N4012">
        <v>0</v>
      </c>
      <c r="O4012">
        <v>0</v>
      </c>
      <c r="P4012">
        <v>0</v>
      </c>
      <c r="Q4012">
        <v>21</v>
      </c>
      <c r="R4012" s="3">
        <v>0</v>
      </c>
      <c r="S4012" s="3">
        <v>0</v>
      </c>
      <c r="T4012">
        <v>0</v>
      </c>
      <c r="U4012">
        <v>0</v>
      </c>
      <c r="V4012" s="3">
        <v>0</v>
      </c>
      <c r="W4012" s="3">
        <v>0</v>
      </c>
      <c r="X4012">
        <v>0</v>
      </c>
      <c r="Y4012" t="s">
        <v>3077</v>
      </c>
    </row>
    <row r="4013" spans="1:25" hidden="1" x14ac:dyDescent="0.25">
      <c r="A4013" t="s">
        <v>2899</v>
      </c>
      <c r="B4013" t="s">
        <v>102</v>
      </c>
      <c r="C4013" t="s">
        <v>95</v>
      </c>
      <c r="D4013" t="s">
        <v>27</v>
      </c>
      <c r="E4013" s="2">
        <v>46069</v>
      </c>
      <c r="F4013" s="2">
        <v>46069</v>
      </c>
      <c r="G4013" s="3">
        <v>46</v>
      </c>
      <c r="H4013" t="s">
        <v>28</v>
      </c>
      <c r="I4013">
        <v>55</v>
      </c>
      <c r="J4013">
        <v>0</v>
      </c>
      <c r="K4013">
        <v>0</v>
      </c>
      <c r="L4013" s="3">
        <v>0</v>
      </c>
      <c r="M4013" s="3">
        <v>0</v>
      </c>
      <c r="N4013">
        <v>0</v>
      </c>
      <c r="O4013">
        <v>0</v>
      </c>
      <c r="P4013">
        <v>0</v>
      </c>
      <c r="Q4013">
        <v>0</v>
      </c>
      <c r="R4013" s="3">
        <v>0</v>
      </c>
      <c r="S4013" s="3">
        <v>0</v>
      </c>
      <c r="T4013">
        <v>0</v>
      </c>
      <c r="U4013">
        <v>0</v>
      </c>
      <c r="V4013" s="3">
        <v>0</v>
      </c>
      <c r="W4013" s="3">
        <v>0</v>
      </c>
      <c r="X4013">
        <v>0</v>
      </c>
      <c r="Y4013" t="s">
        <v>2961</v>
      </c>
    </row>
    <row r="4014" spans="1:25" hidden="1" x14ac:dyDescent="0.25">
      <c r="A4014" t="s">
        <v>36</v>
      </c>
      <c r="B4014" t="s">
        <v>249</v>
      </c>
      <c r="C4014" t="s">
        <v>2271</v>
      </c>
      <c r="D4014" t="s">
        <v>27</v>
      </c>
      <c r="E4014" s="2">
        <v>46069</v>
      </c>
      <c r="F4014" s="2">
        <v>46069</v>
      </c>
      <c r="G4014" s="3">
        <v>69</v>
      </c>
      <c r="H4014" t="s">
        <v>28</v>
      </c>
      <c r="I4014">
        <v>88</v>
      </c>
      <c r="J4014">
        <v>0</v>
      </c>
      <c r="K4014">
        <v>0</v>
      </c>
      <c r="L4014" s="3">
        <v>1</v>
      </c>
      <c r="M4014" s="3">
        <v>0</v>
      </c>
      <c r="N4014">
        <v>1</v>
      </c>
      <c r="O4014">
        <v>0</v>
      </c>
      <c r="P4014">
        <v>0</v>
      </c>
      <c r="Q4014">
        <v>0</v>
      </c>
      <c r="R4014" s="3">
        <v>0</v>
      </c>
      <c r="S4014" s="3">
        <v>0</v>
      </c>
      <c r="T4014">
        <v>0</v>
      </c>
      <c r="U4014">
        <v>0</v>
      </c>
      <c r="V4014" s="3">
        <v>0</v>
      </c>
      <c r="W4014" s="3">
        <v>0</v>
      </c>
      <c r="X4014">
        <v>0</v>
      </c>
      <c r="Y4014" t="s">
        <v>3078</v>
      </c>
    </row>
    <row r="4015" spans="1:25" hidden="1" x14ac:dyDescent="0.25">
      <c r="A4015" t="s">
        <v>38</v>
      </c>
      <c r="B4015" t="s">
        <v>108</v>
      </c>
      <c r="C4015" t="s">
        <v>27</v>
      </c>
      <c r="D4015" t="s">
        <v>27</v>
      </c>
      <c r="E4015" s="2">
        <v>46069</v>
      </c>
      <c r="F4015" s="2">
        <v>46069</v>
      </c>
      <c r="G4015" s="3">
        <v>37</v>
      </c>
      <c r="H4015" t="s">
        <v>28</v>
      </c>
      <c r="I4015">
        <v>46</v>
      </c>
      <c r="J4015">
        <v>0</v>
      </c>
      <c r="K4015">
        <v>0</v>
      </c>
      <c r="L4015" s="3">
        <v>1</v>
      </c>
      <c r="M4015" s="3">
        <v>0</v>
      </c>
      <c r="N4015">
        <v>0</v>
      </c>
      <c r="O4015">
        <v>0</v>
      </c>
      <c r="P4015">
        <v>0</v>
      </c>
      <c r="Q4015">
        <v>46</v>
      </c>
      <c r="R4015" s="3">
        <v>0</v>
      </c>
      <c r="S4015" s="3">
        <v>0</v>
      </c>
      <c r="T4015">
        <v>0</v>
      </c>
      <c r="U4015">
        <v>0</v>
      </c>
      <c r="V4015" s="3">
        <v>0</v>
      </c>
      <c r="W4015" s="3">
        <v>0</v>
      </c>
      <c r="X4015">
        <v>0</v>
      </c>
      <c r="Y4015" t="s">
        <v>3079</v>
      </c>
    </row>
    <row r="4016" spans="1:25" hidden="1" x14ac:dyDescent="0.25">
      <c r="A4016" t="s">
        <v>2679</v>
      </c>
      <c r="B4016" t="s">
        <v>2680</v>
      </c>
      <c r="C4016" t="s">
        <v>39</v>
      </c>
      <c r="D4016" t="s">
        <v>27</v>
      </c>
      <c r="E4016" s="2">
        <v>46069</v>
      </c>
      <c r="F4016" s="2">
        <v>46069</v>
      </c>
      <c r="G4016" s="3">
        <v>76</v>
      </c>
      <c r="H4016" t="s">
        <v>28</v>
      </c>
      <c r="I4016">
        <v>94</v>
      </c>
      <c r="J4016">
        <v>0</v>
      </c>
      <c r="K4016">
        <v>0</v>
      </c>
      <c r="L4016" s="3">
        <v>1</v>
      </c>
      <c r="M4016" s="3">
        <v>1</v>
      </c>
      <c r="N4016">
        <v>0</v>
      </c>
      <c r="O4016">
        <v>0</v>
      </c>
      <c r="P4016">
        <v>0</v>
      </c>
      <c r="Q4016">
        <v>94</v>
      </c>
      <c r="R4016" s="3">
        <v>0</v>
      </c>
      <c r="S4016" s="3">
        <v>0</v>
      </c>
      <c r="T4016">
        <v>0</v>
      </c>
      <c r="U4016">
        <v>0</v>
      </c>
      <c r="V4016" s="3">
        <v>0</v>
      </c>
      <c r="W4016" s="3">
        <v>0</v>
      </c>
      <c r="X4016">
        <v>1</v>
      </c>
      <c r="Y4016" t="s">
        <v>3080</v>
      </c>
    </row>
    <row r="4017" spans="1:25" hidden="1" x14ac:dyDescent="0.25">
      <c r="A4017" t="s">
        <v>1316</v>
      </c>
      <c r="B4017" t="s">
        <v>1348</v>
      </c>
      <c r="C4017" t="s">
        <v>2514</v>
      </c>
      <c r="D4017" t="s">
        <v>27</v>
      </c>
      <c r="E4017" s="2">
        <v>46069</v>
      </c>
      <c r="F4017" s="2">
        <v>46069</v>
      </c>
      <c r="G4017" s="3">
        <v>245</v>
      </c>
      <c r="H4017" t="s">
        <v>28</v>
      </c>
      <c r="I4017">
        <v>54</v>
      </c>
      <c r="J4017">
        <v>0</v>
      </c>
      <c r="K4017">
        <v>0</v>
      </c>
      <c r="L4017" s="3">
        <v>1</v>
      </c>
      <c r="M4017" s="3">
        <v>0</v>
      </c>
      <c r="N4017">
        <v>0</v>
      </c>
      <c r="O4017">
        <v>0</v>
      </c>
      <c r="P4017">
        <v>0</v>
      </c>
      <c r="Q4017">
        <v>20</v>
      </c>
      <c r="R4017" s="3">
        <v>0</v>
      </c>
      <c r="S4017" s="3">
        <v>0</v>
      </c>
      <c r="T4017">
        <v>0</v>
      </c>
      <c r="U4017">
        <v>0</v>
      </c>
      <c r="V4017" s="3">
        <v>0</v>
      </c>
      <c r="W4017" s="3">
        <v>0</v>
      </c>
      <c r="X4017">
        <v>0</v>
      </c>
      <c r="Y4017" t="s">
        <v>3081</v>
      </c>
    </row>
    <row r="4018" spans="1:25" hidden="1" x14ac:dyDescent="0.25">
      <c r="A4018" t="s">
        <v>41</v>
      </c>
      <c r="B4018" t="s">
        <v>112</v>
      </c>
      <c r="C4018" t="s">
        <v>42</v>
      </c>
      <c r="D4018" t="s">
        <v>27</v>
      </c>
      <c r="E4018" s="2">
        <v>46069</v>
      </c>
      <c r="F4018" s="2">
        <v>46069</v>
      </c>
      <c r="G4018" s="3">
        <v>33</v>
      </c>
      <c r="H4018" t="s">
        <v>28</v>
      </c>
      <c r="I4018">
        <v>43</v>
      </c>
      <c r="J4018">
        <v>0</v>
      </c>
      <c r="K4018">
        <v>0</v>
      </c>
      <c r="L4018" s="3">
        <v>1</v>
      </c>
      <c r="M4018" s="3">
        <v>0</v>
      </c>
      <c r="N4018">
        <v>0</v>
      </c>
      <c r="O4018">
        <v>0</v>
      </c>
      <c r="P4018">
        <v>0</v>
      </c>
      <c r="Q4018">
        <v>4</v>
      </c>
      <c r="R4018" s="3">
        <v>0</v>
      </c>
      <c r="S4018" s="3">
        <v>0</v>
      </c>
      <c r="T4018">
        <v>0</v>
      </c>
      <c r="U4018">
        <v>0</v>
      </c>
      <c r="V4018" s="3">
        <v>0</v>
      </c>
      <c r="W4018" s="3">
        <v>0</v>
      </c>
      <c r="X4018">
        <v>0</v>
      </c>
      <c r="Y4018" t="s">
        <v>3082</v>
      </c>
    </row>
    <row r="4019" spans="1:25" hidden="1" x14ac:dyDescent="0.25">
      <c r="A4019" t="s">
        <v>43</v>
      </c>
      <c r="B4019" t="s">
        <v>114</v>
      </c>
      <c r="C4019" t="s">
        <v>44</v>
      </c>
      <c r="D4019" t="s">
        <v>27</v>
      </c>
      <c r="E4019" s="2">
        <v>46069</v>
      </c>
      <c r="F4019" s="2">
        <v>46069</v>
      </c>
      <c r="G4019" s="3">
        <v>33</v>
      </c>
      <c r="H4019" t="s">
        <v>28</v>
      </c>
      <c r="I4019">
        <v>43</v>
      </c>
      <c r="J4019">
        <v>0</v>
      </c>
      <c r="K4019">
        <v>0</v>
      </c>
      <c r="L4019" s="3">
        <v>1</v>
      </c>
      <c r="M4019" s="3">
        <v>0</v>
      </c>
      <c r="N4019">
        <v>0</v>
      </c>
      <c r="O4019">
        <v>0</v>
      </c>
      <c r="P4019">
        <v>0</v>
      </c>
      <c r="Q4019">
        <v>4</v>
      </c>
      <c r="R4019" s="3">
        <v>0</v>
      </c>
      <c r="S4019" s="3">
        <v>0</v>
      </c>
      <c r="T4019">
        <v>0</v>
      </c>
      <c r="U4019">
        <v>0</v>
      </c>
      <c r="V4019" s="3">
        <v>0</v>
      </c>
      <c r="W4019" s="3">
        <v>0</v>
      </c>
      <c r="X4019">
        <v>0</v>
      </c>
      <c r="Y4019" t="s">
        <v>3083</v>
      </c>
    </row>
    <row r="4020" spans="1:25" hidden="1" x14ac:dyDescent="0.25">
      <c r="A4020" t="s">
        <v>2118</v>
      </c>
      <c r="B4020" t="s">
        <v>2119</v>
      </c>
      <c r="C4020" t="s">
        <v>27</v>
      </c>
      <c r="D4020" t="s">
        <v>27</v>
      </c>
      <c r="E4020" s="2">
        <v>46069</v>
      </c>
      <c r="F4020" s="2">
        <v>46069</v>
      </c>
      <c r="G4020" s="3">
        <v>35</v>
      </c>
      <c r="H4020" t="s">
        <v>28</v>
      </c>
      <c r="I4020">
        <v>65</v>
      </c>
      <c r="J4020">
        <v>0</v>
      </c>
      <c r="K4020">
        <v>0</v>
      </c>
      <c r="L4020" s="3">
        <v>1</v>
      </c>
      <c r="M4020" s="3">
        <v>0</v>
      </c>
      <c r="N4020">
        <v>0</v>
      </c>
      <c r="O4020">
        <v>0</v>
      </c>
      <c r="P4020">
        <v>0</v>
      </c>
      <c r="Q4020">
        <v>65</v>
      </c>
      <c r="R4020" s="3">
        <v>0</v>
      </c>
      <c r="S4020" s="3">
        <v>0</v>
      </c>
      <c r="T4020">
        <v>0</v>
      </c>
      <c r="U4020">
        <v>0</v>
      </c>
      <c r="V4020" s="3">
        <v>0</v>
      </c>
      <c r="W4020" s="3">
        <v>0</v>
      </c>
      <c r="X4020">
        <v>0</v>
      </c>
      <c r="Y4020" t="s">
        <v>3084</v>
      </c>
    </row>
    <row r="4021" spans="1:25" hidden="1" x14ac:dyDescent="0.25">
      <c r="A4021" t="s">
        <v>45</v>
      </c>
      <c r="B4021" t="s">
        <v>116</v>
      </c>
      <c r="C4021" t="s">
        <v>46</v>
      </c>
      <c r="D4021" t="s">
        <v>27</v>
      </c>
      <c r="E4021" s="2">
        <v>46069</v>
      </c>
      <c r="F4021" s="2">
        <v>46069</v>
      </c>
      <c r="G4021" s="3">
        <v>51</v>
      </c>
      <c r="H4021" t="s">
        <v>28</v>
      </c>
      <c r="I4021">
        <v>67</v>
      </c>
      <c r="J4021">
        <v>0</v>
      </c>
      <c r="K4021">
        <v>0</v>
      </c>
      <c r="L4021" s="3">
        <v>1</v>
      </c>
      <c r="M4021" s="3">
        <v>0</v>
      </c>
      <c r="N4021">
        <v>0</v>
      </c>
      <c r="O4021">
        <v>0</v>
      </c>
      <c r="P4021">
        <v>0</v>
      </c>
      <c r="Q4021">
        <v>8</v>
      </c>
      <c r="R4021" s="3">
        <v>0</v>
      </c>
      <c r="S4021" s="3">
        <v>0</v>
      </c>
      <c r="T4021">
        <v>0</v>
      </c>
      <c r="U4021">
        <v>0</v>
      </c>
      <c r="V4021" s="3">
        <v>0</v>
      </c>
      <c r="W4021" s="3">
        <v>0</v>
      </c>
      <c r="X4021">
        <v>0</v>
      </c>
      <c r="Y4021" t="s">
        <v>3085</v>
      </c>
    </row>
    <row r="4022" spans="1:25" hidden="1" x14ac:dyDescent="0.25">
      <c r="A4022" t="s">
        <v>47</v>
      </c>
      <c r="B4022" t="s">
        <v>137</v>
      </c>
      <c r="C4022" t="s">
        <v>2310</v>
      </c>
      <c r="D4022" t="s">
        <v>27</v>
      </c>
      <c r="E4022" s="2">
        <v>46069</v>
      </c>
      <c r="F4022" s="2">
        <v>46069</v>
      </c>
      <c r="G4022" s="3">
        <v>53</v>
      </c>
      <c r="H4022" t="s">
        <v>28</v>
      </c>
      <c r="I4022">
        <v>39</v>
      </c>
      <c r="J4022">
        <v>0</v>
      </c>
      <c r="K4022">
        <v>0</v>
      </c>
      <c r="L4022" s="3">
        <v>1</v>
      </c>
      <c r="M4022" s="3">
        <v>0</v>
      </c>
      <c r="N4022">
        <v>0</v>
      </c>
      <c r="O4022">
        <v>0</v>
      </c>
      <c r="P4022">
        <v>0</v>
      </c>
      <c r="Q4022">
        <v>4</v>
      </c>
      <c r="R4022" s="3">
        <v>0</v>
      </c>
      <c r="S4022" s="3">
        <v>0</v>
      </c>
      <c r="T4022">
        <v>0</v>
      </c>
      <c r="U4022">
        <v>0</v>
      </c>
      <c r="V4022" s="3">
        <v>0</v>
      </c>
      <c r="W4022" s="3">
        <v>0</v>
      </c>
      <c r="X4022">
        <v>0</v>
      </c>
      <c r="Y4022" t="s">
        <v>3086</v>
      </c>
    </row>
    <row r="4023" spans="1:25" hidden="1" x14ac:dyDescent="0.25">
      <c r="A4023" t="s">
        <v>49</v>
      </c>
      <c r="B4023" t="s">
        <v>118</v>
      </c>
      <c r="C4023" t="s">
        <v>50</v>
      </c>
      <c r="D4023" t="s">
        <v>27</v>
      </c>
      <c r="E4023" s="2">
        <v>46069</v>
      </c>
      <c r="F4023" s="2">
        <v>46069</v>
      </c>
      <c r="G4023" s="3">
        <v>26</v>
      </c>
      <c r="H4023" t="s">
        <v>28</v>
      </c>
      <c r="I4023">
        <v>45</v>
      </c>
      <c r="J4023">
        <v>0</v>
      </c>
      <c r="K4023">
        <v>0</v>
      </c>
      <c r="L4023" s="3">
        <v>1</v>
      </c>
      <c r="M4023" s="3">
        <v>1</v>
      </c>
      <c r="N4023">
        <v>0</v>
      </c>
      <c r="O4023">
        <v>1</v>
      </c>
      <c r="P4023">
        <v>0</v>
      </c>
      <c r="Q4023">
        <v>45</v>
      </c>
      <c r="R4023" s="3">
        <v>0</v>
      </c>
      <c r="S4023" s="3">
        <v>0</v>
      </c>
      <c r="T4023">
        <v>0</v>
      </c>
      <c r="U4023">
        <v>0</v>
      </c>
      <c r="V4023" s="3">
        <v>0</v>
      </c>
      <c r="W4023" s="3">
        <v>0</v>
      </c>
      <c r="X4023">
        <v>0</v>
      </c>
      <c r="Y4023" t="s">
        <v>3087</v>
      </c>
    </row>
    <row r="4024" spans="1:25" hidden="1" x14ac:dyDescent="0.25">
      <c r="A4024" t="s">
        <v>51</v>
      </c>
      <c r="B4024" t="s">
        <v>120</v>
      </c>
      <c r="C4024" t="s">
        <v>35</v>
      </c>
      <c r="D4024" t="s">
        <v>27</v>
      </c>
      <c r="E4024" s="2">
        <v>46069</v>
      </c>
      <c r="F4024" s="2">
        <v>46069</v>
      </c>
      <c r="G4024" s="3">
        <v>86</v>
      </c>
      <c r="H4024" t="s">
        <v>28</v>
      </c>
      <c r="I4024">
        <v>43</v>
      </c>
      <c r="J4024">
        <v>0</v>
      </c>
      <c r="K4024">
        <v>0</v>
      </c>
      <c r="L4024" s="3">
        <v>1</v>
      </c>
      <c r="M4024" s="3">
        <v>0</v>
      </c>
      <c r="N4024">
        <v>1</v>
      </c>
      <c r="O4024">
        <v>0</v>
      </c>
      <c r="P4024">
        <v>0</v>
      </c>
      <c r="Q4024">
        <v>0</v>
      </c>
      <c r="R4024" s="3">
        <v>0</v>
      </c>
      <c r="S4024" s="3">
        <v>0</v>
      </c>
      <c r="T4024">
        <v>0</v>
      </c>
      <c r="U4024">
        <v>0</v>
      </c>
      <c r="V4024" s="3">
        <v>0</v>
      </c>
      <c r="W4024" s="3">
        <v>0</v>
      </c>
      <c r="X4024">
        <v>0</v>
      </c>
      <c r="Y4024" t="s">
        <v>3088</v>
      </c>
    </row>
    <row r="4025" spans="1:25" hidden="1" x14ac:dyDescent="0.25">
      <c r="A4025" t="s">
        <v>54</v>
      </c>
      <c r="B4025" t="s">
        <v>149</v>
      </c>
      <c r="C4025" t="s">
        <v>52</v>
      </c>
      <c r="D4025" t="s">
        <v>27</v>
      </c>
      <c r="E4025" s="2">
        <v>46069</v>
      </c>
      <c r="F4025" s="2">
        <v>46069</v>
      </c>
      <c r="G4025" s="3">
        <v>42</v>
      </c>
      <c r="H4025" t="s">
        <v>28</v>
      </c>
      <c r="I4025">
        <v>72</v>
      </c>
      <c r="J4025">
        <v>0</v>
      </c>
      <c r="K4025">
        <v>0</v>
      </c>
      <c r="L4025" s="3">
        <v>1</v>
      </c>
      <c r="M4025" s="3">
        <v>0</v>
      </c>
      <c r="N4025">
        <v>0</v>
      </c>
      <c r="O4025">
        <v>0</v>
      </c>
      <c r="P4025">
        <v>0</v>
      </c>
      <c r="Q4025">
        <v>0</v>
      </c>
      <c r="R4025" s="3">
        <v>0</v>
      </c>
      <c r="S4025" s="3">
        <v>0</v>
      </c>
      <c r="T4025">
        <v>0</v>
      </c>
      <c r="U4025">
        <v>0</v>
      </c>
      <c r="V4025" s="3">
        <v>0</v>
      </c>
      <c r="W4025" s="3">
        <v>0</v>
      </c>
      <c r="X4025">
        <v>0</v>
      </c>
      <c r="Y4025" t="s">
        <v>3089</v>
      </c>
    </row>
    <row r="4026" spans="1:25" hidden="1" x14ac:dyDescent="0.25">
      <c r="A4026" t="s">
        <v>48</v>
      </c>
      <c r="B4026" t="s">
        <v>149</v>
      </c>
      <c r="C4026" t="s">
        <v>37</v>
      </c>
      <c r="D4026" t="s">
        <v>27</v>
      </c>
      <c r="E4026" s="2">
        <v>46069</v>
      </c>
      <c r="F4026" s="2">
        <v>46069</v>
      </c>
      <c r="G4026" s="3">
        <v>42</v>
      </c>
      <c r="H4026" t="s">
        <v>28</v>
      </c>
      <c r="I4026">
        <v>72</v>
      </c>
      <c r="J4026">
        <v>0</v>
      </c>
      <c r="K4026">
        <v>0</v>
      </c>
      <c r="L4026" s="3">
        <v>1</v>
      </c>
      <c r="M4026" s="3">
        <v>0</v>
      </c>
      <c r="N4026">
        <v>0</v>
      </c>
      <c r="O4026">
        <v>0</v>
      </c>
      <c r="P4026">
        <v>0</v>
      </c>
      <c r="Q4026">
        <v>0</v>
      </c>
      <c r="R4026" s="3">
        <v>0</v>
      </c>
      <c r="S4026" s="3">
        <v>0</v>
      </c>
      <c r="T4026">
        <v>0</v>
      </c>
      <c r="U4026">
        <v>0</v>
      </c>
      <c r="V4026" s="3">
        <v>0</v>
      </c>
      <c r="W4026" s="3">
        <v>0</v>
      </c>
      <c r="X4026">
        <v>0</v>
      </c>
      <c r="Y4026" t="s">
        <v>3089</v>
      </c>
    </row>
    <row r="4027" spans="1:25" hidden="1" x14ac:dyDescent="0.25">
      <c r="A4027" t="s">
        <v>27</v>
      </c>
      <c r="B4027" t="s">
        <v>739</v>
      </c>
      <c r="C4027" t="s">
        <v>2534</v>
      </c>
      <c r="D4027" t="s">
        <v>27</v>
      </c>
      <c r="E4027" s="2">
        <v>46069</v>
      </c>
      <c r="F4027" s="2">
        <v>46069</v>
      </c>
      <c r="G4027" s="3">
        <v>43</v>
      </c>
      <c r="H4027" t="s">
        <v>1255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3089</v>
      </c>
    </row>
    <row r="4028" spans="1:25" hidden="1" x14ac:dyDescent="0.25">
      <c r="A4028" t="s">
        <v>27</v>
      </c>
      <c r="B4028" t="s">
        <v>755</v>
      </c>
      <c r="C4028" t="s">
        <v>2379</v>
      </c>
      <c r="D4028" t="s">
        <v>27</v>
      </c>
      <c r="E4028" s="2">
        <v>46069</v>
      </c>
      <c r="F4028" s="2">
        <v>46069</v>
      </c>
      <c r="G4028" s="3">
        <v>44</v>
      </c>
      <c r="H4028" t="s">
        <v>1395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3089</v>
      </c>
    </row>
    <row r="4029" spans="1:25" hidden="1" x14ac:dyDescent="0.25">
      <c r="A4029" t="s">
        <v>40</v>
      </c>
      <c r="B4029" t="s">
        <v>798</v>
      </c>
      <c r="C4029" t="s">
        <v>27</v>
      </c>
      <c r="D4029" t="s">
        <v>27</v>
      </c>
      <c r="E4029" s="2">
        <v>46069</v>
      </c>
      <c r="F4029" s="2">
        <v>46069</v>
      </c>
      <c r="G4029" s="3">
        <v>24</v>
      </c>
      <c r="H4029" t="s">
        <v>1975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3025</v>
      </c>
    </row>
    <row r="4030" spans="1:25" hidden="1" x14ac:dyDescent="0.25">
      <c r="A4030" t="s">
        <v>438</v>
      </c>
      <c r="B4030" t="s">
        <v>798</v>
      </c>
      <c r="C4030" t="s">
        <v>27</v>
      </c>
      <c r="D4030" t="s">
        <v>27</v>
      </c>
      <c r="E4030" s="2">
        <v>46069</v>
      </c>
      <c r="F4030" s="2">
        <v>46069</v>
      </c>
      <c r="G4030" s="3">
        <v>25</v>
      </c>
      <c r="H4030" t="s">
        <v>1975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 t="s">
        <v>2803</v>
      </c>
    </row>
    <row r="4031" spans="1:25" hidden="1" x14ac:dyDescent="0.25">
      <c r="A4031" t="s">
        <v>344</v>
      </c>
      <c r="B4031" t="s">
        <v>106</v>
      </c>
      <c r="C4031" t="s">
        <v>27</v>
      </c>
      <c r="D4031" t="s">
        <v>27</v>
      </c>
      <c r="E4031" s="2">
        <v>46069</v>
      </c>
      <c r="F4031" s="2">
        <v>46069</v>
      </c>
      <c r="G4031" s="3">
        <v>26</v>
      </c>
      <c r="H4031" t="s">
        <v>763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t="s">
        <v>2841</v>
      </c>
    </row>
    <row r="4032" spans="1:25" hidden="1" x14ac:dyDescent="0.25">
      <c r="A4032" t="s">
        <v>29</v>
      </c>
      <c r="B4032" t="s">
        <v>182</v>
      </c>
      <c r="C4032" t="s">
        <v>27</v>
      </c>
      <c r="D4032" t="s">
        <v>27</v>
      </c>
      <c r="E4032" s="2">
        <v>46069</v>
      </c>
      <c r="F4032" s="2">
        <v>46069</v>
      </c>
      <c r="G4032" s="3">
        <v>27</v>
      </c>
      <c r="H4032" t="s">
        <v>763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t="s">
        <v>2841</v>
      </c>
    </row>
    <row r="4033" spans="1:25" hidden="1" x14ac:dyDescent="0.25">
      <c r="A4033" t="s">
        <v>27</v>
      </c>
      <c r="B4033" t="s">
        <v>184</v>
      </c>
      <c r="C4033" t="s">
        <v>55</v>
      </c>
      <c r="D4033" t="s">
        <v>27</v>
      </c>
      <c r="E4033" s="2">
        <v>46069</v>
      </c>
      <c r="F4033" s="2">
        <v>46069</v>
      </c>
      <c r="G4033" s="3">
        <v>28</v>
      </c>
      <c r="H4033" t="s">
        <v>763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t="s">
        <v>2841</v>
      </c>
    </row>
    <row r="4034" spans="1:25" hidden="1" x14ac:dyDescent="0.25">
      <c r="A4034" t="s">
        <v>31</v>
      </c>
      <c r="B4034" t="s">
        <v>104</v>
      </c>
      <c r="C4034" t="s">
        <v>32</v>
      </c>
      <c r="D4034" t="s">
        <v>27</v>
      </c>
      <c r="E4034" s="2">
        <v>46070</v>
      </c>
      <c r="F4034" s="2">
        <v>46070</v>
      </c>
      <c r="G4034" s="3">
        <v>49</v>
      </c>
      <c r="H4034" t="s">
        <v>28</v>
      </c>
      <c r="I4034">
        <v>93</v>
      </c>
      <c r="J4034">
        <v>3</v>
      </c>
      <c r="K4034">
        <v>0</v>
      </c>
      <c r="L4034" s="3">
        <v>0</v>
      </c>
      <c r="M4034" s="3">
        <v>0</v>
      </c>
      <c r="N4034">
        <v>0</v>
      </c>
      <c r="O4034">
        <v>0</v>
      </c>
      <c r="P4034">
        <v>0</v>
      </c>
      <c r="Q4034">
        <v>34</v>
      </c>
      <c r="R4034" s="3">
        <v>0</v>
      </c>
      <c r="S4034" s="3">
        <v>0</v>
      </c>
      <c r="T4034">
        <v>0</v>
      </c>
      <c r="U4034">
        <v>0</v>
      </c>
      <c r="V4034" s="3">
        <v>0</v>
      </c>
      <c r="W4034" s="3">
        <v>0</v>
      </c>
      <c r="X4034">
        <v>1</v>
      </c>
      <c r="Y4034" t="s">
        <v>3076</v>
      </c>
    </row>
    <row r="4035" spans="1:25" hidden="1" x14ac:dyDescent="0.25">
      <c r="A4035" t="s">
        <v>33</v>
      </c>
      <c r="B4035" t="s">
        <v>106</v>
      </c>
      <c r="C4035" t="s">
        <v>26</v>
      </c>
      <c r="D4035" t="s">
        <v>27</v>
      </c>
      <c r="E4035" s="2">
        <v>46070</v>
      </c>
      <c r="F4035" s="2">
        <v>46070</v>
      </c>
      <c r="G4035" s="3">
        <v>37</v>
      </c>
      <c r="H4035" t="s">
        <v>28</v>
      </c>
      <c r="I4035">
        <v>52</v>
      </c>
      <c r="J4035">
        <v>0</v>
      </c>
      <c r="K4035">
        <v>0</v>
      </c>
      <c r="L4035" s="3">
        <v>0</v>
      </c>
      <c r="M4035" s="3">
        <v>0</v>
      </c>
      <c r="N4035">
        <v>1</v>
      </c>
      <c r="O4035">
        <v>0</v>
      </c>
      <c r="P4035">
        <v>0</v>
      </c>
      <c r="Q4035">
        <v>0</v>
      </c>
      <c r="R4035" s="3">
        <v>0</v>
      </c>
      <c r="S4035" s="3">
        <v>0</v>
      </c>
      <c r="T4035">
        <v>0</v>
      </c>
      <c r="U4035">
        <v>0</v>
      </c>
      <c r="V4035" s="3">
        <v>0</v>
      </c>
      <c r="W4035" s="3">
        <v>0</v>
      </c>
      <c r="X4035">
        <v>0</v>
      </c>
      <c r="Y4035" t="s">
        <v>3090</v>
      </c>
    </row>
    <row r="4036" spans="1:25" hidden="1" x14ac:dyDescent="0.25">
      <c r="A4036" t="s">
        <v>36</v>
      </c>
      <c r="B4036" t="s">
        <v>249</v>
      </c>
      <c r="C4036" t="s">
        <v>2534</v>
      </c>
      <c r="D4036" t="s">
        <v>27</v>
      </c>
      <c r="E4036" s="2">
        <v>46070</v>
      </c>
      <c r="F4036" s="2">
        <v>46070</v>
      </c>
      <c r="G4036" s="3">
        <v>79</v>
      </c>
      <c r="H4036" t="s">
        <v>28</v>
      </c>
      <c r="I4036">
        <v>110</v>
      </c>
      <c r="J4036">
        <v>0</v>
      </c>
      <c r="K4036">
        <v>0</v>
      </c>
      <c r="L4036" s="3">
        <v>1</v>
      </c>
      <c r="M4036" s="3">
        <v>0</v>
      </c>
      <c r="N4036">
        <v>1</v>
      </c>
      <c r="O4036">
        <v>0</v>
      </c>
      <c r="P4036">
        <v>0</v>
      </c>
      <c r="Q4036">
        <v>0</v>
      </c>
      <c r="R4036" s="3">
        <v>0</v>
      </c>
      <c r="S4036" s="3">
        <v>0</v>
      </c>
      <c r="T4036">
        <v>0</v>
      </c>
      <c r="U4036">
        <v>0</v>
      </c>
      <c r="V4036" s="3">
        <v>0</v>
      </c>
      <c r="W4036" s="3">
        <v>0</v>
      </c>
      <c r="X4036">
        <v>0</v>
      </c>
      <c r="Y4036" t="s">
        <v>3091</v>
      </c>
    </row>
    <row r="4037" spans="1:25" hidden="1" x14ac:dyDescent="0.25">
      <c r="A4037" t="s">
        <v>38</v>
      </c>
      <c r="B4037" t="s">
        <v>108</v>
      </c>
      <c r="C4037" t="s">
        <v>27</v>
      </c>
      <c r="D4037" t="s">
        <v>27</v>
      </c>
      <c r="E4037" s="2">
        <v>46070</v>
      </c>
      <c r="F4037" s="2">
        <v>46070</v>
      </c>
      <c r="G4037" s="3">
        <v>45</v>
      </c>
      <c r="H4037" t="s">
        <v>28</v>
      </c>
      <c r="I4037">
        <v>36</v>
      </c>
      <c r="J4037">
        <v>0</v>
      </c>
      <c r="K4037">
        <v>0</v>
      </c>
      <c r="L4037" s="3">
        <v>1</v>
      </c>
      <c r="M4037" s="3">
        <v>0</v>
      </c>
      <c r="N4037">
        <v>0</v>
      </c>
      <c r="O4037">
        <v>0</v>
      </c>
      <c r="P4037">
        <v>0</v>
      </c>
      <c r="Q4037">
        <v>36</v>
      </c>
      <c r="R4037" s="3">
        <v>0</v>
      </c>
      <c r="S4037" s="3">
        <v>0</v>
      </c>
      <c r="T4037">
        <v>0</v>
      </c>
      <c r="U4037">
        <v>0</v>
      </c>
      <c r="V4037" s="3">
        <v>0</v>
      </c>
      <c r="W4037" s="3">
        <v>0</v>
      </c>
      <c r="X4037">
        <v>0</v>
      </c>
      <c r="Y4037" t="s">
        <v>3092</v>
      </c>
    </row>
    <row r="4038" spans="1:25" hidden="1" x14ac:dyDescent="0.25">
      <c r="A4038" t="s">
        <v>2679</v>
      </c>
      <c r="B4038" t="s">
        <v>2680</v>
      </c>
      <c r="C4038" t="s">
        <v>39</v>
      </c>
      <c r="D4038" t="s">
        <v>27</v>
      </c>
      <c r="E4038" s="2">
        <v>46070</v>
      </c>
      <c r="F4038" s="2">
        <v>46070</v>
      </c>
      <c r="G4038" s="3">
        <v>51</v>
      </c>
      <c r="H4038" t="s">
        <v>28</v>
      </c>
      <c r="I4038">
        <v>38</v>
      </c>
      <c r="J4038">
        <v>0</v>
      </c>
      <c r="K4038">
        <v>0</v>
      </c>
      <c r="L4038" s="3">
        <v>1</v>
      </c>
      <c r="M4038" s="3">
        <v>0</v>
      </c>
      <c r="N4038">
        <v>0</v>
      </c>
      <c r="O4038">
        <v>0</v>
      </c>
      <c r="P4038">
        <v>0</v>
      </c>
      <c r="Q4038">
        <v>38</v>
      </c>
      <c r="R4038" s="3">
        <v>0</v>
      </c>
      <c r="S4038" s="3">
        <v>0</v>
      </c>
      <c r="T4038">
        <v>0</v>
      </c>
      <c r="U4038">
        <v>0</v>
      </c>
      <c r="V4038" s="3">
        <v>0</v>
      </c>
      <c r="W4038" s="3">
        <v>0</v>
      </c>
      <c r="X4038">
        <v>0</v>
      </c>
      <c r="Y4038" t="s">
        <v>3093</v>
      </c>
    </row>
    <row r="4039" spans="1:25" hidden="1" x14ac:dyDescent="0.25">
      <c r="A4039" t="s">
        <v>1316</v>
      </c>
      <c r="B4039" t="s">
        <v>1348</v>
      </c>
      <c r="C4039" t="s">
        <v>2514</v>
      </c>
      <c r="D4039" t="s">
        <v>27</v>
      </c>
      <c r="E4039" s="2">
        <v>46070</v>
      </c>
      <c r="F4039" s="2">
        <v>46070</v>
      </c>
      <c r="G4039" s="3">
        <v>45</v>
      </c>
      <c r="H4039" t="s">
        <v>28</v>
      </c>
      <c r="I4039">
        <v>20</v>
      </c>
      <c r="J4039">
        <v>0</v>
      </c>
      <c r="K4039">
        <v>0</v>
      </c>
      <c r="L4039" s="3">
        <v>1</v>
      </c>
      <c r="M4039" s="3">
        <v>0</v>
      </c>
      <c r="N4039">
        <v>0</v>
      </c>
      <c r="O4039">
        <v>0</v>
      </c>
      <c r="P4039">
        <v>0</v>
      </c>
      <c r="Q4039">
        <v>0</v>
      </c>
      <c r="R4039" s="3">
        <v>0</v>
      </c>
      <c r="S4039" s="3">
        <v>0</v>
      </c>
      <c r="T4039">
        <v>0</v>
      </c>
      <c r="U4039">
        <v>0</v>
      </c>
      <c r="V4039" s="3">
        <v>0</v>
      </c>
      <c r="W4039" s="3">
        <v>0</v>
      </c>
      <c r="X4039">
        <v>0</v>
      </c>
      <c r="Y4039" t="s">
        <v>3094</v>
      </c>
    </row>
    <row r="4040" spans="1:25" hidden="1" x14ac:dyDescent="0.25">
      <c r="A4040" t="s">
        <v>41</v>
      </c>
      <c r="B4040" t="s">
        <v>112</v>
      </c>
      <c r="C4040" t="s">
        <v>42</v>
      </c>
      <c r="D4040" t="s">
        <v>27</v>
      </c>
      <c r="E4040" s="2">
        <v>46070</v>
      </c>
      <c r="F4040" s="2">
        <v>46070</v>
      </c>
      <c r="G4040" s="3">
        <v>55</v>
      </c>
      <c r="H4040" t="s">
        <v>28</v>
      </c>
      <c r="I4040">
        <v>48</v>
      </c>
      <c r="J4040">
        <v>0</v>
      </c>
      <c r="K4040">
        <v>0</v>
      </c>
      <c r="L4040" s="3">
        <v>1</v>
      </c>
      <c r="M4040" s="3">
        <v>0</v>
      </c>
      <c r="N4040">
        <v>0</v>
      </c>
      <c r="O4040">
        <v>0</v>
      </c>
      <c r="P4040">
        <v>0</v>
      </c>
      <c r="Q4040">
        <v>4</v>
      </c>
      <c r="R4040" s="3">
        <v>0</v>
      </c>
      <c r="S4040" s="3">
        <v>0</v>
      </c>
      <c r="T4040">
        <v>0</v>
      </c>
      <c r="U4040">
        <v>0</v>
      </c>
      <c r="V4040" s="3">
        <v>0</v>
      </c>
      <c r="W4040" s="3">
        <v>0</v>
      </c>
      <c r="X4040">
        <v>2</v>
      </c>
      <c r="Y4040" t="s">
        <v>3095</v>
      </c>
    </row>
    <row r="4041" spans="1:25" hidden="1" x14ac:dyDescent="0.25">
      <c r="A4041" t="s">
        <v>43</v>
      </c>
      <c r="B4041" t="s">
        <v>114</v>
      </c>
      <c r="C4041" t="s">
        <v>44</v>
      </c>
      <c r="D4041" t="s">
        <v>27</v>
      </c>
      <c r="E4041" s="2">
        <v>46070</v>
      </c>
      <c r="F4041" s="2">
        <v>46070</v>
      </c>
      <c r="G4041" s="3">
        <v>31</v>
      </c>
      <c r="H4041" t="s">
        <v>28</v>
      </c>
      <c r="I4041">
        <v>72</v>
      </c>
      <c r="J4041">
        <v>0</v>
      </c>
      <c r="K4041">
        <v>0</v>
      </c>
      <c r="L4041" s="3">
        <v>1</v>
      </c>
      <c r="M4041" s="3">
        <v>0</v>
      </c>
      <c r="N4041">
        <v>0</v>
      </c>
      <c r="O4041">
        <v>0</v>
      </c>
      <c r="P4041">
        <v>0</v>
      </c>
      <c r="Q4041">
        <v>4</v>
      </c>
      <c r="R4041" s="3">
        <v>0</v>
      </c>
      <c r="S4041" s="3">
        <v>0</v>
      </c>
      <c r="T4041">
        <v>0</v>
      </c>
      <c r="U4041">
        <v>0</v>
      </c>
      <c r="V4041" s="3">
        <v>0</v>
      </c>
      <c r="W4041" s="3">
        <v>0</v>
      </c>
      <c r="X4041">
        <v>0</v>
      </c>
      <c r="Y4041" t="s">
        <v>3096</v>
      </c>
    </row>
    <row r="4042" spans="1:25" hidden="1" x14ac:dyDescent="0.25">
      <c r="A4042" t="s">
        <v>47</v>
      </c>
      <c r="B4042" t="s">
        <v>137</v>
      </c>
      <c r="C4042" t="s">
        <v>2310</v>
      </c>
      <c r="D4042" t="s">
        <v>27</v>
      </c>
      <c r="E4042" s="2">
        <v>46070</v>
      </c>
      <c r="F4042" s="2">
        <v>46070</v>
      </c>
      <c r="G4042" s="3">
        <v>173</v>
      </c>
      <c r="H4042" t="s">
        <v>28</v>
      </c>
      <c r="I4042">
        <v>48</v>
      </c>
      <c r="J4042">
        <v>0</v>
      </c>
      <c r="K4042">
        <v>0</v>
      </c>
      <c r="L4042" s="3">
        <v>1</v>
      </c>
      <c r="M4042" s="3">
        <v>0</v>
      </c>
      <c r="N4042">
        <v>0</v>
      </c>
      <c r="O4042">
        <v>0</v>
      </c>
      <c r="P4042">
        <v>0</v>
      </c>
      <c r="Q4042">
        <v>4</v>
      </c>
      <c r="R4042" s="3">
        <v>0</v>
      </c>
      <c r="S4042" s="3">
        <v>0</v>
      </c>
      <c r="T4042">
        <v>0</v>
      </c>
      <c r="U4042">
        <v>0</v>
      </c>
      <c r="V4042" s="3">
        <v>0</v>
      </c>
      <c r="W4042" s="3">
        <v>0</v>
      </c>
      <c r="X4042">
        <v>0</v>
      </c>
      <c r="Y4042" t="s">
        <v>3097</v>
      </c>
    </row>
    <row r="4043" spans="1:25" hidden="1" x14ac:dyDescent="0.25">
      <c r="A4043" t="s">
        <v>45</v>
      </c>
      <c r="B4043" t="s">
        <v>137</v>
      </c>
      <c r="C4043" t="s">
        <v>46</v>
      </c>
      <c r="D4043" t="s">
        <v>27</v>
      </c>
      <c r="E4043" s="2">
        <v>46070</v>
      </c>
      <c r="F4043" s="2">
        <v>46070</v>
      </c>
      <c r="G4043" s="3">
        <v>173</v>
      </c>
      <c r="H4043" t="s">
        <v>28</v>
      </c>
      <c r="I4043">
        <v>48</v>
      </c>
      <c r="J4043">
        <v>0</v>
      </c>
      <c r="K4043">
        <v>0</v>
      </c>
      <c r="L4043" s="3">
        <v>1</v>
      </c>
      <c r="M4043" s="3">
        <v>0</v>
      </c>
      <c r="N4043">
        <v>0</v>
      </c>
      <c r="O4043">
        <v>0</v>
      </c>
      <c r="P4043">
        <v>0</v>
      </c>
      <c r="Q4043">
        <v>4</v>
      </c>
      <c r="R4043" s="3">
        <v>0</v>
      </c>
      <c r="S4043" s="3">
        <v>0</v>
      </c>
      <c r="T4043">
        <v>0</v>
      </c>
      <c r="U4043">
        <v>0</v>
      </c>
      <c r="V4043" s="3">
        <v>0</v>
      </c>
      <c r="W4043" s="3">
        <v>0</v>
      </c>
      <c r="X4043">
        <v>0</v>
      </c>
      <c r="Y4043" t="s">
        <v>3097</v>
      </c>
    </row>
    <row r="4044" spans="1:25" hidden="1" x14ac:dyDescent="0.25">
      <c r="A4044" t="s">
        <v>49</v>
      </c>
      <c r="B4044" t="s">
        <v>118</v>
      </c>
      <c r="C4044" t="s">
        <v>50</v>
      </c>
      <c r="D4044" t="s">
        <v>27</v>
      </c>
      <c r="E4044" s="2">
        <v>46070</v>
      </c>
      <c r="F4044" s="2">
        <v>46070</v>
      </c>
      <c r="G4044" s="3">
        <v>26</v>
      </c>
      <c r="H4044" t="s">
        <v>28</v>
      </c>
      <c r="I4044">
        <v>68</v>
      </c>
      <c r="J4044">
        <v>0</v>
      </c>
      <c r="K4044">
        <v>0</v>
      </c>
      <c r="L4044" s="3">
        <v>1</v>
      </c>
      <c r="M4044" s="3">
        <v>1</v>
      </c>
      <c r="N4044">
        <v>0</v>
      </c>
      <c r="O4044">
        <v>1</v>
      </c>
      <c r="P4044">
        <v>0</v>
      </c>
      <c r="Q4044">
        <v>68</v>
      </c>
      <c r="R4044" s="3">
        <v>0</v>
      </c>
      <c r="S4044" s="3">
        <v>0</v>
      </c>
      <c r="T4044">
        <v>0</v>
      </c>
      <c r="U4044">
        <v>0</v>
      </c>
      <c r="V4044" s="3">
        <v>0</v>
      </c>
      <c r="W4044" s="3">
        <v>0</v>
      </c>
      <c r="X4044">
        <v>0</v>
      </c>
      <c r="Y4044" t="s">
        <v>3098</v>
      </c>
    </row>
    <row r="4045" spans="1:25" hidden="1" x14ac:dyDescent="0.25">
      <c r="A4045" t="s">
        <v>51</v>
      </c>
      <c r="B4045" t="s">
        <v>120</v>
      </c>
      <c r="C4045" t="s">
        <v>35</v>
      </c>
      <c r="D4045" t="s">
        <v>95</v>
      </c>
      <c r="E4045" s="2">
        <v>46070</v>
      </c>
      <c r="F4045" s="2">
        <v>46070</v>
      </c>
      <c r="G4045" s="3">
        <v>56</v>
      </c>
      <c r="H4045" t="s">
        <v>28</v>
      </c>
      <c r="I4045">
        <v>66</v>
      </c>
      <c r="J4045">
        <v>0</v>
      </c>
      <c r="K4045">
        <v>0</v>
      </c>
      <c r="L4045" s="3">
        <v>1</v>
      </c>
      <c r="M4045" s="3">
        <v>0</v>
      </c>
      <c r="N4045">
        <v>0</v>
      </c>
      <c r="O4045">
        <v>0</v>
      </c>
      <c r="P4045">
        <v>0</v>
      </c>
      <c r="Q4045">
        <v>0</v>
      </c>
      <c r="R4045" s="3">
        <v>0</v>
      </c>
      <c r="S4045" s="3">
        <v>0</v>
      </c>
      <c r="T4045">
        <v>0</v>
      </c>
      <c r="U4045">
        <v>0</v>
      </c>
      <c r="V4045" s="3">
        <v>0</v>
      </c>
      <c r="W4045" s="3">
        <v>0</v>
      </c>
      <c r="X4045">
        <v>0</v>
      </c>
      <c r="Y4045" t="s">
        <v>3099</v>
      </c>
    </row>
    <row r="4046" spans="1:25" hidden="1" x14ac:dyDescent="0.25">
      <c r="A4046" t="s">
        <v>54</v>
      </c>
      <c r="B4046" t="s">
        <v>122</v>
      </c>
      <c r="C4046" t="s">
        <v>52</v>
      </c>
      <c r="D4046" t="s">
        <v>27</v>
      </c>
      <c r="E4046" s="2">
        <v>46070</v>
      </c>
      <c r="F4046" s="2">
        <v>46070</v>
      </c>
      <c r="G4046" s="3">
        <v>34</v>
      </c>
      <c r="H4046" t="s">
        <v>28</v>
      </c>
      <c r="I4046">
        <v>53</v>
      </c>
      <c r="J4046">
        <v>0</v>
      </c>
      <c r="K4046">
        <v>0</v>
      </c>
      <c r="L4046" s="3">
        <v>0</v>
      </c>
      <c r="M4046" s="3">
        <v>0</v>
      </c>
      <c r="N4046">
        <v>0</v>
      </c>
      <c r="O4046">
        <v>0</v>
      </c>
      <c r="P4046">
        <v>0</v>
      </c>
      <c r="Q4046">
        <v>2</v>
      </c>
      <c r="R4046" s="3">
        <v>0</v>
      </c>
      <c r="S4046" s="3">
        <v>0</v>
      </c>
      <c r="T4046">
        <v>0</v>
      </c>
      <c r="U4046">
        <v>0</v>
      </c>
      <c r="V4046" s="3">
        <v>0</v>
      </c>
      <c r="W4046" s="3">
        <v>0</v>
      </c>
      <c r="X4046">
        <v>0</v>
      </c>
      <c r="Y4046" t="s">
        <v>3100</v>
      </c>
    </row>
    <row r="4047" spans="1:25" hidden="1" x14ac:dyDescent="0.25">
      <c r="A4047" t="s">
        <v>48</v>
      </c>
      <c r="B4047" t="s">
        <v>149</v>
      </c>
      <c r="C4047" t="s">
        <v>37</v>
      </c>
      <c r="D4047" t="s">
        <v>27</v>
      </c>
      <c r="E4047" s="2">
        <v>46070</v>
      </c>
      <c r="F4047" s="2">
        <v>46070</v>
      </c>
      <c r="G4047" s="3">
        <v>50</v>
      </c>
      <c r="H4047" t="s">
        <v>28</v>
      </c>
      <c r="I4047">
        <v>21</v>
      </c>
      <c r="J4047">
        <v>0</v>
      </c>
      <c r="K4047">
        <v>0</v>
      </c>
      <c r="L4047" s="3">
        <v>0</v>
      </c>
      <c r="M4047" s="3">
        <v>0</v>
      </c>
      <c r="N4047">
        <v>0</v>
      </c>
      <c r="O4047">
        <v>0</v>
      </c>
      <c r="P4047">
        <v>0</v>
      </c>
      <c r="Q4047">
        <v>0</v>
      </c>
      <c r="R4047" s="3">
        <v>0</v>
      </c>
      <c r="S4047" s="3">
        <v>0</v>
      </c>
      <c r="T4047">
        <v>0</v>
      </c>
      <c r="U4047">
        <v>0</v>
      </c>
      <c r="V4047" s="3">
        <v>0</v>
      </c>
      <c r="W4047" s="3">
        <v>0</v>
      </c>
      <c r="X4047">
        <v>0</v>
      </c>
      <c r="Y4047" t="s">
        <v>3101</v>
      </c>
    </row>
    <row r="4048" spans="1:25" hidden="1" x14ac:dyDescent="0.25">
      <c r="A4048" t="s">
        <v>27</v>
      </c>
      <c r="B4048" t="s">
        <v>739</v>
      </c>
      <c r="C4048" t="s">
        <v>95</v>
      </c>
      <c r="D4048" t="s">
        <v>27</v>
      </c>
      <c r="E4048" s="2">
        <v>46070</v>
      </c>
      <c r="F4048" s="2">
        <v>46070</v>
      </c>
      <c r="G4048" s="3">
        <v>51</v>
      </c>
      <c r="H4048" t="s">
        <v>1448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 t="s">
        <v>3101</v>
      </c>
    </row>
    <row r="4049" spans="1:25" hidden="1" x14ac:dyDescent="0.25">
      <c r="A4049" t="s">
        <v>27</v>
      </c>
      <c r="B4049" t="s">
        <v>739</v>
      </c>
      <c r="C4049" t="s">
        <v>2271</v>
      </c>
      <c r="D4049" t="s">
        <v>27</v>
      </c>
      <c r="E4049" s="2">
        <v>46070</v>
      </c>
      <c r="F4049" s="2">
        <v>46070</v>
      </c>
      <c r="G4049" s="3">
        <v>51</v>
      </c>
      <c r="H4049" t="s">
        <v>1448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t="s">
        <v>3101</v>
      </c>
    </row>
    <row r="4050" spans="1:25" hidden="1" x14ac:dyDescent="0.25">
      <c r="A4050" t="s">
        <v>27</v>
      </c>
      <c r="B4050" t="s">
        <v>755</v>
      </c>
      <c r="C4050" t="s">
        <v>2835</v>
      </c>
      <c r="D4050" t="s">
        <v>27</v>
      </c>
      <c r="E4050" s="2">
        <v>46070</v>
      </c>
      <c r="F4050" s="2">
        <v>46070</v>
      </c>
      <c r="G4050" s="3">
        <v>52</v>
      </c>
      <c r="H4050" t="s">
        <v>2143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 t="s">
        <v>3101</v>
      </c>
    </row>
    <row r="4051" spans="1:25" hidden="1" x14ac:dyDescent="0.25">
      <c r="A4051" t="s">
        <v>25</v>
      </c>
      <c r="B4051" t="s">
        <v>96</v>
      </c>
      <c r="C4051" t="s">
        <v>27</v>
      </c>
      <c r="D4051" t="s">
        <v>27</v>
      </c>
      <c r="E4051" s="2">
        <v>46070</v>
      </c>
      <c r="F4051" s="2">
        <v>46070</v>
      </c>
      <c r="G4051" s="3">
        <v>41</v>
      </c>
      <c r="H4051" t="s">
        <v>763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3101</v>
      </c>
    </row>
    <row r="4052" spans="1:25" hidden="1" x14ac:dyDescent="0.25">
      <c r="A4052" t="s">
        <v>27</v>
      </c>
      <c r="B4052" t="s">
        <v>3102</v>
      </c>
      <c r="C4052" t="s">
        <v>2379</v>
      </c>
      <c r="D4052" t="s">
        <v>27</v>
      </c>
      <c r="E4052" s="2">
        <v>46070</v>
      </c>
      <c r="F4052" s="2">
        <v>46070</v>
      </c>
      <c r="G4052" s="3">
        <v>42</v>
      </c>
      <c r="H4052" t="s">
        <v>1395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 t="s">
        <v>3101</v>
      </c>
    </row>
    <row r="4053" spans="1:25" hidden="1" x14ac:dyDescent="0.25">
      <c r="A4053" t="s">
        <v>40</v>
      </c>
      <c r="B4053" t="s">
        <v>798</v>
      </c>
      <c r="C4053" t="s">
        <v>27</v>
      </c>
      <c r="D4053" t="s">
        <v>27</v>
      </c>
      <c r="E4053" s="2">
        <v>46070</v>
      </c>
      <c r="F4053" s="2">
        <v>46070</v>
      </c>
      <c r="G4053" s="3">
        <v>24</v>
      </c>
      <c r="H4053" t="s">
        <v>1975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t="s">
        <v>3025</v>
      </c>
    </row>
    <row r="4054" spans="1:25" hidden="1" x14ac:dyDescent="0.25">
      <c r="A4054" t="s">
        <v>438</v>
      </c>
      <c r="B4054" t="s">
        <v>798</v>
      </c>
      <c r="C4054" t="s">
        <v>27</v>
      </c>
      <c r="D4054" t="s">
        <v>27</v>
      </c>
      <c r="E4054" s="2">
        <v>46070</v>
      </c>
      <c r="F4054" s="2">
        <v>46070</v>
      </c>
      <c r="G4054" s="3">
        <v>25</v>
      </c>
      <c r="H4054" t="s">
        <v>1975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2803</v>
      </c>
    </row>
    <row r="4055" spans="1:25" hidden="1" x14ac:dyDescent="0.25">
      <c r="A4055" t="s">
        <v>344</v>
      </c>
      <c r="B4055" t="s">
        <v>106</v>
      </c>
      <c r="C4055" t="s">
        <v>27</v>
      </c>
      <c r="D4055" t="s">
        <v>27</v>
      </c>
      <c r="E4055" s="2">
        <v>46070</v>
      </c>
      <c r="F4055" s="2">
        <v>46070</v>
      </c>
      <c r="G4055" s="3">
        <v>26</v>
      </c>
      <c r="H4055" t="s">
        <v>763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t="s">
        <v>2841</v>
      </c>
    </row>
    <row r="4056" spans="1:25" hidden="1" x14ac:dyDescent="0.25">
      <c r="A4056" t="s">
        <v>29</v>
      </c>
      <c r="B4056" t="s">
        <v>182</v>
      </c>
      <c r="C4056" t="s">
        <v>27</v>
      </c>
      <c r="D4056" t="s">
        <v>27</v>
      </c>
      <c r="E4056" s="2">
        <v>46070</v>
      </c>
      <c r="F4056" s="2">
        <v>46070</v>
      </c>
      <c r="G4056" s="3">
        <v>27</v>
      </c>
      <c r="H4056" t="s">
        <v>763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 t="s">
        <v>2841</v>
      </c>
    </row>
    <row r="4057" spans="1:25" hidden="1" x14ac:dyDescent="0.25">
      <c r="A4057" t="s">
        <v>27</v>
      </c>
      <c r="B4057" t="s">
        <v>184</v>
      </c>
      <c r="C4057" t="s">
        <v>55</v>
      </c>
      <c r="D4057" t="s">
        <v>27</v>
      </c>
      <c r="E4057" s="2">
        <v>46070</v>
      </c>
      <c r="F4057" s="2">
        <v>46070</v>
      </c>
      <c r="G4057" s="3">
        <v>28</v>
      </c>
      <c r="H4057" t="s">
        <v>763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 t="s">
        <v>2841</v>
      </c>
    </row>
    <row r="4058" spans="1:25" hidden="1" x14ac:dyDescent="0.25">
      <c r="A4058" t="s">
        <v>25</v>
      </c>
      <c r="B4058" t="s">
        <v>96</v>
      </c>
      <c r="C4058" t="s">
        <v>26</v>
      </c>
      <c r="D4058" t="s">
        <v>27</v>
      </c>
      <c r="E4058" s="2">
        <v>46071</v>
      </c>
      <c r="F4058" s="2">
        <v>46071</v>
      </c>
      <c r="G4058" s="3">
        <v>61</v>
      </c>
      <c r="H4058" s="4" t="s">
        <v>28</v>
      </c>
      <c r="I4058">
        <v>60</v>
      </c>
      <c r="J4058">
        <v>0</v>
      </c>
      <c r="K4058">
        <v>0</v>
      </c>
      <c r="L4058" s="3">
        <v>1</v>
      </c>
      <c r="M4058" s="3">
        <v>0</v>
      </c>
      <c r="N4058">
        <v>1</v>
      </c>
      <c r="O4058">
        <v>0</v>
      </c>
      <c r="P4058">
        <v>0</v>
      </c>
      <c r="Q4058">
        <v>0</v>
      </c>
      <c r="R4058" s="3">
        <v>0</v>
      </c>
      <c r="S4058" s="3">
        <v>0</v>
      </c>
      <c r="T4058">
        <v>0</v>
      </c>
      <c r="U4058">
        <v>0</v>
      </c>
      <c r="V4058" s="3">
        <v>0</v>
      </c>
      <c r="W4058" s="3">
        <v>0</v>
      </c>
      <c r="X4058">
        <v>0</v>
      </c>
      <c r="Y4058" t="s">
        <v>3103</v>
      </c>
    </row>
    <row r="4059" spans="1:25" hidden="1" x14ac:dyDescent="0.25">
      <c r="A4059" t="s">
        <v>31</v>
      </c>
      <c r="B4059" t="s">
        <v>104</v>
      </c>
      <c r="C4059" t="s">
        <v>32</v>
      </c>
      <c r="D4059" t="s">
        <v>27</v>
      </c>
      <c r="E4059" s="2">
        <v>46071</v>
      </c>
      <c r="F4059" s="2">
        <v>46071</v>
      </c>
      <c r="G4059" s="3">
        <v>64</v>
      </c>
      <c r="H4059" s="4" t="s">
        <v>28</v>
      </c>
      <c r="I4059">
        <v>82</v>
      </c>
      <c r="J4059">
        <v>0</v>
      </c>
      <c r="K4059">
        <v>0</v>
      </c>
      <c r="L4059" s="3">
        <v>1</v>
      </c>
      <c r="M4059" s="3">
        <v>0</v>
      </c>
      <c r="N4059">
        <v>0</v>
      </c>
      <c r="O4059">
        <v>0</v>
      </c>
      <c r="P4059">
        <v>0</v>
      </c>
      <c r="Q4059">
        <v>30</v>
      </c>
      <c r="R4059" s="3">
        <v>0</v>
      </c>
      <c r="S4059" s="3">
        <v>0</v>
      </c>
      <c r="T4059">
        <v>0</v>
      </c>
      <c r="U4059">
        <v>0</v>
      </c>
      <c r="V4059" s="3">
        <v>0</v>
      </c>
      <c r="W4059" s="3">
        <v>0</v>
      </c>
      <c r="X4059">
        <v>0</v>
      </c>
      <c r="Y4059" t="s">
        <v>3104</v>
      </c>
    </row>
    <row r="4060" spans="1:25" hidden="1" x14ac:dyDescent="0.25">
      <c r="A4060" t="s">
        <v>33</v>
      </c>
      <c r="B4060" t="s">
        <v>106</v>
      </c>
      <c r="C4060" t="s">
        <v>2835</v>
      </c>
      <c r="D4060" t="s">
        <v>27</v>
      </c>
      <c r="E4060" s="2">
        <v>46071</v>
      </c>
      <c r="F4060" s="2">
        <v>46071</v>
      </c>
      <c r="G4060" s="3">
        <v>25</v>
      </c>
      <c r="H4060" s="4" t="s">
        <v>28</v>
      </c>
      <c r="I4060">
        <v>49</v>
      </c>
      <c r="J4060">
        <v>0</v>
      </c>
      <c r="K4060">
        <v>0</v>
      </c>
      <c r="L4060" s="3">
        <v>0</v>
      </c>
      <c r="M4060" s="3">
        <v>0</v>
      </c>
      <c r="N4060">
        <v>0</v>
      </c>
      <c r="O4060">
        <v>0</v>
      </c>
      <c r="P4060">
        <v>0</v>
      </c>
      <c r="Q4060">
        <v>21</v>
      </c>
      <c r="R4060" s="3">
        <v>0</v>
      </c>
      <c r="S4060" s="3">
        <v>0</v>
      </c>
      <c r="T4060">
        <v>0</v>
      </c>
      <c r="U4060">
        <v>0</v>
      </c>
      <c r="V4060" s="3">
        <v>0</v>
      </c>
      <c r="W4060" s="3">
        <v>0</v>
      </c>
      <c r="X4060">
        <v>0</v>
      </c>
      <c r="Y4060" t="s">
        <v>3105</v>
      </c>
    </row>
    <row r="4061" spans="1:25" hidden="1" x14ac:dyDescent="0.25">
      <c r="A4061" t="s">
        <v>2899</v>
      </c>
      <c r="B4061" t="s">
        <v>2998</v>
      </c>
      <c r="C4061" t="s">
        <v>95</v>
      </c>
      <c r="D4061" t="s">
        <v>35</v>
      </c>
      <c r="E4061" s="2">
        <v>46071</v>
      </c>
      <c r="F4061" s="2">
        <v>46071</v>
      </c>
      <c r="G4061" s="3">
        <v>30</v>
      </c>
      <c r="H4061" s="4" t="s">
        <v>28</v>
      </c>
      <c r="I4061">
        <v>58</v>
      </c>
      <c r="J4061">
        <v>0</v>
      </c>
      <c r="K4061">
        <v>0</v>
      </c>
      <c r="L4061" s="3">
        <v>1</v>
      </c>
      <c r="M4061" s="3">
        <v>0</v>
      </c>
      <c r="N4061">
        <v>0</v>
      </c>
      <c r="O4061">
        <v>0</v>
      </c>
      <c r="P4061">
        <v>12</v>
      </c>
      <c r="Q4061">
        <v>14</v>
      </c>
      <c r="R4061" s="3">
        <v>0</v>
      </c>
      <c r="S4061" s="3">
        <v>0</v>
      </c>
      <c r="T4061">
        <v>0</v>
      </c>
      <c r="U4061">
        <v>0</v>
      </c>
      <c r="V4061" s="3">
        <v>0</v>
      </c>
      <c r="W4061" s="3">
        <v>0</v>
      </c>
      <c r="X4061">
        <v>0</v>
      </c>
      <c r="Y4061" t="s">
        <v>3106</v>
      </c>
    </row>
    <row r="4062" spans="1:25" hidden="1" x14ac:dyDescent="0.25">
      <c r="A4062" t="s">
        <v>36</v>
      </c>
      <c r="B4062" t="s">
        <v>249</v>
      </c>
      <c r="C4062" t="s">
        <v>2534</v>
      </c>
      <c r="D4062" t="s">
        <v>27</v>
      </c>
      <c r="E4062" s="2">
        <v>46071</v>
      </c>
      <c r="F4062" s="2">
        <v>46071</v>
      </c>
      <c r="G4062" s="3">
        <v>71</v>
      </c>
      <c r="H4062" s="4" t="s">
        <v>28</v>
      </c>
      <c r="I4062">
        <v>83</v>
      </c>
      <c r="J4062">
        <v>0</v>
      </c>
      <c r="K4062">
        <v>0</v>
      </c>
      <c r="L4062" s="3">
        <v>1</v>
      </c>
      <c r="M4062" s="3">
        <v>0</v>
      </c>
      <c r="N4062">
        <v>1</v>
      </c>
      <c r="O4062">
        <v>0</v>
      </c>
      <c r="P4062">
        <v>0</v>
      </c>
      <c r="Q4062">
        <v>0</v>
      </c>
      <c r="R4062" s="3">
        <v>0</v>
      </c>
      <c r="S4062" s="3">
        <v>0</v>
      </c>
      <c r="T4062">
        <v>0</v>
      </c>
      <c r="U4062">
        <v>0</v>
      </c>
      <c r="V4062" s="3">
        <v>0</v>
      </c>
      <c r="W4062" s="3">
        <v>0</v>
      </c>
      <c r="X4062">
        <v>0</v>
      </c>
      <c r="Y4062" t="s">
        <v>3107</v>
      </c>
    </row>
    <row r="4063" spans="1:25" hidden="1" x14ac:dyDescent="0.25">
      <c r="A4063" t="s">
        <v>38</v>
      </c>
      <c r="B4063" t="s">
        <v>108</v>
      </c>
      <c r="C4063" t="s">
        <v>27</v>
      </c>
      <c r="D4063" t="s">
        <v>27</v>
      </c>
      <c r="E4063" s="2">
        <v>46071</v>
      </c>
      <c r="F4063" s="2">
        <v>46071</v>
      </c>
      <c r="G4063" s="3">
        <v>32</v>
      </c>
      <c r="H4063" s="4" t="s">
        <v>28</v>
      </c>
      <c r="I4063">
        <v>47</v>
      </c>
      <c r="J4063">
        <v>0</v>
      </c>
      <c r="K4063">
        <v>0</v>
      </c>
      <c r="L4063" s="3">
        <v>1</v>
      </c>
      <c r="M4063" s="3">
        <v>0</v>
      </c>
      <c r="N4063">
        <v>0</v>
      </c>
      <c r="O4063">
        <v>0</v>
      </c>
      <c r="P4063">
        <v>0</v>
      </c>
      <c r="Q4063">
        <v>47</v>
      </c>
      <c r="R4063" s="3">
        <v>0</v>
      </c>
      <c r="S4063" s="3">
        <v>0</v>
      </c>
      <c r="T4063">
        <v>0</v>
      </c>
      <c r="U4063">
        <v>0</v>
      </c>
      <c r="V4063" s="3">
        <v>0</v>
      </c>
      <c r="W4063" s="3">
        <v>0</v>
      </c>
      <c r="X4063">
        <v>0</v>
      </c>
      <c r="Y4063" t="s">
        <v>3108</v>
      </c>
    </row>
    <row r="4064" spans="1:25" hidden="1" x14ac:dyDescent="0.25">
      <c r="A4064" t="s">
        <v>2679</v>
      </c>
      <c r="B4064" t="s">
        <v>2680</v>
      </c>
      <c r="C4064" t="s">
        <v>39</v>
      </c>
      <c r="D4064" t="s">
        <v>27</v>
      </c>
      <c r="E4064" s="2">
        <v>46071</v>
      </c>
      <c r="F4064" s="2">
        <v>46071</v>
      </c>
      <c r="G4064" s="3">
        <v>94</v>
      </c>
      <c r="H4064" s="4" t="s">
        <v>28</v>
      </c>
      <c r="I4064">
        <v>64</v>
      </c>
      <c r="J4064">
        <v>0</v>
      </c>
      <c r="K4064">
        <v>0</v>
      </c>
      <c r="L4064" s="3">
        <v>1</v>
      </c>
      <c r="M4064" s="3">
        <v>0</v>
      </c>
      <c r="N4064">
        <v>0</v>
      </c>
      <c r="O4064">
        <v>0</v>
      </c>
      <c r="P4064">
        <v>64</v>
      </c>
      <c r="Q4064">
        <v>64</v>
      </c>
      <c r="R4064" s="3">
        <v>0</v>
      </c>
      <c r="S4064" s="3">
        <v>0</v>
      </c>
      <c r="T4064">
        <v>0</v>
      </c>
      <c r="U4064">
        <v>0</v>
      </c>
      <c r="V4064" s="3">
        <v>0</v>
      </c>
      <c r="W4064" s="3">
        <v>0</v>
      </c>
      <c r="X4064">
        <v>1</v>
      </c>
      <c r="Y4064" t="s">
        <v>3109</v>
      </c>
    </row>
    <row r="4065" spans="1:25" hidden="1" x14ac:dyDescent="0.25">
      <c r="A4065" t="s">
        <v>1316</v>
      </c>
      <c r="B4065" t="s">
        <v>1348</v>
      </c>
      <c r="C4065" t="s">
        <v>2514</v>
      </c>
      <c r="D4065" t="s">
        <v>27</v>
      </c>
      <c r="E4065" s="2">
        <v>46071</v>
      </c>
      <c r="F4065" s="2">
        <v>46071</v>
      </c>
      <c r="G4065" s="3">
        <v>298</v>
      </c>
      <c r="H4065" s="4" t="s">
        <v>28</v>
      </c>
      <c r="I4065">
        <v>58</v>
      </c>
      <c r="J4065">
        <v>0</v>
      </c>
      <c r="K4065">
        <v>0</v>
      </c>
      <c r="L4065" s="3">
        <v>1</v>
      </c>
      <c r="M4065" s="3">
        <v>0</v>
      </c>
      <c r="N4065">
        <v>0</v>
      </c>
      <c r="O4065">
        <v>0</v>
      </c>
      <c r="P4065">
        <v>0</v>
      </c>
      <c r="Q4065">
        <v>10</v>
      </c>
      <c r="R4065" s="3">
        <v>0</v>
      </c>
      <c r="S4065" s="3">
        <v>0</v>
      </c>
      <c r="T4065">
        <v>0</v>
      </c>
      <c r="U4065">
        <v>0</v>
      </c>
      <c r="V4065" s="3">
        <v>0</v>
      </c>
      <c r="W4065" s="3">
        <v>0</v>
      </c>
      <c r="X4065">
        <v>0</v>
      </c>
      <c r="Y4065" t="s">
        <v>3110</v>
      </c>
    </row>
    <row r="4066" spans="1:25" hidden="1" x14ac:dyDescent="0.25">
      <c r="A4066" t="s">
        <v>41</v>
      </c>
      <c r="B4066" t="s">
        <v>112</v>
      </c>
      <c r="C4066" t="s">
        <v>42</v>
      </c>
      <c r="D4066" t="s">
        <v>27</v>
      </c>
      <c r="E4066" s="2">
        <v>46071</v>
      </c>
      <c r="F4066" s="2">
        <v>46071</v>
      </c>
      <c r="G4066" s="3">
        <v>50</v>
      </c>
      <c r="H4066" s="4" t="s">
        <v>28</v>
      </c>
      <c r="I4066">
        <v>34</v>
      </c>
      <c r="J4066">
        <v>0</v>
      </c>
      <c r="K4066">
        <v>0</v>
      </c>
      <c r="L4066" s="3">
        <v>1</v>
      </c>
      <c r="M4066" s="3">
        <v>0</v>
      </c>
      <c r="N4066">
        <v>0</v>
      </c>
      <c r="O4066">
        <v>0</v>
      </c>
      <c r="P4066">
        <v>0</v>
      </c>
      <c r="Q4066">
        <v>4</v>
      </c>
      <c r="R4066" s="3">
        <v>0</v>
      </c>
      <c r="S4066" s="3">
        <v>0</v>
      </c>
      <c r="T4066">
        <v>0</v>
      </c>
      <c r="U4066">
        <v>0</v>
      </c>
      <c r="V4066" s="3">
        <v>0</v>
      </c>
      <c r="W4066" s="3">
        <v>0</v>
      </c>
      <c r="X4066">
        <v>2</v>
      </c>
      <c r="Y4066" t="s">
        <v>3111</v>
      </c>
    </row>
    <row r="4067" spans="1:25" hidden="1" x14ac:dyDescent="0.25">
      <c r="A4067" t="s">
        <v>43</v>
      </c>
      <c r="B4067" t="s">
        <v>114</v>
      </c>
      <c r="C4067" t="s">
        <v>44</v>
      </c>
      <c r="D4067" t="s">
        <v>27</v>
      </c>
      <c r="E4067" s="2">
        <v>46071</v>
      </c>
      <c r="F4067" s="2">
        <v>46071</v>
      </c>
      <c r="G4067" s="3">
        <v>40</v>
      </c>
      <c r="H4067" s="4" t="s">
        <v>28</v>
      </c>
      <c r="I4067">
        <v>51</v>
      </c>
      <c r="J4067">
        <v>0</v>
      </c>
      <c r="K4067">
        <v>0</v>
      </c>
      <c r="L4067" s="3">
        <v>1</v>
      </c>
      <c r="M4067" s="3">
        <v>0</v>
      </c>
      <c r="N4067">
        <v>0</v>
      </c>
      <c r="O4067">
        <v>0</v>
      </c>
      <c r="P4067">
        <v>0</v>
      </c>
      <c r="Q4067">
        <v>4</v>
      </c>
      <c r="R4067" s="3">
        <v>0</v>
      </c>
      <c r="S4067" s="3">
        <v>0</v>
      </c>
      <c r="T4067">
        <v>0</v>
      </c>
      <c r="U4067">
        <v>0</v>
      </c>
      <c r="V4067" s="3">
        <v>0</v>
      </c>
      <c r="W4067" s="3">
        <v>0</v>
      </c>
      <c r="X4067">
        <v>0</v>
      </c>
      <c r="Y4067" t="s">
        <v>3112</v>
      </c>
    </row>
    <row r="4068" spans="1:25" hidden="1" x14ac:dyDescent="0.25">
      <c r="A4068" t="s">
        <v>2118</v>
      </c>
      <c r="B4068" t="s">
        <v>2119</v>
      </c>
      <c r="C4068" t="s">
        <v>27</v>
      </c>
      <c r="D4068" t="s">
        <v>27</v>
      </c>
      <c r="E4068" s="2">
        <v>46071</v>
      </c>
      <c r="F4068" s="2">
        <v>46071</v>
      </c>
      <c r="G4068" s="3">
        <v>45</v>
      </c>
      <c r="H4068" s="4" t="s">
        <v>28</v>
      </c>
      <c r="I4068">
        <v>62</v>
      </c>
      <c r="J4068">
        <v>0</v>
      </c>
      <c r="K4068">
        <v>0</v>
      </c>
      <c r="L4068" s="3">
        <v>1</v>
      </c>
      <c r="M4068" s="3">
        <v>0</v>
      </c>
      <c r="N4068">
        <v>0</v>
      </c>
      <c r="O4068">
        <v>0</v>
      </c>
      <c r="P4068">
        <v>0</v>
      </c>
      <c r="Q4068">
        <v>62</v>
      </c>
      <c r="R4068" s="3">
        <v>0</v>
      </c>
      <c r="S4068" s="3">
        <v>0</v>
      </c>
      <c r="T4068">
        <v>0</v>
      </c>
      <c r="U4068">
        <v>0</v>
      </c>
      <c r="V4068" s="3">
        <v>0</v>
      </c>
      <c r="W4068" s="3">
        <v>0</v>
      </c>
      <c r="X4068">
        <v>0</v>
      </c>
      <c r="Y4068" t="s">
        <v>3113</v>
      </c>
    </row>
    <row r="4069" spans="1:25" hidden="1" x14ac:dyDescent="0.25">
      <c r="A4069" t="s">
        <v>45</v>
      </c>
      <c r="B4069" t="s">
        <v>116</v>
      </c>
      <c r="C4069" t="s">
        <v>46</v>
      </c>
      <c r="D4069" t="s">
        <v>27</v>
      </c>
      <c r="E4069" s="2">
        <v>46071</v>
      </c>
      <c r="F4069" s="2">
        <v>46071</v>
      </c>
      <c r="G4069" s="3">
        <v>368</v>
      </c>
      <c r="H4069" s="4" t="s">
        <v>28</v>
      </c>
      <c r="I4069">
        <v>75</v>
      </c>
      <c r="J4069">
        <v>0</v>
      </c>
      <c r="K4069">
        <v>0</v>
      </c>
      <c r="L4069" s="3">
        <v>1</v>
      </c>
      <c r="M4069" s="3">
        <v>0</v>
      </c>
      <c r="N4069">
        <v>0</v>
      </c>
      <c r="O4069">
        <v>0</v>
      </c>
      <c r="P4069">
        <v>0</v>
      </c>
      <c r="Q4069">
        <v>14</v>
      </c>
      <c r="R4069" s="3">
        <v>0</v>
      </c>
      <c r="S4069" s="3">
        <v>0</v>
      </c>
      <c r="T4069">
        <v>0</v>
      </c>
      <c r="U4069">
        <v>0</v>
      </c>
      <c r="V4069" s="3">
        <v>0</v>
      </c>
      <c r="W4069" s="3">
        <v>0</v>
      </c>
      <c r="X4069">
        <v>0</v>
      </c>
      <c r="Y4069" t="s">
        <v>3114</v>
      </c>
    </row>
    <row r="4070" spans="1:25" hidden="1" x14ac:dyDescent="0.25">
      <c r="A4070" t="s">
        <v>45</v>
      </c>
      <c r="B4070" t="s">
        <v>116</v>
      </c>
      <c r="C4070" t="s">
        <v>46</v>
      </c>
      <c r="D4070" t="s">
        <v>27</v>
      </c>
      <c r="E4070" s="2">
        <v>46071</v>
      </c>
      <c r="F4070" s="2">
        <v>46071</v>
      </c>
      <c r="G4070" s="26">
        <v>61718</v>
      </c>
      <c r="H4070" s="4" t="s">
        <v>28</v>
      </c>
      <c r="I4070">
        <v>32</v>
      </c>
      <c r="J4070">
        <v>0</v>
      </c>
      <c r="K4070">
        <v>0</v>
      </c>
      <c r="L4070" s="3">
        <v>0</v>
      </c>
      <c r="M4070" s="3">
        <v>0</v>
      </c>
      <c r="N4070">
        <v>0</v>
      </c>
      <c r="O4070">
        <v>0</v>
      </c>
      <c r="P4070">
        <v>0</v>
      </c>
      <c r="Q4070">
        <v>4</v>
      </c>
      <c r="R4070" s="3">
        <v>0</v>
      </c>
      <c r="S4070" s="3">
        <v>0</v>
      </c>
      <c r="T4070">
        <v>0</v>
      </c>
      <c r="U4070">
        <v>0</v>
      </c>
      <c r="V4070" s="3">
        <v>0</v>
      </c>
      <c r="W4070" s="3">
        <v>0</v>
      </c>
      <c r="X4070">
        <v>0</v>
      </c>
      <c r="Y4070" t="s">
        <v>3115</v>
      </c>
    </row>
    <row r="4071" spans="1:25" hidden="1" x14ac:dyDescent="0.25">
      <c r="A4071" t="s">
        <v>47</v>
      </c>
      <c r="B4071" t="s">
        <v>137</v>
      </c>
      <c r="C4071" t="s">
        <v>2310</v>
      </c>
      <c r="D4071" t="s">
        <v>27</v>
      </c>
      <c r="E4071" s="2">
        <v>46071</v>
      </c>
      <c r="F4071" s="2">
        <v>46071</v>
      </c>
      <c r="G4071" s="3">
        <v>148</v>
      </c>
      <c r="H4071" s="4" t="s">
        <v>28</v>
      </c>
      <c r="I4071">
        <v>85</v>
      </c>
      <c r="J4071">
        <v>0</v>
      </c>
      <c r="K4071">
        <v>0</v>
      </c>
      <c r="L4071" s="3">
        <v>1</v>
      </c>
      <c r="M4071" s="3">
        <v>0</v>
      </c>
      <c r="N4071">
        <v>0</v>
      </c>
      <c r="O4071">
        <v>0</v>
      </c>
      <c r="P4071">
        <v>0</v>
      </c>
      <c r="Q4071">
        <v>8</v>
      </c>
      <c r="R4071" s="3">
        <v>0</v>
      </c>
      <c r="S4071" s="3">
        <v>0</v>
      </c>
      <c r="T4071">
        <v>0</v>
      </c>
      <c r="U4071">
        <v>0</v>
      </c>
      <c r="V4071" s="3">
        <v>0</v>
      </c>
      <c r="W4071" s="3">
        <v>0</v>
      </c>
      <c r="X4071">
        <v>0</v>
      </c>
      <c r="Y4071" t="s">
        <v>3116</v>
      </c>
    </row>
    <row r="4072" spans="1:25" hidden="1" x14ac:dyDescent="0.25">
      <c r="A4072" t="s">
        <v>49</v>
      </c>
      <c r="B4072" t="s">
        <v>118</v>
      </c>
      <c r="C4072" t="s">
        <v>50</v>
      </c>
      <c r="D4072" t="s">
        <v>27</v>
      </c>
      <c r="E4072" s="2">
        <v>46071</v>
      </c>
      <c r="F4072" s="2">
        <v>46071</v>
      </c>
      <c r="G4072" s="3">
        <v>34</v>
      </c>
      <c r="H4072" s="4" t="s">
        <v>28</v>
      </c>
      <c r="I4072">
        <v>42</v>
      </c>
      <c r="J4072">
        <v>0</v>
      </c>
      <c r="K4072">
        <v>0</v>
      </c>
      <c r="L4072" s="3">
        <v>1</v>
      </c>
      <c r="M4072" s="3">
        <v>1</v>
      </c>
      <c r="N4072">
        <v>0</v>
      </c>
      <c r="O4072">
        <v>0</v>
      </c>
      <c r="P4072">
        <v>0</v>
      </c>
      <c r="Q4072">
        <v>42</v>
      </c>
      <c r="R4072" s="3">
        <v>0</v>
      </c>
      <c r="S4072" s="3">
        <v>0</v>
      </c>
      <c r="T4072">
        <v>0</v>
      </c>
      <c r="U4072">
        <v>0</v>
      </c>
      <c r="V4072" s="3">
        <v>0</v>
      </c>
      <c r="W4072" s="3">
        <v>0</v>
      </c>
      <c r="X4072">
        <v>0</v>
      </c>
      <c r="Y4072" t="s">
        <v>3117</v>
      </c>
    </row>
    <row r="4073" spans="1:25" hidden="1" x14ac:dyDescent="0.25">
      <c r="A4073" t="s">
        <v>51</v>
      </c>
      <c r="B4073" t="s">
        <v>120</v>
      </c>
      <c r="C4073" t="s">
        <v>35</v>
      </c>
      <c r="D4073" t="s">
        <v>27</v>
      </c>
      <c r="E4073" s="2">
        <v>46071</v>
      </c>
      <c r="F4073" s="2">
        <v>46071</v>
      </c>
      <c r="G4073" s="3">
        <v>47</v>
      </c>
      <c r="H4073" s="4" t="s">
        <v>28</v>
      </c>
      <c r="I4073">
        <v>35</v>
      </c>
      <c r="J4073">
        <v>0</v>
      </c>
      <c r="K4073">
        <v>0</v>
      </c>
      <c r="L4073" s="3">
        <v>1</v>
      </c>
      <c r="M4073" s="3">
        <v>0</v>
      </c>
      <c r="N4073">
        <v>1</v>
      </c>
      <c r="O4073">
        <v>0</v>
      </c>
      <c r="P4073">
        <v>0</v>
      </c>
      <c r="Q4073">
        <v>0</v>
      </c>
      <c r="R4073" s="3">
        <v>0</v>
      </c>
      <c r="S4073" s="3">
        <v>0</v>
      </c>
      <c r="T4073">
        <v>0</v>
      </c>
      <c r="U4073">
        <v>0</v>
      </c>
      <c r="V4073" s="3">
        <v>0</v>
      </c>
      <c r="W4073" s="3">
        <v>0</v>
      </c>
      <c r="X4073">
        <v>0</v>
      </c>
      <c r="Y4073" t="s">
        <v>3118</v>
      </c>
    </row>
    <row r="4074" spans="1:25" hidden="1" x14ac:dyDescent="0.25">
      <c r="A4074" t="s">
        <v>54</v>
      </c>
      <c r="B4074" t="s">
        <v>122</v>
      </c>
      <c r="C4074" t="s">
        <v>52</v>
      </c>
      <c r="D4074" t="s">
        <v>27</v>
      </c>
      <c r="E4074" s="2">
        <v>46071</v>
      </c>
      <c r="F4074" s="2">
        <v>46071</v>
      </c>
      <c r="G4074" s="3">
        <v>38</v>
      </c>
      <c r="H4074" s="4" t="s">
        <v>28</v>
      </c>
      <c r="I4074">
        <v>35</v>
      </c>
      <c r="J4074">
        <v>0</v>
      </c>
      <c r="K4074">
        <v>0</v>
      </c>
      <c r="L4074" s="3">
        <v>0</v>
      </c>
      <c r="M4074" s="3">
        <v>0</v>
      </c>
      <c r="N4074">
        <v>0</v>
      </c>
      <c r="O4074">
        <v>0</v>
      </c>
      <c r="P4074">
        <v>0</v>
      </c>
      <c r="Q4074">
        <v>2</v>
      </c>
      <c r="R4074" s="3">
        <v>0</v>
      </c>
      <c r="S4074" s="3">
        <v>0</v>
      </c>
      <c r="T4074">
        <v>0</v>
      </c>
      <c r="U4074">
        <v>0</v>
      </c>
      <c r="V4074" s="3">
        <v>0</v>
      </c>
      <c r="W4074" s="3">
        <v>0</v>
      </c>
      <c r="X4074">
        <v>1</v>
      </c>
      <c r="Y4074" t="s">
        <v>3119</v>
      </c>
    </row>
    <row r="4075" spans="1:25" hidden="1" x14ac:dyDescent="0.25">
      <c r="A4075" t="s">
        <v>48</v>
      </c>
      <c r="B4075" t="s">
        <v>149</v>
      </c>
      <c r="C4075" t="s">
        <v>37</v>
      </c>
      <c r="D4075" t="s">
        <v>27</v>
      </c>
      <c r="E4075" s="2">
        <v>46071</v>
      </c>
      <c r="F4075" s="2">
        <v>46071</v>
      </c>
      <c r="G4075" s="3">
        <v>45</v>
      </c>
      <c r="H4075" s="4" t="s">
        <v>28</v>
      </c>
      <c r="I4075">
        <v>61</v>
      </c>
      <c r="J4075">
        <v>0</v>
      </c>
      <c r="K4075">
        <v>0</v>
      </c>
      <c r="L4075" s="3">
        <v>0</v>
      </c>
      <c r="M4075" s="3">
        <v>0</v>
      </c>
      <c r="N4075">
        <v>0</v>
      </c>
      <c r="O4075">
        <v>0</v>
      </c>
      <c r="P4075">
        <v>0</v>
      </c>
      <c r="Q4075">
        <v>2</v>
      </c>
      <c r="R4075" s="3">
        <v>0</v>
      </c>
      <c r="S4075" s="3">
        <v>0</v>
      </c>
      <c r="T4075">
        <v>0</v>
      </c>
      <c r="U4075">
        <v>0</v>
      </c>
      <c r="V4075" s="3">
        <v>0</v>
      </c>
      <c r="W4075" s="3">
        <v>0</v>
      </c>
      <c r="X4075">
        <v>0</v>
      </c>
      <c r="Y4075" t="s">
        <v>3120</v>
      </c>
    </row>
    <row r="4076" spans="1:25" hidden="1" x14ac:dyDescent="0.25">
      <c r="A4076" t="s">
        <v>94</v>
      </c>
      <c r="B4076" t="s">
        <v>149</v>
      </c>
      <c r="C4076" t="s">
        <v>2271</v>
      </c>
      <c r="D4076" t="s">
        <v>27</v>
      </c>
      <c r="E4076" s="2">
        <v>46071</v>
      </c>
      <c r="F4076" s="2">
        <v>46071</v>
      </c>
      <c r="G4076" s="3">
        <v>45</v>
      </c>
      <c r="H4076" s="4" t="s">
        <v>28</v>
      </c>
      <c r="I4076">
        <v>30</v>
      </c>
      <c r="J4076">
        <v>0</v>
      </c>
      <c r="K4076">
        <v>0</v>
      </c>
      <c r="L4076" s="3">
        <v>0</v>
      </c>
      <c r="M4076" s="3">
        <v>0</v>
      </c>
      <c r="N4076">
        <v>0</v>
      </c>
      <c r="O4076">
        <v>0</v>
      </c>
      <c r="P4076">
        <v>0</v>
      </c>
      <c r="Q4076">
        <v>0</v>
      </c>
      <c r="R4076" s="3">
        <v>0</v>
      </c>
      <c r="S4076" s="3">
        <v>0</v>
      </c>
      <c r="T4076">
        <v>0</v>
      </c>
      <c r="U4076">
        <v>0</v>
      </c>
      <c r="V4076" s="3">
        <v>0</v>
      </c>
      <c r="W4076" s="3">
        <v>0</v>
      </c>
      <c r="X4076">
        <v>0</v>
      </c>
      <c r="Y4076" t="s">
        <v>3120</v>
      </c>
    </row>
    <row r="4077" spans="1:25" hidden="1" x14ac:dyDescent="0.25">
      <c r="A4077" t="s">
        <v>25</v>
      </c>
      <c r="B4077" t="s">
        <v>96</v>
      </c>
      <c r="C4077" t="s">
        <v>26</v>
      </c>
      <c r="D4077" t="s">
        <v>27</v>
      </c>
      <c r="E4077" s="2">
        <v>46072</v>
      </c>
      <c r="F4077" s="2">
        <v>46072</v>
      </c>
      <c r="G4077" s="3">
        <v>43</v>
      </c>
      <c r="H4077" t="s">
        <v>28</v>
      </c>
      <c r="I4077">
        <v>54</v>
      </c>
      <c r="J4077">
        <v>0</v>
      </c>
      <c r="K4077">
        <v>0</v>
      </c>
      <c r="L4077" s="3">
        <v>1</v>
      </c>
      <c r="M4077" s="3">
        <v>0</v>
      </c>
      <c r="N4077">
        <v>1</v>
      </c>
      <c r="O4077">
        <v>0</v>
      </c>
      <c r="P4077">
        <v>0</v>
      </c>
      <c r="Q4077">
        <v>0</v>
      </c>
      <c r="R4077" s="3">
        <v>0</v>
      </c>
      <c r="S4077" s="3">
        <v>0</v>
      </c>
      <c r="T4077">
        <v>0</v>
      </c>
      <c r="U4077">
        <v>0</v>
      </c>
      <c r="V4077" s="3">
        <v>0</v>
      </c>
      <c r="W4077" s="3">
        <v>0</v>
      </c>
      <c r="X4077">
        <v>0</v>
      </c>
      <c r="Y4077" t="s">
        <v>3121</v>
      </c>
    </row>
    <row r="4078" spans="1:25" hidden="1" x14ac:dyDescent="0.25">
      <c r="A4078" t="s">
        <v>31</v>
      </c>
      <c r="B4078" t="s">
        <v>104</v>
      </c>
      <c r="C4078" t="s">
        <v>32</v>
      </c>
      <c r="D4078" t="s">
        <v>27</v>
      </c>
      <c r="E4078" s="2">
        <v>46072</v>
      </c>
      <c r="F4078" s="2">
        <v>46072</v>
      </c>
      <c r="G4078" s="3">
        <v>60</v>
      </c>
      <c r="H4078" t="s">
        <v>28</v>
      </c>
      <c r="I4078">
        <v>63</v>
      </c>
      <c r="J4078">
        <v>0</v>
      </c>
      <c r="K4078">
        <v>0</v>
      </c>
      <c r="L4078" s="3">
        <v>1</v>
      </c>
      <c r="M4078" s="3">
        <v>0</v>
      </c>
      <c r="N4078">
        <v>0</v>
      </c>
      <c r="O4078">
        <v>0</v>
      </c>
      <c r="P4078">
        <v>0</v>
      </c>
      <c r="Q4078">
        <v>30</v>
      </c>
      <c r="R4078" s="3">
        <v>0</v>
      </c>
      <c r="S4078" s="3">
        <v>0</v>
      </c>
      <c r="T4078">
        <v>0</v>
      </c>
      <c r="U4078">
        <v>0</v>
      </c>
      <c r="V4078" s="3">
        <v>0</v>
      </c>
      <c r="W4078" s="3">
        <v>0</v>
      </c>
      <c r="X4078">
        <v>0</v>
      </c>
      <c r="Y4078" t="s">
        <v>3122</v>
      </c>
    </row>
    <row r="4079" spans="1:25" hidden="1" x14ac:dyDescent="0.25">
      <c r="A4079" t="s">
        <v>33</v>
      </c>
      <c r="B4079" t="s">
        <v>106</v>
      </c>
      <c r="C4079" t="s">
        <v>2835</v>
      </c>
      <c r="D4079" t="s">
        <v>27</v>
      </c>
      <c r="E4079" s="2">
        <v>46072</v>
      </c>
      <c r="F4079" s="2">
        <v>46072</v>
      </c>
      <c r="G4079" s="3">
        <v>24</v>
      </c>
      <c r="H4079" t="s">
        <v>28</v>
      </c>
      <c r="I4079">
        <v>38</v>
      </c>
      <c r="J4079">
        <v>0</v>
      </c>
      <c r="K4079">
        <v>0</v>
      </c>
      <c r="L4079" s="3">
        <v>0</v>
      </c>
      <c r="M4079" s="3">
        <v>0</v>
      </c>
      <c r="N4079">
        <v>0</v>
      </c>
      <c r="O4079">
        <v>0</v>
      </c>
      <c r="P4079">
        <v>0</v>
      </c>
      <c r="Q4079">
        <v>0</v>
      </c>
      <c r="R4079" s="3">
        <v>0</v>
      </c>
      <c r="S4079" s="3">
        <v>0</v>
      </c>
      <c r="T4079">
        <v>0</v>
      </c>
      <c r="U4079">
        <v>0</v>
      </c>
      <c r="V4079" s="3">
        <v>0</v>
      </c>
      <c r="W4079" s="3">
        <v>0</v>
      </c>
      <c r="X4079">
        <v>0</v>
      </c>
      <c r="Y4079" t="s">
        <v>3123</v>
      </c>
    </row>
    <row r="4080" spans="1:25" hidden="1" x14ac:dyDescent="0.25">
      <c r="A4080" t="s">
        <v>2899</v>
      </c>
      <c r="B4080" t="s">
        <v>2998</v>
      </c>
      <c r="C4080" t="s">
        <v>95</v>
      </c>
      <c r="D4080" t="s">
        <v>35</v>
      </c>
      <c r="E4080" s="2">
        <v>46072</v>
      </c>
      <c r="F4080" s="2">
        <v>46072</v>
      </c>
      <c r="G4080" s="3">
        <v>29</v>
      </c>
      <c r="H4080" t="s">
        <v>28</v>
      </c>
      <c r="I4080">
        <v>55</v>
      </c>
      <c r="J4080">
        <v>0</v>
      </c>
      <c r="K4080">
        <v>0</v>
      </c>
      <c r="L4080" s="3">
        <v>1</v>
      </c>
      <c r="M4080" s="3">
        <v>0</v>
      </c>
      <c r="N4080">
        <v>0</v>
      </c>
      <c r="O4080">
        <v>0</v>
      </c>
      <c r="P4080">
        <v>5</v>
      </c>
      <c r="Q4080">
        <v>12</v>
      </c>
      <c r="R4080" s="3">
        <v>0</v>
      </c>
      <c r="S4080" s="3">
        <v>0</v>
      </c>
      <c r="T4080">
        <v>0</v>
      </c>
      <c r="U4080">
        <v>0</v>
      </c>
      <c r="V4080" s="3">
        <v>0</v>
      </c>
      <c r="W4080" s="3">
        <v>0</v>
      </c>
      <c r="X4080">
        <v>0</v>
      </c>
      <c r="Y4080" t="s">
        <v>3124</v>
      </c>
    </row>
    <row r="4081" spans="1:25" hidden="1" x14ac:dyDescent="0.25">
      <c r="A4081" t="s">
        <v>36</v>
      </c>
      <c r="B4081" t="s">
        <v>249</v>
      </c>
      <c r="C4081" t="s">
        <v>2534</v>
      </c>
      <c r="D4081" t="s">
        <v>27</v>
      </c>
      <c r="E4081" s="2">
        <v>46072</v>
      </c>
      <c r="F4081" s="2">
        <v>46072</v>
      </c>
      <c r="G4081" s="3">
        <v>65</v>
      </c>
      <c r="H4081" t="s">
        <v>28</v>
      </c>
      <c r="I4081">
        <v>100</v>
      </c>
      <c r="J4081">
        <v>0</v>
      </c>
      <c r="K4081">
        <v>0</v>
      </c>
      <c r="L4081" s="3">
        <v>1</v>
      </c>
      <c r="M4081" s="3">
        <v>0</v>
      </c>
      <c r="N4081">
        <v>1</v>
      </c>
      <c r="O4081">
        <v>0</v>
      </c>
      <c r="P4081">
        <v>0</v>
      </c>
      <c r="Q4081">
        <v>0</v>
      </c>
      <c r="R4081" s="3">
        <v>0</v>
      </c>
      <c r="S4081" s="3">
        <v>0</v>
      </c>
      <c r="T4081">
        <v>0</v>
      </c>
      <c r="U4081">
        <v>0</v>
      </c>
      <c r="V4081" s="3">
        <v>0</v>
      </c>
      <c r="W4081" s="3">
        <v>0</v>
      </c>
      <c r="X4081">
        <v>0</v>
      </c>
      <c r="Y4081" t="s">
        <v>3125</v>
      </c>
    </row>
    <row r="4082" spans="1:25" hidden="1" x14ac:dyDescent="0.25">
      <c r="A4082" t="s">
        <v>38</v>
      </c>
      <c r="B4082" t="s">
        <v>108</v>
      </c>
      <c r="C4082" t="s">
        <v>27</v>
      </c>
      <c r="D4082" t="s">
        <v>27</v>
      </c>
      <c r="E4082" s="2">
        <v>46072</v>
      </c>
      <c r="F4082" s="2">
        <v>46072</v>
      </c>
      <c r="G4082" s="3">
        <v>29</v>
      </c>
      <c r="H4082" t="s">
        <v>28</v>
      </c>
      <c r="I4082">
        <v>32</v>
      </c>
      <c r="J4082">
        <v>0</v>
      </c>
      <c r="K4082">
        <v>0</v>
      </c>
      <c r="L4082" s="3">
        <v>1</v>
      </c>
      <c r="M4082" s="3">
        <v>0</v>
      </c>
      <c r="N4082">
        <v>0</v>
      </c>
      <c r="O4082">
        <v>0</v>
      </c>
      <c r="P4082">
        <v>0</v>
      </c>
      <c r="Q4082">
        <v>32</v>
      </c>
      <c r="R4082" s="3">
        <v>0</v>
      </c>
      <c r="S4082" s="3">
        <v>0</v>
      </c>
      <c r="T4082">
        <v>0</v>
      </c>
      <c r="U4082">
        <v>0</v>
      </c>
      <c r="V4082" s="3">
        <v>0</v>
      </c>
      <c r="W4082" s="3">
        <v>0</v>
      </c>
      <c r="X4082">
        <v>0</v>
      </c>
      <c r="Y4082" t="s">
        <v>3126</v>
      </c>
    </row>
    <row r="4083" spans="1:25" hidden="1" x14ac:dyDescent="0.25">
      <c r="A4083" t="s">
        <v>2679</v>
      </c>
      <c r="B4083" t="s">
        <v>2680</v>
      </c>
      <c r="C4083" t="s">
        <v>39</v>
      </c>
      <c r="D4083" t="s">
        <v>27</v>
      </c>
      <c r="E4083" s="2">
        <v>46072</v>
      </c>
      <c r="F4083" s="2">
        <v>46072</v>
      </c>
      <c r="G4083" s="3">
        <v>40</v>
      </c>
      <c r="H4083" t="s">
        <v>28</v>
      </c>
      <c r="I4083">
        <v>38</v>
      </c>
      <c r="J4083">
        <v>0</v>
      </c>
      <c r="K4083">
        <v>0</v>
      </c>
      <c r="L4083" s="3">
        <v>1</v>
      </c>
      <c r="M4083" s="3">
        <v>0</v>
      </c>
      <c r="N4083">
        <v>0</v>
      </c>
      <c r="O4083">
        <v>0</v>
      </c>
      <c r="P4083">
        <v>38</v>
      </c>
      <c r="Q4083">
        <v>38</v>
      </c>
      <c r="R4083" s="3">
        <v>0</v>
      </c>
      <c r="S4083" s="3">
        <v>0</v>
      </c>
      <c r="T4083">
        <v>0</v>
      </c>
      <c r="U4083">
        <v>0</v>
      </c>
      <c r="V4083" s="3">
        <v>0</v>
      </c>
      <c r="W4083" s="3">
        <v>0</v>
      </c>
      <c r="X4083">
        <v>0</v>
      </c>
      <c r="Y4083" t="s">
        <v>3127</v>
      </c>
    </row>
    <row r="4084" spans="1:25" hidden="1" x14ac:dyDescent="0.25">
      <c r="A4084" t="s">
        <v>41</v>
      </c>
      <c r="B4084" t="s">
        <v>112</v>
      </c>
      <c r="C4084" t="s">
        <v>42</v>
      </c>
      <c r="D4084" t="s">
        <v>27</v>
      </c>
      <c r="E4084" s="2">
        <v>46072</v>
      </c>
      <c r="F4084" s="2">
        <v>46072</v>
      </c>
      <c r="G4084" s="3">
        <v>76</v>
      </c>
      <c r="H4084" t="s">
        <v>28</v>
      </c>
      <c r="I4084">
        <v>49</v>
      </c>
      <c r="J4084">
        <v>0</v>
      </c>
      <c r="K4084">
        <v>0</v>
      </c>
      <c r="L4084" s="3">
        <v>1</v>
      </c>
      <c r="M4084" s="3">
        <v>0</v>
      </c>
      <c r="N4084">
        <v>0</v>
      </c>
      <c r="O4084">
        <v>0</v>
      </c>
      <c r="P4084">
        <v>0</v>
      </c>
      <c r="Q4084">
        <v>5</v>
      </c>
      <c r="R4084" s="3">
        <v>0</v>
      </c>
      <c r="S4084" s="3">
        <v>0</v>
      </c>
      <c r="T4084">
        <v>0</v>
      </c>
      <c r="U4084">
        <v>0</v>
      </c>
      <c r="V4084" s="3">
        <v>0</v>
      </c>
      <c r="W4084" s="3">
        <v>0</v>
      </c>
      <c r="X4084">
        <v>2</v>
      </c>
      <c r="Y4084" t="s">
        <v>3128</v>
      </c>
    </row>
    <row r="4085" spans="1:25" hidden="1" x14ac:dyDescent="0.25">
      <c r="A4085" t="s">
        <v>43</v>
      </c>
      <c r="B4085" t="s">
        <v>114</v>
      </c>
      <c r="C4085" t="s">
        <v>44</v>
      </c>
      <c r="D4085" t="s">
        <v>27</v>
      </c>
      <c r="E4085" s="2">
        <v>46072</v>
      </c>
      <c r="F4085" s="2">
        <v>46072</v>
      </c>
      <c r="G4085" s="3">
        <v>43</v>
      </c>
      <c r="H4085" t="s">
        <v>28</v>
      </c>
      <c r="I4085">
        <v>75</v>
      </c>
      <c r="J4085">
        <v>0</v>
      </c>
      <c r="K4085">
        <v>0</v>
      </c>
      <c r="L4085" s="3">
        <v>1</v>
      </c>
      <c r="M4085" s="3">
        <v>0</v>
      </c>
      <c r="N4085">
        <v>0</v>
      </c>
      <c r="O4085">
        <v>0</v>
      </c>
      <c r="P4085">
        <v>0</v>
      </c>
      <c r="Q4085">
        <v>4</v>
      </c>
      <c r="R4085" s="3">
        <v>0</v>
      </c>
      <c r="S4085" s="3">
        <v>0</v>
      </c>
      <c r="T4085">
        <v>0</v>
      </c>
      <c r="U4085">
        <v>0</v>
      </c>
      <c r="V4085" s="3">
        <v>0</v>
      </c>
      <c r="W4085" s="3">
        <v>0</v>
      </c>
      <c r="X4085">
        <v>0</v>
      </c>
      <c r="Y4085" t="s">
        <v>3129</v>
      </c>
    </row>
    <row r="4086" spans="1:25" hidden="1" x14ac:dyDescent="0.25">
      <c r="A4086" t="s">
        <v>45</v>
      </c>
      <c r="B4086" t="s">
        <v>116</v>
      </c>
      <c r="C4086" t="s">
        <v>46</v>
      </c>
      <c r="D4086" t="s">
        <v>27</v>
      </c>
      <c r="E4086" s="2">
        <v>46072</v>
      </c>
      <c r="F4086" s="2">
        <v>46072</v>
      </c>
      <c r="G4086" s="3">
        <v>47</v>
      </c>
      <c r="H4086" t="s">
        <v>28</v>
      </c>
      <c r="I4086">
        <v>33</v>
      </c>
      <c r="J4086">
        <v>0</v>
      </c>
      <c r="K4086">
        <v>0</v>
      </c>
      <c r="L4086" s="3">
        <v>0</v>
      </c>
      <c r="M4086" s="3">
        <v>0</v>
      </c>
      <c r="N4086">
        <v>0</v>
      </c>
      <c r="O4086">
        <v>0</v>
      </c>
      <c r="P4086">
        <v>0</v>
      </c>
      <c r="Q4086">
        <v>6</v>
      </c>
      <c r="R4086" s="3">
        <v>0</v>
      </c>
      <c r="S4086" s="3">
        <v>0</v>
      </c>
      <c r="T4086">
        <v>0</v>
      </c>
      <c r="U4086">
        <v>0</v>
      </c>
      <c r="V4086" s="3">
        <v>0</v>
      </c>
      <c r="W4086" s="3">
        <v>0</v>
      </c>
      <c r="X4086">
        <v>0</v>
      </c>
      <c r="Y4086" t="s">
        <v>3130</v>
      </c>
    </row>
    <row r="4087" spans="1:25" hidden="1" x14ac:dyDescent="0.25">
      <c r="A4087" t="s">
        <v>47</v>
      </c>
      <c r="B4087" t="s">
        <v>137</v>
      </c>
      <c r="C4087" t="s">
        <v>2310</v>
      </c>
      <c r="D4087" t="s">
        <v>27</v>
      </c>
      <c r="E4087" s="2">
        <v>46072</v>
      </c>
      <c r="F4087" s="2">
        <v>46072</v>
      </c>
      <c r="G4087" s="3">
        <v>58</v>
      </c>
      <c r="H4087" t="s">
        <v>28</v>
      </c>
      <c r="I4087">
        <v>49</v>
      </c>
      <c r="J4087">
        <v>0</v>
      </c>
      <c r="K4087">
        <v>0</v>
      </c>
      <c r="L4087" s="3">
        <v>1</v>
      </c>
      <c r="M4087" s="3">
        <v>0</v>
      </c>
      <c r="N4087">
        <v>0</v>
      </c>
      <c r="O4087">
        <v>0</v>
      </c>
      <c r="P4087">
        <v>0</v>
      </c>
      <c r="Q4087">
        <v>2</v>
      </c>
      <c r="R4087" s="3">
        <v>0</v>
      </c>
      <c r="S4087" s="3">
        <v>0</v>
      </c>
      <c r="T4087">
        <v>0</v>
      </c>
      <c r="U4087">
        <v>0</v>
      </c>
      <c r="V4087" s="3">
        <v>0</v>
      </c>
      <c r="W4087" s="3">
        <v>0</v>
      </c>
      <c r="X4087">
        <v>0</v>
      </c>
      <c r="Y4087" t="s">
        <v>3131</v>
      </c>
    </row>
    <row r="4088" spans="1:25" hidden="1" x14ac:dyDescent="0.25">
      <c r="A4088" t="s">
        <v>49</v>
      </c>
      <c r="B4088" t="s">
        <v>118</v>
      </c>
      <c r="C4088" t="s">
        <v>50</v>
      </c>
      <c r="D4088" t="s">
        <v>27</v>
      </c>
      <c r="E4088" s="2">
        <v>46072</v>
      </c>
      <c r="F4088" s="2">
        <v>46072</v>
      </c>
      <c r="G4088" s="3">
        <v>46</v>
      </c>
      <c r="H4088" t="s">
        <v>28</v>
      </c>
      <c r="I4088">
        <v>75</v>
      </c>
      <c r="J4088">
        <v>0</v>
      </c>
      <c r="K4088">
        <v>0</v>
      </c>
      <c r="L4088" s="3">
        <v>1</v>
      </c>
      <c r="M4088" s="3">
        <v>1</v>
      </c>
      <c r="N4088">
        <v>0</v>
      </c>
      <c r="O4088">
        <v>1</v>
      </c>
      <c r="P4088">
        <v>0</v>
      </c>
      <c r="Q4088">
        <v>75</v>
      </c>
      <c r="R4088" s="3">
        <v>0</v>
      </c>
      <c r="S4088" s="3">
        <v>0</v>
      </c>
      <c r="T4088">
        <v>0</v>
      </c>
      <c r="U4088">
        <v>0</v>
      </c>
      <c r="V4088" s="3">
        <v>0</v>
      </c>
      <c r="W4088" s="3">
        <v>0</v>
      </c>
      <c r="X4088">
        <v>0</v>
      </c>
      <c r="Y4088" t="s">
        <v>3132</v>
      </c>
    </row>
    <row r="4089" spans="1:25" hidden="1" x14ac:dyDescent="0.25">
      <c r="A4089" t="s">
        <v>51</v>
      </c>
      <c r="B4089" t="s">
        <v>120</v>
      </c>
      <c r="C4089" t="s">
        <v>2514</v>
      </c>
      <c r="D4089" t="s">
        <v>27</v>
      </c>
      <c r="E4089" s="2">
        <v>46072</v>
      </c>
      <c r="F4089" s="2">
        <v>46072</v>
      </c>
      <c r="G4089" s="3">
        <v>71</v>
      </c>
      <c r="H4089" t="s">
        <v>28</v>
      </c>
      <c r="I4089">
        <v>30</v>
      </c>
      <c r="J4089">
        <v>0</v>
      </c>
      <c r="K4089">
        <v>0</v>
      </c>
      <c r="L4089" s="3">
        <v>1</v>
      </c>
      <c r="M4089" s="3">
        <v>0</v>
      </c>
      <c r="N4089">
        <v>1</v>
      </c>
      <c r="O4089">
        <v>0</v>
      </c>
      <c r="P4089">
        <v>0</v>
      </c>
      <c r="Q4089">
        <v>0</v>
      </c>
      <c r="R4089" s="3">
        <v>0</v>
      </c>
      <c r="S4089" s="3">
        <v>0</v>
      </c>
      <c r="T4089">
        <v>0</v>
      </c>
      <c r="U4089">
        <v>0</v>
      </c>
      <c r="V4089" s="3">
        <v>0</v>
      </c>
      <c r="W4089" s="3">
        <v>0</v>
      </c>
      <c r="X4089">
        <v>0</v>
      </c>
      <c r="Y4089" t="s">
        <v>3133</v>
      </c>
    </row>
    <row r="4090" spans="1:25" hidden="1" x14ac:dyDescent="0.25">
      <c r="A4090" t="s">
        <v>54</v>
      </c>
      <c r="B4090" t="s">
        <v>122</v>
      </c>
      <c r="C4090" t="s">
        <v>52</v>
      </c>
      <c r="D4090" t="s">
        <v>27</v>
      </c>
      <c r="E4090" s="2">
        <v>46072</v>
      </c>
      <c r="F4090" s="2">
        <v>46072</v>
      </c>
      <c r="G4090" s="3">
        <v>34</v>
      </c>
      <c r="H4090" t="s">
        <v>28</v>
      </c>
      <c r="I4090">
        <v>37</v>
      </c>
      <c r="J4090">
        <v>0</v>
      </c>
      <c r="K4090">
        <v>0</v>
      </c>
      <c r="L4090" s="3">
        <v>0</v>
      </c>
      <c r="M4090" s="3">
        <v>0</v>
      </c>
      <c r="N4090">
        <v>0</v>
      </c>
      <c r="O4090">
        <v>0</v>
      </c>
      <c r="P4090">
        <v>0</v>
      </c>
      <c r="Q4090">
        <v>2</v>
      </c>
      <c r="R4090" s="3">
        <v>0</v>
      </c>
      <c r="S4090" s="3">
        <v>0</v>
      </c>
      <c r="T4090">
        <v>0</v>
      </c>
      <c r="U4090">
        <v>0</v>
      </c>
      <c r="V4090" s="3">
        <v>0</v>
      </c>
      <c r="W4090" s="3">
        <v>0</v>
      </c>
      <c r="X4090">
        <v>1</v>
      </c>
      <c r="Y4090" t="s">
        <v>3134</v>
      </c>
    </row>
    <row r="4091" spans="1:25" ht="14.25" hidden="1" customHeight="1" x14ac:dyDescent="0.25">
      <c r="A4091" t="s">
        <v>48</v>
      </c>
      <c r="B4091" t="s">
        <v>149</v>
      </c>
      <c r="C4091" t="s">
        <v>37</v>
      </c>
      <c r="D4091" t="s">
        <v>27</v>
      </c>
      <c r="E4091" s="2">
        <v>46072</v>
      </c>
      <c r="F4091" s="2">
        <v>46072</v>
      </c>
      <c r="G4091" s="3">
        <v>21</v>
      </c>
      <c r="H4091" t="s">
        <v>28</v>
      </c>
      <c r="I4091">
        <v>30</v>
      </c>
      <c r="J4091">
        <v>0</v>
      </c>
      <c r="K4091">
        <v>0</v>
      </c>
      <c r="L4091" s="3">
        <v>1</v>
      </c>
      <c r="M4091" s="3">
        <v>0</v>
      </c>
      <c r="N4091">
        <v>0</v>
      </c>
      <c r="O4091">
        <v>0</v>
      </c>
      <c r="P4091">
        <v>0</v>
      </c>
      <c r="Q4091">
        <v>0</v>
      </c>
      <c r="R4091" s="3">
        <v>0</v>
      </c>
      <c r="S4091" s="3">
        <v>0</v>
      </c>
      <c r="T4091">
        <v>0</v>
      </c>
      <c r="U4091">
        <v>0</v>
      </c>
      <c r="V4091" s="3">
        <v>0</v>
      </c>
      <c r="W4091" s="3">
        <v>0</v>
      </c>
      <c r="X4091">
        <v>0</v>
      </c>
      <c r="Y4091" t="s">
        <v>3135</v>
      </c>
    </row>
    <row r="4092" spans="1:25" hidden="1" x14ac:dyDescent="0.25">
      <c r="A4092" t="s">
        <v>1316</v>
      </c>
      <c r="B4092" t="s">
        <v>149</v>
      </c>
      <c r="C4092" t="s">
        <v>27</v>
      </c>
      <c r="D4092" t="s">
        <v>27</v>
      </c>
      <c r="E4092" s="2">
        <v>46072</v>
      </c>
      <c r="F4092" s="2">
        <v>46072</v>
      </c>
      <c r="G4092" s="3">
        <v>21</v>
      </c>
      <c r="H4092" t="s">
        <v>250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 t="s">
        <v>3135</v>
      </c>
    </row>
    <row r="4093" spans="1:25" hidden="1" x14ac:dyDescent="0.25">
      <c r="A4093" t="s">
        <v>27</v>
      </c>
      <c r="B4093" t="s">
        <v>149</v>
      </c>
      <c r="C4093" t="s">
        <v>2271</v>
      </c>
      <c r="D4093" t="s">
        <v>27</v>
      </c>
      <c r="E4093" s="2">
        <v>46072</v>
      </c>
      <c r="F4093" s="2">
        <v>46072</v>
      </c>
      <c r="G4093" s="3">
        <v>21</v>
      </c>
      <c r="H4093" t="s">
        <v>959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 t="s">
        <v>3135</v>
      </c>
    </row>
    <row r="4094" spans="1:25" hidden="1" x14ac:dyDescent="0.25">
      <c r="A4094" t="s">
        <v>33</v>
      </c>
      <c r="B4094" t="s">
        <v>149</v>
      </c>
      <c r="C4094" t="s">
        <v>2835</v>
      </c>
      <c r="D4094" t="s">
        <v>27</v>
      </c>
      <c r="E4094" s="2">
        <v>46073</v>
      </c>
      <c r="F4094" s="2">
        <v>46073</v>
      </c>
      <c r="G4094" s="5">
        <v>3572</v>
      </c>
      <c r="H4094" t="s">
        <v>28</v>
      </c>
      <c r="I4094">
        <v>50</v>
      </c>
      <c r="J4094">
        <v>0</v>
      </c>
      <c r="K4094">
        <v>0</v>
      </c>
      <c r="L4094" s="3">
        <v>1</v>
      </c>
      <c r="M4094" s="3">
        <v>0</v>
      </c>
      <c r="N4094">
        <v>0</v>
      </c>
      <c r="O4094">
        <v>0</v>
      </c>
      <c r="P4094">
        <v>0</v>
      </c>
      <c r="Q4094">
        <v>0</v>
      </c>
      <c r="R4094" s="3">
        <v>0</v>
      </c>
      <c r="S4094" s="3">
        <v>0</v>
      </c>
      <c r="T4094">
        <v>0</v>
      </c>
      <c r="U4094">
        <v>0</v>
      </c>
      <c r="V4094" s="3">
        <v>0</v>
      </c>
      <c r="W4094" s="3">
        <v>0</v>
      </c>
      <c r="X4094">
        <v>0</v>
      </c>
      <c r="Y4094" t="s">
        <v>3151</v>
      </c>
    </row>
    <row r="4095" spans="1:25" hidden="1" x14ac:dyDescent="0.25">
      <c r="A4095" t="s">
        <v>25</v>
      </c>
      <c r="B4095" t="s">
        <v>96</v>
      </c>
      <c r="C4095" t="s">
        <v>26</v>
      </c>
      <c r="D4095" t="s">
        <v>27</v>
      </c>
      <c r="E4095" s="2">
        <v>46073</v>
      </c>
      <c r="F4095" s="2">
        <v>46073</v>
      </c>
      <c r="G4095" s="3">
        <v>73</v>
      </c>
      <c r="H4095" t="s">
        <v>28</v>
      </c>
      <c r="I4095">
        <v>50</v>
      </c>
      <c r="J4095">
        <v>0</v>
      </c>
      <c r="K4095">
        <v>0</v>
      </c>
      <c r="L4095" s="3">
        <v>1</v>
      </c>
      <c r="M4095" s="3">
        <v>0</v>
      </c>
      <c r="N4095">
        <v>1</v>
      </c>
      <c r="O4095">
        <v>0</v>
      </c>
      <c r="P4095">
        <v>0</v>
      </c>
      <c r="Q4095">
        <v>0</v>
      </c>
      <c r="R4095" s="3">
        <v>0</v>
      </c>
      <c r="S4095" s="3">
        <v>0</v>
      </c>
      <c r="T4095">
        <v>0</v>
      </c>
      <c r="U4095">
        <v>0</v>
      </c>
      <c r="V4095" s="3">
        <v>0</v>
      </c>
      <c r="W4095" s="3">
        <v>0</v>
      </c>
      <c r="X4095">
        <v>0</v>
      </c>
      <c r="Y4095" t="s">
        <v>3136</v>
      </c>
    </row>
    <row r="4096" spans="1:25" hidden="1" x14ac:dyDescent="0.25">
      <c r="A4096" t="s">
        <v>31</v>
      </c>
      <c r="B4096" t="s">
        <v>104</v>
      </c>
      <c r="C4096" t="s">
        <v>32</v>
      </c>
      <c r="D4096" t="s">
        <v>27</v>
      </c>
      <c r="E4096" s="2">
        <v>46073</v>
      </c>
      <c r="F4096" s="2">
        <v>46073</v>
      </c>
      <c r="G4096" s="3">
        <v>35</v>
      </c>
      <c r="H4096" t="s">
        <v>28</v>
      </c>
      <c r="I4096">
        <v>83</v>
      </c>
      <c r="J4096">
        <v>0</v>
      </c>
      <c r="K4096">
        <v>0</v>
      </c>
      <c r="L4096" s="3">
        <v>1</v>
      </c>
      <c r="M4096" s="3">
        <v>0</v>
      </c>
      <c r="N4096">
        <v>0</v>
      </c>
      <c r="O4096">
        <v>0</v>
      </c>
      <c r="P4096">
        <v>0</v>
      </c>
      <c r="Q4096">
        <v>30</v>
      </c>
      <c r="R4096" s="3">
        <v>0</v>
      </c>
      <c r="S4096" s="3">
        <v>0</v>
      </c>
      <c r="T4096">
        <v>0</v>
      </c>
      <c r="U4096">
        <v>0</v>
      </c>
      <c r="V4096" s="3">
        <v>0</v>
      </c>
      <c r="W4096" s="3">
        <v>0</v>
      </c>
      <c r="X4096">
        <v>0</v>
      </c>
      <c r="Y4096" t="s">
        <v>3137</v>
      </c>
    </row>
    <row r="4097" spans="1:25" hidden="1" x14ac:dyDescent="0.25">
      <c r="A4097" t="s">
        <v>2899</v>
      </c>
      <c r="B4097" t="s">
        <v>2998</v>
      </c>
      <c r="C4097" t="s">
        <v>95</v>
      </c>
      <c r="D4097" t="s">
        <v>35</v>
      </c>
      <c r="E4097" s="2">
        <v>46073</v>
      </c>
      <c r="F4097" s="2">
        <v>46073</v>
      </c>
      <c r="G4097" s="3">
        <v>39</v>
      </c>
      <c r="H4097" t="s">
        <v>28</v>
      </c>
      <c r="I4097">
        <v>50</v>
      </c>
      <c r="J4097">
        <v>0</v>
      </c>
      <c r="K4097">
        <v>0</v>
      </c>
      <c r="L4097" s="3">
        <v>1</v>
      </c>
      <c r="M4097" s="3">
        <v>0</v>
      </c>
      <c r="N4097">
        <v>0</v>
      </c>
      <c r="O4097">
        <v>0</v>
      </c>
      <c r="P4097">
        <v>5</v>
      </c>
      <c r="Q4097">
        <v>18</v>
      </c>
      <c r="R4097" s="3">
        <v>0</v>
      </c>
      <c r="S4097" s="3">
        <v>0</v>
      </c>
      <c r="T4097">
        <v>0</v>
      </c>
      <c r="U4097">
        <v>0</v>
      </c>
      <c r="V4097" s="3">
        <v>0</v>
      </c>
      <c r="W4097" s="3">
        <v>0</v>
      </c>
      <c r="X4097">
        <v>0</v>
      </c>
      <c r="Y4097" t="s">
        <v>3138</v>
      </c>
    </row>
    <row r="4098" spans="1:25" hidden="1" x14ac:dyDescent="0.25">
      <c r="A4098" t="s">
        <v>36</v>
      </c>
      <c r="B4098" t="s">
        <v>249</v>
      </c>
      <c r="C4098" t="s">
        <v>2534</v>
      </c>
      <c r="D4098" t="s">
        <v>27</v>
      </c>
      <c r="E4098" s="2">
        <v>46073</v>
      </c>
      <c r="F4098" s="2">
        <v>46073</v>
      </c>
      <c r="G4098" s="3">
        <v>74</v>
      </c>
      <c r="H4098" t="s">
        <v>28</v>
      </c>
      <c r="I4098">
        <v>82</v>
      </c>
      <c r="J4098">
        <v>0</v>
      </c>
      <c r="K4098">
        <v>0</v>
      </c>
      <c r="L4098" s="3">
        <v>1</v>
      </c>
      <c r="M4098" s="3">
        <v>0</v>
      </c>
      <c r="N4098">
        <v>1</v>
      </c>
      <c r="O4098">
        <v>0</v>
      </c>
      <c r="P4098">
        <v>0</v>
      </c>
      <c r="Q4098">
        <v>0</v>
      </c>
      <c r="R4098" s="3">
        <v>0</v>
      </c>
      <c r="S4098" s="3">
        <v>0</v>
      </c>
      <c r="T4098">
        <v>0</v>
      </c>
      <c r="U4098">
        <v>0</v>
      </c>
      <c r="V4098" s="3">
        <v>0</v>
      </c>
      <c r="W4098" s="3">
        <v>0</v>
      </c>
      <c r="X4098">
        <v>0</v>
      </c>
      <c r="Y4098" t="s">
        <v>3139</v>
      </c>
    </row>
    <row r="4099" spans="1:25" hidden="1" x14ac:dyDescent="0.25">
      <c r="A4099" t="s">
        <v>38</v>
      </c>
      <c r="B4099" t="s">
        <v>108</v>
      </c>
      <c r="C4099" t="s">
        <v>27</v>
      </c>
      <c r="D4099" t="s">
        <v>27</v>
      </c>
      <c r="E4099" s="2">
        <v>46073</v>
      </c>
      <c r="F4099" s="2">
        <v>46073</v>
      </c>
      <c r="G4099" s="3">
        <v>26</v>
      </c>
      <c r="H4099" t="s">
        <v>28</v>
      </c>
      <c r="I4099">
        <v>45</v>
      </c>
      <c r="J4099">
        <v>0</v>
      </c>
      <c r="K4099">
        <v>0</v>
      </c>
      <c r="L4099" s="3">
        <v>1</v>
      </c>
      <c r="M4099" s="3">
        <v>0</v>
      </c>
      <c r="N4099">
        <v>0</v>
      </c>
      <c r="O4099">
        <v>0</v>
      </c>
      <c r="P4099">
        <v>0</v>
      </c>
      <c r="Q4099">
        <v>45</v>
      </c>
      <c r="R4099" s="3">
        <v>0</v>
      </c>
      <c r="S4099" s="3">
        <v>0</v>
      </c>
      <c r="T4099">
        <v>0</v>
      </c>
      <c r="U4099">
        <v>0</v>
      </c>
      <c r="V4099" s="3">
        <v>0</v>
      </c>
      <c r="W4099" s="3">
        <v>0</v>
      </c>
      <c r="X4099">
        <v>0</v>
      </c>
      <c r="Y4099" t="s">
        <v>3140</v>
      </c>
    </row>
    <row r="4100" spans="1:25" hidden="1" x14ac:dyDescent="0.25">
      <c r="A4100" t="s">
        <v>2679</v>
      </c>
      <c r="B4100" t="s">
        <v>2680</v>
      </c>
      <c r="C4100" t="s">
        <v>39</v>
      </c>
      <c r="D4100" t="s">
        <v>27</v>
      </c>
      <c r="E4100" s="2">
        <v>46073</v>
      </c>
      <c r="F4100" s="2">
        <v>46073</v>
      </c>
      <c r="G4100" s="3">
        <v>49</v>
      </c>
      <c r="H4100" t="s">
        <v>28</v>
      </c>
      <c r="I4100">
        <v>68</v>
      </c>
      <c r="J4100">
        <v>0</v>
      </c>
      <c r="K4100">
        <v>0</v>
      </c>
      <c r="L4100" s="3">
        <v>1</v>
      </c>
      <c r="M4100" s="3">
        <v>0</v>
      </c>
      <c r="N4100">
        <v>0</v>
      </c>
      <c r="O4100">
        <v>0</v>
      </c>
      <c r="P4100">
        <v>68</v>
      </c>
      <c r="Q4100">
        <v>68</v>
      </c>
      <c r="R4100" s="3">
        <v>0</v>
      </c>
      <c r="S4100" s="3">
        <v>0</v>
      </c>
      <c r="T4100">
        <v>0</v>
      </c>
      <c r="U4100">
        <v>0</v>
      </c>
      <c r="V4100" s="3">
        <v>0</v>
      </c>
      <c r="W4100" s="3">
        <v>0</v>
      </c>
      <c r="X4100">
        <v>1</v>
      </c>
      <c r="Y4100" t="s">
        <v>3141</v>
      </c>
    </row>
    <row r="4101" spans="1:25" hidden="1" x14ac:dyDescent="0.25">
      <c r="A4101" t="s">
        <v>1316</v>
      </c>
      <c r="B4101" t="s">
        <v>1348</v>
      </c>
      <c r="C4101" t="s">
        <v>2514</v>
      </c>
      <c r="D4101" t="s">
        <v>27</v>
      </c>
      <c r="E4101" s="2">
        <v>46073</v>
      </c>
      <c r="F4101" s="2">
        <v>46073</v>
      </c>
      <c r="G4101" s="3">
        <v>84</v>
      </c>
      <c r="H4101" t="s">
        <v>28</v>
      </c>
      <c r="I4101">
        <v>60</v>
      </c>
      <c r="J4101">
        <v>0</v>
      </c>
      <c r="K4101">
        <v>0</v>
      </c>
      <c r="L4101" s="3">
        <v>1</v>
      </c>
      <c r="M4101" s="3">
        <v>0</v>
      </c>
      <c r="N4101">
        <v>0</v>
      </c>
      <c r="O4101">
        <v>0</v>
      </c>
      <c r="P4101">
        <v>0</v>
      </c>
      <c r="Q4101">
        <v>20</v>
      </c>
      <c r="R4101" s="3">
        <v>0</v>
      </c>
      <c r="S4101" s="3">
        <v>0</v>
      </c>
      <c r="T4101">
        <v>0</v>
      </c>
      <c r="U4101">
        <v>0</v>
      </c>
      <c r="V4101" s="3">
        <v>0</v>
      </c>
      <c r="W4101" s="3">
        <v>0</v>
      </c>
      <c r="X4101">
        <v>0</v>
      </c>
      <c r="Y4101" t="s">
        <v>3142</v>
      </c>
    </row>
    <row r="4102" spans="1:25" hidden="1" x14ac:dyDescent="0.25">
      <c r="A4102" t="s">
        <v>41</v>
      </c>
      <c r="B4102" t="s">
        <v>112</v>
      </c>
      <c r="C4102" t="s">
        <v>42</v>
      </c>
      <c r="D4102" t="s">
        <v>27</v>
      </c>
      <c r="E4102" s="2">
        <v>46073</v>
      </c>
      <c r="F4102" s="2">
        <v>46073</v>
      </c>
      <c r="G4102" s="3">
        <v>47</v>
      </c>
      <c r="H4102" t="s">
        <v>28</v>
      </c>
      <c r="I4102">
        <v>50</v>
      </c>
      <c r="J4102">
        <v>0</v>
      </c>
      <c r="K4102">
        <v>0</v>
      </c>
      <c r="L4102" s="3">
        <v>1</v>
      </c>
      <c r="M4102" s="3">
        <v>0</v>
      </c>
      <c r="N4102">
        <v>0</v>
      </c>
      <c r="O4102">
        <v>0</v>
      </c>
      <c r="P4102">
        <v>0</v>
      </c>
      <c r="Q4102">
        <v>12</v>
      </c>
      <c r="R4102" s="3">
        <v>0</v>
      </c>
      <c r="S4102" s="3">
        <v>0</v>
      </c>
      <c r="T4102">
        <v>0</v>
      </c>
      <c r="U4102">
        <v>0</v>
      </c>
      <c r="V4102" s="3">
        <v>0</v>
      </c>
      <c r="W4102" s="3">
        <v>0</v>
      </c>
      <c r="X4102">
        <v>3</v>
      </c>
      <c r="Y4102" t="s">
        <v>3143</v>
      </c>
    </row>
    <row r="4103" spans="1:25" hidden="1" x14ac:dyDescent="0.25">
      <c r="A4103" t="s">
        <v>43</v>
      </c>
      <c r="B4103" t="s">
        <v>114</v>
      </c>
      <c r="C4103" t="s">
        <v>44</v>
      </c>
      <c r="D4103" t="s">
        <v>27</v>
      </c>
      <c r="E4103" s="2">
        <v>46073</v>
      </c>
      <c r="F4103" s="2">
        <v>46073</v>
      </c>
      <c r="G4103" s="3">
        <v>24</v>
      </c>
      <c r="H4103" t="s">
        <v>28</v>
      </c>
      <c r="I4103">
        <v>47</v>
      </c>
      <c r="J4103">
        <v>0</v>
      </c>
      <c r="K4103">
        <v>0</v>
      </c>
      <c r="L4103" s="3">
        <v>1</v>
      </c>
      <c r="M4103" s="3">
        <v>0</v>
      </c>
      <c r="N4103">
        <v>0</v>
      </c>
      <c r="O4103">
        <v>0</v>
      </c>
      <c r="P4103">
        <v>0</v>
      </c>
      <c r="Q4103">
        <v>4</v>
      </c>
      <c r="R4103" s="3">
        <v>0</v>
      </c>
      <c r="S4103" s="3">
        <v>0</v>
      </c>
      <c r="T4103">
        <v>0</v>
      </c>
      <c r="U4103">
        <v>0</v>
      </c>
      <c r="V4103" s="3">
        <v>0</v>
      </c>
      <c r="W4103" s="3">
        <v>0</v>
      </c>
      <c r="X4103">
        <v>0</v>
      </c>
      <c r="Y4103" t="s">
        <v>3144</v>
      </c>
    </row>
    <row r="4104" spans="1:25" hidden="1" x14ac:dyDescent="0.25">
      <c r="A4104" t="s">
        <v>2118</v>
      </c>
      <c r="B4104" t="s">
        <v>2119</v>
      </c>
      <c r="C4104" t="s">
        <v>27</v>
      </c>
      <c r="D4104" t="s">
        <v>27</v>
      </c>
      <c r="E4104" s="2">
        <v>46073</v>
      </c>
      <c r="F4104" s="2">
        <v>46073</v>
      </c>
      <c r="G4104" s="3">
        <v>34</v>
      </c>
      <c r="H4104" t="s">
        <v>28</v>
      </c>
      <c r="I4104">
        <v>64</v>
      </c>
      <c r="J4104">
        <v>0</v>
      </c>
      <c r="K4104">
        <v>0</v>
      </c>
      <c r="L4104" s="3">
        <v>1</v>
      </c>
      <c r="M4104" s="3">
        <v>0</v>
      </c>
      <c r="N4104">
        <v>0</v>
      </c>
      <c r="O4104">
        <v>0</v>
      </c>
      <c r="P4104">
        <v>0</v>
      </c>
      <c r="Q4104">
        <v>64</v>
      </c>
      <c r="R4104" s="3">
        <v>0</v>
      </c>
      <c r="S4104" s="3">
        <v>0</v>
      </c>
      <c r="T4104">
        <v>0</v>
      </c>
      <c r="U4104">
        <v>0</v>
      </c>
      <c r="V4104" s="3">
        <v>0</v>
      </c>
      <c r="W4104" s="3">
        <v>0</v>
      </c>
      <c r="X4104">
        <v>0</v>
      </c>
      <c r="Y4104" t="s">
        <v>3145</v>
      </c>
    </row>
    <row r="4105" spans="1:25" hidden="1" x14ac:dyDescent="0.25">
      <c r="A4105" t="s">
        <v>45</v>
      </c>
      <c r="B4105" t="s">
        <v>116</v>
      </c>
      <c r="C4105" t="s">
        <v>46</v>
      </c>
      <c r="D4105" t="s">
        <v>27</v>
      </c>
      <c r="E4105" s="2">
        <v>46073</v>
      </c>
      <c r="F4105" s="2">
        <v>46073</v>
      </c>
      <c r="G4105" s="3">
        <v>56</v>
      </c>
      <c r="H4105" t="s">
        <v>28</v>
      </c>
      <c r="I4105">
        <v>68</v>
      </c>
      <c r="J4105">
        <v>0</v>
      </c>
      <c r="K4105">
        <v>0</v>
      </c>
      <c r="L4105" s="3">
        <v>1</v>
      </c>
      <c r="M4105" s="3">
        <v>0</v>
      </c>
      <c r="N4105">
        <v>0</v>
      </c>
      <c r="O4105">
        <v>0</v>
      </c>
      <c r="P4105">
        <v>0</v>
      </c>
      <c r="Q4105">
        <v>12</v>
      </c>
      <c r="R4105" s="3">
        <v>0</v>
      </c>
      <c r="S4105" s="3">
        <v>0</v>
      </c>
      <c r="T4105">
        <v>0</v>
      </c>
      <c r="U4105">
        <v>0</v>
      </c>
      <c r="V4105" s="3">
        <v>0</v>
      </c>
      <c r="W4105" s="3">
        <v>0</v>
      </c>
      <c r="X4105">
        <v>0</v>
      </c>
      <c r="Y4105" t="s">
        <v>3146</v>
      </c>
    </row>
    <row r="4106" spans="1:25" hidden="1" x14ac:dyDescent="0.25">
      <c r="A4106" t="s">
        <v>47</v>
      </c>
      <c r="B4106" t="s">
        <v>137</v>
      </c>
      <c r="C4106" t="s">
        <v>2310</v>
      </c>
      <c r="D4106" t="s">
        <v>27</v>
      </c>
      <c r="E4106" s="2">
        <v>46073</v>
      </c>
      <c r="F4106" s="2">
        <v>46073</v>
      </c>
      <c r="G4106" s="3">
        <v>70</v>
      </c>
      <c r="H4106" t="s">
        <v>28</v>
      </c>
      <c r="I4106">
        <v>89</v>
      </c>
      <c r="J4106">
        <v>0</v>
      </c>
      <c r="K4106">
        <v>0</v>
      </c>
      <c r="L4106" s="3">
        <v>1</v>
      </c>
      <c r="M4106" s="3">
        <v>0</v>
      </c>
      <c r="N4106">
        <v>0</v>
      </c>
      <c r="O4106">
        <v>0</v>
      </c>
      <c r="P4106">
        <v>0</v>
      </c>
      <c r="Q4106">
        <v>4</v>
      </c>
      <c r="R4106" s="3">
        <v>0</v>
      </c>
      <c r="S4106" s="3">
        <v>0</v>
      </c>
      <c r="T4106">
        <v>0</v>
      </c>
      <c r="U4106">
        <v>0</v>
      </c>
      <c r="V4106" s="3">
        <v>0</v>
      </c>
      <c r="W4106" s="3">
        <v>0</v>
      </c>
      <c r="X4106">
        <v>0</v>
      </c>
      <c r="Y4106" t="s">
        <v>3147</v>
      </c>
    </row>
    <row r="4107" spans="1:25" hidden="1" x14ac:dyDescent="0.25">
      <c r="A4107" t="s">
        <v>49</v>
      </c>
      <c r="B4107" t="s">
        <v>118</v>
      </c>
      <c r="C4107" t="s">
        <v>50</v>
      </c>
      <c r="D4107" t="s">
        <v>27</v>
      </c>
      <c r="E4107" s="2">
        <v>46073</v>
      </c>
      <c r="F4107" s="2">
        <v>46073</v>
      </c>
      <c r="G4107" s="3">
        <v>28</v>
      </c>
      <c r="H4107" t="s">
        <v>28</v>
      </c>
      <c r="I4107">
        <v>52</v>
      </c>
      <c r="J4107">
        <v>0</v>
      </c>
      <c r="K4107">
        <v>0</v>
      </c>
      <c r="L4107" s="3">
        <v>1</v>
      </c>
      <c r="M4107" s="3">
        <v>1</v>
      </c>
      <c r="N4107">
        <v>0</v>
      </c>
      <c r="O4107">
        <v>0</v>
      </c>
      <c r="P4107">
        <v>0</v>
      </c>
      <c r="Q4107">
        <v>52</v>
      </c>
      <c r="R4107" s="3">
        <v>0</v>
      </c>
      <c r="S4107" s="3">
        <v>0</v>
      </c>
      <c r="T4107">
        <v>0</v>
      </c>
      <c r="U4107">
        <v>0</v>
      </c>
      <c r="V4107" s="3">
        <v>0</v>
      </c>
      <c r="W4107" s="3">
        <v>0</v>
      </c>
      <c r="X4107">
        <v>0</v>
      </c>
      <c r="Y4107" t="s">
        <v>3148</v>
      </c>
    </row>
    <row r="4108" spans="1:25" hidden="1" x14ac:dyDescent="0.25">
      <c r="A4108" t="s">
        <v>51</v>
      </c>
      <c r="B4108" t="s">
        <v>120</v>
      </c>
      <c r="C4108" t="s">
        <v>2271</v>
      </c>
      <c r="D4108" t="s">
        <v>27</v>
      </c>
      <c r="E4108" s="2">
        <v>46073</v>
      </c>
      <c r="F4108" s="2">
        <v>46073</v>
      </c>
      <c r="G4108" s="3">
        <v>47</v>
      </c>
      <c r="H4108" t="s">
        <v>28</v>
      </c>
      <c r="I4108">
        <v>47</v>
      </c>
      <c r="J4108">
        <v>0</v>
      </c>
      <c r="K4108">
        <v>0</v>
      </c>
      <c r="L4108" s="3">
        <v>1</v>
      </c>
      <c r="M4108" s="3">
        <v>0</v>
      </c>
      <c r="N4108">
        <v>1</v>
      </c>
      <c r="O4108">
        <v>0</v>
      </c>
      <c r="P4108">
        <v>0</v>
      </c>
      <c r="Q4108">
        <v>0</v>
      </c>
      <c r="R4108" s="3">
        <v>0</v>
      </c>
      <c r="S4108" s="3">
        <v>0</v>
      </c>
      <c r="T4108">
        <v>0</v>
      </c>
      <c r="U4108">
        <v>0</v>
      </c>
      <c r="V4108" s="3">
        <v>0</v>
      </c>
      <c r="W4108" s="3">
        <v>0</v>
      </c>
      <c r="X4108">
        <v>0</v>
      </c>
      <c r="Y4108" t="s">
        <v>3149</v>
      </c>
    </row>
    <row r="4109" spans="1:25" hidden="1" x14ac:dyDescent="0.25">
      <c r="A4109" t="s">
        <v>54</v>
      </c>
      <c r="B4109" t="s">
        <v>122</v>
      </c>
      <c r="C4109" t="s">
        <v>52</v>
      </c>
      <c r="D4109" t="s">
        <v>27</v>
      </c>
      <c r="E4109" s="2">
        <v>46073</v>
      </c>
      <c r="F4109" s="2">
        <v>46073</v>
      </c>
      <c r="G4109" s="3">
        <v>42</v>
      </c>
      <c r="H4109" t="s">
        <v>28</v>
      </c>
      <c r="I4109">
        <v>60</v>
      </c>
      <c r="J4109">
        <v>0</v>
      </c>
      <c r="K4109">
        <v>0</v>
      </c>
      <c r="L4109" s="3">
        <v>0</v>
      </c>
      <c r="M4109" s="3">
        <v>0</v>
      </c>
      <c r="N4109">
        <v>0</v>
      </c>
      <c r="O4109">
        <v>0</v>
      </c>
      <c r="P4109">
        <v>0</v>
      </c>
      <c r="Q4109">
        <v>7</v>
      </c>
      <c r="R4109" s="3">
        <v>0</v>
      </c>
      <c r="S4109" s="3">
        <v>0</v>
      </c>
      <c r="T4109">
        <v>0</v>
      </c>
      <c r="U4109">
        <v>0</v>
      </c>
      <c r="V4109" s="3">
        <v>0</v>
      </c>
      <c r="W4109" s="3">
        <v>0</v>
      </c>
      <c r="X4109">
        <v>1</v>
      </c>
      <c r="Y4109" t="s">
        <v>3150</v>
      </c>
    </row>
    <row r="4110" spans="1:25" hidden="1" x14ac:dyDescent="0.25">
      <c r="A4110" t="s">
        <v>48</v>
      </c>
      <c r="B4110" t="s">
        <v>149</v>
      </c>
      <c r="C4110" t="s">
        <v>37</v>
      </c>
      <c r="D4110" t="s">
        <v>27</v>
      </c>
      <c r="E4110" s="2">
        <v>46073</v>
      </c>
      <c r="F4110" s="2">
        <v>46073</v>
      </c>
      <c r="G4110" s="5">
        <v>3572</v>
      </c>
      <c r="H4110" t="s">
        <v>28</v>
      </c>
      <c r="I4110">
        <v>75</v>
      </c>
      <c r="J4110">
        <v>0</v>
      </c>
      <c r="K4110">
        <v>0</v>
      </c>
      <c r="L4110" s="3">
        <v>1</v>
      </c>
      <c r="M4110" s="3">
        <v>0</v>
      </c>
      <c r="N4110">
        <v>0</v>
      </c>
      <c r="O4110">
        <v>0</v>
      </c>
      <c r="P4110">
        <v>0</v>
      </c>
      <c r="Q4110">
        <v>0</v>
      </c>
      <c r="R4110" s="3">
        <v>0</v>
      </c>
      <c r="S4110" s="3">
        <v>0</v>
      </c>
      <c r="T4110">
        <v>0</v>
      </c>
      <c r="U4110">
        <v>0</v>
      </c>
      <c r="V4110" s="3">
        <v>0</v>
      </c>
      <c r="W4110" s="3">
        <v>0</v>
      </c>
      <c r="X4110">
        <v>0</v>
      </c>
      <c r="Y4110" t="s">
        <v>3151</v>
      </c>
    </row>
    <row r="4111" spans="1:25" hidden="1" x14ac:dyDescent="0.25">
      <c r="A4111" t="s">
        <v>25</v>
      </c>
      <c r="B4111" t="s">
        <v>96</v>
      </c>
      <c r="C4111" t="s">
        <v>26</v>
      </c>
      <c r="D4111" t="s">
        <v>27</v>
      </c>
      <c r="E4111" s="2">
        <v>46074</v>
      </c>
      <c r="F4111" s="2">
        <v>46074</v>
      </c>
      <c r="G4111" s="3">
        <v>73</v>
      </c>
      <c r="H4111" t="s">
        <v>3152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3136</v>
      </c>
    </row>
    <row r="4112" spans="1:25" hidden="1" x14ac:dyDescent="0.25">
      <c r="A4112" t="s">
        <v>31</v>
      </c>
      <c r="B4112" t="s">
        <v>104</v>
      </c>
      <c r="C4112" t="s">
        <v>32</v>
      </c>
      <c r="D4112" t="s">
        <v>27</v>
      </c>
      <c r="E4112" s="2">
        <v>46074</v>
      </c>
      <c r="F4112" s="2">
        <v>46074</v>
      </c>
      <c r="G4112" s="3">
        <v>35</v>
      </c>
      <c r="H4112" t="s">
        <v>3152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3137</v>
      </c>
    </row>
    <row r="4113" spans="1:25" hidden="1" x14ac:dyDescent="0.25">
      <c r="A4113" t="s">
        <v>2899</v>
      </c>
      <c r="B4113" t="s">
        <v>2998</v>
      </c>
      <c r="C4113" t="s">
        <v>95</v>
      </c>
      <c r="D4113" t="s">
        <v>27</v>
      </c>
      <c r="E4113" s="2">
        <v>46074</v>
      </c>
      <c r="F4113" s="2">
        <v>46074</v>
      </c>
      <c r="G4113" s="3">
        <v>39</v>
      </c>
      <c r="H4113" t="s">
        <v>3152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3138</v>
      </c>
    </row>
    <row r="4114" spans="1:25" hidden="1" x14ac:dyDescent="0.25">
      <c r="A4114" t="s">
        <v>36</v>
      </c>
      <c r="B4114" t="s">
        <v>249</v>
      </c>
      <c r="C4114" t="s">
        <v>2534</v>
      </c>
      <c r="D4114" t="s">
        <v>27</v>
      </c>
      <c r="E4114" s="2">
        <v>46074</v>
      </c>
      <c r="F4114" s="2">
        <v>46074</v>
      </c>
      <c r="G4114" s="3">
        <v>74</v>
      </c>
      <c r="H4114" t="s">
        <v>3152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3139</v>
      </c>
    </row>
    <row r="4115" spans="1:25" hidden="1" x14ac:dyDescent="0.25">
      <c r="A4115" t="s">
        <v>38</v>
      </c>
      <c r="B4115" t="s">
        <v>108</v>
      </c>
      <c r="C4115" t="s">
        <v>27</v>
      </c>
      <c r="D4115" t="s">
        <v>27</v>
      </c>
      <c r="E4115" s="2">
        <v>46074</v>
      </c>
      <c r="F4115" s="2">
        <v>46074</v>
      </c>
      <c r="G4115" s="3">
        <v>26</v>
      </c>
      <c r="H4115" t="s">
        <v>3152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3140</v>
      </c>
    </row>
    <row r="4116" spans="1:25" hidden="1" x14ac:dyDescent="0.25">
      <c r="A4116" t="s">
        <v>2679</v>
      </c>
      <c r="B4116" t="s">
        <v>2680</v>
      </c>
      <c r="C4116" t="s">
        <v>39</v>
      </c>
      <c r="D4116" t="s">
        <v>27</v>
      </c>
      <c r="E4116" s="2">
        <v>46074</v>
      </c>
      <c r="F4116" s="2">
        <v>46074</v>
      </c>
      <c r="G4116" s="3">
        <v>49</v>
      </c>
      <c r="H4116" t="s">
        <v>3152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3141</v>
      </c>
    </row>
    <row r="4117" spans="1:25" hidden="1" x14ac:dyDescent="0.25">
      <c r="A4117" t="s">
        <v>1316</v>
      </c>
      <c r="B4117" t="s">
        <v>1348</v>
      </c>
      <c r="C4117" t="s">
        <v>27</v>
      </c>
      <c r="D4117" t="s">
        <v>27</v>
      </c>
      <c r="E4117" s="2">
        <v>46074</v>
      </c>
      <c r="F4117" s="2">
        <v>46074</v>
      </c>
      <c r="G4117" s="3">
        <v>84</v>
      </c>
      <c r="H4117" t="s">
        <v>3153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3142</v>
      </c>
    </row>
    <row r="4118" spans="1:25" hidden="1" x14ac:dyDescent="0.25">
      <c r="A4118" t="s">
        <v>94</v>
      </c>
      <c r="B4118" t="s">
        <v>1348</v>
      </c>
      <c r="C4118" t="s">
        <v>2271</v>
      </c>
      <c r="D4118" t="s">
        <v>27</v>
      </c>
      <c r="E4118" s="2">
        <v>46074</v>
      </c>
      <c r="F4118" s="2">
        <v>46074</v>
      </c>
      <c r="G4118" s="3">
        <v>84</v>
      </c>
      <c r="H4118" t="s">
        <v>3152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3142</v>
      </c>
    </row>
    <row r="4119" spans="1:25" hidden="1" x14ac:dyDescent="0.25">
      <c r="A4119" t="s">
        <v>94</v>
      </c>
      <c r="B4119" t="s">
        <v>1348</v>
      </c>
      <c r="C4119" t="s">
        <v>2514</v>
      </c>
      <c r="D4119" t="s">
        <v>27</v>
      </c>
      <c r="E4119" s="2">
        <v>46074</v>
      </c>
      <c r="F4119" s="2">
        <v>46074</v>
      </c>
      <c r="G4119" s="3">
        <v>84</v>
      </c>
      <c r="H4119" t="s">
        <v>3152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3142</v>
      </c>
    </row>
    <row r="4120" spans="1:25" hidden="1" x14ac:dyDescent="0.25">
      <c r="A4120" t="s">
        <v>41</v>
      </c>
      <c r="B4120" t="s">
        <v>112</v>
      </c>
      <c r="C4120" t="s">
        <v>42</v>
      </c>
      <c r="D4120" t="s">
        <v>27</v>
      </c>
      <c r="E4120" s="2">
        <v>46074</v>
      </c>
      <c r="F4120" s="2">
        <v>46074</v>
      </c>
      <c r="G4120" s="3">
        <v>47</v>
      </c>
      <c r="H4120" s="4" t="s">
        <v>28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73</v>
      </c>
      <c r="U4120">
        <f>14+16</f>
        <v>30</v>
      </c>
      <c r="V4120">
        <v>1</v>
      </c>
      <c r="W4120">
        <v>0</v>
      </c>
      <c r="X4120">
        <f>6+5</f>
        <v>11</v>
      </c>
      <c r="Y4120" t="s">
        <v>3143</v>
      </c>
    </row>
    <row r="4121" spans="1:25" hidden="1" x14ac:dyDescent="0.25">
      <c r="A4121" t="s">
        <v>43</v>
      </c>
      <c r="B4121" t="s">
        <v>114</v>
      </c>
      <c r="C4121" t="s">
        <v>27</v>
      </c>
      <c r="D4121" t="s">
        <v>27</v>
      </c>
      <c r="E4121" s="2">
        <v>46074</v>
      </c>
      <c r="F4121" s="2">
        <v>46074</v>
      </c>
      <c r="G4121" s="3">
        <v>24</v>
      </c>
      <c r="H4121" t="s">
        <v>3152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3144</v>
      </c>
    </row>
    <row r="4122" spans="1:25" hidden="1" x14ac:dyDescent="0.25">
      <c r="A4122" t="s">
        <v>2118</v>
      </c>
      <c r="B4122" t="s">
        <v>2119</v>
      </c>
      <c r="C4122" t="s">
        <v>27</v>
      </c>
      <c r="D4122" t="s">
        <v>27</v>
      </c>
      <c r="E4122" s="2">
        <v>46074</v>
      </c>
      <c r="F4122" s="2">
        <v>46074</v>
      </c>
      <c r="G4122" s="3">
        <v>34</v>
      </c>
      <c r="H4122" t="s">
        <v>3152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3145</v>
      </c>
    </row>
    <row r="4123" spans="1:25" hidden="1" x14ac:dyDescent="0.25">
      <c r="A4123" t="s">
        <v>45</v>
      </c>
      <c r="B4123" t="s">
        <v>116</v>
      </c>
      <c r="C4123" t="s">
        <v>46</v>
      </c>
      <c r="D4123" t="s">
        <v>27</v>
      </c>
      <c r="E4123" s="2">
        <v>46074</v>
      </c>
      <c r="F4123" s="2">
        <v>46074</v>
      </c>
      <c r="G4123" s="3">
        <v>56</v>
      </c>
      <c r="H4123" t="s">
        <v>3152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3146</v>
      </c>
    </row>
    <row r="4124" spans="1:25" hidden="1" x14ac:dyDescent="0.25">
      <c r="A4124" t="s">
        <v>47</v>
      </c>
      <c r="B4124" t="s">
        <v>137</v>
      </c>
      <c r="C4124" t="s">
        <v>2310</v>
      </c>
      <c r="D4124" t="s">
        <v>27</v>
      </c>
      <c r="E4124" s="2">
        <v>46074</v>
      </c>
      <c r="F4124" s="2">
        <v>46074</v>
      </c>
      <c r="G4124" s="3">
        <v>70</v>
      </c>
      <c r="H4124" t="s">
        <v>3152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 t="s">
        <v>3147</v>
      </c>
    </row>
    <row r="4125" spans="1:25" hidden="1" x14ac:dyDescent="0.25">
      <c r="A4125" t="s">
        <v>49</v>
      </c>
      <c r="B4125" t="s">
        <v>118</v>
      </c>
      <c r="C4125" t="s">
        <v>50</v>
      </c>
      <c r="D4125" t="s">
        <v>27</v>
      </c>
      <c r="E4125" s="2">
        <v>46074</v>
      </c>
      <c r="F4125" s="2">
        <v>46074</v>
      </c>
      <c r="G4125" s="3">
        <v>28</v>
      </c>
      <c r="H4125" t="s">
        <v>3152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3148</v>
      </c>
    </row>
    <row r="4126" spans="1:25" hidden="1" x14ac:dyDescent="0.25">
      <c r="A4126" t="s">
        <v>51</v>
      </c>
      <c r="B4126" t="s">
        <v>120</v>
      </c>
      <c r="C4126" t="s">
        <v>44</v>
      </c>
      <c r="D4126" t="s">
        <v>27</v>
      </c>
      <c r="E4126" s="2">
        <v>46074</v>
      </c>
      <c r="F4126" s="2">
        <v>46074</v>
      </c>
      <c r="G4126" s="3">
        <v>47</v>
      </c>
      <c r="H4126" s="4" t="s">
        <v>28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9</v>
      </c>
      <c r="U4126">
        <v>41</v>
      </c>
      <c r="V4126">
        <v>0</v>
      </c>
      <c r="W4126">
        <v>0</v>
      </c>
      <c r="X4126">
        <v>1</v>
      </c>
      <c r="Y4126" t="s">
        <v>3149</v>
      </c>
    </row>
    <row r="4127" spans="1:25" hidden="1" x14ac:dyDescent="0.25">
      <c r="A4127" t="s">
        <v>54</v>
      </c>
      <c r="B4127" t="s">
        <v>122</v>
      </c>
      <c r="C4127" t="s">
        <v>52</v>
      </c>
      <c r="D4127" t="s">
        <v>27</v>
      </c>
      <c r="E4127" s="2">
        <v>46074</v>
      </c>
      <c r="F4127" s="2">
        <v>46074</v>
      </c>
      <c r="G4127" s="3">
        <v>42</v>
      </c>
      <c r="H4127" t="s">
        <v>3152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3150</v>
      </c>
    </row>
    <row r="4128" spans="1:25" hidden="1" x14ac:dyDescent="0.25">
      <c r="A4128" t="s">
        <v>48</v>
      </c>
      <c r="B4128" t="s">
        <v>149</v>
      </c>
      <c r="C4128" t="s">
        <v>37</v>
      </c>
      <c r="D4128" t="s">
        <v>27</v>
      </c>
      <c r="E4128" s="2">
        <v>46074</v>
      </c>
      <c r="F4128" s="2">
        <v>46074</v>
      </c>
      <c r="G4128" s="5">
        <v>3572</v>
      </c>
      <c r="H4128" t="s">
        <v>3152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3151</v>
      </c>
    </row>
    <row r="4129" spans="1:25" hidden="1" x14ac:dyDescent="0.25">
      <c r="A4129" t="s">
        <v>33</v>
      </c>
      <c r="B4129" t="s">
        <v>106</v>
      </c>
      <c r="C4129" t="s">
        <v>2514</v>
      </c>
      <c r="D4129" t="s">
        <v>27</v>
      </c>
      <c r="E4129" s="43">
        <v>46075</v>
      </c>
      <c r="F4129" s="43">
        <v>46075</v>
      </c>
      <c r="G4129" s="3">
        <v>40</v>
      </c>
      <c r="H4129" s="4" t="s">
        <v>28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61</v>
      </c>
      <c r="V4129">
        <v>0</v>
      </c>
      <c r="W4129">
        <v>1</v>
      </c>
      <c r="X4129">
        <v>0</v>
      </c>
      <c r="Y4129" t="s">
        <v>3154</v>
      </c>
    </row>
    <row r="4130" spans="1:25" hidden="1" x14ac:dyDescent="0.25">
      <c r="A4130" t="s">
        <v>48</v>
      </c>
      <c r="B4130" t="s">
        <v>149</v>
      </c>
      <c r="C4130" t="s">
        <v>52</v>
      </c>
      <c r="D4130" t="s">
        <v>27</v>
      </c>
      <c r="E4130" s="43">
        <v>46075</v>
      </c>
      <c r="F4130" s="43">
        <v>46075</v>
      </c>
      <c r="G4130" s="3">
        <v>374</v>
      </c>
      <c r="H4130" s="4" t="s">
        <v>28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3</v>
      </c>
      <c r="U4130">
        <v>48</v>
      </c>
      <c r="V4130">
        <v>0</v>
      </c>
      <c r="W4130">
        <v>1</v>
      </c>
      <c r="X4130">
        <v>0</v>
      </c>
      <c r="Y4130" t="s">
        <v>3155</v>
      </c>
    </row>
    <row r="4131" spans="1:25" hidden="1" x14ac:dyDescent="0.25">
      <c r="A4131" t="s">
        <v>41</v>
      </c>
      <c r="B4131" t="s">
        <v>112</v>
      </c>
      <c r="C4131" t="s">
        <v>42</v>
      </c>
      <c r="D4131" t="s">
        <v>27</v>
      </c>
      <c r="E4131" s="43">
        <v>46075</v>
      </c>
      <c r="F4131" s="43">
        <v>46075</v>
      </c>
      <c r="G4131" s="3">
        <v>47</v>
      </c>
      <c r="H4131" s="4" t="s">
        <v>28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f>6+11</f>
        <v>17</v>
      </c>
      <c r="U4131">
        <v>0</v>
      </c>
      <c r="V4131">
        <v>0</v>
      </c>
      <c r="W4131">
        <v>1</v>
      </c>
      <c r="X4131">
        <v>6</v>
      </c>
      <c r="Y4131" t="s">
        <v>3143</v>
      </c>
    </row>
    <row r="4132" spans="1:25" hidden="1" x14ac:dyDescent="0.25">
      <c r="A4132" t="s">
        <v>25</v>
      </c>
      <c r="B4132" t="s">
        <v>96</v>
      </c>
      <c r="C4132" t="s">
        <v>26</v>
      </c>
      <c r="D4132" t="s">
        <v>27</v>
      </c>
      <c r="E4132" s="2">
        <v>46076</v>
      </c>
      <c r="F4132" s="2">
        <v>46076</v>
      </c>
      <c r="G4132" s="3">
        <v>151</v>
      </c>
      <c r="H4132" s="4" t="s">
        <v>28</v>
      </c>
      <c r="I4132">
        <f>28+10</f>
        <v>38</v>
      </c>
      <c r="J4132">
        <v>0</v>
      </c>
      <c r="K4132">
        <v>0</v>
      </c>
      <c r="L4132" s="3">
        <v>1</v>
      </c>
      <c r="M4132" s="3">
        <v>0</v>
      </c>
      <c r="N4132">
        <v>1</v>
      </c>
      <c r="O4132">
        <v>0</v>
      </c>
      <c r="P4132">
        <v>0</v>
      </c>
      <c r="Q4132">
        <v>0</v>
      </c>
      <c r="R4132" s="3">
        <v>0</v>
      </c>
      <c r="S4132" s="3">
        <v>0</v>
      </c>
      <c r="T4132">
        <v>0</v>
      </c>
      <c r="U4132">
        <v>0</v>
      </c>
      <c r="V4132" s="3">
        <v>0</v>
      </c>
      <c r="W4132" s="3">
        <v>0</v>
      </c>
      <c r="X4132">
        <v>0</v>
      </c>
      <c r="Y4132" t="s">
        <v>3156</v>
      </c>
    </row>
    <row r="4133" spans="1:25" hidden="1" x14ac:dyDescent="0.25">
      <c r="A4133" t="s">
        <v>31</v>
      </c>
      <c r="B4133" t="s">
        <v>104</v>
      </c>
      <c r="C4133" t="s">
        <v>32</v>
      </c>
      <c r="D4133" t="s">
        <v>27</v>
      </c>
      <c r="E4133" s="2">
        <v>46076</v>
      </c>
      <c r="F4133" s="2">
        <v>46076</v>
      </c>
      <c r="G4133" s="3">
        <v>92</v>
      </c>
      <c r="H4133" s="4" t="s">
        <v>28</v>
      </c>
      <c r="I4133">
        <f>91+0</f>
        <v>91</v>
      </c>
      <c r="J4133">
        <v>37</v>
      </c>
      <c r="K4133">
        <v>0</v>
      </c>
      <c r="L4133" s="3">
        <v>0</v>
      </c>
      <c r="M4133" s="3">
        <v>0</v>
      </c>
      <c r="N4133">
        <v>0</v>
      </c>
      <c r="O4133">
        <v>0</v>
      </c>
      <c r="P4133">
        <v>0</v>
      </c>
      <c r="Q4133">
        <v>30</v>
      </c>
      <c r="R4133" s="3">
        <v>0</v>
      </c>
      <c r="S4133" s="3">
        <v>0</v>
      </c>
      <c r="T4133">
        <v>0</v>
      </c>
      <c r="U4133">
        <v>0</v>
      </c>
      <c r="V4133" s="3">
        <v>0</v>
      </c>
      <c r="W4133" s="3">
        <v>0</v>
      </c>
      <c r="X4133">
        <v>2</v>
      </c>
      <c r="Y4133" t="s">
        <v>3157</v>
      </c>
    </row>
    <row r="4134" spans="1:25" hidden="1" x14ac:dyDescent="0.25">
      <c r="A4134" t="s">
        <v>33</v>
      </c>
      <c r="B4134" t="s">
        <v>106</v>
      </c>
      <c r="C4134" t="s">
        <v>2835</v>
      </c>
      <c r="D4134" t="s">
        <v>27</v>
      </c>
      <c r="E4134" s="2">
        <v>46076</v>
      </c>
      <c r="F4134" s="2">
        <v>46076</v>
      </c>
      <c r="G4134" s="3">
        <v>25</v>
      </c>
      <c r="H4134" s="4" t="s">
        <v>28</v>
      </c>
      <c r="I4134">
        <f>62+3</f>
        <v>65</v>
      </c>
      <c r="J4134">
        <v>0</v>
      </c>
      <c r="K4134">
        <v>0</v>
      </c>
      <c r="L4134" s="3">
        <v>0</v>
      </c>
      <c r="M4134" s="3">
        <v>0</v>
      </c>
      <c r="N4134">
        <v>0</v>
      </c>
      <c r="O4134">
        <v>0</v>
      </c>
      <c r="P4134">
        <v>0</v>
      </c>
      <c r="Q4134">
        <v>21</v>
      </c>
      <c r="R4134" s="3">
        <v>0</v>
      </c>
      <c r="S4134" s="3">
        <v>0</v>
      </c>
      <c r="T4134">
        <v>0</v>
      </c>
      <c r="U4134">
        <v>0</v>
      </c>
      <c r="V4134" s="3">
        <v>0</v>
      </c>
      <c r="W4134" s="3">
        <v>0</v>
      </c>
      <c r="X4134">
        <v>0</v>
      </c>
      <c r="Y4134" t="s">
        <v>3158</v>
      </c>
    </row>
    <row r="4135" spans="1:25" hidden="1" x14ac:dyDescent="0.25">
      <c r="A4135" t="s">
        <v>2899</v>
      </c>
      <c r="B4135" t="s">
        <v>2998</v>
      </c>
      <c r="C4135" t="s">
        <v>95</v>
      </c>
      <c r="D4135" t="s">
        <v>35</v>
      </c>
      <c r="E4135" s="2">
        <v>46076</v>
      </c>
      <c r="F4135" s="2">
        <v>46076</v>
      </c>
      <c r="G4135" s="3">
        <v>27</v>
      </c>
      <c r="H4135" s="4" t="s">
        <v>28</v>
      </c>
      <c r="I4135">
        <v>50</v>
      </c>
      <c r="J4135">
        <v>0</v>
      </c>
      <c r="K4135">
        <v>0</v>
      </c>
      <c r="L4135" s="3">
        <v>1</v>
      </c>
      <c r="M4135" s="3">
        <v>0</v>
      </c>
      <c r="N4135">
        <v>0</v>
      </c>
      <c r="O4135">
        <v>0</v>
      </c>
      <c r="P4135">
        <v>12</v>
      </c>
      <c r="Q4135">
        <v>13</v>
      </c>
      <c r="R4135" s="3">
        <v>0</v>
      </c>
      <c r="S4135" s="3">
        <v>0</v>
      </c>
      <c r="T4135">
        <v>0</v>
      </c>
      <c r="U4135">
        <v>0</v>
      </c>
      <c r="V4135" s="3">
        <v>0</v>
      </c>
      <c r="W4135" s="3">
        <v>0</v>
      </c>
      <c r="X4135">
        <v>0</v>
      </c>
      <c r="Y4135" t="s">
        <v>3159</v>
      </c>
    </row>
    <row r="4136" spans="1:25" hidden="1" x14ac:dyDescent="0.25">
      <c r="A4136" t="s">
        <v>36</v>
      </c>
      <c r="B4136" t="s">
        <v>249</v>
      </c>
      <c r="C4136" t="s">
        <v>2534</v>
      </c>
      <c r="D4136" t="s">
        <v>27</v>
      </c>
      <c r="E4136" s="2">
        <v>46076</v>
      </c>
      <c r="F4136" s="2">
        <v>46076</v>
      </c>
      <c r="G4136" s="3">
        <v>65</v>
      </c>
      <c r="H4136" s="4" t="s">
        <v>28</v>
      </c>
      <c r="I4136">
        <v>91</v>
      </c>
      <c r="J4136">
        <v>0</v>
      </c>
      <c r="K4136">
        <v>0</v>
      </c>
      <c r="L4136" s="3">
        <v>1</v>
      </c>
      <c r="M4136" s="3">
        <v>0</v>
      </c>
      <c r="N4136">
        <v>1</v>
      </c>
      <c r="O4136">
        <v>0</v>
      </c>
      <c r="P4136">
        <v>0</v>
      </c>
      <c r="Q4136">
        <v>0</v>
      </c>
      <c r="R4136" s="3">
        <v>0</v>
      </c>
      <c r="S4136" s="3">
        <v>0</v>
      </c>
      <c r="T4136">
        <v>0</v>
      </c>
      <c r="U4136">
        <v>0</v>
      </c>
      <c r="V4136" s="3">
        <v>0</v>
      </c>
      <c r="W4136" s="3">
        <v>0</v>
      </c>
      <c r="X4136">
        <v>0</v>
      </c>
      <c r="Y4136" t="s">
        <v>3160</v>
      </c>
    </row>
    <row r="4137" spans="1:25" hidden="1" x14ac:dyDescent="0.25">
      <c r="A4137" t="s">
        <v>38</v>
      </c>
      <c r="B4137" t="s">
        <v>108</v>
      </c>
      <c r="C4137" t="s">
        <v>27</v>
      </c>
      <c r="D4137" t="s">
        <v>27</v>
      </c>
      <c r="E4137" s="2">
        <v>46076</v>
      </c>
      <c r="F4137" s="2">
        <v>46076</v>
      </c>
      <c r="G4137" s="3">
        <v>33</v>
      </c>
      <c r="H4137" s="4" t="s">
        <v>3161</v>
      </c>
      <c r="I4137">
        <v>46</v>
      </c>
      <c r="J4137">
        <v>0</v>
      </c>
      <c r="K4137">
        <v>0</v>
      </c>
      <c r="L4137" s="3">
        <v>1</v>
      </c>
      <c r="M4137" s="3">
        <v>0</v>
      </c>
      <c r="N4137">
        <v>0</v>
      </c>
      <c r="O4137">
        <v>0</v>
      </c>
      <c r="P4137">
        <v>0</v>
      </c>
      <c r="Q4137">
        <v>46</v>
      </c>
      <c r="R4137" s="3">
        <v>0</v>
      </c>
      <c r="S4137" s="3">
        <v>0</v>
      </c>
      <c r="T4137">
        <v>0</v>
      </c>
      <c r="U4137">
        <v>0</v>
      </c>
      <c r="V4137" s="3">
        <v>0</v>
      </c>
      <c r="W4137" s="3">
        <v>0</v>
      </c>
      <c r="X4137">
        <v>0</v>
      </c>
      <c r="Y4137" t="s">
        <v>3162</v>
      </c>
    </row>
    <row r="4138" spans="1:25" hidden="1" x14ac:dyDescent="0.25">
      <c r="A4138" t="s">
        <v>2679</v>
      </c>
      <c r="B4138" t="s">
        <v>2680</v>
      </c>
      <c r="C4138" t="s">
        <v>39</v>
      </c>
      <c r="D4138" t="s">
        <v>27</v>
      </c>
      <c r="E4138" s="2">
        <v>46076</v>
      </c>
      <c r="F4138" s="2">
        <v>46076</v>
      </c>
      <c r="G4138" s="3">
        <v>37</v>
      </c>
      <c r="H4138" s="4" t="s">
        <v>3161</v>
      </c>
      <c r="I4138">
        <v>49</v>
      </c>
      <c r="J4138">
        <v>0</v>
      </c>
      <c r="K4138">
        <v>0</v>
      </c>
      <c r="L4138" s="3">
        <v>0</v>
      </c>
      <c r="M4138" s="3">
        <v>0</v>
      </c>
      <c r="N4138">
        <v>0</v>
      </c>
      <c r="O4138">
        <v>0</v>
      </c>
      <c r="P4138">
        <v>0</v>
      </c>
      <c r="Q4138">
        <v>49</v>
      </c>
      <c r="R4138" s="3">
        <v>0</v>
      </c>
      <c r="S4138" s="3">
        <v>0</v>
      </c>
      <c r="T4138">
        <v>0</v>
      </c>
      <c r="U4138">
        <v>0</v>
      </c>
      <c r="V4138" s="3">
        <v>0</v>
      </c>
      <c r="W4138" s="3">
        <v>0</v>
      </c>
      <c r="X4138">
        <v>0</v>
      </c>
      <c r="Y4138" t="s">
        <v>3163</v>
      </c>
    </row>
    <row r="4139" spans="1:25" hidden="1" x14ac:dyDescent="0.25">
      <c r="A4139" t="s">
        <v>1316</v>
      </c>
      <c r="B4139" t="s">
        <v>1348</v>
      </c>
      <c r="C4139" t="s">
        <v>2514</v>
      </c>
      <c r="D4139" t="s">
        <v>27</v>
      </c>
      <c r="E4139" s="2">
        <v>46076</v>
      </c>
      <c r="F4139" s="2">
        <v>46076</v>
      </c>
      <c r="G4139" s="3">
        <v>75</v>
      </c>
      <c r="H4139" s="4" t="s">
        <v>28</v>
      </c>
      <c r="I4139">
        <v>56</v>
      </c>
      <c r="J4139">
        <v>0</v>
      </c>
      <c r="K4139">
        <v>0</v>
      </c>
      <c r="L4139" s="3">
        <v>1</v>
      </c>
      <c r="M4139" s="3">
        <v>0</v>
      </c>
      <c r="N4139">
        <v>0</v>
      </c>
      <c r="O4139">
        <v>0</v>
      </c>
      <c r="P4139">
        <v>0</v>
      </c>
      <c r="Q4139">
        <v>20</v>
      </c>
      <c r="R4139" s="3">
        <v>0</v>
      </c>
      <c r="S4139" s="3">
        <v>0</v>
      </c>
      <c r="T4139">
        <v>0</v>
      </c>
      <c r="U4139">
        <v>0</v>
      </c>
      <c r="V4139" s="3">
        <v>0</v>
      </c>
      <c r="W4139" s="3">
        <v>0</v>
      </c>
      <c r="X4139">
        <v>0</v>
      </c>
      <c r="Y4139" t="s">
        <v>3164</v>
      </c>
    </row>
    <row r="4140" spans="1:25" s="1" customFormat="1" hidden="1" x14ac:dyDescent="0.25">
      <c r="A4140" s="1" t="s">
        <v>41</v>
      </c>
      <c r="B4140" s="1" t="s">
        <v>112</v>
      </c>
      <c r="C4140" s="1" t="s">
        <v>42</v>
      </c>
      <c r="D4140" s="1" t="s">
        <v>27</v>
      </c>
      <c r="E4140" s="10">
        <v>46076</v>
      </c>
      <c r="F4140" s="10">
        <v>46076</v>
      </c>
      <c r="G4140" s="41">
        <v>77</v>
      </c>
      <c r="H4140" s="15" t="s">
        <v>28</v>
      </c>
      <c r="I4140" s="1">
        <v>55</v>
      </c>
      <c r="J4140" s="1">
        <v>0</v>
      </c>
      <c r="K4140" s="1">
        <v>0</v>
      </c>
      <c r="L4140" s="41">
        <v>1</v>
      </c>
      <c r="M4140" s="41">
        <v>0</v>
      </c>
      <c r="N4140" s="1">
        <v>0</v>
      </c>
      <c r="O4140" s="1">
        <v>0</v>
      </c>
      <c r="P4140" s="1">
        <v>0</v>
      </c>
      <c r="Q4140" s="1">
        <v>14</v>
      </c>
      <c r="R4140" s="41">
        <v>0</v>
      </c>
      <c r="S4140" s="41">
        <v>0</v>
      </c>
      <c r="T4140" s="1">
        <v>0</v>
      </c>
      <c r="U4140" s="1">
        <v>0</v>
      </c>
      <c r="V4140" s="41">
        <v>0</v>
      </c>
      <c r="W4140" s="41">
        <v>0</v>
      </c>
      <c r="X4140" s="1">
        <v>5</v>
      </c>
      <c r="Y4140" s="1" t="s">
        <v>3165</v>
      </c>
    </row>
    <row r="4141" spans="1:25" hidden="1" x14ac:dyDescent="0.25">
      <c r="A4141" t="s">
        <v>43</v>
      </c>
      <c r="B4141" t="s">
        <v>114</v>
      </c>
      <c r="C4141" t="s">
        <v>44</v>
      </c>
      <c r="D4141" t="s">
        <v>27</v>
      </c>
      <c r="E4141" s="2">
        <v>46076</v>
      </c>
      <c r="F4141" s="2">
        <v>46076</v>
      </c>
      <c r="G4141" s="3">
        <v>23</v>
      </c>
      <c r="H4141" s="4" t="s">
        <v>28</v>
      </c>
      <c r="I4141">
        <v>43</v>
      </c>
      <c r="J4141">
        <v>0</v>
      </c>
      <c r="K4141">
        <v>0</v>
      </c>
      <c r="L4141" s="3">
        <v>0</v>
      </c>
      <c r="M4141" s="3">
        <v>0</v>
      </c>
      <c r="N4141">
        <v>0</v>
      </c>
      <c r="O4141">
        <v>0</v>
      </c>
      <c r="P4141">
        <v>0</v>
      </c>
      <c r="Q4141">
        <v>0</v>
      </c>
      <c r="R4141" s="3">
        <v>0</v>
      </c>
      <c r="S4141" s="3">
        <v>0</v>
      </c>
      <c r="T4141">
        <v>0</v>
      </c>
      <c r="U4141">
        <v>0</v>
      </c>
      <c r="V4141" s="3">
        <v>0</v>
      </c>
      <c r="W4141" s="3">
        <v>0</v>
      </c>
      <c r="X4141">
        <v>0</v>
      </c>
      <c r="Y4141" t="s">
        <v>3166</v>
      </c>
    </row>
    <row r="4142" spans="1:25" hidden="1" x14ac:dyDescent="0.25">
      <c r="A4142" t="s">
        <v>2118</v>
      </c>
      <c r="B4142" t="s">
        <v>2119</v>
      </c>
      <c r="C4142" t="s">
        <v>27</v>
      </c>
      <c r="D4142" t="s">
        <v>27</v>
      </c>
      <c r="E4142" s="2">
        <v>46076</v>
      </c>
      <c r="F4142" s="2">
        <v>46076</v>
      </c>
      <c r="G4142" s="3">
        <v>41</v>
      </c>
      <c r="H4142" s="4" t="s">
        <v>3161</v>
      </c>
      <c r="I4142">
        <v>63</v>
      </c>
      <c r="J4142">
        <v>0</v>
      </c>
      <c r="K4142">
        <v>0</v>
      </c>
      <c r="L4142" s="3">
        <v>1</v>
      </c>
      <c r="M4142" s="3">
        <v>0</v>
      </c>
      <c r="N4142">
        <v>0</v>
      </c>
      <c r="O4142">
        <v>0</v>
      </c>
      <c r="P4142">
        <v>0</v>
      </c>
      <c r="Q4142">
        <v>63</v>
      </c>
      <c r="R4142" s="3">
        <v>0</v>
      </c>
      <c r="S4142" s="3">
        <v>0</v>
      </c>
      <c r="T4142">
        <v>0</v>
      </c>
      <c r="U4142">
        <v>0</v>
      </c>
      <c r="V4142" s="3">
        <v>0</v>
      </c>
      <c r="W4142" s="3">
        <v>0</v>
      </c>
      <c r="X4142">
        <v>0</v>
      </c>
      <c r="Y4142" t="s">
        <v>3167</v>
      </c>
    </row>
    <row r="4143" spans="1:25" hidden="1" x14ac:dyDescent="0.25">
      <c r="A4143" t="s">
        <v>45</v>
      </c>
      <c r="B4143" t="s">
        <v>116</v>
      </c>
      <c r="C4143" t="s">
        <v>46</v>
      </c>
      <c r="D4143" t="s">
        <v>27</v>
      </c>
      <c r="E4143" s="2">
        <v>46076</v>
      </c>
      <c r="F4143" s="2">
        <v>46076</v>
      </c>
      <c r="G4143" s="3">
        <v>45</v>
      </c>
      <c r="H4143" s="4" t="s">
        <v>28</v>
      </c>
      <c r="I4143">
        <f>47+27</f>
        <v>74</v>
      </c>
      <c r="J4143">
        <v>0</v>
      </c>
      <c r="K4143">
        <v>0</v>
      </c>
      <c r="L4143" s="3">
        <v>1</v>
      </c>
      <c r="M4143" s="3">
        <v>0</v>
      </c>
      <c r="N4143">
        <v>0</v>
      </c>
      <c r="O4143">
        <v>0</v>
      </c>
      <c r="P4143">
        <v>0</v>
      </c>
      <c r="Q4143">
        <v>8</v>
      </c>
      <c r="R4143" s="3">
        <v>0</v>
      </c>
      <c r="S4143" s="3">
        <v>0</v>
      </c>
      <c r="T4143">
        <v>0</v>
      </c>
      <c r="U4143">
        <v>0</v>
      </c>
      <c r="V4143" s="3">
        <v>0</v>
      </c>
      <c r="W4143" s="3">
        <v>0</v>
      </c>
      <c r="X4143">
        <v>0</v>
      </c>
      <c r="Y4143" t="s">
        <v>3168</v>
      </c>
    </row>
    <row r="4144" spans="1:25" hidden="1" x14ac:dyDescent="0.25">
      <c r="A4144" t="s">
        <v>47</v>
      </c>
      <c r="B4144" t="s">
        <v>137</v>
      </c>
      <c r="C4144" t="s">
        <v>2310</v>
      </c>
      <c r="D4144" t="s">
        <v>27</v>
      </c>
      <c r="E4144" s="2">
        <v>46076</v>
      </c>
      <c r="F4144" s="2">
        <v>46076</v>
      </c>
      <c r="G4144" s="3">
        <v>67</v>
      </c>
      <c r="H4144" s="4" t="s">
        <v>28</v>
      </c>
      <c r="I4144">
        <v>47</v>
      </c>
      <c r="J4144">
        <v>0</v>
      </c>
      <c r="K4144">
        <v>0</v>
      </c>
      <c r="L4144" s="3">
        <v>1</v>
      </c>
      <c r="M4144" s="3">
        <v>0</v>
      </c>
      <c r="N4144">
        <v>0</v>
      </c>
      <c r="O4144">
        <v>0</v>
      </c>
      <c r="P4144">
        <v>0</v>
      </c>
      <c r="Q4144">
        <v>8</v>
      </c>
      <c r="R4144" s="3">
        <v>0</v>
      </c>
      <c r="S4144" s="3">
        <v>0</v>
      </c>
      <c r="T4144">
        <v>0</v>
      </c>
      <c r="U4144">
        <v>0</v>
      </c>
      <c r="V4144" s="3">
        <v>0</v>
      </c>
      <c r="W4144" s="3">
        <v>0</v>
      </c>
      <c r="X4144">
        <v>0</v>
      </c>
      <c r="Y4144" t="s">
        <v>3169</v>
      </c>
    </row>
    <row r="4145" spans="1:25" hidden="1" x14ac:dyDescent="0.25">
      <c r="A4145" t="s">
        <v>49</v>
      </c>
      <c r="B4145" t="s">
        <v>118</v>
      </c>
      <c r="C4145" t="s">
        <v>50</v>
      </c>
      <c r="D4145" t="s">
        <v>27</v>
      </c>
      <c r="E4145" s="2">
        <v>46076</v>
      </c>
      <c r="F4145" s="2">
        <v>46076</v>
      </c>
      <c r="G4145" s="3">
        <v>91</v>
      </c>
      <c r="H4145" s="4" t="s">
        <v>28</v>
      </c>
      <c r="I4145">
        <f>37+17</f>
        <v>54</v>
      </c>
      <c r="J4145">
        <v>0</v>
      </c>
      <c r="K4145">
        <v>0</v>
      </c>
      <c r="L4145" s="3">
        <v>1</v>
      </c>
      <c r="M4145" s="3">
        <v>1</v>
      </c>
      <c r="N4145">
        <v>0</v>
      </c>
      <c r="O4145">
        <v>1</v>
      </c>
      <c r="P4145">
        <v>0</v>
      </c>
      <c r="Q4145">
        <v>46</v>
      </c>
      <c r="R4145" s="3">
        <v>0</v>
      </c>
      <c r="S4145" s="3">
        <v>0</v>
      </c>
      <c r="T4145">
        <v>0</v>
      </c>
      <c r="U4145">
        <v>0</v>
      </c>
      <c r="V4145" s="3">
        <v>0</v>
      </c>
      <c r="W4145" s="3">
        <v>0</v>
      </c>
      <c r="X4145">
        <v>0</v>
      </c>
      <c r="Y4145" t="s">
        <v>3170</v>
      </c>
    </row>
    <row r="4146" spans="1:25" hidden="1" x14ac:dyDescent="0.25">
      <c r="A4146" t="s">
        <v>51</v>
      </c>
      <c r="B4146" t="s">
        <v>120</v>
      </c>
      <c r="C4146" t="s">
        <v>55</v>
      </c>
      <c r="D4146" t="s">
        <v>27</v>
      </c>
      <c r="E4146" s="2">
        <v>46076</v>
      </c>
      <c r="F4146" s="2">
        <v>46076</v>
      </c>
      <c r="G4146" s="3">
        <v>48</v>
      </c>
      <c r="H4146" s="4" t="s">
        <v>28</v>
      </c>
      <c r="I4146">
        <v>43</v>
      </c>
      <c r="J4146">
        <v>0</v>
      </c>
      <c r="K4146">
        <v>0</v>
      </c>
      <c r="L4146" s="3">
        <v>1</v>
      </c>
      <c r="M4146" s="3">
        <v>0</v>
      </c>
      <c r="N4146">
        <v>1</v>
      </c>
      <c r="O4146">
        <v>0</v>
      </c>
      <c r="P4146">
        <v>0</v>
      </c>
      <c r="Q4146">
        <v>0</v>
      </c>
      <c r="R4146" s="3">
        <v>0</v>
      </c>
      <c r="S4146" s="3">
        <v>0</v>
      </c>
      <c r="T4146">
        <v>0</v>
      </c>
      <c r="U4146">
        <v>0</v>
      </c>
      <c r="V4146" s="3">
        <v>0</v>
      </c>
      <c r="W4146" s="3">
        <v>0</v>
      </c>
      <c r="X4146">
        <v>0</v>
      </c>
      <c r="Y4146" t="s">
        <v>3171</v>
      </c>
    </row>
    <row r="4147" spans="1:25" hidden="1" x14ac:dyDescent="0.25">
      <c r="A4147" t="s">
        <v>54</v>
      </c>
      <c r="B4147" t="s">
        <v>122</v>
      </c>
      <c r="C4147" t="s">
        <v>52</v>
      </c>
      <c r="D4147" t="s">
        <v>27</v>
      </c>
      <c r="E4147" s="2">
        <v>46076</v>
      </c>
      <c r="F4147" s="2">
        <v>46076</v>
      </c>
      <c r="G4147" s="3">
        <v>36</v>
      </c>
      <c r="H4147" s="4" t="s">
        <v>28</v>
      </c>
      <c r="I4147">
        <f>40+1</f>
        <v>41</v>
      </c>
      <c r="J4147">
        <v>0</v>
      </c>
      <c r="K4147">
        <v>0</v>
      </c>
      <c r="L4147" s="3">
        <v>0</v>
      </c>
      <c r="M4147" s="3">
        <v>0</v>
      </c>
      <c r="N4147">
        <v>0</v>
      </c>
      <c r="O4147">
        <v>0</v>
      </c>
      <c r="P4147">
        <v>0</v>
      </c>
      <c r="Q4147">
        <v>7</v>
      </c>
      <c r="R4147" s="3">
        <v>0</v>
      </c>
      <c r="S4147" s="3">
        <v>0</v>
      </c>
      <c r="T4147">
        <v>0</v>
      </c>
      <c r="U4147">
        <v>0</v>
      </c>
      <c r="V4147" s="3">
        <v>0</v>
      </c>
      <c r="W4147" s="3">
        <v>0</v>
      </c>
      <c r="X4147">
        <v>0</v>
      </c>
      <c r="Y4147" t="s">
        <v>3172</v>
      </c>
    </row>
    <row r="4148" spans="1:25" hidden="1" x14ac:dyDescent="0.25">
      <c r="A4148" t="s">
        <v>48</v>
      </c>
      <c r="B4148" t="s">
        <v>149</v>
      </c>
      <c r="C4148" t="s">
        <v>37</v>
      </c>
      <c r="D4148" t="s">
        <v>27</v>
      </c>
      <c r="E4148" s="2">
        <v>46076</v>
      </c>
      <c r="F4148" s="2">
        <v>46076</v>
      </c>
      <c r="G4148" s="3">
        <v>25</v>
      </c>
      <c r="H4148" s="4" t="s">
        <v>28</v>
      </c>
      <c r="I4148">
        <f>74+2</f>
        <v>76</v>
      </c>
      <c r="J4148">
        <v>0</v>
      </c>
      <c r="K4148">
        <v>0</v>
      </c>
      <c r="L4148" s="3">
        <v>1</v>
      </c>
      <c r="M4148" s="3">
        <v>0</v>
      </c>
      <c r="N4148">
        <v>0</v>
      </c>
      <c r="O4148">
        <v>0</v>
      </c>
      <c r="P4148">
        <v>0</v>
      </c>
      <c r="Q4148">
        <v>0</v>
      </c>
      <c r="R4148" s="3">
        <v>0</v>
      </c>
      <c r="S4148" s="3">
        <v>0</v>
      </c>
      <c r="T4148">
        <v>0</v>
      </c>
      <c r="U4148">
        <v>0</v>
      </c>
      <c r="V4148" s="3">
        <v>0</v>
      </c>
      <c r="W4148" s="3">
        <v>0</v>
      </c>
      <c r="X4148">
        <v>0</v>
      </c>
      <c r="Y4148" t="s">
        <v>3173</v>
      </c>
    </row>
    <row r="4149" spans="1:25" hidden="1" x14ac:dyDescent="0.25">
      <c r="A4149" t="s">
        <v>25</v>
      </c>
      <c r="B4149" t="s">
        <v>96</v>
      </c>
      <c r="C4149" t="s">
        <v>26</v>
      </c>
      <c r="D4149" t="s">
        <v>27</v>
      </c>
      <c r="E4149" s="2">
        <v>46077</v>
      </c>
      <c r="F4149" s="2">
        <v>46077</v>
      </c>
      <c r="G4149" s="3">
        <v>38</v>
      </c>
      <c r="H4149" s="4" t="s">
        <v>28</v>
      </c>
      <c r="I4149">
        <f>38+26</f>
        <v>64</v>
      </c>
      <c r="J4149">
        <v>0</v>
      </c>
      <c r="K4149">
        <v>0</v>
      </c>
      <c r="L4149" s="3">
        <v>1</v>
      </c>
      <c r="M4149" s="3">
        <v>0</v>
      </c>
      <c r="N4149">
        <v>1</v>
      </c>
      <c r="O4149">
        <v>0</v>
      </c>
      <c r="P4149">
        <v>0</v>
      </c>
      <c r="Q4149">
        <v>0</v>
      </c>
      <c r="R4149" s="3">
        <v>0</v>
      </c>
      <c r="S4149" s="3">
        <v>0</v>
      </c>
      <c r="T4149">
        <v>0</v>
      </c>
      <c r="U4149">
        <v>0</v>
      </c>
      <c r="V4149" s="3">
        <v>0</v>
      </c>
      <c r="W4149" s="3">
        <v>0</v>
      </c>
      <c r="X4149">
        <v>0</v>
      </c>
      <c r="Y4149" t="s">
        <v>3174</v>
      </c>
    </row>
    <row r="4150" spans="1:25" hidden="1" x14ac:dyDescent="0.25">
      <c r="A4150" t="s">
        <v>31</v>
      </c>
      <c r="B4150" t="s">
        <v>104</v>
      </c>
      <c r="C4150" t="s">
        <v>32</v>
      </c>
      <c r="D4150" t="s">
        <v>27</v>
      </c>
      <c r="E4150" s="2">
        <v>46077</v>
      </c>
      <c r="F4150" s="2">
        <v>46077</v>
      </c>
      <c r="G4150" s="3">
        <v>47</v>
      </c>
      <c r="H4150" s="4" t="s">
        <v>28</v>
      </c>
      <c r="I4150">
        <f>55+4</f>
        <v>59</v>
      </c>
      <c r="J4150">
        <v>0</v>
      </c>
      <c r="K4150">
        <v>0</v>
      </c>
      <c r="L4150" s="3">
        <v>0</v>
      </c>
      <c r="M4150" s="3">
        <v>0</v>
      </c>
      <c r="N4150">
        <v>0</v>
      </c>
      <c r="O4150">
        <v>0</v>
      </c>
      <c r="P4150">
        <v>0</v>
      </c>
      <c r="Q4150">
        <v>30</v>
      </c>
      <c r="R4150" s="3">
        <v>0</v>
      </c>
      <c r="S4150" s="3">
        <v>0</v>
      </c>
      <c r="T4150">
        <v>0</v>
      </c>
      <c r="U4150">
        <v>0</v>
      </c>
      <c r="V4150" s="3">
        <v>0</v>
      </c>
      <c r="W4150" s="3">
        <v>0</v>
      </c>
      <c r="X4150">
        <v>0</v>
      </c>
      <c r="Y4150" t="s">
        <v>3175</v>
      </c>
    </row>
    <row r="4151" spans="1:25" hidden="1" x14ac:dyDescent="0.25">
      <c r="A4151" t="s">
        <v>33</v>
      </c>
      <c r="B4151" t="s">
        <v>106</v>
      </c>
      <c r="C4151" t="s">
        <v>95</v>
      </c>
      <c r="D4151" t="s">
        <v>35</v>
      </c>
      <c r="E4151" s="2">
        <v>46077</v>
      </c>
      <c r="F4151" s="2">
        <v>46077</v>
      </c>
      <c r="G4151" s="3">
        <v>27</v>
      </c>
      <c r="H4151" s="4" t="s">
        <v>28</v>
      </c>
      <c r="I4151">
        <v>43</v>
      </c>
      <c r="J4151">
        <v>0</v>
      </c>
      <c r="K4151">
        <v>0</v>
      </c>
      <c r="L4151" s="3">
        <v>0</v>
      </c>
      <c r="M4151" s="3">
        <v>0</v>
      </c>
      <c r="N4151">
        <v>0</v>
      </c>
      <c r="O4151">
        <v>0</v>
      </c>
      <c r="P4151">
        <v>0</v>
      </c>
      <c r="Q4151">
        <v>0</v>
      </c>
      <c r="R4151" s="3">
        <v>0</v>
      </c>
      <c r="S4151" s="3">
        <v>0</v>
      </c>
      <c r="T4151">
        <v>0</v>
      </c>
      <c r="U4151">
        <v>0</v>
      </c>
      <c r="V4151" s="3">
        <v>0</v>
      </c>
      <c r="W4151" s="3">
        <v>0</v>
      </c>
      <c r="X4151">
        <v>0</v>
      </c>
      <c r="Y4151" t="s">
        <v>3176</v>
      </c>
    </row>
    <row r="4152" spans="1:25" hidden="1" x14ac:dyDescent="0.25">
      <c r="A4152" t="s">
        <v>36</v>
      </c>
      <c r="B4152" t="s">
        <v>249</v>
      </c>
      <c r="C4152" t="s">
        <v>2534</v>
      </c>
      <c r="D4152" t="s">
        <v>27</v>
      </c>
      <c r="E4152" s="2">
        <v>46077</v>
      </c>
      <c r="F4152" s="2">
        <v>46077</v>
      </c>
      <c r="G4152" s="3">
        <v>75</v>
      </c>
      <c r="H4152" s="4" t="s">
        <v>28</v>
      </c>
      <c r="I4152">
        <f>47+11</f>
        <v>58</v>
      </c>
      <c r="J4152">
        <v>0</v>
      </c>
      <c r="K4152">
        <v>0</v>
      </c>
      <c r="L4152" s="3">
        <v>1</v>
      </c>
      <c r="M4152" s="3">
        <v>0</v>
      </c>
      <c r="N4152">
        <v>1</v>
      </c>
      <c r="O4152">
        <v>0</v>
      </c>
      <c r="P4152">
        <v>0</v>
      </c>
      <c r="Q4152">
        <v>0</v>
      </c>
      <c r="R4152" s="3">
        <v>0</v>
      </c>
      <c r="S4152" s="3">
        <v>0</v>
      </c>
      <c r="T4152">
        <v>0</v>
      </c>
      <c r="U4152">
        <v>0</v>
      </c>
      <c r="V4152" s="3">
        <v>0</v>
      </c>
      <c r="W4152" s="3">
        <v>0</v>
      </c>
      <c r="X4152">
        <v>0</v>
      </c>
      <c r="Y4152" t="s">
        <v>3177</v>
      </c>
    </row>
    <row r="4153" spans="1:25" hidden="1" x14ac:dyDescent="0.25">
      <c r="A4153" t="s">
        <v>38</v>
      </c>
      <c r="B4153" t="s">
        <v>108</v>
      </c>
      <c r="C4153" t="s">
        <v>27</v>
      </c>
      <c r="D4153" t="s">
        <v>27</v>
      </c>
      <c r="E4153" s="2">
        <v>46077</v>
      </c>
      <c r="F4153" s="2">
        <v>46077</v>
      </c>
      <c r="G4153" s="3">
        <v>33</v>
      </c>
      <c r="H4153" s="4" t="s">
        <v>3161</v>
      </c>
      <c r="I4153">
        <v>32</v>
      </c>
      <c r="J4153">
        <v>0</v>
      </c>
      <c r="K4153">
        <v>0</v>
      </c>
      <c r="L4153" s="3">
        <v>1</v>
      </c>
      <c r="M4153" s="3">
        <v>0</v>
      </c>
      <c r="N4153">
        <v>0</v>
      </c>
      <c r="O4153">
        <v>0</v>
      </c>
      <c r="P4153">
        <v>0</v>
      </c>
      <c r="Q4153">
        <v>32</v>
      </c>
      <c r="R4153" s="3">
        <v>0</v>
      </c>
      <c r="S4153" s="3">
        <v>0</v>
      </c>
      <c r="T4153">
        <v>0</v>
      </c>
      <c r="U4153">
        <v>0</v>
      </c>
      <c r="V4153" s="3">
        <v>0</v>
      </c>
      <c r="W4153" s="3">
        <v>0</v>
      </c>
      <c r="X4153">
        <v>0</v>
      </c>
      <c r="Y4153" t="s">
        <v>3178</v>
      </c>
    </row>
    <row r="4154" spans="1:25" hidden="1" x14ac:dyDescent="0.25">
      <c r="A4154" t="s">
        <v>2679</v>
      </c>
      <c r="B4154" t="s">
        <v>2680</v>
      </c>
      <c r="C4154" t="s">
        <v>39</v>
      </c>
      <c r="D4154" t="s">
        <v>27</v>
      </c>
      <c r="E4154" s="2">
        <v>46077</v>
      </c>
      <c r="F4154" s="2">
        <v>46077</v>
      </c>
      <c r="G4154" s="3">
        <v>40</v>
      </c>
      <c r="H4154" s="4" t="s">
        <v>3161</v>
      </c>
      <c r="I4154">
        <v>32</v>
      </c>
      <c r="J4154">
        <v>0</v>
      </c>
      <c r="K4154">
        <v>0</v>
      </c>
      <c r="L4154" s="3">
        <v>0</v>
      </c>
      <c r="M4154" s="3">
        <v>0</v>
      </c>
      <c r="N4154">
        <v>0</v>
      </c>
      <c r="O4154">
        <v>0</v>
      </c>
      <c r="P4154">
        <v>0</v>
      </c>
      <c r="Q4154">
        <v>32</v>
      </c>
      <c r="R4154" s="3">
        <v>0</v>
      </c>
      <c r="S4154" s="3">
        <v>0</v>
      </c>
      <c r="T4154">
        <v>0</v>
      </c>
      <c r="U4154">
        <v>0</v>
      </c>
      <c r="V4154" s="3">
        <v>0</v>
      </c>
      <c r="W4154" s="3">
        <v>0</v>
      </c>
      <c r="X4154">
        <v>0</v>
      </c>
      <c r="Y4154" t="s">
        <v>3179</v>
      </c>
    </row>
    <row r="4155" spans="1:25" hidden="1" x14ac:dyDescent="0.25">
      <c r="A4155" t="s">
        <v>1316</v>
      </c>
      <c r="B4155" t="s">
        <v>1348</v>
      </c>
      <c r="C4155" t="s">
        <v>2514</v>
      </c>
      <c r="D4155" t="s">
        <v>27</v>
      </c>
      <c r="E4155" s="2">
        <v>46077</v>
      </c>
      <c r="F4155" s="2">
        <v>46077</v>
      </c>
      <c r="G4155" s="3">
        <v>38</v>
      </c>
      <c r="H4155" s="4" t="s">
        <v>28</v>
      </c>
      <c r="I4155">
        <v>20</v>
      </c>
      <c r="J4155">
        <v>0</v>
      </c>
      <c r="K4155">
        <v>0</v>
      </c>
      <c r="L4155" s="3">
        <v>1</v>
      </c>
      <c r="M4155" s="3">
        <v>0</v>
      </c>
      <c r="N4155">
        <v>0</v>
      </c>
      <c r="O4155">
        <v>0</v>
      </c>
      <c r="P4155">
        <v>0</v>
      </c>
      <c r="Q4155">
        <v>5</v>
      </c>
      <c r="R4155" s="3">
        <v>0</v>
      </c>
      <c r="S4155" s="3">
        <v>0</v>
      </c>
      <c r="T4155">
        <v>0</v>
      </c>
      <c r="U4155">
        <v>0</v>
      </c>
      <c r="V4155" s="3">
        <v>0</v>
      </c>
      <c r="W4155" s="3">
        <v>0</v>
      </c>
      <c r="X4155">
        <v>0</v>
      </c>
      <c r="Y4155" t="s">
        <v>3180</v>
      </c>
    </row>
    <row r="4156" spans="1:25" s="1" customFormat="1" hidden="1" x14ac:dyDescent="0.25">
      <c r="A4156" s="1" t="s">
        <v>41</v>
      </c>
      <c r="B4156" s="1" t="s">
        <v>112</v>
      </c>
      <c r="C4156" s="1" t="s">
        <v>42</v>
      </c>
      <c r="D4156" s="1" t="s">
        <v>27</v>
      </c>
      <c r="E4156" s="10">
        <v>46077</v>
      </c>
      <c r="F4156" s="10">
        <v>46077</v>
      </c>
      <c r="G4156" s="41">
        <v>51</v>
      </c>
      <c r="H4156" s="15" t="s">
        <v>28</v>
      </c>
      <c r="I4156" s="1">
        <v>65</v>
      </c>
      <c r="J4156" s="1">
        <v>0</v>
      </c>
      <c r="K4156" s="1">
        <v>0</v>
      </c>
      <c r="L4156" s="41">
        <v>1</v>
      </c>
      <c r="M4156" s="41">
        <v>0</v>
      </c>
      <c r="N4156" s="1">
        <v>0</v>
      </c>
      <c r="O4156" s="1">
        <v>0</v>
      </c>
      <c r="P4156" s="1">
        <v>0</v>
      </c>
      <c r="Q4156" s="1">
        <v>21</v>
      </c>
      <c r="R4156" s="41">
        <v>0</v>
      </c>
      <c r="S4156" s="41">
        <v>0</v>
      </c>
      <c r="T4156" s="1">
        <v>0</v>
      </c>
      <c r="U4156" s="1">
        <v>0</v>
      </c>
      <c r="V4156" s="41">
        <v>0</v>
      </c>
      <c r="W4156" s="41">
        <v>0</v>
      </c>
      <c r="X4156" s="1">
        <v>7</v>
      </c>
      <c r="Y4156" s="1" t="s">
        <v>3181</v>
      </c>
    </row>
    <row r="4157" spans="1:25" hidden="1" x14ac:dyDescent="0.25">
      <c r="A4157" t="s">
        <v>43</v>
      </c>
      <c r="B4157" t="s">
        <v>114</v>
      </c>
      <c r="C4157" t="s">
        <v>44</v>
      </c>
      <c r="D4157" t="s">
        <v>27</v>
      </c>
      <c r="E4157" s="2">
        <v>46077</v>
      </c>
      <c r="F4157" s="2">
        <v>46077</v>
      </c>
      <c r="G4157" s="3">
        <v>99</v>
      </c>
      <c r="H4157" s="4" t="s">
        <v>28</v>
      </c>
      <c r="I4157">
        <v>74</v>
      </c>
      <c r="J4157">
        <v>0</v>
      </c>
      <c r="K4157">
        <v>0</v>
      </c>
      <c r="L4157" s="3">
        <v>1</v>
      </c>
      <c r="M4157" s="3">
        <v>0</v>
      </c>
      <c r="N4157">
        <v>0</v>
      </c>
      <c r="O4157">
        <v>0</v>
      </c>
      <c r="P4157">
        <v>0</v>
      </c>
      <c r="Q4157">
        <v>4</v>
      </c>
      <c r="R4157" s="3">
        <v>0</v>
      </c>
      <c r="S4157" s="3">
        <v>0</v>
      </c>
      <c r="T4157">
        <v>0</v>
      </c>
      <c r="U4157">
        <v>0</v>
      </c>
      <c r="V4157" s="3">
        <v>0</v>
      </c>
      <c r="W4157" s="3">
        <v>0</v>
      </c>
      <c r="X4157">
        <v>0</v>
      </c>
      <c r="Y4157" t="s">
        <v>3182</v>
      </c>
    </row>
    <row r="4158" spans="1:25" hidden="1" x14ac:dyDescent="0.25">
      <c r="A4158" t="s">
        <v>45</v>
      </c>
      <c r="B4158" t="s">
        <v>116</v>
      </c>
      <c r="C4158" t="s">
        <v>46</v>
      </c>
      <c r="D4158" t="s">
        <v>27</v>
      </c>
      <c r="E4158" s="2">
        <v>46077</v>
      </c>
      <c r="F4158" s="2">
        <v>46077</v>
      </c>
      <c r="G4158" s="3">
        <v>39</v>
      </c>
      <c r="H4158" s="4" t="s">
        <v>28</v>
      </c>
      <c r="I4158">
        <f>31+4</f>
        <v>35</v>
      </c>
      <c r="J4158">
        <v>0</v>
      </c>
      <c r="K4158">
        <v>0</v>
      </c>
      <c r="L4158" s="3">
        <v>0</v>
      </c>
      <c r="M4158" s="3">
        <v>0</v>
      </c>
      <c r="N4158">
        <v>0</v>
      </c>
      <c r="O4158">
        <v>0</v>
      </c>
      <c r="P4158">
        <v>0</v>
      </c>
      <c r="Q4158">
        <v>6</v>
      </c>
      <c r="R4158" s="3">
        <v>0</v>
      </c>
      <c r="S4158" s="3">
        <v>0</v>
      </c>
      <c r="T4158">
        <v>0</v>
      </c>
      <c r="U4158">
        <v>0</v>
      </c>
      <c r="V4158" s="3">
        <v>0</v>
      </c>
      <c r="W4158" s="3">
        <v>0</v>
      </c>
      <c r="X4158">
        <v>0</v>
      </c>
      <c r="Y4158" t="s">
        <v>3183</v>
      </c>
    </row>
    <row r="4159" spans="1:25" hidden="1" x14ac:dyDescent="0.25">
      <c r="A4159" t="s">
        <v>47</v>
      </c>
      <c r="B4159" t="s">
        <v>137</v>
      </c>
      <c r="C4159" t="s">
        <v>2310</v>
      </c>
      <c r="D4159" t="s">
        <v>27</v>
      </c>
      <c r="E4159" s="2">
        <v>46077</v>
      </c>
      <c r="F4159" s="2">
        <v>46077</v>
      </c>
      <c r="G4159" s="3">
        <v>543</v>
      </c>
      <c r="H4159" s="4" t="s">
        <v>28</v>
      </c>
      <c r="I4159">
        <v>49</v>
      </c>
      <c r="J4159">
        <v>3</v>
      </c>
      <c r="K4159">
        <v>0</v>
      </c>
      <c r="L4159" s="3">
        <v>1</v>
      </c>
      <c r="M4159" s="3">
        <v>0</v>
      </c>
      <c r="N4159">
        <v>0</v>
      </c>
      <c r="O4159">
        <v>0</v>
      </c>
      <c r="P4159">
        <v>0</v>
      </c>
      <c r="Q4159">
        <v>2</v>
      </c>
      <c r="R4159" s="3">
        <v>0</v>
      </c>
      <c r="S4159" s="3">
        <v>0</v>
      </c>
      <c r="T4159">
        <v>0</v>
      </c>
      <c r="U4159">
        <v>0</v>
      </c>
      <c r="V4159" s="3">
        <v>0</v>
      </c>
      <c r="W4159" s="3">
        <v>0</v>
      </c>
      <c r="X4159">
        <v>0</v>
      </c>
      <c r="Y4159" t="s">
        <v>3184</v>
      </c>
    </row>
    <row r="4160" spans="1:25" hidden="1" x14ac:dyDescent="0.25">
      <c r="A4160" t="s">
        <v>49</v>
      </c>
      <c r="B4160" t="s">
        <v>118</v>
      </c>
      <c r="C4160" t="s">
        <v>50</v>
      </c>
      <c r="D4160" t="s">
        <v>27</v>
      </c>
      <c r="E4160" s="2">
        <v>46077</v>
      </c>
      <c r="F4160" s="2">
        <v>46077</v>
      </c>
      <c r="G4160" s="3">
        <v>27</v>
      </c>
      <c r="H4160" s="4" t="s">
        <v>28</v>
      </c>
      <c r="I4160">
        <f>59+2</f>
        <v>61</v>
      </c>
      <c r="J4160">
        <v>0</v>
      </c>
      <c r="K4160">
        <v>0</v>
      </c>
      <c r="L4160" s="3">
        <v>1</v>
      </c>
      <c r="M4160" s="3">
        <v>1</v>
      </c>
      <c r="N4160">
        <v>0</v>
      </c>
      <c r="O4160">
        <v>1</v>
      </c>
      <c r="P4160">
        <v>0</v>
      </c>
      <c r="Q4160">
        <v>67</v>
      </c>
      <c r="R4160" s="3">
        <v>0</v>
      </c>
      <c r="S4160" s="3">
        <v>0</v>
      </c>
      <c r="T4160">
        <v>0</v>
      </c>
      <c r="U4160">
        <v>0</v>
      </c>
      <c r="V4160" s="3">
        <v>0</v>
      </c>
      <c r="W4160" s="3">
        <v>0</v>
      </c>
      <c r="X4160">
        <v>0</v>
      </c>
      <c r="Y4160" t="s">
        <v>3185</v>
      </c>
    </row>
    <row r="4161" spans="1:25" hidden="1" x14ac:dyDescent="0.25">
      <c r="A4161" t="s">
        <v>54</v>
      </c>
      <c r="B4161" t="s">
        <v>122</v>
      </c>
      <c r="C4161" t="s">
        <v>52</v>
      </c>
      <c r="D4161" t="s">
        <v>27</v>
      </c>
      <c r="E4161" s="2">
        <v>46077</v>
      </c>
      <c r="F4161" s="2">
        <v>46077</v>
      </c>
      <c r="G4161" s="3">
        <v>45</v>
      </c>
      <c r="H4161" s="4" t="s">
        <v>28</v>
      </c>
      <c r="I4161">
        <f>51+3</f>
        <v>54</v>
      </c>
      <c r="J4161">
        <v>0</v>
      </c>
      <c r="K4161">
        <v>0</v>
      </c>
      <c r="L4161" s="3">
        <v>0</v>
      </c>
      <c r="M4161" s="3">
        <v>0</v>
      </c>
      <c r="N4161">
        <v>0</v>
      </c>
      <c r="O4161">
        <v>0</v>
      </c>
      <c r="P4161">
        <v>0</v>
      </c>
      <c r="Q4161">
        <v>0</v>
      </c>
      <c r="R4161" s="3">
        <v>0</v>
      </c>
      <c r="S4161" s="3">
        <v>0</v>
      </c>
      <c r="T4161">
        <v>0</v>
      </c>
      <c r="U4161">
        <v>0</v>
      </c>
      <c r="V4161" s="3">
        <v>0</v>
      </c>
      <c r="W4161" s="3">
        <v>0</v>
      </c>
      <c r="X4161">
        <v>0</v>
      </c>
      <c r="Y4161" t="s">
        <v>3186</v>
      </c>
    </row>
    <row r="4162" spans="1:25" hidden="1" x14ac:dyDescent="0.25">
      <c r="A4162" t="s">
        <v>48</v>
      </c>
      <c r="B4162" t="s">
        <v>122</v>
      </c>
      <c r="C4162" t="s">
        <v>37</v>
      </c>
      <c r="D4162" t="s">
        <v>27</v>
      </c>
      <c r="E4162" s="2">
        <v>46077</v>
      </c>
      <c r="F4162" s="2">
        <v>46077</v>
      </c>
      <c r="G4162" s="3">
        <v>45</v>
      </c>
      <c r="H4162" s="4" t="s">
        <v>28</v>
      </c>
      <c r="I4162">
        <v>22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3186</v>
      </c>
    </row>
    <row r="4163" spans="1:25" hidden="1" x14ac:dyDescent="0.25">
      <c r="A4163" t="s">
        <v>2899</v>
      </c>
      <c r="B4163" t="s">
        <v>122</v>
      </c>
      <c r="C4163" t="s">
        <v>27</v>
      </c>
      <c r="D4163" t="s">
        <v>27</v>
      </c>
      <c r="E4163" s="2">
        <v>46077</v>
      </c>
      <c r="F4163" s="2">
        <v>46077</v>
      </c>
      <c r="G4163" s="3">
        <v>45</v>
      </c>
      <c r="H4163" s="4" t="s">
        <v>250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3186</v>
      </c>
    </row>
    <row r="4164" spans="1:25" hidden="1" x14ac:dyDescent="0.25">
      <c r="A4164" t="s">
        <v>51</v>
      </c>
      <c r="B4164" t="s">
        <v>122</v>
      </c>
      <c r="C4164" t="s">
        <v>55</v>
      </c>
      <c r="D4164" t="s">
        <v>27</v>
      </c>
      <c r="E4164" s="2">
        <v>46077</v>
      </c>
      <c r="F4164" s="2">
        <v>46077</v>
      </c>
      <c r="G4164" s="3">
        <v>45</v>
      </c>
      <c r="H4164" s="4" t="s">
        <v>28</v>
      </c>
      <c r="I4164">
        <v>20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3186</v>
      </c>
    </row>
    <row r="4165" spans="1:25" hidden="1" x14ac:dyDescent="0.25">
      <c r="A4165" t="s">
        <v>3187</v>
      </c>
      <c r="B4165" t="s">
        <v>122</v>
      </c>
      <c r="C4165" t="s">
        <v>2835</v>
      </c>
      <c r="D4165" t="s">
        <v>27</v>
      </c>
      <c r="E4165" s="2">
        <v>46077</v>
      </c>
      <c r="F4165" s="2">
        <v>46077</v>
      </c>
      <c r="G4165" s="3">
        <v>45</v>
      </c>
      <c r="H4165" s="4" t="s">
        <v>959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3186</v>
      </c>
    </row>
    <row r="4166" spans="1:25" hidden="1" x14ac:dyDescent="0.25">
      <c r="A4166" t="s">
        <v>25</v>
      </c>
      <c r="B4166" t="s">
        <v>96</v>
      </c>
      <c r="C4166" t="s">
        <v>26</v>
      </c>
      <c r="D4166" t="s">
        <v>27</v>
      </c>
      <c r="E4166" s="2">
        <v>46078</v>
      </c>
      <c r="F4166" s="2">
        <v>46078</v>
      </c>
      <c r="G4166" s="3">
        <v>86</v>
      </c>
      <c r="H4166" s="4" t="s">
        <v>28</v>
      </c>
      <c r="I4166">
        <f>46+11</f>
        <v>57</v>
      </c>
      <c r="J4166">
        <v>0</v>
      </c>
      <c r="K4166">
        <v>0</v>
      </c>
      <c r="L4166" s="3">
        <v>1</v>
      </c>
      <c r="M4166" s="3">
        <v>0</v>
      </c>
      <c r="N4166">
        <v>1</v>
      </c>
      <c r="O4166">
        <v>0</v>
      </c>
      <c r="P4166">
        <v>0</v>
      </c>
      <c r="Q4166">
        <v>0</v>
      </c>
      <c r="R4166" s="3">
        <v>0</v>
      </c>
      <c r="S4166" s="3">
        <v>0</v>
      </c>
      <c r="T4166">
        <v>0</v>
      </c>
      <c r="U4166">
        <v>0</v>
      </c>
      <c r="V4166" s="3">
        <v>0</v>
      </c>
      <c r="W4166" s="3">
        <v>0</v>
      </c>
      <c r="X4166">
        <v>0</v>
      </c>
      <c r="Y4166" t="s">
        <v>3188</v>
      </c>
    </row>
    <row r="4167" spans="1:25" hidden="1" x14ac:dyDescent="0.25">
      <c r="A4167" t="s">
        <v>31</v>
      </c>
      <c r="B4167" t="s">
        <v>104</v>
      </c>
      <c r="C4167" t="s">
        <v>32</v>
      </c>
      <c r="D4167" t="s">
        <v>27</v>
      </c>
      <c r="E4167" s="2">
        <v>46078</v>
      </c>
      <c r="F4167" s="2">
        <v>46078</v>
      </c>
      <c r="G4167" s="3">
        <v>74</v>
      </c>
      <c r="H4167" s="4" t="s">
        <v>28</v>
      </c>
      <c r="I4167">
        <f>88+2</f>
        <v>90</v>
      </c>
      <c r="J4167">
        <v>0</v>
      </c>
      <c r="K4167">
        <v>0</v>
      </c>
      <c r="L4167" s="3">
        <v>0</v>
      </c>
      <c r="M4167" s="3">
        <v>0</v>
      </c>
      <c r="N4167">
        <v>0</v>
      </c>
      <c r="O4167">
        <v>0</v>
      </c>
      <c r="P4167">
        <v>0</v>
      </c>
      <c r="Q4167">
        <v>30</v>
      </c>
      <c r="R4167" s="3">
        <v>0</v>
      </c>
      <c r="S4167" s="3">
        <v>0</v>
      </c>
      <c r="T4167">
        <v>0</v>
      </c>
      <c r="U4167">
        <v>0</v>
      </c>
      <c r="V4167" s="3">
        <v>0</v>
      </c>
      <c r="W4167" s="3">
        <v>0</v>
      </c>
      <c r="X4167">
        <v>0</v>
      </c>
      <c r="Y4167" t="s">
        <v>3189</v>
      </c>
    </row>
    <row r="4168" spans="1:25" hidden="1" x14ac:dyDescent="0.25">
      <c r="A4168" t="s">
        <v>33</v>
      </c>
      <c r="B4168" t="s">
        <v>106</v>
      </c>
      <c r="C4168" t="s">
        <v>2835</v>
      </c>
      <c r="D4168" t="s">
        <v>27</v>
      </c>
      <c r="E4168" s="2">
        <v>46078</v>
      </c>
      <c r="F4168" s="2">
        <v>46078</v>
      </c>
      <c r="G4168" s="3">
        <v>23</v>
      </c>
      <c r="H4168" s="4" t="s">
        <v>28</v>
      </c>
      <c r="I4168">
        <f>44+1</f>
        <v>45</v>
      </c>
      <c r="J4168">
        <v>0</v>
      </c>
      <c r="K4168">
        <v>0</v>
      </c>
      <c r="L4168" s="3">
        <v>0</v>
      </c>
      <c r="M4168" s="3">
        <v>0</v>
      </c>
      <c r="N4168">
        <v>0</v>
      </c>
      <c r="O4168">
        <v>0</v>
      </c>
      <c r="P4168">
        <v>0</v>
      </c>
      <c r="Q4168">
        <v>21</v>
      </c>
      <c r="R4168" s="3">
        <v>0</v>
      </c>
      <c r="S4168" s="3">
        <v>0</v>
      </c>
      <c r="T4168">
        <v>0</v>
      </c>
      <c r="U4168">
        <v>0</v>
      </c>
      <c r="V4168" s="3">
        <v>0</v>
      </c>
      <c r="W4168" s="3">
        <v>0</v>
      </c>
      <c r="X4168">
        <v>0</v>
      </c>
      <c r="Y4168" t="s">
        <v>3190</v>
      </c>
    </row>
    <row r="4169" spans="1:25" hidden="1" x14ac:dyDescent="0.25">
      <c r="A4169" t="s">
        <v>2899</v>
      </c>
      <c r="B4169" t="s">
        <v>2998</v>
      </c>
      <c r="C4169" t="s">
        <v>95</v>
      </c>
      <c r="D4169" t="s">
        <v>35</v>
      </c>
      <c r="E4169" s="2">
        <v>46078</v>
      </c>
      <c r="F4169" s="2">
        <v>46078</v>
      </c>
      <c r="G4169" s="3">
        <v>36</v>
      </c>
      <c r="H4169" s="4" t="s">
        <v>28</v>
      </c>
      <c r="I4169">
        <f>40+4+4</f>
        <v>48</v>
      </c>
      <c r="J4169">
        <v>0</v>
      </c>
      <c r="K4169">
        <v>0</v>
      </c>
      <c r="L4169" s="3">
        <v>1</v>
      </c>
      <c r="M4169" s="3">
        <v>0</v>
      </c>
      <c r="N4169">
        <v>0</v>
      </c>
      <c r="O4169">
        <v>0</v>
      </c>
      <c r="P4169">
        <v>12</v>
      </c>
      <c r="Q4169">
        <v>15</v>
      </c>
      <c r="R4169" s="3">
        <v>0</v>
      </c>
      <c r="S4169" s="3">
        <v>0</v>
      </c>
      <c r="T4169">
        <v>0</v>
      </c>
      <c r="U4169">
        <v>0</v>
      </c>
      <c r="V4169" s="3">
        <v>0</v>
      </c>
      <c r="W4169" s="3">
        <v>0</v>
      </c>
      <c r="X4169">
        <v>0</v>
      </c>
      <c r="Y4169" t="s">
        <v>3191</v>
      </c>
    </row>
    <row r="4170" spans="1:25" hidden="1" x14ac:dyDescent="0.25">
      <c r="A4170" t="s">
        <v>36</v>
      </c>
      <c r="B4170" t="s">
        <v>249</v>
      </c>
      <c r="C4170" t="s">
        <v>2534</v>
      </c>
      <c r="D4170" t="s">
        <v>27</v>
      </c>
      <c r="E4170" s="2">
        <v>46078</v>
      </c>
      <c r="F4170" s="2">
        <v>46078</v>
      </c>
      <c r="G4170" s="3">
        <v>86</v>
      </c>
      <c r="H4170" s="4" t="s">
        <v>28</v>
      </c>
      <c r="I4170">
        <v>74</v>
      </c>
      <c r="J4170">
        <v>0</v>
      </c>
      <c r="K4170">
        <v>0</v>
      </c>
      <c r="L4170" s="3">
        <v>1</v>
      </c>
      <c r="M4170" s="3">
        <v>0</v>
      </c>
      <c r="N4170">
        <v>1</v>
      </c>
      <c r="O4170">
        <v>0</v>
      </c>
      <c r="P4170">
        <v>0</v>
      </c>
      <c r="Q4170">
        <v>0</v>
      </c>
      <c r="R4170" s="3">
        <v>0</v>
      </c>
      <c r="S4170" s="3">
        <v>0</v>
      </c>
      <c r="T4170">
        <v>0</v>
      </c>
      <c r="U4170">
        <v>0</v>
      </c>
      <c r="V4170" s="3">
        <v>0</v>
      </c>
      <c r="W4170" s="3">
        <v>0</v>
      </c>
      <c r="X4170">
        <v>0</v>
      </c>
      <c r="Y4170" t="s">
        <v>3192</v>
      </c>
    </row>
    <row r="4171" spans="1:25" hidden="1" x14ac:dyDescent="0.25">
      <c r="A4171" t="s">
        <v>38</v>
      </c>
      <c r="B4171" t="s">
        <v>108</v>
      </c>
      <c r="C4171" t="s">
        <v>27</v>
      </c>
      <c r="D4171" t="s">
        <v>27</v>
      </c>
      <c r="E4171" s="2">
        <v>46078</v>
      </c>
      <c r="F4171" s="2">
        <v>46078</v>
      </c>
      <c r="G4171" s="3">
        <v>38</v>
      </c>
      <c r="H4171" s="4" t="s">
        <v>3161</v>
      </c>
      <c r="I4171">
        <v>72</v>
      </c>
      <c r="J4171">
        <v>0</v>
      </c>
      <c r="K4171">
        <v>0</v>
      </c>
      <c r="L4171" s="3">
        <v>1</v>
      </c>
      <c r="M4171" s="3">
        <v>0</v>
      </c>
      <c r="N4171">
        <v>0</v>
      </c>
      <c r="O4171">
        <v>0</v>
      </c>
      <c r="P4171">
        <v>0</v>
      </c>
      <c r="Q4171">
        <v>72</v>
      </c>
      <c r="R4171" s="3">
        <v>0</v>
      </c>
      <c r="S4171" s="3">
        <v>0</v>
      </c>
      <c r="T4171">
        <v>0</v>
      </c>
      <c r="U4171">
        <v>0</v>
      </c>
      <c r="V4171" s="3">
        <v>0</v>
      </c>
      <c r="W4171" s="3">
        <v>0</v>
      </c>
      <c r="X4171">
        <v>0</v>
      </c>
      <c r="Y4171" t="s">
        <v>3193</v>
      </c>
    </row>
    <row r="4172" spans="1:25" hidden="1" x14ac:dyDescent="0.25">
      <c r="A4172" t="s">
        <v>2679</v>
      </c>
      <c r="B4172" t="s">
        <v>2680</v>
      </c>
      <c r="C4172" t="s">
        <v>39</v>
      </c>
      <c r="D4172" t="s">
        <v>27</v>
      </c>
      <c r="E4172" s="2">
        <v>46078</v>
      </c>
      <c r="F4172" s="2">
        <v>46078</v>
      </c>
      <c r="G4172" s="3">
        <v>36</v>
      </c>
      <c r="H4172" s="4" t="s">
        <v>3161</v>
      </c>
      <c r="I4172">
        <v>48</v>
      </c>
      <c r="J4172">
        <v>0</v>
      </c>
      <c r="K4172">
        <v>0</v>
      </c>
      <c r="L4172" s="3">
        <v>1</v>
      </c>
      <c r="M4172" s="3">
        <v>0</v>
      </c>
      <c r="N4172">
        <v>0</v>
      </c>
      <c r="O4172">
        <v>0</v>
      </c>
      <c r="P4172">
        <v>48</v>
      </c>
      <c r="Q4172">
        <v>48</v>
      </c>
      <c r="R4172" s="3">
        <v>0</v>
      </c>
      <c r="S4172" s="3">
        <v>0</v>
      </c>
      <c r="T4172">
        <v>0</v>
      </c>
      <c r="U4172">
        <v>0</v>
      </c>
      <c r="V4172" s="3">
        <v>0</v>
      </c>
      <c r="W4172" s="3">
        <v>0</v>
      </c>
      <c r="X4172">
        <v>0</v>
      </c>
      <c r="Y4172" t="s">
        <v>3194</v>
      </c>
    </row>
    <row r="4173" spans="1:25" hidden="1" x14ac:dyDescent="0.25">
      <c r="A4173" t="s">
        <v>1316</v>
      </c>
      <c r="B4173" t="s">
        <v>1348</v>
      </c>
      <c r="C4173" t="s">
        <v>2514</v>
      </c>
      <c r="D4173" t="s">
        <v>27</v>
      </c>
      <c r="E4173" s="2">
        <v>46078</v>
      </c>
      <c r="F4173" s="2">
        <v>46078</v>
      </c>
      <c r="G4173" s="3">
        <v>142</v>
      </c>
      <c r="H4173" s="4" t="s">
        <v>28</v>
      </c>
      <c r="I4173">
        <f>27+23</f>
        <v>50</v>
      </c>
      <c r="J4173">
        <v>0</v>
      </c>
      <c r="K4173">
        <v>0</v>
      </c>
      <c r="L4173" s="3">
        <v>1</v>
      </c>
      <c r="M4173" s="3">
        <v>0</v>
      </c>
      <c r="N4173">
        <v>0</v>
      </c>
      <c r="O4173">
        <v>0</v>
      </c>
      <c r="P4173">
        <v>0</v>
      </c>
      <c r="Q4173">
        <v>25</v>
      </c>
      <c r="R4173" s="3">
        <v>0</v>
      </c>
      <c r="S4173" s="3">
        <v>0</v>
      </c>
      <c r="T4173">
        <v>0</v>
      </c>
      <c r="U4173">
        <v>0</v>
      </c>
      <c r="V4173" s="3">
        <v>0</v>
      </c>
      <c r="W4173" s="3">
        <v>0</v>
      </c>
      <c r="X4173">
        <v>0</v>
      </c>
      <c r="Y4173" t="s">
        <v>3195</v>
      </c>
    </row>
    <row r="4174" spans="1:25" s="1" customFormat="1" hidden="1" x14ac:dyDescent="0.25">
      <c r="A4174" s="1" t="s">
        <v>41</v>
      </c>
      <c r="B4174" s="1" t="s">
        <v>112</v>
      </c>
      <c r="C4174" s="1" t="s">
        <v>42</v>
      </c>
      <c r="D4174" s="1" t="s">
        <v>27</v>
      </c>
      <c r="E4174" s="10">
        <v>46078</v>
      </c>
      <c r="F4174" s="10">
        <v>46078</v>
      </c>
      <c r="G4174" s="41">
        <v>58</v>
      </c>
      <c r="H4174" s="15" t="s">
        <v>28</v>
      </c>
      <c r="I4174" s="1">
        <v>70</v>
      </c>
      <c r="J4174" s="1">
        <v>0</v>
      </c>
      <c r="K4174" s="1">
        <v>0</v>
      </c>
      <c r="L4174" s="41">
        <v>1</v>
      </c>
      <c r="M4174" s="41">
        <v>0</v>
      </c>
      <c r="N4174" s="1">
        <v>0</v>
      </c>
      <c r="O4174" s="1">
        <v>0</v>
      </c>
      <c r="P4174" s="1">
        <v>0</v>
      </c>
      <c r="Q4174" s="1">
        <v>35</v>
      </c>
      <c r="R4174" s="41">
        <v>0</v>
      </c>
      <c r="S4174" s="41">
        <v>0</v>
      </c>
      <c r="T4174" s="1">
        <v>0</v>
      </c>
      <c r="U4174" s="1">
        <v>0</v>
      </c>
      <c r="V4174" s="41">
        <v>0</v>
      </c>
      <c r="W4174" s="41">
        <v>0</v>
      </c>
      <c r="X4174" s="1">
        <v>6</v>
      </c>
      <c r="Y4174" s="1" t="s">
        <v>3196</v>
      </c>
    </row>
    <row r="4175" spans="1:25" hidden="1" x14ac:dyDescent="0.25">
      <c r="A4175" t="s">
        <v>43</v>
      </c>
      <c r="B4175" t="s">
        <v>114</v>
      </c>
      <c r="C4175" t="s">
        <v>44</v>
      </c>
      <c r="D4175" t="s">
        <v>27</v>
      </c>
      <c r="E4175" s="2">
        <v>46078</v>
      </c>
      <c r="F4175" s="2">
        <v>46078</v>
      </c>
      <c r="G4175" s="3">
        <v>27</v>
      </c>
      <c r="H4175" s="4" t="s">
        <v>28</v>
      </c>
      <c r="I4175">
        <f>50+4</f>
        <v>54</v>
      </c>
      <c r="J4175">
        <v>0</v>
      </c>
      <c r="K4175">
        <v>0</v>
      </c>
      <c r="L4175" s="3">
        <v>0</v>
      </c>
      <c r="M4175" s="3">
        <v>0</v>
      </c>
      <c r="N4175">
        <v>0</v>
      </c>
      <c r="O4175">
        <v>0</v>
      </c>
      <c r="P4175">
        <v>0</v>
      </c>
      <c r="Q4175">
        <v>4</v>
      </c>
      <c r="R4175" s="3">
        <v>0</v>
      </c>
      <c r="S4175" s="3">
        <v>0</v>
      </c>
      <c r="T4175">
        <v>0</v>
      </c>
      <c r="U4175">
        <v>0</v>
      </c>
      <c r="V4175" s="3">
        <v>0</v>
      </c>
      <c r="W4175" s="3">
        <v>0</v>
      </c>
      <c r="X4175">
        <v>0</v>
      </c>
      <c r="Y4175" t="s">
        <v>3197</v>
      </c>
    </row>
    <row r="4176" spans="1:25" hidden="1" x14ac:dyDescent="0.25">
      <c r="A4176" t="s">
        <v>2118</v>
      </c>
      <c r="B4176" t="s">
        <v>2119</v>
      </c>
      <c r="C4176" t="s">
        <v>27</v>
      </c>
      <c r="D4176" t="s">
        <v>27</v>
      </c>
      <c r="E4176" s="2">
        <v>46078</v>
      </c>
      <c r="F4176" s="2">
        <v>46078</v>
      </c>
      <c r="G4176" s="3">
        <v>34</v>
      </c>
      <c r="H4176" s="4" t="s">
        <v>3161</v>
      </c>
      <c r="I4176">
        <v>64</v>
      </c>
      <c r="J4176">
        <v>0</v>
      </c>
      <c r="K4176">
        <v>0</v>
      </c>
      <c r="L4176" s="3">
        <v>1</v>
      </c>
      <c r="M4176" s="3">
        <v>0</v>
      </c>
      <c r="N4176">
        <v>0</v>
      </c>
      <c r="O4176">
        <v>0</v>
      </c>
      <c r="P4176">
        <v>0</v>
      </c>
      <c r="Q4176">
        <v>64</v>
      </c>
      <c r="R4176" s="3">
        <v>0</v>
      </c>
      <c r="S4176" s="3">
        <v>0</v>
      </c>
      <c r="T4176">
        <v>0</v>
      </c>
      <c r="U4176">
        <v>0</v>
      </c>
      <c r="V4176" s="3">
        <v>0</v>
      </c>
      <c r="W4176" s="3">
        <v>0</v>
      </c>
      <c r="X4176">
        <v>0</v>
      </c>
      <c r="Y4176" t="s">
        <v>3198</v>
      </c>
    </row>
    <row r="4177" spans="1:25" hidden="1" x14ac:dyDescent="0.25">
      <c r="A4177" t="s">
        <v>45</v>
      </c>
      <c r="B4177" t="s">
        <v>116</v>
      </c>
      <c r="C4177" t="s">
        <v>46</v>
      </c>
      <c r="D4177" t="s">
        <v>27</v>
      </c>
      <c r="E4177" s="2">
        <v>46078</v>
      </c>
      <c r="F4177" s="2">
        <v>46078</v>
      </c>
      <c r="G4177" s="3">
        <v>48</v>
      </c>
      <c r="H4177" s="4" t="s">
        <v>28</v>
      </c>
      <c r="I4177">
        <f>52+30</f>
        <v>82</v>
      </c>
      <c r="J4177">
        <v>0</v>
      </c>
      <c r="K4177">
        <v>0</v>
      </c>
      <c r="L4177" s="3">
        <v>1</v>
      </c>
      <c r="M4177" s="3">
        <v>0</v>
      </c>
      <c r="N4177">
        <v>0</v>
      </c>
      <c r="O4177">
        <v>0</v>
      </c>
      <c r="P4177">
        <v>0</v>
      </c>
      <c r="Q4177">
        <v>12</v>
      </c>
      <c r="R4177" s="3">
        <v>0</v>
      </c>
      <c r="S4177" s="3">
        <v>0</v>
      </c>
      <c r="T4177">
        <v>0</v>
      </c>
      <c r="U4177">
        <v>0</v>
      </c>
      <c r="V4177" s="3">
        <v>0</v>
      </c>
      <c r="W4177" s="3">
        <v>0</v>
      </c>
      <c r="X4177">
        <v>0</v>
      </c>
      <c r="Y4177" t="s">
        <v>3199</v>
      </c>
    </row>
    <row r="4178" spans="1:25" hidden="1" x14ac:dyDescent="0.25">
      <c r="A4178" t="s">
        <v>47</v>
      </c>
      <c r="B4178" t="s">
        <v>137</v>
      </c>
      <c r="C4178" t="s">
        <v>2310</v>
      </c>
      <c r="D4178" t="s">
        <v>27</v>
      </c>
      <c r="E4178" s="2">
        <v>46078</v>
      </c>
      <c r="F4178" s="2">
        <v>46078</v>
      </c>
      <c r="G4178" s="3">
        <v>238</v>
      </c>
      <c r="H4178" s="4" t="s">
        <v>28</v>
      </c>
      <c r="I4178">
        <v>74</v>
      </c>
      <c r="J4178">
        <v>0</v>
      </c>
      <c r="K4178">
        <v>0</v>
      </c>
      <c r="L4178" s="3">
        <v>1</v>
      </c>
      <c r="M4178" s="3">
        <v>0</v>
      </c>
      <c r="N4178">
        <v>0</v>
      </c>
      <c r="O4178">
        <v>0</v>
      </c>
      <c r="P4178">
        <v>0</v>
      </c>
      <c r="Q4178">
        <v>8</v>
      </c>
      <c r="R4178" s="3">
        <v>0</v>
      </c>
      <c r="S4178" s="3">
        <v>0</v>
      </c>
      <c r="T4178">
        <v>0</v>
      </c>
      <c r="U4178">
        <v>0</v>
      </c>
      <c r="V4178" s="3">
        <v>0</v>
      </c>
      <c r="W4178" s="3">
        <v>0</v>
      </c>
      <c r="X4178">
        <v>0</v>
      </c>
      <c r="Y4178" t="s">
        <v>3200</v>
      </c>
    </row>
    <row r="4179" spans="1:25" hidden="1" x14ac:dyDescent="0.25">
      <c r="A4179" t="s">
        <v>49</v>
      </c>
      <c r="B4179" t="s">
        <v>118</v>
      </c>
      <c r="C4179" t="s">
        <v>50</v>
      </c>
      <c r="D4179" t="s">
        <v>27</v>
      </c>
      <c r="E4179" s="2">
        <v>46078</v>
      </c>
      <c r="F4179" s="2">
        <v>46078</v>
      </c>
      <c r="G4179" s="3">
        <v>33</v>
      </c>
      <c r="H4179" s="4" t="s">
        <v>28</v>
      </c>
      <c r="I4179">
        <f>44+17</f>
        <v>61</v>
      </c>
      <c r="J4179">
        <v>0</v>
      </c>
      <c r="K4179">
        <v>0</v>
      </c>
      <c r="L4179" s="3">
        <v>1</v>
      </c>
      <c r="M4179" s="3">
        <v>1</v>
      </c>
      <c r="N4179">
        <v>0</v>
      </c>
      <c r="O4179">
        <v>0</v>
      </c>
      <c r="P4179">
        <v>0</v>
      </c>
      <c r="Q4179">
        <v>53</v>
      </c>
      <c r="R4179" s="3">
        <v>0</v>
      </c>
      <c r="S4179" s="3">
        <v>0</v>
      </c>
      <c r="T4179">
        <v>0</v>
      </c>
      <c r="U4179">
        <v>0</v>
      </c>
      <c r="V4179" s="3">
        <v>0</v>
      </c>
      <c r="W4179" s="3">
        <v>0</v>
      </c>
      <c r="X4179">
        <v>0</v>
      </c>
      <c r="Y4179" t="s">
        <v>3201</v>
      </c>
    </row>
    <row r="4180" spans="1:25" hidden="1" x14ac:dyDescent="0.25">
      <c r="A4180" t="s">
        <v>51</v>
      </c>
      <c r="B4180" t="s">
        <v>120</v>
      </c>
      <c r="C4180" t="s">
        <v>55</v>
      </c>
      <c r="D4180" t="s">
        <v>27</v>
      </c>
      <c r="E4180" s="2">
        <v>46078</v>
      </c>
      <c r="F4180" s="2">
        <v>46078</v>
      </c>
      <c r="G4180" s="3">
        <v>87</v>
      </c>
      <c r="H4180" s="4" t="s">
        <v>28</v>
      </c>
      <c r="I4180">
        <f>33+7</f>
        <v>40</v>
      </c>
      <c r="J4180">
        <v>0</v>
      </c>
      <c r="K4180">
        <v>0</v>
      </c>
      <c r="L4180" s="3">
        <v>1</v>
      </c>
      <c r="M4180" s="3">
        <v>0</v>
      </c>
      <c r="N4180">
        <v>1</v>
      </c>
      <c r="O4180">
        <v>0</v>
      </c>
      <c r="P4180">
        <v>0</v>
      </c>
      <c r="Q4180">
        <v>0</v>
      </c>
      <c r="R4180" s="3">
        <v>0</v>
      </c>
      <c r="S4180" s="3">
        <v>0</v>
      </c>
      <c r="T4180">
        <v>0</v>
      </c>
      <c r="U4180">
        <v>0</v>
      </c>
      <c r="V4180" s="3">
        <v>0</v>
      </c>
      <c r="W4180" s="3">
        <v>0</v>
      </c>
      <c r="X4180">
        <v>0</v>
      </c>
      <c r="Y4180" t="s">
        <v>3202</v>
      </c>
    </row>
    <row r="4181" spans="1:25" hidden="1" x14ac:dyDescent="0.25">
      <c r="A4181" t="s">
        <v>54</v>
      </c>
      <c r="B4181" t="s">
        <v>122</v>
      </c>
      <c r="C4181" t="s">
        <v>52</v>
      </c>
      <c r="D4181" t="s">
        <v>27</v>
      </c>
      <c r="E4181" s="2">
        <v>46078</v>
      </c>
      <c r="F4181" s="2">
        <v>46078</v>
      </c>
      <c r="G4181" s="3">
        <v>34</v>
      </c>
      <c r="H4181" s="4" t="s">
        <v>28</v>
      </c>
      <c r="I4181">
        <f>29+1</f>
        <v>30</v>
      </c>
      <c r="J4181">
        <v>0</v>
      </c>
      <c r="K4181">
        <v>0</v>
      </c>
      <c r="L4181" s="3">
        <v>0</v>
      </c>
      <c r="M4181" s="3">
        <v>0</v>
      </c>
      <c r="N4181">
        <v>0</v>
      </c>
      <c r="O4181">
        <v>0</v>
      </c>
      <c r="P4181">
        <v>0</v>
      </c>
      <c r="Q4181">
        <v>0</v>
      </c>
      <c r="R4181" s="3">
        <v>0</v>
      </c>
      <c r="S4181" s="3">
        <v>0</v>
      </c>
      <c r="T4181">
        <v>0</v>
      </c>
      <c r="U4181">
        <v>0</v>
      </c>
      <c r="V4181" s="3">
        <v>0</v>
      </c>
      <c r="W4181" s="3">
        <v>0</v>
      </c>
      <c r="X4181">
        <v>0</v>
      </c>
      <c r="Y4181" t="s">
        <v>3203</v>
      </c>
    </row>
    <row r="4182" spans="1:25" hidden="1" x14ac:dyDescent="0.25">
      <c r="A4182" t="s">
        <v>48</v>
      </c>
      <c r="B4182" t="s">
        <v>149</v>
      </c>
      <c r="C4182" t="s">
        <v>37</v>
      </c>
      <c r="D4182" t="s">
        <v>27</v>
      </c>
      <c r="E4182" s="2">
        <v>46078</v>
      </c>
      <c r="F4182" s="2">
        <v>46078</v>
      </c>
      <c r="G4182" s="3">
        <v>24</v>
      </c>
      <c r="H4182" s="4" t="s">
        <v>28</v>
      </c>
      <c r="I4182">
        <f>61+0</f>
        <v>61</v>
      </c>
      <c r="J4182">
        <v>0</v>
      </c>
      <c r="K4182">
        <v>0</v>
      </c>
      <c r="L4182" s="3">
        <v>1</v>
      </c>
      <c r="M4182" s="3">
        <v>0</v>
      </c>
      <c r="N4182">
        <v>0</v>
      </c>
      <c r="O4182">
        <v>0</v>
      </c>
      <c r="P4182">
        <v>0</v>
      </c>
      <c r="Q4182">
        <v>0</v>
      </c>
      <c r="R4182" s="3">
        <v>0</v>
      </c>
      <c r="S4182" s="3">
        <v>0</v>
      </c>
      <c r="T4182">
        <v>0</v>
      </c>
      <c r="U4182">
        <v>0</v>
      </c>
      <c r="V4182" s="3">
        <v>0</v>
      </c>
      <c r="W4182" s="3">
        <v>0</v>
      </c>
      <c r="X4182">
        <v>0</v>
      </c>
      <c r="Y4182" t="s">
        <v>3204</v>
      </c>
    </row>
    <row r="4183" spans="1:25" hidden="1" x14ac:dyDescent="0.25">
      <c r="A4183" t="s">
        <v>3187</v>
      </c>
      <c r="B4183" t="s">
        <v>122</v>
      </c>
      <c r="C4183" t="s">
        <v>2271</v>
      </c>
      <c r="D4183" t="s">
        <v>27</v>
      </c>
      <c r="E4183" s="2">
        <v>46076</v>
      </c>
      <c r="F4183" s="2">
        <v>46076</v>
      </c>
      <c r="G4183" s="3">
        <v>45</v>
      </c>
      <c r="H4183" s="4" t="s">
        <v>959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 t="s">
        <v>3186</v>
      </c>
    </row>
    <row r="4184" spans="1:25" hidden="1" x14ac:dyDescent="0.25">
      <c r="A4184" t="s">
        <v>3187</v>
      </c>
      <c r="B4184" t="s">
        <v>122</v>
      </c>
      <c r="C4184" t="s">
        <v>2271</v>
      </c>
      <c r="D4184" t="s">
        <v>27</v>
      </c>
      <c r="E4184" s="2">
        <v>46077</v>
      </c>
      <c r="F4184" s="2">
        <v>46077</v>
      </c>
      <c r="G4184" s="3">
        <v>45</v>
      </c>
      <c r="H4184" s="4" t="s">
        <v>959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3186</v>
      </c>
    </row>
    <row r="4185" spans="1:25" hidden="1" x14ac:dyDescent="0.25">
      <c r="A4185" t="s">
        <v>3187</v>
      </c>
      <c r="B4185" t="s">
        <v>122</v>
      </c>
      <c r="C4185" t="s">
        <v>2271</v>
      </c>
      <c r="D4185" t="s">
        <v>27</v>
      </c>
      <c r="E4185" s="2">
        <v>46078</v>
      </c>
      <c r="F4185" s="2">
        <v>46078</v>
      </c>
      <c r="G4185" s="3">
        <v>45</v>
      </c>
      <c r="H4185" s="4" t="s">
        <v>959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3186</v>
      </c>
    </row>
    <row r="4186" spans="1:25" hidden="1" x14ac:dyDescent="0.25">
      <c r="A4186" t="s">
        <v>25</v>
      </c>
      <c r="B4186" t="s">
        <v>96</v>
      </c>
      <c r="C4186" t="s">
        <v>26</v>
      </c>
      <c r="D4186" t="s">
        <v>27</v>
      </c>
      <c r="E4186" s="2">
        <v>46079</v>
      </c>
      <c r="F4186" s="2">
        <v>46079</v>
      </c>
      <c r="G4186" s="3">
        <v>35</v>
      </c>
      <c r="H4186" s="4" t="s">
        <v>28</v>
      </c>
      <c r="I4186">
        <f>33+10</f>
        <v>43</v>
      </c>
      <c r="J4186">
        <v>0</v>
      </c>
      <c r="K4186">
        <v>0</v>
      </c>
      <c r="L4186" s="3">
        <v>1</v>
      </c>
      <c r="M4186" s="3">
        <v>0</v>
      </c>
      <c r="N4186">
        <v>1</v>
      </c>
      <c r="O4186">
        <v>0</v>
      </c>
      <c r="P4186">
        <v>0</v>
      </c>
      <c r="Q4186">
        <v>0</v>
      </c>
      <c r="R4186" s="3">
        <v>0</v>
      </c>
      <c r="S4186" s="3">
        <v>0</v>
      </c>
      <c r="T4186">
        <v>0</v>
      </c>
      <c r="U4186">
        <v>0</v>
      </c>
      <c r="V4186" s="3">
        <v>0</v>
      </c>
      <c r="W4186" s="3">
        <v>0</v>
      </c>
      <c r="X4186">
        <v>0</v>
      </c>
      <c r="Y4186" t="s">
        <v>3205</v>
      </c>
    </row>
    <row r="4187" spans="1:25" hidden="1" x14ac:dyDescent="0.25">
      <c r="A4187" t="s">
        <v>31</v>
      </c>
      <c r="B4187" t="s">
        <v>104</v>
      </c>
      <c r="C4187" t="s">
        <v>32</v>
      </c>
      <c r="D4187" t="s">
        <v>27</v>
      </c>
      <c r="E4187" s="2">
        <v>46079</v>
      </c>
      <c r="F4187" s="2">
        <v>46079</v>
      </c>
      <c r="G4187" s="3">
        <v>46</v>
      </c>
      <c r="H4187" s="4" t="s">
        <v>28</v>
      </c>
      <c r="I4187">
        <f>66+4</f>
        <v>70</v>
      </c>
      <c r="J4187">
        <v>0</v>
      </c>
      <c r="K4187">
        <v>0</v>
      </c>
      <c r="L4187" s="3">
        <v>0</v>
      </c>
      <c r="M4187" s="3">
        <v>0</v>
      </c>
      <c r="N4187">
        <v>0</v>
      </c>
      <c r="O4187">
        <v>0</v>
      </c>
      <c r="P4187">
        <v>0</v>
      </c>
      <c r="Q4187">
        <v>30</v>
      </c>
      <c r="R4187" s="3">
        <v>0</v>
      </c>
      <c r="S4187" s="3">
        <v>0</v>
      </c>
      <c r="T4187">
        <v>0</v>
      </c>
      <c r="U4187">
        <v>0</v>
      </c>
      <c r="V4187" s="3">
        <v>0</v>
      </c>
      <c r="W4187" s="3">
        <v>0</v>
      </c>
      <c r="X4187">
        <v>0</v>
      </c>
      <c r="Y4187" t="s">
        <v>3206</v>
      </c>
    </row>
    <row r="4188" spans="1:25" hidden="1" x14ac:dyDescent="0.25">
      <c r="A4188" t="s">
        <v>33</v>
      </c>
      <c r="B4188" t="s">
        <v>106</v>
      </c>
      <c r="C4188" t="s">
        <v>2835</v>
      </c>
      <c r="D4188" t="s">
        <v>27</v>
      </c>
      <c r="E4188" s="2">
        <v>46079</v>
      </c>
      <c r="F4188" s="2">
        <v>46079</v>
      </c>
      <c r="G4188" s="3">
        <v>23</v>
      </c>
      <c r="H4188" s="4" t="s">
        <v>28</v>
      </c>
      <c r="I4188">
        <f>36+3</f>
        <v>39</v>
      </c>
      <c r="J4188">
        <v>0</v>
      </c>
      <c r="K4188">
        <v>0</v>
      </c>
      <c r="L4188" s="3">
        <v>0</v>
      </c>
      <c r="M4188" s="3">
        <v>0</v>
      </c>
      <c r="N4188">
        <v>0</v>
      </c>
      <c r="O4188">
        <v>0</v>
      </c>
      <c r="P4188">
        <v>0</v>
      </c>
      <c r="Q4188">
        <v>0</v>
      </c>
      <c r="R4188" s="3">
        <v>0</v>
      </c>
      <c r="S4188" s="3">
        <v>0</v>
      </c>
      <c r="T4188">
        <v>0</v>
      </c>
      <c r="U4188">
        <v>0</v>
      </c>
      <c r="V4188" s="3">
        <v>0</v>
      </c>
      <c r="W4188" s="3">
        <v>0</v>
      </c>
      <c r="X4188">
        <v>0</v>
      </c>
      <c r="Y4188" t="s">
        <v>3207</v>
      </c>
    </row>
    <row r="4189" spans="1:25" hidden="1" x14ac:dyDescent="0.25">
      <c r="A4189" t="s">
        <v>2899</v>
      </c>
      <c r="B4189" t="s">
        <v>2998</v>
      </c>
      <c r="C4189" t="s">
        <v>95</v>
      </c>
      <c r="D4189" t="s">
        <v>35</v>
      </c>
      <c r="E4189" s="2">
        <v>46079</v>
      </c>
      <c r="F4189" s="2">
        <v>46079</v>
      </c>
      <c r="G4189" s="3">
        <v>43</v>
      </c>
      <c r="H4189" s="4" t="s">
        <v>28</v>
      </c>
      <c r="I4189">
        <f>46+5</f>
        <v>51</v>
      </c>
      <c r="J4189">
        <v>0</v>
      </c>
      <c r="K4189">
        <v>0</v>
      </c>
      <c r="L4189" s="3">
        <v>1</v>
      </c>
      <c r="M4189" s="3">
        <v>0</v>
      </c>
      <c r="N4189">
        <v>0</v>
      </c>
      <c r="O4189">
        <v>0</v>
      </c>
      <c r="P4189">
        <v>12</v>
      </c>
      <c r="Q4189">
        <v>15</v>
      </c>
      <c r="R4189" s="3">
        <v>0</v>
      </c>
      <c r="S4189" s="3">
        <v>0</v>
      </c>
      <c r="T4189">
        <v>0</v>
      </c>
      <c r="U4189">
        <v>0</v>
      </c>
      <c r="V4189" s="3">
        <v>0</v>
      </c>
      <c r="W4189" s="3">
        <v>0</v>
      </c>
      <c r="X4189">
        <v>0</v>
      </c>
      <c r="Y4189" t="s">
        <v>3208</v>
      </c>
    </row>
    <row r="4190" spans="1:25" hidden="1" x14ac:dyDescent="0.25">
      <c r="A4190" t="s">
        <v>36</v>
      </c>
      <c r="B4190" t="s">
        <v>249</v>
      </c>
      <c r="C4190" t="s">
        <v>2534</v>
      </c>
      <c r="D4190" t="s">
        <v>27</v>
      </c>
      <c r="E4190" s="2">
        <v>46079</v>
      </c>
      <c r="F4190" s="2">
        <v>46079</v>
      </c>
      <c r="G4190" s="3">
        <v>84</v>
      </c>
      <c r="H4190" s="4" t="s">
        <v>28</v>
      </c>
      <c r="I4190">
        <f>36+11</f>
        <v>47</v>
      </c>
      <c r="J4190">
        <v>0</v>
      </c>
      <c r="K4190">
        <v>0</v>
      </c>
      <c r="L4190" s="3">
        <v>1</v>
      </c>
      <c r="M4190" s="3">
        <v>0</v>
      </c>
      <c r="N4190">
        <v>1</v>
      </c>
      <c r="O4190">
        <v>0</v>
      </c>
      <c r="P4190">
        <v>0</v>
      </c>
      <c r="Q4190">
        <v>0</v>
      </c>
      <c r="R4190" s="3">
        <v>0</v>
      </c>
      <c r="S4190" s="3">
        <v>0</v>
      </c>
      <c r="T4190">
        <v>0</v>
      </c>
      <c r="U4190">
        <v>0</v>
      </c>
      <c r="V4190" s="3">
        <v>0</v>
      </c>
      <c r="W4190" s="3">
        <v>0</v>
      </c>
      <c r="X4190">
        <v>0</v>
      </c>
      <c r="Y4190" t="s">
        <v>3209</v>
      </c>
    </row>
    <row r="4191" spans="1:25" hidden="1" x14ac:dyDescent="0.25">
      <c r="A4191" t="s">
        <v>38</v>
      </c>
      <c r="B4191" t="s">
        <v>108</v>
      </c>
      <c r="C4191" t="s">
        <v>27</v>
      </c>
      <c r="D4191" t="s">
        <v>27</v>
      </c>
      <c r="E4191" s="2">
        <v>46079</v>
      </c>
      <c r="F4191" s="2">
        <v>46079</v>
      </c>
      <c r="G4191" s="3">
        <v>33</v>
      </c>
      <c r="H4191" s="4" t="s">
        <v>3161</v>
      </c>
      <c r="I4191">
        <v>32</v>
      </c>
      <c r="J4191">
        <v>0</v>
      </c>
      <c r="K4191">
        <v>0</v>
      </c>
      <c r="L4191" s="3">
        <v>1</v>
      </c>
      <c r="M4191" s="3">
        <v>0</v>
      </c>
      <c r="N4191">
        <v>0</v>
      </c>
      <c r="O4191">
        <v>0</v>
      </c>
      <c r="P4191">
        <v>0</v>
      </c>
      <c r="Q4191">
        <v>32</v>
      </c>
      <c r="R4191" s="3">
        <v>0</v>
      </c>
      <c r="S4191" s="3">
        <v>0</v>
      </c>
      <c r="T4191">
        <v>0</v>
      </c>
      <c r="U4191">
        <v>0</v>
      </c>
      <c r="V4191" s="3">
        <v>0</v>
      </c>
      <c r="W4191" s="3">
        <v>0</v>
      </c>
      <c r="X4191">
        <v>0</v>
      </c>
      <c r="Y4191" t="s">
        <v>3210</v>
      </c>
    </row>
    <row r="4192" spans="1:25" hidden="1" x14ac:dyDescent="0.25">
      <c r="A4192" t="s">
        <v>2679</v>
      </c>
      <c r="B4192" t="s">
        <v>2680</v>
      </c>
      <c r="C4192" t="s">
        <v>39</v>
      </c>
      <c r="D4192" t="s">
        <v>27</v>
      </c>
      <c r="E4192" s="2">
        <v>46079</v>
      </c>
      <c r="F4192" s="2">
        <v>46079</v>
      </c>
      <c r="G4192" s="3">
        <v>31</v>
      </c>
      <c r="H4192" s="4" t="s">
        <v>3161</v>
      </c>
      <c r="I4192">
        <v>32</v>
      </c>
      <c r="J4192">
        <v>0</v>
      </c>
      <c r="K4192">
        <v>0</v>
      </c>
      <c r="L4192" s="3">
        <v>1</v>
      </c>
      <c r="M4192" s="3">
        <v>0</v>
      </c>
      <c r="N4192">
        <v>0</v>
      </c>
      <c r="O4192">
        <v>0</v>
      </c>
      <c r="P4192">
        <v>0</v>
      </c>
      <c r="Q4192">
        <v>32</v>
      </c>
      <c r="R4192" s="3">
        <v>0</v>
      </c>
      <c r="S4192" s="3">
        <v>0</v>
      </c>
      <c r="T4192">
        <v>0</v>
      </c>
      <c r="U4192">
        <v>0</v>
      </c>
      <c r="V4192" s="3">
        <v>0</v>
      </c>
      <c r="W4192" s="3">
        <v>0</v>
      </c>
      <c r="X4192">
        <v>0</v>
      </c>
      <c r="Y4192" t="s">
        <v>3211</v>
      </c>
    </row>
    <row r="4193" spans="1:25" s="1" customFormat="1" hidden="1" x14ac:dyDescent="0.25">
      <c r="A4193" s="1" t="s">
        <v>41</v>
      </c>
      <c r="B4193" s="1" t="s">
        <v>112</v>
      </c>
      <c r="C4193" s="1" t="s">
        <v>42</v>
      </c>
      <c r="D4193" s="1" t="s">
        <v>27</v>
      </c>
      <c r="E4193" s="10">
        <v>46079</v>
      </c>
      <c r="F4193" s="10">
        <v>46079</v>
      </c>
      <c r="G4193" s="41">
        <v>66</v>
      </c>
      <c r="H4193" s="15" t="s">
        <v>28</v>
      </c>
      <c r="I4193" s="1">
        <v>92</v>
      </c>
      <c r="J4193" s="1">
        <v>0</v>
      </c>
      <c r="K4193" s="1">
        <v>0</v>
      </c>
      <c r="L4193" s="41">
        <v>1</v>
      </c>
      <c r="M4193" s="41">
        <v>1</v>
      </c>
      <c r="N4193" s="1">
        <v>0</v>
      </c>
      <c r="O4193" s="1">
        <v>0</v>
      </c>
      <c r="P4193" s="1">
        <v>0</v>
      </c>
      <c r="Q4193" s="1">
        <v>42</v>
      </c>
      <c r="R4193" s="41">
        <v>0</v>
      </c>
      <c r="S4193" s="41">
        <v>0</v>
      </c>
      <c r="T4193" s="1">
        <v>0</v>
      </c>
      <c r="U4193" s="1">
        <v>0</v>
      </c>
      <c r="V4193" s="41">
        <v>0</v>
      </c>
      <c r="W4193" s="41">
        <v>0</v>
      </c>
      <c r="X4193" s="1">
        <v>6</v>
      </c>
      <c r="Y4193" s="1" t="s">
        <v>3212</v>
      </c>
    </row>
    <row r="4194" spans="1:25" hidden="1" x14ac:dyDescent="0.25">
      <c r="A4194" t="s">
        <v>43</v>
      </c>
      <c r="B4194" t="s">
        <v>114</v>
      </c>
      <c r="C4194" t="s">
        <v>44</v>
      </c>
      <c r="D4194" t="s">
        <v>27</v>
      </c>
      <c r="E4194" s="2">
        <v>46079</v>
      </c>
      <c r="F4194" s="2">
        <v>46079</v>
      </c>
      <c r="G4194" s="3">
        <v>55</v>
      </c>
      <c r="H4194" s="4" t="s">
        <v>28</v>
      </c>
      <c r="I4194">
        <v>69</v>
      </c>
      <c r="J4194">
        <v>0</v>
      </c>
      <c r="K4194">
        <v>0</v>
      </c>
      <c r="L4194" s="3">
        <v>0</v>
      </c>
      <c r="M4194" s="3">
        <v>0</v>
      </c>
      <c r="N4194">
        <v>0</v>
      </c>
      <c r="O4194">
        <v>0</v>
      </c>
      <c r="P4194">
        <v>0</v>
      </c>
      <c r="Q4194">
        <v>4</v>
      </c>
      <c r="R4194" s="3">
        <v>0</v>
      </c>
      <c r="S4194" s="3">
        <v>0</v>
      </c>
      <c r="T4194">
        <v>0</v>
      </c>
      <c r="U4194">
        <v>0</v>
      </c>
      <c r="V4194" s="3">
        <v>0</v>
      </c>
      <c r="W4194" s="3">
        <v>0</v>
      </c>
      <c r="X4194">
        <v>0</v>
      </c>
      <c r="Y4194" t="s">
        <v>3213</v>
      </c>
    </row>
    <row r="4195" spans="1:25" hidden="1" x14ac:dyDescent="0.25">
      <c r="A4195" t="s">
        <v>45</v>
      </c>
      <c r="B4195" t="s">
        <v>116</v>
      </c>
      <c r="C4195" t="s">
        <v>46</v>
      </c>
      <c r="D4195" t="s">
        <v>27</v>
      </c>
      <c r="E4195" s="2">
        <v>46079</v>
      </c>
      <c r="F4195" s="2">
        <v>46079</v>
      </c>
      <c r="G4195" s="3">
        <v>51</v>
      </c>
      <c r="H4195" s="4" t="s">
        <v>28</v>
      </c>
      <c r="I4195">
        <v>34</v>
      </c>
      <c r="J4195">
        <v>0</v>
      </c>
      <c r="K4195">
        <v>0</v>
      </c>
      <c r="L4195" s="3">
        <v>0</v>
      </c>
      <c r="M4195" s="3">
        <v>0</v>
      </c>
      <c r="N4195">
        <v>0</v>
      </c>
      <c r="O4195">
        <v>0</v>
      </c>
      <c r="P4195">
        <v>0</v>
      </c>
      <c r="Q4195">
        <v>6</v>
      </c>
      <c r="R4195" s="3">
        <v>0</v>
      </c>
      <c r="S4195" s="3">
        <v>0</v>
      </c>
      <c r="T4195">
        <v>0</v>
      </c>
      <c r="U4195">
        <v>0</v>
      </c>
      <c r="V4195" s="3">
        <v>0</v>
      </c>
      <c r="W4195" s="3">
        <v>0</v>
      </c>
      <c r="X4195">
        <v>0</v>
      </c>
      <c r="Y4195" t="s">
        <v>3214</v>
      </c>
    </row>
    <row r="4196" spans="1:25" hidden="1" x14ac:dyDescent="0.25">
      <c r="A4196" t="s">
        <v>47</v>
      </c>
      <c r="B4196" t="s">
        <v>137</v>
      </c>
      <c r="C4196" t="s">
        <v>2310</v>
      </c>
      <c r="D4196" t="s">
        <v>27</v>
      </c>
      <c r="E4196" s="2">
        <v>46079</v>
      </c>
      <c r="F4196" s="2">
        <v>46079</v>
      </c>
      <c r="G4196" s="3">
        <v>149</v>
      </c>
      <c r="H4196" s="4" t="s">
        <v>28</v>
      </c>
      <c r="I4196">
        <v>40</v>
      </c>
      <c r="J4196">
        <v>0</v>
      </c>
      <c r="K4196">
        <v>0</v>
      </c>
      <c r="L4196" s="3">
        <v>1</v>
      </c>
      <c r="M4196" s="3">
        <v>0</v>
      </c>
      <c r="N4196">
        <v>0</v>
      </c>
      <c r="O4196">
        <v>0</v>
      </c>
      <c r="P4196">
        <v>0</v>
      </c>
      <c r="Q4196">
        <v>2</v>
      </c>
      <c r="R4196" s="3">
        <v>0</v>
      </c>
      <c r="S4196" s="3">
        <v>0</v>
      </c>
      <c r="T4196">
        <v>0</v>
      </c>
      <c r="U4196">
        <v>0</v>
      </c>
      <c r="V4196" s="3">
        <v>0</v>
      </c>
      <c r="W4196" s="3">
        <v>0</v>
      </c>
      <c r="X4196">
        <v>0</v>
      </c>
      <c r="Y4196" t="s">
        <v>3215</v>
      </c>
    </row>
    <row r="4197" spans="1:25" hidden="1" x14ac:dyDescent="0.25">
      <c r="A4197" t="s">
        <v>49</v>
      </c>
      <c r="B4197" t="s">
        <v>118</v>
      </c>
      <c r="C4197" t="s">
        <v>50</v>
      </c>
      <c r="D4197" t="s">
        <v>27</v>
      </c>
      <c r="E4197" s="2">
        <v>46079</v>
      </c>
      <c r="F4197" s="2">
        <v>46079</v>
      </c>
      <c r="G4197" s="3">
        <v>42</v>
      </c>
      <c r="H4197" s="4" t="s">
        <v>28</v>
      </c>
      <c r="I4197">
        <f>63+2</f>
        <v>65</v>
      </c>
      <c r="J4197">
        <v>0</v>
      </c>
      <c r="K4197">
        <v>0</v>
      </c>
      <c r="L4197" s="3">
        <v>1</v>
      </c>
      <c r="M4197" s="3">
        <v>1</v>
      </c>
      <c r="N4197">
        <v>0</v>
      </c>
      <c r="O4197">
        <v>1</v>
      </c>
      <c r="P4197">
        <v>0</v>
      </c>
      <c r="Q4197">
        <v>65</v>
      </c>
      <c r="R4197" s="3">
        <v>0</v>
      </c>
      <c r="S4197" s="3">
        <v>0</v>
      </c>
      <c r="T4197">
        <v>0</v>
      </c>
      <c r="U4197">
        <v>0</v>
      </c>
      <c r="V4197" s="3">
        <v>0</v>
      </c>
      <c r="W4197" s="3">
        <v>0</v>
      </c>
      <c r="X4197">
        <v>0</v>
      </c>
      <c r="Y4197" t="s">
        <v>3216</v>
      </c>
    </row>
    <row r="4198" spans="1:25" hidden="1" x14ac:dyDescent="0.25">
      <c r="A4198" t="s">
        <v>51</v>
      </c>
      <c r="B4198" t="s">
        <v>120</v>
      </c>
      <c r="C4198" t="s">
        <v>55</v>
      </c>
      <c r="D4198" t="s">
        <v>27</v>
      </c>
      <c r="E4198" s="2">
        <v>46079</v>
      </c>
      <c r="F4198" s="2">
        <v>46079</v>
      </c>
      <c r="G4198" s="3">
        <v>41</v>
      </c>
      <c r="H4198" s="4" t="s">
        <v>28</v>
      </c>
      <c r="I4198">
        <v>27</v>
      </c>
      <c r="J4198">
        <v>0</v>
      </c>
      <c r="K4198">
        <v>0</v>
      </c>
      <c r="L4198" s="3">
        <v>1</v>
      </c>
      <c r="M4198" s="3">
        <v>0</v>
      </c>
      <c r="N4198">
        <v>1</v>
      </c>
      <c r="O4198">
        <v>0</v>
      </c>
      <c r="P4198">
        <v>0</v>
      </c>
      <c r="Q4198">
        <v>0</v>
      </c>
      <c r="R4198" s="3">
        <v>0</v>
      </c>
      <c r="S4198" s="3">
        <v>0</v>
      </c>
      <c r="T4198">
        <v>0</v>
      </c>
      <c r="U4198">
        <v>0</v>
      </c>
      <c r="V4198" s="3">
        <v>0</v>
      </c>
      <c r="W4198" s="3">
        <v>0</v>
      </c>
      <c r="X4198">
        <v>0</v>
      </c>
      <c r="Y4198" t="s">
        <v>3217</v>
      </c>
    </row>
    <row r="4199" spans="1:25" hidden="1" x14ac:dyDescent="0.25">
      <c r="A4199" t="s">
        <v>54</v>
      </c>
      <c r="B4199" t="s">
        <v>122</v>
      </c>
      <c r="C4199" t="s">
        <v>52</v>
      </c>
      <c r="D4199" t="s">
        <v>27</v>
      </c>
      <c r="E4199" s="2">
        <v>46079</v>
      </c>
      <c r="F4199" s="2">
        <v>46079</v>
      </c>
      <c r="G4199" s="3">
        <v>57</v>
      </c>
      <c r="H4199" s="4" t="s">
        <v>28</v>
      </c>
      <c r="I4199">
        <f>41+2</f>
        <v>43</v>
      </c>
      <c r="J4199">
        <v>0</v>
      </c>
      <c r="K4199">
        <v>0</v>
      </c>
      <c r="L4199" s="3">
        <v>0</v>
      </c>
      <c r="M4199" s="3">
        <v>0</v>
      </c>
      <c r="N4199">
        <v>0</v>
      </c>
      <c r="O4199">
        <v>0</v>
      </c>
      <c r="P4199">
        <v>0</v>
      </c>
      <c r="Q4199">
        <v>7</v>
      </c>
      <c r="R4199" s="3">
        <v>0</v>
      </c>
      <c r="S4199" s="3">
        <v>0</v>
      </c>
      <c r="T4199">
        <v>0</v>
      </c>
      <c r="U4199">
        <v>0</v>
      </c>
      <c r="V4199" s="3">
        <v>0</v>
      </c>
      <c r="W4199" s="3">
        <v>0</v>
      </c>
      <c r="X4199">
        <v>0</v>
      </c>
      <c r="Y4199" t="s">
        <v>3218</v>
      </c>
    </row>
    <row r="4200" spans="1:25" hidden="1" x14ac:dyDescent="0.25">
      <c r="A4200" t="s">
        <v>48</v>
      </c>
      <c r="B4200" t="s">
        <v>149</v>
      </c>
      <c r="C4200" t="s">
        <v>37</v>
      </c>
      <c r="D4200" t="s">
        <v>27</v>
      </c>
      <c r="E4200" s="2">
        <v>46079</v>
      </c>
      <c r="F4200" s="2">
        <v>46079</v>
      </c>
      <c r="G4200" s="3">
        <v>50</v>
      </c>
      <c r="H4200" s="4" t="s">
        <v>28</v>
      </c>
      <c r="I4200">
        <v>29</v>
      </c>
      <c r="J4200">
        <v>0</v>
      </c>
      <c r="K4200">
        <v>0</v>
      </c>
      <c r="L4200" s="3">
        <v>0</v>
      </c>
      <c r="M4200" s="3">
        <v>0</v>
      </c>
      <c r="N4200">
        <v>0</v>
      </c>
      <c r="O4200">
        <v>0</v>
      </c>
      <c r="P4200">
        <v>0</v>
      </c>
      <c r="Q4200">
        <v>0</v>
      </c>
      <c r="R4200" s="3">
        <v>0</v>
      </c>
      <c r="S4200" s="3">
        <v>0</v>
      </c>
      <c r="T4200">
        <v>0</v>
      </c>
      <c r="U4200">
        <v>0</v>
      </c>
      <c r="V4200" s="3">
        <v>0</v>
      </c>
      <c r="W4200" s="3">
        <v>0</v>
      </c>
      <c r="X4200">
        <v>0</v>
      </c>
      <c r="Y4200" t="s">
        <v>3219</v>
      </c>
    </row>
    <row r="4201" spans="1:25" hidden="1" x14ac:dyDescent="0.25">
      <c r="A4201" t="s">
        <v>27</v>
      </c>
      <c r="B4201" t="s">
        <v>149</v>
      </c>
      <c r="C4201" t="s">
        <v>2271</v>
      </c>
      <c r="D4201" t="s">
        <v>27</v>
      </c>
      <c r="E4201" s="2">
        <v>46079</v>
      </c>
      <c r="F4201" s="2">
        <v>46079</v>
      </c>
      <c r="G4201" s="3">
        <v>50</v>
      </c>
      <c r="H4201" s="4" t="s">
        <v>959</v>
      </c>
      <c r="I4201">
        <v>0</v>
      </c>
      <c r="J4201">
        <v>0</v>
      </c>
      <c r="K4201">
        <v>0</v>
      </c>
      <c r="L4201" s="3">
        <v>0</v>
      </c>
      <c r="M4201" s="3">
        <v>0</v>
      </c>
      <c r="N4201">
        <v>0</v>
      </c>
      <c r="O4201">
        <v>0</v>
      </c>
      <c r="P4201">
        <v>0</v>
      </c>
      <c r="Q4201">
        <v>0</v>
      </c>
      <c r="R4201" s="3">
        <v>0</v>
      </c>
      <c r="S4201" s="3">
        <v>0</v>
      </c>
      <c r="T4201">
        <v>0</v>
      </c>
      <c r="U4201">
        <v>0</v>
      </c>
      <c r="V4201" s="3">
        <v>0</v>
      </c>
      <c r="W4201" s="3">
        <v>0</v>
      </c>
      <c r="X4201">
        <v>0</v>
      </c>
      <c r="Y4201" t="s">
        <v>3219</v>
      </c>
    </row>
    <row r="4202" spans="1:25" hidden="1" x14ac:dyDescent="0.25">
      <c r="A4202" t="s">
        <v>1316</v>
      </c>
      <c r="B4202" t="s">
        <v>1348</v>
      </c>
      <c r="C4202" t="s">
        <v>2514</v>
      </c>
      <c r="D4202" t="s">
        <v>27</v>
      </c>
      <c r="E4202" s="2">
        <v>46079</v>
      </c>
      <c r="F4202" s="2">
        <v>46079</v>
      </c>
      <c r="G4202" s="3">
        <v>50</v>
      </c>
      <c r="H4202" s="4" t="s">
        <v>959</v>
      </c>
      <c r="I4202">
        <v>0</v>
      </c>
      <c r="J4202">
        <v>0</v>
      </c>
      <c r="K4202">
        <v>0</v>
      </c>
      <c r="L4202" s="3">
        <v>0</v>
      </c>
      <c r="M4202" s="3">
        <v>0</v>
      </c>
      <c r="N4202">
        <v>0</v>
      </c>
      <c r="O4202">
        <v>0</v>
      </c>
      <c r="P4202">
        <v>0</v>
      </c>
      <c r="Q4202">
        <v>0</v>
      </c>
      <c r="R4202" s="3">
        <v>0</v>
      </c>
      <c r="S4202" s="3">
        <v>0</v>
      </c>
      <c r="T4202">
        <v>0</v>
      </c>
      <c r="U4202">
        <v>0</v>
      </c>
      <c r="V4202" s="3">
        <v>0</v>
      </c>
      <c r="W4202" s="3">
        <v>0</v>
      </c>
      <c r="X4202">
        <v>0</v>
      </c>
      <c r="Y4202" t="s">
        <v>3219</v>
      </c>
    </row>
    <row r="4203" spans="1:25" hidden="1" x14ac:dyDescent="0.25">
      <c r="A4203" t="s">
        <v>25</v>
      </c>
      <c r="B4203" t="s">
        <v>96</v>
      </c>
      <c r="C4203" t="s">
        <v>26</v>
      </c>
      <c r="D4203" t="s">
        <v>27</v>
      </c>
      <c r="E4203" s="2">
        <v>46080</v>
      </c>
      <c r="F4203" s="2">
        <v>46080</v>
      </c>
      <c r="G4203" s="3">
        <v>30</v>
      </c>
      <c r="H4203" s="4" t="s">
        <v>28</v>
      </c>
      <c r="I4203">
        <f>30+13+3</f>
        <v>46</v>
      </c>
      <c r="J4203">
        <v>0</v>
      </c>
      <c r="K4203">
        <v>0</v>
      </c>
      <c r="L4203" s="3">
        <v>1</v>
      </c>
      <c r="M4203" s="3">
        <v>0</v>
      </c>
      <c r="N4203">
        <v>1</v>
      </c>
      <c r="O4203">
        <v>0</v>
      </c>
      <c r="P4203">
        <v>0</v>
      </c>
      <c r="Q4203">
        <v>0</v>
      </c>
      <c r="R4203" s="3">
        <v>0</v>
      </c>
      <c r="S4203" s="3">
        <v>0</v>
      </c>
      <c r="T4203">
        <v>0</v>
      </c>
      <c r="U4203">
        <v>0</v>
      </c>
      <c r="V4203" s="3">
        <v>0</v>
      </c>
      <c r="W4203" s="3">
        <v>0</v>
      </c>
      <c r="X4203">
        <v>0</v>
      </c>
      <c r="Y4203" t="s">
        <v>3220</v>
      </c>
    </row>
    <row r="4204" spans="1:25" hidden="1" x14ac:dyDescent="0.25">
      <c r="A4204" t="s">
        <v>31</v>
      </c>
      <c r="B4204" t="s">
        <v>104</v>
      </c>
      <c r="C4204" t="s">
        <v>32</v>
      </c>
      <c r="D4204" t="s">
        <v>27</v>
      </c>
      <c r="E4204" s="2">
        <v>46080</v>
      </c>
      <c r="F4204" s="2">
        <v>46080</v>
      </c>
      <c r="G4204" s="3">
        <v>51</v>
      </c>
      <c r="H4204" s="4" t="s">
        <v>28</v>
      </c>
      <c r="I4204">
        <v>78</v>
      </c>
      <c r="J4204">
        <v>0</v>
      </c>
      <c r="K4204">
        <v>0</v>
      </c>
      <c r="L4204" s="3">
        <v>1</v>
      </c>
      <c r="M4204" s="3">
        <v>0</v>
      </c>
      <c r="N4204">
        <v>0</v>
      </c>
      <c r="O4204">
        <v>0</v>
      </c>
      <c r="P4204">
        <v>0</v>
      </c>
      <c r="Q4204">
        <v>30</v>
      </c>
      <c r="R4204" s="3">
        <v>0</v>
      </c>
      <c r="S4204" s="3">
        <v>0</v>
      </c>
      <c r="T4204">
        <v>0</v>
      </c>
      <c r="U4204">
        <v>0</v>
      </c>
      <c r="V4204" s="3">
        <v>0</v>
      </c>
      <c r="W4204" s="3">
        <v>0</v>
      </c>
      <c r="X4204">
        <v>0</v>
      </c>
      <c r="Y4204" t="s">
        <v>3221</v>
      </c>
    </row>
    <row r="4205" spans="1:25" hidden="1" x14ac:dyDescent="0.25">
      <c r="A4205" t="s">
        <v>2899</v>
      </c>
      <c r="B4205" t="s">
        <v>2998</v>
      </c>
      <c r="C4205" t="s">
        <v>95</v>
      </c>
      <c r="D4205" t="s">
        <v>27</v>
      </c>
      <c r="E4205" s="2">
        <v>46080</v>
      </c>
      <c r="F4205" s="2">
        <v>46080</v>
      </c>
      <c r="G4205" s="3">
        <v>24</v>
      </c>
      <c r="H4205" s="4" t="s">
        <v>28</v>
      </c>
      <c r="I4205">
        <f>32+1+1+12</f>
        <v>46</v>
      </c>
      <c r="J4205">
        <v>0</v>
      </c>
      <c r="K4205">
        <v>0</v>
      </c>
      <c r="L4205" s="3">
        <v>1</v>
      </c>
      <c r="M4205" s="3">
        <v>0</v>
      </c>
      <c r="N4205">
        <v>0</v>
      </c>
      <c r="O4205">
        <v>0</v>
      </c>
      <c r="P4205">
        <v>15</v>
      </c>
      <c r="Q4205">
        <v>15</v>
      </c>
      <c r="R4205" s="3">
        <v>0</v>
      </c>
      <c r="S4205" s="3">
        <v>0</v>
      </c>
      <c r="T4205">
        <v>0</v>
      </c>
      <c r="U4205">
        <v>0</v>
      </c>
      <c r="V4205" s="3">
        <v>0</v>
      </c>
      <c r="W4205" s="3">
        <v>0</v>
      </c>
      <c r="X4205">
        <v>0</v>
      </c>
      <c r="Y4205" t="s">
        <v>3222</v>
      </c>
    </row>
    <row r="4206" spans="1:25" hidden="1" x14ac:dyDescent="0.25">
      <c r="A4206" t="s">
        <v>36</v>
      </c>
      <c r="B4206" t="s">
        <v>249</v>
      </c>
      <c r="C4206" t="s">
        <v>2534</v>
      </c>
      <c r="D4206" t="s">
        <v>27</v>
      </c>
      <c r="E4206" s="2">
        <v>46080</v>
      </c>
      <c r="F4206" s="2">
        <v>46080</v>
      </c>
      <c r="G4206" s="3">
        <v>80</v>
      </c>
      <c r="H4206" s="4" t="s">
        <v>28</v>
      </c>
      <c r="I4206">
        <f>74+1</f>
        <v>75</v>
      </c>
      <c r="J4206">
        <v>0</v>
      </c>
      <c r="K4206">
        <v>0</v>
      </c>
      <c r="L4206" s="3">
        <v>1</v>
      </c>
      <c r="M4206" s="3">
        <v>0</v>
      </c>
      <c r="N4206">
        <v>1</v>
      </c>
      <c r="O4206">
        <v>0</v>
      </c>
      <c r="P4206">
        <v>0</v>
      </c>
      <c r="Q4206">
        <v>0</v>
      </c>
      <c r="R4206" s="3">
        <v>0</v>
      </c>
      <c r="S4206" s="3">
        <v>0</v>
      </c>
      <c r="T4206">
        <v>0</v>
      </c>
      <c r="U4206">
        <v>0</v>
      </c>
      <c r="V4206" s="3">
        <v>0</v>
      </c>
      <c r="W4206" s="3">
        <v>0</v>
      </c>
      <c r="X4206">
        <v>0</v>
      </c>
      <c r="Y4206" t="s">
        <v>3223</v>
      </c>
    </row>
    <row r="4207" spans="1:25" hidden="1" x14ac:dyDescent="0.25">
      <c r="A4207" t="s">
        <v>38</v>
      </c>
      <c r="B4207" t="s">
        <v>108</v>
      </c>
      <c r="C4207" t="s">
        <v>27</v>
      </c>
      <c r="D4207" t="s">
        <v>27</v>
      </c>
      <c r="E4207" s="2">
        <v>46080</v>
      </c>
      <c r="F4207" s="2">
        <v>46080</v>
      </c>
      <c r="G4207" s="3">
        <v>35</v>
      </c>
      <c r="H4207" s="4" t="s">
        <v>3161</v>
      </c>
      <c r="I4207">
        <v>72</v>
      </c>
      <c r="J4207">
        <v>0</v>
      </c>
      <c r="K4207">
        <v>0</v>
      </c>
      <c r="L4207" s="3">
        <v>1</v>
      </c>
      <c r="M4207" s="3">
        <v>0</v>
      </c>
      <c r="N4207">
        <v>0</v>
      </c>
      <c r="O4207">
        <v>0</v>
      </c>
      <c r="P4207">
        <v>0</v>
      </c>
      <c r="Q4207">
        <v>72</v>
      </c>
      <c r="R4207" s="3">
        <v>0</v>
      </c>
      <c r="S4207" s="3">
        <v>0</v>
      </c>
      <c r="T4207">
        <v>0</v>
      </c>
      <c r="U4207">
        <v>0</v>
      </c>
      <c r="V4207" s="3">
        <v>0</v>
      </c>
      <c r="W4207" s="3">
        <v>0</v>
      </c>
      <c r="X4207">
        <v>0</v>
      </c>
      <c r="Y4207" t="s">
        <v>3224</v>
      </c>
    </row>
    <row r="4208" spans="1:25" hidden="1" x14ac:dyDescent="0.25">
      <c r="A4208" t="s">
        <v>2679</v>
      </c>
      <c r="B4208" t="s">
        <v>2680</v>
      </c>
      <c r="C4208" t="s">
        <v>39</v>
      </c>
      <c r="D4208" t="s">
        <v>27</v>
      </c>
      <c r="E4208" s="2">
        <v>46080</v>
      </c>
      <c r="F4208" s="2">
        <v>46080</v>
      </c>
      <c r="G4208" s="3">
        <v>40</v>
      </c>
      <c r="H4208" s="4" t="s">
        <v>3161</v>
      </c>
      <c r="I4208">
        <v>47</v>
      </c>
      <c r="J4208">
        <v>0</v>
      </c>
      <c r="K4208">
        <v>0</v>
      </c>
      <c r="L4208" s="3">
        <v>0</v>
      </c>
      <c r="M4208" s="3">
        <v>0</v>
      </c>
      <c r="N4208">
        <v>0</v>
      </c>
      <c r="O4208">
        <v>0</v>
      </c>
      <c r="P4208">
        <v>0</v>
      </c>
      <c r="Q4208">
        <v>47</v>
      </c>
      <c r="R4208" s="3">
        <v>0</v>
      </c>
      <c r="S4208" s="3">
        <v>0</v>
      </c>
      <c r="T4208">
        <v>0</v>
      </c>
      <c r="U4208">
        <v>0</v>
      </c>
      <c r="V4208" s="3">
        <v>0</v>
      </c>
      <c r="W4208" s="3">
        <v>0</v>
      </c>
      <c r="X4208">
        <v>0</v>
      </c>
      <c r="Y4208" t="s">
        <v>3225</v>
      </c>
    </row>
    <row r="4209" spans="1:25" hidden="1" x14ac:dyDescent="0.25">
      <c r="A4209" t="s">
        <v>1316</v>
      </c>
      <c r="B4209" t="s">
        <v>1348</v>
      </c>
      <c r="C4209" t="s">
        <v>2514</v>
      </c>
      <c r="D4209" t="s">
        <v>27</v>
      </c>
      <c r="E4209" s="2">
        <v>46080</v>
      </c>
      <c r="F4209" s="2">
        <v>46080</v>
      </c>
      <c r="G4209" s="3">
        <v>126</v>
      </c>
      <c r="H4209" s="4" t="s">
        <v>28</v>
      </c>
      <c r="I4209">
        <f>29+23</f>
        <v>52</v>
      </c>
      <c r="J4209">
        <v>0</v>
      </c>
      <c r="K4209">
        <v>0</v>
      </c>
      <c r="L4209" s="3">
        <v>1</v>
      </c>
      <c r="M4209" s="3">
        <v>0</v>
      </c>
      <c r="N4209">
        <v>0</v>
      </c>
      <c r="O4209">
        <v>0</v>
      </c>
      <c r="P4209">
        <v>0</v>
      </c>
      <c r="Q4209">
        <v>25</v>
      </c>
      <c r="R4209" s="3">
        <v>0</v>
      </c>
      <c r="S4209" s="3">
        <v>0</v>
      </c>
      <c r="T4209">
        <v>0</v>
      </c>
      <c r="U4209">
        <v>0</v>
      </c>
      <c r="V4209" s="3">
        <v>0</v>
      </c>
      <c r="W4209" s="3">
        <v>0</v>
      </c>
      <c r="X4209">
        <v>0</v>
      </c>
      <c r="Y4209" t="s">
        <v>3226</v>
      </c>
    </row>
    <row r="4210" spans="1:25" s="13" customFormat="1" hidden="1" x14ac:dyDescent="0.25">
      <c r="A4210" s="13" t="s">
        <v>41</v>
      </c>
      <c r="B4210" s="13" t="s">
        <v>112</v>
      </c>
      <c r="C4210" s="13" t="s">
        <v>42</v>
      </c>
      <c r="D4210" s="13" t="s">
        <v>27</v>
      </c>
      <c r="E4210" s="44">
        <v>46080</v>
      </c>
      <c r="F4210" s="44">
        <v>46080</v>
      </c>
      <c r="G4210" s="40">
        <v>54</v>
      </c>
      <c r="H4210" s="45" t="s">
        <v>28</v>
      </c>
      <c r="I4210" s="13">
        <v>95</v>
      </c>
      <c r="J4210" s="13">
        <v>0</v>
      </c>
      <c r="K4210" s="13">
        <v>0</v>
      </c>
      <c r="L4210" s="40">
        <v>1</v>
      </c>
      <c r="M4210" s="40">
        <v>0</v>
      </c>
      <c r="N4210" s="13">
        <v>0</v>
      </c>
      <c r="O4210" s="13">
        <v>0</v>
      </c>
      <c r="P4210" s="13">
        <v>0</v>
      </c>
      <c r="Q4210" s="13">
        <v>90</v>
      </c>
      <c r="R4210" s="40">
        <v>0</v>
      </c>
      <c r="S4210" s="40">
        <v>0</v>
      </c>
      <c r="T4210" s="13">
        <v>0</v>
      </c>
      <c r="U4210" s="13">
        <v>0</v>
      </c>
      <c r="V4210" s="40">
        <v>0</v>
      </c>
      <c r="W4210" s="40">
        <v>0</v>
      </c>
      <c r="X4210" s="13">
        <v>6</v>
      </c>
      <c r="Y4210" s="13" t="s">
        <v>3227</v>
      </c>
    </row>
    <row r="4211" spans="1:25" hidden="1" x14ac:dyDescent="0.25">
      <c r="A4211" t="s">
        <v>43</v>
      </c>
      <c r="B4211" t="s">
        <v>114</v>
      </c>
      <c r="C4211" t="s">
        <v>44</v>
      </c>
      <c r="D4211" t="s">
        <v>27</v>
      </c>
      <c r="E4211" s="2">
        <v>46080</v>
      </c>
      <c r="F4211" s="2">
        <v>46080</v>
      </c>
      <c r="G4211" s="3">
        <v>34</v>
      </c>
      <c r="H4211" s="4" t="s">
        <v>28</v>
      </c>
      <c r="I4211">
        <v>46</v>
      </c>
      <c r="J4211">
        <v>0</v>
      </c>
      <c r="K4211">
        <v>0</v>
      </c>
      <c r="L4211" s="3">
        <v>1</v>
      </c>
      <c r="M4211" s="3">
        <v>0</v>
      </c>
      <c r="N4211">
        <v>0</v>
      </c>
      <c r="O4211">
        <v>0</v>
      </c>
      <c r="P4211">
        <v>0</v>
      </c>
      <c r="Q4211">
        <v>4</v>
      </c>
      <c r="R4211" s="3">
        <v>0</v>
      </c>
      <c r="S4211" s="3">
        <v>0</v>
      </c>
      <c r="T4211">
        <v>0</v>
      </c>
      <c r="U4211">
        <v>0</v>
      </c>
      <c r="V4211" s="3">
        <v>0</v>
      </c>
      <c r="W4211" s="3">
        <v>0</v>
      </c>
      <c r="X4211">
        <v>0</v>
      </c>
      <c r="Y4211" t="s">
        <v>3228</v>
      </c>
    </row>
    <row r="4212" spans="1:25" hidden="1" x14ac:dyDescent="0.25">
      <c r="A4212" t="s">
        <v>2118</v>
      </c>
      <c r="B4212" t="s">
        <v>2119</v>
      </c>
      <c r="C4212" t="s">
        <v>27</v>
      </c>
      <c r="D4212" t="s">
        <v>27</v>
      </c>
      <c r="E4212" s="2">
        <v>46080</v>
      </c>
      <c r="F4212" s="2">
        <v>46080</v>
      </c>
      <c r="G4212" s="3">
        <v>36</v>
      </c>
      <c r="H4212" s="4" t="s">
        <v>3161</v>
      </c>
      <c r="I4212">
        <v>66</v>
      </c>
      <c r="J4212">
        <v>0</v>
      </c>
      <c r="K4212">
        <v>0</v>
      </c>
      <c r="L4212" s="3">
        <v>1</v>
      </c>
      <c r="M4212" s="3">
        <v>0</v>
      </c>
      <c r="N4212">
        <v>0</v>
      </c>
      <c r="O4212">
        <v>0</v>
      </c>
      <c r="P4212">
        <v>0</v>
      </c>
      <c r="Q4212">
        <v>66</v>
      </c>
      <c r="R4212" s="3">
        <v>0</v>
      </c>
      <c r="S4212" s="3">
        <v>0</v>
      </c>
      <c r="T4212">
        <v>0</v>
      </c>
      <c r="U4212">
        <v>0</v>
      </c>
      <c r="V4212" s="3">
        <v>0</v>
      </c>
      <c r="W4212" s="3">
        <v>0</v>
      </c>
      <c r="X4212">
        <v>0</v>
      </c>
      <c r="Y4212" t="s">
        <v>3229</v>
      </c>
    </row>
    <row r="4213" spans="1:25" hidden="1" x14ac:dyDescent="0.25">
      <c r="A4213" t="s">
        <v>45</v>
      </c>
      <c r="B4213" t="s">
        <v>116</v>
      </c>
      <c r="C4213" t="s">
        <v>46</v>
      </c>
      <c r="D4213" t="s">
        <v>27</v>
      </c>
      <c r="E4213" s="2">
        <v>46080</v>
      </c>
      <c r="F4213" s="2">
        <v>46080</v>
      </c>
      <c r="G4213" s="3">
        <v>45</v>
      </c>
      <c r="H4213" s="4" t="s">
        <v>28</v>
      </c>
      <c r="I4213">
        <f>55+32</f>
        <v>87</v>
      </c>
      <c r="J4213">
        <v>0</v>
      </c>
      <c r="K4213">
        <v>0</v>
      </c>
      <c r="L4213" s="3">
        <v>1</v>
      </c>
      <c r="M4213" s="3">
        <v>0</v>
      </c>
      <c r="N4213">
        <v>0</v>
      </c>
      <c r="O4213">
        <v>0</v>
      </c>
      <c r="P4213">
        <v>0</v>
      </c>
      <c r="Q4213">
        <v>11</v>
      </c>
      <c r="R4213" s="3">
        <v>0</v>
      </c>
      <c r="S4213" s="3">
        <v>0</v>
      </c>
      <c r="T4213">
        <v>0</v>
      </c>
      <c r="U4213">
        <v>0</v>
      </c>
      <c r="V4213" s="3">
        <v>0</v>
      </c>
      <c r="W4213" s="3">
        <v>0</v>
      </c>
      <c r="X4213">
        <v>0</v>
      </c>
      <c r="Y4213" t="s">
        <v>3230</v>
      </c>
    </row>
    <row r="4214" spans="1:25" hidden="1" x14ac:dyDescent="0.25">
      <c r="A4214" t="s">
        <v>47</v>
      </c>
      <c r="B4214" t="s">
        <v>137</v>
      </c>
      <c r="C4214" t="s">
        <v>2310</v>
      </c>
      <c r="D4214" t="s">
        <v>27</v>
      </c>
      <c r="E4214" s="2">
        <v>46080</v>
      </c>
      <c r="F4214" s="2">
        <v>46080</v>
      </c>
      <c r="G4214" s="3">
        <v>45</v>
      </c>
      <c r="H4214" s="4" t="s">
        <v>28</v>
      </c>
      <c r="I4214">
        <f>82+1</f>
        <v>83</v>
      </c>
      <c r="J4214">
        <v>0</v>
      </c>
      <c r="K4214">
        <v>0</v>
      </c>
      <c r="L4214" s="3">
        <v>1</v>
      </c>
      <c r="M4214" s="3">
        <v>0</v>
      </c>
      <c r="N4214">
        <v>0</v>
      </c>
      <c r="O4214">
        <v>0</v>
      </c>
      <c r="P4214">
        <v>0</v>
      </c>
      <c r="Q4214">
        <v>12</v>
      </c>
      <c r="R4214" s="3">
        <v>0</v>
      </c>
      <c r="S4214" s="3">
        <v>0</v>
      </c>
      <c r="T4214">
        <v>0</v>
      </c>
      <c r="U4214">
        <v>0</v>
      </c>
      <c r="V4214" s="3">
        <v>0</v>
      </c>
      <c r="W4214" s="3">
        <v>0</v>
      </c>
      <c r="X4214">
        <v>0</v>
      </c>
      <c r="Y4214" t="s">
        <v>3231</v>
      </c>
    </row>
    <row r="4215" spans="1:25" hidden="1" x14ac:dyDescent="0.25">
      <c r="A4215" t="s">
        <v>49</v>
      </c>
      <c r="B4215" t="s">
        <v>118</v>
      </c>
      <c r="C4215" t="s">
        <v>50</v>
      </c>
      <c r="D4215" t="s">
        <v>27</v>
      </c>
      <c r="E4215" s="2">
        <v>46080</v>
      </c>
      <c r="F4215" s="2">
        <v>46080</v>
      </c>
      <c r="G4215" s="3">
        <v>27</v>
      </c>
      <c r="H4215" s="4" t="s">
        <v>28</v>
      </c>
      <c r="I4215">
        <f>45+17+12</f>
        <v>74</v>
      </c>
      <c r="J4215">
        <v>0</v>
      </c>
      <c r="K4215">
        <v>0</v>
      </c>
      <c r="L4215" s="3">
        <v>1</v>
      </c>
      <c r="M4215" s="3">
        <v>1</v>
      </c>
      <c r="N4215">
        <v>0</v>
      </c>
      <c r="O4215">
        <v>0</v>
      </c>
      <c r="P4215">
        <v>0</v>
      </c>
      <c r="Q4215">
        <v>53</v>
      </c>
      <c r="R4215" s="3">
        <v>0</v>
      </c>
      <c r="S4215" s="3">
        <v>0</v>
      </c>
      <c r="T4215">
        <v>0</v>
      </c>
      <c r="U4215">
        <v>0</v>
      </c>
      <c r="V4215" s="3">
        <v>0</v>
      </c>
      <c r="W4215" s="3">
        <v>0</v>
      </c>
      <c r="X4215">
        <v>0</v>
      </c>
      <c r="Y4215" t="s">
        <v>3232</v>
      </c>
    </row>
    <row r="4216" spans="1:25" hidden="1" x14ac:dyDescent="0.25">
      <c r="A4216" t="s">
        <v>51</v>
      </c>
      <c r="B4216" t="s">
        <v>120</v>
      </c>
      <c r="C4216" t="s">
        <v>55</v>
      </c>
      <c r="D4216" t="s">
        <v>27</v>
      </c>
      <c r="E4216" s="2">
        <v>46080</v>
      </c>
      <c r="F4216" s="2">
        <v>46080</v>
      </c>
      <c r="G4216" s="3">
        <v>66</v>
      </c>
      <c r="H4216" s="4" t="s">
        <v>28</v>
      </c>
      <c r="I4216">
        <v>46</v>
      </c>
      <c r="J4216">
        <v>0</v>
      </c>
      <c r="K4216">
        <v>0</v>
      </c>
      <c r="L4216" s="3">
        <v>1</v>
      </c>
      <c r="M4216" s="3">
        <v>0</v>
      </c>
      <c r="N4216">
        <v>1</v>
      </c>
      <c r="O4216">
        <v>0</v>
      </c>
      <c r="P4216">
        <v>0</v>
      </c>
      <c r="Q4216">
        <v>0</v>
      </c>
      <c r="R4216" s="3">
        <v>0</v>
      </c>
      <c r="S4216" s="3">
        <v>0</v>
      </c>
      <c r="T4216">
        <v>0</v>
      </c>
      <c r="U4216">
        <v>0</v>
      </c>
      <c r="V4216" s="3">
        <v>0</v>
      </c>
      <c r="W4216" s="3">
        <v>0</v>
      </c>
      <c r="X4216">
        <v>0</v>
      </c>
      <c r="Y4216" t="s">
        <v>3233</v>
      </c>
    </row>
    <row r="4217" spans="1:25" hidden="1" x14ac:dyDescent="0.25">
      <c r="A4217" t="s">
        <v>54</v>
      </c>
      <c r="B4217" t="s">
        <v>122</v>
      </c>
      <c r="C4217" t="s">
        <v>52</v>
      </c>
      <c r="D4217" t="s">
        <v>27</v>
      </c>
      <c r="E4217" s="2">
        <v>46080</v>
      </c>
      <c r="F4217" s="2">
        <v>46080</v>
      </c>
      <c r="G4217" s="3">
        <v>62</v>
      </c>
      <c r="H4217" s="4" t="s">
        <v>28</v>
      </c>
      <c r="I4217">
        <f>56+1</f>
        <v>57</v>
      </c>
      <c r="J4217">
        <v>0</v>
      </c>
      <c r="K4217">
        <v>0</v>
      </c>
      <c r="L4217" s="3">
        <v>0</v>
      </c>
      <c r="M4217" s="3">
        <v>0</v>
      </c>
      <c r="N4217">
        <v>0</v>
      </c>
      <c r="O4217">
        <v>0</v>
      </c>
      <c r="P4217">
        <v>0</v>
      </c>
      <c r="Q4217">
        <v>0</v>
      </c>
      <c r="R4217" s="3">
        <v>0</v>
      </c>
      <c r="S4217" s="3">
        <v>0</v>
      </c>
      <c r="T4217">
        <v>0</v>
      </c>
      <c r="U4217">
        <v>0</v>
      </c>
      <c r="V4217" s="3">
        <v>0</v>
      </c>
      <c r="W4217" s="3">
        <v>0</v>
      </c>
      <c r="X4217">
        <v>0</v>
      </c>
      <c r="Y4217" t="s">
        <v>3234</v>
      </c>
    </row>
    <row r="4218" spans="1:25" hidden="1" x14ac:dyDescent="0.25">
      <c r="A4218" t="s">
        <v>3187</v>
      </c>
      <c r="B4218" t="s">
        <v>122</v>
      </c>
      <c r="C4218" t="s">
        <v>2271</v>
      </c>
      <c r="D4218" t="s">
        <v>27</v>
      </c>
      <c r="E4218" s="2">
        <v>46080</v>
      </c>
      <c r="F4218" s="2">
        <v>46080</v>
      </c>
      <c r="G4218" s="3">
        <v>62</v>
      </c>
      <c r="H4218" s="4" t="s">
        <v>959</v>
      </c>
      <c r="I4218">
        <v>0</v>
      </c>
      <c r="J4218">
        <v>0</v>
      </c>
      <c r="K4218">
        <v>0</v>
      </c>
      <c r="L4218" s="3">
        <v>0</v>
      </c>
      <c r="M4218" s="3">
        <v>0</v>
      </c>
      <c r="N4218">
        <v>0</v>
      </c>
      <c r="O4218">
        <v>0</v>
      </c>
      <c r="P4218">
        <v>0</v>
      </c>
      <c r="Q4218">
        <v>0</v>
      </c>
      <c r="R4218" s="3">
        <v>0</v>
      </c>
      <c r="S4218" s="3">
        <v>0</v>
      </c>
      <c r="T4218">
        <v>0</v>
      </c>
      <c r="U4218">
        <v>0</v>
      </c>
      <c r="V4218" s="3">
        <v>0</v>
      </c>
      <c r="W4218" s="3">
        <v>0</v>
      </c>
      <c r="X4218">
        <v>0</v>
      </c>
      <c r="Y4218" t="s">
        <v>3234</v>
      </c>
    </row>
    <row r="4219" spans="1:25" hidden="1" x14ac:dyDescent="0.25">
      <c r="A4219" t="s">
        <v>51</v>
      </c>
      <c r="B4219" t="s">
        <v>120</v>
      </c>
      <c r="C4219" t="s">
        <v>44</v>
      </c>
      <c r="D4219" t="s">
        <v>27</v>
      </c>
      <c r="E4219" s="43">
        <v>46081</v>
      </c>
      <c r="F4219" s="43">
        <v>46081</v>
      </c>
      <c r="G4219" s="3">
        <v>74</v>
      </c>
      <c r="H4219" s="4" t="s">
        <v>28</v>
      </c>
      <c r="I4219">
        <v>0</v>
      </c>
      <c r="J4219">
        <v>0</v>
      </c>
      <c r="K4219">
        <v>0</v>
      </c>
      <c r="L4219" s="3">
        <v>1</v>
      </c>
      <c r="M4219" s="3">
        <v>0</v>
      </c>
      <c r="N4219">
        <v>1</v>
      </c>
      <c r="O4219">
        <v>0</v>
      </c>
      <c r="P4219">
        <v>0</v>
      </c>
      <c r="Q4219">
        <v>0</v>
      </c>
      <c r="R4219" s="3">
        <v>1</v>
      </c>
      <c r="S4219" s="3">
        <v>0</v>
      </c>
      <c r="T4219">
        <v>20</v>
      </c>
      <c r="U4219">
        <v>41</v>
      </c>
      <c r="V4219" s="3">
        <v>1</v>
      </c>
      <c r="W4219" s="3">
        <v>0</v>
      </c>
      <c r="X4219">
        <v>8</v>
      </c>
      <c r="Y4219" t="s">
        <v>3235</v>
      </c>
    </row>
    <row r="4220" spans="1:25" s="1" customFormat="1" hidden="1" x14ac:dyDescent="0.25">
      <c r="A4220" s="1" t="s">
        <v>41</v>
      </c>
      <c r="B4220" s="1" t="s">
        <v>112</v>
      </c>
      <c r="C4220" s="1" t="s">
        <v>42</v>
      </c>
      <c r="D4220" s="1" t="s">
        <v>27</v>
      </c>
      <c r="E4220" s="10">
        <v>46081</v>
      </c>
      <c r="F4220" s="10">
        <v>46081</v>
      </c>
      <c r="G4220" s="41">
        <v>66</v>
      </c>
      <c r="H4220" s="15" t="s">
        <v>28</v>
      </c>
      <c r="I4220" s="1">
        <v>89</v>
      </c>
      <c r="J4220" s="1">
        <v>0</v>
      </c>
      <c r="K4220" s="1">
        <v>0</v>
      </c>
      <c r="L4220" s="41">
        <v>1</v>
      </c>
      <c r="M4220" s="41">
        <v>1</v>
      </c>
      <c r="N4220" s="1">
        <v>0</v>
      </c>
      <c r="O4220" s="1">
        <v>0</v>
      </c>
      <c r="P4220" s="1">
        <v>0</v>
      </c>
      <c r="Q4220" s="1">
        <v>89</v>
      </c>
      <c r="R4220" s="41">
        <v>0</v>
      </c>
      <c r="S4220" s="41">
        <v>0</v>
      </c>
      <c r="T4220" s="1">
        <v>0</v>
      </c>
      <c r="U4220" s="1">
        <v>0</v>
      </c>
      <c r="V4220" s="41">
        <v>0</v>
      </c>
      <c r="W4220" s="41">
        <v>0</v>
      </c>
      <c r="X4220" s="1">
        <v>7</v>
      </c>
      <c r="Y4220" s="1" t="s">
        <v>3212</v>
      </c>
    </row>
    <row r="4221" spans="1:25" s="1" customFormat="1" hidden="1" x14ac:dyDescent="0.25">
      <c r="A4221" s="1" t="s">
        <v>41</v>
      </c>
      <c r="B4221" s="1" t="s">
        <v>112</v>
      </c>
      <c r="C4221" s="1" t="s">
        <v>42</v>
      </c>
      <c r="D4221" s="1" t="s">
        <v>27</v>
      </c>
      <c r="E4221" s="46">
        <v>46082</v>
      </c>
      <c r="F4221" s="46">
        <v>46082</v>
      </c>
      <c r="G4221" s="41">
        <v>114</v>
      </c>
      <c r="H4221" s="15" t="s">
        <v>28</v>
      </c>
      <c r="I4221" s="1">
        <v>0</v>
      </c>
      <c r="J4221" s="1">
        <v>0</v>
      </c>
      <c r="K4221" s="1">
        <v>0</v>
      </c>
      <c r="L4221" s="41">
        <v>1</v>
      </c>
      <c r="M4221" s="41">
        <v>0</v>
      </c>
      <c r="N4221" s="1">
        <v>0</v>
      </c>
      <c r="O4221" s="1">
        <v>0</v>
      </c>
      <c r="P4221" s="1">
        <v>0</v>
      </c>
      <c r="Q4221" s="1">
        <v>59</v>
      </c>
      <c r="R4221" s="41">
        <v>0</v>
      </c>
      <c r="S4221" s="41">
        <v>1</v>
      </c>
      <c r="T4221" s="1">
        <v>59</v>
      </c>
      <c r="U4221" s="1">
        <v>67</v>
      </c>
      <c r="V4221" s="41">
        <v>0</v>
      </c>
      <c r="W4221" s="41">
        <v>1</v>
      </c>
      <c r="X4221" s="1">
        <v>10</v>
      </c>
      <c r="Y4221" s="1" t="s">
        <v>3236</v>
      </c>
    </row>
    <row r="4222" spans="1:25" hidden="1" x14ac:dyDescent="0.25">
      <c r="A4222" t="s">
        <v>54</v>
      </c>
      <c r="B4222" t="s">
        <v>122</v>
      </c>
      <c r="C4222" t="s">
        <v>52</v>
      </c>
      <c r="D4222" t="s">
        <v>27</v>
      </c>
      <c r="E4222" s="43">
        <v>46082</v>
      </c>
      <c r="F4222" s="43">
        <v>46082</v>
      </c>
      <c r="G4222" s="3">
        <v>60</v>
      </c>
      <c r="H4222" s="4" t="s">
        <v>28</v>
      </c>
      <c r="I4222">
        <v>0</v>
      </c>
      <c r="J4222">
        <v>0</v>
      </c>
      <c r="K4222">
        <v>0</v>
      </c>
      <c r="L4222" s="3">
        <v>0</v>
      </c>
      <c r="M4222" s="3">
        <v>0</v>
      </c>
      <c r="N4222">
        <v>0</v>
      </c>
      <c r="O4222">
        <v>0</v>
      </c>
      <c r="P4222">
        <v>0</v>
      </c>
      <c r="Q4222">
        <v>0</v>
      </c>
      <c r="R4222" s="3">
        <v>0</v>
      </c>
      <c r="S4222" s="3">
        <v>1</v>
      </c>
      <c r="T4222">
        <v>0</v>
      </c>
      <c r="U4222">
        <v>95</v>
      </c>
      <c r="V4222" s="3">
        <v>0</v>
      </c>
      <c r="W4222" s="3">
        <v>1</v>
      </c>
      <c r="X4222">
        <v>3</v>
      </c>
      <c r="Y4222" t="s">
        <v>3237</v>
      </c>
    </row>
    <row r="4223" spans="1:25" hidden="1" x14ac:dyDescent="0.25">
      <c r="A4223" t="s">
        <v>48</v>
      </c>
      <c r="B4223" t="s">
        <v>149</v>
      </c>
      <c r="C4223" t="s">
        <v>37</v>
      </c>
      <c r="D4223" t="s">
        <v>27</v>
      </c>
      <c r="E4223" s="2">
        <v>46080</v>
      </c>
      <c r="F4223" s="2">
        <v>46080</v>
      </c>
      <c r="G4223" s="3">
        <v>50</v>
      </c>
      <c r="H4223" s="4" t="s">
        <v>28</v>
      </c>
      <c r="I4223">
        <v>76</v>
      </c>
      <c r="J4223">
        <v>0</v>
      </c>
      <c r="K4223">
        <v>0</v>
      </c>
      <c r="L4223" s="3">
        <v>0</v>
      </c>
      <c r="M4223" s="3">
        <v>0</v>
      </c>
      <c r="N4223">
        <v>0</v>
      </c>
      <c r="O4223">
        <v>0</v>
      </c>
      <c r="P4223">
        <v>0</v>
      </c>
      <c r="Q4223">
        <v>0</v>
      </c>
      <c r="R4223" s="3">
        <v>0</v>
      </c>
      <c r="S4223" s="3">
        <v>0</v>
      </c>
      <c r="T4223">
        <v>0</v>
      </c>
      <c r="U4223">
        <v>0</v>
      </c>
      <c r="V4223" s="3">
        <v>0</v>
      </c>
      <c r="W4223" s="3">
        <v>0</v>
      </c>
      <c r="X4223">
        <v>0</v>
      </c>
      <c r="Y4223" t="s">
        <v>3219</v>
      </c>
    </row>
    <row r="4224" spans="1:25" hidden="1" x14ac:dyDescent="0.25">
      <c r="A4224" t="s">
        <v>48</v>
      </c>
      <c r="B4224" t="s">
        <v>149</v>
      </c>
      <c r="C4224" t="s">
        <v>44</v>
      </c>
      <c r="D4224" t="s">
        <v>27</v>
      </c>
      <c r="E4224" s="43">
        <v>46082</v>
      </c>
      <c r="F4224" s="43">
        <v>46082</v>
      </c>
      <c r="G4224" s="5">
        <v>1250</v>
      </c>
      <c r="H4224" s="4" t="s">
        <v>28</v>
      </c>
      <c r="I4224">
        <v>0</v>
      </c>
      <c r="J4224">
        <v>0</v>
      </c>
      <c r="K4224">
        <v>0</v>
      </c>
      <c r="L4224" s="3">
        <v>1</v>
      </c>
      <c r="M4224" s="3">
        <v>0</v>
      </c>
      <c r="N4224">
        <v>0</v>
      </c>
      <c r="O4224">
        <v>0</v>
      </c>
      <c r="P4224">
        <v>0</v>
      </c>
      <c r="Q4224">
        <v>0</v>
      </c>
      <c r="R4224" s="3">
        <v>0</v>
      </c>
      <c r="S4224" s="3">
        <v>1</v>
      </c>
      <c r="T4224">
        <v>6</v>
      </c>
      <c r="U4224">
        <v>82</v>
      </c>
      <c r="V4224" s="3">
        <v>0</v>
      </c>
      <c r="W4224" s="3">
        <v>1</v>
      </c>
      <c r="X4224">
        <v>1</v>
      </c>
      <c r="Y4224" t="s">
        <v>3238</v>
      </c>
    </row>
    <row r="4225" spans="1:25" hidden="1" x14ac:dyDescent="0.25">
      <c r="A4225" t="s">
        <v>55</v>
      </c>
      <c r="B4225" t="s">
        <v>2072</v>
      </c>
      <c r="C4225" t="s">
        <v>2271</v>
      </c>
      <c r="D4225" t="s">
        <v>27</v>
      </c>
      <c r="E4225" s="2">
        <v>46083</v>
      </c>
      <c r="F4225" s="2">
        <v>46083</v>
      </c>
      <c r="G4225" s="3">
        <v>30</v>
      </c>
      <c r="H4225" s="4" t="s">
        <v>28</v>
      </c>
      <c r="I4225">
        <v>36</v>
      </c>
      <c r="J4225">
        <v>0</v>
      </c>
      <c r="K4225">
        <v>0</v>
      </c>
      <c r="L4225" s="3">
        <v>1</v>
      </c>
      <c r="M4225" s="3">
        <v>0</v>
      </c>
      <c r="N4225">
        <v>1</v>
      </c>
      <c r="O4225">
        <v>0</v>
      </c>
      <c r="P4225">
        <v>0</v>
      </c>
      <c r="Q4225">
        <v>0</v>
      </c>
      <c r="R4225" s="3">
        <v>0</v>
      </c>
      <c r="S4225" s="3">
        <v>0</v>
      </c>
      <c r="T4225">
        <v>0</v>
      </c>
      <c r="U4225">
        <v>0</v>
      </c>
      <c r="V4225" s="3">
        <v>0</v>
      </c>
      <c r="W4225" s="3">
        <v>0</v>
      </c>
      <c r="X4225">
        <v>0</v>
      </c>
      <c r="Y4225" t="s">
        <v>3239</v>
      </c>
    </row>
    <row r="4226" spans="1:25" hidden="1" x14ac:dyDescent="0.25">
      <c r="A4226" t="s">
        <v>25</v>
      </c>
      <c r="B4226" t="s">
        <v>96</v>
      </c>
      <c r="C4226" t="s">
        <v>26</v>
      </c>
      <c r="D4226" t="s">
        <v>27</v>
      </c>
      <c r="E4226" s="2">
        <v>46083</v>
      </c>
      <c r="F4226" s="2">
        <v>46083</v>
      </c>
      <c r="G4226" s="3">
        <v>49</v>
      </c>
      <c r="H4226" s="4" t="s">
        <v>28</v>
      </c>
      <c r="I4226">
        <f>28+10</f>
        <v>38</v>
      </c>
      <c r="J4226">
        <v>0</v>
      </c>
      <c r="K4226">
        <v>0</v>
      </c>
      <c r="L4226" s="3">
        <v>1</v>
      </c>
      <c r="M4226" s="3">
        <v>0</v>
      </c>
      <c r="N4226">
        <v>1</v>
      </c>
      <c r="O4226">
        <v>0</v>
      </c>
      <c r="P4226">
        <v>0</v>
      </c>
      <c r="Q4226">
        <v>0</v>
      </c>
      <c r="R4226" s="3">
        <v>0</v>
      </c>
      <c r="S4226" s="3">
        <v>0</v>
      </c>
      <c r="T4226">
        <v>0</v>
      </c>
      <c r="U4226">
        <v>0</v>
      </c>
      <c r="V4226" s="3">
        <v>0</v>
      </c>
      <c r="W4226" s="3">
        <v>0</v>
      </c>
      <c r="X4226">
        <v>0</v>
      </c>
      <c r="Y4226" t="s">
        <v>3240</v>
      </c>
    </row>
    <row r="4227" spans="1:25" hidden="1" x14ac:dyDescent="0.25">
      <c r="A4227" t="s">
        <v>31</v>
      </c>
      <c r="B4227" t="s">
        <v>104</v>
      </c>
      <c r="C4227" t="s">
        <v>32</v>
      </c>
      <c r="D4227" t="s">
        <v>27</v>
      </c>
      <c r="E4227" s="2">
        <v>46083</v>
      </c>
      <c r="F4227" s="2">
        <v>46083</v>
      </c>
      <c r="G4227" s="3">
        <v>62</v>
      </c>
      <c r="H4227" s="4" t="s">
        <v>28</v>
      </c>
      <c r="I4227">
        <v>88</v>
      </c>
      <c r="J4227">
        <v>0</v>
      </c>
      <c r="K4227">
        <v>0</v>
      </c>
      <c r="L4227" s="3">
        <v>0</v>
      </c>
      <c r="M4227" s="3">
        <v>0</v>
      </c>
      <c r="N4227">
        <v>0</v>
      </c>
      <c r="O4227">
        <v>0</v>
      </c>
      <c r="P4227">
        <v>4</v>
      </c>
      <c r="Q4227">
        <v>30</v>
      </c>
      <c r="R4227" s="3">
        <v>0</v>
      </c>
      <c r="S4227" s="3">
        <v>0</v>
      </c>
      <c r="T4227">
        <v>0</v>
      </c>
      <c r="U4227">
        <v>0</v>
      </c>
      <c r="V4227" s="3">
        <v>0</v>
      </c>
      <c r="W4227" s="3">
        <v>0</v>
      </c>
      <c r="X4227">
        <v>7</v>
      </c>
      <c r="Y4227" t="s">
        <v>3241</v>
      </c>
    </row>
    <row r="4228" spans="1:25" hidden="1" x14ac:dyDescent="0.25">
      <c r="A4228" t="s">
        <v>33</v>
      </c>
      <c r="B4228" t="s">
        <v>106</v>
      </c>
      <c r="C4228" t="s">
        <v>2835</v>
      </c>
      <c r="D4228" t="s">
        <v>27</v>
      </c>
      <c r="E4228" s="2">
        <v>46080</v>
      </c>
      <c r="F4228" s="2">
        <v>46080</v>
      </c>
      <c r="G4228" s="3">
        <v>23</v>
      </c>
      <c r="H4228" s="4" t="s">
        <v>28</v>
      </c>
      <c r="I4228">
        <v>49</v>
      </c>
      <c r="J4228">
        <v>0</v>
      </c>
      <c r="K4228">
        <v>0</v>
      </c>
      <c r="L4228" s="3">
        <v>0</v>
      </c>
      <c r="M4228" s="3">
        <v>0</v>
      </c>
      <c r="N4228">
        <v>0</v>
      </c>
      <c r="O4228">
        <v>0</v>
      </c>
      <c r="P4228">
        <v>0</v>
      </c>
      <c r="Q4228">
        <v>0</v>
      </c>
      <c r="R4228" s="3">
        <v>0</v>
      </c>
      <c r="S4228" s="3">
        <v>0</v>
      </c>
      <c r="T4228">
        <v>0</v>
      </c>
      <c r="U4228">
        <v>0</v>
      </c>
      <c r="V4228" s="3">
        <v>0</v>
      </c>
      <c r="W4228" s="3">
        <v>0</v>
      </c>
      <c r="X4228">
        <v>0</v>
      </c>
      <c r="Y4228" t="s">
        <v>3207</v>
      </c>
    </row>
    <row r="4229" spans="1:25" hidden="1" x14ac:dyDescent="0.25">
      <c r="A4229" t="s">
        <v>33</v>
      </c>
      <c r="B4229" t="s">
        <v>106</v>
      </c>
      <c r="C4229" t="s">
        <v>27</v>
      </c>
      <c r="D4229" t="s">
        <v>27</v>
      </c>
      <c r="E4229" s="2">
        <v>46083</v>
      </c>
      <c r="F4229" s="2">
        <v>46083</v>
      </c>
      <c r="G4229" s="3">
        <v>26</v>
      </c>
      <c r="H4229" s="4" t="s">
        <v>28</v>
      </c>
      <c r="I4229">
        <v>64</v>
      </c>
      <c r="J4229">
        <v>0</v>
      </c>
      <c r="K4229">
        <v>0</v>
      </c>
      <c r="L4229" s="3">
        <v>0</v>
      </c>
      <c r="M4229" s="3">
        <v>0</v>
      </c>
      <c r="N4229">
        <v>0</v>
      </c>
      <c r="O4229">
        <v>0</v>
      </c>
      <c r="P4229">
        <v>0</v>
      </c>
      <c r="Q4229">
        <v>21</v>
      </c>
      <c r="R4229" s="3">
        <v>0</v>
      </c>
      <c r="S4229" s="3">
        <v>0</v>
      </c>
      <c r="T4229">
        <v>0</v>
      </c>
      <c r="U4229">
        <v>0</v>
      </c>
      <c r="V4229" s="3">
        <v>0</v>
      </c>
      <c r="W4229" s="3">
        <v>0</v>
      </c>
      <c r="X4229">
        <v>0</v>
      </c>
      <c r="Y4229" t="s">
        <v>3242</v>
      </c>
    </row>
    <row r="4230" spans="1:25" hidden="1" x14ac:dyDescent="0.25">
      <c r="A4230" t="s">
        <v>2899</v>
      </c>
      <c r="B4230" t="s">
        <v>2998</v>
      </c>
      <c r="C4230" t="s">
        <v>95</v>
      </c>
      <c r="D4230" t="s">
        <v>35</v>
      </c>
      <c r="E4230" s="2">
        <v>46083</v>
      </c>
      <c r="F4230" s="2">
        <v>46083</v>
      </c>
      <c r="G4230" s="3">
        <v>28</v>
      </c>
      <c r="H4230" s="4" t="s">
        <v>28</v>
      </c>
      <c r="I4230">
        <f>29+1</f>
        <v>30</v>
      </c>
      <c r="J4230">
        <v>0</v>
      </c>
      <c r="K4230">
        <v>0</v>
      </c>
      <c r="L4230" s="3">
        <v>1</v>
      </c>
      <c r="M4230" s="3">
        <v>0</v>
      </c>
      <c r="N4230">
        <v>0</v>
      </c>
      <c r="O4230">
        <v>0</v>
      </c>
      <c r="P4230">
        <v>5</v>
      </c>
      <c r="Q4230">
        <v>12</v>
      </c>
      <c r="R4230" s="3">
        <v>0</v>
      </c>
      <c r="S4230" s="3">
        <v>0</v>
      </c>
      <c r="T4230">
        <v>0</v>
      </c>
      <c r="U4230">
        <v>0</v>
      </c>
      <c r="V4230" s="3">
        <v>0</v>
      </c>
      <c r="W4230" s="3">
        <v>0</v>
      </c>
      <c r="X4230">
        <v>0</v>
      </c>
      <c r="Y4230" t="s">
        <v>3243</v>
      </c>
    </row>
    <row r="4231" spans="1:25" hidden="1" x14ac:dyDescent="0.25">
      <c r="A4231" t="s">
        <v>36</v>
      </c>
      <c r="B4231" t="s">
        <v>249</v>
      </c>
      <c r="C4231" t="s">
        <v>2534</v>
      </c>
      <c r="D4231" t="s">
        <v>27</v>
      </c>
      <c r="E4231" s="2">
        <v>46083</v>
      </c>
      <c r="F4231" s="2">
        <v>46083</v>
      </c>
      <c r="G4231" s="3">
        <v>85</v>
      </c>
      <c r="H4231" s="4" t="s">
        <v>28</v>
      </c>
      <c r="I4231">
        <v>80</v>
      </c>
      <c r="J4231">
        <v>0</v>
      </c>
      <c r="K4231">
        <v>0</v>
      </c>
      <c r="L4231" s="3">
        <v>1</v>
      </c>
      <c r="M4231" s="3">
        <v>0</v>
      </c>
      <c r="N4231">
        <v>1</v>
      </c>
      <c r="O4231">
        <v>0</v>
      </c>
      <c r="P4231">
        <v>0</v>
      </c>
      <c r="Q4231">
        <v>0</v>
      </c>
      <c r="R4231" s="3">
        <v>0</v>
      </c>
      <c r="S4231" s="3">
        <v>0</v>
      </c>
      <c r="T4231">
        <v>0</v>
      </c>
      <c r="U4231">
        <v>0</v>
      </c>
      <c r="V4231" s="3">
        <v>0</v>
      </c>
      <c r="W4231" s="3">
        <v>0</v>
      </c>
      <c r="X4231">
        <v>0</v>
      </c>
      <c r="Y4231" t="s">
        <v>3244</v>
      </c>
    </row>
    <row r="4232" spans="1:25" hidden="1" x14ac:dyDescent="0.25">
      <c r="A4232" t="s">
        <v>2679</v>
      </c>
      <c r="B4232" t="s">
        <v>2680</v>
      </c>
      <c r="C4232" t="s">
        <v>39</v>
      </c>
      <c r="D4232" t="s">
        <v>27</v>
      </c>
      <c r="E4232" s="2">
        <v>46083</v>
      </c>
      <c r="F4232" s="2">
        <v>46083</v>
      </c>
      <c r="G4232" s="3">
        <v>35</v>
      </c>
      <c r="H4232" s="4" t="s">
        <v>3161</v>
      </c>
      <c r="I4232">
        <v>47</v>
      </c>
      <c r="J4232">
        <v>0</v>
      </c>
      <c r="K4232">
        <v>0</v>
      </c>
      <c r="L4232" s="3">
        <v>0</v>
      </c>
      <c r="M4232" s="3">
        <v>0</v>
      </c>
      <c r="N4232">
        <v>0</v>
      </c>
      <c r="O4232">
        <v>0</v>
      </c>
      <c r="P4232">
        <v>0</v>
      </c>
      <c r="Q4232">
        <v>47</v>
      </c>
      <c r="R4232" s="3">
        <v>0</v>
      </c>
      <c r="S4232" s="3">
        <v>0</v>
      </c>
      <c r="T4232">
        <v>0</v>
      </c>
      <c r="U4232">
        <v>0</v>
      </c>
      <c r="V4232" s="3">
        <v>0</v>
      </c>
      <c r="W4232" s="3">
        <v>0</v>
      </c>
      <c r="X4232">
        <v>0</v>
      </c>
      <c r="Y4232" t="s">
        <v>3245</v>
      </c>
    </row>
    <row r="4233" spans="1:25" hidden="1" x14ac:dyDescent="0.25">
      <c r="A4233" t="s">
        <v>1316</v>
      </c>
      <c r="B4233" t="s">
        <v>1348</v>
      </c>
      <c r="C4233" t="s">
        <v>2835</v>
      </c>
      <c r="D4233" t="s">
        <v>27</v>
      </c>
      <c r="E4233" s="2">
        <v>46083</v>
      </c>
      <c r="F4233" s="2">
        <v>46083</v>
      </c>
      <c r="G4233" s="3">
        <v>78</v>
      </c>
      <c r="H4233" s="4" t="s">
        <v>28</v>
      </c>
      <c r="I4233">
        <f>28+23</f>
        <v>51</v>
      </c>
      <c r="J4233">
        <v>0</v>
      </c>
      <c r="K4233">
        <v>0</v>
      </c>
      <c r="L4233" s="3">
        <v>1</v>
      </c>
      <c r="M4233" s="3">
        <v>0</v>
      </c>
      <c r="N4233">
        <v>0</v>
      </c>
      <c r="O4233">
        <v>0</v>
      </c>
      <c r="P4233">
        <v>0</v>
      </c>
      <c r="Q4233">
        <v>20</v>
      </c>
      <c r="R4233" s="3">
        <v>0</v>
      </c>
      <c r="S4233" s="3">
        <v>0</v>
      </c>
      <c r="T4233">
        <v>0</v>
      </c>
      <c r="U4233">
        <v>0</v>
      </c>
      <c r="V4233" s="3">
        <v>0</v>
      </c>
      <c r="W4233" s="3">
        <v>0</v>
      </c>
      <c r="X4233">
        <v>0</v>
      </c>
      <c r="Y4233" t="s">
        <v>3246</v>
      </c>
    </row>
    <row r="4234" spans="1:25" s="1" customFormat="1" hidden="1" x14ac:dyDescent="0.25">
      <c r="A4234" s="1" t="s">
        <v>41</v>
      </c>
      <c r="B4234" s="1" t="s">
        <v>112</v>
      </c>
      <c r="C4234" s="1" t="s">
        <v>42</v>
      </c>
      <c r="D4234" s="1" t="s">
        <v>27</v>
      </c>
      <c r="E4234" s="10">
        <v>46083</v>
      </c>
      <c r="F4234" s="10">
        <v>46083</v>
      </c>
      <c r="G4234" s="41">
        <v>219</v>
      </c>
      <c r="H4234" s="15" t="s">
        <v>28</v>
      </c>
      <c r="I4234" s="1">
        <v>124</v>
      </c>
      <c r="J4234" s="1">
        <v>0</v>
      </c>
      <c r="K4234" s="1">
        <v>0</v>
      </c>
      <c r="L4234" s="41">
        <v>1</v>
      </c>
      <c r="M4234" s="41">
        <v>1</v>
      </c>
      <c r="N4234" s="1">
        <v>0</v>
      </c>
      <c r="O4234" s="1">
        <v>0</v>
      </c>
      <c r="P4234" s="1">
        <v>0</v>
      </c>
      <c r="Q4234" s="1">
        <v>84</v>
      </c>
      <c r="R4234" s="41">
        <v>0</v>
      </c>
      <c r="S4234" s="41">
        <v>0</v>
      </c>
      <c r="T4234" s="1">
        <v>0</v>
      </c>
      <c r="U4234" s="1">
        <v>0</v>
      </c>
      <c r="V4234" s="41">
        <v>0</v>
      </c>
      <c r="W4234" s="41">
        <v>0</v>
      </c>
      <c r="X4234" s="1">
        <v>7</v>
      </c>
      <c r="Y4234" s="1" t="s">
        <v>3247</v>
      </c>
    </row>
    <row r="4235" spans="1:25" hidden="1" x14ac:dyDescent="0.25">
      <c r="A4235" t="s">
        <v>43</v>
      </c>
      <c r="B4235" t="s">
        <v>114</v>
      </c>
      <c r="C4235" t="s">
        <v>44</v>
      </c>
      <c r="D4235" t="s">
        <v>27</v>
      </c>
      <c r="E4235" s="2">
        <v>46080</v>
      </c>
      <c r="F4235" s="2">
        <v>46080</v>
      </c>
      <c r="G4235" s="3">
        <v>55</v>
      </c>
      <c r="H4235" s="4" t="s">
        <v>28</v>
      </c>
      <c r="I4235">
        <v>46</v>
      </c>
      <c r="J4235">
        <v>0</v>
      </c>
      <c r="K4235">
        <v>0</v>
      </c>
      <c r="L4235" s="3">
        <v>1</v>
      </c>
      <c r="M4235" s="3">
        <v>0</v>
      </c>
      <c r="N4235">
        <v>0</v>
      </c>
      <c r="O4235">
        <v>0</v>
      </c>
      <c r="P4235">
        <v>0</v>
      </c>
      <c r="Q4235">
        <v>4</v>
      </c>
      <c r="R4235" s="3">
        <v>0</v>
      </c>
      <c r="S4235" s="3">
        <v>0</v>
      </c>
      <c r="T4235">
        <v>0</v>
      </c>
      <c r="U4235">
        <v>0</v>
      </c>
      <c r="V4235" s="3">
        <v>0</v>
      </c>
      <c r="W4235" s="3">
        <v>0</v>
      </c>
      <c r="X4235">
        <v>0</v>
      </c>
      <c r="Y4235" t="s">
        <v>3213</v>
      </c>
    </row>
    <row r="4236" spans="1:25" hidden="1" x14ac:dyDescent="0.25">
      <c r="A4236" t="s">
        <v>43</v>
      </c>
      <c r="B4236" t="s">
        <v>114</v>
      </c>
      <c r="C4236" t="s">
        <v>44</v>
      </c>
      <c r="D4236" t="s">
        <v>27</v>
      </c>
      <c r="E4236" s="2">
        <v>46083</v>
      </c>
      <c r="F4236" s="2">
        <v>46083</v>
      </c>
      <c r="G4236" s="3">
        <v>95</v>
      </c>
      <c r="H4236" s="4" t="s">
        <v>28</v>
      </c>
      <c r="I4236">
        <v>45</v>
      </c>
      <c r="J4236">
        <v>0</v>
      </c>
      <c r="K4236">
        <v>0</v>
      </c>
      <c r="L4236" s="3">
        <v>0</v>
      </c>
      <c r="M4236" s="3">
        <v>0</v>
      </c>
      <c r="N4236">
        <v>0</v>
      </c>
      <c r="O4236">
        <v>0</v>
      </c>
      <c r="P4236">
        <v>0</v>
      </c>
      <c r="Q4236">
        <v>4</v>
      </c>
      <c r="R4236" s="3">
        <v>0</v>
      </c>
      <c r="S4236" s="3">
        <v>0</v>
      </c>
      <c r="T4236">
        <v>0</v>
      </c>
      <c r="U4236">
        <v>0</v>
      </c>
      <c r="V4236" s="3">
        <v>0</v>
      </c>
      <c r="W4236" s="3">
        <v>0</v>
      </c>
      <c r="X4236">
        <v>2</v>
      </c>
      <c r="Y4236" t="s">
        <v>3248</v>
      </c>
    </row>
    <row r="4237" spans="1:25" hidden="1" x14ac:dyDescent="0.25">
      <c r="A4237" t="s">
        <v>45</v>
      </c>
      <c r="B4237" t="s">
        <v>116</v>
      </c>
      <c r="C4237" t="s">
        <v>46</v>
      </c>
      <c r="D4237" t="s">
        <v>27</v>
      </c>
      <c r="E4237" s="2">
        <v>46083</v>
      </c>
      <c r="F4237" s="2">
        <v>46083</v>
      </c>
      <c r="G4237" s="3">
        <v>45</v>
      </c>
      <c r="H4237" s="4" t="s">
        <v>28</v>
      </c>
      <c r="I4237">
        <f>54+27</f>
        <v>81</v>
      </c>
      <c r="J4237">
        <v>0</v>
      </c>
      <c r="K4237">
        <v>0</v>
      </c>
      <c r="L4237" s="3">
        <v>1</v>
      </c>
      <c r="M4237" s="3">
        <v>0</v>
      </c>
      <c r="N4237">
        <v>0</v>
      </c>
      <c r="O4237">
        <v>0</v>
      </c>
      <c r="P4237">
        <v>0</v>
      </c>
      <c r="Q4237">
        <v>9</v>
      </c>
      <c r="R4237" s="3">
        <v>0</v>
      </c>
      <c r="S4237" s="3">
        <v>0</v>
      </c>
      <c r="T4237">
        <v>0</v>
      </c>
      <c r="U4237">
        <v>0</v>
      </c>
      <c r="V4237" s="3">
        <v>0</v>
      </c>
      <c r="W4237" s="3">
        <v>0</v>
      </c>
      <c r="X4237">
        <v>0</v>
      </c>
      <c r="Y4237" t="s">
        <v>3249</v>
      </c>
    </row>
    <row r="4238" spans="1:25" hidden="1" x14ac:dyDescent="0.25">
      <c r="A4238" t="s">
        <v>47</v>
      </c>
      <c r="B4238" t="s">
        <v>137</v>
      </c>
      <c r="C4238" t="s">
        <v>2514</v>
      </c>
      <c r="D4238" t="s">
        <v>27</v>
      </c>
      <c r="E4238" s="2">
        <v>46083</v>
      </c>
      <c r="F4238" s="2">
        <v>46083</v>
      </c>
      <c r="G4238" s="3">
        <v>46</v>
      </c>
      <c r="H4238" s="4" t="s">
        <v>28</v>
      </c>
      <c r="I4238">
        <v>50</v>
      </c>
      <c r="J4238">
        <v>0</v>
      </c>
      <c r="K4238">
        <v>0</v>
      </c>
      <c r="L4238" s="3">
        <v>1</v>
      </c>
      <c r="M4238" s="3">
        <v>0</v>
      </c>
      <c r="N4238">
        <v>0</v>
      </c>
      <c r="O4238">
        <v>0</v>
      </c>
      <c r="P4238">
        <v>0</v>
      </c>
      <c r="Q4238">
        <v>6</v>
      </c>
      <c r="R4238" s="3">
        <v>0</v>
      </c>
      <c r="S4238" s="3">
        <v>0</v>
      </c>
      <c r="T4238">
        <v>0</v>
      </c>
      <c r="U4238">
        <v>0</v>
      </c>
      <c r="V4238" s="3">
        <v>0</v>
      </c>
      <c r="W4238" s="3">
        <v>0</v>
      </c>
      <c r="X4238">
        <v>0</v>
      </c>
      <c r="Y4238" t="s">
        <v>3250</v>
      </c>
    </row>
    <row r="4239" spans="1:25" hidden="1" x14ac:dyDescent="0.25">
      <c r="A4239" t="s">
        <v>49</v>
      </c>
      <c r="B4239" t="s">
        <v>118</v>
      </c>
      <c r="C4239" t="s">
        <v>50</v>
      </c>
      <c r="D4239" t="s">
        <v>27</v>
      </c>
      <c r="E4239" s="2">
        <v>46083</v>
      </c>
      <c r="F4239" s="2">
        <v>46083</v>
      </c>
      <c r="G4239" s="3">
        <v>31</v>
      </c>
      <c r="H4239" s="4" t="s">
        <v>28</v>
      </c>
      <c r="I4239">
        <f>36+17</f>
        <v>53</v>
      </c>
      <c r="J4239">
        <v>0</v>
      </c>
      <c r="K4239">
        <v>0</v>
      </c>
      <c r="L4239" s="3">
        <v>1</v>
      </c>
      <c r="M4239" s="3">
        <v>1</v>
      </c>
      <c r="N4239">
        <v>0</v>
      </c>
      <c r="O4239">
        <v>1</v>
      </c>
      <c r="P4239">
        <v>0</v>
      </c>
      <c r="Q4239">
        <v>33</v>
      </c>
      <c r="R4239" s="3">
        <v>0</v>
      </c>
      <c r="S4239" s="3">
        <v>0</v>
      </c>
      <c r="T4239">
        <v>0</v>
      </c>
      <c r="U4239">
        <v>0</v>
      </c>
      <c r="V4239" s="3">
        <v>0</v>
      </c>
      <c r="W4239" s="3">
        <v>0</v>
      </c>
      <c r="X4239">
        <v>0</v>
      </c>
      <c r="Y4239" t="s">
        <v>3251</v>
      </c>
    </row>
    <row r="4240" spans="1:25" hidden="1" x14ac:dyDescent="0.25">
      <c r="A4240" t="s">
        <v>54</v>
      </c>
      <c r="B4240" t="s">
        <v>122</v>
      </c>
      <c r="C4240" t="s">
        <v>52</v>
      </c>
      <c r="D4240" t="s">
        <v>27</v>
      </c>
      <c r="E4240" s="2">
        <v>46083</v>
      </c>
      <c r="F4240" s="2">
        <v>46083</v>
      </c>
      <c r="G4240" s="3">
        <v>47</v>
      </c>
      <c r="H4240" s="4" t="s">
        <v>28</v>
      </c>
      <c r="I4240">
        <v>57</v>
      </c>
      <c r="J4240">
        <v>0</v>
      </c>
      <c r="K4240">
        <v>0</v>
      </c>
      <c r="L4240" s="3">
        <v>0</v>
      </c>
      <c r="M4240" s="3">
        <v>0</v>
      </c>
      <c r="N4240">
        <v>0</v>
      </c>
      <c r="O4240">
        <v>0</v>
      </c>
      <c r="P4240">
        <v>0</v>
      </c>
      <c r="Q4240">
        <v>7</v>
      </c>
      <c r="R4240" s="3">
        <v>0</v>
      </c>
      <c r="S4240" s="3">
        <v>0</v>
      </c>
      <c r="T4240">
        <v>0</v>
      </c>
      <c r="U4240">
        <v>0</v>
      </c>
      <c r="V4240" s="3">
        <v>0</v>
      </c>
      <c r="W4240" s="3">
        <v>0</v>
      </c>
      <c r="X4240">
        <v>0</v>
      </c>
      <c r="Y4240" t="s">
        <v>3252</v>
      </c>
    </row>
    <row r="4241" spans="1:25" hidden="1" x14ac:dyDescent="0.25">
      <c r="A4241" t="s">
        <v>48</v>
      </c>
      <c r="B4241" t="s">
        <v>149</v>
      </c>
      <c r="C4241" t="s">
        <v>37</v>
      </c>
      <c r="D4241" t="s">
        <v>27</v>
      </c>
      <c r="E4241" s="2">
        <v>46083</v>
      </c>
      <c r="F4241" s="2">
        <v>46083</v>
      </c>
      <c r="G4241" s="3">
        <v>81</v>
      </c>
      <c r="H4241" s="4" t="s">
        <v>28</v>
      </c>
      <c r="I4241">
        <f>79+2</f>
        <v>81</v>
      </c>
      <c r="J4241">
        <v>0</v>
      </c>
      <c r="K4241">
        <v>0</v>
      </c>
      <c r="L4241" s="3">
        <v>0</v>
      </c>
      <c r="M4241" s="3">
        <v>0</v>
      </c>
      <c r="N4241">
        <v>0</v>
      </c>
      <c r="O4241">
        <v>0</v>
      </c>
      <c r="P4241">
        <v>0</v>
      </c>
      <c r="Q4241">
        <v>0</v>
      </c>
      <c r="R4241" s="3">
        <v>0</v>
      </c>
      <c r="S4241" s="3">
        <v>0</v>
      </c>
      <c r="T4241">
        <v>0</v>
      </c>
      <c r="U4241">
        <v>0</v>
      </c>
      <c r="V4241" s="3">
        <v>0</v>
      </c>
      <c r="W4241" s="3">
        <v>0</v>
      </c>
      <c r="X4241">
        <v>0</v>
      </c>
      <c r="Y4241" t="s">
        <v>3253</v>
      </c>
    </row>
    <row r="4242" spans="1:25" hidden="1" x14ac:dyDescent="0.25">
      <c r="A4242" t="s">
        <v>51</v>
      </c>
      <c r="B4242" t="s">
        <v>149</v>
      </c>
      <c r="C4242" t="s">
        <v>27</v>
      </c>
      <c r="D4242" t="s">
        <v>27</v>
      </c>
      <c r="E4242" s="2">
        <v>46083</v>
      </c>
      <c r="F4242" s="2">
        <v>46083</v>
      </c>
      <c r="G4242" s="3">
        <v>81</v>
      </c>
      <c r="H4242" s="4" t="s">
        <v>250</v>
      </c>
      <c r="I4242">
        <v>0</v>
      </c>
      <c r="J4242">
        <v>0</v>
      </c>
      <c r="K4242">
        <v>0</v>
      </c>
      <c r="L4242" s="3">
        <v>0</v>
      </c>
      <c r="M4242" s="3">
        <v>0</v>
      </c>
      <c r="N4242">
        <v>0</v>
      </c>
      <c r="O4242">
        <v>0</v>
      </c>
      <c r="P4242">
        <v>0</v>
      </c>
      <c r="Q4242">
        <v>0</v>
      </c>
      <c r="R4242" s="3">
        <v>0</v>
      </c>
      <c r="S4242" s="3">
        <v>0</v>
      </c>
      <c r="T4242">
        <v>0</v>
      </c>
      <c r="U4242">
        <v>0</v>
      </c>
      <c r="V4242" s="3">
        <v>0</v>
      </c>
      <c r="W4242" s="3">
        <v>0</v>
      </c>
      <c r="X4242">
        <v>0</v>
      </c>
      <c r="Y4242" t="s">
        <v>3253</v>
      </c>
    </row>
    <row r="4243" spans="1:25" hidden="1" x14ac:dyDescent="0.25">
      <c r="A4243" t="s">
        <v>29</v>
      </c>
      <c r="B4243" t="s">
        <v>149</v>
      </c>
      <c r="C4243" t="s">
        <v>27</v>
      </c>
      <c r="D4243" t="s">
        <v>27</v>
      </c>
      <c r="E4243" s="2">
        <v>46075</v>
      </c>
      <c r="F4243" s="2">
        <v>46075</v>
      </c>
      <c r="G4243" s="3">
        <v>81</v>
      </c>
      <c r="H4243" s="4" t="s">
        <v>180</v>
      </c>
      <c r="I4243">
        <v>0</v>
      </c>
      <c r="J4243">
        <v>0</v>
      </c>
      <c r="K4243">
        <v>0</v>
      </c>
      <c r="L4243" s="3">
        <v>0</v>
      </c>
      <c r="M4243" s="3">
        <v>0</v>
      </c>
      <c r="N4243">
        <v>0</v>
      </c>
      <c r="O4243">
        <v>0</v>
      </c>
      <c r="P4243">
        <v>0</v>
      </c>
      <c r="Q4243">
        <v>0</v>
      </c>
      <c r="R4243" s="3">
        <v>0</v>
      </c>
      <c r="S4243" s="3">
        <v>0</v>
      </c>
      <c r="T4243">
        <v>0</v>
      </c>
      <c r="U4243">
        <v>0</v>
      </c>
      <c r="V4243" s="3">
        <v>0</v>
      </c>
      <c r="W4243" s="3">
        <v>0</v>
      </c>
      <c r="X4243">
        <v>0</v>
      </c>
      <c r="Y4243" t="s">
        <v>3253</v>
      </c>
    </row>
    <row r="4244" spans="1:25" hidden="1" x14ac:dyDescent="0.25">
      <c r="A4244" t="s">
        <v>29</v>
      </c>
      <c r="B4244" t="s">
        <v>149</v>
      </c>
      <c r="C4244" t="s">
        <v>27</v>
      </c>
      <c r="D4244" t="s">
        <v>27</v>
      </c>
      <c r="E4244" s="2">
        <v>46076</v>
      </c>
      <c r="F4244" s="2">
        <v>46076</v>
      </c>
      <c r="G4244" s="3">
        <v>81</v>
      </c>
      <c r="H4244" s="4" t="s">
        <v>180</v>
      </c>
      <c r="I4244">
        <v>0</v>
      </c>
      <c r="J4244">
        <v>0</v>
      </c>
      <c r="K4244">
        <v>0</v>
      </c>
      <c r="L4244" s="3">
        <v>0</v>
      </c>
      <c r="M4244" s="3">
        <v>0</v>
      </c>
      <c r="N4244">
        <v>0</v>
      </c>
      <c r="O4244">
        <v>0</v>
      </c>
      <c r="P4244">
        <v>0</v>
      </c>
      <c r="Q4244">
        <v>0</v>
      </c>
      <c r="R4244" s="3">
        <v>0</v>
      </c>
      <c r="S4244" s="3">
        <v>0</v>
      </c>
      <c r="T4244">
        <v>0</v>
      </c>
      <c r="U4244">
        <v>0</v>
      </c>
      <c r="V4244" s="3">
        <v>0</v>
      </c>
      <c r="W4244" s="3">
        <v>0</v>
      </c>
      <c r="X4244">
        <v>0</v>
      </c>
      <c r="Y4244" t="s">
        <v>3253</v>
      </c>
    </row>
    <row r="4245" spans="1:25" hidden="1" x14ac:dyDescent="0.25">
      <c r="A4245" t="s">
        <v>29</v>
      </c>
      <c r="B4245" t="s">
        <v>149</v>
      </c>
      <c r="C4245" t="s">
        <v>27</v>
      </c>
      <c r="D4245" t="s">
        <v>27</v>
      </c>
      <c r="E4245" s="2">
        <v>46077</v>
      </c>
      <c r="F4245" s="2">
        <v>46077</v>
      </c>
      <c r="G4245" s="3">
        <v>81</v>
      </c>
      <c r="H4245" s="4" t="s">
        <v>180</v>
      </c>
      <c r="I4245">
        <v>0</v>
      </c>
      <c r="J4245">
        <v>0</v>
      </c>
      <c r="K4245">
        <v>0</v>
      </c>
      <c r="L4245" s="3">
        <v>0</v>
      </c>
      <c r="M4245" s="3">
        <v>0</v>
      </c>
      <c r="N4245">
        <v>0</v>
      </c>
      <c r="O4245">
        <v>0</v>
      </c>
      <c r="P4245">
        <v>0</v>
      </c>
      <c r="Q4245">
        <v>0</v>
      </c>
      <c r="R4245" s="3">
        <v>0</v>
      </c>
      <c r="S4245" s="3">
        <v>0</v>
      </c>
      <c r="T4245">
        <v>0</v>
      </c>
      <c r="U4245">
        <v>0</v>
      </c>
      <c r="V4245" s="3">
        <v>0</v>
      </c>
      <c r="W4245" s="3">
        <v>0</v>
      </c>
      <c r="X4245">
        <v>0</v>
      </c>
      <c r="Y4245" t="s">
        <v>3253</v>
      </c>
    </row>
    <row r="4246" spans="1:25" hidden="1" x14ac:dyDescent="0.25">
      <c r="A4246" t="s">
        <v>29</v>
      </c>
      <c r="B4246" t="s">
        <v>149</v>
      </c>
      <c r="C4246" t="s">
        <v>27</v>
      </c>
      <c r="D4246" t="s">
        <v>27</v>
      </c>
      <c r="E4246" s="2">
        <v>46078</v>
      </c>
      <c r="F4246" s="2">
        <v>46078</v>
      </c>
      <c r="G4246" s="3">
        <v>81</v>
      </c>
      <c r="H4246" s="4" t="s">
        <v>180</v>
      </c>
      <c r="I4246">
        <v>0</v>
      </c>
      <c r="J4246">
        <v>0</v>
      </c>
      <c r="K4246">
        <v>0</v>
      </c>
      <c r="L4246" s="3">
        <v>0</v>
      </c>
      <c r="M4246" s="3">
        <v>0</v>
      </c>
      <c r="N4246">
        <v>0</v>
      </c>
      <c r="O4246">
        <v>0</v>
      </c>
      <c r="P4246">
        <v>0</v>
      </c>
      <c r="Q4246">
        <v>0</v>
      </c>
      <c r="R4246" s="3">
        <v>0</v>
      </c>
      <c r="S4246" s="3">
        <v>0</v>
      </c>
      <c r="T4246">
        <v>0</v>
      </c>
      <c r="U4246">
        <v>0</v>
      </c>
      <c r="V4246" s="3">
        <v>0</v>
      </c>
      <c r="W4246" s="3">
        <v>0</v>
      </c>
      <c r="X4246">
        <v>0</v>
      </c>
      <c r="Y4246" t="s">
        <v>3253</v>
      </c>
    </row>
    <row r="4247" spans="1:25" hidden="1" x14ac:dyDescent="0.25">
      <c r="A4247" t="s">
        <v>29</v>
      </c>
      <c r="B4247" t="s">
        <v>149</v>
      </c>
      <c r="C4247" t="s">
        <v>27</v>
      </c>
      <c r="D4247" t="s">
        <v>27</v>
      </c>
      <c r="E4247" s="2">
        <v>46079</v>
      </c>
      <c r="F4247" s="2">
        <v>46079</v>
      </c>
      <c r="G4247" s="3">
        <v>81</v>
      </c>
      <c r="H4247" s="4" t="s">
        <v>180</v>
      </c>
      <c r="I4247">
        <v>0</v>
      </c>
      <c r="J4247">
        <v>0</v>
      </c>
      <c r="K4247">
        <v>0</v>
      </c>
      <c r="L4247" s="3">
        <v>0</v>
      </c>
      <c r="M4247" s="3">
        <v>0</v>
      </c>
      <c r="N4247">
        <v>0</v>
      </c>
      <c r="O4247">
        <v>0</v>
      </c>
      <c r="P4247">
        <v>0</v>
      </c>
      <c r="Q4247">
        <v>0</v>
      </c>
      <c r="R4247" s="3">
        <v>0</v>
      </c>
      <c r="S4247" s="3">
        <v>0</v>
      </c>
      <c r="T4247">
        <v>0</v>
      </c>
      <c r="U4247">
        <v>0</v>
      </c>
      <c r="V4247" s="3">
        <v>0</v>
      </c>
      <c r="W4247" s="3">
        <v>0</v>
      </c>
      <c r="X4247">
        <v>0</v>
      </c>
      <c r="Y4247" t="s">
        <v>3253</v>
      </c>
    </row>
    <row r="4248" spans="1:25" hidden="1" x14ac:dyDescent="0.25">
      <c r="A4248" t="s">
        <v>29</v>
      </c>
      <c r="B4248" t="s">
        <v>149</v>
      </c>
      <c r="C4248" t="s">
        <v>27</v>
      </c>
      <c r="D4248" t="s">
        <v>27</v>
      </c>
      <c r="E4248" s="2">
        <v>46080</v>
      </c>
      <c r="F4248" s="2">
        <v>46080</v>
      </c>
      <c r="G4248" s="3">
        <v>81</v>
      </c>
      <c r="H4248" s="4" t="s">
        <v>180</v>
      </c>
      <c r="I4248">
        <v>0</v>
      </c>
      <c r="J4248">
        <v>0</v>
      </c>
      <c r="K4248">
        <v>0</v>
      </c>
      <c r="L4248" s="3">
        <v>0</v>
      </c>
      <c r="M4248" s="3">
        <v>0</v>
      </c>
      <c r="N4248">
        <v>0</v>
      </c>
      <c r="O4248">
        <v>0</v>
      </c>
      <c r="P4248">
        <v>0</v>
      </c>
      <c r="Q4248">
        <v>0</v>
      </c>
      <c r="R4248" s="3">
        <v>0</v>
      </c>
      <c r="S4248" s="3">
        <v>0</v>
      </c>
      <c r="T4248">
        <v>0</v>
      </c>
      <c r="U4248">
        <v>0</v>
      </c>
      <c r="V4248" s="3">
        <v>0</v>
      </c>
      <c r="W4248" s="3">
        <v>0</v>
      </c>
      <c r="X4248">
        <v>0</v>
      </c>
      <c r="Y4248" t="s">
        <v>3253</v>
      </c>
    </row>
    <row r="4249" spans="1:25" hidden="1" x14ac:dyDescent="0.25">
      <c r="A4249" t="s">
        <v>29</v>
      </c>
      <c r="B4249" t="s">
        <v>149</v>
      </c>
      <c r="C4249" t="s">
        <v>27</v>
      </c>
      <c r="D4249" t="s">
        <v>27</v>
      </c>
      <c r="E4249" s="2">
        <v>46081</v>
      </c>
      <c r="F4249" s="2">
        <v>46081</v>
      </c>
      <c r="G4249" s="3">
        <v>81</v>
      </c>
      <c r="H4249" s="4" t="s">
        <v>180</v>
      </c>
      <c r="I4249">
        <v>0</v>
      </c>
      <c r="J4249">
        <v>0</v>
      </c>
      <c r="K4249">
        <v>0</v>
      </c>
      <c r="L4249" s="3">
        <v>0</v>
      </c>
      <c r="M4249" s="3">
        <v>0</v>
      </c>
      <c r="N4249">
        <v>0</v>
      </c>
      <c r="O4249">
        <v>0</v>
      </c>
      <c r="P4249">
        <v>0</v>
      </c>
      <c r="Q4249">
        <v>0</v>
      </c>
      <c r="R4249" s="3">
        <v>0</v>
      </c>
      <c r="S4249" s="3">
        <v>0</v>
      </c>
      <c r="T4249">
        <v>0</v>
      </c>
      <c r="U4249">
        <v>0</v>
      </c>
      <c r="V4249" s="3">
        <v>0</v>
      </c>
      <c r="W4249" s="3">
        <v>0</v>
      </c>
      <c r="X4249">
        <v>0</v>
      </c>
      <c r="Y4249" t="s">
        <v>3253</v>
      </c>
    </row>
    <row r="4250" spans="1:25" hidden="1" x14ac:dyDescent="0.25">
      <c r="A4250" t="s">
        <v>29</v>
      </c>
      <c r="B4250" t="s">
        <v>149</v>
      </c>
      <c r="C4250" t="s">
        <v>27</v>
      </c>
      <c r="D4250" t="s">
        <v>27</v>
      </c>
      <c r="E4250" s="2">
        <v>46082</v>
      </c>
      <c r="F4250" s="2">
        <v>46082</v>
      </c>
      <c r="G4250" s="3">
        <v>81</v>
      </c>
      <c r="H4250" s="4" t="s">
        <v>180</v>
      </c>
      <c r="I4250">
        <v>0</v>
      </c>
      <c r="J4250">
        <v>0</v>
      </c>
      <c r="K4250">
        <v>0</v>
      </c>
      <c r="L4250" s="3">
        <v>0</v>
      </c>
      <c r="M4250" s="3">
        <v>0</v>
      </c>
      <c r="N4250">
        <v>0</v>
      </c>
      <c r="O4250">
        <v>0</v>
      </c>
      <c r="P4250">
        <v>0</v>
      </c>
      <c r="Q4250">
        <v>0</v>
      </c>
      <c r="R4250" s="3">
        <v>0</v>
      </c>
      <c r="S4250" s="3">
        <v>0</v>
      </c>
      <c r="T4250">
        <v>0</v>
      </c>
      <c r="U4250">
        <v>0</v>
      </c>
      <c r="V4250" s="3">
        <v>0</v>
      </c>
      <c r="W4250" s="3">
        <v>0</v>
      </c>
      <c r="X4250">
        <v>0</v>
      </c>
      <c r="Y4250" t="s">
        <v>3253</v>
      </c>
    </row>
    <row r="4251" spans="1:25" hidden="1" x14ac:dyDescent="0.25">
      <c r="A4251" t="s">
        <v>29</v>
      </c>
      <c r="B4251" t="s">
        <v>149</v>
      </c>
      <c r="C4251" t="s">
        <v>27</v>
      </c>
      <c r="D4251" t="s">
        <v>27</v>
      </c>
      <c r="E4251" s="2">
        <v>46083</v>
      </c>
      <c r="F4251" s="2">
        <v>46083</v>
      </c>
      <c r="G4251" s="3">
        <v>81</v>
      </c>
      <c r="H4251" s="4" t="s">
        <v>959</v>
      </c>
      <c r="I4251">
        <v>0</v>
      </c>
      <c r="J4251">
        <v>0</v>
      </c>
      <c r="K4251">
        <v>0</v>
      </c>
      <c r="L4251" s="3">
        <v>0</v>
      </c>
      <c r="M4251" s="3">
        <v>0</v>
      </c>
      <c r="N4251">
        <v>0</v>
      </c>
      <c r="O4251">
        <v>0</v>
      </c>
      <c r="P4251">
        <v>0</v>
      </c>
      <c r="Q4251">
        <v>0</v>
      </c>
      <c r="R4251" s="3">
        <v>0</v>
      </c>
      <c r="S4251" s="3">
        <v>0</v>
      </c>
      <c r="T4251">
        <v>0</v>
      </c>
      <c r="U4251">
        <v>0</v>
      </c>
      <c r="V4251" s="3">
        <v>0</v>
      </c>
      <c r="W4251" s="3">
        <v>0</v>
      </c>
      <c r="X4251">
        <v>0</v>
      </c>
      <c r="Y4251" t="s">
        <v>3253</v>
      </c>
    </row>
    <row r="4252" spans="1:25" hidden="1" x14ac:dyDescent="0.25">
      <c r="A4252" t="s">
        <v>25</v>
      </c>
      <c r="B4252" t="s">
        <v>96</v>
      </c>
      <c r="C4252" t="s">
        <v>26</v>
      </c>
      <c r="D4252" t="s">
        <v>27</v>
      </c>
      <c r="E4252" s="2">
        <v>46084</v>
      </c>
      <c r="F4252" s="2">
        <v>46084</v>
      </c>
      <c r="G4252" s="3">
        <v>41</v>
      </c>
      <c r="H4252" s="4" t="s">
        <v>28</v>
      </c>
      <c r="I4252">
        <f>28+26</f>
        <v>54</v>
      </c>
      <c r="J4252">
        <v>0</v>
      </c>
      <c r="K4252">
        <v>0</v>
      </c>
      <c r="L4252" s="3">
        <v>1</v>
      </c>
      <c r="M4252" s="3">
        <v>0</v>
      </c>
      <c r="N4252">
        <v>1</v>
      </c>
      <c r="O4252">
        <v>0</v>
      </c>
      <c r="P4252">
        <v>0</v>
      </c>
      <c r="Q4252">
        <v>0</v>
      </c>
      <c r="R4252" s="3">
        <v>0</v>
      </c>
      <c r="S4252" s="3">
        <v>0</v>
      </c>
      <c r="T4252">
        <v>0</v>
      </c>
      <c r="U4252">
        <v>0</v>
      </c>
      <c r="V4252" s="3">
        <v>0</v>
      </c>
      <c r="W4252" s="3">
        <v>0</v>
      </c>
      <c r="X4252">
        <v>0</v>
      </c>
      <c r="Y4252" t="s">
        <v>3254</v>
      </c>
    </row>
    <row r="4253" spans="1:25" hidden="1" x14ac:dyDescent="0.25">
      <c r="A4253" t="s">
        <v>31</v>
      </c>
      <c r="B4253" t="s">
        <v>104</v>
      </c>
      <c r="C4253" t="s">
        <v>32</v>
      </c>
      <c r="D4253" t="s">
        <v>27</v>
      </c>
      <c r="E4253" s="2">
        <v>46084</v>
      </c>
      <c r="F4253" s="2">
        <v>46084</v>
      </c>
      <c r="G4253" s="3">
        <v>32</v>
      </c>
      <c r="H4253" s="4" t="s">
        <v>28</v>
      </c>
      <c r="I4253">
        <f>50+4+4</f>
        <v>58</v>
      </c>
      <c r="J4253">
        <v>0</v>
      </c>
      <c r="K4253">
        <v>0</v>
      </c>
      <c r="L4253" s="3">
        <v>0</v>
      </c>
      <c r="M4253" s="3">
        <v>0</v>
      </c>
      <c r="N4253">
        <v>0</v>
      </c>
      <c r="O4253">
        <v>0</v>
      </c>
      <c r="P4253">
        <v>0</v>
      </c>
      <c r="Q4253">
        <v>34</v>
      </c>
      <c r="R4253" s="3">
        <v>0</v>
      </c>
      <c r="S4253" s="3">
        <v>0</v>
      </c>
      <c r="T4253">
        <v>0</v>
      </c>
      <c r="U4253">
        <v>0</v>
      </c>
      <c r="V4253" s="3">
        <v>0</v>
      </c>
      <c r="W4253" s="3">
        <v>0</v>
      </c>
      <c r="X4253">
        <v>4</v>
      </c>
      <c r="Y4253" t="s">
        <v>3255</v>
      </c>
    </row>
    <row r="4254" spans="1:25" hidden="1" x14ac:dyDescent="0.25">
      <c r="A4254" t="s">
        <v>29</v>
      </c>
      <c r="B4254" t="s">
        <v>2998</v>
      </c>
      <c r="C4254" t="s">
        <v>95</v>
      </c>
      <c r="D4254" t="s">
        <v>27</v>
      </c>
      <c r="E4254" s="2">
        <v>46084</v>
      </c>
      <c r="F4254" s="2">
        <v>46084</v>
      </c>
      <c r="G4254" s="3">
        <v>27</v>
      </c>
      <c r="H4254" s="4" t="s">
        <v>28</v>
      </c>
      <c r="I4254">
        <f>50+3</f>
        <v>53</v>
      </c>
      <c r="J4254">
        <v>0</v>
      </c>
      <c r="K4254">
        <v>0</v>
      </c>
      <c r="L4254" s="3">
        <v>1</v>
      </c>
      <c r="M4254" s="3">
        <v>0</v>
      </c>
      <c r="N4254">
        <v>0</v>
      </c>
      <c r="O4254">
        <v>0</v>
      </c>
      <c r="P4254">
        <v>12</v>
      </c>
      <c r="Q4254">
        <v>20</v>
      </c>
      <c r="R4254" s="3">
        <v>0</v>
      </c>
      <c r="S4254" s="3">
        <v>0</v>
      </c>
      <c r="T4254">
        <v>0</v>
      </c>
      <c r="U4254">
        <v>0</v>
      </c>
      <c r="V4254" s="3">
        <v>0</v>
      </c>
      <c r="W4254" s="3">
        <v>0</v>
      </c>
      <c r="X4254">
        <v>0</v>
      </c>
      <c r="Y4254" t="s">
        <v>3256</v>
      </c>
    </row>
    <row r="4255" spans="1:25" hidden="1" x14ac:dyDescent="0.25">
      <c r="A4255" t="s">
        <v>36</v>
      </c>
      <c r="B4255" t="s">
        <v>249</v>
      </c>
      <c r="C4255" t="s">
        <v>2534</v>
      </c>
      <c r="D4255" t="s">
        <v>27</v>
      </c>
      <c r="E4255" s="2">
        <v>46084</v>
      </c>
      <c r="F4255" s="2">
        <v>46084</v>
      </c>
      <c r="G4255" s="3">
        <v>69</v>
      </c>
      <c r="H4255" s="4" t="s">
        <v>28</v>
      </c>
      <c r="I4255">
        <v>54</v>
      </c>
      <c r="J4255">
        <v>0</v>
      </c>
      <c r="K4255">
        <v>0</v>
      </c>
      <c r="L4255" s="3">
        <v>1</v>
      </c>
      <c r="M4255" s="3">
        <v>0</v>
      </c>
      <c r="N4255">
        <v>1</v>
      </c>
      <c r="O4255">
        <v>0</v>
      </c>
      <c r="P4255">
        <v>0</v>
      </c>
      <c r="Q4255">
        <v>0</v>
      </c>
      <c r="R4255" s="3">
        <v>0</v>
      </c>
      <c r="S4255" s="3">
        <v>0</v>
      </c>
      <c r="T4255">
        <v>0</v>
      </c>
      <c r="U4255">
        <v>0</v>
      </c>
      <c r="V4255" s="3">
        <v>0</v>
      </c>
      <c r="W4255" s="3">
        <v>0</v>
      </c>
      <c r="X4255">
        <v>0</v>
      </c>
      <c r="Y4255" t="s">
        <v>3257</v>
      </c>
    </row>
    <row r="4256" spans="1:25" hidden="1" x14ac:dyDescent="0.25">
      <c r="A4256" t="s">
        <v>38</v>
      </c>
      <c r="B4256" t="s">
        <v>108</v>
      </c>
      <c r="C4256" t="s">
        <v>27</v>
      </c>
      <c r="D4256" t="s">
        <v>27</v>
      </c>
      <c r="E4256" s="2">
        <v>46084</v>
      </c>
      <c r="F4256" s="2">
        <v>46084</v>
      </c>
      <c r="G4256" s="3">
        <v>51</v>
      </c>
      <c r="H4256" s="4" t="s">
        <v>3161</v>
      </c>
      <c r="I4256">
        <v>33</v>
      </c>
      <c r="J4256">
        <v>0</v>
      </c>
      <c r="K4256">
        <v>0</v>
      </c>
      <c r="L4256" s="3">
        <v>1</v>
      </c>
      <c r="M4256" s="3">
        <v>0</v>
      </c>
      <c r="N4256">
        <v>0</v>
      </c>
      <c r="O4256">
        <v>0</v>
      </c>
      <c r="P4256">
        <v>0</v>
      </c>
      <c r="Q4256">
        <v>33</v>
      </c>
      <c r="R4256" s="3">
        <v>0</v>
      </c>
      <c r="S4256" s="3">
        <v>0</v>
      </c>
      <c r="T4256">
        <v>0</v>
      </c>
      <c r="U4256">
        <v>0</v>
      </c>
      <c r="V4256" s="3">
        <v>0</v>
      </c>
      <c r="W4256" s="3">
        <v>0</v>
      </c>
      <c r="X4256">
        <v>0</v>
      </c>
      <c r="Y4256" t="s">
        <v>3258</v>
      </c>
    </row>
    <row r="4257" spans="1:25" hidden="1" x14ac:dyDescent="0.25">
      <c r="A4257" t="s">
        <v>2679</v>
      </c>
      <c r="B4257" t="s">
        <v>2680</v>
      </c>
      <c r="C4257" t="s">
        <v>39</v>
      </c>
      <c r="D4257" t="s">
        <v>27</v>
      </c>
      <c r="E4257" s="2">
        <v>46084</v>
      </c>
      <c r="F4257" s="2">
        <v>46084</v>
      </c>
      <c r="G4257" s="3">
        <v>43</v>
      </c>
      <c r="H4257" s="4" t="s">
        <v>3161</v>
      </c>
      <c r="I4257">
        <v>60</v>
      </c>
      <c r="J4257">
        <v>0</v>
      </c>
      <c r="K4257">
        <v>0</v>
      </c>
      <c r="L4257" s="3">
        <v>0</v>
      </c>
      <c r="M4257" s="3">
        <v>0</v>
      </c>
      <c r="N4257">
        <v>0</v>
      </c>
      <c r="O4257">
        <v>0</v>
      </c>
      <c r="P4257">
        <v>0</v>
      </c>
      <c r="Q4257">
        <v>60</v>
      </c>
      <c r="R4257" s="3">
        <v>0</v>
      </c>
      <c r="S4257" s="3">
        <v>0</v>
      </c>
      <c r="T4257">
        <v>0</v>
      </c>
      <c r="U4257">
        <v>0</v>
      </c>
      <c r="V4257" s="3">
        <v>0</v>
      </c>
      <c r="W4257" s="3">
        <v>0</v>
      </c>
      <c r="X4257">
        <v>0</v>
      </c>
      <c r="Y4257" t="s">
        <v>3259</v>
      </c>
    </row>
    <row r="4258" spans="1:25" hidden="1" x14ac:dyDescent="0.25">
      <c r="A4258" t="s">
        <v>1316</v>
      </c>
      <c r="B4258" t="s">
        <v>1348</v>
      </c>
      <c r="C4258" t="s">
        <v>2514</v>
      </c>
      <c r="D4258" t="s">
        <v>27</v>
      </c>
      <c r="E4258" s="2">
        <v>46084</v>
      </c>
      <c r="F4258" s="2">
        <v>46084</v>
      </c>
      <c r="G4258" s="3">
        <v>41</v>
      </c>
      <c r="H4258" s="4" t="s">
        <v>28</v>
      </c>
      <c r="I4258">
        <f>19+2</f>
        <v>21</v>
      </c>
      <c r="J4258">
        <v>0</v>
      </c>
      <c r="K4258">
        <v>0</v>
      </c>
      <c r="L4258" s="3">
        <v>0</v>
      </c>
      <c r="M4258" s="3">
        <v>0</v>
      </c>
      <c r="N4258">
        <v>0</v>
      </c>
      <c r="O4258">
        <v>0</v>
      </c>
      <c r="P4258">
        <v>0</v>
      </c>
      <c r="Q4258">
        <v>5</v>
      </c>
      <c r="R4258" s="3">
        <v>0</v>
      </c>
      <c r="S4258" s="3">
        <v>0</v>
      </c>
      <c r="T4258">
        <v>0</v>
      </c>
      <c r="U4258">
        <v>0</v>
      </c>
      <c r="V4258" s="3">
        <v>0</v>
      </c>
      <c r="W4258" s="3">
        <v>0</v>
      </c>
      <c r="X4258">
        <v>0</v>
      </c>
      <c r="Y4258" t="s">
        <v>3260</v>
      </c>
    </row>
    <row r="4259" spans="1:25" s="1" customFormat="1" hidden="1" x14ac:dyDescent="0.25">
      <c r="A4259" s="1" t="s">
        <v>41</v>
      </c>
      <c r="B4259" s="1" t="s">
        <v>112</v>
      </c>
      <c r="C4259" s="1" t="s">
        <v>42</v>
      </c>
      <c r="D4259" s="1" t="s">
        <v>27</v>
      </c>
      <c r="E4259" s="10">
        <v>46084</v>
      </c>
      <c r="F4259" s="10">
        <v>46084</v>
      </c>
      <c r="G4259" s="41">
        <v>52</v>
      </c>
      <c r="H4259" s="15" t="s">
        <v>28</v>
      </c>
      <c r="I4259" s="1">
        <v>157</v>
      </c>
      <c r="J4259" s="1">
        <v>0</v>
      </c>
      <c r="K4259" s="1">
        <v>0</v>
      </c>
      <c r="L4259" s="41">
        <v>1</v>
      </c>
      <c r="M4259" s="41">
        <v>1</v>
      </c>
      <c r="N4259" s="1">
        <v>0</v>
      </c>
      <c r="O4259" s="1">
        <v>0</v>
      </c>
      <c r="P4259" s="1">
        <v>0</v>
      </c>
      <c r="Q4259" s="1">
        <v>140</v>
      </c>
      <c r="R4259" s="41">
        <v>0</v>
      </c>
      <c r="S4259" s="41">
        <v>0</v>
      </c>
      <c r="T4259" s="1">
        <v>0</v>
      </c>
      <c r="U4259" s="1">
        <v>0</v>
      </c>
      <c r="V4259" s="41">
        <v>0</v>
      </c>
      <c r="W4259" s="41">
        <v>0</v>
      </c>
      <c r="X4259" s="1">
        <v>7</v>
      </c>
      <c r="Y4259" s="1" t="s">
        <v>3261</v>
      </c>
    </row>
    <row r="4260" spans="1:25" hidden="1" x14ac:dyDescent="0.25">
      <c r="A4260" t="s">
        <v>43</v>
      </c>
      <c r="B4260" t="s">
        <v>114</v>
      </c>
      <c r="C4260" t="s">
        <v>2835</v>
      </c>
      <c r="D4260" t="s">
        <v>27</v>
      </c>
      <c r="E4260" s="2">
        <v>46084</v>
      </c>
      <c r="F4260" s="2">
        <v>46084</v>
      </c>
      <c r="G4260" s="3">
        <v>88</v>
      </c>
      <c r="H4260" s="4" t="s">
        <v>28</v>
      </c>
      <c r="I4260">
        <f>64+9</f>
        <v>73</v>
      </c>
      <c r="J4260">
        <v>0</v>
      </c>
      <c r="K4260">
        <v>0</v>
      </c>
      <c r="L4260" s="3">
        <v>1</v>
      </c>
      <c r="M4260" s="3">
        <v>0</v>
      </c>
      <c r="N4260">
        <v>0</v>
      </c>
      <c r="O4260">
        <v>0</v>
      </c>
      <c r="P4260">
        <v>0</v>
      </c>
      <c r="Q4260">
        <v>13</v>
      </c>
      <c r="R4260" s="3">
        <v>0</v>
      </c>
      <c r="S4260" s="3">
        <v>0</v>
      </c>
      <c r="T4260">
        <v>0</v>
      </c>
      <c r="U4260">
        <v>0</v>
      </c>
      <c r="V4260" s="3">
        <v>0</v>
      </c>
      <c r="W4260" s="3">
        <v>0</v>
      </c>
      <c r="X4260">
        <v>0</v>
      </c>
      <c r="Y4260" t="s">
        <v>3262</v>
      </c>
    </row>
    <row r="4261" spans="1:25" hidden="1" x14ac:dyDescent="0.25">
      <c r="A4261" t="s">
        <v>45</v>
      </c>
      <c r="B4261" t="s">
        <v>116</v>
      </c>
      <c r="C4261" t="s">
        <v>46</v>
      </c>
      <c r="D4261" t="s">
        <v>27</v>
      </c>
      <c r="E4261" s="2">
        <v>46084</v>
      </c>
      <c r="F4261" s="2">
        <v>46084</v>
      </c>
      <c r="G4261" s="3">
        <v>45</v>
      </c>
      <c r="H4261" s="4" t="s">
        <v>28</v>
      </c>
      <c r="I4261">
        <f>25+4</f>
        <v>29</v>
      </c>
      <c r="J4261">
        <v>0</v>
      </c>
      <c r="K4261">
        <v>0</v>
      </c>
      <c r="L4261" s="3">
        <v>0</v>
      </c>
      <c r="M4261" s="3">
        <v>0</v>
      </c>
      <c r="N4261">
        <v>0</v>
      </c>
      <c r="O4261">
        <v>0</v>
      </c>
      <c r="P4261">
        <v>0</v>
      </c>
      <c r="Q4261">
        <v>6</v>
      </c>
      <c r="R4261" s="3">
        <v>0</v>
      </c>
      <c r="S4261" s="3">
        <v>0</v>
      </c>
      <c r="T4261">
        <v>0</v>
      </c>
      <c r="U4261">
        <v>0</v>
      </c>
      <c r="V4261" s="3">
        <v>0</v>
      </c>
      <c r="W4261" s="3">
        <v>0</v>
      </c>
      <c r="X4261">
        <v>0</v>
      </c>
      <c r="Y4261" t="s">
        <v>3263</v>
      </c>
    </row>
    <row r="4262" spans="1:25" hidden="1" x14ac:dyDescent="0.25">
      <c r="A4262" t="s">
        <v>27</v>
      </c>
      <c r="B4262" t="s">
        <v>137</v>
      </c>
      <c r="C4262" t="s">
        <v>2310</v>
      </c>
      <c r="D4262" t="s">
        <v>27</v>
      </c>
      <c r="E4262" s="2">
        <v>46083</v>
      </c>
      <c r="F4262" s="2">
        <v>46083</v>
      </c>
      <c r="G4262" s="3">
        <v>188</v>
      </c>
      <c r="H4262" s="4" t="s">
        <v>28</v>
      </c>
      <c r="I4262">
        <v>50</v>
      </c>
      <c r="J4262">
        <v>0</v>
      </c>
      <c r="K4262">
        <v>0</v>
      </c>
      <c r="L4262" s="3">
        <v>1</v>
      </c>
      <c r="M4262" s="3">
        <v>0</v>
      </c>
      <c r="N4262">
        <v>0</v>
      </c>
      <c r="O4262">
        <v>0</v>
      </c>
      <c r="P4262">
        <v>0</v>
      </c>
      <c r="Q4262">
        <v>8</v>
      </c>
      <c r="R4262" s="3">
        <v>0</v>
      </c>
      <c r="S4262" s="3">
        <v>0</v>
      </c>
      <c r="T4262">
        <v>0</v>
      </c>
      <c r="U4262">
        <v>0</v>
      </c>
      <c r="V4262" s="3">
        <v>0</v>
      </c>
      <c r="W4262" s="3">
        <v>0</v>
      </c>
      <c r="X4262">
        <v>0</v>
      </c>
      <c r="Y4262" t="s">
        <v>3264</v>
      </c>
    </row>
    <row r="4263" spans="1:25" hidden="1" x14ac:dyDescent="0.25">
      <c r="A4263" t="s">
        <v>47</v>
      </c>
      <c r="B4263" t="s">
        <v>137</v>
      </c>
      <c r="C4263" t="s">
        <v>2310</v>
      </c>
      <c r="D4263" t="s">
        <v>27</v>
      </c>
      <c r="E4263" s="2">
        <v>46084</v>
      </c>
      <c r="F4263" s="2">
        <v>46084</v>
      </c>
      <c r="G4263" s="3">
        <v>188</v>
      </c>
      <c r="H4263" s="4" t="s">
        <v>28</v>
      </c>
      <c r="I4263">
        <v>50</v>
      </c>
      <c r="J4263">
        <v>0</v>
      </c>
      <c r="K4263">
        <v>0</v>
      </c>
      <c r="L4263" s="3">
        <v>1</v>
      </c>
      <c r="M4263" s="3">
        <v>0</v>
      </c>
      <c r="N4263">
        <v>0</v>
      </c>
      <c r="O4263">
        <v>0</v>
      </c>
      <c r="P4263">
        <v>0</v>
      </c>
      <c r="Q4263">
        <v>8</v>
      </c>
      <c r="R4263" s="3">
        <v>0</v>
      </c>
      <c r="S4263" s="3">
        <v>0</v>
      </c>
      <c r="T4263">
        <v>0</v>
      </c>
      <c r="U4263">
        <v>0</v>
      </c>
      <c r="V4263" s="3">
        <v>0</v>
      </c>
      <c r="W4263" s="3">
        <v>0</v>
      </c>
      <c r="X4263">
        <v>0</v>
      </c>
      <c r="Y4263" t="s">
        <v>3264</v>
      </c>
    </row>
    <row r="4264" spans="1:25" hidden="1" x14ac:dyDescent="0.25">
      <c r="A4264" t="s">
        <v>49</v>
      </c>
      <c r="B4264" t="s">
        <v>118</v>
      </c>
      <c r="C4264" t="s">
        <v>50</v>
      </c>
      <c r="D4264" t="s">
        <v>27</v>
      </c>
      <c r="E4264" s="2">
        <v>46084</v>
      </c>
      <c r="F4264" s="2">
        <v>46084</v>
      </c>
      <c r="G4264" s="3">
        <v>27</v>
      </c>
      <c r="H4264" s="4" t="s">
        <v>28</v>
      </c>
      <c r="I4264">
        <f>58+2</f>
        <v>60</v>
      </c>
      <c r="J4264">
        <v>0</v>
      </c>
      <c r="K4264">
        <v>0</v>
      </c>
      <c r="L4264" s="3">
        <v>1</v>
      </c>
      <c r="M4264" s="3">
        <v>1</v>
      </c>
      <c r="N4264">
        <v>0</v>
      </c>
      <c r="O4264">
        <v>1</v>
      </c>
      <c r="P4264">
        <v>0</v>
      </c>
      <c r="Q4264">
        <v>67</v>
      </c>
      <c r="R4264" s="3">
        <v>0</v>
      </c>
      <c r="S4264" s="3">
        <v>0</v>
      </c>
      <c r="T4264">
        <v>0</v>
      </c>
      <c r="U4264">
        <v>0</v>
      </c>
      <c r="V4264" s="3">
        <v>0</v>
      </c>
      <c r="W4264" s="3">
        <v>0</v>
      </c>
      <c r="X4264">
        <v>0</v>
      </c>
      <c r="Y4264" t="s">
        <v>3265</v>
      </c>
    </row>
    <row r="4265" spans="1:25" hidden="1" x14ac:dyDescent="0.25">
      <c r="A4265" t="s">
        <v>51</v>
      </c>
      <c r="B4265" t="s">
        <v>120</v>
      </c>
      <c r="C4265" t="s">
        <v>2899</v>
      </c>
      <c r="D4265" t="s">
        <v>27</v>
      </c>
      <c r="E4265" s="2">
        <v>46084</v>
      </c>
      <c r="F4265" s="2">
        <v>46084</v>
      </c>
      <c r="G4265" s="3">
        <v>41</v>
      </c>
      <c r="H4265" s="4" t="s">
        <v>28</v>
      </c>
      <c r="I4265">
        <v>21</v>
      </c>
      <c r="J4265">
        <v>0</v>
      </c>
      <c r="K4265">
        <v>0</v>
      </c>
      <c r="L4265" s="3">
        <v>0</v>
      </c>
      <c r="M4265" s="3">
        <v>0</v>
      </c>
      <c r="N4265">
        <v>0</v>
      </c>
      <c r="O4265">
        <v>0</v>
      </c>
      <c r="P4265">
        <v>0</v>
      </c>
      <c r="Q4265">
        <v>0</v>
      </c>
      <c r="R4265" s="3">
        <v>0</v>
      </c>
      <c r="S4265" s="3">
        <v>0</v>
      </c>
      <c r="T4265">
        <v>0</v>
      </c>
      <c r="U4265">
        <v>0</v>
      </c>
      <c r="V4265" s="3">
        <v>0</v>
      </c>
      <c r="W4265" s="3">
        <v>0</v>
      </c>
      <c r="X4265">
        <v>0</v>
      </c>
      <c r="Y4265" t="s">
        <v>3266</v>
      </c>
    </row>
    <row r="4266" spans="1:25" hidden="1" x14ac:dyDescent="0.25">
      <c r="A4266" t="s">
        <v>54</v>
      </c>
      <c r="B4266" t="s">
        <v>122</v>
      </c>
      <c r="C4266" t="s">
        <v>52</v>
      </c>
      <c r="D4266" t="s">
        <v>27</v>
      </c>
      <c r="E4266" s="2">
        <v>46084</v>
      </c>
      <c r="F4266" s="2">
        <v>46084</v>
      </c>
      <c r="G4266" s="3">
        <v>43</v>
      </c>
      <c r="H4266" s="4" t="s">
        <v>28</v>
      </c>
      <c r="I4266">
        <v>54</v>
      </c>
      <c r="J4266">
        <v>0</v>
      </c>
      <c r="K4266">
        <v>0</v>
      </c>
      <c r="L4266" s="3">
        <v>0</v>
      </c>
      <c r="M4266" s="3">
        <v>0</v>
      </c>
      <c r="N4266">
        <v>0</v>
      </c>
      <c r="O4266">
        <v>0</v>
      </c>
      <c r="P4266">
        <v>0</v>
      </c>
      <c r="Q4266">
        <v>7</v>
      </c>
      <c r="R4266" s="3">
        <v>0</v>
      </c>
      <c r="S4266" s="3">
        <v>0</v>
      </c>
      <c r="T4266">
        <v>0</v>
      </c>
      <c r="U4266">
        <v>0</v>
      </c>
      <c r="V4266" s="3">
        <v>0</v>
      </c>
      <c r="W4266" s="3">
        <v>0</v>
      </c>
      <c r="X4266">
        <v>1</v>
      </c>
      <c r="Y4266" t="s">
        <v>3267</v>
      </c>
    </row>
    <row r="4267" spans="1:25" hidden="1" x14ac:dyDescent="0.25">
      <c r="A4267" t="s">
        <v>48</v>
      </c>
      <c r="B4267" t="s">
        <v>149</v>
      </c>
      <c r="C4267" t="s">
        <v>37</v>
      </c>
      <c r="D4267" t="s">
        <v>27</v>
      </c>
      <c r="E4267" s="2">
        <v>46084</v>
      </c>
      <c r="F4267" s="2">
        <v>46084</v>
      </c>
      <c r="G4267" s="3">
        <v>21</v>
      </c>
      <c r="H4267" s="4" t="s">
        <v>28</v>
      </c>
      <c r="I4267">
        <v>25</v>
      </c>
      <c r="J4267">
        <v>0</v>
      </c>
      <c r="K4267">
        <v>0</v>
      </c>
      <c r="L4267" s="3">
        <v>1</v>
      </c>
      <c r="M4267" s="3">
        <v>0</v>
      </c>
      <c r="N4267">
        <v>0</v>
      </c>
      <c r="O4267">
        <v>0</v>
      </c>
      <c r="P4267">
        <v>0</v>
      </c>
      <c r="Q4267">
        <v>8</v>
      </c>
      <c r="R4267" s="3">
        <v>0</v>
      </c>
      <c r="S4267" s="3">
        <v>0</v>
      </c>
      <c r="T4267">
        <v>0</v>
      </c>
      <c r="U4267">
        <v>0</v>
      </c>
      <c r="V4267" s="3">
        <v>0</v>
      </c>
      <c r="W4267" s="3">
        <v>0</v>
      </c>
      <c r="X4267">
        <v>0</v>
      </c>
      <c r="Y4267" t="s">
        <v>3268</v>
      </c>
    </row>
    <row r="4268" spans="1:25" hidden="1" x14ac:dyDescent="0.25">
      <c r="A4268" t="s">
        <v>3187</v>
      </c>
      <c r="B4268" t="s">
        <v>149</v>
      </c>
      <c r="C4268" t="s">
        <v>55</v>
      </c>
      <c r="D4268" t="s">
        <v>27</v>
      </c>
      <c r="E4268" s="2">
        <v>46084</v>
      </c>
      <c r="F4268" s="2">
        <v>46084</v>
      </c>
      <c r="G4268" s="3">
        <v>21</v>
      </c>
      <c r="H4268" s="4" t="s">
        <v>959</v>
      </c>
      <c r="I4268">
        <v>0</v>
      </c>
      <c r="J4268">
        <v>0</v>
      </c>
      <c r="K4268">
        <v>0</v>
      </c>
      <c r="L4268" s="3">
        <v>0</v>
      </c>
      <c r="M4268" s="3">
        <v>0</v>
      </c>
      <c r="N4268">
        <v>0</v>
      </c>
      <c r="O4268">
        <v>0</v>
      </c>
      <c r="P4268">
        <v>0</v>
      </c>
      <c r="Q4268">
        <v>0</v>
      </c>
      <c r="R4268" s="3">
        <v>0</v>
      </c>
      <c r="S4268" s="3">
        <v>0</v>
      </c>
      <c r="T4268">
        <v>0</v>
      </c>
      <c r="U4268">
        <v>0</v>
      </c>
      <c r="V4268" s="3">
        <v>0</v>
      </c>
      <c r="W4268" s="3">
        <v>0</v>
      </c>
      <c r="X4268">
        <v>0</v>
      </c>
      <c r="Y4268" t="s">
        <v>3268</v>
      </c>
    </row>
    <row r="4269" spans="1:25" hidden="1" x14ac:dyDescent="0.25">
      <c r="A4269" t="s">
        <v>3187</v>
      </c>
      <c r="B4269" t="s">
        <v>149</v>
      </c>
      <c r="C4269" t="s">
        <v>35</v>
      </c>
      <c r="D4269" t="s">
        <v>27</v>
      </c>
      <c r="E4269" s="2">
        <v>46084</v>
      </c>
      <c r="F4269" s="2">
        <v>46084</v>
      </c>
      <c r="G4269" s="3">
        <v>21</v>
      </c>
      <c r="H4269" s="4" t="s">
        <v>959</v>
      </c>
      <c r="I4269">
        <v>0</v>
      </c>
      <c r="J4269">
        <v>0</v>
      </c>
      <c r="K4269">
        <v>0</v>
      </c>
      <c r="L4269" s="3">
        <v>0</v>
      </c>
      <c r="M4269" s="3">
        <v>0</v>
      </c>
      <c r="N4269">
        <v>0</v>
      </c>
      <c r="O4269">
        <v>0</v>
      </c>
      <c r="P4269">
        <v>0</v>
      </c>
      <c r="Q4269">
        <v>0</v>
      </c>
      <c r="R4269" s="3">
        <v>0</v>
      </c>
      <c r="S4269" s="3">
        <v>0</v>
      </c>
      <c r="T4269">
        <v>0</v>
      </c>
      <c r="U4269">
        <v>0</v>
      </c>
      <c r="V4269" s="3">
        <v>0</v>
      </c>
      <c r="W4269" s="3">
        <v>0</v>
      </c>
      <c r="X4269">
        <v>0</v>
      </c>
      <c r="Y4269" t="s">
        <v>3268</v>
      </c>
    </row>
    <row r="4270" spans="1:25" hidden="1" x14ac:dyDescent="0.25">
      <c r="A4270" t="s">
        <v>3187</v>
      </c>
      <c r="B4270" t="s">
        <v>149</v>
      </c>
      <c r="C4270" t="s">
        <v>44</v>
      </c>
      <c r="D4270" t="s">
        <v>27</v>
      </c>
      <c r="E4270" s="2">
        <v>46084</v>
      </c>
      <c r="F4270" s="2">
        <v>46084</v>
      </c>
      <c r="G4270" s="3">
        <v>21</v>
      </c>
      <c r="H4270" s="4" t="s">
        <v>250</v>
      </c>
      <c r="I4270">
        <v>0</v>
      </c>
      <c r="J4270">
        <v>0</v>
      </c>
      <c r="K4270">
        <v>0</v>
      </c>
      <c r="L4270" s="3">
        <v>0</v>
      </c>
      <c r="M4270" s="3">
        <v>0</v>
      </c>
      <c r="N4270">
        <v>0</v>
      </c>
      <c r="O4270">
        <v>0</v>
      </c>
      <c r="P4270">
        <v>0</v>
      </c>
      <c r="Q4270">
        <v>0</v>
      </c>
      <c r="R4270" s="3">
        <v>0</v>
      </c>
      <c r="S4270" s="3">
        <v>0</v>
      </c>
      <c r="T4270">
        <v>0</v>
      </c>
      <c r="U4270">
        <v>0</v>
      </c>
      <c r="V4270" s="3">
        <v>0</v>
      </c>
      <c r="W4270" s="3">
        <v>0</v>
      </c>
      <c r="X4270">
        <v>0</v>
      </c>
      <c r="Y4270" t="s">
        <v>3268</v>
      </c>
    </row>
    <row r="4271" spans="1:25" hidden="1" x14ac:dyDescent="0.25">
      <c r="A4271" t="s">
        <v>454</v>
      </c>
      <c r="B4271" t="s">
        <v>149</v>
      </c>
      <c r="C4271" t="s">
        <v>27</v>
      </c>
      <c r="D4271" t="s">
        <v>27</v>
      </c>
      <c r="E4271" s="2">
        <v>46084</v>
      </c>
      <c r="F4271" s="2">
        <v>46084</v>
      </c>
      <c r="G4271" s="3">
        <v>21</v>
      </c>
      <c r="H4271" s="4" t="s">
        <v>959</v>
      </c>
      <c r="I4271">
        <v>0</v>
      </c>
      <c r="J4271">
        <v>0</v>
      </c>
      <c r="K4271">
        <v>0</v>
      </c>
      <c r="L4271" s="3">
        <v>0</v>
      </c>
      <c r="M4271" s="3">
        <v>0</v>
      </c>
      <c r="N4271">
        <v>0</v>
      </c>
      <c r="O4271">
        <v>0</v>
      </c>
      <c r="P4271">
        <v>0</v>
      </c>
      <c r="Q4271">
        <v>0</v>
      </c>
      <c r="R4271" s="3">
        <v>0</v>
      </c>
      <c r="S4271" s="3">
        <v>0</v>
      </c>
      <c r="T4271">
        <v>0</v>
      </c>
      <c r="U4271">
        <v>0</v>
      </c>
      <c r="V4271" s="3">
        <v>0</v>
      </c>
      <c r="W4271" s="3">
        <v>0</v>
      </c>
      <c r="X4271">
        <v>0</v>
      </c>
      <c r="Y4271" t="s">
        <v>3268</v>
      </c>
    </row>
    <row r="4272" spans="1:25" hidden="1" x14ac:dyDescent="0.25">
      <c r="A4272" t="s">
        <v>25</v>
      </c>
      <c r="B4272" t="s">
        <v>96</v>
      </c>
      <c r="C4272" t="s">
        <v>26</v>
      </c>
      <c r="D4272" t="s">
        <v>27</v>
      </c>
      <c r="E4272" s="2">
        <v>46085</v>
      </c>
      <c r="F4272" s="2">
        <v>46085</v>
      </c>
      <c r="G4272" s="3">
        <v>71</v>
      </c>
      <c r="H4272" s="4" t="s">
        <v>28</v>
      </c>
      <c r="I4272">
        <f>48+11</f>
        <v>59</v>
      </c>
      <c r="J4272">
        <v>0</v>
      </c>
      <c r="K4272">
        <v>0</v>
      </c>
      <c r="L4272" s="3">
        <v>1</v>
      </c>
      <c r="M4272" s="3">
        <v>0</v>
      </c>
      <c r="N4272">
        <v>1</v>
      </c>
      <c r="O4272">
        <v>0</v>
      </c>
      <c r="P4272">
        <v>0</v>
      </c>
      <c r="Q4272">
        <v>0</v>
      </c>
      <c r="R4272" s="3">
        <v>0</v>
      </c>
      <c r="S4272" s="3">
        <v>0</v>
      </c>
      <c r="T4272">
        <v>0</v>
      </c>
      <c r="U4272">
        <v>0</v>
      </c>
      <c r="V4272" s="3">
        <v>0</v>
      </c>
      <c r="W4272" s="3">
        <v>0</v>
      </c>
      <c r="X4272">
        <v>0</v>
      </c>
      <c r="Y4272" t="s">
        <v>3269</v>
      </c>
    </row>
    <row r="4273" spans="1:25" hidden="1" x14ac:dyDescent="0.25">
      <c r="A4273" t="s">
        <v>31</v>
      </c>
      <c r="B4273" t="s">
        <v>104</v>
      </c>
      <c r="C4273" t="s">
        <v>32</v>
      </c>
      <c r="D4273" t="s">
        <v>27</v>
      </c>
      <c r="E4273" s="2">
        <v>46085</v>
      </c>
      <c r="F4273" s="2">
        <v>46085</v>
      </c>
      <c r="G4273" s="3">
        <v>73</v>
      </c>
      <c r="H4273" s="4" t="s">
        <v>28</v>
      </c>
      <c r="I4273">
        <f>84+1+2</f>
        <v>87</v>
      </c>
      <c r="J4273">
        <v>0</v>
      </c>
      <c r="K4273">
        <v>0</v>
      </c>
      <c r="L4273" s="3">
        <v>0</v>
      </c>
      <c r="M4273" s="3">
        <v>0</v>
      </c>
      <c r="N4273">
        <v>0</v>
      </c>
      <c r="O4273">
        <v>0</v>
      </c>
      <c r="P4273">
        <v>0</v>
      </c>
      <c r="Q4273">
        <v>35</v>
      </c>
      <c r="R4273" s="3">
        <v>0</v>
      </c>
      <c r="S4273" s="3">
        <v>0</v>
      </c>
      <c r="T4273">
        <v>0</v>
      </c>
      <c r="U4273">
        <v>0</v>
      </c>
      <c r="V4273" s="3">
        <v>0</v>
      </c>
      <c r="W4273" s="3">
        <v>0</v>
      </c>
      <c r="X4273">
        <v>4</v>
      </c>
      <c r="Y4273" t="s">
        <v>3270</v>
      </c>
    </row>
    <row r="4274" spans="1:25" hidden="1" x14ac:dyDescent="0.25">
      <c r="A4274" t="s">
        <v>33</v>
      </c>
      <c r="B4274" t="s">
        <v>106</v>
      </c>
      <c r="C4274" t="s">
        <v>2835</v>
      </c>
      <c r="D4274" t="s">
        <v>27</v>
      </c>
      <c r="E4274" s="2">
        <v>46085</v>
      </c>
      <c r="F4274" s="2">
        <v>46085</v>
      </c>
      <c r="G4274" s="3">
        <v>30</v>
      </c>
      <c r="H4274" s="4" t="s">
        <v>28</v>
      </c>
      <c r="I4274">
        <f>44+1</f>
        <v>45</v>
      </c>
      <c r="J4274">
        <v>0</v>
      </c>
      <c r="K4274">
        <v>0</v>
      </c>
      <c r="L4274" s="3">
        <v>0</v>
      </c>
      <c r="M4274" s="3">
        <v>0</v>
      </c>
      <c r="N4274">
        <v>0</v>
      </c>
      <c r="O4274">
        <v>0</v>
      </c>
      <c r="P4274">
        <v>0</v>
      </c>
      <c r="Q4274">
        <v>21</v>
      </c>
      <c r="R4274" s="3">
        <v>0</v>
      </c>
      <c r="S4274" s="3">
        <v>0</v>
      </c>
      <c r="T4274">
        <v>0</v>
      </c>
      <c r="U4274">
        <v>0</v>
      </c>
      <c r="V4274" s="3">
        <v>0</v>
      </c>
      <c r="W4274" s="3">
        <v>0</v>
      </c>
      <c r="X4274">
        <v>0</v>
      </c>
      <c r="Y4274" t="s">
        <v>3271</v>
      </c>
    </row>
    <row r="4275" spans="1:25" hidden="1" x14ac:dyDescent="0.25">
      <c r="A4275" t="s">
        <v>29</v>
      </c>
      <c r="B4275" t="s">
        <v>2998</v>
      </c>
      <c r="C4275" t="s">
        <v>95</v>
      </c>
      <c r="D4275" t="s">
        <v>27</v>
      </c>
      <c r="E4275" s="2">
        <v>46085</v>
      </c>
      <c r="F4275" s="2">
        <v>46085</v>
      </c>
      <c r="G4275" s="3">
        <v>68</v>
      </c>
      <c r="H4275" s="4" t="s">
        <v>28</v>
      </c>
      <c r="I4275">
        <f>26+4</f>
        <v>30</v>
      </c>
      <c r="J4275">
        <v>0</v>
      </c>
      <c r="K4275">
        <v>0</v>
      </c>
      <c r="L4275" s="3">
        <v>0</v>
      </c>
      <c r="M4275" s="3">
        <v>0</v>
      </c>
      <c r="N4275">
        <v>1</v>
      </c>
      <c r="O4275">
        <v>0</v>
      </c>
      <c r="P4275">
        <v>0</v>
      </c>
      <c r="Q4275">
        <v>0</v>
      </c>
      <c r="R4275" s="3">
        <v>0</v>
      </c>
      <c r="S4275" s="3">
        <v>0</v>
      </c>
      <c r="T4275">
        <v>0</v>
      </c>
      <c r="U4275">
        <v>0</v>
      </c>
      <c r="V4275" s="3">
        <v>0</v>
      </c>
      <c r="W4275" s="3">
        <v>0</v>
      </c>
      <c r="X4275">
        <v>0</v>
      </c>
      <c r="Y4275" t="s">
        <v>3272</v>
      </c>
    </row>
    <row r="4276" spans="1:25" hidden="1" x14ac:dyDescent="0.25">
      <c r="A4276" t="s">
        <v>2899</v>
      </c>
      <c r="B4276" t="s">
        <v>2998</v>
      </c>
      <c r="C4276" t="s">
        <v>27</v>
      </c>
      <c r="D4276" t="s">
        <v>27</v>
      </c>
      <c r="E4276" s="2">
        <v>46085</v>
      </c>
      <c r="F4276" s="2">
        <v>46085</v>
      </c>
      <c r="G4276" s="3">
        <v>68</v>
      </c>
      <c r="H4276" s="4" t="s">
        <v>28</v>
      </c>
      <c r="I4276">
        <v>22</v>
      </c>
      <c r="J4276">
        <v>0</v>
      </c>
      <c r="K4276">
        <v>0</v>
      </c>
      <c r="L4276" s="3">
        <v>0</v>
      </c>
      <c r="M4276" s="3">
        <v>0</v>
      </c>
      <c r="N4276">
        <v>1</v>
      </c>
      <c r="O4276">
        <v>0</v>
      </c>
      <c r="P4276">
        <v>0</v>
      </c>
      <c r="Q4276">
        <v>0</v>
      </c>
      <c r="R4276" s="3">
        <v>0</v>
      </c>
      <c r="S4276" s="3">
        <v>0</v>
      </c>
      <c r="T4276">
        <v>0</v>
      </c>
      <c r="U4276">
        <v>0</v>
      </c>
      <c r="V4276" s="3">
        <v>0</v>
      </c>
      <c r="W4276" s="3">
        <v>0</v>
      </c>
      <c r="X4276">
        <v>0</v>
      </c>
      <c r="Y4276" t="s">
        <v>3272</v>
      </c>
    </row>
    <row r="4277" spans="1:25" hidden="1" x14ac:dyDescent="0.25">
      <c r="A4277" t="s">
        <v>36</v>
      </c>
      <c r="B4277" t="s">
        <v>249</v>
      </c>
      <c r="C4277" t="s">
        <v>2534</v>
      </c>
      <c r="D4277" t="s">
        <v>27</v>
      </c>
      <c r="E4277" s="2">
        <v>46085</v>
      </c>
      <c r="F4277" s="2">
        <v>46085</v>
      </c>
      <c r="G4277" s="3">
        <v>80</v>
      </c>
      <c r="H4277" s="4" t="s">
        <v>28</v>
      </c>
      <c r="I4277">
        <v>72</v>
      </c>
      <c r="J4277">
        <v>0</v>
      </c>
      <c r="K4277">
        <v>0</v>
      </c>
      <c r="L4277" s="3">
        <v>1</v>
      </c>
      <c r="M4277" s="3">
        <v>0</v>
      </c>
      <c r="N4277">
        <v>1</v>
      </c>
      <c r="O4277">
        <v>0</v>
      </c>
      <c r="P4277">
        <v>0</v>
      </c>
      <c r="Q4277">
        <v>0</v>
      </c>
      <c r="R4277" s="3">
        <v>0</v>
      </c>
      <c r="S4277" s="3">
        <v>0</v>
      </c>
      <c r="T4277">
        <v>0</v>
      </c>
      <c r="U4277">
        <v>0</v>
      </c>
      <c r="V4277" s="3">
        <v>0</v>
      </c>
      <c r="W4277" s="3">
        <v>0</v>
      </c>
      <c r="X4277">
        <v>0</v>
      </c>
      <c r="Y4277" t="s">
        <v>3273</v>
      </c>
    </row>
    <row r="4278" spans="1:25" hidden="1" x14ac:dyDescent="0.25">
      <c r="A4278" t="s">
        <v>38</v>
      </c>
      <c r="B4278" t="s">
        <v>108</v>
      </c>
      <c r="C4278" t="s">
        <v>27</v>
      </c>
      <c r="D4278" t="s">
        <v>27</v>
      </c>
      <c r="E4278" s="2">
        <v>46085</v>
      </c>
      <c r="F4278" s="2">
        <v>46085</v>
      </c>
      <c r="G4278" s="3">
        <v>35</v>
      </c>
      <c r="H4278" s="4" t="s">
        <v>3161</v>
      </c>
      <c r="I4278">
        <v>52</v>
      </c>
      <c r="J4278">
        <v>0</v>
      </c>
      <c r="K4278">
        <v>0</v>
      </c>
      <c r="L4278" s="3">
        <v>1</v>
      </c>
      <c r="M4278" s="3">
        <v>0</v>
      </c>
      <c r="N4278">
        <v>0</v>
      </c>
      <c r="O4278">
        <v>0</v>
      </c>
      <c r="P4278">
        <v>0</v>
      </c>
      <c r="Q4278">
        <v>52</v>
      </c>
      <c r="R4278" s="3">
        <v>0</v>
      </c>
      <c r="S4278" s="3">
        <v>0</v>
      </c>
      <c r="T4278">
        <v>0</v>
      </c>
      <c r="U4278">
        <v>0</v>
      </c>
      <c r="V4278" s="3">
        <v>0</v>
      </c>
      <c r="W4278" s="3">
        <v>0</v>
      </c>
      <c r="X4278">
        <v>0</v>
      </c>
      <c r="Y4278" t="s">
        <v>3274</v>
      </c>
    </row>
    <row r="4279" spans="1:25" hidden="1" x14ac:dyDescent="0.25">
      <c r="A4279" t="s">
        <v>2679</v>
      </c>
      <c r="B4279" t="s">
        <v>2680</v>
      </c>
      <c r="C4279" t="s">
        <v>39</v>
      </c>
      <c r="D4279" t="s">
        <v>27</v>
      </c>
      <c r="E4279" s="2">
        <v>46085</v>
      </c>
      <c r="F4279" s="2">
        <v>46085</v>
      </c>
      <c r="G4279" s="3">
        <v>46</v>
      </c>
      <c r="H4279" s="4" t="s">
        <v>3161</v>
      </c>
      <c r="I4279">
        <v>45</v>
      </c>
      <c r="J4279">
        <v>0</v>
      </c>
      <c r="K4279">
        <v>0</v>
      </c>
      <c r="L4279" s="3">
        <v>0</v>
      </c>
      <c r="M4279" s="3">
        <v>0</v>
      </c>
      <c r="N4279">
        <v>0</v>
      </c>
      <c r="O4279">
        <v>0</v>
      </c>
      <c r="P4279">
        <v>0</v>
      </c>
      <c r="Q4279">
        <v>45</v>
      </c>
      <c r="R4279" s="3">
        <v>0</v>
      </c>
      <c r="S4279" s="3">
        <v>0</v>
      </c>
      <c r="T4279">
        <v>0</v>
      </c>
      <c r="U4279">
        <v>0</v>
      </c>
      <c r="V4279" s="3">
        <v>0</v>
      </c>
      <c r="W4279" s="3">
        <v>0</v>
      </c>
      <c r="X4279">
        <v>0</v>
      </c>
      <c r="Y4279" t="s">
        <v>3275</v>
      </c>
    </row>
    <row r="4280" spans="1:25" s="1" customFormat="1" hidden="1" x14ac:dyDescent="0.25">
      <c r="A4280" s="1" t="s">
        <v>41</v>
      </c>
      <c r="B4280" s="1" t="s">
        <v>112</v>
      </c>
      <c r="C4280" s="1" t="s">
        <v>42</v>
      </c>
      <c r="D4280" s="1" t="s">
        <v>27</v>
      </c>
      <c r="E4280" s="10">
        <v>46085</v>
      </c>
      <c r="F4280" s="10">
        <v>46085</v>
      </c>
      <c r="G4280" s="41">
        <v>75</v>
      </c>
      <c r="H4280" s="15" t="s">
        <v>28</v>
      </c>
      <c r="I4280" s="1">
        <v>163</v>
      </c>
      <c r="J4280" s="1">
        <v>0</v>
      </c>
      <c r="K4280" s="1">
        <v>0</v>
      </c>
      <c r="L4280" s="41">
        <v>1</v>
      </c>
      <c r="M4280" s="41">
        <v>1</v>
      </c>
      <c r="N4280" s="1">
        <v>0</v>
      </c>
      <c r="O4280" s="1">
        <v>0</v>
      </c>
      <c r="P4280" s="1">
        <v>0</v>
      </c>
      <c r="Q4280" s="1">
        <v>163</v>
      </c>
      <c r="R4280" s="41">
        <v>0</v>
      </c>
      <c r="S4280" s="41">
        <v>0</v>
      </c>
      <c r="T4280" s="1">
        <v>0</v>
      </c>
      <c r="U4280" s="1">
        <v>0</v>
      </c>
      <c r="V4280" s="41">
        <v>0</v>
      </c>
      <c r="W4280" s="41">
        <v>0</v>
      </c>
      <c r="X4280" s="1">
        <v>10</v>
      </c>
      <c r="Y4280" s="1" t="s">
        <v>3276</v>
      </c>
    </row>
    <row r="4281" spans="1:25" hidden="1" x14ac:dyDescent="0.25">
      <c r="A4281" t="s">
        <v>43</v>
      </c>
      <c r="B4281" t="s">
        <v>114</v>
      </c>
      <c r="C4281" t="s">
        <v>44</v>
      </c>
      <c r="D4281" t="s">
        <v>27</v>
      </c>
      <c r="E4281" s="2">
        <v>46085</v>
      </c>
      <c r="F4281" s="2">
        <v>46085</v>
      </c>
      <c r="G4281" s="3">
        <v>40</v>
      </c>
      <c r="H4281" s="4" t="s">
        <v>28</v>
      </c>
      <c r="I4281">
        <f>67+9</f>
        <v>76</v>
      </c>
      <c r="J4281">
        <v>0</v>
      </c>
      <c r="K4281">
        <v>0</v>
      </c>
      <c r="L4281" s="3">
        <v>0</v>
      </c>
      <c r="M4281" s="3">
        <v>0</v>
      </c>
      <c r="N4281">
        <v>0</v>
      </c>
      <c r="O4281">
        <v>0</v>
      </c>
      <c r="P4281">
        <v>0</v>
      </c>
      <c r="Q4281">
        <v>13</v>
      </c>
      <c r="R4281" s="3">
        <v>0</v>
      </c>
      <c r="S4281" s="3">
        <v>0</v>
      </c>
      <c r="T4281">
        <v>0</v>
      </c>
      <c r="U4281">
        <v>0</v>
      </c>
      <c r="V4281" s="3">
        <v>0</v>
      </c>
      <c r="W4281" s="3">
        <v>0</v>
      </c>
      <c r="X4281">
        <v>0</v>
      </c>
      <c r="Y4281" t="s">
        <v>3277</v>
      </c>
    </row>
    <row r="4282" spans="1:25" hidden="1" x14ac:dyDescent="0.25">
      <c r="A4282" t="s">
        <v>2118</v>
      </c>
      <c r="B4282" t="s">
        <v>2119</v>
      </c>
      <c r="C4282" t="s">
        <v>27</v>
      </c>
      <c r="D4282" t="s">
        <v>27</v>
      </c>
      <c r="E4282" s="2">
        <v>46085</v>
      </c>
      <c r="F4282" s="2">
        <v>46085</v>
      </c>
      <c r="G4282" s="3">
        <v>36</v>
      </c>
      <c r="H4282" s="4" t="s">
        <v>3161</v>
      </c>
      <c r="I4282">
        <v>66</v>
      </c>
      <c r="J4282">
        <v>0</v>
      </c>
      <c r="K4282">
        <v>0</v>
      </c>
      <c r="L4282" s="3">
        <v>1</v>
      </c>
      <c r="M4282" s="3">
        <v>0</v>
      </c>
      <c r="N4282">
        <v>0</v>
      </c>
      <c r="O4282">
        <v>0</v>
      </c>
      <c r="P4282">
        <v>0</v>
      </c>
      <c r="Q4282">
        <v>66</v>
      </c>
      <c r="R4282" s="3">
        <v>0</v>
      </c>
      <c r="S4282" s="3">
        <v>0</v>
      </c>
      <c r="T4282">
        <v>0</v>
      </c>
      <c r="U4282">
        <v>0</v>
      </c>
      <c r="V4282" s="3">
        <v>0</v>
      </c>
      <c r="W4282" s="3">
        <v>0</v>
      </c>
      <c r="X4282">
        <v>0</v>
      </c>
      <c r="Y4282" t="s">
        <v>3278</v>
      </c>
    </row>
    <row r="4283" spans="1:25" hidden="1" x14ac:dyDescent="0.25">
      <c r="A4283" t="s">
        <v>45</v>
      </c>
      <c r="B4283" t="s">
        <v>116</v>
      </c>
      <c r="C4283" t="s">
        <v>46</v>
      </c>
      <c r="D4283" t="s">
        <v>27</v>
      </c>
      <c r="E4283" s="2">
        <v>46085</v>
      </c>
      <c r="F4283" s="2">
        <v>46085</v>
      </c>
      <c r="G4283" s="3">
        <v>56</v>
      </c>
      <c r="H4283" s="4" t="s">
        <v>28</v>
      </c>
      <c r="I4283">
        <f>54+30</f>
        <v>84</v>
      </c>
      <c r="J4283">
        <v>0</v>
      </c>
      <c r="K4283">
        <v>0</v>
      </c>
      <c r="L4283" s="3">
        <v>1</v>
      </c>
      <c r="M4283" s="3">
        <v>0</v>
      </c>
      <c r="N4283">
        <v>0</v>
      </c>
      <c r="O4283">
        <v>0</v>
      </c>
      <c r="P4283">
        <v>0</v>
      </c>
      <c r="Q4283">
        <v>12</v>
      </c>
      <c r="R4283" s="3">
        <v>0</v>
      </c>
      <c r="S4283" s="3">
        <v>0</v>
      </c>
      <c r="T4283">
        <v>0</v>
      </c>
      <c r="U4283">
        <v>0</v>
      </c>
      <c r="V4283" s="3">
        <v>0</v>
      </c>
      <c r="W4283" s="3">
        <v>0</v>
      </c>
      <c r="X4283">
        <v>0</v>
      </c>
      <c r="Y4283" t="s">
        <v>3279</v>
      </c>
    </row>
    <row r="4284" spans="1:25" hidden="1" x14ac:dyDescent="0.25">
      <c r="A4284" t="s">
        <v>47</v>
      </c>
      <c r="B4284" t="s">
        <v>137</v>
      </c>
      <c r="C4284" t="s">
        <v>2310</v>
      </c>
      <c r="D4284" t="s">
        <v>27</v>
      </c>
      <c r="E4284" s="2">
        <v>46085</v>
      </c>
      <c r="F4284" s="2">
        <v>46085</v>
      </c>
      <c r="G4284" s="3">
        <v>93</v>
      </c>
      <c r="H4284" s="4" t="s">
        <v>28</v>
      </c>
      <c r="I4284">
        <v>79</v>
      </c>
      <c r="J4284">
        <v>0</v>
      </c>
      <c r="K4284">
        <v>0</v>
      </c>
      <c r="L4284" s="3">
        <v>1</v>
      </c>
      <c r="M4284" s="3">
        <v>0</v>
      </c>
      <c r="N4284">
        <v>0</v>
      </c>
      <c r="O4284">
        <v>0</v>
      </c>
      <c r="P4284">
        <v>0</v>
      </c>
      <c r="Q4284">
        <v>12</v>
      </c>
      <c r="R4284" s="3">
        <v>0</v>
      </c>
      <c r="S4284" s="3">
        <v>0</v>
      </c>
      <c r="T4284">
        <v>0</v>
      </c>
      <c r="U4284">
        <v>0</v>
      </c>
      <c r="V4284" s="3">
        <v>0</v>
      </c>
      <c r="W4284" s="3">
        <v>0</v>
      </c>
      <c r="X4284">
        <v>0</v>
      </c>
      <c r="Y4284" t="s">
        <v>3280</v>
      </c>
    </row>
    <row r="4285" spans="1:25" hidden="1" x14ac:dyDescent="0.25">
      <c r="A4285" t="s">
        <v>49</v>
      </c>
      <c r="B4285" t="s">
        <v>118</v>
      </c>
      <c r="C4285" t="s">
        <v>50</v>
      </c>
      <c r="D4285" t="s">
        <v>27</v>
      </c>
      <c r="E4285" s="2">
        <v>46085</v>
      </c>
      <c r="F4285" s="2">
        <v>46085</v>
      </c>
      <c r="G4285" s="3">
        <v>30</v>
      </c>
      <c r="H4285" s="4" t="s">
        <v>28</v>
      </c>
      <c r="I4285">
        <f>44+17</f>
        <v>61</v>
      </c>
      <c r="J4285">
        <v>0</v>
      </c>
      <c r="K4285">
        <v>0</v>
      </c>
      <c r="L4285" s="3">
        <v>1</v>
      </c>
      <c r="M4285" s="3">
        <v>1</v>
      </c>
      <c r="N4285">
        <v>0</v>
      </c>
      <c r="O4285">
        <v>0</v>
      </c>
      <c r="P4285">
        <v>0</v>
      </c>
      <c r="Q4285">
        <v>42</v>
      </c>
      <c r="R4285" s="3">
        <v>0</v>
      </c>
      <c r="S4285" s="3">
        <v>0</v>
      </c>
      <c r="T4285">
        <v>0</v>
      </c>
      <c r="U4285">
        <v>0</v>
      </c>
      <c r="V4285" s="3">
        <v>0</v>
      </c>
      <c r="W4285" s="3">
        <v>0</v>
      </c>
      <c r="X4285">
        <v>0</v>
      </c>
      <c r="Y4285" t="s">
        <v>3281</v>
      </c>
    </row>
    <row r="4286" spans="1:25" hidden="1" x14ac:dyDescent="0.25">
      <c r="A4286" t="s">
        <v>51</v>
      </c>
      <c r="B4286" t="s">
        <v>120</v>
      </c>
      <c r="C4286" t="s">
        <v>55</v>
      </c>
      <c r="D4286" t="s">
        <v>27</v>
      </c>
      <c r="E4286" s="2">
        <v>46085</v>
      </c>
      <c r="F4286" s="2">
        <v>46085</v>
      </c>
      <c r="G4286" s="3">
        <v>57</v>
      </c>
      <c r="H4286" s="4" t="s">
        <v>28</v>
      </c>
      <c r="I4286">
        <f>33+7</f>
        <v>40</v>
      </c>
      <c r="J4286">
        <v>0</v>
      </c>
      <c r="K4286">
        <v>0</v>
      </c>
      <c r="L4286" s="3">
        <v>1</v>
      </c>
      <c r="M4286" s="3">
        <v>0</v>
      </c>
      <c r="N4286">
        <v>1</v>
      </c>
      <c r="O4286">
        <v>0</v>
      </c>
      <c r="P4286">
        <v>0</v>
      </c>
      <c r="Q4286">
        <v>0</v>
      </c>
      <c r="R4286" s="3">
        <v>0</v>
      </c>
      <c r="S4286" s="3">
        <v>0</v>
      </c>
      <c r="T4286">
        <v>0</v>
      </c>
      <c r="U4286">
        <v>0</v>
      </c>
      <c r="V4286" s="3">
        <v>0</v>
      </c>
      <c r="W4286" s="3">
        <v>0</v>
      </c>
      <c r="X4286">
        <v>0</v>
      </c>
      <c r="Y4286" t="s">
        <v>3282</v>
      </c>
    </row>
    <row r="4287" spans="1:25" hidden="1" x14ac:dyDescent="0.25">
      <c r="A4287" t="s">
        <v>54</v>
      </c>
      <c r="B4287" t="s">
        <v>122</v>
      </c>
      <c r="C4287" t="s">
        <v>52</v>
      </c>
      <c r="D4287" t="s">
        <v>27</v>
      </c>
      <c r="E4287" s="2">
        <v>46085</v>
      </c>
      <c r="F4287" s="2">
        <v>46085</v>
      </c>
      <c r="G4287" s="3">
        <v>36</v>
      </c>
      <c r="H4287" s="4" t="s">
        <v>28</v>
      </c>
      <c r="I4287">
        <f>35+1</f>
        <v>36</v>
      </c>
      <c r="J4287">
        <v>0</v>
      </c>
      <c r="K4287">
        <v>0</v>
      </c>
      <c r="L4287" s="3">
        <v>0</v>
      </c>
      <c r="M4287" s="3">
        <v>0</v>
      </c>
      <c r="N4287">
        <v>0</v>
      </c>
      <c r="O4287">
        <v>0</v>
      </c>
      <c r="P4287">
        <v>0</v>
      </c>
      <c r="Q4287">
        <v>7</v>
      </c>
      <c r="R4287" s="3">
        <v>0</v>
      </c>
      <c r="S4287" s="3">
        <v>0</v>
      </c>
      <c r="T4287">
        <v>0</v>
      </c>
      <c r="U4287">
        <v>0</v>
      </c>
      <c r="V4287" s="3">
        <v>0</v>
      </c>
      <c r="W4287" s="3">
        <v>0</v>
      </c>
      <c r="X4287">
        <v>0</v>
      </c>
      <c r="Y4287" t="s">
        <v>3283</v>
      </c>
    </row>
    <row r="4288" spans="1:25" hidden="1" x14ac:dyDescent="0.25">
      <c r="A4288" t="s">
        <v>48</v>
      </c>
      <c r="B4288" t="s">
        <v>149</v>
      </c>
      <c r="C4288" t="s">
        <v>37</v>
      </c>
      <c r="D4288" t="s">
        <v>27</v>
      </c>
      <c r="E4288" s="2">
        <v>46085</v>
      </c>
      <c r="F4288" s="2">
        <v>46085</v>
      </c>
      <c r="G4288" s="3">
        <v>20</v>
      </c>
      <c r="H4288" s="4" t="s">
        <v>28</v>
      </c>
      <c r="I4288">
        <v>70</v>
      </c>
      <c r="J4288">
        <v>0</v>
      </c>
      <c r="K4288">
        <v>0</v>
      </c>
      <c r="L4288" s="3">
        <v>0</v>
      </c>
      <c r="M4288" s="3">
        <v>0</v>
      </c>
      <c r="N4288">
        <v>0</v>
      </c>
      <c r="O4288">
        <v>0</v>
      </c>
      <c r="P4288">
        <v>0</v>
      </c>
      <c r="Q4288">
        <v>0</v>
      </c>
      <c r="R4288" s="3">
        <v>0</v>
      </c>
      <c r="S4288" s="3">
        <v>0</v>
      </c>
      <c r="T4288">
        <v>0</v>
      </c>
      <c r="U4288">
        <v>0</v>
      </c>
      <c r="V4288" s="3">
        <v>0</v>
      </c>
      <c r="W4288" s="3">
        <v>0</v>
      </c>
      <c r="X4288">
        <v>0</v>
      </c>
      <c r="Y4288" t="s">
        <v>3284</v>
      </c>
    </row>
    <row r="4289" spans="1:25" hidden="1" x14ac:dyDescent="0.25">
      <c r="A4289" t="s">
        <v>34</v>
      </c>
      <c r="B4289" t="s">
        <v>149</v>
      </c>
      <c r="C4289" t="s">
        <v>2514</v>
      </c>
      <c r="D4289" t="s">
        <v>27</v>
      </c>
      <c r="E4289" s="2">
        <v>46085</v>
      </c>
      <c r="F4289" s="2">
        <v>46085</v>
      </c>
      <c r="G4289" s="3">
        <v>20</v>
      </c>
      <c r="H4289" s="4" t="s">
        <v>28</v>
      </c>
      <c r="I4289">
        <f>29+23</f>
        <v>52</v>
      </c>
      <c r="J4289">
        <v>0</v>
      </c>
      <c r="K4289">
        <v>0</v>
      </c>
      <c r="L4289" s="3">
        <v>1</v>
      </c>
      <c r="M4289" s="3">
        <v>0</v>
      </c>
      <c r="N4289">
        <v>0</v>
      </c>
      <c r="O4289">
        <v>0</v>
      </c>
      <c r="P4289">
        <v>0</v>
      </c>
      <c r="Q4289">
        <v>52</v>
      </c>
      <c r="R4289" s="3">
        <v>0</v>
      </c>
      <c r="S4289" s="3">
        <v>0</v>
      </c>
      <c r="T4289">
        <v>0</v>
      </c>
      <c r="U4289">
        <v>0</v>
      </c>
      <c r="V4289" s="3">
        <v>0</v>
      </c>
      <c r="W4289" s="3">
        <v>0</v>
      </c>
      <c r="X4289">
        <v>0</v>
      </c>
      <c r="Y4289" t="s">
        <v>3284</v>
      </c>
    </row>
    <row r="4290" spans="1:25" hidden="1" x14ac:dyDescent="0.25">
      <c r="A4290" t="s">
        <v>1316</v>
      </c>
      <c r="B4290" t="s">
        <v>149</v>
      </c>
      <c r="C4290" t="s">
        <v>27</v>
      </c>
      <c r="D4290" t="s">
        <v>27</v>
      </c>
      <c r="E4290" s="2">
        <v>46085</v>
      </c>
      <c r="F4290" s="2">
        <v>46085</v>
      </c>
      <c r="G4290" s="3">
        <v>20</v>
      </c>
      <c r="H4290" s="4" t="s">
        <v>250</v>
      </c>
      <c r="I4290">
        <v>0</v>
      </c>
      <c r="J4290">
        <v>0</v>
      </c>
      <c r="K4290">
        <v>0</v>
      </c>
      <c r="L4290" s="3">
        <v>0</v>
      </c>
      <c r="M4290" s="3">
        <v>0</v>
      </c>
      <c r="N4290">
        <v>0</v>
      </c>
      <c r="O4290">
        <v>0</v>
      </c>
      <c r="P4290">
        <v>0</v>
      </c>
      <c r="Q4290">
        <v>0</v>
      </c>
      <c r="R4290" s="3">
        <v>0</v>
      </c>
      <c r="S4290" s="3">
        <v>0</v>
      </c>
      <c r="T4290">
        <v>0</v>
      </c>
      <c r="U4290">
        <v>0</v>
      </c>
      <c r="V4290" s="3">
        <v>0</v>
      </c>
      <c r="W4290" s="3">
        <v>0</v>
      </c>
      <c r="X4290">
        <v>0</v>
      </c>
      <c r="Y4290" t="s">
        <v>3284</v>
      </c>
    </row>
    <row r="4291" spans="1:25" hidden="1" x14ac:dyDescent="0.25">
      <c r="A4291" t="s">
        <v>25</v>
      </c>
      <c r="B4291" t="s">
        <v>96</v>
      </c>
      <c r="C4291" t="s">
        <v>26</v>
      </c>
      <c r="D4291" t="s">
        <v>27</v>
      </c>
      <c r="E4291" s="2">
        <v>46086</v>
      </c>
      <c r="F4291" s="2">
        <v>46086</v>
      </c>
      <c r="G4291" s="3">
        <v>40</v>
      </c>
      <c r="H4291" s="4" t="s">
        <v>28</v>
      </c>
      <c r="I4291">
        <f>39+11</f>
        <v>50</v>
      </c>
      <c r="J4291">
        <v>0</v>
      </c>
      <c r="K4291">
        <v>0</v>
      </c>
      <c r="L4291" s="3">
        <v>1</v>
      </c>
      <c r="M4291" s="3">
        <v>1</v>
      </c>
      <c r="N4291">
        <v>1</v>
      </c>
      <c r="O4291">
        <v>0</v>
      </c>
      <c r="P4291">
        <v>0</v>
      </c>
      <c r="Q4291">
        <v>0</v>
      </c>
      <c r="R4291" s="3">
        <v>0</v>
      </c>
      <c r="S4291" s="3">
        <v>0</v>
      </c>
      <c r="T4291">
        <v>0</v>
      </c>
      <c r="U4291">
        <v>0</v>
      </c>
      <c r="V4291" s="3">
        <v>0</v>
      </c>
      <c r="W4291" s="3">
        <v>0</v>
      </c>
      <c r="X4291">
        <v>0</v>
      </c>
      <c r="Y4291" t="s">
        <v>3285</v>
      </c>
    </row>
    <row r="4292" spans="1:25" hidden="1" x14ac:dyDescent="0.25">
      <c r="A4292" t="s">
        <v>31</v>
      </c>
      <c r="B4292" t="s">
        <v>104</v>
      </c>
      <c r="C4292" t="s">
        <v>32</v>
      </c>
      <c r="D4292" t="s">
        <v>27</v>
      </c>
      <c r="E4292" s="2">
        <v>46086</v>
      </c>
      <c r="F4292" s="2">
        <v>46086</v>
      </c>
      <c r="G4292" s="3">
        <v>35</v>
      </c>
      <c r="H4292" s="4" t="s">
        <v>28</v>
      </c>
      <c r="I4292">
        <f>59+4+9+1</f>
        <v>73</v>
      </c>
      <c r="J4292">
        <v>0</v>
      </c>
      <c r="K4292">
        <v>0</v>
      </c>
      <c r="L4292" s="3">
        <v>0</v>
      </c>
      <c r="M4292" s="3">
        <v>0</v>
      </c>
      <c r="N4292">
        <v>0</v>
      </c>
      <c r="O4292">
        <v>0</v>
      </c>
      <c r="P4292">
        <v>0</v>
      </c>
      <c r="Q4292">
        <v>39</v>
      </c>
      <c r="R4292" s="3">
        <v>0</v>
      </c>
      <c r="S4292" s="3">
        <v>0</v>
      </c>
      <c r="T4292">
        <v>0</v>
      </c>
      <c r="U4292">
        <v>0</v>
      </c>
      <c r="V4292" s="3">
        <v>0</v>
      </c>
      <c r="W4292" s="3">
        <v>0</v>
      </c>
      <c r="X4292">
        <v>5</v>
      </c>
      <c r="Y4292" t="s">
        <v>3286</v>
      </c>
    </row>
    <row r="4293" spans="1:25" hidden="1" x14ac:dyDescent="0.25">
      <c r="A4293" t="s">
        <v>33</v>
      </c>
      <c r="B4293" t="s">
        <v>106</v>
      </c>
      <c r="C4293" t="s">
        <v>2835</v>
      </c>
      <c r="D4293" t="s">
        <v>27</v>
      </c>
      <c r="E4293" s="2">
        <v>46086</v>
      </c>
      <c r="F4293" s="2">
        <v>46086</v>
      </c>
      <c r="G4293" s="3">
        <v>23</v>
      </c>
      <c r="H4293" s="4" t="s">
        <v>28</v>
      </c>
      <c r="I4293">
        <f>40+3</f>
        <v>43</v>
      </c>
      <c r="J4293">
        <v>0</v>
      </c>
      <c r="K4293">
        <v>0</v>
      </c>
      <c r="L4293" s="3">
        <v>0</v>
      </c>
      <c r="M4293" s="3">
        <v>0</v>
      </c>
      <c r="N4293">
        <v>0</v>
      </c>
      <c r="O4293">
        <v>0</v>
      </c>
      <c r="P4293">
        <v>0</v>
      </c>
      <c r="Q4293">
        <v>0</v>
      </c>
      <c r="R4293" s="3">
        <v>0</v>
      </c>
      <c r="S4293" s="3">
        <v>0</v>
      </c>
      <c r="T4293">
        <v>0</v>
      </c>
      <c r="U4293">
        <v>0</v>
      </c>
      <c r="V4293" s="3">
        <v>0</v>
      </c>
      <c r="W4293" s="3">
        <v>0</v>
      </c>
      <c r="X4293">
        <v>0</v>
      </c>
      <c r="Y4293" t="s">
        <v>3287</v>
      </c>
    </row>
    <row r="4294" spans="1:25" hidden="1" x14ac:dyDescent="0.25">
      <c r="A4294" t="s">
        <v>29</v>
      </c>
      <c r="B4294" t="s">
        <v>2998</v>
      </c>
      <c r="C4294" t="s">
        <v>95</v>
      </c>
      <c r="D4294" t="s">
        <v>35</v>
      </c>
      <c r="E4294" s="2">
        <v>46086</v>
      </c>
      <c r="F4294" s="2">
        <v>46086</v>
      </c>
      <c r="G4294" s="3">
        <v>68</v>
      </c>
      <c r="H4294" s="4" t="s">
        <v>28</v>
      </c>
      <c r="I4294">
        <f>47+5</f>
        <v>52</v>
      </c>
      <c r="J4294">
        <v>0</v>
      </c>
      <c r="K4294">
        <v>0</v>
      </c>
      <c r="L4294" s="3">
        <v>1</v>
      </c>
      <c r="M4294" s="3">
        <v>0</v>
      </c>
      <c r="N4294">
        <v>0</v>
      </c>
      <c r="O4294">
        <v>0</v>
      </c>
      <c r="P4294">
        <v>5</v>
      </c>
      <c r="Q4294">
        <v>6</v>
      </c>
      <c r="R4294" s="3">
        <v>0</v>
      </c>
      <c r="S4294" s="3">
        <v>0</v>
      </c>
      <c r="T4294">
        <v>0</v>
      </c>
      <c r="U4294">
        <v>0</v>
      </c>
      <c r="V4294" s="3">
        <v>0</v>
      </c>
      <c r="W4294" s="3">
        <v>0</v>
      </c>
      <c r="X4294">
        <v>0</v>
      </c>
      <c r="Y4294" t="s">
        <v>3288</v>
      </c>
    </row>
    <row r="4295" spans="1:25" hidden="1" x14ac:dyDescent="0.25">
      <c r="A4295" t="s">
        <v>3187</v>
      </c>
      <c r="B4295" t="s">
        <v>122</v>
      </c>
      <c r="C4295" t="s">
        <v>2271</v>
      </c>
      <c r="D4295" t="s">
        <v>27</v>
      </c>
      <c r="E4295" s="2">
        <v>46084</v>
      </c>
      <c r="F4295" s="2">
        <v>46084</v>
      </c>
      <c r="G4295" s="3">
        <v>45</v>
      </c>
      <c r="H4295" s="4" t="s">
        <v>959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3186</v>
      </c>
    </row>
    <row r="4296" spans="1:25" hidden="1" x14ac:dyDescent="0.25">
      <c r="A4296" t="s">
        <v>2899</v>
      </c>
      <c r="B4296" t="s">
        <v>2998</v>
      </c>
      <c r="C4296" t="s">
        <v>2271</v>
      </c>
      <c r="D4296" t="s">
        <v>27</v>
      </c>
      <c r="E4296" s="2">
        <v>46086</v>
      </c>
      <c r="F4296" s="2">
        <v>46086</v>
      </c>
      <c r="G4296" s="3">
        <v>81</v>
      </c>
      <c r="H4296" s="4" t="s">
        <v>28</v>
      </c>
      <c r="I4296">
        <f>39+2</f>
        <v>41</v>
      </c>
      <c r="J4296">
        <v>0</v>
      </c>
      <c r="K4296">
        <v>0</v>
      </c>
      <c r="L4296" s="3">
        <v>0</v>
      </c>
      <c r="M4296" s="3">
        <v>0</v>
      </c>
      <c r="N4296">
        <v>1</v>
      </c>
      <c r="O4296">
        <v>0</v>
      </c>
      <c r="P4296">
        <v>0</v>
      </c>
      <c r="Q4296">
        <v>0</v>
      </c>
      <c r="R4296" s="3">
        <v>0</v>
      </c>
      <c r="S4296" s="3">
        <v>0</v>
      </c>
      <c r="T4296">
        <v>0</v>
      </c>
      <c r="U4296">
        <v>0</v>
      </c>
      <c r="V4296" s="3">
        <v>0</v>
      </c>
      <c r="W4296" s="3">
        <v>0</v>
      </c>
      <c r="X4296">
        <v>0</v>
      </c>
      <c r="Y4296" t="s">
        <v>3289</v>
      </c>
    </row>
    <row r="4297" spans="1:25" hidden="1" x14ac:dyDescent="0.25">
      <c r="A4297" t="s">
        <v>43</v>
      </c>
      <c r="B4297" t="s">
        <v>2998</v>
      </c>
      <c r="C4297" t="s">
        <v>44</v>
      </c>
      <c r="D4297" t="s">
        <v>27</v>
      </c>
      <c r="E4297" s="2">
        <v>46086</v>
      </c>
      <c r="F4297" s="2">
        <v>46086</v>
      </c>
      <c r="G4297" s="3">
        <v>81</v>
      </c>
      <c r="H4297" s="4" t="s">
        <v>28</v>
      </c>
      <c r="I4297">
        <f>72+9</f>
        <v>81</v>
      </c>
      <c r="J4297">
        <v>0</v>
      </c>
      <c r="K4297">
        <v>0</v>
      </c>
      <c r="L4297" s="3">
        <v>0</v>
      </c>
      <c r="M4297" s="3">
        <v>0</v>
      </c>
      <c r="N4297">
        <v>0</v>
      </c>
      <c r="O4297">
        <v>0</v>
      </c>
      <c r="P4297">
        <v>0</v>
      </c>
      <c r="Q4297">
        <v>0</v>
      </c>
      <c r="R4297" s="3">
        <v>0</v>
      </c>
      <c r="S4297" s="3">
        <v>0</v>
      </c>
      <c r="T4297">
        <v>0</v>
      </c>
      <c r="U4297">
        <v>0</v>
      </c>
      <c r="V4297" s="3">
        <v>0</v>
      </c>
      <c r="W4297" s="3">
        <v>0</v>
      </c>
      <c r="X4297">
        <v>1</v>
      </c>
      <c r="Y4297" t="s">
        <v>3289</v>
      </c>
    </row>
    <row r="4298" spans="1:25" hidden="1" x14ac:dyDescent="0.25">
      <c r="A4298" t="s">
        <v>36</v>
      </c>
      <c r="B4298" t="s">
        <v>249</v>
      </c>
      <c r="C4298" t="s">
        <v>2534</v>
      </c>
      <c r="D4298" t="s">
        <v>27</v>
      </c>
      <c r="E4298" s="2">
        <v>46086</v>
      </c>
      <c r="F4298" s="2">
        <v>46086</v>
      </c>
      <c r="G4298" s="3">
        <v>92</v>
      </c>
      <c r="H4298" s="4" t="s">
        <v>28</v>
      </c>
      <c r="I4298">
        <f>34+11</f>
        <v>45</v>
      </c>
      <c r="J4298">
        <v>0</v>
      </c>
      <c r="K4298">
        <v>0</v>
      </c>
      <c r="L4298" s="3">
        <v>1</v>
      </c>
      <c r="M4298" s="3">
        <v>0</v>
      </c>
      <c r="N4298">
        <v>1</v>
      </c>
      <c r="O4298">
        <v>0</v>
      </c>
      <c r="P4298">
        <v>0</v>
      </c>
      <c r="Q4298">
        <v>0</v>
      </c>
      <c r="R4298" s="3">
        <v>0</v>
      </c>
      <c r="S4298" s="3">
        <v>0</v>
      </c>
      <c r="T4298">
        <v>0</v>
      </c>
      <c r="U4298">
        <v>0</v>
      </c>
      <c r="V4298" s="3">
        <v>0</v>
      </c>
      <c r="W4298" s="3">
        <v>0</v>
      </c>
      <c r="X4298">
        <v>0</v>
      </c>
      <c r="Y4298" t="s">
        <v>3290</v>
      </c>
    </row>
    <row r="4299" spans="1:25" hidden="1" x14ac:dyDescent="0.25">
      <c r="A4299" t="s">
        <v>38</v>
      </c>
      <c r="B4299" t="s">
        <v>108</v>
      </c>
      <c r="C4299" t="s">
        <v>27</v>
      </c>
      <c r="D4299" t="s">
        <v>27</v>
      </c>
      <c r="E4299" s="2">
        <v>46086</v>
      </c>
      <c r="F4299" s="2">
        <v>46086</v>
      </c>
      <c r="G4299" s="3">
        <v>34</v>
      </c>
      <c r="H4299" s="4" t="s">
        <v>3161</v>
      </c>
      <c r="I4299">
        <v>32</v>
      </c>
      <c r="J4299">
        <v>0</v>
      </c>
      <c r="K4299">
        <v>0</v>
      </c>
      <c r="L4299" s="3">
        <v>1</v>
      </c>
      <c r="M4299" s="3">
        <v>0</v>
      </c>
      <c r="N4299">
        <v>0</v>
      </c>
      <c r="O4299">
        <v>0</v>
      </c>
      <c r="P4299">
        <v>0</v>
      </c>
      <c r="Q4299">
        <v>32</v>
      </c>
      <c r="R4299" s="3">
        <v>0</v>
      </c>
      <c r="S4299" s="3">
        <v>0</v>
      </c>
      <c r="T4299">
        <v>0</v>
      </c>
      <c r="U4299">
        <v>0</v>
      </c>
      <c r="V4299" s="3">
        <v>0</v>
      </c>
      <c r="W4299" s="3">
        <v>0</v>
      </c>
      <c r="X4299">
        <v>0</v>
      </c>
      <c r="Y4299" t="s">
        <v>3291</v>
      </c>
    </row>
    <row r="4300" spans="1:25" hidden="1" x14ac:dyDescent="0.25">
      <c r="A4300" t="s">
        <v>2679</v>
      </c>
      <c r="B4300" t="s">
        <v>2680</v>
      </c>
      <c r="C4300" t="s">
        <v>39</v>
      </c>
      <c r="D4300" t="s">
        <v>27</v>
      </c>
      <c r="E4300" s="2">
        <v>46086</v>
      </c>
      <c r="F4300" s="2">
        <v>46086</v>
      </c>
      <c r="G4300" s="3">
        <v>33</v>
      </c>
      <c r="H4300" s="4" t="s">
        <v>3161</v>
      </c>
      <c r="I4300">
        <v>33</v>
      </c>
      <c r="J4300">
        <v>0</v>
      </c>
      <c r="K4300">
        <v>0</v>
      </c>
      <c r="L4300" s="3">
        <v>0</v>
      </c>
      <c r="M4300" s="3">
        <v>0</v>
      </c>
      <c r="N4300">
        <v>0</v>
      </c>
      <c r="O4300">
        <v>0</v>
      </c>
      <c r="P4300">
        <v>0</v>
      </c>
      <c r="Q4300">
        <v>33</v>
      </c>
      <c r="R4300" s="3">
        <v>0</v>
      </c>
      <c r="S4300" s="3">
        <v>0</v>
      </c>
      <c r="T4300">
        <v>0</v>
      </c>
      <c r="U4300">
        <v>0</v>
      </c>
      <c r="V4300" s="3">
        <v>0</v>
      </c>
      <c r="W4300" s="3">
        <v>0</v>
      </c>
      <c r="X4300">
        <v>0</v>
      </c>
      <c r="Y4300" t="s">
        <v>3292</v>
      </c>
    </row>
    <row r="4301" spans="1:25" s="1" customFormat="1" hidden="1" x14ac:dyDescent="0.25">
      <c r="A4301" s="1" t="s">
        <v>41</v>
      </c>
      <c r="B4301" s="1" t="s">
        <v>112</v>
      </c>
      <c r="C4301" s="1" t="s">
        <v>42</v>
      </c>
      <c r="D4301" s="1" t="s">
        <v>27</v>
      </c>
      <c r="E4301" s="10">
        <v>46086</v>
      </c>
      <c r="F4301" s="10">
        <v>46086</v>
      </c>
      <c r="G4301" s="41">
        <v>86</v>
      </c>
      <c r="H4301" s="15" t="s">
        <v>28</v>
      </c>
      <c r="I4301" s="1">
        <v>167</v>
      </c>
      <c r="J4301" s="1">
        <v>0</v>
      </c>
      <c r="K4301" s="1">
        <v>0</v>
      </c>
      <c r="L4301" s="41">
        <v>1</v>
      </c>
      <c r="M4301" s="41">
        <v>1</v>
      </c>
      <c r="N4301" s="1">
        <v>0</v>
      </c>
      <c r="O4301" s="1">
        <v>0</v>
      </c>
      <c r="P4301" s="1">
        <v>0</v>
      </c>
      <c r="Q4301" s="1">
        <v>167</v>
      </c>
      <c r="R4301" s="41">
        <v>0</v>
      </c>
      <c r="S4301" s="41">
        <v>0</v>
      </c>
      <c r="T4301" s="1">
        <v>0</v>
      </c>
      <c r="U4301" s="1">
        <v>0</v>
      </c>
      <c r="V4301" s="41">
        <v>0</v>
      </c>
      <c r="W4301" s="41">
        <v>0</v>
      </c>
      <c r="X4301" s="1">
        <v>12</v>
      </c>
      <c r="Y4301" s="1" t="s">
        <v>3293</v>
      </c>
    </row>
    <row r="4302" spans="1:25" hidden="1" x14ac:dyDescent="0.25">
      <c r="A4302" t="s">
        <v>45</v>
      </c>
      <c r="B4302" t="s">
        <v>116</v>
      </c>
      <c r="C4302" t="s">
        <v>46</v>
      </c>
      <c r="D4302" t="s">
        <v>27</v>
      </c>
      <c r="E4302" s="2">
        <v>46086</v>
      </c>
      <c r="F4302" s="2">
        <v>46086</v>
      </c>
      <c r="G4302" s="3">
        <v>41</v>
      </c>
      <c r="H4302" s="4" t="s">
        <v>28</v>
      </c>
      <c r="I4302">
        <f>22+4</f>
        <v>26</v>
      </c>
      <c r="J4302">
        <v>0</v>
      </c>
      <c r="K4302">
        <v>0</v>
      </c>
      <c r="L4302" s="3">
        <v>0</v>
      </c>
      <c r="M4302" s="3">
        <v>0</v>
      </c>
      <c r="N4302">
        <v>0</v>
      </c>
      <c r="O4302">
        <v>0</v>
      </c>
      <c r="P4302">
        <v>0</v>
      </c>
      <c r="Q4302">
        <v>0</v>
      </c>
      <c r="R4302" s="3">
        <v>0</v>
      </c>
      <c r="S4302" s="3">
        <v>0</v>
      </c>
      <c r="T4302">
        <v>0</v>
      </c>
      <c r="U4302">
        <v>0</v>
      </c>
      <c r="V4302" s="3">
        <v>0</v>
      </c>
      <c r="W4302" s="3">
        <v>0</v>
      </c>
      <c r="X4302">
        <v>0</v>
      </c>
      <c r="Y4302" t="s">
        <v>3294</v>
      </c>
    </row>
    <row r="4303" spans="1:25" hidden="1" x14ac:dyDescent="0.25">
      <c r="A4303" t="s">
        <v>47</v>
      </c>
      <c r="B4303" t="s">
        <v>137</v>
      </c>
      <c r="C4303" t="s">
        <v>2310</v>
      </c>
      <c r="D4303" t="s">
        <v>27</v>
      </c>
      <c r="E4303" s="2">
        <v>46086</v>
      </c>
      <c r="F4303" s="2">
        <v>46086</v>
      </c>
      <c r="G4303" s="3">
        <v>311</v>
      </c>
      <c r="H4303" s="4" t="s">
        <v>28</v>
      </c>
      <c r="I4303">
        <v>42</v>
      </c>
      <c r="J4303">
        <v>0</v>
      </c>
      <c r="K4303">
        <v>0</v>
      </c>
      <c r="L4303" s="3">
        <v>1</v>
      </c>
      <c r="M4303" s="3">
        <v>0</v>
      </c>
      <c r="N4303">
        <v>0</v>
      </c>
      <c r="O4303">
        <v>0</v>
      </c>
      <c r="P4303">
        <v>0</v>
      </c>
      <c r="Q4303">
        <v>6</v>
      </c>
      <c r="R4303" s="3">
        <v>0</v>
      </c>
      <c r="S4303" s="3">
        <v>0</v>
      </c>
      <c r="T4303">
        <v>0</v>
      </c>
      <c r="U4303">
        <v>0</v>
      </c>
      <c r="V4303" s="3">
        <v>0</v>
      </c>
      <c r="W4303" s="3">
        <v>0</v>
      </c>
      <c r="X4303">
        <v>0</v>
      </c>
      <c r="Y4303" t="s">
        <v>3295</v>
      </c>
    </row>
    <row r="4304" spans="1:25" hidden="1" x14ac:dyDescent="0.25">
      <c r="A4304" t="s">
        <v>49</v>
      </c>
      <c r="B4304" t="s">
        <v>118</v>
      </c>
      <c r="C4304" t="s">
        <v>50</v>
      </c>
      <c r="D4304" t="s">
        <v>27</v>
      </c>
      <c r="E4304" s="2">
        <v>46086</v>
      </c>
      <c r="F4304" s="2">
        <v>46086</v>
      </c>
      <c r="G4304" s="3">
        <v>25</v>
      </c>
      <c r="H4304" s="4" t="s">
        <v>28</v>
      </c>
      <c r="I4304">
        <f>66+2</f>
        <v>68</v>
      </c>
      <c r="J4304">
        <v>0</v>
      </c>
      <c r="K4304">
        <v>0</v>
      </c>
      <c r="L4304" s="3">
        <v>1</v>
      </c>
      <c r="M4304" s="3">
        <v>1</v>
      </c>
      <c r="N4304">
        <v>0</v>
      </c>
      <c r="O4304">
        <v>1</v>
      </c>
      <c r="P4304">
        <v>0</v>
      </c>
      <c r="Q4304">
        <v>75</v>
      </c>
      <c r="R4304" s="3">
        <v>0</v>
      </c>
      <c r="S4304" s="3">
        <v>0</v>
      </c>
      <c r="T4304">
        <v>0</v>
      </c>
      <c r="U4304">
        <v>0</v>
      </c>
      <c r="V4304" s="3">
        <v>0</v>
      </c>
      <c r="W4304" s="3">
        <v>0</v>
      </c>
      <c r="X4304">
        <v>0</v>
      </c>
      <c r="Y4304" t="s">
        <v>3296</v>
      </c>
    </row>
    <row r="4305" spans="1:25" hidden="1" x14ac:dyDescent="0.25">
      <c r="A4305" t="s">
        <v>51</v>
      </c>
      <c r="B4305" t="s">
        <v>120</v>
      </c>
      <c r="C4305" t="s">
        <v>55</v>
      </c>
      <c r="D4305" t="s">
        <v>27</v>
      </c>
      <c r="E4305" s="2">
        <v>46086</v>
      </c>
      <c r="F4305" s="2">
        <v>46086</v>
      </c>
      <c r="G4305" s="3">
        <v>85</v>
      </c>
      <c r="H4305" s="4" t="s">
        <v>28</v>
      </c>
      <c r="I4305">
        <v>28</v>
      </c>
      <c r="J4305">
        <v>0</v>
      </c>
      <c r="K4305">
        <v>0</v>
      </c>
      <c r="L4305" s="3">
        <v>1</v>
      </c>
      <c r="M4305" s="3">
        <v>0</v>
      </c>
      <c r="N4305">
        <v>1</v>
      </c>
      <c r="O4305">
        <v>0</v>
      </c>
      <c r="P4305">
        <v>0</v>
      </c>
      <c r="Q4305">
        <v>0</v>
      </c>
      <c r="R4305" s="3">
        <v>0</v>
      </c>
      <c r="S4305" s="3">
        <v>0</v>
      </c>
      <c r="T4305">
        <v>0</v>
      </c>
      <c r="U4305">
        <v>0</v>
      </c>
      <c r="V4305" s="3">
        <v>0</v>
      </c>
      <c r="W4305" s="3">
        <v>0</v>
      </c>
      <c r="X4305">
        <v>0</v>
      </c>
      <c r="Y4305" t="s">
        <v>3297</v>
      </c>
    </row>
    <row r="4306" spans="1:25" hidden="1" x14ac:dyDescent="0.25">
      <c r="A4306" t="s">
        <v>54</v>
      </c>
      <c r="B4306" t="s">
        <v>122</v>
      </c>
      <c r="C4306" t="s">
        <v>52</v>
      </c>
      <c r="D4306" t="s">
        <v>27</v>
      </c>
      <c r="E4306" s="2">
        <v>46086</v>
      </c>
      <c r="F4306" s="2">
        <v>46086</v>
      </c>
      <c r="G4306" s="3">
        <v>35</v>
      </c>
      <c r="H4306" s="4" t="s">
        <v>28</v>
      </c>
      <c r="I4306">
        <f>45+2</f>
        <v>47</v>
      </c>
      <c r="J4306">
        <v>0</v>
      </c>
      <c r="K4306">
        <v>0</v>
      </c>
      <c r="L4306" s="3">
        <v>0</v>
      </c>
      <c r="M4306" s="3">
        <v>0</v>
      </c>
      <c r="N4306">
        <v>0</v>
      </c>
      <c r="O4306">
        <v>0</v>
      </c>
      <c r="P4306">
        <v>0</v>
      </c>
      <c r="Q4306">
        <v>7</v>
      </c>
      <c r="R4306" s="3">
        <v>0</v>
      </c>
      <c r="S4306" s="3">
        <v>0</v>
      </c>
      <c r="T4306">
        <v>0</v>
      </c>
      <c r="U4306">
        <v>0</v>
      </c>
      <c r="V4306" s="3">
        <v>0</v>
      </c>
      <c r="W4306" s="3">
        <v>0</v>
      </c>
      <c r="X4306">
        <v>0</v>
      </c>
      <c r="Y4306" t="s">
        <v>3298</v>
      </c>
    </row>
    <row r="4307" spans="1:25" hidden="1" x14ac:dyDescent="0.25">
      <c r="A4307" t="s">
        <v>48</v>
      </c>
      <c r="B4307" t="s">
        <v>149</v>
      </c>
      <c r="C4307" t="s">
        <v>37</v>
      </c>
      <c r="D4307" t="s">
        <v>27</v>
      </c>
      <c r="E4307" s="2">
        <v>46086</v>
      </c>
      <c r="F4307" s="2">
        <v>46086</v>
      </c>
      <c r="G4307" s="3">
        <v>27</v>
      </c>
      <c r="H4307" s="4" t="s">
        <v>28</v>
      </c>
      <c r="I4307">
        <f>27+2</f>
        <v>29</v>
      </c>
      <c r="J4307">
        <v>0</v>
      </c>
      <c r="K4307">
        <v>0</v>
      </c>
      <c r="L4307" s="3">
        <v>1</v>
      </c>
      <c r="M4307" s="3">
        <v>0</v>
      </c>
      <c r="N4307">
        <v>0</v>
      </c>
      <c r="O4307">
        <v>0</v>
      </c>
      <c r="P4307">
        <v>0</v>
      </c>
      <c r="Q4307">
        <v>0</v>
      </c>
      <c r="R4307" s="3">
        <v>0</v>
      </c>
      <c r="S4307" s="3">
        <v>0</v>
      </c>
      <c r="T4307">
        <v>0</v>
      </c>
      <c r="U4307">
        <v>0</v>
      </c>
      <c r="V4307" s="3">
        <v>0</v>
      </c>
      <c r="W4307" s="3">
        <v>0</v>
      </c>
      <c r="X4307">
        <v>0</v>
      </c>
      <c r="Y4307" t="s">
        <v>3299</v>
      </c>
    </row>
    <row r="4308" spans="1:25" hidden="1" x14ac:dyDescent="0.25">
      <c r="A4308" t="s">
        <v>3187</v>
      </c>
      <c r="B4308" t="s">
        <v>149</v>
      </c>
      <c r="C4308" t="s">
        <v>2514</v>
      </c>
      <c r="D4308" t="s">
        <v>27</v>
      </c>
      <c r="E4308" s="2">
        <v>46086</v>
      </c>
      <c r="F4308" s="2">
        <v>46086</v>
      </c>
      <c r="G4308" s="3">
        <v>27</v>
      </c>
      <c r="H4308" s="4" t="s">
        <v>250</v>
      </c>
      <c r="I4308">
        <f>27+2</f>
        <v>29</v>
      </c>
      <c r="J4308">
        <v>0</v>
      </c>
      <c r="K4308">
        <v>0</v>
      </c>
      <c r="L4308" s="3">
        <v>1</v>
      </c>
      <c r="M4308" s="3">
        <v>0</v>
      </c>
      <c r="N4308">
        <v>0</v>
      </c>
      <c r="O4308">
        <v>0</v>
      </c>
      <c r="P4308">
        <v>0</v>
      </c>
      <c r="Q4308">
        <v>0</v>
      </c>
      <c r="R4308" s="3">
        <v>0</v>
      </c>
      <c r="S4308" s="3">
        <v>0</v>
      </c>
      <c r="T4308">
        <v>0</v>
      </c>
      <c r="U4308">
        <v>0</v>
      </c>
      <c r="V4308" s="3">
        <v>0</v>
      </c>
      <c r="W4308" s="3">
        <v>0</v>
      </c>
      <c r="X4308">
        <v>0</v>
      </c>
      <c r="Y4308" t="s">
        <v>3299</v>
      </c>
    </row>
    <row r="4309" spans="1:25" hidden="1" x14ac:dyDescent="0.25">
      <c r="A4309" t="s">
        <v>25</v>
      </c>
      <c r="B4309" t="s">
        <v>96</v>
      </c>
      <c r="C4309" t="s">
        <v>26</v>
      </c>
      <c r="D4309" t="s">
        <v>27</v>
      </c>
      <c r="E4309" s="2">
        <v>46087</v>
      </c>
      <c r="F4309" s="2">
        <v>46087</v>
      </c>
      <c r="G4309" s="3">
        <v>58</v>
      </c>
      <c r="H4309" s="4" t="s">
        <v>28</v>
      </c>
      <c r="I4309">
        <f>41+13</f>
        <v>54</v>
      </c>
      <c r="J4309">
        <v>0</v>
      </c>
      <c r="K4309">
        <v>0</v>
      </c>
      <c r="L4309" s="3">
        <v>0</v>
      </c>
      <c r="M4309" s="3">
        <v>1</v>
      </c>
      <c r="N4309">
        <v>1</v>
      </c>
      <c r="O4309">
        <v>0</v>
      </c>
      <c r="P4309">
        <v>0</v>
      </c>
      <c r="Q4309">
        <v>0</v>
      </c>
      <c r="R4309" s="3">
        <v>0</v>
      </c>
      <c r="S4309" s="3">
        <v>0</v>
      </c>
      <c r="T4309">
        <v>0</v>
      </c>
      <c r="U4309">
        <v>0</v>
      </c>
      <c r="V4309" s="3">
        <v>0</v>
      </c>
      <c r="W4309" s="3">
        <v>0</v>
      </c>
      <c r="X4309">
        <v>0</v>
      </c>
      <c r="Y4309" t="s">
        <v>3300</v>
      </c>
    </row>
    <row r="4310" spans="1:25" hidden="1" x14ac:dyDescent="0.25">
      <c r="A4310" t="s">
        <v>31</v>
      </c>
      <c r="B4310" t="s">
        <v>104</v>
      </c>
      <c r="C4310" t="s">
        <v>32</v>
      </c>
      <c r="D4310" t="s">
        <v>27</v>
      </c>
      <c r="E4310" s="2">
        <v>46087</v>
      </c>
      <c r="F4310" s="2">
        <v>46087</v>
      </c>
      <c r="G4310" s="3">
        <v>40</v>
      </c>
      <c r="H4310" s="4" t="s">
        <v>28</v>
      </c>
      <c r="I4310">
        <v>89</v>
      </c>
      <c r="J4310">
        <v>0</v>
      </c>
      <c r="K4310">
        <v>0</v>
      </c>
      <c r="L4310" s="3">
        <v>0</v>
      </c>
      <c r="M4310" s="3">
        <v>0</v>
      </c>
      <c r="N4310">
        <v>0</v>
      </c>
      <c r="O4310">
        <v>0</v>
      </c>
      <c r="P4310">
        <v>0</v>
      </c>
      <c r="Q4310">
        <v>40</v>
      </c>
      <c r="R4310" s="3">
        <v>0</v>
      </c>
      <c r="S4310" s="3">
        <v>0</v>
      </c>
      <c r="T4310">
        <v>0</v>
      </c>
      <c r="U4310">
        <v>0</v>
      </c>
      <c r="V4310" s="3">
        <v>0</v>
      </c>
      <c r="W4310" s="3">
        <v>0</v>
      </c>
      <c r="X4310">
        <v>5</v>
      </c>
      <c r="Y4310" t="s">
        <v>3301</v>
      </c>
    </row>
    <row r="4311" spans="1:25" hidden="1" x14ac:dyDescent="0.25">
      <c r="A4311" t="s">
        <v>33</v>
      </c>
      <c r="B4311" t="s">
        <v>106</v>
      </c>
      <c r="C4311" t="s">
        <v>2835</v>
      </c>
      <c r="D4311" t="s">
        <v>27</v>
      </c>
      <c r="E4311" s="2">
        <v>46087</v>
      </c>
      <c r="F4311" s="2">
        <v>46087</v>
      </c>
      <c r="G4311" s="3">
        <v>25</v>
      </c>
      <c r="H4311" s="4" t="s">
        <v>28</v>
      </c>
      <c r="I4311">
        <f>39+2</f>
        <v>41</v>
      </c>
      <c r="J4311">
        <v>0</v>
      </c>
      <c r="K4311">
        <v>0</v>
      </c>
      <c r="L4311" s="3">
        <v>0</v>
      </c>
      <c r="M4311" s="3">
        <v>0</v>
      </c>
      <c r="N4311">
        <v>0</v>
      </c>
      <c r="O4311">
        <v>0</v>
      </c>
      <c r="P4311">
        <v>0</v>
      </c>
      <c r="Q4311">
        <v>21</v>
      </c>
      <c r="R4311" s="3">
        <v>0</v>
      </c>
      <c r="S4311" s="3">
        <v>0</v>
      </c>
      <c r="T4311">
        <v>0</v>
      </c>
      <c r="U4311">
        <v>0</v>
      </c>
      <c r="V4311" s="3">
        <v>0</v>
      </c>
      <c r="W4311" s="3">
        <v>0</v>
      </c>
      <c r="X4311">
        <v>0</v>
      </c>
      <c r="Y4311" t="s">
        <v>3302</v>
      </c>
    </row>
    <row r="4312" spans="1:25" hidden="1" x14ac:dyDescent="0.25">
      <c r="A4312" t="s">
        <v>29</v>
      </c>
      <c r="B4312" t="s">
        <v>2998</v>
      </c>
      <c r="C4312" t="s">
        <v>95</v>
      </c>
      <c r="D4312" t="s">
        <v>27</v>
      </c>
      <c r="E4312" s="2">
        <v>46087</v>
      </c>
      <c r="F4312" s="2">
        <v>46087</v>
      </c>
      <c r="G4312" s="3">
        <v>46</v>
      </c>
      <c r="H4312" s="4" t="s">
        <v>28</v>
      </c>
      <c r="I4312">
        <f>37+1+28+1</f>
        <v>67</v>
      </c>
      <c r="J4312">
        <v>0</v>
      </c>
      <c r="K4312">
        <v>0</v>
      </c>
      <c r="L4312" s="3">
        <v>1</v>
      </c>
      <c r="M4312" s="3">
        <v>0</v>
      </c>
      <c r="N4312">
        <v>0</v>
      </c>
      <c r="O4312">
        <v>0</v>
      </c>
      <c r="P4312">
        <v>0</v>
      </c>
      <c r="Q4312">
        <v>0</v>
      </c>
      <c r="R4312" s="3">
        <v>0</v>
      </c>
      <c r="S4312" s="3">
        <v>0</v>
      </c>
      <c r="T4312">
        <v>0</v>
      </c>
      <c r="U4312">
        <v>0</v>
      </c>
      <c r="V4312" s="3">
        <v>0</v>
      </c>
      <c r="W4312" s="3">
        <v>0</v>
      </c>
      <c r="X4312">
        <v>0</v>
      </c>
      <c r="Y4312" t="s">
        <v>3303</v>
      </c>
    </row>
    <row r="4313" spans="1:25" hidden="1" x14ac:dyDescent="0.25">
      <c r="A4313" t="s">
        <v>2899</v>
      </c>
      <c r="B4313" t="s">
        <v>2998</v>
      </c>
      <c r="C4313" t="s">
        <v>27</v>
      </c>
      <c r="D4313" t="s">
        <v>27</v>
      </c>
      <c r="E4313" s="2">
        <v>46087</v>
      </c>
      <c r="F4313" s="2">
        <v>46087</v>
      </c>
      <c r="G4313" s="3">
        <v>34</v>
      </c>
      <c r="H4313" s="4" t="s">
        <v>28</v>
      </c>
      <c r="I4313">
        <f>35+8</f>
        <v>43</v>
      </c>
      <c r="J4313">
        <v>0</v>
      </c>
      <c r="K4313">
        <v>0</v>
      </c>
      <c r="L4313" s="3">
        <v>1</v>
      </c>
      <c r="M4313" s="3">
        <v>0</v>
      </c>
      <c r="N4313">
        <v>0</v>
      </c>
      <c r="O4313">
        <v>0</v>
      </c>
      <c r="P4313">
        <v>0</v>
      </c>
      <c r="Q4313">
        <v>0</v>
      </c>
      <c r="R4313" s="3">
        <v>0</v>
      </c>
      <c r="S4313" s="3">
        <v>0</v>
      </c>
      <c r="T4313">
        <v>0</v>
      </c>
      <c r="U4313">
        <v>0</v>
      </c>
      <c r="V4313" s="3">
        <v>0</v>
      </c>
      <c r="W4313" s="3">
        <v>0</v>
      </c>
      <c r="X4313">
        <v>0</v>
      </c>
      <c r="Y4313" t="s">
        <v>3304</v>
      </c>
    </row>
    <row r="4314" spans="1:25" s="1" customFormat="1" hidden="1" x14ac:dyDescent="0.25">
      <c r="A4314" s="1" t="s">
        <v>41</v>
      </c>
      <c r="B4314" s="1" t="s">
        <v>2998</v>
      </c>
      <c r="C4314" s="1" t="s">
        <v>42</v>
      </c>
      <c r="D4314" s="1" t="s">
        <v>2271</v>
      </c>
      <c r="E4314" s="10">
        <v>46087</v>
      </c>
      <c r="F4314" s="10">
        <v>46087</v>
      </c>
      <c r="G4314" s="41">
        <v>34</v>
      </c>
      <c r="H4314" s="15" t="s">
        <v>28</v>
      </c>
      <c r="I4314" s="1">
        <v>166</v>
      </c>
      <c r="J4314" s="1">
        <v>0</v>
      </c>
      <c r="K4314" s="1">
        <v>0</v>
      </c>
      <c r="L4314" s="41">
        <v>1</v>
      </c>
      <c r="M4314" s="41">
        <v>1</v>
      </c>
      <c r="N4314" s="1">
        <v>0</v>
      </c>
      <c r="O4314" s="1">
        <v>0</v>
      </c>
      <c r="P4314" s="1">
        <v>0</v>
      </c>
      <c r="Q4314" s="1">
        <v>166</v>
      </c>
      <c r="R4314" s="41">
        <v>0</v>
      </c>
      <c r="S4314" s="41">
        <v>0</v>
      </c>
      <c r="T4314" s="1">
        <v>0</v>
      </c>
      <c r="U4314" s="1">
        <v>0</v>
      </c>
      <c r="V4314" s="41">
        <v>0</v>
      </c>
      <c r="W4314" s="41">
        <v>0</v>
      </c>
      <c r="X4314" s="1">
        <v>10</v>
      </c>
      <c r="Y4314" s="1" t="s">
        <v>3304</v>
      </c>
    </row>
    <row r="4315" spans="1:25" hidden="1" x14ac:dyDescent="0.25">
      <c r="A4315" t="s">
        <v>36</v>
      </c>
      <c r="B4315" t="s">
        <v>249</v>
      </c>
      <c r="C4315" t="s">
        <v>2534</v>
      </c>
      <c r="D4315" t="s">
        <v>27</v>
      </c>
      <c r="E4315" s="2">
        <v>46087</v>
      </c>
      <c r="F4315" s="2">
        <v>46087</v>
      </c>
      <c r="G4315" s="3">
        <v>112</v>
      </c>
      <c r="H4315" s="4" t="s">
        <v>28</v>
      </c>
      <c r="I4315">
        <f>59+1</f>
        <v>60</v>
      </c>
      <c r="J4315">
        <v>0</v>
      </c>
      <c r="K4315">
        <v>0</v>
      </c>
      <c r="L4315" s="3">
        <v>1</v>
      </c>
      <c r="M4315" s="3">
        <v>0</v>
      </c>
      <c r="N4315">
        <v>1</v>
      </c>
      <c r="O4315">
        <v>0</v>
      </c>
      <c r="P4315">
        <v>0</v>
      </c>
      <c r="Q4315">
        <v>0</v>
      </c>
      <c r="R4315" s="3">
        <v>0</v>
      </c>
      <c r="S4315" s="3">
        <v>0</v>
      </c>
      <c r="T4315">
        <v>0</v>
      </c>
      <c r="U4315">
        <v>0</v>
      </c>
      <c r="V4315" s="3">
        <v>0</v>
      </c>
      <c r="W4315" s="3">
        <v>0</v>
      </c>
      <c r="X4315">
        <v>0</v>
      </c>
      <c r="Y4315" t="s">
        <v>3305</v>
      </c>
    </row>
    <row r="4316" spans="1:25" hidden="1" x14ac:dyDescent="0.25">
      <c r="A4316" t="s">
        <v>38</v>
      </c>
      <c r="B4316" t="s">
        <v>108</v>
      </c>
      <c r="C4316" t="s">
        <v>27</v>
      </c>
      <c r="D4316" t="s">
        <v>27</v>
      </c>
      <c r="E4316" s="2">
        <v>46087</v>
      </c>
      <c r="F4316" s="2">
        <v>46087</v>
      </c>
      <c r="G4316" s="3">
        <v>76</v>
      </c>
      <c r="H4316" s="4" t="s">
        <v>3161</v>
      </c>
      <c r="I4316">
        <v>55</v>
      </c>
      <c r="J4316">
        <v>0</v>
      </c>
      <c r="K4316">
        <v>0</v>
      </c>
      <c r="L4316" s="3">
        <v>1</v>
      </c>
      <c r="M4316" s="3">
        <v>0</v>
      </c>
      <c r="N4316">
        <v>0</v>
      </c>
      <c r="O4316">
        <v>0</v>
      </c>
      <c r="P4316">
        <v>0</v>
      </c>
      <c r="Q4316">
        <v>55</v>
      </c>
      <c r="R4316" s="3">
        <v>0</v>
      </c>
      <c r="S4316" s="3">
        <v>0</v>
      </c>
      <c r="T4316">
        <v>0</v>
      </c>
      <c r="U4316">
        <v>0</v>
      </c>
      <c r="V4316" s="3">
        <v>0</v>
      </c>
      <c r="W4316" s="3">
        <v>0</v>
      </c>
      <c r="X4316">
        <v>0</v>
      </c>
      <c r="Y4316" t="s">
        <v>3306</v>
      </c>
    </row>
    <row r="4317" spans="1:25" hidden="1" x14ac:dyDescent="0.25">
      <c r="A4317" t="s">
        <v>2679</v>
      </c>
      <c r="B4317" t="s">
        <v>2680</v>
      </c>
      <c r="C4317" t="s">
        <v>39</v>
      </c>
      <c r="D4317" t="s">
        <v>27</v>
      </c>
      <c r="E4317" s="2">
        <v>46087</v>
      </c>
      <c r="F4317" s="2">
        <v>46087</v>
      </c>
      <c r="G4317" s="3">
        <v>35</v>
      </c>
      <c r="H4317" s="4" t="s">
        <v>3161</v>
      </c>
      <c r="I4317">
        <v>72</v>
      </c>
      <c r="J4317">
        <v>0</v>
      </c>
      <c r="K4317">
        <v>0</v>
      </c>
      <c r="L4317" s="3">
        <v>0</v>
      </c>
      <c r="M4317" s="3">
        <v>0</v>
      </c>
      <c r="N4317">
        <v>0</v>
      </c>
      <c r="O4317">
        <v>0</v>
      </c>
      <c r="P4317">
        <v>0</v>
      </c>
      <c r="Q4317">
        <v>72</v>
      </c>
      <c r="R4317" s="3">
        <v>0</v>
      </c>
      <c r="S4317" s="3">
        <v>0</v>
      </c>
      <c r="T4317">
        <v>0</v>
      </c>
      <c r="U4317">
        <v>0</v>
      </c>
      <c r="V4317" s="3">
        <v>0</v>
      </c>
      <c r="W4317" s="3">
        <v>0</v>
      </c>
      <c r="X4317">
        <v>0</v>
      </c>
      <c r="Y4317" t="s">
        <v>3307</v>
      </c>
    </row>
    <row r="4318" spans="1:25" hidden="1" x14ac:dyDescent="0.25">
      <c r="A4318" t="s">
        <v>1316</v>
      </c>
      <c r="B4318" t="s">
        <v>149</v>
      </c>
      <c r="C4318" t="s">
        <v>27</v>
      </c>
      <c r="D4318" t="s">
        <v>27</v>
      </c>
      <c r="E4318" s="2">
        <v>46086</v>
      </c>
      <c r="F4318" s="2">
        <v>46086</v>
      </c>
      <c r="G4318" s="3">
        <v>20</v>
      </c>
      <c r="H4318" s="4" t="s">
        <v>28</v>
      </c>
      <c r="I4318">
        <v>50</v>
      </c>
      <c r="J4318">
        <v>0</v>
      </c>
      <c r="K4318">
        <v>0</v>
      </c>
      <c r="L4318" s="3">
        <v>0</v>
      </c>
      <c r="M4318" s="3">
        <v>0</v>
      </c>
      <c r="N4318">
        <v>0</v>
      </c>
      <c r="O4318">
        <v>0</v>
      </c>
      <c r="P4318">
        <v>0</v>
      </c>
      <c r="Q4318">
        <v>20</v>
      </c>
      <c r="R4318" s="3">
        <v>0</v>
      </c>
      <c r="S4318" s="3">
        <v>0</v>
      </c>
      <c r="T4318">
        <v>0</v>
      </c>
      <c r="U4318">
        <v>0</v>
      </c>
      <c r="V4318" s="3">
        <v>0</v>
      </c>
      <c r="W4318" s="3">
        <v>0</v>
      </c>
      <c r="X4318">
        <v>0</v>
      </c>
      <c r="Y4318" t="s">
        <v>3284</v>
      </c>
    </row>
    <row r="4319" spans="1:25" hidden="1" x14ac:dyDescent="0.25">
      <c r="A4319" t="s">
        <v>1316</v>
      </c>
      <c r="B4319" t="s">
        <v>1348</v>
      </c>
      <c r="C4319" t="s">
        <v>2514</v>
      </c>
      <c r="D4319" t="s">
        <v>27</v>
      </c>
      <c r="E4319" s="2">
        <v>46087</v>
      </c>
      <c r="F4319" s="2">
        <v>46087</v>
      </c>
      <c r="G4319" s="3">
        <v>55</v>
      </c>
      <c r="H4319" s="4" t="s">
        <v>28</v>
      </c>
      <c r="I4319">
        <f>61+23</f>
        <v>84</v>
      </c>
      <c r="J4319">
        <v>0</v>
      </c>
      <c r="K4319">
        <v>0</v>
      </c>
      <c r="L4319" s="3">
        <v>1</v>
      </c>
      <c r="M4319" s="3">
        <v>0</v>
      </c>
      <c r="N4319">
        <v>0</v>
      </c>
      <c r="O4319">
        <v>0</v>
      </c>
      <c r="P4319">
        <v>0</v>
      </c>
      <c r="Q4319">
        <v>20</v>
      </c>
      <c r="R4319" s="3">
        <v>0</v>
      </c>
      <c r="S4319" s="3">
        <v>0</v>
      </c>
      <c r="T4319">
        <v>0</v>
      </c>
      <c r="U4319">
        <v>0</v>
      </c>
      <c r="V4319" s="3">
        <v>0</v>
      </c>
      <c r="W4319" s="3">
        <v>0</v>
      </c>
      <c r="X4319">
        <v>0</v>
      </c>
      <c r="Y4319" t="s">
        <v>3308</v>
      </c>
    </row>
    <row r="4320" spans="1:25" hidden="1" x14ac:dyDescent="0.25">
      <c r="A4320" t="s">
        <v>43</v>
      </c>
      <c r="B4320" t="s">
        <v>114</v>
      </c>
      <c r="C4320" t="s">
        <v>44</v>
      </c>
      <c r="D4320" t="s">
        <v>27</v>
      </c>
      <c r="E4320" s="2">
        <v>46087</v>
      </c>
      <c r="F4320" s="2">
        <v>46087</v>
      </c>
      <c r="G4320" s="3">
        <v>37</v>
      </c>
      <c r="H4320" s="4" t="s">
        <v>28</v>
      </c>
      <c r="I4320">
        <f>52+9</f>
        <v>61</v>
      </c>
      <c r="J4320">
        <v>0</v>
      </c>
      <c r="K4320">
        <v>0</v>
      </c>
      <c r="L4320" s="3">
        <v>1</v>
      </c>
      <c r="M4320" s="3">
        <v>0</v>
      </c>
      <c r="N4320">
        <v>0</v>
      </c>
      <c r="O4320">
        <v>0</v>
      </c>
      <c r="P4320">
        <v>0</v>
      </c>
      <c r="Q4320">
        <v>13</v>
      </c>
      <c r="R4320" s="3">
        <v>0</v>
      </c>
      <c r="S4320" s="3">
        <v>0</v>
      </c>
      <c r="T4320">
        <v>0</v>
      </c>
      <c r="U4320">
        <v>0</v>
      </c>
      <c r="V4320" s="3">
        <v>0</v>
      </c>
      <c r="W4320" s="3">
        <v>0</v>
      </c>
      <c r="X4320">
        <v>0</v>
      </c>
      <c r="Y4320" t="s">
        <v>3309</v>
      </c>
    </row>
    <row r="4321" spans="1:25" hidden="1" x14ac:dyDescent="0.25">
      <c r="A4321" t="s">
        <v>2118</v>
      </c>
      <c r="B4321" t="s">
        <v>2119</v>
      </c>
      <c r="C4321" t="s">
        <v>27</v>
      </c>
      <c r="D4321" t="s">
        <v>27</v>
      </c>
      <c r="E4321" s="2">
        <v>46087</v>
      </c>
      <c r="F4321" s="2">
        <v>46087</v>
      </c>
      <c r="G4321" s="3">
        <v>36</v>
      </c>
      <c r="H4321" s="4" t="s">
        <v>3161</v>
      </c>
      <c r="I4321">
        <v>66</v>
      </c>
      <c r="J4321">
        <v>0</v>
      </c>
      <c r="K4321">
        <v>0</v>
      </c>
      <c r="L4321" s="3">
        <v>1</v>
      </c>
      <c r="M4321" s="3">
        <v>0</v>
      </c>
      <c r="N4321">
        <v>0</v>
      </c>
      <c r="O4321">
        <v>0</v>
      </c>
      <c r="P4321">
        <v>0</v>
      </c>
      <c r="Q4321">
        <v>66</v>
      </c>
      <c r="R4321" s="3">
        <v>0</v>
      </c>
      <c r="S4321" s="3">
        <v>0</v>
      </c>
      <c r="T4321">
        <v>0</v>
      </c>
      <c r="U4321">
        <v>0</v>
      </c>
      <c r="V4321" s="3">
        <v>0</v>
      </c>
      <c r="W4321" s="3">
        <v>0</v>
      </c>
      <c r="X4321">
        <v>0</v>
      </c>
      <c r="Y4321" t="s">
        <v>3310</v>
      </c>
    </row>
    <row r="4322" spans="1:25" hidden="1" x14ac:dyDescent="0.25">
      <c r="A4322" t="s">
        <v>45</v>
      </c>
      <c r="B4322" t="s">
        <v>116</v>
      </c>
      <c r="C4322" t="s">
        <v>46</v>
      </c>
      <c r="D4322" t="s">
        <v>27</v>
      </c>
      <c r="E4322" s="2">
        <v>46087</v>
      </c>
      <c r="F4322" s="2">
        <v>46087</v>
      </c>
      <c r="G4322" s="3">
        <v>46</v>
      </c>
      <c r="H4322" s="4" t="s">
        <v>28</v>
      </c>
      <c r="I4322">
        <f>51+32</f>
        <v>83</v>
      </c>
      <c r="J4322">
        <v>0</v>
      </c>
      <c r="K4322">
        <v>0</v>
      </c>
      <c r="L4322" s="3">
        <v>1</v>
      </c>
      <c r="M4322" s="3">
        <v>0</v>
      </c>
      <c r="N4322">
        <v>0</v>
      </c>
      <c r="O4322">
        <v>0</v>
      </c>
      <c r="P4322">
        <v>0</v>
      </c>
      <c r="Q4322">
        <v>13</v>
      </c>
      <c r="R4322" s="3">
        <v>0</v>
      </c>
      <c r="S4322" s="3">
        <v>0</v>
      </c>
      <c r="T4322">
        <v>0</v>
      </c>
      <c r="U4322">
        <v>0</v>
      </c>
      <c r="V4322" s="3">
        <v>0</v>
      </c>
      <c r="W4322" s="3">
        <v>0</v>
      </c>
      <c r="X4322">
        <v>0</v>
      </c>
      <c r="Y4322" t="s">
        <v>3311</v>
      </c>
    </row>
    <row r="4323" spans="1:25" hidden="1" x14ac:dyDescent="0.25">
      <c r="A4323" t="s">
        <v>47</v>
      </c>
      <c r="B4323" t="s">
        <v>137</v>
      </c>
      <c r="C4323" t="s">
        <v>2310</v>
      </c>
      <c r="D4323" t="s">
        <v>27</v>
      </c>
      <c r="E4323" s="2">
        <v>46087</v>
      </c>
      <c r="F4323" s="2">
        <v>46087</v>
      </c>
      <c r="G4323" s="3">
        <v>53</v>
      </c>
      <c r="H4323" s="4" t="s">
        <v>28</v>
      </c>
      <c r="I4323">
        <v>80</v>
      </c>
      <c r="J4323">
        <v>0</v>
      </c>
      <c r="K4323">
        <v>0</v>
      </c>
      <c r="L4323" s="3">
        <v>1</v>
      </c>
      <c r="M4323" s="3">
        <v>0</v>
      </c>
      <c r="N4323">
        <v>0</v>
      </c>
      <c r="O4323">
        <v>0</v>
      </c>
      <c r="P4323">
        <v>0</v>
      </c>
      <c r="Q4323">
        <v>12</v>
      </c>
      <c r="R4323" s="3">
        <v>0</v>
      </c>
      <c r="S4323" s="3">
        <v>0</v>
      </c>
      <c r="T4323">
        <v>0</v>
      </c>
      <c r="U4323">
        <v>0</v>
      </c>
      <c r="V4323" s="3">
        <v>0</v>
      </c>
      <c r="W4323" s="3">
        <v>0</v>
      </c>
      <c r="X4323">
        <v>0</v>
      </c>
      <c r="Y4323" t="s">
        <v>3312</v>
      </c>
    </row>
    <row r="4324" spans="1:25" hidden="1" x14ac:dyDescent="0.25">
      <c r="A4324" t="s">
        <v>49</v>
      </c>
      <c r="B4324" t="s">
        <v>118</v>
      </c>
      <c r="C4324" t="s">
        <v>50</v>
      </c>
      <c r="D4324" t="s">
        <v>27</v>
      </c>
      <c r="E4324" s="2">
        <v>46087</v>
      </c>
      <c r="F4324" s="2">
        <v>46087</v>
      </c>
      <c r="G4324" s="3">
        <v>27</v>
      </c>
      <c r="H4324" s="4" t="s">
        <v>28</v>
      </c>
      <c r="I4324">
        <f>46+17</f>
        <v>63</v>
      </c>
      <c r="J4324">
        <v>0</v>
      </c>
      <c r="K4324">
        <v>0</v>
      </c>
      <c r="L4324" s="3">
        <v>1</v>
      </c>
      <c r="M4324" s="3">
        <v>1</v>
      </c>
      <c r="N4324">
        <v>0</v>
      </c>
      <c r="O4324">
        <v>0</v>
      </c>
      <c r="P4324">
        <v>0</v>
      </c>
      <c r="Q4324">
        <v>51</v>
      </c>
      <c r="R4324" s="3">
        <v>0</v>
      </c>
      <c r="S4324" s="3">
        <v>0</v>
      </c>
      <c r="T4324">
        <v>0</v>
      </c>
      <c r="U4324">
        <v>0</v>
      </c>
      <c r="V4324" s="3">
        <v>0</v>
      </c>
      <c r="W4324" s="3">
        <v>0</v>
      </c>
      <c r="X4324">
        <v>0</v>
      </c>
      <c r="Y4324" t="s">
        <v>3313</v>
      </c>
    </row>
    <row r="4325" spans="1:25" hidden="1" x14ac:dyDescent="0.25">
      <c r="A4325" t="s">
        <v>51</v>
      </c>
      <c r="B4325" t="s">
        <v>120</v>
      </c>
      <c r="C4325" t="s">
        <v>55</v>
      </c>
      <c r="D4325" t="s">
        <v>27</v>
      </c>
      <c r="E4325" s="2">
        <v>46087</v>
      </c>
      <c r="F4325" s="2">
        <v>46087</v>
      </c>
      <c r="G4325" s="3">
        <v>52</v>
      </c>
      <c r="H4325" s="4" t="s">
        <v>28</v>
      </c>
      <c r="I4325">
        <f>39+7</f>
        <v>46</v>
      </c>
      <c r="J4325">
        <v>0</v>
      </c>
      <c r="K4325">
        <v>0</v>
      </c>
      <c r="L4325" s="3">
        <v>1</v>
      </c>
      <c r="M4325" s="3">
        <v>0</v>
      </c>
      <c r="N4325">
        <v>1</v>
      </c>
      <c r="O4325">
        <v>0</v>
      </c>
      <c r="P4325">
        <v>0</v>
      </c>
      <c r="Q4325">
        <v>0</v>
      </c>
      <c r="R4325" s="3">
        <v>0</v>
      </c>
      <c r="S4325" s="3">
        <v>0</v>
      </c>
      <c r="T4325">
        <v>0</v>
      </c>
      <c r="U4325">
        <v>0</v>
      </c>
      <c r="V4325" s="3">
        <v>0</v>
      </c>
      <c r="W4325" s="3">
        <v>0</v>
      </c>
      <c r="X4325">
        <v>0</v>
      </c>
      <c r="Y4325" t="s">
        <v>3314</v>
      </c>
    </row>
    <row r="4326" spans="1:25" hidden="1" x14ac:dyDescent="0.25">
      <c r="A4326" t="s">
        <v>54</v>
      </c>
      <c r="B4326" t="s">
        <v>122</v>
      </c>
      <c r="C4326" t="s">
        <v>52</v>
      </c>
      <c r="D4326" t="s">
        <v>27</v>
      </c>
      <c r="E4326" s="2">
        <v>46087</v>
      </c>
      <c r="F4326" s="2">
        <v>46087</v>
      </c>
      <c r="G4326" s="3">
        <v>46</v>
      </c>
      <c r="H4326" s="4" t="s">
        <v>28</v>
      </c>
      <c r="I4326">
        <f>42+1</f>
        <v>43</v>
      </c>
      <c r="J4326">
        <v>0</v>
      </c>
      <c r="K4326">
        <v>0</v>
      </c>
      <c r="L4326" s="3">
        <v>0</v>
      </c>
      <c r="M4326" s="3">
        <v>0</v>
      </c>
      <c r="N4326">
        <v>0</v>
      </c>
      <c r="O4326">
        <v>0</v>
      </c>
      <c r="P4326">
        <v>0</v>
      </c>
      <c r="Q4326">
        <v>0</v>
      </c>
      <c r="R4326" s="3">
        <v>0</v>
      </c>
      <c r="S4326" s="3">
        <v>0</v>
      </c>
      <c r="T4326">
        <v>0</v>
      </c>
      <c r="U4326">
        <v>0</v>
      </c>
      <c r="V4326" s="3">
        <v>0</v>
      </c>
      <c r="W4326" s="3">
        <v>0</v>
      </c>
      <c r="X4326">
        <v>0</v>
      </c>
      <c r="Y4326" t="s">
        <v>3315</v>
      </c>
    </row>
    <row r="4327" spans="1:25" hidden="1" x14ac:dyDescent="0.25">
      <c r="A4327" t="s">
        <v>48</v>
      </c>
      <c r="B4327" t="s">
        <v>149</v>
      </c>
      <c r="C4327" t="s">
        <v>37</v>
      </c>
      <c r="D4327" t="s">
        <v>27</v>
      </c>
      <c r="E4327" s="2">
        <v>46087</v>
      </c>
      <c r="F4327" s="2">
        <v>46087</v>
      </c>
      <c r="G4327" s="3">
        <v>46</v>
      </c>
      <c r="H4327" s="4" t="s">
        <v>28</v>
      </c>
      <c r="I4327">
        <v>89</v>
      </c>
      <c r="J4327">
        <v>0</v>
      </c>
      <c r="K4327">
        <v>0</v>
      </c>
      <c r="L4327" s="3">
        <v>0</v>
      </c>
      <c r="M4327" s="3">
        <v>0</v>
      </c>
      <c r="N4327">
        <v>0</v>
      </c>
      <c r="O4327">
        <v>0</v>
      </c>
      <c r="P4327">
        <v>0</v>
      </c>
      <c r="Q4327">
        <v>0</v>
      </c>
      <c r="R4327" s="3">
        <v>0</v>
      </c>
      <c r="S4327" s="3">
        <v>0</v>
      </c>
      <c r="T4327">
        <v>0</v>
      </c>
      <c r="U4327">
        <v>0</v>
      </c>
      <c r="V4327" s="3">
        <v>0</v>
      </c>
      <c r="W4327" s="3">
        <v>0</v>
      </c>
      <c r="X4327">
        <v>0</v>
      </c>
      <c r="Y4327" t="s">
        <v>3315</v>
      </c>
    </row>
    <row r="4328" spans="1:25" s="1" customFormat="1" hidden="1" x14ac:dyDescent="0.25">
      <c r="A4328" s="1" t="s">
        <v>41</v>
      </c>
      <c r="B4328" s="1" t="s">
        <v>112</v>
      </c>
      <c r="C4328" s="1" t="s">
        <v>42</v>
      </c>
      <c r="D4328" s="1" t="s">
        <v>27</v>
      </c>
      <c r="E4328" s="46">
        <v>46088</v>
      </c>
      <c r="F4328" s="46">
        <v>46088</v>
      </c>
      <c r="G4328" s="41">
        <v>124</v>
      </c>
      <c r="H4328" s="1" t="s">
        <v>28</v>
      </c>
      <c r="I4328" s="1">
        <v>0</v>
      </c>
      <c r="J4328" s="1">
        <v>0</v>
      </c>
      <c r="K4328" s="1">
        <v>0</v>
      </c>
      <c r="L4328" s="41">
        <v>1</v>
      </c>
      <c r="M4328" s="41">
        <v>0</v>
      </c>
      <c r="N4328" s="1">
        <v>0</v>
      </c>
      <c r="O4328" s="1">
        <v>0</v>
      </c>
      <c r="P4328" s="1">
        <v>0</v>
      </c>
      <c r="Q4328" s="1">
        <v>170</v>
      </c>
      <c r="R4328" s="41">
        <v>1</v>
      </c>
      <c r="S4328" s="41">
        <v>0</v>
      </c>
      <c r="T4328" s="1">
        <v>170</v>
      </c>
      <c r="U4328" s="1">
        <v>8</v>
      </c>
      <c r="V4328" s="41">
        <v>1</v>
      </c>
      <c r="W4328" s="41">
        <v>0</v>
      </c>
      <c r="X4328" s="1">
        <v>10</v>
      </c>
      <c r="Y4328" s="1" t="s">
        <v>3316</v>
      </c>
    </row>
    <row r="4329" spans="1:25" hidden="1" x14ac:dyDescent="0.25">
      <c r="A4329" t="s">
        <v>36</v>
      </c>
      <c r="B4329" t="s">
        <v>122</v>
      </c>
      <c r="C4329" t="s">
        <v>2534</v>
      </c>
      <c r="D4329" t="s">
        <v>27</v>
      </c>
      <c r="E4329" s="43">
        <v>46088</v>
      </c>
      <c r="F4329" s="43">
        <v>46088</v>
      </c>
      <c r="G4329" s="3">
        <v>37</v>
      </c>
      <c r="H4329" s="4" t="s">
        <v>28</v>
      </c>
      <c r="I4329">
        <v>0</v>
      </c>
      <c r="J4329">
        <v>0</v>
      </c>
      <c r="K4329">
        <v>0</v>
      </c>
      <c r="L4329" s="3">
        <v>0</v>
      </c>
      <c r="M4329" s="3">
        <v>0</v>
      </c>
      <c r="N4329">
        <v>0</v>
      </c>
      <c r="O4329">
        <v>0</v>
      </c>
      <c r="P4329">
        <v>0</v>
      </c>
      <c r="Q4329">
        <v>9</v>
      </c>
      <c r="R4329" s="3">
        <v>1</v>
      </c>
      <c r="S4329" s="3">
        <v>0</v>
      </c>
      <c r="T4329">
        <v>9</v>
      </c>
      <c r="U4329">
        <f>14+5</f>
        <v>19</v>
      </c>
      <c r="V4329" s="3">
        <v>0</v>
      </c>
      <c r="W4329" s="3">
        <v>0</v>
      </c>
      <c r="X4329">
        <v>2</v>
      </c>
      <c r="Y4329" t="s">
        <v>3317</v>
      </c>
    </row>
    <row r="4330" spans="1:25" hidden="1" x14ac:dyDescent="0.25">
      <c r="A4330" t="s">
        <v>54</v>
      </c>
      <c r="B4330" t="s">
        <v>122</v>
      </c>
      <c r="C4330" t="s">
        <v>52</v>
      </c>
      <c r="D4330" t="s">
        <v>27</v>
      </c>
      <c r="E4330" s="43">
        <v>46088</v>
      </c>
      <c r="F4330" s="43">
        <v>46088</v>
      </c>
      <c r="G4330" s="3">
        <v>157</v>
      </c>
      <c r="H4330" s="4" t="s">
        <v>28</v>
      </c>
      <c r="I4330">
        <v>0</v>
      </c>
      <c r="J4330">
        <v>0</v>
      </c>
      <c r="K4330">
        <v>0</v>
      </c>
      <c r="L4330" s="3">
        <v>0</v>
      </c>
      <c r="M4330" s="3">
        <v>0</v>
      </c>
      <c r="N4330">
        <v>0</v>
      </c>
      <c r="O4330">
        <v>0</v>
      </c>
      <c r="P4330">
        <v>0</v>
      </c>
      <c r="Q4330">
        <v>7</v>
      </c>
      <c r="R4330" s="3">
        <v>1</v>
      </c>
      <c r="S4330" s="3">
        <v>0</v>
      </c>
      <c r="T4330">
        <v>14</v>
      </c>
      <c r="U4330">
        <v>41</v>
      </c>
      <c r="V4330" s="3">
        <v>1</v>
      </c>
      <c r="W4330" s="3">
        <v>0</v>
      </c>
      <c r="X4330">
        <v>9</v>
      </c>
      <c r="Y4330" t="s">
        <v>3318</v>
      </c>
    </row>
    <row r="4331" spans="1:25" hidden="1" x14ac:dyDescent="0.25">
      <c r="A4331" t="s">
        <v>33</v>
      </c>
      <c r="B4331" t="s">
        <v>106</v>
      </c>
      <c r="C4331" t="s">
        <v>37</v>
      </c>
      <c r="D4331" t="s">
        <v>27</v>
      </c>
      <c r="E4331" s="43">
        <v>46089</v>
      </c>
      <c r="F4331" s="43">
        <v>46089</v>
      </c>
      <c r="G4331" s="3">
        <v>149</v>
      </c>
      <c r="H4331" t="s">
        <v>28</v>
      </c>
      <c r="I4331">
        <v>0</v>
      </c>
      <c r="J4331">
        <v>0</v>
      </c>
      <c r="K4331">
        <v>0</v>
      </c>
      <c r="L4331" s="3">
        <v>1</v>
      </c>
      <c r="M4331" s="3">
        <v>0</v>
      </c>
      <c r="N4331">
        <v>0</v>
      </c>
      <c r="O4331">
        <v>0</v>
      </c>
      <c r="P4331">
        <v>0</v>
      </c>
      <c r="Q4331">
        <v>0</v>
      </c>
      <c r="R4331" s="3">
        <v>0</v>
      </c>
      <c r="S4331" s="3">
        <v>1</v>
      </c>
      <c r="T4331">
        <v>6</v>
      </c>
      <c r="U4331">
        <f>27+11+5</f>
        <v>43</v>
      </c>
      <c r="V4331" s="3">
        <v>0</v>
      </c>
      <c r="W4331" s="3">
        <v>1</v>
      </c>
      <c r="X4331">
        <v>1</v>
      </c>
      <c r="Y4331" t="s">
        <v>3319</v>
      </c>
    </row>
    <row r="4332" spans="1:25" hidden="1" x14ac:dyDescent="0.25">
      <c r="A4332" t="s">
        <v>54</v>
      </c>
      <c r="B4332" t="s">
        <v>122</v>
      </c>
      <c r="C4332" t="s">
        <v>52</v>
      </c>
      <c r="D4332" t="s">
        <v>27</v>
      </c>
      <c r="E4332" s="43">
        <v>46089</v>
      </c>
      <c r="F4332" s="43">
        <v>46089</v>
      </c>
      <c r="G4332" s="3">
        <v>85</v>
      </c>
      <c r="H4332" t="s">
        <v>28</v>
      </c>
      <c r="I4332">
        <v>0</v>
      </c>
      <c r="J4332">
        <v>0</v>
      </c>
      <c r="K4332">
        <v>0</v>
      </c>
      <c r="L4332" s="3">
        <v>0</v>
      </c>
      <c r="M4332" s="3">
        <v>0</v>
      </c>
      <c r="N4332">
        <v>0</v>
      </c>
      <c r="O4332">
        <v>0</v>
      </c>
      <c r="P4332">
        <v>0</v>
      </c>
      <c r="Q4332">
        <v>0</v>
      </c>
      <c r="R4332" s="3">
        <v>0</v>
      </c>
      <c r="S4332" s="3">
        <v>1</v>
      </c>
      <c r="T4332">
        <v>15</v>
      </c>
      <c r="U4332">
        <f>25+40</f>
        <v>65</v>
      </c>
      <c r="V4332" s="3">
        <v>0</v>
      </c>
      <c r="W4332" s="3">
        <v>1</v>
      </c>
      <c r="X4332">
        <v>9</v>
      </c>
      <c r="Y4332" t="s">
        <v>3320</v>
      </c>
    </row>
    <row r="4333" spans="1:25" s="1" customFormat="1" hidden="1" x14ac:dyDescent="0.25">
      <c r="A4333" s="1" t="s">
        <v>41</v>
      </c>
      <c r="B4333" s="1" t="s">
        <v>106</v>
      </c>
      <c r="C4333" s="1" t="s">
        <v>42</v>
      </c>
      <c r="D4333" s="1" t="s">
        <v>27</v>
      </c>
      <c r="E4333" s="46">
        <v>46089</v>
      </c>
      <c r="F4333" s="46">
        <v>46089</v>
      </c>
      <c r="G4333" s="41">
        <v>149</v>
      </c>
      <c r="H4333" s="1" t="s">
        <v>28</v>
      </c>
      <c r="I4333" s="1">
        <v>0</v>
      </c>
      <c r="J4333" s="1">
        <v>0</v>
      </c>
      <c r="K4333" s="1">
        <v>0</v>
      </c>
      <c r="L4333" s="41">
        <v>1</v>
      </c>
      <c r="M4333" s="41">
        <v>0</v>
      </c>
      <c r="N4333" s="1">
        <v>0</v>
      </c>
      <c r="O4333" s="1">
        <v>0</v>
      </c>
      <c r="P4333" s="1">
        <v>0</v>
      </c>
      <c r="Q4333" s="1">
        <v>160</v>
      </c>
      <c r="R4333" s="41">
        <v>0</v>
      </c>
      <c r="S4333" s="41">
        <v>1</v>
      </c>
      <c r="T4333" s="1">
        <v>160</v>
      </c>
      <c r="U4333" s="1">
        <v>0</v>
      </c>
      <c r="V4333" s="41">
        <v>0</v>
      </c>
      <c r="W4333" s="41">
        <v>1</v>
      </c>
      <c r="X4333" s="1">
        <v>10</v>
      </c>
      <c r="Y4333" s="1" t="s">
        <v>3319</v>
      </c>
    </row>
    <row r="4334" spans="1:25" hidden="1" x14ac:dyDescent="0.25">
      <c r="A4334" t="s">
        <v>25</v>
      </c>
      <c r="B4334" t="s">
        <v>96</v>
      </c>
      <c r="C4334" t="s">
        <v>26</v>
      </c>
      <c r="D4334" t="s">
        <v>27</v>
      </c>
      <c r="E4334" s="2">
        <v>46090</v>
      </c>
      <c r="F4334" s="2">
        <v>46090</v>
      </c>
      <c r="G4334" s="3">
        <v>48</v>
      </c>
      <c r="H4334" s="4" t="s">
        <v>28</v>
      </c>
      <c r="I4334">
        <f>24+10</f>
        <v>34</v>
      </c>
      <c r="J4334">
        <v>0</v>
      </c>
      <c r="K4334">
        <v>0</v>
      </c>
      <c r="L4334" s="3">
        <v>1</v>
      </c>
      <c r="M4334" s="3">
        <v>0</v>
      </c>
      <c r="N4334">
        <v>1</v>
      </c>
      <c r="O4334">
        <v>0</v>
      </c>
      <c r="P4334">
        <v>0</v>
      </c>
      <c r="Q4334">
        <v>0</v>
      </c>
      <c r="R4334" s="3">
        <v>0</v>
      </c>
      <c r="S4334" s="3">
        <v>0</v>
      </c>
      <c r="T4334">
        <v>0</v>
      </c>
      <c r="U4334">
        <v>0</v>
      </c>
      <c r="V4334" s="3">
        <v>0</v>
      </c>
      <c r="W4334" s="3">
        <v>0</v>
      </c>
      <c r="X4334">
        <v>0</v>
      </c>
      <c r="Y4334" t="s">
        <v>3321</v>
      </c>
    </row>
    <row r="4335" spans="1:25" hidden="1" x14ac:dyDescent="0.25">
      <c r="A4335" t="s">
        <v>344</v>
      </c>
      <c r="B4335" t="s">
        <v>102</v>
      </c>
      <c r="C4335" t="s">
        <v>27</v>
      </c>
      <c r="D4335" t="s">
        <v>27</v>
      </c>
      <c r="E4335" s="2">
        <v>46082</v>
      </c>
      <c r="F4335" s="2">
        <v>46082</v>
      </c>
      <c r="G4335" s="3">
        <v>25</v>
      </c>
      <c r="H4335" s="4" t="s">
        <v>180</v>
      </c>
      <c r="I4335">
        <v>0</v>
      </c>
      <c r="J4335">
        <v>0</v>
      </c>
      <c r="K4335">
        <v>0</v>
      </c>
      <c r="L4335" s="3">
        <v>0</v>
      </c>
      <c r="M4335" s="3">
        <v>0</v>
      </c>
      <c r="N4335">
        <v>0</v>
      </c>
      <c r="O4335">
        <v>0</v>
      </c>
      <c r="P4335">
        <v>0</v>
      </c>
      <c r="Q4335">
        <v>0</v>
      </c>
      <c r="R4335" s="3">
        <v>0</v>
      </c>
      <c r="S4335" s="3">
        <v>0</v>
      </c>
      <c r="T4335">
        <v>0</v>
      </c>
      <c r="U4335">
        <v>0</v>
      </c>
      <c r="V4335" s="3">
        <v>0</v>
      </c>
      <c r="W4335" s="3">
        <v>0</v>
      </c>
      <c r="X4335">
        <v>0</v>
      </c>
      <c r="Y4335" t="s">
        <v>3322</v>
      </c>
    </row>
    <row r="4336" spans="1:25" hidden="1" x14ac:dyDescent="0.25">
      <c r="A4336" t="s">
        <v>344</v>
      </c>
      <c r="B4336" t="s">
        <v>102</v>
      </c>
      <c r="C4336" t="s">
        <v>27</v>
      </c>
      <c r="D4336" t="s">
        <v>27</v>
      </c>
      <c r="E4336" s="2">
        <v>46083</v>
      </c>
      <c r="F4336" s="2">
        <v>46083</v>
      </c>
      <c r="G4336" s="3">
        <v>25</v>
      </c>
      <c r="H4336" s="4" t="s">
        <v>180</v>
      </c>
      <c r="I4336">
        <v>0</v>
      </c>
      <c r="J4336">
        <v>0</v>
      </c>
      <c r="K4336">
        <v>0</v>
      </c>
      <c r="L4336" s="3">
        <v>0</v>
      </c>
      <c r="M4336" s="3">
        <v>0</v>
      </c>
      <c r="N4336">
        <v>0</v>
      </c>
      <c r="O4336">
        <v>0</v>
      </c>
      <c r="P4336">
        <v>0</v>
      </c>
      <c r="Q4336">
        <v>0</v>
      </c>
      <c r="R4336" s="3">
        <v>0</v>
      </c>
      <c r="S4336" s="3">
        <v>0</v>
      </c>
      <c r="T4336">
        <v>0</v>
      </c>
      <c r="U4336">
        <v>0</v>
      </c>
      <c r="V4336" s="3">
        <v>0</v>
      </c>
      <c r="W4336" s="3">
        <v>0</v>
      </c>
      <c r="X4336">
        <v>0</v>
      </c>
      <c r="Y4336" t="s">
        <v>3322</v>
      </c>
    </row>
    <row r="4337" spans="1:25" hidden="1" x14ac:dyDescent="0.25">
      <c r="A4337" t="s">
        <v>344</v>
      </c>
      <c r="B4337" t="s">
        <v>102</v>
      </c>
      <c r="C4337" t="s">
        <v>27</v>
      </c>
      <c r="D4337" t="s">
        <v>27</v>
      </c>
      <c r="E4337" s="2">
        <v>46084</v>
      </c>
      <c r="F4337" s="2">
        <v>46084</v>
      </c>
      <c r="G4337" s="3">
        <v>25</v>
      </c>
      <c r="H4337" s="4" t="s">
        <v>180</v>
      </c>
      <c r="I4337">
        <v>0</v>
      </c>
      <c r="J4337">
        <v>0</v>
      </c>
      <c r="K4337">
        <v>0</v>
      </c>
      <c r="L4337" s="3">
        <v>0</v>
      </c>
      <c r="M4337" s="3">
        <v>0</v>
      </c>
      <c r="N4337">
        <v>0</v>
      </c>
      <c r="O4337">
        <v>0</v>
      </c>
      <c r="P4337">
        <v>0</v>
      </c>
      <c r="Q4337">
        <v>0</v>
      </c>
      <c r="R4337" s="3">
        <v>0</v>
      </c>
      <c r="S4337" s="3">
        <v>0</v>
      </c>
      <c r="T4337">
        <v>0</v>
      </c>
      <c r="U4337">
        <v>0</v>
      </c>
      <c r="V4337" s="3">
        <v>0</v>
      </c>
      <c r="W4337" s="3">
        <v>0</v>
      </c>
      <c r="X4337">
        <v>0</v>
      </c>
      <c r="Y4337" t="s">
        <v>3322</v>
      </c>
    </row>
    <row r="4338" spans="1:25" hidden="1" x14ac:dyDescent="0.25">
      <c r="A4338" t="s">
        <v>344</v>
      </c>
      <c r="B4338" t="s">
        <v>102</v>
      </c>
      <c r="C4338" t="s">
        <v>27</v>
      </c>
      <c r="D4338" t="s">
        <v>27</v>
      </c>
      <c r="E4338" s="2">
        <v>46085</v>
      </c>
      <c r="F4338" s="2">
        <v>46085</v>
      </c>
      <c r="G4338" s="3">
        <v>25</v>
      </c>
      <c r="H4338" s="4" t="s">
        <v>180</v>
      </c>
      <c r="I4338">
        <v>0</v>
      </c>
      <c r="J4338">
        <v>0</v>
      </c>
      <c r="K4338">
        <v>0</v>
      </c>
      <c r="L4338" s="3">
        <v>0</v>
      </c>
      <c r="M4338" s="3">
        <v>0</v>
      </c>
      <c r="N4338">
        <v>0</v>
      </c>
      <c r="O4338">
        <v>0</v>
      </c>
      <c r="P4338">
        <v>0</v>
      </c>
      <c r="Q4338">
        <v>0</v>
      </c>
      <c r="R4338" s="3">
        <v>0</v>
      </c>
      <c r="S4338" s="3">
        <v>0</v>
      </c>
      <c r="T4338">
        <v>0</v>
      </c>
      <c r="U4338">
        <v>0</v>
      </c>
      <c r="V4338" s="3">
        <v>0</v>
      </c>
      <c r="W4338" s="3">
        <v>0</v>
      </c>
      <c r="X4338">
        <v>0</v>
      </c>
      <c r="Y4338" t="s">
        <v>3322</v>
      </c>
    </row>
    <row r="4339" spans="1:25" hidden="1" x14ac:dyDescent="0.25">
      <c r="A4339" t="s">
        <v>344</v>
      </c>
      <c r="B4339" t="s">
        <v>102</v>
      </c>
      <c r="C4339" t="s">
        <v>27</v>
      </c>
      <c r="D4339" t="s">
        <v>27</v>
      </c>
      <c r="E4339" s="2">
        <v>46086</v>
      </c>
      <c r="F4339" s="2">
        <v>46086</v>
      </c>
      <c r="G4339" s="3">
        <v>25</v>
      </c>
      <c r="H4339" s="4" t="s">
        <v>180</v>
      </c>
      <c r="I4339">
        <v>0</v>
      </c>
      <c r="J4339">
        <v>0</v>
      </c>
      <c r="K4339">
        <v>0</v>
      </c>
      <c r="L4339" s="3">
        <v>0</v>
      </c>
      <c r="M4339" s="3">
        <v>0</v>
      </c>
      <c r="N4339">
        <v>0</v>
      </c>
      <c r="O4339">
        <v>0</v>
      </c>
      <c r="P4339">
        <v>0</v>
      </c>
      <c r="Q4339">
        <v>0</v>
      </c>
      <c r="R4339" s="3">
        <v>0</v>
      </c>
      <c r="S4339" s="3">
        <v>0</v>
      </c>
      <c r="T4339">
        <v>0</v>
      </c>
      <c r="U4339">
        <v>0</v>
      </c>
      <c r="V4339" s="3">
        <v>0</v>
      </c>
      <c r="W4339" s="3">
        <v>0</v>
      </c>
      <c r="X4339">
        <v>0</v>
      </c>
      <c r="Y4339" t="s">
        <v>3322</v>
      </c>
    </row>
    <row r="4340" spans="1:25" hidden="1" x14ac:dyDescent="0.25">
      <c r="A4340" t="s">
        <v>344</v>
      </c>
      <c r="B4340" t="s">
        <v>102</v>
      </c>
      <c r="C4340" t="s">
        <v>27</v>
      </c>
      <c r="D4340" t="s">
        <v>27</v>
      </c>
      <c r="E4340" s="2">
        <v>46087</v>
      </c>
      <c r="F4340" s="2">
        <v>46087</v>
      </c>
      <c r="G4340" s="3">
        <v>25</v>
      </c>
      <c r="H4340" s="4" t="s">
        <v>180</v>
      </c>
      <c r="I4340">
        <v>0</v>
      </c>
      <c r="J4340">
        <v>0</v>
      </c>
      <c r="K4340">
        <v>0</v>
      </c>
      <c r="L4340" s="3">
        <v>0</v>
      </c>
      <c r="M4340" s="3">
        <v>0</v>
      </c>
      <c r="N4340">
        <v>0</v>
      </c>
      <c r="O4340">
        <v>0</v>
      </c>
      <c r="P4340">
        <v>0</v>
      </c>
      <c r="Q4340">
        <v>0</v>
      </c>
      <c r="R4340" s="3">
        <v>0</v>
      </c>
      <c r="S4340" s="3">
        <v>0</v>
      </c>
      <c r="T4340">
        <v>0</v>
      </c>
      <c r="U4340">
        <v>0</v>
      </c>
      <c r="V4340" s="3">
        <v>0</v>
      </c>
      <c r="W4340" s="3">
        <v>0</v>
      </c>
      <c r="X4340">
        <v>0</v>
      </c>
      <c r="Y4340" t="s">
        <v>3322</v>
      </c>
    </row>
    <row r="4341" spans="1:25" hidden="1" x14ac:dyDescent="0.25">
      <c r="A4341" t="s">
        <v>344</v>
      </c>
      <c r="B4341" t="s">
        <v>102</v>
      </c>
      <c r="C4341" t="s">
        <v>27</v>
      </c>
      <c r="D4341" t="s">
        <v>27</v>
      </c>
      <c r="E4341" s="2">
        <v>46088</v>
      </c>
      <c r="F4341" s="2">
        <v>46088</v>
      </c>
      <c r="G4341" s="3">
        <v>25</v>
      </c>
      <c r="H4341" s="4" t="s">
        <v>180</v>
      </c>
      <c r="I4341">
        <v>0</v>
      </c>
      <c r="J4341">
        <v>0</v>
      </c>
      <c r="K4341">
        <v>0</v>
      </c>
      <c r="L4341" s="3">
        <v>0</v>
      </c>
      <c r="M4341" s="3">
        <v>0</v>
      </c>
      <c r="N4341">
        <v>0</v>
      </c>
      <c r="O4341">
        <v>0</v>
      </c>
      <c r="P4341">
        <v>0</v>
      </c>
      <c r="Q4341">
        <v>0</v>
      </c>
      <c r="R4341" s="3">
        <v>0</v>
      </c>
      <c r="S4341" s="3">
        <v>0</v>
      </c>
      <c r="T4341">
        <v>0</v>
      </c>
      <c r="U4341">
        <v>0</v>
      </c>
      <c r="V4341" s="3">
        <v>0</v>
      </c>
      <c r="W4341" s="3">
        <v>0</v>
      </c>
      <c r="X4341">
        <v>0</v>
      </c>
      <c r="Y4341" t="s">
        <v>3322</v>
      </c>
    </row>
    <row r="4342" spans="1:25" hidden="1" x14ac:dyDescent="0.25">
      <c r="A4342" t="s">
        <v>344</v>
      </c>
      <c r="B4342" t="s">
        <v>102</v>
      </c>
      <c r="C4342" t="s">
        <v>27</v>
      </c>
      <c r="D4342" t="s">
        <v>27</v>
      </c>
      <c r="E4342" s="2">
        <v>46089</v>
      </c>
      <c r="F4342" s="2">
        <v>46089</v>
      </c>
      <c r="G4342" s="3">
        <v>25</v>
      </c>
      <c r="H4342" s="4" t="s">
        <v>180</v>
      </c>
      <c r="I4342">
        <v>0</v>
      </c>
      <c r="J4342">
        <v>0</v>
      </c>
      <c r="K4342">
        <v>0</v>
      </c>
      <c r="L4342" s="3">
        <v>0</v>
      </c>
      <c r="M4342" s="3">
        <v>0</v>
      </c>
      <c r="N4342">
        <v>0</v>
      </c>
      <c r="O4342">
        <v>0</v>
      </c>
      <c r="P4342">
        <v>0</v>
      </c>
      <c r="Q4342">
        <v>0</v>
      </c>
      <c r="R4342" s="3">
        <v>0</v>
      </c>
      <c r="S4342" s="3">
        <v>0</v>
      </c>
      <c r="T4342">
        <v>0</v>
      </c>
      <c r="U4342">
        <v>0</v>
      </c>
      <c r="V4342" s="3">
        <v>0</v>
      </c>
      <c r="W4342" s="3">
        <v>0</v>
      </c>
      <c r="X4342">
        <v>0</v>
      </c>
      <c r="Y4342" t="s">
        <v>3322</v>
      </c>
    </row>
    <row r="4343" spans="1:25" hidden="1" x14ac:dyDescent="0.25">
      <c r="A4343" t="s">
        <v>344</v>
      </c>
      <c r="B4343" t="s">
        <v>102</v>
      </c>
      <c r="C4343" t="s">
        <v>35</v>
      </c>
      <c r="D4343" t="s">
        <v>27</v>
      </c>
      <c r="E4343" s="2">
        <v>46090</v>
      </c>
      <c r="F4343" s="2">
        <v>46090</v>
      </c>
      <c r="G4343" s="3">
        <v>25</v>
      </c>
      <c r="H4343" s="4" t="s">
        <v>28</v>
      </c>
      <c r="I4343">
        <v>42</v>
      </c>
      <c r="J4343">
        <v>0</v>
      </c>
      <c r="K4343">
        <v>0</v>
      </c>
      <c r="L4343" s="3">
        <v>0</v>
      </c>
      <c r="M4343" s="3">
        <v>0</v>
      </c>
      <c r="N4343">
        <v>0</v>
      </c>
      <c r="O4343">
        <v>0</v>
      </c>
      <c r="P4343">
        <v>0</v>
      </c>
      <c r="Q4343">
        <v>2</v>
      </c>
      <c r="R4343" s="3">
        <v>0</v>
      </c>
      <c r="S4343" s="3">
        <v>0</v>
      </c>
      <c r="T4343">
        <v>0</v>
      </c>
      <c r="U4343">
        <v>0</v>
      </c>
      <c r="V4343" s="3">
        <v>0</v>
      </c>
      <c r="W4343" s="3">
        <v>0</v>
      </c>
      <c r="X4343">
        <v>0</v>
      </c>
      <c r="Y4343" t="s">
        <v>3322</v>
      </c>
    </row>
    <row r="4344" spans="1:25" hidden="1" x14ac:dyDescent="0.25">
      <c r="A4344" t="s">
        <v>29</v>
      </c>
      <c r="B4344" t="s">
        <v>102</v>
      </c>
      <c r="C4344" t="s">
        <v>95</v>
      </c>
      <c r="D4344" t="s">
        <v>27</v>
      </c>
      <c r="E4344" s="2">
        <v>46090</v>
      </c>
      <c r="F4344" s="2">
        <v>46090</v>
      </c>
      <c r="G4344" s="3">
        <v>25</v>
      </c>
      <c r="H4344" s="4" t="s">
        <v>28</v>
      </c>
      <c r="I4344">
        <v>53</v>
      </c>
      <c r="J4344">
        <v>0</v>
      </c>
      <c r="K4344">
        <v>0</v>
      </c>
      <c r="L4344" s="3">
        <v>0</v>
      </c>
      <c r="M4344" s="3">
        <v>0</v>
      </c>
      <c r="N4344">
        <v>0</v>
      </c>
      <c r="O4344">
        <v>0</v>
      </c>
      <c r="P4344">
        <v>0</v>
      </c>
      <c r="Q4344">
        <v>2</v>
      </c>
      <c r="R4344" s="3">
        <v>0</v>
      </c>
      <c r="S4344" s="3">
        <v>0</v>
      </c>
      <c r="T4344">
        <v>0</v>
      </c>
      <c r="U4344">
        <v>0</v>
      </c>
      <c r="V4344" s="3">
        <v>0</v>
      </c>
      <c r="W4344" s="3">
        <v>0</v>
      </c>
      <c r="X4344">
        <v>0</v>
      </c>
      <c r="Y4344" t="s">
        <v>3322</v>
      </c>
    </row>
    <row r="4345" spans="1:25" ht="17.25" hidden="1" customHeight="1" x14ac:dyDescent="0.25">
      <c r="A4345" t="s">
        <v>27</v>
      </c>
      <c r="B4345" t="s">
        <v>106</v>
      </c>
      <c r="C4345" t="s">
        <v>57</v>
      </c>
      <c r="D4345" t="s">
        <v>27</v>
      </c>
      <c r="E4345" s="2">
        <v>46075</v>
      </c>
      <c r="F4345" s="2">
        <v>46075</v>
      </c>
      <c r="G4345" s="3">
        <v>25</v>
      </c>
      <c r="H4345" s="4" t="s">
        <v>180</v>
      </c>
      <c r="I4345">
        <v>0</v>
      </c>
      <c r="J4345">
        <v>0</v>
      </c>
      <c r="K4345">
        <v>0</v>
      </c>
      <c r="L4345" s="3">
        <v>0</v>
      </c>
      <c r="M4345" s="3">
        <v>0</v>
      </c>
      <c r="N4345">
        <v>0</v>
      </c>
      <c r="O4345">
        <v>0</v>
      </c>
      <c r="P4345">
        <v>0</v>
      </c>
      <c r="Q4345">
        <v>0</v>
      </c>
      <c r="R4345" s="3">
        <v>0</v>
      </c>
      <c r="S4345" s="3">
        <v>0</v>
      </c>
      <c r="T4345">
        <v>0</v>
      </c>
      <c r="U4345">
        <v>0</v>
      </c>
      <c r="V4345" s="3">
        <v>0</v>
      </c>
      <c r="W4345" s="3">
        <v>0</v>
      </c>
      <c r="X4345">
        <v>0</v>
      </c>
      <c r="Y4345" t="s">
        <v>3324</v>
      </c>
    </row>
    <row r="4346" spans="1:25" ht="17.25" hidden="1" customHeight="1" x14ac:dyDescent="0.25">
      <c r="A4346" t="s">
        <v>27</v>
      </c>
      <c r="B4346" t="s">
        <v>106</v>
      </c>
      <c r="C4346" t="s">
        <v>57</v>
      </c>
      <c r="D4346" t="s">
        <v>27</v>
      </c>
      <c r="E4346" s="2">
        <v>46076</v>
      </c>
      <c r="F4346" s="2">
        <v>46076</v>
      </c>
      <c r="G4346" s="3">
        <v>25</v>
      </c>
      <c r="H4346" s="4" t="s">
        <v>180</v>
      </c>
      <c r="I4346">
        <v>0</v>
      </c>
      <c r="J4346">
        <v>0</v>
      </c>
      <c r="K4346">
        <v>0</v>
      </c>
      <c r="L4346" s="3">
        <v>0</v>
      </c>
      <c r="M4346" s="3">
        <v>0</v>
      </c>
      <c r="N4346">
        <v>0</v>
      </c>
      <c r="O4346">
        <v>0</v>
      </c>
      <c r="P4346">
        <v>0</v>
      </c>
      <c r="Q4346">
        <v>0</v>
      </c>
      <c r="R4346" s="3">
        <v>0</v>
      </c>
      <c r="S4346" s="3">
        <v>0</v>
      </c>
      <c r="T4346">
        <v>0</v>
      </c>
      <c r="U4346">
        <v>0</v>
      </c>
      <c r="V4346" s="3">
        <v>0</v>
      </c>
      <c r="W4346" s="3">
        <v>0</v>
      </c>
      <c r="X4346">
        <v>0</v>
      </c>
      <c r="Y4346" t="s">
        <v>3324</v>
      </c>
    </row>
    <row r="4347" spans="1:25" ht="17.25" hidden="1" customHeight="1" x14ac:dyDescent="0.25">
      <c r="A4347" t="s">
        <v>27</v>
      </c>
      <c r="B4347" t="s">
        <v>106</v>
      </c>
      <c r="C4347" t="s">
        <v>57</v>
      </c>
      <c r="D4347" t="s">
        <v>27</v>
      </c>
      <c r="E4347" s="2">
        <v>46077</v>
      </c>
      <c r="F4347" s="2">
        <v>46077</v>
      </c>
      <c r="G4347" s="3">
        <v>25</v>
      </c>
      <c r="H4347" s="4" t="s">
        <v>180</v>
      </c>
      <c r="I4347">
        <v>0</v>
      </c>
      <c r="J4347">
        <v>0</v>
      </c>
      <c r="K4347">
        <v>0</v>
      </c>
      <c r="L4347" s="3">
        <v>0</v>
      </c>
      <c r="M4347" s="3">
        <v>0</v>
      </c>
      <c r="N4347">
        <v>0</v>
      </c>
      <c r="O4347">
        <v>0</v>
      </c>
      <c r="P4347">
        <v>0</v>
      </c>
      <c r="Q4347">
        <v>0</v>
      </c>
      <c r="R4347" s="3">
        <v>0</v>
      </c>
      <c r="S4347" s="3">
        <v>0</v>
      </c>
      <c r="T4347">
        <v>0</v>
      </c>
      <c r="U4347">
        <v>0</v>
      </c>
      <c r="V4347" s="3">
        <v>0</v>
      </c>
      <c r="W4347" s="3">
        <v>0</v>
      </c>
      <c r="X4347">
        <v>0</v>
      </c>
      <c r="Y4347" t="s">
        <v>3324</v>
      </c>
    </row>
    <row r="4348" spans="1:25" ht="17.25" hidden="1" customHeight="1" x14ac:dyDescent="0.25">
      <c r="A4348" t="s">
        <v>27</v>
      </c>
      <c r="B4348" t="s">
        <v>106</v>
      </c>
      <c r="C4348" t="s">
        <v>57</v>
      </c>
      <c r="D4348" t="s">
        <v>27</v>
      </c>
      <c r="E4348" s="2">
        <v>46078</v>
      </c>
      <c r="F4348" s="2">
        <v>46078</v>
      </c>
      <c r="G4348" s="3">
        <v>25</v>
      </c>
      <c r="H4348" s="4" t="s">
        <v>180</v>
      </c>
      <c r="I4348">
        <v>0</v>
      </c>
      <c r="J4348">
        <v>0</v>
      </c>
      <c r="K4348">
        <v>0</v>
      </c>
      <c r="L4348" s="3">
        <v>0</v>
      </c>
      <c r="M4348" s="3">
        <v>0</v>
      </c>
      <c r="N4348">
        <v>0</v>
      </c>
      <c r="O4348">
        <v>0</v>
      </c>
      <c r="P4348">
        <v>0</v>
      </c>
      <c r="Q4348">
        <v>0</v>
      </c>
      <c r="R4348" s="3">
        <v>0</v>
      </c>
      <c r="S4348" s="3">
        <v>0</v>
      </c>
      <c r="T4348">
        <v>0</v>
      </c>
      <c r="U4348">
        <v>0</v>
      </c>
      <c r="V4348" s="3">
        <v>0</v>
      </c>
      <c r="W4348" s="3">
        <v>0</v>
      </c>
      <c r="X4348">
        <v>0</v>
      </c>
      <c r="Y4348" t="s">
        <v>3324</v>
      </c>
    </row>
    <row r="4349" spans="1:25" ht="17.25" hidden="1" customHeight="1" x14ac:dyDescent="0.25">
      <c r="A4349" t="s">
        <v>27</v>
      </c>
      <c r="B4349" t="s">
        <v>106</v>
      </c>
      <c r="C4349" t="s">
        <v>57</v>
      </c>
      <c r="D4349" t="s">
        <v>27</v>
      </c>
      <c r="E4349" s="2">
        <v>46079</v>
      </c>
      <c r="F4349" s="2">
        <v>46079</v>
      </c>
      <c r="G4349" s="3">
        <v>25</v>
      </c>
      <c r="H4349" s="4" t="s">
        <v>180</v>
      </c>
      <c r="I4349">
        <v>0</v>
      </c>
      <c r="J4349">
        <v>0</v>
      </c>
      <c r="K4349">
        <v>0</v>
      </c>
      <c r="L4349" s="3">
        <v>0</v>
      </c>
      <c r="M4349" s="3">
        <v>0</v>
      </c>
      <c r="N4349">
        <v>0</v>
      </c>
      <c r="O4349">
        <v>0</v>
      </c>
      <c r="P4349">
        <v>0</v>
      </c>
      <c r="Q4349">
        <v>0</v>
      </c>
      <c r="R4349" s="3">
        <v>0</v>
      </c>
      <c r="S4349" s="3">
        <v>0</v>
      </c>
      <c r="T4349">
        <v>0</v>
      </c>
      <c r="U4349">
        <v>0</v>
      </c>
      <c r="V4349" s="3">
        <v>0</v>
      </c>
      <c r="W4349" s="3">
        <v>0</v>
      </c>
      <c r="X4349">
        <v>0</v>
      </c>
      <c r="Y4349" t="s">
        <v>3324</v>
      </c>
    </row>
    <row r="4350" spans="1:25" ht="17.25" hidden="1" customHeight="1" x14ac:dyDescent="0.25">
      <c r="A4350" t="s">
        <v>27</v>
      </c>
      <c r="B4350" t="s">
        <v>106</v>
      </c>
      <c r="C4350" t="s">
        <v>57</v>
      </c>
      <c r="D4350" t="s">
        <v>27</v>
      </c>
      <c r="E4350" s="2">
        <v>46080</v>
      </c>
      <c r="F4350" s="2">
        <v>46080</v>
      </c>
      <c r="G4350" s="3">
        <v>25</v>
      </c>
      <c r="H4350" s="4" t="s">
        <v>180</v>
      </c>
      <c r="I4350">
        <v>0</v>
      </c>
      <c r="J4350">
        <v>0</v>
      </c>
      <c r="K4350">
        <v>0</v>
      </c>
      <c r="L4350" s="3">
        <v>0</v>
      </c>
      <c r="M4350" s="3">
        <v>0</v>
      </c>
      <c r="N4350">
        <v>0</v>
      </c>
      <c r="O4350">
        <v>0</v>
      </c>
      <c r="P4350">
        <v>0</v>
      </c>
      <c r="Q4350">
        <v>0</v>
      </c>
      <c r="R4350" s="3">
        <v>0</v>
      </c>
      <c r="S4350" s="3">
        <v>0</v>
      </c>
      <c r="T4350">
        <v>0</v>
      </c>
      <c r="U4350">
        <v>0</v>
      </c>
      <c r="V4350" s="3">
        <v>0</v>
      </c>
      <c r="W4350" s="3">
        <v>0</v>
      </c>
      <c r="X4350">
        <v>0</v>
      </c>
      <c r="Y4350" t="s">
        <v>3324</v>
      </c>
    </row>
    <row r="4351" spans="1:25" ht="17.25" hidden="1" customHeight="1" x14ac:dyDescent="0.25">
      <c r="A4351" t="s">
        <v>27</v>
      </c>
      <c r="B4351" t="s">
        <v>106</v>
      </c>
      <c r="C4351" t="s">
        <v>57</v>
      </c>
      <c r="D4351" t="s">
        <v>27</v>
      </c>
      <c r="E4351" s="2">
        <v>46081</v>
      </c>
      <c r="F4351" s="2">
        <v>46081</v>
      </c>
      <c r="G4351" s="3">
        <v>25</v>
      </c>
      <c r="H4351" s="4" t="s">
        <v>180</v>
      </c>
      <c r="I4351">
        <v>0</v>
      </c>
      <c r="J4351">
        <v>0</v>
      </c>
      <c r="K4351">
        <v>0</v>
      </c>
      <c r="L4351" s="3">
        <v>0</v>
      </c>
      <c r="M4351" s="3">
        <v>0</v>
      </c>
      <c r="N4351">
        <v>0</v>
      </c>
      <c r="O4351">
        <v>0</v>
      </c>
      <c r="P4351">
        <v>0</v>
      </c>
      <c r="Q4351">
        <v>0</v>
      </c>
      <c r="R4351" s="3">
        <v>0</v>
      </c>
      <c r="S4351" s="3">
        <v>0</v>
      </c>
      <c r="T4351">
        <v>0</v>
      </c>
      <c r="U4351">
        <v>0</v>
      </c>
      <c r="V4351" s="3">
        <v>0</v>
      </c>
      <c r="W4351" s="3">
        <v>0</v>
      </c>
      <c r="X4351">
        <v>0</v>
      </c>
      <c r="Y4351" t="s">
        <v>3324</v>
      </c>
    </row>
    <row r="4352" spans="1:25" ht="17.25" hidden="1" customHeight="1" x14ac:dyDescent="0.25">
      <c r="A4352" t="s">
        <v>27</v>
      </c>
      <c r="B4352" t="s">
        <v>106</v>
      </c>
      <c r="C4352" t="s">
        <v>57</v>
      </c>
      <c r="D4352" t="s">
        <v>27</v>
      </c>
      <c r="E4352" s="2">
        <v>46082</v>
      </c>
      <c r="F4352" s="2">
        <v>46082</v>
      </c>
      <c r="G4352" s="3">
        <v>25</v>
      </c>
      <c r="H4352" s="4" t="s">
        <v>180</v>
      </c>
      <c r="I4352">
        <v>0</v>
      </c>
      <c r="J4352">
        <v>0</v>
      </c>
      <c r="K4352">
        <v>0</v>
      </c>
      <c r="L4352" s="3">
        <v>0</v>
      </c>
      <c r="M4352" s="3">
        <v>0</v>
      </c>
      <c r="N4352">
        <v>0</v>
      </c>
      <c r="O4352">
        <v>0</v>
      </c>
      <c r="P4352">
        <v>0</v>
      </c>
      <c r="Q4352">
        <v>0</v>
      </c>
      <c r="R4352" s="3">
        <v>0</v>
      </c>
      <c r="S4352" s="3">
        <v>0</v>
      </c>
      <c r="T4352">
        <v>0</v>
      </c>
      <c r="U4352">
        <v>0</v>
      </c>
      <c r="V4352" s="3">
        <v>0</v>
      </c>
      <c r="W4352" s="3">
        <v>0</v>
      </c>
      <c r="X4352">
        <v>0</v>
      </c>
      <c r="Y4352" t="s">
        <v>3324</v>
      </c>
    </row>
    <row r="4353" spans="1:25" ht="17.25" hidden="1" customHeight="1" x14ac:dyDescent="0.25">
      <c r="A4353" t="s">
        <v>27</v>
      </c>
      <c r="B4353" t="s">
        <v>106</v>
      </c>
      <c r="C4353" t="s">
        <v>57</v>
      </c>
      <c r="D4353" t="s">
        <v>27</v>
      </c>
      <c r="E4353" s="2">
        <v>46083</v>
      </c>
      <c r="F4353" s="2">
        <v>46083</v>
      </c>
      <c r="G4353" s="3">
        <v>25</v>
      </c>
      <c r="H4353" s="4" t="s">
        <v>180</v>
      </c>
      <c r="I4353">
        <v>0</v>
      </c>
      <c r="J4353">
        <v>0</v>
      </c>
      <c r="K4353">
        <v>0</v>
      </c>
      <c r="L4353" s="3">
        <v>0</v>
      </c>
      <c r="M4353" s="3">
        <v>0</v>
      </c>
      <c r="N4353">
        <v>0</v>
      </c>
      <c r="O4353">
        <v>0</v>
      </c>
      <c r="P4353">
        <v>0</v>
      </c>
      <c r="Q4353">
        <v>0</v>
      </c>
      <c r="R4353" s="3">
        <v>0</v>
      </c>
      <c r="S4353" s="3">
        <v>0</v>
      </c>
      <c r="T4353">
        <v>0</v>
      </c>
      <c r="U4353">
        <v>0</v>
      </c>
      <c r="V4353" s="3">
        <v>0</v>
      </c>
      <c r="W4353" s="3">
        <v>0</v>
      </c>
      <c r="X4353">
        <v>0</v>
      </c>
      <c r="Y4353" t="s">
        <v>3324</v>
      </c>
    </row>
    <row r="4354" spans="1:25" ht="17.25" hidden="1" customHeight="1" x14ac:dyDescent="0.25">
      <c r="A4354" t="s">
        <v>27</v>
      </c>
      <c r="B4354" t="s">
        <v>106</v>
      </c>
      <c r="C4354" t="s">
        <v>57</v>
      </c>
      <c r="D4354" t="s">
        <v>27</v>
      </c>
      <c r="E4354" s="2">
        <v>46084</v>
      </c>
      <c r="F4354" s="2">
        <v>46084</v>
      </c>
      <c r="G4354" s="3">
        <v>25</v>
      </c>
      <c r="H4354" s="4" t="s">
        <v>180</v>
      </c>
      <c r="I4354">
        <v>0</v>
      </c>
      <c r="J4354">
        <v>0</v>
      </c>
      <c r="K4354">
        <v>0</v>
      </c>
      <c r="L4354" s="3">
        <v>0</v>
      </c>
      <c r="M4354" s="3">
        <v>0</v>
      </c>
      <c r="N4354">
        <v>0</v>
      </c>
      <c r="O4354">
        <v>0</v>
      </c>
      <c r="P4354">
        <v>0</v>
      </c>
      <c r="Q4354">
        <v>0</v>
      </c>
      <c r="R4354" s="3">
        <v>0</v>
      </c>
      <c r="S4354" s="3">
        <v>0</v>
      </c>
      <c r="T4354">
        <v>0</v>
      </c>
      <c r="U4354">
        <v>0</v>
      </c>
      <c r="V4354" s="3">
        <v>0</v>
      </c>
      <c r="W4354" s="3">
        <v>0</v>
      </c>
      <c r="X4354">
        <v>0</v>
      </c>
      <c r="Y4354" t="s">
        <v>3324</v>
      </c>
    </row>
    <row r="4355" spans="1:25" ht="17.25" hidden="1" customHeight="1" x14ac:dyDescent="0.25">
      <c r="A4355" t="s">
        <v>27</v>
      </c>
      <c r="B4355" t="s">
        <v>106</v>
      </c>
      <c r="C4355" t="s">
        <v>57</v>
      </c>
      <c r="D4355" t="s">
        <v>27</v>
      </c>
      <c r="E4355" s="2">
        <v>46085</v>
      </c>
      <c r="F4355" s="2">
        <v>46085</v>
      </c>
      <c r="G4355" s="3">
        <v>25</v>
      </c>
      <c r="H4355" s="4" t="s">
        <v>180</v>
      </c>
      <c r="I4355">
        <v>0</v>
      </c>
      <c r="J4355">
        <v>0</v>
      </c>
      <c r="K4355">
        <v>0</v>
      </c>
      <c r="L4355" s="3">
        <v>0</v>
      </c>
      <c r="M4355" s="3">
        <v>0</v>
      </c>
      <c r="N4355">
        <v>0</v>
      </c>
      <c r="O4355">
        <v>0</v>
      </c>
      <c r="P4355">
        <v>0</v>
      </c>
      <c r="Q4355">
        <v>0</v>
      </c>
      <c r="R4355" s="3">
        <v>0</v>
      </c>
      <c r="S4355" s="3">
        <v>0</v>
      </c>
      <c r="T4355">
        <v>0</v>
      </c>
      <c r="U4355">
        <v>0</v>
      </c>
      <c r="V4355" s="3">
        <v>0</v>
      </c>
      <c r="W4355" s="3">
        <v>0</v>
      </c>
      <c r="X4355">
        <v>0</v>
      </c>
      <c r="Y4355" t="s">
        <v>3324</v>
      </c>
    </row>
    <row r="4356" spans="1:25" ht="17.25" hidden="1" customHeight="1" x14ac:dyDescent="0.25">
      <c r="A4356" t="s">
        <v>27</v>
      </c>
      <c r="B4356" t="s">
        <v>106</v>
      </c>
      <c r="C4356" t="s">
        <v>57</v>
      </c>
      <c r="D4356" t="s">
        <v>27</v>
      </c>
      <c r="E4356" s="2">
        <v>46086</v>
      </c>
      <c r="F4356" s="2">
        <v>46086</v>
      </c>
      <c r="G4356" s="3">
        <v>25</v>
      </c>
      <c r="H4356" s="4" t="s">
        <v>180</v>
      </c>
      <c r="I4356">
        <v>0</v>
      </c>
      <c r="J4356">
        <v>0</v>
      </c>
      <c r="K4356">
        <v>0</v>
      </c>
      <c r="L4356" s="3">
        <v>0</v>
      </c>
      <c r="M4356" s="3">
        <v>0</v>
      </c>
      <c r="N4356">
        <v>0</v>
      </c>
      <c r="O4356">
        <v>0</v>
      </c>
      <c r="P4356">
        <v>0</v>
      </c>
      <c r="Q4356">
        <v>0</v>
      </c>
      <c r="R4356" s="3">
        <v>0</v>
      </c>
      <c r="S4356" s="3">
        <v>0</v>
      </c>
      <c r="T4356">
        <v>0</v>
      </c>
      <c r="U4356">
        <v>0</v>
      </c>
      <c r="V4356" s="3">
        <v>0</v>
      </c>
      <c r="W4356" s="3">
        <v>0</v>
      </c>
      <c r="X4356">
        <v>0</v>
      </c>
      <c r="Y4356" t="s">
        <v>3324</v>
      </c>
    </row>
    <row r="4357" spans="1:25" hidden="1" x14ac:dyDescent="0.25">
      <c r="A4357" t="s">
        <v>27</v>
      </c>
      <c r="B4357" t="s">
        <v>106</v>
      </c>
      <c r="C4357" t="s">
        <v>57</v>
      </c>
      <c r="D4357" t="s">
        <v>27</v>
      </c>
      <c r="E4357" s="2">
        <v>46087</v>
      </c>
      <c r="F4357" s="2">
        <v>46087</v>
      </c>
      <c r="G4357" s="3">
        <v>25</v>
      </c>
      <c r="H4357" s="4" t="s">
        <v>180</v>
      </c>
      <c r="I4357">
        <v>0</v>
      </c>
      <c r="J4357">
        <v>0</v>
      </c>
      <c r="K4357">
        <v>0</v>
      </c>
      <c r="L4357" s="3">
        <v>0</v>
      </c>
      <c r="M4357" s="3">
        <v>0</v>
      </c>
      <c r="N4357">
        <v>0</v>
      </c>
      <c r="O4357">
        <v>0</v>
      </c>
      <c r="P4357">
        <v>0</v>
      </c>
      <c r="Q4357">
        <v>0</v>
      </c>
      <c r="R4357" s="3">
        <v>0</v>
      </c>
      <c r="S4357" s="3">
        <v>0</v>
      </c>
      <c r="T4357">
        <v>0</v>
      </c>
      <c r="U4357">
        <v>0</v>
      </c>
      <c r="V4357" s="3">
        <v>0</v>
      </c>
      <c r="W4357" s="3">
        <v>0</v>
      </c>
      <c r="X4357">
        <v>0</v>
      </c>
      <c r="Y4357" t="s">
        <v>3324</v>
      </c>
    </row>
    <row r="4358" spans="1:25" hidden="1" x14ac:dyDescent="0.25">
      <c r="A4358" t="s">
        <v>27</v>
      </c>
      <c r="B4358" t="s">
        <v>106</v>
      </c>
      <c r="C4358" t="s">
        <v>57</v>
      </c>
      <c r="D4358" t="s">
        <v>27</v>
      </c>
      <c r="E4358" s="2">
        <v>46088</v>
      </c>
      <c r="F4358" s="2">
        <v>46088</v>
      </c>
      <c r="G4358" s="3">
        <v>25</v>
      </c>
      <c r="H4358" s="4" t="s">
        <v>180</v>
      </c>
      <c r="I4358">
        <v>0</v>
      </c>
      <c r="J4358">
        <v>0</v>
      </c>
      <c r="K4358">
        <v>0</v>
      </c>
      <c r="L4358" s="3">
        <v>0</v>
      </c>
      <c r="M4358" s="3">
        <v>0</v>
      </c>
      <c r="N4358">
        <v>0</v>
      </c>
      <c r="O4358">
        <v>0</v>
      </c>
      <c r="P4358">
        <v>0</v>
      </c>
      <c r="Q4358">
        <v>0</v>
      </c>
      <c r="R4358" s="3">
        <v>0</v>
      </c>
      <c r="S4358" s="3">
        <v>0</v>
      </c>
      <c r="T4358">
        <v>0</v>
      </c>
      <c r="U4358">
        <v>0</v>
      </c>
      <c r="V4358" s="3">
        <v>0</v>
      </c>
      <c r="W4358" s="3">
        <v>0</v>
      </c>
      <c r="X4358">
        <v>0</v>
      </c>
      <c r="Y4358" t="s">
        <v>3324</v>
      </c>
    </row>
    <row r="4359" spans="1:25" hidden="1" x14ac:dyDescent="0.25">
      <c r="A4359" t="s">
        <v>27</v>
      </c>
      <c r="B4359" t="s">
        <v>106</v>
      </c>
      <c r="C4359" t="s">
        <v>57</v>
      </c>
      <c r="D4359" t="s">
        <v>27</v>
      </c>
      <c r="E4359" s="2">
        <v>46089</v>
      </c>
      <c r="F4359" s="2">
        <v>46089</v>
      </c>
      <c r="G4359" s="3">
        <v>25</v>
      </c>
      <c r="H4359" s="4" t="s">
        <v>180</v>
      </c>
      <c r="I4359">
        <v>0</v>
      </c>
      <c r="J4359">
        <v>0</v>
      </c>
      <c r="K4359">
        <v>0</v>
      </c>
      <c r="L4359" s="3">
        <v>0</v>
      </c>
      <c r="M4359" s="3">
        <v>0</v>
      </c>
      <c r="N4359">
        <v>0</v>
      </c>
      <c r="O4359">
        <v>0</v>
      </c>
      <c r="P4359">
        <v>0</v>
      </c>
      <c r="Q4359">
        <v>0</v>
      </c>
      <c r="R4359" s="3">
        <v>0</v>
      </c>
      <c r="S4359" s="3">
        <v>0</v>
      </c>
      <c r="T4359">
        <v>0</v>
      </c>
      <c r="U4359">
        <v>0</v>
      </c>
      <c r="V4359" s="3">
        <v>0</v>
      </c>
      <c r="W4359" s="3">
        <v>0</v>
      </c>
      <c r="X4359">
        <v>0</v>
      </c>
      <c r="Y4359" t="s">
        <v>3324</v>
      </c>
    </row>
    <row r="4360" spans="1:25" hidden="1" x14ac:dyDescent="0.25">
      <c r="A4360" t="s">
        <v>31</v>
      </c>
      <c r="B4360" t="s">
        <v>104</v>
      </c>
      <c r="C4360" t="s">
        <v>32</v>
      </c>
      <c r="D4360" t="s">
        <v>27</v>
      </c>
      <c r="E4360" s="2">
        <v>46090</v>
      </c>
      <c r="F4360" s="2">
        <v>46090</v>
      </c>
      <c r="G4360" s="3">
        <v>128</v>
      </c>
      <c r="H4360" s="4" t="s">
        <v>28</v>
      </c>
      <c r="I4360">
        <f>84+12</f>
        <v>96</v>
      </c>
      <c r="J4360">
        <v>0</v>
      </c>
      <c r="K4360">
        <v>0</v>
      </c>
      <c r="L4360" s="3">
        <v>0</v>
      </c>
      <c r="M4360" s="3">
        <v>0</v>
      </c>
      <c r="N4360">
        <v>0</v>
      </c>
      <c r="O4360">
        <v>0</v>
      </c>
      <c r="P4360">
        <v>0</v>
      </c>
      <c r="Q4360">
        <v>42</v>
      </c>
      <c r="R4360" s="3">
        <v>0</v>
      </c>
      <c r="S4360" s="3">
        <v>0</v>
      </c>
      <c r="T4360">
        <v>0</v>
      </c>
      <c r="U4360">
        <v>0</v>
      </c>
      <c r="V4360" s="3">
        <v>0</v>
      </c>
      <c r="W4360" s="3">
        <v>0</v>
      </c>
      <c r="X4360">
        <v>10</v>
      </c>
      <c r="Y4360" t="s">
        <v>3323</v>
      </c>
    </row>
    <row r="4361" spans="1:25" hidden="1" x14ac:dyDescent="0.25">
      <c r="A4361" t="s">
        <v>33</v>
      </c>
      <c r="B4361" t="s">
        <v>106</v>
      </c>
      <c r="C4361" t="s">
        <v>57</v>
      </c>
      <c r="D4361" t="s">
        <v>27</v>
      </c>
      <c r="E4361" s="2">
        <v>46090</v>
      </c>
      <c r="F4361" s="2">
        <v>46090</v>
      </c>
      <c r="G4361" s="3">
        <v>25</v>
      </c>
      <c r="H4361" s="4" t="s">
        <v>28</v>
      </c>
      <c r="I4361">
        <f>65+3</f>
        <v>68</v>
      </c>
      <c r="J4361">
        <v>0</v>
      </c>
      <c r="K4361">
        <v>0</v>
      </c>
      <c r="L4361" s="3">
        <v>0</v>
      </c>
      <c r="M4361" s="3">
        <v>0</v>
      </c>
      <c r="N4361">
        <v>0</v>
      </c>
      <c r="O4361">
        <v>0</v>
      </c>
      <c r="P4361">
        <v>0</v>
      </c>
      <c r="Q4361">
        <v>21</v>
      </c>
      <c r="R4361" s="3">
        <v>0</v>
      </c>
      <c r="S4361" s="3">
        <v>0</v>
      </c>
      <c r="T4361">
        <v>0</v>
      </c>
      <c r="U4361">
        <v>0</v>
      </c>
      <c r="V4361" s="3">
        <v>0</v>
      </c>
      <c r="W4361" s="3">
        <v>0</v>
      </c>
      <c r="X4361">
        <v>0</v>
      </c>
      <c r="Y4361" t="s">
        <v>3324</v>
      </c>
    </row>
    <row r="4362" spans="1:25" hidden="1" x14ac:dyDescent="0.25">
      <c r="A4362" t="s">
        <v>2899</v>
      </c>
      <c r="B4362" t="s">
        <v>2998</v>
      </c>
      <c r="C4362" t="s">
        <v>2271</v>
      </c>
      <c r="D4362" t="s">
        <v>27</v>
      </c>
      <c r="E4362" s="2">
        <v>46085</v>
      </c>
      <c r="F4362" s="2">
        <v>46085</v>
      </c>
      <c r="G4362" s="3">
        <v>81</v>
      </c>
      <c r="H4362" s="4" t="s">
        <v>28</v>
      </c>
      <c r="I4362">
        <v>35</v>
      </c>
      <c r="J4362">
        <v>0</v>
      </c>
      <c r="K4362">
        <v>0</v>
      </c>
      <c r="L4362" s="3">
        <v>0</v>
      </c>
      <c r="M4362" s="3">
        <v>0</v>
      </c>
      <c r="N4362">
        <v>1</v>
      </c>
      <c r="O4362">
        <v>0</v>
      </c>
      <c r="P4362">
        <v>0</v>
      </c>
      <c r="Q4362">
        <v>0</v>
      </c>
      <c r="R4362" s="3">
        <v>0</v>
      </c>
      <c r="S4362" s="3">
        <v>0</v>
      </c>
      <c r="T4362">
        <v>0</v>
      </c>
      <c r="U4362">
        <v>0</v>
      </c>
      <c r="V4362" s="3">
        <v>0</v>
      </c>
      <c r="W4362" s="3">
        <v>0</v>
      </c>
      <c r="X4362">
        <v>0</v>
      </c>
      <c r="Y4362" t="s">
        <v>3289</v>
      </c>
    </row>
    <row r="4363" spans="1:25" hidden="1" x14ac:dyDescent="0.25">
      <c r="A4363" t="s">
        <v>3187</v>
      </c>
      <c r="B4363" t="s">
        <v>122</v>
      </c>
      <c r="C4363" t="s">
        <v>2271</v>
      </c>
      <c r="D4363" t="s">
        <v>27</v>
      </c>
      <c r="E4363" s="2">
        <v>46087</v>
      </c>
      <c r="F4363" s="2">
        <v>46087</v>
      </c>
      <c r="G4363" s="3">
        <v>45</v>
      </c>
      <c r="H4363" s="4" t="s">
        <v>959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 t="s">
        <v>3186</v>
      </c>
    </row>
    <row r="4364" spans="1:25" hidden="1" x14ac:dyDescent="0.25">
      <c r="A4364" t="s">
        <v>29</v>
      </c>
      <c r="B4364" t="s">
        <v>2998</v>
      </c>
      <c r="C4364" t="s">
        <v>95</v>
      </c>
      <c r="D4364" t="s">
        <v>27</v>
      </c>
      <c r="E4364" s="2">
        <v>46090</v>
      </c>
      <c r="F4364" s="2">
        <v>46090</v>
      </c>
      <c r="G4364" s="3">
        <v>75</v>
      </c>
      <c r="H4364" s="4" t="s">
        <v>28</v>
      </c>
      <c r="I4364">
        <f>21+1+28</f>
        <v>50</v>
      </c>
      <c r="J4364">
        <v>0</v>
      </c>
      <c r="K4364">
        <v>0</v>
      </c>
      <c r="L4364" s="3">
        <v>1</v>
      </c>
      <c r="M4364" s="3">
        <v>0</v>
      </c>
      <c r="N4364">
        <v>0</v>
      </c>
      <c r="O4364">
        <v>0</v>
      </c>
      <c r="P4364">
        <v>15</v>
      </c>
      <c r="Q4364">
        <v>20</v>
      </c>
      <c r="R4364" s="3">
        <v>0</v>
      </c>
      <c r="S4364" s="3">
        <v>0</v>
      </c>
      <c r="T4364">
        <v>0</v>
      </c>
      <c r="U4364">
        <v>0</v>
      </c>
      <c r="V4364" s="3">
        <v>0</v>
      </c>
      <c r="W4364" s="3">
        <v>0</v>
      </c>
      <c r="X4364">
        <v>0</v>
      </c>
      <c r="Y4364" t="s">
        <v>3325</v>
      </c>
    </row>
    <row r="4365" spans="1:25" hidden="1" x14ac:dyDescent="0.25">
      <c r="A4365" t="s">
        <v>2899</v>
      </c>
      <c r="B4365" t="s">
        <v>2998</v>
      </c>
      <c r="C4365" t="s">
        <v>2271</v>
      </c>
      <c r="D4365" t="s">
        <v>27</v>
      </c>
      <c r="E4365" s="2">
        <v>46090</v>
      </c>
      <c r="F4365" s="2">
        <v>46090</v>
      </c>
      <c r="G4365" s="3">
        <v>60</v>
      </c>
      <c r="H4365" s="4" t="s">
        <v>28</v>
      </c>
      <c r="I4365">
        <f>36+1</f>
        <v>37</v>
      </c>
      <c r="J4365">
        <v>0</v>
      </c>
      <c r="K4365">
        <v>0</v>
      </c>
      <c r="L4365" s="3">
        <v>1</v>
      </c>
      <c r="M4365" s="3">
        <v>0</v>
      </c>
      <c r="N4365">
        <v>0</v>
      </c>
      <c r="O4365">
        <v>0</v>
      </c>
      <c r="P4365">
        <v>0</v>
      </c>
      <c r="Q4365">
        <v>0</v>
      </c>
      <c r="R4365" s="3">
        <v>0</v>
      </c>
      <c r="S4365" s="3">
        <v>0</v>
      </c>
      <c r="T4365">
        <v>0</v>
      </c>
      <c r="U4365">
        <v>0</v>
      </c>
      <c r="V4365" s="3">
        <v>0</v>
      </c>
      <c r="W4365" s="3">
        <v>0</v>
      </c>
      <c r="X4365">
        <v>0</v>
      </c>
      <c r="Y4365" t="s">
        <v>3326</v>
      </c>
    </row>
    <row r="4366" spans="1:25" hidden="1" x14ac:dyDescent="0.25">
      <c r="A4366" t="s">
        <v>36</v>
      </c>
      <c r="B4366" t="s">
        <v>249</v>
      </c>
      <c r="C4366" t="s">
        <v>2534</v>
      </c>
      <c r="D4366" t="s">
        <v>27</v>
      </c>
      <c r="E4366" s="2">
        <v>46090</v>
      </c>
      <c r="F4366" s="2">
        <v>46090</v>
      </c>
      <c r="G4366" s="3">
        <v>59</v>
      </c>
      <c r="H4366" s="4" t="s">
        <v>28</v>
      </c>
      <c r="I4366">
        <f>66+1</f>
        <v>67</v>
      </c>
      <c r="J4366">
        <v>0</v>
      </c>
      <c r="K4366">
        <v>0</v>
      </c>
      <c r="L4366" s="3">
        <v>1</v>
      </c>
      <c r="M4366" s="3">
        <v>0</v>
      </c>
      <c r="N4366">
        <v>1</v>
      </c>
      <c r="O4366">
        <v>0</v>
      </c>
      <c r="P4366">
        <v>0</v>
      </c>
      <c r="Q4366">
        <v>0</v>
      </c>
      <c r="R4366" s="3">
        <v>0</v>
      </c>
      <c r="S4366" s="3">
        <v>0</v>
      </c>
      <c r="T4366">
        <v>0</v>
      </c>
      <c r="U4366">
        <v>0</v>
      </c>
      <c r="V4366" s="3">
        <v>0</v>
      </c>
      <c r="W4366" s="3">
        <v>0</v>
      </c>
      <c r="X4366">
        <v>0</v>
      </c>
      <c r="Y4366" t="s">
        <v>3327</v>
      </c>
    </row>
    <row r="4367" spans="1:25" hidden="1" x14ac:dyDescent="0.25">
      <c r="A4367" t="s">
        <v>38</v>
      </c>
      <c r="B4367" t="s">
        <v>108</v>
      </c>
      <c r="C4367" t="s">
        <v>27</v>
      </c>
      <c r="D4367" t="s">
        <v>27</v>
      </c>
      <c r="E4367" s="2">
        <v>46090</v>
      </c>
      <c r="F4367" s="2">
        <v>46090</v>
      </c>
      <c r="G4367" s="3">
        <v>43</v>
      </c>
      <c r="H4367" s="4" t="s">
        <v>3161</v>
      </c>
      <c r="I4367">
        <v>45</v>
      </c>
      <c r="J4367">
        <v>0</v>
      </c>
      <c r="K4367">
        <v>0</v>
      </c>
      <c r="L4367" s="3">
        <v>1</v>
      </c>
      <c r="M4367" s="3">
        <v>0</v>
      </c>
      <c r="N4367">
        <v>0</v>
      </c>
      <c r="O4367">
        <v>0</v>
      </c>
      <c r="P4367">
        <v>0</v>
      </c>
      <c r="Q4367">
        <v>45</v>
      </c>
      <c r="R4367" s="3">
        <v>0</v>
      </c>
      <c r="S4367" s="3">
        <v>0</v>
      </c>
      <c r="T4367">
        <v>0</v>
      </c>
      <c r="U4367">
        <v>0</v>
      </c>
      <c r="V4367" s="3">
        <v>0</v>
      </c>
      <c r="W4367" s="3">
        <v>0</v>
      </c>
      <c r="X4367">
        <v>0</v>
      </c>
      <c r="Y4367" t="s">
        <v>3328</v>
      </c>
    </row>
    <row r="4368" spans="1:25" hidden="1" x14ac:dyDescent="0.25">
      <c r="A4368" t="s">
        <v>2679</v>
      </c>
      <c r="B4368" t="s">
        <v>2680</v>
      </c>
      <c r="C4368" t="s">
        <v>39</v>
      </c>
      <c r="D4368" t="s">
        <v>27</v>
      </c>
      <c r="E4368" s="2">
        <v>46090</v>
      </c>
      <c r="F4368" s="2">
        <v>46090</v>
      </c>
      <c r="G4368" s="3">
        <v>46</v>
      </c>
      <c r="H4368" s="4" t="s">
        <v>3161</v>
      </c>
      <c r="I4368">
        <v>42</v>
      </c>
      <c r="J4368">
        <v>0</v>
      </c>
      <c r="K4368">
        <v>0</v>
      </c>
      <c r="L4368" s="3">
        <v>0</v>
      </c>
      <c r="M4368" s="3">
        <v>0</v>
      </c>
      <c r="N4368">
        <v>0</v>
      </c>
      <c r="O4368">
        <v>0</v>
      </c>
      <c r="P4368">
        <v>0</v>
      </c>
      <c r="Q4368">
        <v>42</v>
      </c>
      <c r="R4368" s="3">
        <v>0</v>
      </c>
      <c r="S4368" s="3">
        <v>0</v>
      </c>
      <c r="T4368">
        <v>0</v>
      </c>
      <c r="U4368">
        <v>0</v>
      </c>
      <c r="V4368" s="3">
        <v>0</v>
      </c>
      <c r="W4368" s="3">
        <v>0</v>
      </c>
      <c r="X4368">
        <v>0</v>
      </c>
      <c r="Y4368" t="s">
        <v>3329</v>
      </c>
    </row>
    <row r="4369" spans="1:25" hidden="1" x14ac:dyDescent="0.25">
      <c r="A4369" t="s">
        <v>1316</v>
      </c>
      <c r="B4369" t="s">
        <v>1348</v>
      </c>
      <c r="C4369" t="s">
        <v>2514</v>
      </c>
      <c r="D4369" t="s">
        <v>27</v>
      </c>
      <c r="E4369" s="2">
        <v>46090</v>
      </c>
      <c r="F4369" s="2">
        <v>46090</v>
      </c>
      <c r="G4369" s="3">
        <v>56</v>
      </c>
      <c r="H4369" s="4" t="s">
        <v>28</v>
      </c>
      <c r="I4369">
        <f>30+23</f>
        <v>53</v>
      </c>
      <c r="J4369">
        <v>0</v>
      </c>
      <c r="K4369">
        <v>0</v>
      </c>
      <c r="L4369" s="3">
        <v>1</v>
      </c>
      <c r="M4369" s="3">
        <v>0</v>
      </c>
      <c r="N4369">
        <v>0</v>
      </c>
      <c r="O4369">
        <v>0</v>
      </c>
      <c r="P4369">
        <v>0</v>
      </c>
      <c r="Q4369">
        <v>20</v>
      </c>
      <c r="R4369" s="3">
        <v>0</v>
      </c>
      <c r="S4369" s="3">
        <v>0</v>
      </c>
      <c r="T4369">
        <v>0</v>
      </c>
      <c r="U4369">
        <v>0</v>
      </c>
      <c r="V4369" s="3">
        <v>0</v>
      </c>
      <c r="W4369" s="3">
        <v>0</v>
      </c>
      <c r="X4369">
        <v>0</v>
      </c>
      <c r="Y4369" t="s">
        <v>3330</v>
      </c>
    </row>
    <row r="4370" spans="1:25" s="1" customFormat="1" hidden="1" x14ac:dyDescent="0.25">
      <c r="A4370" s="1" t="s">
        <v>41</v>
      </c>
      <c r="B4370" s="1" t="s">
        <v>112</v>
      </c>
      <c r="C4370" s="1" t="s">
        <v>42</v>
      </c>
      <c r="D4370" s="1" t="s">
        <v>27</v>
      </c>
      <c r="E4370" s="10">
        <v>46090</v>
      </c>
      <c r="F4370" s="10">
        <v>46090</v>
      </c>
      <c r="G4370" s="41">
        <v>59</v>
      </c>
      <c r="H4370" s="15" t="s">
        <v>28</v>
      </c>
      <c r="I4370" s="1">
        <v>224</v>
      </c>
      <c r="J4370" s="1">
        <v>0</v>
      </c>
      <c r="K4370" s="1">
        <v>0</v>
      </c>
      <c r="L4370" s="41">
        <v>1</v>
      </c>
      <c r="M4370" s="41">
        <v>1</v>
      </c>
      <c r="N4370" s="1">
        <v>0</v>
      </c>
      <c r="O4370" s="1">
        <v>0</v>
      </c>
      <c r="P4370" s="1">
        <v>0</v>
      </c>
      <c r="Q4370" s="1">
        <v>224</v>
      </c>
      <c r="R4370" s="41">
        <v>0</v>
      </c>
      <c r="S4370" s="41">
        <v>0</v>
      </c>
      <c r="T4370" s="1">
        <v>0</v>
      </c>
      <c r="U4370" s="1">
        <v>0</v>
      </c>
      <c r="V4370" s="41">
        <v>0</v>
      </c>
      <c r="W4370" s="41">
        <v>0</v>
      </c>
      <c r="X4370" s="1">
        <v>10</v>
      </c>
      <c r="Y4370" s="1" t="s">
        <v>3331</v>
      </c>
    </row>
    <row r="4371" spans="1:25" hidden="1" x14ac:dyDescent="0.25">
      <c r="A4371" t="s">
        <v>43</v>
      </c>
      <c r="B4371" t="s">
        <v>114</v>
      </c>
      <c r="C4371" t="s">
        <v>44</v>
      </c>
      <c r="D4371" t="s">
        <v>27</v>
      </c>
      <c r="E4371" s="2">
        <v>46090</v>
      </c>
      <c r="F4371" s="2">
        <v>46090</v>
      </c>
      <c r="G4371" s="3">
        <v>34</v>
      </c>
      <c r="H4371" s="4" t="s">
        <v>28</v>
      </c>
      <c r="I4371">
        <f>51+9</f>
        <v>60</v>
      </c>
      <c r="J4371">
        <v>0</v>
      </c>
      <c r="K4371">
        <v>0</v>
      </c>
      <c r="L4371" s="3">
        <v>0</v>
      </c>
      <c r="M4371" s="3">
        <v>0</v>
      </c>
      <c r="N4371">
        <v>0</v>
      </c>
      <c r="O4371">
        <v>0</v>
      </c>
      <c r="P4371">
        <v>0</v>
      </c>
      <c r="Q4371">
        <v>13</v>
      </c>
      <c r="R4371" s="3">
        <v>0</v>
      </c>
      <c r="S4371" s="3">
        <v>0</v>
      </c>
      <c r="T4371">
        <v>0</v>
      </c>
      <c r="U4371">
        <v>0</v>
      </c>
      <c r="V4371" s="3">
        <v>0</v>
      </c>
      <c r="W4371" s="3">
        <v>0</v>
      </c>
      <c r="X4371">
        <v>0</v>
      </c>
      <c r="Y4371" t="s">
        <v>3332</v>
      </c>
    </row>
    <row r="4372" spans="1:25" hidden="1" x14ac:dyDescent="0.25">
      <c r="A4372" t="s">
        <v>2118</v>
      </c>
      <c r="B4372" t="s">
        <v>2119</v>
      </c>
      <c r="C4372" t="s">
        <v>27</v>
      </c>
      <c r="D4372" t="s">
        <v>27</v>
      </c>
      <c r="E4372" s="2">
        <v>46090</v>
      </c>
      <c r="F4372" s="2">
        <v>46090</v>
      </c>
      <c r="G4372" s="3">
        <v>33</v>
      </c>
      <c r="H4372" s="4" t="s">
        <v>3161</v>
      </c>
      <c r="I4372">
        <v>63</v>
      </c>
      <c r="J4372">
        <v>0</v>
      </c>
      <c r="K4372">
        <v>0</v>
      </c>
      <c r="L4372" s="3">
        <v>1</v>
      </c>
      <c r="M4372" s="3">
        <v>0</v>
      </c>
      <c r="N4372">
        <v>0</v>
      </c>
      <c r="O4372">
        <v>0</v>
      </c>
      <c r="P4372">
        <v>0</v>
      </c>
      <c r="Q4372">
        <v>63</v>
      </c>
      <c r="R4372" s="3">
        <v>0</v>
      </c>
      <c r="S4372" s="3">
        <v>0</v>
      </c>
      <c r="T4372">
        <v>0</v>
      </c>
      <c r="U4372">
        <v>0</v>
      </c>
      <c r="V4372" s="3">
        <v>0</v>
      </c>
      <c r="W4372" s="3">
        <v>0</v>
      </c>
      <c r="X4372">
        <v>0</v>
      </c>
      <c r="Y4372" t="s">
        <v>3333</v>
      </c>
    </row>
    <row r="4373" spans="1:25" hidden="1" x14ac:dyDescent="0.25">
      <c r="A4373" t="s">
        <v>45</v>
      </c>
      <c r="B4373" t="s">
        <v>116</v>
      </c>
      <c r="C4373" t="s">
        <v>46</v>
      </c>
      <c r="D4373" t="s">
        <v>27</v>
      </c>
      <c r="E4373" s="2">
        <v>46090</v>
      </c>
      <c r="F4373" s="2">
        <v>46090</v>
      </c>
      <c r="G4373" s="3">
        <v>41</v>
      </c>
      <c r="H4373" s="4" t="s">
        <v>28</v>
      </c>
      <c r="I4373">
        <f>52+27</f>
        <v>79</v>
      </c>
      <c r="J4373">
        <v>0</v>
      </c>
      <c r="K4373">
        <v>0</v>
      </c>
      <c r="L4373" s="3">
        <v>1</v>
      </c>
      <c r="M4373" s="3">
        <v>0</v>
      </c>
      <c r="N4373">
        <v>0</v>
      </c>
      <c r="O4373">
        <v>0</v>
      </c>
      <c r="P4373">
        <v>0</v>
      </c>
      <c r="Q4373">
        <v>7</v>
      </c>
      <c r="R4373" s="3">
        <v>0</v>
      </c>
      <c r="S4373" s="3">
        <v>0</v>
      </c>
      <c r="T4373">
        <v>0</v>
      </c>
      <c r="U4373">
        <v>0</v>
      </c>
      <c r="V4373" s="3">
        <v>0</v>
      </c>
      <c r="W4373" s="3">
        <v>0</v>
      </c>
      <c r="X4373">
        <v>0</v>
      </c>
      <c r="Y4373" t="s">
        <v>3334</v>
      </c>
    </row>
    <row r="4374" spans="1:25" hidden="1" x14ac:dyDescent="0.25">
      <c r="A4374" t="s">
        <v>47</v>
      </c>
      <c r="B4374" t="s">
        <v>137</v>
      </c>
      <c r="C4374" t="s">
        <v>2310</v>
      </c>
      <c r="D4374" t="s">
        <v>27</v>
      </c>
      <c r="E4374" s="2">
        <v>46090</v>
      </c>
      <c r="F4374" s="2">
        <v>46090</v>
      </c>
      <c r="G4374" s="3">
        <v>67</v>
      </c>
      <c r="H4374" s="4" t="s">
        <v>28</v>
      </c>
      <c r="I4374">
        <v>35</v>
      </c>
      <c r="J4374">
        <v>0</v>
      </c>
      <c r="K4374">
        <v>0</v>
      </c>
      <c r="L4374" s="3">
        <v>1</v>
      </c>
      <c r="M4374" s="3">
        <v>0</v>
      </c>
      <c r="N4374">
        <v>0</v>
      </c>
      <c r="O4374">
        <v>0</v>
      </c>
      <c r="P4374">
        <v>0</v>
      </c>
      <c r="Q4374">
        <v>10</v>
      </c>
      <c r="R4374" s="3">
        <v>0</v>
      </c>
      <c r="S4374" s="3">
        <v>0</v>
      </c>
      <c r="T4374">
        <v>0</v>
      </c>
      <c r="U4374">
        <v>0</v>
      </c>
      <c r="V4374" s="3">
        <v>0</v>
      </c>
      <c r="W4374" s="3">
        <v>0</v>
      </c>
      <c r="X4374">
        <v>0</v>
      </c>
      <c r="Y4374" t="s">
        <v>3335</v>
      </c>
    </row>
    <row r="4375" spans="1:25" hidden="1" x14ac:dyDescent="0.25">
      <c r="A4375" t="s">
        <v>49</v>
      </c>
      <c r="B4375" t="s">
        <v>118</v>
      </c>
      <c r="C4375" t="s">
        <v>50</v>
      </c>
      <c r="D4375" t="s">
        <v>27</v>
      </c>
      <c r="E4375" s="2">
        <v>46090</v>
      </c>
      <c r="F4375" s="2">
        <v>46090</v>
      </c>
      <c r="G4375" s="3">
        <v>36</v>
      </c>
      <c r="H4375" s="4" t="s">
        <v>28</v>
      </c>
      <c r="I4375">
        <f>39+17</f>
        <v>56</v>
      </c>
      <c r="J4375">
        <v>0</v>
      </c>
      <c r="K4375">
        <v>0</v>
      </c>
      <c r="L4375" s="3">
        <v>1</v>
      </c>
      <c r="M4375" s="3">
        <v>1</v>
      </c>
      <c r="N4375">
        <v>0</v>
      </c>
      <c r="O4375">
        <v>1</v>
      </c>
      <c r="P4375">
        <v>0</v>
      </c>
      <c r="Q4375">
        <v>34</v>
      </c>
      <c r="R4375" s="3">
        <v>0</v>
      </c>
      <c r="S4375" s="3">
        <v>0</v>
      </c>
      <c r="T4375">
        <v>0</v>
      </c>
      <c r="U4375">
        <v>0</v>
      </c>
      <c r="V4375" s="3">
        <v>0</v>
      </c>
      <c r="W4375" s="3">
        <v>0</v>
      </c>
      <c r="X4375">
        <v>0</v>
      </c>
      <c r="Y4375" t="s">
        <v>3336</v>
      </c>
    </row>
    <row r="4376" spans="1:25" hidden="1" x14ac:dyDescent="0.25">
      <c r="A4376" t="s">
        <v>51</v>
      </c>
      <c r="B4376" t="s">
        <v>120</v>
      </c>
      <c r="C4376" t="s">
        <v>55</v>
      </c>
      <c r="D4376" t="s">
        <v>27</v>
      </c>
      <c r="E4376" s="2">
        <v>46090</v>
      </c>
      <c r="F4376" s="2">
        <v>46090</v>
      </c>
      <c r="G4376" s="3">
        <v>52</v>
      </c>
      <c r="H4376" s="4" t="s">
        <v>28</v>
      </c>
      <c r="I4376">
        <v>28</v>
      </c>
      <c r="J4376">
        <v>0</v>
      </c>
      <c r="K4376">
        <v>0</v>
      </c>
      <c r="L4376" s="3">
        <v>1</v>
      </c>
      <c r="M4376" s="3">
        <v>0</v>
      </c>
      <c r="N4376">
        <v>1</v>
      </c>
      <c r="O4376">
        <v>0</v>
      </c>
      <c r="P4376">
        <v>0</v>
      </c>
      <c r="Q4376">
        <v>0</v>
      </c>
      <c r="R4376" s="3">
        <v>0</v>
      </c>
      <c r="S4376" s="3">
        <v>0</v>
      </c>
      <c r="T4376">
        <v>0</v>
      </c>
      <c r="U4376">
        <v>0</v>
      </c>
      <c r="V4376" s="3">
        <v>0</v>
      </c>
      <c r="W4376" s="3">
        <v>0</v>
      </c>
      <c r="X4376">
        <v>0</v>
      </c>
      <c r="Y4376" t="s">
        <v>3337</v>
      </c>
    </row>
    <row r="4377" spans="1:25" hidden="1" x14ac:dyDescent="0.25">
      <c r="A4377" t="s">
        <v>54</v>
      </c>
      <c r="B4377" t="s">
        <v>122</v>
      </c>
      <c r="C4377" t="s">
        <v>52</v>
      </c>
      <c r="D4377" t="s">
        <v>27</v>
      </c>
      <c r="E4377" s="2">
        <v>46090</v>
      </c>
      <c r="F4377" s="2">
        <v>46090</v>
      </c>
      <c r="G4377" s="3">
        <v>38</v>
      </c>
      <c r="H4377" s="4" t="s">
        <v>28</v>
      </c>
      <c r="I4377">
        <f>44+1</f>
        <v>45</v>
      </c>
      <c r="J4377">
        <v>0</v>
      </c>
      <c r="K4377">
        <v>0</v>
      </c>
      <c r="L4377" s="3">
        <v>0</v>
      </c>
      <c r="M4377" s="3">
        <v>0</v>
      </c>
      <c r="N4377">
        <v>0</v>
      </c>
      <c r="O4377">
        <v>0</v>
      </c>
      <c r="P4377">
        <v>0</v>
      </c>
      <c r="Q4377">
        <v>7</v>
      </c>
      <c r="R4377" s="3">
        <v>0</v>
      </c>
      <c r="S4377" s="3">
        <v>0</v>
      </c>
      <c r="T4377">
        <v>0</v>
      </c>
      <c r="U4377">
        <v>0</v>
      </c>
      <c r="V4377" s="3">
        <v>0</v>
      </c>
      <c r="W4377" s="3">
        <v>0</v>
      </c>
      <c r="X4377">
        <v>0</v>
      </c>
      <c r="Y4377" t="s">
        <v>3338</v>
      </c>
    </row>
    <row r="4378" spans="1:25" hidden="1" x14ac:dyDescent="0.25">
      <c r="A4378" t="s">
        <v>48</v>
      </c>
      <c r="B4378" t="s">
        <v>149</v>
      </c>
      <c r="C4378" t="s">
        <v>37</v>
      </c>
      <c r="D4378" t="s">
        <v>27</v>
      </c>
      <c r="E4378" s="2">
        <v>46090</v>
      </c>
      <c r="F4378" s="2">
        <v>46090</v>
      </c>
      <c r="G4378" s="3">
        <v>44</v>
      </c>
      <c r="H4378" s="4" t="s">
        <v>28</v>
      </c>
      <c r="I4378">
        <f>74+2</f>
        <v>76</v>
      </c>
      <c r="J4378">
        <v>0</v>
      </c>
      <c r="K4378">
        <v>0</v>
      </c>
      <c r="L4378" s="3">
        <v>1</v>
      </c>
      <c r="M4378" s="3">
        <v>0</v>
      </c>
      <c r="N4378">
        <v>0</v>
      </c>
      <c r="O4378">
        <v>0</v>
      </c>
      <c r="P4378">
        <v>0</v>
      </c>
      <c r="Q4378">
        <v>0</v>
      </c>
      <c r="R4378" s="3">
        <v>0</v>
      </c>
      <c r="S4378" s="3">
        <v>0</v>
      </c>
      <c r="T4378">
        <v>0</v>
      </c>
      <c r="U4378">
        <v>0</v>
      </c>
      <c r="V4378" s="3">
        <v>0</v>
      </c>
      <c r="W4378" s="3">
        <v>0</v>
      </c>
      <c r="X4378">
        <v>0</v>
      </c>
      <c r="Y4378" t="s">
        <v>3339</v>
      </c>
    </row>
    <row r="4379" spans="1:25" hidden="1" x14ac:dyDescent="0.25">
      <c r="A4379" t="s">
        <v>3187</v>
      </c>
      <c r="B4379" t="s">
        <v>149</v>
      </c>
      <c r="C4379" t="s">
        <v>2835</v>
      </c>
      <c r="D4379" t="s">
        <v>27</v>
      </c>
      <c r="E4379" s="2">
        <v>46090</v>
      </c>
      <c r="F4379" s="2">
        <v>46090</v>
      </c>
      <c r="G4379" s="3">
        <v>44</v>
      </c>
      <c r="H4379" s="4" t="s">
        <v>959</v>
      </c>
      <c r="I4379">
        <v>0</v>
      </c>
      <c r="J4379">
        <v>0</v>
      </c>
      <c r="K4379">
        <v>0</v>
      </c>
      <c r="L4379" s="3">
        <v>0</v>
      </c>
      <c r="M4379" s="3">
        <v>0</v>
      </c>
      <c r="N4379">
        <v>0</v>
      </c>
      <c r="O4379">
        <v>0</v>
      </c>
      <c r="P4379">
        <v>0</v>
      </c>
      <c r="Q4379">
        <v>0</v>
      </c>
      <c r="R4379" s="3">
        <v>0</v>
      </c>
      <c r="S4379" s="3">
        <v>0</v>
      </c>
      <c r="T4379">
        <v>0</v>
      </c>
      <c r="U4379">
        <v>0</v>
      </c>
      <c r="V4379" s="3">
        <v>0</v>
      </c>
      <c r="W4379" s="3">
        <v>0</v>
      </c>
      <c r="X4379">
        <v>0</v>
      </c>
      <c r="Y4379" t="s">
        <v>3339</v>
      </c>
    </row>
    <row r="4380" spans="1:25" hidden="1" x14ac:dyDescent="0.25">
      <c r="A4380" t="s">
        <v>25</v>
      </c>
      <c r="B4380" t="s">
        <v>96</v>
      </c>
      <c r="C4380" t="s">
        <v>26</v>
      </c>
      <c r="D4380" t="s">
        <v>27</v>
      </c>
      <c r="E4380" s="2">
        <v>46091</v>
      </c>
      <c r="F4380" s="2">
        <v>46091</v>
      </c>
      <c r="G4380" s="3">
        <v>51</v>
      </c>
      <c r="H4380" s="4" t="s">
        <v>28</v>
      </c>
      <c r="I4380">
        <f>21+26</f>
        <v>47</v>
      </c>
      <c r="J4380">
        <v>0</v>
      </c>
      <c r="K4380">
        <v>0</v>
      </c>
      <c r="L4380" s="3">
        <v>1</v>
      </c>
      <c r="M4380" s="3">
        <v>1</v>
      </c>
      <c r="N4380">
        <v>1</v>
      </c>
      <c r="O4380">
        <v>0</v>
      </c>
      <c r="P4380">
        <v>0</v>
      </c>
      <c r="Q4380">
        <v>0</v>
      </c>
      <c r="R4380" s="3">
        <v>0</v>
      </c>
      <c r="S4380" s="3">
        <v>0</v>
      </c>
      <c r="T4380">
        <v>0</v>
      </c>
      <c r="U4380">
        <v>0</v>
      </c>
      <c r="V4380" s="3">
        <v>0</v>
      </c>
      <c r="W4380" s="3">
        <v>0</v>
      </c>
      <c r="X4380">
        <v>0</v>
      </c>
      <c r="Y4380" t="s">
        <v>3340</v>
      </c>
    </row>
    <row r="4381" spans="1:25" hidden="1" x14ac:dyDescent="0.25">
      <c r="A4381" t="s">
        <v>29</v>
      </c>
      <c r="B4381" t="s">
        <v>100</v>
      </c>
      <c r="C4381" t="s">
        <v>95</v>
      </c>
      <c r="D4381" t="s">
        <v>27</v>
      </c>
      <c r="E4381" s="2">
        <v>46091</v>
      </c>
      <c r="F4381" s="2">
        <v>46091</v>
      </c>
      <c r="G4381" s="3">
        <v>26</v>
      </c>
      <c r="H4381" s="4" t="s">
        <v>28</v>
      </c>
      <c r="I4381">
        <f>15+13</f>
        <v>28</v>
      </c>
      <c r="J4381">
        <v>0</v>
      </c>
      <c r="K4381">
        <v>0</v>
      </c>
      <c r="L4381" s="3">
        <v>1</v>
      </c>
      <c r="M4381" s="3">
        <v>0</v>
      </c>
      <c r="N4381">
        <v>0</v>
      </c>
      <c r="O4381">
        <v>0</v>
      </c>
      <c r="P4381">
        <v>12</v>
      </c>
      <c r="Q4381">
        <v>5</v>
      </c>
      <c r="R4381" s="3">
        <v>0</v>
      </c>
      <c r="S4381" s="3">
        <v>0</v>
      </c>
      <c r="T4381">
        <v>0</v>
      </c>
      <c r="U4381">
        <v>0</v>
      </c>
      <c r="V4381" s="3">
        <v>0</v>
      </c>
      <c r="W4381" s="3">
        <v>0</v>
      </c>
      <c r="X4381">
        <v>0</v>
      </c>
      <c r="Y4381" t="s">
        <v>3341</v>
      </c>
    </row>
    <row r="4382" spans="1:25" hidden="1" x14ac:dyDescent="0.25">
      <c r="A4382" t="s">
        <v>344</v>
      </c>
      <c r="B4382" t="s">
        <v>102</v>
      </c>
      <c r="C4382" t="s">
        <v>35</v>
      </c>
      <c r="D4382" t="s">
        <v>27</v>
      </c>
      <c r="E4382" s="2">
        <v>46091</v>
      </c>
      <c r="F4382" s="2">
        <v>46091</v>
      </c>
      <c r="G4382" s="3">
        <v>42</v>
      </c>
      <c r="H4382" s="4" t="s">
        <v>28</v>
      </c>
      <c r="I4382">
        <f>54+3</f>
        <v>57</v>
      </c>
      <c r="J4382">
        <v>0</v>
      </c>
      <c r="K4382">
        <v>0</v>
      </c>
      <c r="L4382" s="3">
        <v>0</v>
      </c>
      <c r="M4382" s="3">
        <v>0</v>
      </c>
      <c r="N4382">
        <v>0</v>
      </c>
      <c r="O4382">
        <v>0</v>
      </c>
      <c r="P4382">
        <v>0</v>
      </c>
      <c r="Q4382">
        <v>4</v>
      </c>
      <c r="R4382" s="3">
        <v>0</v>
      </c>
      <c r="S4382" s="3">
        <v>0</v>
      </c>
      <c r="T4382">
        <v>0</v>
      </c>
      <c r="U4382">
        <v>0</v>
      </c>
      <c r="V4382" s="3">
        <v>0</v>
      </c>
      <c r="W4382" s="3">
        <v>0</v>
      </c>
      <c r="X4382">
        <v>0</v>
      </c>
      <c r="Y4382" t="s">
        <v>3342</v>
      </c>
    </row>
    <row r="4383" spans="1:25" hidden="1" x14ac:dyDescent="0.25">
      <c r="A4383" t="s">
        <v>31</v>
      </c>
      <c r="B4383" t="s">
        <v>104</v>
      </c>
      <c r="C4383" t="s">
        <v>32</v>
      </c>
      <c r="D4383" t="s">
        <v>27</v>
      </c>
      <c r="E4383" s="2">
        <v>46091</v>
      </c>
      <c r="F4383" s="2">
        <v>46091</v>
      </c>
      <c r="G4383" s="3">
        <v>62</v>
      </c>
      <c r="H4383" s="4" t="s">
        <v>28</v>
      </c>
      <c r="I4383">
        <f>46+12</f>
        <v>58</v>
      </c>
      <c r="J4383">
        <v>0</v>
      </c>
      <c r="K4383">
        <v>0</v>
      </c>
      <c r="L4383" s="3">
        <v>0</v>
      </c>
      <c r="M4383" s="3">
        <v>0</v>
      </c>
      <c r="N4383">
        <v>0</v>
      </c>
      <c r="O4383">
        <v>0</v>
      </c>
      <c r="P4383">
        <v>0</v>
      </c>
      <c r="Q4383">
        <v>38</v>
      </c>
      <c r="R4383" s="3">
        <v>0</v>
      </c>
      <c r="S4383" s="3">
        <v>0</v>
      </c>
      <c r="T4383">
        <v>0</v>
      </c>
      <c r="U4383">
        <v>0</v>
      </c>
      <c r="V4383" s="3">
        <v>0</v>
      </c>
      <c r="W4383" s="3">
        <v>0</v>
      </c>
      <c r="X4383">
        <v>10</v>
      </c>
      <c r="Y4383" t="s">
        <v>3343</v>
      </c>
    </row>
    <row r="4384" spans="1:25" hidden="1" x14ac:dyDescent="0.25">
      <c r="A4384" t="s">
        <v>2899</v>
      </c>
      <c r="B4384" t="s">
        <v>2998</v>
      </c>
      <c r="C4384" t="s">
        <v>2271</v>
      </c>
      <c r="D4384" t="s">
        <v>27</v>
      </c>
      <c r="E4384" s="2">
        <v>46091</v>
      </c>
      <c r="F4384" s="2">
        <v>46091</v>
      </c>
      <c r="G4384" s="3">
        <v>57</v>
      </c>
      <c r="H4384" s="4" t="s">
        <v>28</v>
      </c>
      <c r="I4384">
        <f>33+8</f>
        <v>41</v>
      </c>
      <c r="J4384">
        <v>0</v>
      </c>
      <c r="K4384">
        <v>0</v>
      </c>
      <c r="L4384" s="3">
        <v>1</v>
      </c>
      <c r="M4384" s="3">
        <v>0</v>
      </c>
      <c r="N4384">
        <v>1</v>
      </c>
      <c r="O4384">
        <v>0</v>
      </c>
      <c r="P4384">
        <v>0</v>
      </c>
      <c r="Q4384">
        <v>0</v>
      </c>
      <c r="R4384" s="3">
        <v>0</v>
      </c>
      <c r="S4384" s="3">
        <v>0</v>
      </c>
      <c r="T4384">
        <v>0</v>
      </c>
      <c r="U4384">
        <v>0</v>
      </c>
      <c r="V4384" s="3">
        <v>0</v>
      </c>
      <c r="W4384" s="3">
        <v>0</v>
      </c>
      <c r="X4384">
        <v>0</v>
      </c>
      <c r="Y4384" t="s">
        <v>3344</v>
      </c>
    </row>
    <row r="4385" spans="1:25" hidden="1" x14ac:dyDescent="0.25">
      <c r="A4385" t="s">
        <v>36</v>
      </c>
      <c r="B4385" t="s">
        <v>249</v>
      </c>
      <c r="C4385" t="s">
        <v>2534</v>
      </c>
      <c r="D4385" t="s">
        <v>27</v>
      </c>
      <c r="E4385" s="2">
        <v>46091</v>
      </c>
      <c r="F4385" s="2">
        <v>46091</v>
      </c>
      <c r="G4385" s="3">
        <v>65</v>
      </c>
      <c r="H4385" s="4" t="s">
        <v>28</v>
      </c>
      <c r="I4385">
        <f>48+11</f>
        <v>59</v>
      </c>
      <c r="J4385">
        <v>0</v>
      </c>
      <c r="K4385">
        <v>0</v>
      </c>
      <c r="L4385" s="3">
        <v>1</v>
      </c>
      <c r="M4385" s="3">
        <v>0</v>
      </c>
      <c r="N4385">
        <v>1</v>
      </c>
      <c r="O4385">
        <v>0</v>
      </c>
      <c r="P4385">
        <v>0</v>
      </c>
      <c r="Q4385">
        <v>0</v>
      </c>
      <c r="R4385" s="3">
        <v>0</v>
      </c>
      <c r="S4385" s="3">
        <v>0</v>
      </c>
      <c r="T4385">
        <v>0</v>
      </c>
      <c r="U4385">
        <v>0</v>
      </c>
      <c r="V4385" s="3">
        <v>0</v>
      </c>
      <c r="W4385" s="3">
        <v>0</v>
      </c>
      <c r="X4385">
        <v>0</v>
      </c>
      <c r="Y4385" t="s">
        <v>3345</v>
      </c>
    </row>
    <row r="4386" spans="1:25" hidden="1" x14ac:dyDescent="0.25">
      <c r="A4386" t="s">
        <v>38</v>
      </c>
      <c r="B4386" t="s">
        <v>108</v>
      </c>
      <c r="C4386" t="s">
        <v>27</v>
      </c>
      <c r="D4386" t="s">
        <v>27</v>
      </c>
      <c r="E4386" s="2">
        <v>46091</v>
      </c>
      <c r="F4386" s="2">
        <v>46091</v>
      </c>
      <c r="G4386" s="3">
        <v>30</v>
      </c>
      <c r="H4386" s="4" t="s">
        <v>3161</v>
      </c>
      <c r="I4386">
        <v>32</v>
      </c>
      <c r="J4386">
        <v>0</v>
      </c>
      <c r="K4386">
        <v>0</v>
      </c>
      <c r="L4386" s="3">
        <v>1</v>
      </c>
      <c r="M4386" s="3">
        <v>0</v>
      </c>
      <c r="N4386">
        <v>0</v>
      </c>
      <c r="O4386">
        <v>0</v>
      </c>
      <c r="P4386">
        <v>0</v>
      </c>
      <c r="Q4386">
        <v>32</v>
      </c>
      <c r="R4386" s="3">
        <v>0</v>
      </c>
      <c r="S4386" s="3">
        <v>0</v>
      </c>
      <c r="T4386">
        <v>0</v>
      </c>
      <c r="U4386">
        <v>0</v>
      </c>
      <c r="V4386" s="3">
        <v>0</v>
      </c>
      <c r="W4386" s="3">
        <v>0</v>
      </c>
      <c r="X4386">
        <v>0</v>
      </c>
      <c r="Y4386" t="s">
        <v>3346</v>
      </c>
    </row>
    <row r="4387" spans="1:25" hidden="1" x14ac:dyDescent="0.25">
      <c r="A4387" t="s">
        <v>2679</v>
      </c>
      <c r="B4387" t="s">
        <v>2680</v>
      </c>
      <c r="C4387" t="s">
        <v>39</v>
      </c>
      <c r="D4387" t="s">
        <v>27</v>
      </c>
      <c r="E4387" s="2">
        <v>46091</v>
      </c>
      <c r="F4387" s="2">
        <v>46091</v>
      </c>
      <c r="G4387" s="3">
        <v>39</v>
      </c>
      <c r="H4387" s="4" t="s">
        <v>3161</v>
      </c>
      <c r="I4387">
        <v>40</v>
      </c>
      <c r="J4387">
        <v>0</v>
      </c>
      <c r="K4387">
        <v>0</v>
      </c>
      <c r="L4387" s="3">
        <v>0</v>
      </c>
      <c r="M4387" s="3">
        <v>0</v>
      </c>
      <c r="N4387">
        <v>0</v>
      </c>
      <c r="O4387">
        <v>0</v>
      </c>
      <c r="P4387">
        <v>0</v>
      </c>
      <c r="Q4387">
        <v>40</v>
      </c>
      <c r="R4387" s="3">
        <v>0</v>
      </c>
      <c r="S4387" s="3">
        <v>0</v>
      </c>
      <c r="T4387">
        <v>0</v>
      </c>
      <c r="U4387">
        <v>0</v>
      </c>
      <c r="V4387" s="3">
        <v>0</v>
      </c>
      <c r="W4387" s="3">
        <v>0</v>
      </c>
      <c r="X4387">
        <v>0</v>
      </c>
      <c r="Y4387" t="s">
        <v>3347</v>
      </c>
    </row>
    <row r="4388" spans="1:25" hidden="1" x14ac:dyDescent="0.25">
      <c r="A4388" t="s">
        <v>1316</v>
      </c>
      <c r="B4388" t="s">
        <v>1348</v>
      </c>
      <c r="C4388" t="s">
        <v>2514</v>
      </c>
      <c r="D4388" t="s">
        <v>27</v>
      </c>
      <c r="E4388" s="2">
        <v>46091</v>
      </c>
      <c r="F4388" s="2">
        <v>46091</v>
      </c>
      <c r="G4388" s="3">
        <v>118</v>
      </c>
      <c r="H4388" s="4" t="s">
        <v>28</v>
      </c>
      <c r="I4388">
        <f>17+2</f>
        <v>19</v>
      </c>
      <c r="J4388">
        <v>0</v>
      </c>
      <c r="K4388">
        <v>0</v>
      </c>
      <c r="L4388" s="3">
        <v>0</v>
      </c>
      <c r="M4388" s="3">
        <v>0</v>
      </c>
      <c r="N4388">
        <v>0</v>
      </c>
      <c r="O4388">
        <v>0</v>
      </c>
      <c r="P4388">
        <v>0</v>
      </c>
      <c r="Q4388">
        <v>5</v>
      </c>
      <c r="R4388" s="3">
        <v>0</v>
      </c>
      <c r="S4388" s="3">
        <v>0</v>
      </c>
      <c r="T4388">
        <v>0</v>
      </c>
      <c r="U4388">
        <v>0</v>
      </c>
      <c r="V4388" s="3">
        <v>0</v>
      </c>
      <c r="W4388" s="3">
        <v>0</v>
      </c>
      <c r="X4388">
        <v>0</v>
      </c>
      <c r="Y4388" t="s">
        <v>3348</v>
      </c>
    </row>
    <row r="4389" spans="1:25" s="1" customFormat="1" hidden="1" x14ac:dyDescent="0.25">
      <c r="A4389" s="1" t="s">
        <v>41</v>
      </c>
      <c r="B4389" s="1" t="s">
        <v>112</v>
      </c>
      <c r="C4389" s="1" t="s">
        <v>42</v>
      </c>
      <c r="D4389" s="1" t="s">
        <v>27</v>
      </c>
      <c r="E4389" s="10">
        <v>46091</v>
      </c>
      <c r="F4389" s="10">
        <v>46091</v>
      </c>
      <c r="G4389" s="41">
        <v>69</v>
      </c>
      <c r="H4389" s="15" t="s">
        <v>28</v>
      </c>
      <c r="I4389" s="1">
        <v>236</v>
      </c>
      <c r="J4389" s="1">
        <v>8</v>
      </c>
      <c r="K4389" s="1">
        <v>0</v>
      </c>
      <c r="L4389" s="41">
        <v>1</v>
      </c>
      <c r="M4389" s="41">
        <v>1</v>
      </c>
      <c r="N4389" s="1">
        <v>0</v>
      </c>
      <c r="O4389" s="1">
        <v>0</v>
      </c>
      <c r="P4389" s="1">
        <v>0</v>
      </c>
      <c r="Q4389" s="1">
        <v>236</v>
      </c>
      <c r="R4389" s="41">
        <v>0</v>
      </c>
      <c r="S4389" s="41">
        <v>0</v>
      </c>
      <c r="T4389" s="1">
        <v>0</v>
      </c>
      <c r="U4389" s="1">
        <v>0</v>
      </c>
      <c r="V4389" s="41">
        <v>0</v>
      </c>
      <c r="W4389" s="41">
        <v>0</v>
      </c>
      <c r="X4389" s="1">
        <v>10</v>
      </c>
      <c r="Y4389" s="1" t="s">
        <v>3349</v>
      </c>
    </row>
    <row r="4390" spans="1:25" hidden="1" x14ac:dyDescent="0.25">
      <c r="A4390" t="s">
        <v>43</v>
      </c>
      <c r="B4390" t="s">
        <v>114</v>
      </c>
      <c r="C4390" t="s">
        <v>44</v>
      </c>
      <c r="D4390" t="s">
        <v>27</v>
      </c>
      <c r="E4390" s="2">
        <v>46091</v>
      </c>
      <c r="F4390" s="2">
        <v>46091</v>
      </c>
      <c r="G4390" s="3">
        <v>29</v>
      </c>
      <c r="H4390" s="4" t="s">
        <v>28</v>
      </c>
      <c r="I4390">
        <f>72+9</f>
        <v>81</v>
      </c>
      <c r="J4390">
        <v>0</v>
      </c>
      <c r="K4390">
        <v>0</v>
      </c>
      <c r="L4390" s="3">
        <v>1</v>
      </c>
      <c r="M4390" s="3">
        <v>0</v>
      </c>
      <c r="N4390">
        <v>0</v>
      </c>
      <c r="O4390">
        <v>0</v>
      </c>
      <c r="P4390">
        <v>0</v>
      </c>
      <c r="Q4390">
        <v>13</v>
      </c>
      <c r="R4390" s="3">
        <v>0</v>
      </c>
      <c r="S4390" s="3">
        <v>0</v>
      </c>
      <c r="T4390">
        <v>0</v>
      </c>
      <c r="U4390">
        <v>0</v>
      </c>
      <c r="V4390" s="3">
        <v>0</v>
      </c>
      <c r="W4390" s="3">
        <v>0</v>
      </c>
      <c r="X4390">
        <v>0</v>
      </c>
      <c r="Y4390" t="s">
        <v>3350</v>
      </c>
    </row>
    <row r="4391" spans="1:25" hidden="1" x14ac:dyDescent="0.25">
      <c r="A4391" t="s">
        <v>45</v>
      </c>
      <c r="B4391" t="s">
        <v>116</v>
      </c>
      <c r="C4391" t="s">
        <v>46</v>
      </c>
      <c r="D4391" t="s">
        <v>27</v>
      </c>
      <c r="E4391" s="2">
        <v>46091</v>
      </c>
      <c r="F4391" s="2">
        <v>46091</v>
      </c>
      <c r="G4391" s="3">
        <v>47</v>
      </c>
      <c r="H4391" s="4" t="s">
        <v>28</v>
      </c>
      <c r="I4391">
        <v>25</v>
      </c>
      <c r="J4391">
        <v>0</v>
      </c>
      <c r="K4391">
        <v>0</v>
      </c>
      <c r="L4391" s="3">
        <v>0</v>
      </c>
      <c r="M4391" s="3">
        <v>0</v>
      </c>
      <c r="N4391">
        <v>0</v>
      </c>
      <c r="O4391">
        <v>0</v>
      </c>
      <c r="P4391">
        <v>0</v>
      </c>
      <c r="Q4391">
        <v>0</v>
      </c>
      <c r="R4391" s="3">
        <v>0</v>
      </c>
      <c r="S4391" s="3">
        <v>0</v>
      </c>
      <c r="T4391">
        <v>0</v>
      </c>
      <c r="U4391">
        <v>0</v>
      </c>
      <c r="V4391" s="3">
        <v>0</v>
      </c>
      <c r="W4391" s="3">
        <v>0</v>
      </c>
      <c r="X4391">
        <v>0</v>
      </c>
      <c r="Y4391" t="s">
        <v>3351</v>
      </c>
    </row>
    <row r="4392" spans="1:25" hidden="1" x14ac:dyDescent="0.25">
      <c r="A4392" t="s">
        <v>47</v>
      </c>
      <c r="B4392" t="s">
        <v>137</v>
      </c>
      <c r="C4392" t="s">
        <v>2310</v>
      </c>
      <c r="D4392" t="s">
        <v>27</v>
      </c>
      <c r="E4392" s="2">
        <v>46091</v>
      </c>
      <c r="F4392" s="2">
        <v>46091</v>
      </c>
      <c r="G4392" s="3">
        <v>67</v>
      </c>
      <c r="H4392" s="4" t="s">
        <v>28</v>
      </c>
      <c r="I4392">
        <v>57</v>
      </c>
      <c r="J4392">
        <v>0</v>
      </c>
      <c r="K4392">
        <v>0</v>
      </c>
      <c r="L4392" s="3">
        <v>1</v>
      </c>
      <c r="M4392" s="3">
        <v>0</v>
      </c>
      <c r="N4392">
        <v>0</v>
      </c>
      <c r="O4392">
        <v>0</v>
      </c>
      <c r="P4392">
        <v>0</v>
      </c>
      <c r="Q4392">
        <v>6</v>
      </c>
      <c r="R4392" s="3">
        <v>0</v>
      </c>
      <c r="S4392" s="3">
        <v>0</v>
      </c>
      <c r="T4392">
        <v>0</v>
      </c>
      <c r="U4392">
        <v>0</v>
      </c>
      <c r="V4392" s="3">
        <v>0</v>
      </c>
      <c r="W4392" s="3">
        <v>0</v>
      </c>
      <c r="X4392">
        <v>0</v>
      </c>
      <c r="Y4392" t="s">
        <v>3352</v>
      </c>
    </row>
    <row r="4393" spans="1:25" hidden="1" x14ac:dyDescent="0.25">
      <c r="A4393" t="s">
        <v>49</v>
      </c>
      <c r="B4393" t="s">
        <v>118</v>
      </c>
      <c r="C4393" t="s">
        <v>50</v>
      </c>
      <c r="D4393" t="s">
        <v>27</v>
      </c>
      <c r="E4393" s="2">
        <v>46091</v>
      </c>
      <c r="F4393" s="2">
        <v>46091</v>
      </c>
      <c r="G4393" s="3">
        <v>28</v>
      </c>
      <c r="H4393" s="4" t="s">
        <v>28</v>
      </c>
      <c r="I4393">
        <f>65+2</f>
        <v>67</v>
      </c>
      <c r="J4393">
        <v>0</v>
      </c>
      <c r="K4393">
        <v>0</v>
      </c>
      <c r="L4393" s="3">
        <v>1</v>
      </c>
      <c r="M4393" s="3">
        <v>1</v>
      </c>
      <c r="N4393">
        <v>0</v>
      </c>
      <c r="O4393">
        <v>1</v>
      </c>
      <c r="P4393">
        <v>0</v>
      </c>
      <c r="Q4393">
        <v>70</v>
      </c>
      <c r="R4393" s="3">
        <v>0</v>
      </c>
      <c r="S4393" s="3">
        <v>0</v>
      </c>
      <c r="T4393">
        <v>0</v>
      </c>
      <c r="U4393">
        <v>0</v>
      </c>
      <c r="V4393" s="3">
        <v>0</v>
      </c>
      <c r="W4393" s="3">
        <v>0</v>
      </c>
      <c r="X4393">
        <v>0</v>
      </c>
      <c r="Y4393" t="s">
        <v>3353</v>
      </c>
    </row>
    <row r="4394" spans="1:25" hidden="1" x14ac:dyDescent="0.25">
      <c r="A4394" t="s">
        <v>51</v>
      </c>
      <c r="B4394" t="s">
        <v>120</v>
      </c>
      <c r="C4394" t="s">
        <v>55</v>
      </c>
      <c r="D4394" t="s">
        <v>27</v>
      </c>
      <c r="E4394" s="2">
        <v>46091</v>
      </c>
      <c r="F4394" s="2">
        <v>46091</v>
      </c>
      <c r="G4394" s="3">
        <v>58</v>
      </c>
      <c r="H4394" s="4" t="s">
        <v>28</v>
      </c>
      <c r="I4394">
        <v>47</v>
      </c>
      <c r="J4394">
        <v>0</v>
      </c>
      <c r="K4394">
        <v>0</v>
      </c>
      <c r="L4394" s="3">
        <v>0</v>
      </c>
      <c r="M4394" s="3">
        <v>0</v>
      </c>
      <c r="N4394">
        <v>0</v>
      </c>
      <c r="O4394">
        <v>0</v>
      </c>
      <c r="P4394">
        <v>0</v>
      </c>
      <c r="Q4394">
        <v>0</v>
      </c>
      <c r="R4394" s="3">
        <v>0</v>
      </c>
      <c r="S4394" s="3">
        <v>0</v>
      </c>
      <c r="T4394">
        <v>0</v>
      </c>
      <c r="U4394">
        <v>0</v>
      </c>
      <c r="V4394" s="3">
        <v>0</v>
      </c>
      <c r="W4394" s="3">
        <v>0</v>
      </c>
      <c r="X4394">
        <v>4</v>
      </c>
      <c r="Y4394" t="s">
        <v>3354</v>
      </c>
    </row>
    <row r="4395" spans="1:25" hidden="1" x14ac:dyDescent="0.25">
      <c r="A4395" t="s">
        <v>54</v>
      </c>
      <c r="B4395" t="s">
        <v>120</v>
      </c>
      <c r="C4395" t="s">
        <v>52</v>
      </c>
      <c r="D4395" t="s">
        <v>27</v>
      </c>
      <c r="E4395" s="2">
        <v>46091</v>
      </c>
      <c r="F4395" s="2">
        <v>46091</v>
      </c>
      <c r="G4395" s="3">
        <v>58</v>
      </c>
      <c r="H4395" s="4" t="s">
        <v>28</v>
      </c>
      <c r="I4395">
        <f>50+3</f>
        <v>53</v>
      </c>
      <c r="J4395">
        <v>0</v>
      </c>
      <c r="K4395">
        <v>0</v>
      </c>
      <c r="L4395" s="3">
        <v>0</v>
      </c>
      <c r="M4395" s="3">
        <v>0</v>
      </c>
      <c r="N4395">
        <v>0</v>
      </c>
      <c r="O4395">
        <v>0</v>
      </c>
      <c r="P4395">
        <v>0</v>
      </c>
      <c r="Q4395">
        <v>0</v>
      </c>
      <c r="R4395" s="3">
        <v>0</v>
      </c>
      <c r="S4395" s="3">
        <v>0</v>
      </c>
      <c r="T4395">
        <v>0</v>
      </c>
      <c r="U4395">
        <v>0</v>
      </c>
      <c r="V4395" s="3">
        <v>0</v>
      </c>
      <c r="W4395" s="3">
        <v>0</v>
      </c>
      <c r="X4395">
        <v>0</v>
      </c>
      <c r="Y4395" t="s">
        <v>3354</v>
      </c>
    </row>
    <row r="4396" spans="1:25" hidden="1" x14ac:dyDescent="0.25">
      <c r="A4396" t="s">
        <v>48</v>
      </c>
      <c r="B4396" t="s">
        <v>149</v>
      </c>
      <c r="C4396" t="s">
        <v>2835</v>
      </c>
      <c r="D4396" t="s">
        <v>27</v>
      </c>
      <c r="E4396" s="2">
        <v>46091</v>
      </c>
      <c r="F4396" s="2">
        <v>46091</v>
      </c>
      <c r="G4396" s="3">
        <v>58</v>
      </c>
      <c r="H4396" s="4" t="s">
        <v>28</v>
      </c>
      <c r="I4396">
        <v>25</v>
      </c>
      <c r="J4396">
        <v>0</v>
      </c>
      <c r="K4396">
        <v>0</v>
      </c>
      <c r="L4396" s="3">
        <v>0</v>
      </c>
      <c r="M4396" s="3">
        <v>0</v>
      </c>
      <c r="N4396">
        <v>0</v>
      </c>
      <c r="O4396">
        <v>0</v>
      </c>
      <c r="P4396">
        <v>0</v>
      </c>
      <c r="Q4396">
        <v>0</v>
      </c>
      <c r="R4396" s="3">
        <v>0</v>
      </c>
      <c r="S4396" s="3">
        <v>0</v>
      </c>
      <c r="T4396">
        <v>0</v>
      </c>
      <c r="U4396">
        <v>0</v>
      </c>
      <c r="V4396" s="3">
        <v>0</v>
      </c>
      <c r="W4396" s="3">
        <v>0</v>
      </c>
      <c r="X4396">
        <v>0</v>
      </c>
      <c r="Y4396" t="s">
        <v>3355</v>
      </c>
    </row>
    <row r="4397" spans="1:25" hidden="1" x14ac:dyDescent="0.25">
      <c r="A4397" t="s">
        <v>454</v>
      </c>
      <c r="B4397" t="s">
        <v>149</v>
      </c>
      <c r="C4397" t="s">
        <v>57</v>
      </c>
      <c r="D4397" t="s">
        <v>27</v>
      </c>
      <c r="E4397" s="2">
        <v>46091</v>
      </c>
      <c r="F4397" s="2">
        <v>46091</v>
      </c>
      <c r="G4397" s="3">
        <v>58</v>
      </c>
      <c r="H4397" s="4" t="s">
        <v>959</v>
      </c>
      <c r="I4397">
        <v>0</v>
      </c>
      <c r="J4397">
        <v>0</v>
      </c>
      <c r="K4397">
        <v>0</v>
      </c>
      <c r="L4397" s="3">
        <v>0</v>
      </c>
      <c r="M4397" s="3">
        <v>0</v>
      </c>
      <c r="N4397">
        <v>0</v>
      </c>
      <c r="O4397">
        <v>0</v>
      </c>
      <c r="P4397">
        <v>0</v>
      </c>
      <c r="Q4397">
        <v>0</v>
      </c>
      <c r="R4397" s="3">
        <v>0</v>
      </c>
      <c r="S4397" s="3">
        <v>0</v>
      </c>
      <c r="T4397">
        <v>0</v>
      </c>
      <c r="U4397">
        <v>0</v>
      </c>
      <c r="V4397" s="3">
        <v>0</v>
      </c>
      <c r="W4397" s="3">
        <v>0</v>
      </c>
      <c r="X4397">
        <v>0</v>
      </c>
      <c r="Y4397" t="s">
        <v>3355</v>
      </c>
    </row>
    <row r="4398" spans="1:25" hidden="1" x14ac:dyDescent="0.25">
      <c r="A4398" t="s">
        <v>3187</v>
      </c>
      <c r="B4398" t="s">
        <v>149</v>
      </c>
      <c r="C4398" t="s">
        <v>37</v>
      </c>
      <c r="D4398" t="s">
        <v>27</v>
      </c>
      <c r="E4398" s="2">
        <v>46091</v>
      </c>
      <c r="F4398" s="2">
        <v>46091</v>
      </c>
      <c r="G4398" s="3">
        <v>58</v>
      </c>
      <c r="H4398" s="4" t="s">
        <v>250</v>
      </c>
      <c r="I4398">
        <v>0</v>
      </c>
      <c r="J4398">
        <v>0</v>
      </c>
      <c r="K4398">
        <v>0</v>
      </c>
      <c r="L4398" s="3">
        <v>0</v>
      </c>
      <c r="M4398" s="3">
        <v>0</v>
      </c>
      <c r="N4398">
        <v>0</v>
      </c>
      <c r="O4398">
        <v>0</v>
      </c>
      <c r="P4398">
        <v>0</v>
      </c>
      <c r="Q4398">
        <v>0</v>
      </c>
      <c r="R4398" s="3">
        <v>0</v>
      </c>
      <c r="S4398" s="3">
        <v>0</v>
      </c>
      <c r="T4398">
        <v>0</v>
      </c>
      <c r="U4398">
        <v>0</v>
      </c>
      <c r="V4398" s="3">
        <v>0</v>
      </c>
      <c r="W4398" s="3">
        <v>0</v>
      </c>
      <c r="X4398">
        <v>0</v>
      </c>
      <c r="Y4398" t="s">
        <v>3355</v>
      </c>
    </row>
    <row r="4399" spans="1:25" hidden="1" x14ac:dyDescent="0.25">
      <c r="A4399" s="13" t="s">
        <v>25</v>
      </c>
      <c r="B4399" t="s">
        <v>96</v>
      </c>
      <c r="C4399" s="13" t="s">
        <v>26</v>
      </c>
      <c r="D4399" t="s">
        <v>27</v>
      </c>
      <c r="E4399" s="2">
        <v>46092</v>
      </c>
      <c r="F4399" s="2">
        <v>46092</v>
      </c>
      <c r="G4399" s="3">
        <v>56</v>
      </c>
      <c r="H4399" s="4" t="s">
        <v>28</v>
      </c>
      <c r="I4399">
        <f>40+11</f>
        <v>51</v>
      </c>
      <c r="J4399">
        <v>0</v>
      </c>
      <c r="K4399">
        <v>0</v>
      </c>
      <c r="L4399" s="3">
        <v>0</v>
      </c>
      <c r="M4399" s="3">
        <v>0</v>
      </c>
      <c r="N4399">
        <v>1</v>
      </c>
      <c r="O4399">
        <v>0</v>
      </c>
      <c r="P4399">
        <v>0</v>
      </c>
      <c r="Q4399">
        <v>0</v>
      </c>
      <c r="R4399" s="3">
        <v>0</v>
      </c>
      <c r="S4399" s="3">
        <v>0</v>
      </c>
      <c r="T4399">
        <v>0</v>
      </c>
      <c r="U4399">
        <v>0</v>
      </c>
      <c r="V4399" s="3">
        <v>0</v>
      </c>
      <c r="W4399" s="3">
        <v>0</v>
      </c>
      <c r="X4399">
        <v>0</v>
      </c>
      <c r="Y4399" t="s">
        <v>3356</v>
      </c>
    </row>
    <row r="4400" spans="1:25" hidden="1" x14ac:dyDescent="0.25">
      <c r="A4400" s="1" t="s">
        <v>344</v>
      </c>
      <c r="B4400" t="s">
        <v>102</v>
      </c>
      <c r="C4400" s="1" t="s">
        <v>35</v>
      </c>
      <c r="D4400" t="s">
        <v>27</v>
      </c>
      <c r="E4400" s="2">
        <v>46092</v>
      </c>
      <c r="F4400" s="2">
        <v>46092</v>
      </c>
      <c r="G4400" s="3">
        <v>23</v>
      </c>
      <c r="H4400" s="4" t="s">
        <v>28</v>
      </c>
      <c r="I4400">
        <v>34</v>
      </c>
      <c r="J4400">
        <v>0</v>
      </c>
      <c r="K4400">
        <v>0</v>
      </c>
      <c r="L4400" s="3">
        <v>0</v>
      </c>
      <c r="M4400" s="3">
        <v>0</v>
      </c>
      <c r="N4400">
        <v>0</v>
      </c>
      <c r="O4400">
        <v>0</v>
      </c>
      <c r="P4400">
        <v>0</v>
      </c>
      <c r="Q4400">
        <v>0</v>
      </c>
      <c r="R4400" s="3">
        <v>0</v>
      </c>
      <c r="S4400" s="3">
        <v>0</v>
      </c>
      <c r="T4400">
        <v>0</v>
      </c>
      <c r="U4400">
        <v>0</v>
      </c>
      <c r="V4400" s="3">
        <v>0</v>
      </c>
      <c r="W4400" s="3">
        <v>0</v>
      </c>
      <c r="X4400">
        <v>0</v>
      </c>
      <c r="Y4400" t="s">
        <v>3357</v>
      </c>
    </row>
    <row r="4401" spans="1:25" hidden="1" x14ac:dyDescent="0.25">
      <c r="A4401" t="s">
        <v>29</v>
      </c>
      <c r="B4401" t="s">
        <v>102</v>
      </c>
      <c r="C4401" s="13" t="s">
        <v>2835</v>
      </c>
      <c r="D4401" t="s">
        <v>27</v>
      </c>
      <c r="E4401" s="2">
        <v>46092</v>
      </c>
      <c r="F4401" s="2">
        <v>46092</v>
      </c>
      <c r="G4401" s="3">
        <v>23</v>
      </c>
      <c r="H4401" s="4" t="s">
        <v>28</v>
      </c>
      <c r="I4401">
        <f>22+4</f>
        <v>26</v>
      </c>
      <c r="J4401">
        <v>0</v>
      </c>
      <c r="K4401">
        <v>0</v>
      </c>
      <c r="L4401" s="3">
        <v>1</v>
      </c>
      <c r="M4401" s="3">
        <v>0</v>
      </c>
      <c r="N4401">
        <v>0</v>
      </c>
      <c r="O4401">
        <v>0</v>
      </c>
      <c r="P4401">
        <v>0</v>
      </c>
      <c r="Q4401">
        <v>0</v>
      </c>
      <c r="R4401" s="3">
        <v>0</v>
      </c>
      <c r="S4401" s="3">
        <v>0</v>
      </c>
      <c r="T4401">
        <v>0</v>
      </c>
      <c r="U4401">
        <v>0</v>
      </c>
      <c r="V4401" s="3">
        <v>0</v>
      </c>
      <c r="W4401" s="3">
        <v>0</v>
      </c>
      <c r="X4401">
        <v>0</v>
      </c>
      <c r="Y4401" t="s">
        <v>3357</v>
      </c>
    </row>
    <row r="4402" spans="1:25" hidden="1" x14ac:dyDescent="0.25">
      <c r="A4402" s="13" t="s">
        <v>31</v>
      </c>
      <c r="B4402" t="s">
        <v>104</v>
      </c>
      <c r="C4402" s="13" t="s">
        <v>32</v>
      </c>
      <c r="D4402" t="s">
        <v>27</v>
      </c>
      <c r="E4402" s="2">
        <v>46092</v>
      </c>
      <c r="F4402" s="2">
        <v>46092</v>
      </c>
      <c r="G4402" s="3">
        <v>68</v>
      </c>
      <c r="H4402" s="4" t="s">
        <v>28</v>
      </c>
      <c r="I4402">
        <f>85+2+12</f>
        <v>99</v>
      </c>
      <c r="J4402">
        <v>0</v>
      </c>
      <c r="K4402">
        <v>0</v>
      </c>
      <c r="L4402" s="3">
        <v>0</v>
      </c>
      <c r="M4402" s="3">
        <v>0</v>
      </c>
      <c r="N4402">
        <v>0</v>
      </c>
      <c r="O4402">
        <v>0</v>
      </c>
      <c r="P4402">
        <v>0</v>
      </c>
      <c r="Q4402">
        <v>38</v>
      </c>
      <c r="R4402" s="3">
        <v>0</v>
      </c>
      <c r="S4402" s="3">
        <v>0</v>
      </c>
      <c r="T4402">
        <v>0</v>
      </c>
      <c r="U4402">
        <v>0</v>
      </c>
      <c r="V4402" s="3">
        <v>0</v>
      </c>
      <c r="W4402" s="3">
        <v>0</v>
      </c>
      <c r="X4402">
        <v>11</v>
      </c>
      <c r="Y4402" t="s">
        <v>3358</v>
      </c>
    </row>
    <row r="4403" spans="1:25" hidden="1" x14ac:dyDescent="0.25">
      <c r="A4403" s="1" t="s">
        <v>33</v>
      </c>
      <c r="B4403" t="s">
        <v>106</v>
      </c>
      <c r="C4403" s="1" t="s">
        <v>57</v>
      </c>
      <c r="D4403" t="s">
        <v>27</v>
      </c>
      <c r="E4403" s="2">
        <v>46092</v>
      </c>
      <c r="F4403" s="2">
        <v>46092</v>
      </c>
      <c r="G4403" s="3">
        <v>29</v>
      </c>
      <c r="H4403" s="4" t="s">
        <v>28</v>
      </c>
      <c r="I4403">
        <f>42+1</f>
        <v>43</v>
      </c>
      <c r="J4403">
        <v>0</v>
      </c>
      <c r="K4403">
        <v>0</v>
      </c>
      <c r="L4403" s="3">
        <v>0</v>
      </c>
      <c r="M4403" s="3">
        <v>0</v>
      </c>
      <c r="N4403">
        <v>0</v>
      </c>
      <c r="O4403">
        <v>0</v>
      </c>
      <c r="P4403">
        <v>0</v>
      </c>
      <c r="Q4403">
        <v>21</v>
      </c>
      <c r="R4403" s="3">
        <v>0</v>
      </c>
      <c r="S4403" s="3">
        <v>0</v>
      </c>
      <c r="T4403">
        <v>0</v>
      </c>
      <c r="U4403">
        <v>0</v>
      </c>
      <c r="V4403" s="3">
        <v>0</v>
      </c>
      <c r="W4403" s="3">
        <v>0</v>
      </c>
      <c r="X4403">
        <v>0</v>
      </c>
      <c r="Y4403" t="s">
        <v>3359</v>
      </c>
    </row>
    <row r="4404" spans="1:25" hidden="1" x14ac:dyDescent="0.25">
      <c r="A4404" s="1" t="s">
        <v>2899</v>
      </c>
      <c r="B4404" t="s">
        <v>2998</v>
      </c>
      <c r="C4404" s="1" t="s">
        <v>2271</v>
      </c>
      <c r="D4404" t="s">
        <v>27</v>
      </c>
      <c r="E4404" s="2">
        <v>46092</v>
      </c>
      <c r="F4404" s="2">
        <v>46092</v>
      </c>
      <c r="G4404" s="3">
        <v>47</v>
      </c>
      <c r="H4404" s="4" t="s">
        <v>28</v>
      </c>
      <c r="I4404">
        <f>28+3</f>
        <v>31</v>
      </c>
      <c r="J4404">
        <v>0</v>
      </c>
      <c r="K4404">
        <v>0</v>
      </c>
      <c r="L4404" s="3">
        <v>1</v>
      </c>
      <c r="M4404" s="3">
        <v>0</v>
      </c>
      <c r="N4404">
        <v>0</v>
      </c>
      <c r="O4404">
        <v>0</v>
      </c>
      <c r="P4404">
        <v>0</v>
      </c>
      <c r="Q4404">
        <v>0</v>
      </c>
      <c r="R4404" s="3">
        <v>0</v>
      </c>
      <c r="S4404" s="3">
        <v>0</v>
      </c>
      <c r="T4404">
        <v>0</v>
      </c>
      <c r="U4404">
        <v>0</v>
      </c>
      <c r="V4404" s="3">
        <v>0</v>
      </c>
      <c r="W4404" s="3">
        <v>0</v>
      </c>
      <c r="X4404">
        <v>0</v>
      </c>
      <c r="Y4404" t="s">
        <v>3360</v>
      </c>
    </row>
    <row r="4405" spans="1:25" hidden="1" x14ac:dyDescent="0.25">
      <c r="A4405" s="13" t="s">
        <v>36</v>
      </c>
      <c r="B4405" t="s">
        <v>249</v>
      </c>
      <c r="C4405" s="13" t="s">
        <v>2534</v>
      </c>
      <c r="D4405" t="s">
        <v>27</v>
      </c>
      <c r="E4405" s="2">
        <v>46092</v>
      </c>
      <c r="F4405" s="2">
        <v>46092</v>
      </c>
      <c r="G4405" s="3">
        <v>97</v>
      </c>
      <c r="H4405" s="4" t="s">
        <v>28</v>
      </c>
      <c r="I4405">
        <v>59</v>
      </c>
      <c r="J4405">
        <v>0</v>
      </c>
      <c r="K4405">
        <v>0</v>
      </c>
      <c r="L4405" s="3">
        <v>1</v>
      </c>
      <c r="M4405" s="3">
        <v>0</v>
      </c>
      <c r="N4405">
        <v>1</v>
      </c>
      <c r="O4405">
        <v>0</v>
      </c>
      <c r="P4405">
        <v>0</v>
      </c>
      <c r="Q4405">
        <v>0</v>
      </c>
      <c r="R4405" s="3">
        <v>0</v>
      </c>
      <c r="S4405" s="3">
        <v>0</v>
      </c>
      <c r="T4405">
        <v>0</v>
      </c>
      <c r="U4405">
        <v>0</v>
      </c>
      <c r="V4405" s="3">
        <v>0</v>
      </c>
      <c r="W4405" s="3">
        <v>0</v>
      </c>
      <c r="X4405">
        <v>0</v>
      </c>
      <c r="Y4405" t="s">
        <v>3361</v>
      </c>
    </row>
    <row r="4406" spans="1:25" hidden="1" x14ac:dyDescent="0.25">
      <c r="A4406" t="s">
        <v>38</v>
      </c>
      <c r="B4406" t="s">
        <v>108</v>
      </c>
      <c r="C4406" t="s">
        <v>27</v>
      </c>
      <c r="D4406" t="s">
        <v>27</v>
      </c>
      <c r="E4406" s="2">
        <v>46092</v>
      </c>
      <c r="F4406" s="2">
        <v>46092</v>
      </c>
      <c r="G4406" s="3">
        <v>32</v>
      </c>
      <c r="H4406" s="4" t="s">
        <v>3161</v>
      </c>
      <c r="I4406">
        <v>53</v>
      </c>
      <c r="J4406">
        <v>0</v>
      </c>
      <c r="K4406">
        <v>0</v>
      </c>
      <c r="L4406" s="3">
        <v>1</v>
      </c>
      <c r="M4406" s="3">
        <v>0</v>
      </c>
      <c r="N4406">
        <v>0</v>
      </c>
      <c r="O4406">
        <v>0</v>
      </c>
      <c r="P4406">
        <v>0</v>
      </c>
      <c r="Q4406">
        <v>53</v>
      </c>
      <c r="R4406" s="3">
        <v>0</v>
      </c>
      <c r="S4406" s="3">
        <v>0</v>
      </c>
      <c r="T4406">
        <v>0</v>
      </c>
      <c r="U4406">
        <v>0</v>
      </c>
      <c r="V4406" s="3">
        <v>0</v>
      </c>
      <c r="W4406" s="3">
        <v>0</v>
      </c>
      <c r="X4406">
        <v>0</v>
      </c>
      <c r="Y4406" t="s">
        <v>3362</v>
      </c>
    </row>
    <row r="4407" spans="1:25" hidden="1" x14ac:dyDescent="0.25">
      <c r="A4407" t="s">
        <v>2679</v>
      </c>
      <c r="B4407" t="s">
        <v>2680</v>
      </c>
      <c r="C4407" t="s">
        <v>39</v>
      </c>
      <c r="D4407" t="s">
        <v>27</v>
      </c>
      <c r="E4407" s="2">
        <v>46092</v>
      </c>
      <c r="F4407" s="2">
        <v>46092</v>
      </c>
      <c r="G4407" s="3">
        <v>30</v>
      </c>
      <c r="H4407" s="4" t="s">
        <v>3161</v>
      </c>
      <c r="I4407">
        <v>58</v>
      </c>
      <c r="J4407">
        <v>0</v>
      </c>
      <c r="K4407">
        <v>0</v>
      </c>
      <c r="L4407" s="3">
        <v>0</v>
      </c>
      <c r="M4407" s="3">
        <v>0</v>
      </c>
      <c r="N4407">
        <v>0</v>
      </c>
      <c r="O4407">
        <v>0</v>
      </c>
      <c r="P4407">
        <v>0</v>
      </c>
      <c r="Q4407">
        <v>58</v>
      </c>
      <c r="R4407" s="3">
        <v>0</v>
      </c>
      <c r="S4407" s="3">
        <v>0</v>
      </c>
      <c r="T4407">
        <v>0</v>
      </c>
      <c r="U4407">
        <v>0</v>
      </c>
      <c r="V4407" s="3">
        <v>0</v>
      </c>
      <c r="W4407" s="3">
        <v>0</v>
      </c>
      <c r="X4407">
        <v>0</v>
      </c>
      <c r="Y4407" t="s">
        <v>3363</v>
      </c>
    </row>
    <row r="4408" spans="1:25" hidden="1" x14ac:dyDescent="0.25">
      <c r="A4408" s="13" t="s">
        <v>1316</v>
      </c>
      <c r="B4408" t="s">
        <v>1348</v>
      </c>
      <c r="C4408" s="13" t="s">
        <v>2514</v>
      </c>
      <c r="D4408" t="s">
        <v>27</v>
      </c>
      <c r="E4408" s="2">
        <v>46092</v>
      </c>
      <c r="F4408" s="2">
        <v>46092</v>
      </c>
      <c r="G4408" s="3">
        <v>63</v>
      </c>
      <c r="H4408" s="4" t="s">
        <v>28</v>
      </c>
      <c r="I4408">
        <v>60</v>
      </c>
      <c r="J4408">
        <v>0</v>
      </c>
      <c r="K4408">
        <v>0</v>
      </c>
      <c r="L4408" s="3">
        <v>0</v>
      </c>
      <c r="M4408" s="3">
        <v>0</v>
      </c>
      <c r="N4408">
        <v>0</v>
      </c>
      <c r="O4408">
        <v>0</v>
      </c>
      <c r="P4408">
        <v>0</v>
      </c>
      <c r="Q4408">
        <v>20</v>
      </c>
      <c r="R4408" s="3">
        <v>0</v>
      </c>
      <c r="S4408" s="3">
        <v>0</v>
      </c>
      <c r="T4408">
        <v>0</v>
      </c>
      <c r="U4408">
        <v>0</v>
      </c>
      <c r="V4408" s="3">
        <v>0</v>
      </c>
      <c r="W4408" s="3">
        <v>0</v>
      </c>
      <c r="X4408">
        <v>0</v>
      </c>
      <c r="Y4408" t="s">
        <v>3364</v>
      </c>
    </row>
    <row r="4409" spans="1:25" s="1" customFormat="1" hidden="1" x14ac:dyDescent="0.25">
      <c r="A4409" s="1" t="s">
        <v>41</v>
      </c>
      <c r="B4409" s="1" t="s">
        <v>112</v>
      </c>
      <c r="C4409" s="1" t="s">
        <v>42</v>
      </c>
      <c r="D4409" s="1" t="s">
        <v>27</v>
      </c>
      <c r="E4409" s="10">
        <v>46092</v>
      </c>
      <c r="F4409" s="10">
        <v>46092</v>
      </c>
      <c r="G4409" s="41">
        <v>132</v>
      </c>
      <c r="H4409" s="15" t="s">
        <v>28</v>
      </c>
      <c r="I4409" s="1">
        <v>260</v>
      </c>
      <c r="J4409" s="1">
        <v>0</v>
      </c>
      <c r="K4409" s="1">
        <v>0</v>
      </c>
      <c r="L4409" s="41">
        <v>1</v>
      </c>
      <c r="M4409" s="41">
        <v>1</v>
      </c>
      <c r="N4409" s="1">
        <v>0</v>
      </c>
      <c r="O4409" s="1">
        <v>0</v>
      </c>
      <c r="P4409" s="1">
        <v>0</v>
      </c>
      <c r="Q4409" s="1">
        <v>260</v>
      </c>
      <c r="R4409" s="41">
        <v>0</v>
      </c>
      <c r="S4409" s="41">
        <v>0</v>
      </c>
      <c r="T4409" s="1">
        <v>0</v>
      </c>
      <c r="U4409" s="1">
        <v>0</v>
      </c>
      <c r="V4409" s="41">
        <v>0</v>
      </c>
      <c r="W4409" s="41">
        <v>0</v>
      </c>
      <c r="X4409" s="1">
        <v>11</v>
      </c>
      <c r="Y4409" s="1" t="s">
        <v>3365</v>
      </c>
    </row>
    <row r="4410" spans="1:25" hidden="1" x14ac:dyDescent="0.25">
      <c r="A4410" s="13" t="s">
        <v>43</v>
      </c>
      <c r="B4410" t="s">
        <v>114</v>
      </c>
      <c r="C4410" s="13" t="s">
        <v>44</v>
      </c>
      <c r="D4410" t="s">
        <v>27</v>
      </c>
      <c r="E4410" s="2">
        <v>46092</v>
      </c>
      <c r="F4410" s="2">
        <v>46092</v>
      </c>
      <c r="G4410" s="3">
        <v>31</v>
      </c>
      <c r="H4410" s="4" t="s">
        <v>28</v>
      </c>
      <c r="I4410">
        <f>57+9</f>
        <v>66</v>
      </c>
      <c r="J4410">
        <v>0</v>
      </c>
      <c r="K4410">
        <v>0</v>
      </c>
      <c r="L4410" s="3">
        <v>0</v>
      </c>
      <c r="M4410" s="3">
        <v>0</v>
      </c>
      <c r="N4410">
        <v>0</v>
      </c>
      <c r="O4410">
        <v>0</v>
      </c>
      <c r="P4410">
        <v>0</v>
      </c>
      <c r="Q4410">
        <v>13</v>
      </c>
      <c r="R4410" s="3">
        <v>0</v>
      </c>
      <c r="S4410" s="3">
        <v>0</v>
      </c>
      <c r="T4410">
        <v>0</v>
      </c>
      <c r="U4410">
        <v>0</v>
      </c>
      <c r="V4410" s="3">
        <v>0</v>
      </c>
      <c r="W4410" s="3">
        <v>0</v>
      </c>
      <c r="X4410">
        <v>0</v>
      </c>
      <c r="Y4410" t="s">
        <v>3366</v>
      </c>
    </row>
    <row r="4411" spans="1:25" hidden="1" x14ac:dyDescent="0.25">
      <c r="A4411" t="s">
        <v>2118</v>
      </c>
      <c r="B4411" t="s">
        <v>2119</v>
      </c>
      <c r="C4411" t="s">
        <v>27</v>
      </c>
      <c r="D4411" t="s">
        <v>27</v>
      </c>
      <c r="E4411" s="2">
        <v>46092</v>
      </c>
      <c r="F4411" s="2">
        <v>46092</v>
      </c>
      <c r="G4411" s="3">
        <v>32</v>
      </c>
      <c r="H4411" s="4" t="s">
        <v>3161</v>
      </c>
      <c r="I4411">
        <v>62</v>
      </c>
      <c r="J4411">
        <v>0</v>
      </c>
      <c r="K4411">
        <v>0</v>
      </c>
      <c r="L4411" s="3">
        <v>1</v>
      </c>
      <c r="M4411" s="3">
        <v>0</v>
      </c>
      <c r="N4411">
        <v>0</v>
      </c>
      <c r="O4411">
        <v>0</v>
      </c>
      <c r="P4411">
        <v>0</v>
      </c>
      <c r="Q4411">
        <v>62</v>
      </c>
      <c r="R4411" s="3">
        <v>0</v>
      </c>
      <c r="S4411" s="3">
        <v>0</v>
      </c>
      <c r="T4411">
        <v>0</v>
      </c>
      <c r="U4411">
        <v>0</v>
      </c>
      <c r="V4411" s="3">
        <v>0</v>
      </c>
      <c r="W4411" s="3">
        <v>0</v>
      </c>
      <c r="X4411">
        <v>0</v>
      </c>
      <c r="Y4411" t="s">
        <v>3367</v>
      </c>
    </row>
    <row r="4412" spans="1:25" hidden="1" x14ac:dyDescent="0.25">
      <c r="A4412" s="13" t="s">
        <v>45</v>
      </c>
      <c r="B4412" t="s">
        <v>116</v>
      </c>
      <c r="C4412" s="13" t="s">
        <v>46</v>
      </c>
      <c r="D4412" t="s">
        <v>27</v>
      </c>
      <c r="E4412" s="2">
        <v>46092</v>
      </c>
      <c r="F4412" s="2">
        <v>46092</v>
      </c>
      <c r="G4412" s="3">
        <v>41</v>
      </c>
      <c r="H4412" s="4" t="s">
        <v>28</v>
      </c>
      <c r="I4412">
        <f>51+30</f>
        <v>81</v>
      </c>
      <c r="J4412">
        <v>0</v>
      </c>
      <c r="K4412">
        <v>0</v>
      </c>
      <c r="L4412" s="3">
        <v>1</v>
      </c>
      <c r="M4412" s="3">
        <v>0</v>
      </c>
      <c r="N4412">
        <v>0</v>
      </c>
      <c r="O4412">
        <v>0</v>
      </c>
      <c r="P4412">
        <v>0</v>
      </c>
      <c r="Q4412">
        <v>12</v>
      </c>
      <c r="R4412" s="3">
        <v>0</v>
      </c>
      <c r="S4412" s="3">
        <v>0</v>
      </c>
      <c r="T4412">
        <v>0</v>
      </c>
      <c r="U4412">
        <v>0</v>
      </c>
      <c r="V4412" s="3">
        <v>0</v>
      </c>
      <c r="W4412" s="3">
        <v>0</v>
      </c>
      <c r="X4412">
        <v>0</v>
      </c>
      <c r="Y4412" t="s">
        <v>3368</v>
      </c>
    </row>
    <row r="4413" spans="1:25" hidden="1" x14ac:dyDescent="0.25">
      <c r="A4413" s="13" t="s">
        <v>47</v>
      </c>
      <c r="B4413" t="s">
        <v>137</v>
      </c>
      <c r="C4413" s="13" t="s">
        <v>2310</v>
      </c>
      <c r="D4413" t="s">
        <v>27</v>
      </c>
      <c r="E4413" s="2">
        <v>46092</v>
      </c>
      <c r="F4413" s="2">
        <v>46092</v>
      </c>
      <c r="G4413" s="3">
        <v>44</v>
      </c>
      <c r="H4413" s="4" t="s">
        <v>28</v>
      </c>
      <c r="I4413">
        <v>50</v>
      </c>
      <c r="J4413">
        <v>0</v>
      </c>
      <c r="K4413">
        <v>0</v>
      </c>
      <c r="L4413" s="3">
        <v>1</v>
      </c>
      <c r="M4413" s="3">
        <v>0</v>
      </c>
      <c r="N4413">
        <v>0</v>
      </c>
      <c r="O4413">
        <v>0</v>
      </c>
      <c r="P4413">
        <v>0</v>
      </c>
      <c r="Q4413">
        <v>8</v>
      </c>
      <c r="R4413" s="3">
        <v>0</v>
      </c>
      <c r="S4413" s="3">
        <v>0</v>
      </c>
      <c r="T4413">
        <v>0</v>
      </c>
      <c r="U4413">
        <v>0</v>
      </c>
      <c r="V4413" s="3">
        <v>0</v>
      </c>
      <c r="W4413" s="3">
        <v>0</v>
      </c>
      <c r="X4413">
        <v>0</v>
      </c>
      <c r="Y4413" t="s">
        <v>3369</v>
      </c>
    </row>
    <row r="4414" spans="1:25" hidden="1" x14ac:dyDescent="0.25">
      <c r="A4414" t="s">
        <v>49</v>
      </c>
      <c r="B4414" t="s">
        <v>118</v>
      </c>
      <c r="C4414" t="s">
        <v>50</v>
      </c>
      <c r="D4414" t="s">
        <v>27</v>
      </c>
      <c r="E4414" s="2">
        <v>46092</v>
      </c>
      <c r="F4414" s="2">
        <v>46092</v>
      </c>
      <c r="G4414" s="3">
        <v>87</v>
      </c>
      <c r="H4414" s="4" t="s">
        <v>28</v>
      </c>
      <c r="I4414">
        <f>44+17</f>
        <v>61</v>
      </c>
      <c r="J4414">
        <v>0</v>
      </c>
      <c r="K4414">
        <v>0</v>
      </c>
      <c r="L4414" s="3">
        <v>1</v>
      </c>
      <c r="M4414" s="3">
        <v>1</v>
      </c>
      <c r="N4414">
        <v>0</v>
      </c>
      <c r="O4414">
        <v>0</v>
      </c>
      <c r="P4414">
        <v>0</v>
      </c>
      <c r="Q4414">
        <v>42</v>
      </c>
      <c r="R4414" s="3">
        <v>0</v>
      </c>
      <c r="S4414" s="3">
        <v>0</v>
      </c>
      <c r="T4414">
        <v>0</v>
      </c>
      <c r="U4414">
        <v>0</v>
      </c>
      <c r="V4414" s="3">
        <v>0</v>
      </c>
      <c r="W4414" s="3">
        <v>0</v>
      </c>
      <c r="X4414">
        <v>0</v>
      </c>
      <c r="Y4414" t="s">
        <v>3370</v>
      </c>
    </row>
    <row r="4415" spans="1:25" hidden="1" x14ac:dyDescent="0.25">
      <c r="A4415" s="13" t="s">
        <v>51</v>
      </c>
      <c r="B4415" t="s">
        <v>120</v>
      </c>
      <c r="C4415" s="13" t="s">
        <v>55</v>
      </c>
      <c r="D4415" t="s">
        <v>27</v>
      </c>
      <c r="E4415" s="2">
        <v>46092</v>
      </c>
      <c r="F4415" s="2">
        <v>46092</v>
      </c>
      <c r="G4415" s="3">
        <v>47</v>
      </c>
      <c r="H4415" s="4" t="s">
        <v>28</v>
      </c>
      <c r="I4415">
        <f>32+9</f>
        <v>41</v>
      </c>
      <c r="J4415">
        <v>0</v>
      </c>
      <c r="K4415">
        <v>0</v>
      </c>
      <c r="L4415" s="3">
        <v>1</v>
      </c>
      <c r="M4415" s="3">
        <v>0</v>
      </c>
      <c r="N4415">
        <v>1</v>
      </c>
      <c r="O4415">
        <v>0</v>
      </c>
      <c r="P4415">
        <v>0</v>
      </c>
      <c r="Q4415">
        <v>0</v>
      </c>
      <c r="R4415" s="3">
        <v>0</v>
      </c>
      <c r="S4415" s="3">
        <v>0</v>
      </c>
      <c r="T4415">
        <v>0</v>
      </c>
      <c r="U4415">
        <v>0</v>
      </c>
      <c r="V4415" s="3">
        <v>0</v>
      </c>
      <c r="W4415" s="3">
        <v>0</v>
      </c>
      <c r="X4415">
        <v>0</v>
      </c>
      <c r="Y4415" t="s">
        <v>3371</v>
      </c>
    </row>
    <row r="4416" spans="1:25" hidden="1" x14ac:dyDescent="0.25">
      <c r="A4416" s="13" t="s">
        <v>54</v>
      </c>
      <c r="B4416" t="s">
        <v>122</v>
      </c>
      <c r="C4416" s="13" t="s">
        <v>52</v>
      </c>
      <c r="D4416" t="s">
        <v>27</v>
      </c>
      <c r="E4416" s="2">
        <v>46092</v>
      </c>
      <c r="F4416" s="2">
        <v>46092</v>
      </c>
      <c r="G4416" s="3">
        <v>35</v>
      </c>
      <c r="H4416" s="4" t="s">
        <v>28</v>
      </c>
      <c r="I4416">
        <v>41</v>
      </c>
      <c r="J4416">
        <v>0</v>
      </c>
      <c r="K4416">
        <v>0</v>
      </c>
      <c r="L4416" s="3">
        <v>0</v>
      </c>
      <c r="M4416" s="3">
        <v>0</v>
      </c>
      <c r="N4416">
        <v>0</v>
      </c>
      <c r="O4416">
        <v>0</v>
      </c>
      <c r="P4416">
        <v>0</v>
      </c>
      <c r="Q4416">
        <v>7</v>
      </c>
      <c r="R4416" s="3">
        <v>0</v>
      </c>
      <c r="S4416" s="3">
        <v>0</v>
      </c>
      <c r="T4416">
        <v>0</v>
      </c>
      <c r="U4416">
        <v>0</v>
      </c>
      <c r="V4416" s="3">
        <v>0</v>
      </c>
      <c r="W4416" s="3">
        <v>0</v>
      </c>
      <c r="X4416">
        <v>0</v>
      </c>
      <c r="Y4416" t="s">
        <v>3372</v>
      </c>
    </row>
    <row r="4417" spans="1:25" hidden="1" x14ac:dyDescent="0.25">
      <c r="A4417" s="13" t="s">
        <v>48</v>
      </c>
      <c r="B4417" t="s">
        <v>149</v>
      </c>
      <c r="C4417" s="13" t="s">
        <v>37</v>
      </c>
      <c r="D4417" t="s">
        <v>27</v>
      </c>
      <c r="E4417" s="2">
        <v>46092</v>
      </c>
      <c r="F4417" s="2">
        <v>46092</v>
      </c>
      <c r="G4417" s="3">
        <v>36</v>
      </c>
      <c r="H4417" s="4" t="s">
        <v>28</v>
      </c>
      <c r="I4417">
        <v>61</v>
      </c>
      <c r="J4417">
        <v>0</v>
      </c>
      <c r="K4417">
        <v>0</v>
      </c>
      <c r="L4417" s="3">
        <v>1</v>
      </c>
      <c r="M4417" s="3">
        <v>0</v>
      </c>
      <c r="N4417">
        <v>0</v>
      </c>
      <c r="O4417">
        <v>0</v>
      </c>
      <c r="P4417">
        <v>0</v>
      </c>
      <c r="Q4417">
        <v>0</v>
      </c>
      <c r="R4417" s="3">
        <v>0</v>
      </c>
      <c r="S4417" s="3">
        <v>0</v>
      </c>
      <c r="T4417">
        <v>0</v>
      </c>
      <c r="U4417">
        <v>0</v>
      </c>
      <c r="V4417" s="3">
        <v>0</v>
      </c>
      <c r="W4417" s="3">
        <v>0</v>
      </c>
      <c r="X4417">
        <v>0</v>
      </c>
      <c r="Y4417" t="s">
        <v>3373</v>
      </c>
    </row>
    <row r="4418" spans="1:25" hidden="1" x14ac:dyDescent="0.25">
      <c r="A4418" t="s">
        <v>27</v>
      </c>
      <c r="B4418" t="s">
        <v>739</v>
      </c>
      <c r="C4418" s="13" t="s">
        <v>95</v>
      </c>
      <c r="D4418" t="s">
        <v>27</v>
      </c>
      <c r="E4418" s="2">
        <v>46092</v>
      </c>
      <c r="F4418" s="2">
        <v>46092</v>
      </c>
      <c r="G4418" s="3">
        <v>37</v>
      </c>
      <c r="H4418" s="4" t="s">
        <v>959</v>
      </c>
      <c r="I4418">
        <v>0</v>
      </c>
      <c r="J4418">
        <v>0</v>
      </c>
      <c r="K4418">
        <v>0</v>
      </c>
      <c r="L4418" s="3">
        <v>0</v>
      </c>
      <c r="M4418" s="3">
        <v>0</v>
      </c>
      <c r="N4418">
        <v>0</v>
      </c>
      <c r="O4418">
        <v>0</v>
      </c>
      <c r="P4418">
        <v>0</v>
      </c>
      <c r="Q4418">
        <v>0</v>
      </c>
      <c r="R4418" s="3">
        <v>0</v>
      </c>
      <c r="S4418" s="3">
        <v>0</v>
      </c>
      <c r="T4418">
        <v>0</v>
      </c>
      <c r="U4418">
        <v>0</v>
      </c>
      <c r="V4418" s="3">
        <v>0</v>
      </c>
      <c r="W4418" s="3">
        <v>0</v>
      </c>
      <c r="X4418" s="3">
        <v>0</v>
      </c>
    </row>
    <row r="4419" spans="1:25" hidden="1" x14ac:dyDescent="0.25">
      <c r="A4419" t="s">
        <v>25</v>
      </c>
      <c r="B4419" t="s">
        <v>96</v>
      </c>
      <c r="C4419" t="s">
        <v>26</v>
      </c>
      <c r="D4419" t="s">
        <v>27</v>
      </c>
      <c r="E4419" s="2">
        <v>46093</v>
      </c>
      <c r="F4419" s="2">
        <v>46093</v>
      </c>
      <c r="G4419" s="3">
        <v>45</v>
      </c>
      <c r="H4419" t="s">
        <v>28</v>
      </c>
      <c r="I4419">
        <v>55</v>
      </c>
      <c r="J4419">
        <v>0</v>
      </c>
      <c r="K4419">
        <v>0</v>
      </c>
      <c r="L4419" s="3">
        <v>1</v>
      </c>
      <c r="M4419" s="3">
        <v>0</v>
      </c>
      <c r="N4419">
        <v>1</v>
      </c>
      <c r="O4419">
        <v>0</v>
      </c>
      <c r="P4419">
        <v>0</v>
      </c>
      <c r="Q4419">
        <v>0</v>
      </c>
      <c r="R4419" s="3">
        <v>0</v>
      </c>
      <c r="S4419" s="3">
        <v>0</v>
      </c>
      <c r="T4419">
        <v>0</v>
      </c>
      <c r="U4419">
        <v>0</v>
      </c>
      <c r="V4419" s="3">
        <v>0</v>
      </c>
      <c r="W4419" s="3">
        <v>0</v>
      </c>
      <c r="X4419">
        <v>0</v>
      </c>
      <c r="Y4419" t="s">
        <v>3374</v>
      </c>
    </row>
    <row r="4420" spans="1:25" hidden="1" x14ac:dyDescent="0.25">
      <c r="A4420" t="s">
        <v>29</v>
      </c>
      <c r="B4420" t="s">
        <v>100</v>
      </c>
      <c r="C4420" t="s">
        <v>2835</v>
      </c>
      <c r="D4420" t="s">
        <v>27</v>
      </c>
      <c r="E4420" s="2">
        <v>46093</v>
      </c>
      <c r="F4420" s="2">
        <v>46093</v>
      </c>
      <c r="G4420" s="3">
        <v>34</v>
      </c>
      <c r="H4420" t="s">
        <v>28</v>
      </c>
      <c r="I4420">
        <v>40</v>
      </c>
      <c r="J4420">
        <v>0</v>
      </c>
      <c r="K4420">
        <v>0</v>
      </c>
      <c r="L4420" s="3">
        <v>0</v>
      </c>
      <c r="M4420" s="3">
        <v>0</v>
      </c>
      <c r="N4420">
        <v>0</v>
      </c>
      <c r="O4420">
        <v>0</v>
      </c>
      <c r="P4420">
        <v>0</v>
      </c>
      <c r="Q4420">
        <v>0</v>
      </c>
      <c r="R4420" s="3">
        <v>0</v>
      </c>
      <c r="S4420" s="3">
        <v>0</v>
      </c>
      <c r="T4420">
        <v>0</v>
      </c>
      <c r="U4420">
        <v>0</v>
      </c>
      <c r="V4420" s="3">
        <v>0</v>
      </c>
      <c r="W4420" s="3">
        <v>0</v>
      </c>
      <c r="X4420">
        <v>0</v>
      </c>
      <c r="Y4420" t="s">
        <v>3375</v>
      </c>
    </row>
    <row r="4421" spans="1:25" hidden="1" x14ac:dyDescent="0.25">
      <c r="A4421" t="s">
        <v>344</v>
      </c>
      <c r="B4421" t="s">
        <v>102</v>
      </c>
      <c r="C4421" t="s">
        <v>35</v>
      </c>
      <c r="D4421" t="s">
        <v>27</v>
      </c>
      <c r="E4421" s="2">
        <v>46093</v>
      </c>
      <c r="F4421" s="2">
        <v>46093</v>
      </c>
      <c r="G4421" s="3">
        <v>32</v>
      </c>
      <c r="H4421" t="s">
        <v>28</v>
      </c>
      <c r="I4421">
        <v>50</v>
      </c>
      <c r="J4421">
        <v>0</v>
      </c>
      <c r="K4421">
        <v>0</v>
      </c>
      <c r="L4421" s="3">
        <v>0</v>
      </c>
      <c r="M4421" s="3">
        <v>0</v>
      </c>
      <c r="N4421">
        <v>0</v>
      </c>
      <c r="O4421">
        <v>0</v>
      </c>
      <c r="P4421">
        <v>0</v>
      </c>
      <c r="Q4421">
        <v>4</v>
      </c>
      <c r="R4421" s="3">
        <v>0</v>
      </c>
      <c r="S4421" s="3">
        <v>0</v>
      </c>
      <c r="T4421">
        <v>0</v>
      </c>
      <c r="U4421">
        <v>0</v>
      </c>
      <c r="V4421" s="3">
        <v>0</v>
      </c>
      <c r="W4421" s="3">
        <v>0</v>
      </c>
      <c r="X4421">
        <v>0</v>
      </c>
      <c r="Y4421" t="s">
        <v>3376</v>
      </c>
    </row>
    <row r="4422" spans="1:25" hidden="1" x14ac:dyDescent="0.25">
      <c r="A4422" t="s">
        <v>344</v>
      </c>
      <c r="B4422" t="s">
        <v>102</v>
      </c>
      <c r="C4422" t="s">
        <v>35</v>
      </c>
      <c r="D4422" t="s">
        <v>27</v>
      </c>
      <c r="E4422" s="2">
        <v>46093</v>
      </c>
      <c r="F4422" s="2">
        <v>46093</v>
      </c>
      <c r="G4422" s="3">
        <v>35</v>
      </c>
      <c r="H4422" t="s">
        <v>28</v>
      </c>
      <c r="I4422">
        <v>50</v>
      </c>
      <c r="J4422">
        <v>0</v>
      </c>
      <c r="K4422">
        <v>0</v>
      </c>
      <c r="L4422" s="3">
        <v>0</v>
      </c>
      <c r="M4422" s="3">
        <v>0</v>
      </c>
      <c r="N4422">
        <v>0</v>
      </c>
      <c r="O4422">
        <v>0</v>
      </c>
      <c r="P4422">
        <v>0</v>
      </c>
      <c r="Q4422">
        <v>4</v>
      </c>
      <c r="R4422" s="3">
        <v>0</v>
      </c>
      <c r="S4422" s="3">
        <v>0</v>
      </c>
      <c r="T4422">
        <v>0</v>
      </c>
      <c r="U4422">
        <v>0</v>
      </c>
      <c r="V4422" s="3">
        <v>0</v>
      </c>
      <c r="W4422" s="3">
        <v>0</v>
      </c>
      <c r="X4422">
        <v>0</v>
      </c>
      <c r="Y4422" t="s">
        <v>3377</v>
      </c>
    </row>
    <row r="4423" spans="1:25" hidden="1" x14ac:dyDescent="0.25">
      <c r="A4423" t="s">
        <v>31</v>
      </c>
      <c r="B4423" t="s">
        <v>104</v>
      </c>
      <c r="C4423" t="s">
        <v>32</v>
      </c>
      <c r="D4423" t="s">
        <v>27</v>
      </c>
      <c r="E4423" s="2">
        <v>46093</v>
      </c>
      <c r="F4423" s="2">
        <v>46093</v>
      </c>
      <c r="G4423" s="3">
        <v>75</v>
      </c>
      <c r="H4423" t="s">
        <v>28</v>
      </c>
      <c r="I4423">
        <v>110</v>
      </c>
      <c r="J4423">
        <v>0</v>
      </c>
      <c r="K4423">
        <v>0</v>
      </c>
      <c r="L4423" s="3">
        <v>0</v>
      </c>
      <c r="M4423" s="3">
        <v>0</v>
      </c>
      <c r="N4423">
        <v>0</v>
      </c>
      <c r="O4423">
        <v>0</v>
      </c>
      <c r="P4423">
        <v>0</v>
      </c>
      <c r="Q4423">
        <v>33</v>
      </c>
      <c r="R4423" s="3">
        <v>0</v>
      </c>
      <c r="S4423" s="3">
        <v>0</v>
      </c>
      <c r="T4423">
        <v>0</v>
      </c>
      <c r="U4423">
        <v>0</v>
      </c>
      <c r="V4423" s="3">
        <v>0</v>
      </c>
      <c r="W4423" s="3">
        <v>0</v>
      </c>
      <c r="X4423">
        <v>7</v>
      </c>
      <c r="Y4423" t="s">
        <v>3378</v>
      </c>
    </row>
    <row r="4424" spans="1:25" hidden="1" x14ac:dyDescent="0.25">
      <c r="A4424" t="s">
        <v>33</v>
      </c>
      <c r="B4424" t="s">
        <v>106</v>
      </c>
      <c r="C4424" t="s">
        <v>57</v>
      </c>
      <c r="D4424" t="s">
        <v>27</v>
      </c>
      <c r="E4424" s="2">
        <v>46093</v>
      </c>
      <c r="F4424" s="2">
        <v>46093</v>
      </c>
      <c r="G4424" s="3">
        <v>24</v>
      </c>
      <c r="H4424" t="s">
        <v>28</v>
      </c>
      <c r="I4424">
        <v>42</v>
      </c>
      <c r="J4424">
        <v>0</v>
      </c>
      <c r="K4424">
        <v>0</v>
      </c>
      <c r="L4424" s="3">
        <v>0</v>
      </c>
      <c r="M4424" s="3">
        <v>0</v>
      </c>
      <c r="N4424">
        <v>0</v>
      </c>
      <c r="O4424">
        <v>0</v>
      </c>
      <c r="P4424">
        <v>0</v>
      </c>
      <c r="Q4424">
        <v>0</v>
      </c>
      <c r="R4424" s="3">
        <v>0</v>
      </c>
      <c r="S4424" s="3">
        <v>0</v>
      </c>
      <c r="T4424">
        <v>0</v>
      </c>
      <c r="U4424">
        <v>0</v>
      </c>
      <c r="V4424" s="3">
        <v>0</v>
      </c>
      <c r="W4424" s="3">
        <v>0</v>
      </c>
      <c r="X4424">
        <v>0</v>
      </c>
      <c r="Y4424" t="s">
        <v>3379</v>
      </c>
    </row>
    <row r="4425" spans="1:25" hidden="1" x14ac:dyDescent="0.25">
      <c r="A4425" t="s">
        <v>36</v>
      </c>
      <c r="B4425" t="s">
        <v>249</v>
      </c>
      <c r="C4425" t="s">
        <v>2534</v>
      </c>
      <c r="D4425" t="s">
        <v>27</v>
      </c>
      <c r="E4425" s="2">
        <v>46093</v>
      </c>
      <c r="F4425" s="2">
        <v>46093</v>
      </c>
      <c r="G4425" s="3">
        <v>69</v>
      </c>
      <c r="H4425" t="s">
        <v>28</v>
      </c>
      <c r="I4425">
        <v>44</v>
      </c>
      <c r="J4425">
        <v>0</v>
      </c>
      <c r="K4425">
        <v>0</v>
      </c>
      <c r="L4425" s="3">
        <v>1</v>
      </c>
      <c r="M4425" s="3">
        <v>0</v>
      </c>
      <c r="N4425">
        <v>1</v>
      </c>
      <c r="O4425">
        <v>0</v>
      </c>
      <c r="P4425">
        <v>0</v>
      </c>
      <c r="Q4425">
        <v>0</v>
      </c>
      <c r="R4425" s="3">
        <v>0</v>
      </c>
      <c r="S4425" s="3">
        <v>0</v>
      </c>
      <c r="T4425">
        <v>0</v>
      </c>
      <c r="U4425">
        <v>0</v>
      </c>
      <c r="V4425" s="3">
        <v>0</v>
      </c>
      <c r="W4425" s="3">
        <v>0</v>
      </c>
      <c r="X4425">
        <v>0</v>
      </c>
      <c r="Y4425" t="s">
        <v>3380</v>
      </c>
    </row>
    <row r="4426" spans="1:25" hidden="1" x14ac:dyDescent="0.25">
      <c r="A4426" t="s">
        <v>38</v>
      </c>
      <c r="B4426" t="s">
        <v>108</v>
      </c>
      <c r="C4426" t="s">
        <v>27</v>
      </c>
      <c r="D4426" t="s">
        <v>27</v>
      </c>
      <c r="E4426" s="2">
        <v>46093</v>
      </c>
      <c r="F4426" s="2">
        <v>46093</v>
      </c>
      <c r="G4426" s="3">
        <v>34</v>
      </c>
      <c r="H4426" t="s">
        <v>28</v>
      </c>
      <c r="I4426">
        <v>31</v>
      </c>
      <c r="J4426">
        <v>0</v>
      </c>
      <c r="K4426">
        <v>0</v>
      </c>
      <c r="L4426" s="3">
        <v>1</v>
      </c>
      <c r="M4426" s="3">
        <v>0</v>
      </c>
      <c r="N4426">
        <v>0</v>
      </c>
      <c r="O4426">
        <v>0</v>
      </c>
      <c r="P4426">
        <v>0</v>
      </c>
      <c r="Q4426">
        <v>31</v>
      </c>
      <c r="R4426" s="3">
        <v>0</v>
      </c>
      <c r="S4426" s="3">
        <v>0</v>
      </c>
      <c r="T4426">
        <v>0</v>
      </c>
      <c r="U4426">
        <v>0</v>
      </c>
      <c r="V4426" s="3">
        <v>0</v>
      </c>
      <c r="W4426" s="3">
        <v>0</v>
      </c>
      <c r="X4426">
        <v>0</v>
      </c>
      <c r="Y4426" t="s">
        <v>3381</v>
      </c>
    </row>
    <row r="4427" spans="1:25" hidden="1" x14ac:dyDescent="0.25">
      <c r="A4427" t="s">
        <v>2679</v>
      </c>
      <c r="B4427" t="s">
        <v>2680</v>
      </c>
      <c r="C4427" t="s">
        <v>39</v>
      </c>
      <c r="D4427" t="s">
        <v>27</v>
      </c>
      <c r="E4427" s="2">
        <v>46093</v>
      </c>
      <c r="F4427" s="2">
        <v>46093</v>
      </c>
      <c r="G4427" s="3">
        <v>52</v>
      </c>
      <c r="H4427" t="s">
        <v>28</v>
      </c>
      <c r="I4427">
        <v>31</v>
      </c>
      <c r="J4427">
        <v>0</v>
      </c>
      <c r="K4427">
        <v>0</v>
      </c>
      <c r="L4427" s="3">
        <v>0</v>
      </c>
      <c r="M4427" s="3">
        <v>0</v>
      </c>
      <c r="N4427">
        <v>0</v>
      </c>
      <c r="O4427">
        <v>0</v>
      </c>
      <c r="P4427">
        <v>0</v>
      </c>
      <c r="Q4427">
        <v>31</v>
      </c>
      <c r="R4427" s="3">
        <v>0</v>
      </c>
      <c r="S4427" s="3">
        <v>0</v>
      </c>
      <c r="T4427">
        <v>0</v>
      </c>
      <c r="U4427">
        <v>0</v>
      </c>
      <c r="V4427" s="3">
        <v>0</v>
      </c>
      <c r="W4427" s="3">
        <v>0</v>
      </c>
      <c r="X4427">
        <v>0</v>
      </c>
      <c r="Y4427" t="s">
        <v>3382</v>
      </c>
    </row>
    <row r="4428" spans="1:25" s="1" customFormat="1" hidden="1" x14ac:dyDescent="0.25">
      <c r="A4428" s="1" t="s">
        <v>41</v>
      </c>
      <c r="B4428" s="1" t="s">
        <v>112</v>
      </c>
      <c r="C4428" s="1" t="s">
        <v>42</v>
      </c>
      <c r="D4428" s="1" t="s">
        <v>27</v>
      </c>
      <c r="E4428" s="10">
        <v>46093</v>
      </c>
      <c r="F4428" s="10">
        <v>46093</v>
      </c>
      <c r="G4428" s="41">
        <v>76</v>
      </c>
      <c r="H4428" s="1" t="s">
        <v>28</v>
      </c>
      <c r="I4428" s="1">
        <v>263</v>
      </c>
      <c r="J4428" s="1">
        <v>34</v>
      </c>
      <c r="K4428" s="1">
        <v>0</v>
      </c>
      <c r="L4428" s="41">
        <v>1</v>
      </c>
      <c r="M4428" s="41">
        <v>1</v>
      </c>
      <c r="N4428" s="1">
        <v>0</v>
      </c>
      <c r="O4428" s="1">
        <v>0</v>
      </c>
      <c r="P4428" s="1">
        <v>0</v>
      </c>
      <c r="Q4428" s="1">
        <v>263</v>
      </c>
      <c r="R4428" s="41">
        <v>0</v>
      </c>
      <c r="S4428" s="41">
        <v>0</v>
      </c>
      <c r="T4428" s="1">
        <v>0</v>
      </c>
      <c r="U4428" s="1">
        <v>0</v>
      </c>
      <c r="V4428" s="41">
        <v>0</v>
      </c>
      <c r="W4428" s="41">
        <v>0</v>
      </c>
      <c r="X4428" s="1">
        <v>11</v>
      </c>
      <c r="Y4428" s="1" t="s">
        <v>3383</v>
      </c>
    </row>
    <row r="4429" spans="1:25" hidden="1" x14ac:dyDescent="0.25">
      <c r="A4429" t="s">
        <v>43</v>
      </c>
      <c r="B4429" t="s">
        <v>114</v>
      </c>
      <c r="C4429" t="s">
        <v>44</v>
      </c>
      <c r="D4429" t="s">
        <v>27</v>
      </c>
      <c r="E4429" s="2">
        <v>46093</v>
      </c>
      <c r="F4429" s="2">
        <v>46093</v>
      </c>
      <c r="G4429" s="3">
        <v>34</v>
      </c>
      <c r="H4429" t="s">
        <v>28</v>
      </c>
      <c r="I4429">
        <v>69</v>
      </c>
      <c r="J4429">
        <v>0</v>
      </c>
      <c r="K4429">
        <v>0</v>
      </c>
      <c r="L4429" s="3">
        <v>0</v>
      </c>
      <c r="M4429" s="3">
        <v>0</v>
      </c>
      <c r="N4429">
        <v>0</v>
      </c>
      <c r="O4429">
        <v>0</v>
      </c>
      <c r="P4429">
        <v>0</v>
      </c>
      <c r="Q4429">
        <v>13</v>
      </c>
      <c r="R4429" s="3">
        <v>0</v>
      </c>
      <c r="S4429" s="3">
        <v>0</v>
      </c>
      <c r="T4429">
        <v>0</v>
      </c>
      <c r="U4429">
        <v>0</v>
      </c>
      <c r="V4429" s="3">
        <v>0</v>
      </c>
      <c r="W4429" s="3">
        <v>0</v>
      </c>
      <c r="X4429">
        <v>0</v>
      </c>
      <c r="Y4429" t="s">
        <v>3384</v>
      </c>
    </row>
    <row r="4430" spans="1:25" hidden="1" x14ac:dyDescent="0.25">
      <c r="A4430" t="s">
        <v>45</v>
      </c>
      <c r="B4430" t="s">
        <v>116</v>
      </c>
      <c r="C4430" t="s">
        <v>46</v>
      </c>
      <c r="D4430" t="s">
        <v>27</v>
      </c>
      <c r="E4430" s="2">
        <v>46093</v>
      </c>
      <c r="F4430" s="2">
        <v>46093</v>
      </c>
      <c r="G4430" s="3">
        <v>66</v>
      </c>
      <c r="H4430" t="s">
        <v>28</v>
      </c>
      <c r="I4430">
        <v>30</v>
      </c>
      <c r="J4430">
        <v>0</v>
      </c>
      <c r="K4430">
        <v>0</v>
      </c>
      <c r="L4430" s="3">
        <v>0</v>
      </c>
      <c r="M4430" s="3">
        <v>0</v>
      </c>
      <c r="N4430">
        <v>0</v>
      </c>
      <c r="O4430">
        <v>0</v>
      </c>
      <c r="P4430">
        <v>0</v>
      </c>
      <c r="Q4430">
        <v>5</v>
      </c>
      <c r="R4430" s="3">
        <v>0</v>
      </c>
      <c r="S4430" s="3">
        <v>0</v>
      </c>
      <c r="T4430">
        <v>0</v>
      </c>
      <c r="U4430">
        <v>0</v>
      </c>
      <c r="V4430" s="3">
        <v>0</v>
      </c>
      <c r="W4430" s="3">
        <v>0</v>
      </c>
      <c r="X4430">
        <v>0</v>
      </c>
      <c r="Y4430" t="s">
        <v>3385</v>
      </c>
    </row>
    <row r="4431" spans="1:25" hidden="1" x14ac:dyDescent="0.25">
      <c r="A4431" t="s">
        <v>47</v>
      </c>
      <c r="B4431" t="s">
        <v>137</v>
      </c>
      <c r="C4431" t="s">
        <v>2310</v>
      </c>
      <c r="D4431" t="s">
        <v>27</v>
      </c>
      <c r="E4431" s="2">
        <v>46093</v>
      </c>
      <c r="F4431" s="2">
        <v>46093</v>
      </c>
      <c r="G4431" s="3">
        <v>68</v>
      </c>
      <c r="H4431" t="s">
        <v>28</v>
      </c>
      <c r="I4431">
        <v>48</v>
      </c>
      <c r="J4431">
        <v>1</v>
      </c>
      <c r="K4431">
        <v>0</v>
      </c>
      <c r="L4431" s="3">
        <v>1</v>
      </c>
      <c r="M4431" s="3">
        <v>0</v>
      </c>
      <c r="N4431">
        <v>0</v>
      </c>
      <c r="O4431">
        <v>0</v>
      </c>
      <c r="P4431">
        <v>0</v>
      </c>
      <c r="Q4431">
        <v>2</v>
      </c>
      <c r="R4431" s="3">
        <v>0</v>
      </c>
      <c r="S4431" s="3">
        <v>0</v>
      </c>
      <c r="T4431">
        <v>0</v>
      </c>
      <c r="U4431">
        <v>0</v>
      </c>
      <c r="V4431" s="3">
        <v>0</v>
      </c>
      <c r="W4431" s="3">
        <v>0</v>
      </c>
      <c r="X4431">
        <v>0</v>
      </c>
      <c r="Y4431" t="s">
        <v>3386</v>
      </c>
    </row>
    <row r="4432" spans="1:25" hidden="1" x14ac:dyDescent="0.25">
      <c r="A4432" t="s">
        <v>49</v>
      </c>
      <c r="B4432" t="s">
        <v>118</v>
      </c>
      <c r="C4432" t="s">
        <v>50</v>
      </c>
      <c r="D4432" t="s">
        <v>27</v>
      </c>
      <c r="E4432" s="2">
        <v>46093</v>
      </c>
      <c r="F4432" s="2">
        <v>46093</v>
      </c>
      <c r="G4432" s="3">
        <v>32</v>
      </c>
      <c r="H4432" t="s">
        <v>28</v>
      </c>
      <c r="I4432">
        <v>75</v>
      </c>
      <c r="J4432">
        <v>0</v>
      </c>
      <c r="K4432">
        <v>0</v>
      </c>
      <c r="L4432" s="3">
        <v>1</v>
      </c>
      <c r="M4432" s="3">
        <v>1</v>
      </c>
      <c r="N4432">
        <v>0</v>
      </c>
      <c r="O4432">
        <v>1</v>
      </c>
      <c r="P4432">
        <v>0</v>
      </c>
      <c r="Q4432">
        <v>75</v>
      </c>
      <c r="R4432" s="3">
        <v>0</v>
      </c>
      <c r="S4432" s="3">
        <v>0</v>
      </c>
      <c r="T4432">
        <v>0</v>
      </c>
      <c r="U4432">
        <v>0</v>
      </c>
      <c r="V4432" s="3">
        <v>0</v>
      </c>
      <c r="W4432" s="3">
        <v>0</v>
      </c>
      <c r="X4432">
        <v>0</v>
      </c>
      <c r="Y4432" t="s">
        <v>3387</v>
      </c>
    </row>
    <row r="4433" spans="1:25" hidden="1" x14ac:dyDescent="0.25">
      <c r="A4433" t="s">
        <v>51</v>
      </c>
      <c r="B4433" t="s">
        <v>120</v>
      </c>
      <c r="C4433" t="s">
        <v>55</v>
      </c>
      <c r="D4433" t="s">
        <v>27</v>
      </c>
      <c r="E4433" s="2">
        <v>46093</v>
      </c>
      <c r="F4433" s="2">
        <v>46093</v>
      </c>
      <c r="G4433" s="3">
        <v>123</v>
      </c>
      <c r="H4433" t="s">
        <v>28</v>
      </c>
      <c r="I4433">
        <v>28</v>
      </c>
      <c r="J4433">
        <v>0</v>
      </c>
      <c r="K4433">
        <v>0</v>
      </c>
      <c r="L4433" s="3">
        <v>1</v>
      </c>
      <c r="M4433" s="3">
        <v>0</v>
      </c>
      <c r="N4433">
        <v>1</v>
      </c>
      <c r="O4433">
        <v>0</v>
      </c>
      <c r="P4433">
        <v>0</v>
      </c>
      <c r="Q4433">
        <v>0</v>
      </c>
      <c r="R4433" s="3">
        <v>0</v>
      </c>
      <c r="S4433" s="3">
        <v>0</v>
      </c>
      <c r="T4433">
        <v>0</v>
      </c>
      <c r="U4433">
        <v>0</v>
      </c>
      <c r="V4433" s="3">
        <v>0</v>
      </c>
      <c r="W4433" s="3">
        <v>0</v>
      </c>
      <c r="X4433">
        <v>0</v>
      </c>
      <c r="Y4433" t="s">
        <v>3388</v>
      </c>
    </row>
    <row r="4434" spans="1:25" hidden="1" x14ac:dyDescent="0.25">
      <c r="A4434" t="s">
        <v>54</v>
      </c>
      <c r="B4434" t="s">
        <v>122</v>
      </c>
      <c r="C4434" t="s">
        <v>52</v>
      </c>
      <c r="D4434" t="s">
        <v>27</v>
      </c>
      <c r="E4434" s="2">
        <v>46093</v>
      </c>
      <c r="F4434" s="2">
        <v>46093</v>
      </c>
      <c r="G4434" s="3">
        <v>42</v>
      </c>
      <c r="H4434" t="s">
        <v>28</v>
      </c>
      <c r="I4434">
        <v>37</v>
      </c>
      <c r="J4434">
        <v>0</v>
      </c>
      <c r="K4434">
        <v>0</v>
      </c>
      <c r="L4434" s="3">
        <v>0</v>
      </c>
      <c r="M4434" s="3">
        <v>0</v>
      </c>
      <c r="N4434">
        <v>0</v>
      </c>
      <c r="O4434">
        <v>0</v>
      </c>
      <c r="P4434">
        <v>0</v>
      </c>
      <c r="Q4434">
        <v>7</v>
      </c>
      <c r="R4434" s="3">
        <v>0</v>
      </c>
      <c r="S4434" s="3">
        <v>0</v>
      </c>
      <c r="T4434">
        <v>0</v>
      </c>
      <c r="U4434">
        <v>0</v>
      </c>
      <c r="V4434" s="3">
        <v>0</v>
      </c>
      <c r="W4434" s="3">
        <v>0</v>
      </c>
      <c r="X4434">
        <v>0</v>
      </c>
      <c r="Y4434" t="s">
        <v>3389</v>
      </c>
    </row>
    <row r="4435" spans="1:25" hidden="1" x14ac:dyDescent="0.25">
      <c r="A4435" t="s">
        <v>48</v>
      </c>
      <c r="B4435" t="s">
        <v>149</v>
      </c>
      <c r="C4435" t="s">
        <v>37</v>
      </c>
      <c r="D4435" t="s">
        <v>27</v>
      </c>
      <c r="E4435" s="2">
        <v>46093</v>
      </c>
      <c r="F4435" s="2">
        <v>46093</v>
      </c>
      <c r="G4435" s="3">
        <v>33</v>
      </c>
      <c r="H4435" t="s">
        <v>28</v>
      </c>
      <c r="I4435">
        <v>27</v>
      </c>
      <c r="J4435">
        <v>0</v>
      </c>
      <c r="K4435">
        <v>0</v>
      </c>
      <c r="L4435" s="3">
        <v>0</v>
      </c>
      <c r="M4435" s="3">
        <v>0</v>
      </c>
      <c r="N4435">
        <v>0</v>
      </c>
      <c r="O4435">
        <v>0</v>
      </c>
      <c r="P4435">
        <v>0</v>
      </c>
      <c r="Q4435">
        <v>0</v>
      </c>
      <c r="R4435" s="3">
        <v>0</v>
      </c>
      <c r="S4435" s="3">
        <v>0</v>
      </c>
      <c r="T4435">
        <v>0</v>
      </c>
      <c r="U4435">
        <v>0</v>
      </c>
      <c r="V4435" s="3">
        <v>0</v>
      </c>
      <c r="W4435" s="3">
        <v>0</v>
      </c>
      <c r="X4435">
        <v>0</v>
      </c>
      <c r="Y4435" t="s">
        <v>3390</v>
      </c>
    </row>
    <row r="4436" spans="1:25" hidden="1" x14ac:dyDescent="0.25">
      <c r="A4436" t="s">
        <v>27</v>
      </c>
      <c r="B4436" t="s">
        <v>739</v>
      </c>
      <c r="C4436" t="s">
        <v>95</v>
      </c>
      <c r="D4436" t="s">
        <v>27</v>
      </c>
      <c r="E4436" s="2">
        <v>46093</v>
      </c>
      <c r="F4436" s="2">
        <v>46093</v>
      </c>
      <c r="G4436" s="3">
        <v>34</v>
      </c>
      <c r="H4436" t="s">
        <v>959</v>
      </c>
      <c r="I4436">
        <v>0</v>
      </c>
      <c r="J4436">
        <v>0</v>
      </c>
      <c r="K4436">
        <v>0</v>
      </c>
      <c r="L4436" s="3">
        <v>0</v>
      </c>
      <c r="M4436" s="3">
        <v>0</v>
      </c>
      <c r="N4436">
        <v>0</v>
      </c>
      <c r="O4436">
        <v>0</v>
      </c>
      <c r="P4436">
        <v>0</v>
      </c>
      <c r="Q4436">
        <v>0</v>
      </c>
      <c r="R4436" s="3">
        <v>0</v>
      </c>
      <c r="S4436" s="3">
        <v>0</v>
      </c>
      <c r="T4436">
        <v>0</v>
      </c>
      <c r="U4436">
        <v>0</v>
      </c>
      <c r="V4436" s="3">
        <v>0</v>
      </c>
      <c r="W4436" s="3">
        <v>0</v>
      </c>
      <c r="X4436" s="3">
        <v>0</v>
      </c>
      <c r="Y4436" t="s">
        <v>3390</v>
      </c>
    </row>
    <row r="4437" spans="1:25" hidden="1" x14ac:dyDescent="0.25">
      <c r="A4437" t="s">
        <v>25</v>
      </c>
      <c r="B4437" t="s">
        <v>96</v>
      </c>
      <c r="C4437" t="s">
        <v>26</v>
      </c>
      <c r="D4437" t="s">
        <v>27</v>
      </c>
      <c r="E4437" s="2">
        <v>46094</v>
      </c>
      <c r="F4437" s="2">
        <v>46094</v>
      </c>
      <c r="G4437" s="3">
        <v>158</v>
      </c>
      <c r="H4437" t="s">
        <v>28</v>
      </c>
      <c r="I4437">
        <v>55</v>
      </c>
      <c r="J4437">
        <v>0</v>
      </c>
      <c r="K4437">
        <v>0</v>
      </c>
      <c r="L4437" s="3">
        <v>0</v>
      </c>
      <c r="M4437" s="3">
        <v>1</v>
      </c>
      <c r="N4437">
        <v>1</v>
      </c>
      <c r="O4437">
        <v>0</v>
      </c>
      <c r="P4437">
        <v>0</v>
      </c>
      <c r="Q4437">
        <v>0</v>
      </c>
      <c r="R4437" s="3">
        <v>0</v>
      </c>
      <c r="S4437" s="3">
        <v>0</v>
      </c>
      <c r="T4437">
        <v>0</v>
      </c>
      <c r="U4437">
        <v>0</v>
      </c>
      <c r="V4437" s="3">
        <v>0</v>
      </c>
      <c r="W4437" s="3">
        <v>0</v>
      </c>
      <c r="X4437">
        <v>0</v>
      </c>
      <c r="Y4437" t="s">
        <v>3408</v>
      </c>
    </row>
    <row r="4438" spans="1:25" hidden="1" x14ac:dyDescent="0.25">
      <c r="A4438" t="s">
        <v>29</v>
      </c>
      <c r="B4438" t="s">
        <v>100</v>
      </c>
      <c r="C4438" t="s">
        <v>2835</v>
      </c>
      <c r="D4438" t="s">
        <v>27</v>
      </c>
      <c r="E4438" s="2">
        <v>46094</v>
      </c>
      <c r="F4438" s="2">
        <v>46094</v>
      </c>
      <c r="G4438" s="3">
        <v>41</v>
      </c>
      <c r="H4438" t="s">
        <v>28</v>
      </c>
      <c r="I4438">
        <v>30</v>
      </c>
      <c r="J4438">
        <v>0</v>
      </c>
      <c r="K4438">
        <v>0</v>
      </c>
      <c r="L4438" s="3">
        <v>0</v>
      </c>
      <c r="M4438" s="3">
        <v>0</v>
      </c>
      <c r="N4438">
        <v>0</v>
      </c>
      <c r="O4438">
        <v>0</v>
      </c>
      <c r="P4438">
        <v>4</v>
      </c>
      <c r="Q4438">
        <v>6</v>
      </c>
      <c r="R4438" s="3">
        <v>0</v>
      </c>
      <c r="S4438" s="3">
        <v>0</v>
      </c>
      <c r="T4438">
        <v>0</v>
      </c>
      <c r="U4438">
        <v>0</v>
      </c>
      <c r="V4438" s="3">
        <v>0</v>
      </c>
      <c r="W4438" s="3">
        <v>0</v>
      </c>
      <c r="X4438">
        <v>0</v>
      </c>
      <c r="Y4438" t="s">
        <v>3407</v>
      </c>
    </row>
    <row r="4439" spans="1:25" hidden="1" x14ac:dyDescent="0.25">
      <c r="A4439" t="s">
        <v>344</v>
      </c>
      <c r="B4439" t="s">
        <v>102</v>
      </c>
      <c r="C4439" t="s">
        <v>35</v>
      </c>
      <c r="D4439" t="s">
        <v>27</v>
      </c>
      <c r="E4439" s="2">
        <v>46094</v>
      </c>
      <c r="F4439" s="2">
        <v>46094</v>
      </c>
      <c r="G4439" s="3">
        <v>22</v>
      </c>
      <c r="H4439" t="s">
        <v>28</v>
      </c>
      <c r="I4439">
        <v>117</v>
      </c>
      <c r="J4439">
        <v>0</v>
      </c>
      <c r="K4439">
        <v>0</v>
      </c>
      <c r="L4439" s="3">
        <v>0</v>
      </c>
      <c r="M4439" s="3">
        <v>0</v>
      </c>
      <c r="N4439">
        <v>0</v>
      </c>
      <c r="O4439">
        <v>0</v>
      </c>
      <c r="P4439">
        <v>0</v>
      </c>
      <c r="Q4439">
        <v>4</v>
      </c>
      <c r="R4439" s="3">
        <v>0</v>
      </c>
      <c r="S4439" s="3">
        <v>0</v>
      </c>
      <c r="T4439">
        <v>0</v>
      </c>
      <c r="U4439">
        <v>0</v>
      </c>
      <c r="V4439" s="3">
        <v>0</v>
      </c>
      <c r="W4439" s="3">
        <v>0</v>
      </c>
      <c r="X4439">
        <v>0</v>
      </c>
      <c r="Y4439" t="s">
        <v>3406</v>
      </c>
    </row>
    <row r="4440" spans="1:25" hidden="1" x14ac:dyDescent="0.25">
      <c r="A4440" t="s">
        <v>31</v>
      </c>
      <c r="B4440" t="s">
        <v>104</v>
      </c>
      <c r="C4440" t="s">
        <v>32</v>
      </c>
      <c r="D4440" t="s">
        <v>27</v>
      </c>
      <c r="E4440" s="2">
        <v>46094</v>
      </c>
      <c r="F4440" s="2">
        <v>46094</v>
      </c>
      <c r="G4440" s="3">
        <v>45</v>
      </c>
      <c r="H4440" t="s">
        <v>28</v>
      </c>
      <c r="I4440">
        <v>150</v>
      </c>
      <c r="J4440">
        <v>0</v>
      </c>
      <c r="K4440">
        <v>0</v>
      </c>
      <c r="L4440" s="3">
        <v>1</v>
      </c>
      <c r="M4440" s="3">
        <v>0</v>
      </c>
      <c r="N4440">
        <v>0</v>
      </c>
      <c r="O4440">
        <v>0</v>
      </c>
      <c r="P4440">
        <v>0</v>
      </c>
      <c r="Q4440">
        <v>34</v>
      </c>
      <c r="R4440" s="3">
        <v>0</v>
      </c>
      <c r="S4440" s="3">
        <v>0</v>
      </c>
      <c r="T4440">
        <v>0</v>
      </c>
      <c r="U4440">
        <v>0</v>
      </c>
      <c r="V4440" s="3">
        <v>0</v>
      </c>
      <c r="W4440" s="3">
        <v>0</v>
      </c>
      <c r="X4440">
        <v>17</v>
      </c>
      <c r="Y4440" t="s">
        <v>3405</v>
      </c>
    </row>
    <row r="4441" spans="1:25" hidden="1" x14ac:dyDescent="0.25">
      <c r="A4441" t="s">
        <v>33</v>
      </c>
      <c r="B4441" t="s">
        <v>106</v>
      </c>
      <c r="C4441" t="s">
        <v>57</v>
      </c>
      <c r="D4441" t="s">
        <v>27</v>
      </c>
      <c r="E4441" s="2">
        <v>46094</v>
      </c>
      <c r="F4441" s="2">
        <v>46094</v>
      </c>
      <c r="G4441" s="3">
        <v>25</v>
      </c>
      <c r="H4441" t="s">
        <v>28</v>
      </c>
      <c r="I4441">
        <v>47</v>
      </c>
      <c r="J4441">
        <v>0</v>
      </c>
      <c r="K4441">
        <v>0</v>
      </c>
      <c r="L4441" s="3">
        <v>0</v>
      </c>
      <c r="M4441" s="3">
        <v>0</v>
      </c>
      <c r="N4441">
        <v>0</v>
      </c>
      <c r="O4441">
        <v>0</v>
      </c>
      <c r="P4441">
        <v>0</v>
      </c>
      <c r="Q4441">
        <v>21</v>
      </c>
      <c r="R4441" s="3">
        <v>0</v>
      </c>
      <c r="S4441" s="3">
        <v>0</v>
      </c>
      <c r="T4441">
        <v>0</v>
      </c>
      <c r="U4441">
        <v>0</v>
      </c>
      <c r="V4441" s="3">
        <v>0</v>
      </c>
      <c r="W4441" s="3">
        <v>0</v>
      </c>
      <c r="X4441">
        <v>0</v>
      </c>
      <c r="Y4441" t="s">
        <v>3404</v>
      </c>
    </row>
    <row r="4442" spans="1:25" hidden="1" x14ac:dyDescent="0.25">
      <c r="A4442" t="s">
        <v>27</v>
      </c>
      <c r="B4442" t="s">
        <v>2998</v>
      </c>
      <c r="C4442" s="1" t="s">
        <v>2271</v>
      </c>
      <c r="D4442" t="s">
        <v>27</v>
      </c>
      <c r="E4442" s="2">
        <v>46093</v>
      </c>
      <c r="F4442" s="2">
        <v>46093</v>
      </c>
      <c r="G4442" s="3">
        <v>47</v>
      </c>
      <c r="H4442" s="4" t="s">
        <v>28</v>
      </c>
      <c r="I4442">
        <v>160</v>
      </c>
      <c r="J4442">
        <v>0</v>
      </c>
      <c r="K4442">
        <v>0</v>
      </c>
      <c r="L4442" s="3">
        <v>1</v>
      </c>
      <c r="M4442" s="3">
        <v>0</v>
      </c>
      <c r="N4442">
        <v>0</v>
      </c>
      <c r="O4442">
        <v>0</v>
      </c>
      <c r="P4442">
        <v>0</v>
      </c>
      <c r="Q4442">
        <v>0</v>
      </c>
      <c r="R4442" s="3">
        <v>0</v>
      </c>
      <c r="S4442" s="3">
        <v>0</v>
      </c>
      <c r="T4442">
        <v>0</v>
      </c>
      <c r="U4442">
        <v>0</v>
      </c>
      <c r="V4442" s="3">
        <v>0</v>
      </c>
      <c r="W4442" s="3">
        <v>0</v>
      </c>
      <c r="X4442">
        <v>11</v>
      </c>
      <c r="Y4442" t="s">
        <v>3360</v>
      </c>
    </row>
    <row r="4443" spans="1:25" hidden="1" x14ac:dyDescent="0.25">
      <c r="A4443" t="s">
        <v>2899</v>
      </c>
      <c r="B4443" t="s">
        <v>2998</v>
      </c>
      <c r="C4443" t="s">
        <v>2271</v>
      </c>
      <c r="D4443" t="s">
        <v>27</v>
      </c>
      <c r="E4443" s="2">
        <v>46094</v>
      </c>
      <c r="F4443" s="2">
        <v>46094</v>
      </c>
      <c r="G4443" s="3">
        <v>46</v>
      </c>
      <c r="H4443" t="s">
        <v>28</v>
      </c>
      <c r="I4443">
        <v>35</v>
      </c>
      <c r="J4443">
        <v>0</v>
      </c>
      <c r="K4443">
        <v>0</v>
      </c>
      <c r="L4443" s="3">
        <v>1</v>
      </c>
      <c r="M4443" s="3">
        <v>0</v>
      </c>
      <c r="N4443">
        <v>1</v>
      </c>
      <c r="O4443">
        <v>0</v>
      </c>
      <c r="P4443">
        <v>0</v>
      </c>
      <c r="Q4443">
        <v>4</v>
      </c>
      <c r="R4443" s="3">
        <v>0</v>
      </c>
      <c r="S4443" s="3">
        <v>0</v>
      </c>
      <c r="T4443">
        <v>0</v>
      </c>
      <c r="U4443">
        <v>0</v>
      </c>
      <c r="V4443" s="3">
        <v>0</v>
      </c>
      <c r="W4443" s="3">
        <v>0</v>
      </c>
      <c r="X4443">
        <v>0</v>
      </c>
      <c r="Y4443" t="s">
        <v>3403</v>
      </c>
    </row>
    <row r="4444" spans="1:25" hidden="1" x14ac:dyDescent="0.25">
      <c r="A4444" t="s">
        <v>36</v>
      </c>
      <c r="B4444" t="s">
        <v>249</v>
      </c>
      <c r="C4444" t="s">
        <v>2534</v>
      </c>
      <c r="D4444" t="s">
        <v>27</v>
      </c>
      <c r="E4444" s="2">
        <v>46094</v>
      </c>
      <c r="F4444" s="2">
        <v>46094</v>
      </c>
      <c r="G4444" s="3">
        <v>101</v>
      </c>
      <c r="H4444" t="s">
        <v>28</v>
      </c>
      <c r="I4444">
        <v>57</v>
      </c>
      <c r="J4444">
        <v>0</v>
      </c>
      <c r="K4444">
        <v>0</v>
      </c>
      <c r="L4444" s="3">
        <v>1</v>
      </c>
      <c r="M4444" s="3">
        <v>0</v>
      </c>
      <c r="N4444">
        <v>1</v>
      </c>
      <c r="O4444">
        <v>0</v>
      </c>
      <c r="P4444">
        <v>0</v>
      </c>
      <c r="Q4444">
        <v>0</v>
      </c>
      <c r="R4444" s="3">
        <v>0</v>
      </c>
      <c r="S4444" s="3">
        <v>0</v>
      </c>
      <c r="T4444">
        <v>0</v>
      </c>
      <c r="U4444">
        <v>0</v>
      </c>
      <c r="V4444" s="3">
        <v>0</v>
      </c>
      <c r="W4444" s="3">
        <v>0</v>
      </c>
      <c r="X4444">
        <v>0</v>
      </c>
      <c r="Y4444" t="s">
        <v>3402</v>
      </c>
    </row>
    <row r="4445" spans="1:25" hidden="1" x14ac:dyDescent="0.25">
      <c r="A4445" t="s">
        <v>38</v>
      </c>
      <c r="B4445" t="s">
        <v>108</v>
      </c>
      <c r="C4445" t="s">
        <v>27</v>
      </c>
      <c r="D4445" t="s">
        <v>27</v>
      </c>
      <c r="E4445" s="2">
        <v>46094</v>
      </c>
      <c r="F4445" s="2">
        <v>46094</v>
      </c>
      <c r="G4445" s="3">
        <v>47</v>
      </c>
      <c r="H4445" t="s">
        <v>28</v>
      </c>
      <c r="I4445">
        <v>50</v>
      </c>
      <c r="J4445">
        <v>0</v>
      </c>
      <c r="K4445">
        <v>0</v>
      </c>
      <c r="L4445" s="3">
        <v>1</v>
      </c>
      <c r="M4445" s="3">
        <v>0</v>
      </c>
      <c r="N4445">
        <v>0</v>
      </c>
      <c r="O4445">
        <v>0</v>
      </c>
      <c r="P4445">
        <v>0</v>
      </c>
      <c r="Q4445">
        <v>50</v>
      </c>
      <c r="R4445" s="3">
        <v>0</v>
      </c>
      <c r="S4445" s="3">
        <v>0</v>
      </c>
      <c r="T4445">
        <v>0</v>
      </c>
      <c r="U4445">
        <v>0</v>
      </c>
      <c r="V4445" s="3">
        <v>0</v>
      </c>
      <c r="W4445" s="3">
        <v>0</v>
      </c>
      <c r="X4445">
        <v>0</v>
      </c>
      <c r="Y4445" t="s">
        <v>3401</v>
      </c>
    </row>
    <row r="4446" spans="1:25" hidden="1" x14ac:dyDescent="0.25">
      <c r="A4446" t="s">
        <v>2679</v>
      </c>
      <c r="B4446" t="s">
        <v>2680</v>
      </c>
      <c r="C4446" t="s">
        <v>39</v>
      </c>
      <c r="D4446" t="s">
        <v>27</v>
      </c>
      <c r="E4446" s="2">
        <v>46094</v>
      </c>
      <c r="F4446" s="2">
        <v>46094</v>
      </c>
      <c r="G4446" s="3">
        <v>32</v>
      </c>
      <c r="H4446" t="s">
        <v>28</v>
      </c>
      <c r="I4446">
        <v>58</v>
      </c>
      <c r="J4446">
        <v>0</v>
      </c>
      <c r="K4446">
        <v>0</v>
      </c>
      <c r="L4446" s="3">
        <v>0</v>
      </c>
      <c r="M4446" s="3">
        <v>0</v>
      </c>
      <c r="N4446">
        <v>0</v>
      </c>
      <c r="O4446">
        <v>0</v>
      </c>
      <c r="P4446">
        <v>0</v>
      </c>
      <c r="Q4446">
        <v>58</v>
      </c>
      <c r="R4446" s="3">
        <v>0</v>
      </c>
      <c r="S4446" s="3">
        <v>0</v>
      </c>
      <c r="T4446">
        <v>0</v>
      </c>
      <c r="U4446">
        <v>0</v>
      </c>
      <c r="V4446" s="3">
        <v>0</v>
      </c>
      <c r="W4446" s="3">
        <v>0</v>
      </c>
      <c r="X4446">
        <v>0</v>
      </c>
      <c r="Y4446" t="s">
        <v>3400</v>
      </c>
    </row>
    <row r="4447" spans="1:25" hidden="1" x14ac:dyDescent="0.25">
      <c r="A4447" t="s">
        <v>27</v>
      </c>
      <c r="B4447" t="s">
        <v>1348</v>
      </c>
      <c r="C4447" s="13" t="s">
        <v>2514</v>
      </c>
      <c r="D4447" t="s">
        <v>27</v>
      </c>
      <c r="E4447" s="2">
        <v>46093</v>
      </c>
      <c r="F4447" s="2">
        <v>46093</v>
      </c>
      <c r="G4447" s="3">
        <v>63</v>
      </c>
      <c r="H4447" s="4" t="s">
        <v>28</v>
      </c>
      <c r="I4447">
        <f>32+23</f>
        <v>55</v>
      </c>
      <c r="J4447">
        <v>0</v>
      </c>
      <c r="K4447">
        <v>0</v>
      </c>
      <c r="L4447" s="3">
        <v>1</v>
      </c>
      <c r="M4447" s="3">
        <v>0</v>
      </c>
      <c r="N4447">
        <v>0</v>
      </c>
      <c r="O4447">
        <v>0</v>
      </c>
      <c r="P4447">
        <v>0</v>
      </c>
      <c r="Q4447">
        <v>20</v>
      </c>
      <c r="R4447" s="3">
        <v>0</v>
      </c>
      <c r="S4447" s="3">
        <v>0</v>
      </c>
      <c r="T4447">
        <v>0</v>
      </c>
      <c r="U4447">
        <v>0</v>
      </c>
      <c r="V4447" s="3">
        <v>0</v>
      </c>
      <c r="W4447" s="3">
        <v>0</v>
      </c>
      <c r="X4447">
        <v>0</v>
      </c>
      <c r="Y4447" t="s">
        <v>3364</v>
      </c>
    </row>
    <row r="4448" spans="1:25" hidden="1" x14ac:dyDescent="0.25">
      <c r="A4448" t="s">
        <v>1316</v>
      </c>
      <c r="B4448" t="s">
        <v>1348</v>
      </c>
      <c r="C4448" t="s">
        <v>2514</v>
      </c>
      <c r="D4448" t="s">
        <v>27</v>
      </c>
      <c r="E4448" s="2">
        <v>46094</v>
      </c>
      <c r="F4448" s="2">
        <v>46094</v>
      </c>
      <c r="G4448" s="3">
        <v>63</v>
      </c>
      <c r="H4448" t="s">
        <v>28</v>
      </c>
      <c r="I4448">
        <v>83</v>
      </c>
      <c r="J4448">
        <v>0</v>
      </c>
      <c r="K4448">
        <v>0</v>
      </c>
      <c r="L4448" s="3">
        <v>1</v>
      </c>
      <c r="M4448" s="3">
        <v>0</v>
      </c>
      <c r="N4448">
        <v>0</v>
      </c>
      <c r="O4448">
        <v>0</v>
      </c>
      <c r="P4448">
        <v>0</v>
      </c>
      <c r="Q4448">
        <v>20</v>
      </c>
      <c r="R4448" s="3">
        <v>0</v>
      </c>
      <c r="S4448" s="3">
        <v>0</v>
      </c>
      <c r="T4448">
        <v>0</v>
      </c>
      <c r="U4448">
        <v>0</v>
      </c>
      <c r="V4448" s="3">
        <v>0</v>
      </c>
      <c r="W4448" s="3">
        <v>0</v>
      </c>
      <c r="X4448">
        <v>0</v>
      </c>
      <c r="Y4448" t="s">
        <v>3399</v>
      </c>
    </row>
    <row r="4449" spans="1:25" s="1" customFormat="1" hidden="1" x14ac:dyDescent="0.25">
      <c r="A4449" s="1" t="s">
        <v>41</v>
      </c>
      <c r="B4449" s="1" t="s">
        <v>112</v>
      </c>
      <c r="C4449" s="1" t="s">
        <v>42</v>
      </c>
      <c r="D4449" s="1" t="s">
        <v>27</v>
      </c>
      <c r="E4449" s="10">
        <v>46094</v>
      </c>
      <c r="F4449" s="10">
        <v>46094</v>
      </c>
      <c r="G4449" s="41">
        <v>76</v>
      </c>
      <c r="H4449" s="1" t="s">
        <v>28</v>
      </c>
      <c r="I4449" s="1">
        <v>263</v>
      </c>
      <c r="J4449" s="1">
        <v>24</v>
      </c>
      <c r="K4449" s="1">
        <v>0</v>
      </c>
      <c r="L4449" s="41">
        <v>1</v>
      </c>
      <c r="M4449" s="41">
        <v>1</v>
      </c>
      <c r="N4449" s="1">
        <v>0</v>
      </c>
      <c r="O4449" s="1">
        <v>0</v>
      </c>
      <c r="P4449" s="1">
        <v>0</v>
      </c>
      <c r="Q4449" s="1">
        <v>263</v>
      </c>
      <c r="R4449" s="41">
        <v>0</v>
      </c>
      <c r="S4449" s="41">
        <v>0</v>
      </c>
      <c r="T4449" s="1">
        <v>0</v>
      </c>
      <c r="U4449" s="1">
        <v>0</v>
      </c>
      <c r="V4449" s="41">
        <v>0</v>
      </c>
      <c r="W4449" s="41">
        <v>0</v>
      </c>
      <c r="X4449" s="1">
        <v>11</v>
      </c>
      <c r="Y4449" s="1" t="s">
        <v>3398</v>
      </c>
    </row>
    <row r="4450" spans="1:25" hidden="1" x14ac:dyDescent="0.25">
      <c r="A4450" t="s">
        <v>27</v>
      </c>
      <c r="B4450" t="s">
        <v>114</v>
      </c>
      <c r="C4450" t="s">
        <v>2379</v>
      </c>
      <c r="D4450" t="s">
        <v>27</v>
      </c>
      <c r="E4450" s="2">
        <v>46092</v>
      </c>
      <c r="F4450" s="2">
        <v>46092</v>
      </c>
      <c r="G4450" s="3">
        <v>27</v>
      </c>
      <c r="H4450" t="s">
        <v>959</v>
      </c>
      <c r="I4450">
        <v>0</v>
      </c>
      <c r="J4450">
        <v>0</v>
      </c>
      <c r="K4450">
        <v>0</v>
      </c>
      <c r="L4450" s="3">
        <v>0</v>
      </c>
      <c r="M4450" s="3">
        <v>0</v>
      </c>
      <c r="N4450">
        <v>0</v>
      </c>
      <c r="O4450">
        <v>0</v>
      </c>
      <c r="P4450">
        <v>0</v>
      </c>
      <c r="Q4450">
        <v>0</v>
      </c>
      <c r="R4450" s="3">
        <v>0</v>
      </c>
      <c r="S4450" s="3">
        <v>0</v>
      </c>
      <c r="T4450">
        <v>0</v>
      </c>
      <c r="U4450">
        <v>0</v>
      </c>
      <c r="V4450" s="3">
        <v>0</v>
      </c>
      <c r="W4450" s="3">
        <v>0</v>
      </c>
      <c r="X4450">
        <v>0</v>
      </c>
      <c r="Y4450" t="s">
        <v>3397</v>
      </c>
    </row>
    <row r="4451" spans="1:25" hidden="1" x14ac:dyDescent="0.25">
      <c r="A4451" t="s">
        <v>43</v>
      </c>
      <c r="B4451" t="s">
        <v>114</v>
      </c>
      <c r="C4451" t="s">
        <v>2379</v>
      </c>
      <c r="D4451" t="s">
        <v>27</v>
      </c>
      <c r="E4451" s="2">
        <v>46094</v>
      </c>
      <c r="F4451" s="2">
        <v>46094</v>
      </c>
      <c r="G4451" s="3">
        <v>27</v>
      </c>
      <c r="H4451" t="s">
        <v>28</v>
      </c>
      <c r="I4451">
        <v>51</v>
      </c>
      <c r="J4451">
        <v>0</v>
      </c>
      <c r="K4451">
        <v>0</v>
      </c>
      <c r="L4451" s="3">
        <v>1</v>
      </c>
      <c r="M4451" s="3">
        <v>0</v>
      </c>
      <c r="N4451">
        <v>0</v>
      </c>
      <c r="O4451">
        <v>0</v>
      </c>
      <c r="P4451">
        <v>0</v>
      </c>
      <c r="Q4451">
        <v>13</v>
      </c>
      <c r="R4451" s="3">
        <v>0</v>
      </c>
      <c r="S4451" s="3">
        <v>0</v>
      </c>
      <c r="T4451">
        <v>0</v>
      </c>
      <c r="U4451">
        <v>0</v>
      </c>
      <c r="V4451" s="3">
        <v>0</v>
      </c>
      <c r="W4451" s="3">
        <v>0</v>
      </c>
      <c r="X4451">
        <v>0</v>
      </c>
      <c r="Y4451" t="s">
        <v>3397</v>
      </c>
    </row>
    <row r="4452" spans="1:25" hidden="1" x14ac:dyDescent="0.25">
      <c r="A4452" t="s">
        <v>2118</v>
      </c>
      <c r="B4452" t="s">
        <v>2119</v>
      </c>
      <c r="C4452" t="s">
        <v>27</v>
      </c>
      <c r="D4452" t="s">
        <v>27</v>
      </c>
      <c r="E4452" s="2">
        <v>46094</v>
      </c>
      <c r="F4452" s="2">
        <v>46094</v>
      </c>
      <c r="G4452" s="3">
        <v>33</v>
      </c>
      <c r="H4452" t="s">
        <v>28</v>
      </c>
      <c r="I4452">
        <v>61</v>
      </c>
      <c r="J4452">
        <v>0</v>
      </c>
      <c r="K4452">
        <v>0</v>
      </c>
      <c r="L4452" s="3">
        <v>1</v>
      </c>
      <c r="M4452" s="3">
        <v>0</v>
      </c>
      <c r="N4452">
        <v>0</v>
      </c>
      <c r="O4452">
        <v>0</v>
      </c>
      <c r="P4452">
        <v>0</v>
      </c>
      <c r="Q4452">
        <v>61</v>
      </c>
      <c r="R4452" s="3">
        <v>0</v>
      </c>
      <c r="S4452" s="3">
        <v>0</v>
      </c>
      <c r="T4452">
        <v>0</v>
      </c>
      <c r="U4452">
        <v>0</v>
      </c>
      <c r="V4452" s="3">
        <v>0</v>
      </c>
      <c r="W4452" s="3">
        <v>0</v>
      </c>
      <c r="X4452">
        <v>0</v>
      </c>
      <c r="Y4452" t="s">
        <v>3396</v>
      </c>
    </row>
    <row r="4453" spans="1:25" hidden="1" x14ac:dyDescent="0.25">
      <c r="A4453" t="s">
        <v>45</v>
      </c>
      <c r="B4453" t="s">
        <v>116</v>
      </c>
      <c r="C4453" t="s">
        <v>46</v>
      </c>
      <c r="D4453" t="s">
        <v>27</v>
      </c>
      <c r="E4453" s="2">
        <v>46094</v>
      </c>
      <c r="F4453" s="2">
        <v>46094</v>
      </c>
      <c r="G4453" s="3">
        <v>41</v>
      </c>
      <c r="H4453" t="s">
        <v>28</v>
      </c>
      <c r="I4453">
        <v>70</v>
      </c>
      <c r="J4453">
        <v>0</v>
      </c>
      <c r="K4453">
        <v>0</v>
      </c>
      <c r="L4453" s="3">
        <v>1</v>
      </c>
      <c r="M4453" s="3">
        <v>0</v>
      </c>
      <c r="N4453">
        <v>0</v>
      </c>
      <c r="O4453">
        <v>0</v>
      </c>
      <c r="P4453">
        <v>0</v>
      </c>
      <c r="Q4453">
        <v>14</v>
      </c>
      <c r="R4453" s="3">
        <v>0</v>
      </c>
      <c r="S4453" s="3">
        <v>0</v>
      </c>
      <c r="T4453">
        <v>0</v>
      </c>
      <c r="U4453">
        <v>0</v>
      </c>
      <c r="V4453" s="3">
        <v>0</v>
      </c>
      <c r="W4453" s="3">
        <v>0</v>
      </c>
      <c r="X4453">
        <v>0</v>
      </c>
      <c r="Y4453" t="s">
        <v>3395</v>
      </c>
    </row>
    <row r="4454" spans="1:25" hidden="1" x14ac:dyDescent="0.25">
      <c r="A4454" t="s">
        <v>47</v>
      </c>
      <c r="B4454" t="s">
        <v>137</v>
      </c>
      <c r="C4454" t="s">
        <v>2310</v>
      </c>
      <c r="D4454" t="s">
        <v>27</v>
      </c>
      <c r="E4454" s="2">
        <v>46094</v>
      </c>
      <c r="F4454" s="2">
        <v>46094</v>
      </c>
      <c r="G4454" s="3">
        <v>622</v>
      </c>
      <c r="H4454" t="s">
        <v>28</v>
      </c>
      <c r="I4454">
        <v>93</v>
      </c>
      <c r="J4454">
        <v>0</v>
      </c>
      <c r="K4454">
        <v>0</v>
      </c>
      <c r="L4454" s="3">
        <v>1</v>
      </c>
      <c r="M4454" s="3">
        <v>0</v>
      </c>
      <c r="N4454">
        <v>0</v>
      </c>
      <c r="O4454">
        <v>0</v>
      </c>
      <c r="P4454">
        <v>0</v>
      </c>
      <c r="Q4454">
        <v>6</v>
      </c>
      <c r="R4454" s="3">
        <v>0</v>
      </c>
      <c r="S4454" s="3">
        <v>0</v>
      </c>
      <c r="T4454">
        <v>0</v>
      </c>
      <c r="U4454">
        <v>0</v>
      </c>
      <c r="V4454" s="3">
        <v>0</v>
      </c>
      <c r="W4454" s="3">
        <v>0</v>
      </c>
      <c r="X4454">
        <v>0</v>
      </c>
      <c r="Y4454" t="s">
        <v>3394</v>
      </c>
    </row>
    <row r="4455" spans="1:25" hidden="1" x14ac:dyDescent="0.25">
      <c r="A4455" t="s">
        <v>49</v>
      </c>
      <c r="B4455" t="s">
        <v>118</v>
      </c>
      <c r="C4455" t="s">
        <v>50</v>
      </c>
      <c r="D4455" t="s">
        <v>27</v>
      </c>
      <c r="E4455" s="2">
        <v>46094</v>
      </c>
      <c r="F4455" s="2">
        <v>46094</v>
      </c>
      <c r="G4455" s="3">
        <v>64</v>
      </c>
      <c r="H4455" t="s">
        <v>28</v>
      </c>
      <c r="I4455">
        <v>52</v>
      </c>
      <c r="J4455">
        <v>0</v>
      </c>
      <c r="K4455">
        <v>0</v>
      </c>
      <c r="L4455" s="3">
        <v>1</v>
      </c>
      <c r="M4455" s="3">
        <v>1</v>
      </c>
      <c r="N4455">
        <v>0</v>
      </c>
      <c r="O4455">
        <v>0</v>
      </c>
      <c r="P4455">
        <v>0</v>
      </c>
      <c r="Q4455">
        <v>52</v>
      </c>
      <c r="R4455" s="3">
        <v>0</v>
      </c>
      <c r="S4455" s="3">
        <v>0</v>
      </c>
      <c r="T4455">
        <v>0</v>
      </c>
      <c r="U4455">
        <v>0</v>
      </c>
      <c r="V4455" s="3">
        <v>0</v>
      </c>
      <c r="W4455" s="3">
        <v>0</v>
      </c>
      <c r="X4455">
        <v>0</v>
      </c>
      <c r="Y4455" t="s">
        <v>3393</v>
      </c>
    </row>
    <row r="4456" spans="1:25" hidden="1" x14ac:dyDescent="0.25">
      <c r="A4456" t="s">
        <v>51</v>
      </c>
      <c r="B4456" t="s">
        <v>120</v>
      </c>
      <c r="C4456" t="s">
        <v>55</v>
      </c>
      <c r="D4456" t="s">
        <v>27</v>
      </c>
      <c r="E4456" s="2">
        <v>46094</v>
      </c>
      <c r="F4456" s="2">
        <v>46094</v>
      </c>
      <c r="G4456" s="3">
        <v>118</v>
      </c>
      <c r="H4456" t="s">
        <v>28</v>
      </c>
      <c r="I4456">
        <v>40</v>
      </c>
      <c r="J4456">
        <v>0</v>
      </c>
      <c r="K4456">
        <v>0</v>
      </c>
      <c r="L4456" s="3">
        <v>1</v>
      </c>
      <c r="M4456" s="3">
        <v>0</v>
      </c>
      <c r="N4456">
        <v>1</v>
      </c>
      <c r="O4456">
        <v>0</v>
      </c>
      <c r="P4456">
        <v>0</v>
      </c>
      <c r="Q4456">
        <v>0</v>
      </c>
      <c r="R4456" s="3">
        <v>0</v>
      </c>
      <c r="S4456" s="3">
        <v>0</v>
      </c>
      <c r="T4456">
        <v>0</v>
      </c>
      <c r="U4456">
        <v>0</v>
      </c>
      <c r="V4456" s="3">
        <v>0</v>
      </c>
      <c r="W4456" s="3">
        <v>0</v>
      </c>
      <c r="X4456">
        <v>0</v>
      </c>
      <c r="Y4456" t="s">
        <v>3392</v>
      </c>
    </row>
    <row r="4457" spans="1:25" hidden="1" x14ac:dyDescent="0.25">
      <c r="A4457" t="s">
        <v>48</v>
      </c>
      <c r="B4457" t="s">
        <v>149</v>
      </c>
      <c r="C4457" t="s">
        <v>37</v>
      </c>
      <c r="D4457" t="s">
        <v>27</v>
      </c>
      <c r="E4457" s="2">
        <v>46094</v>
      </c>
      <c r="F4457" s="2">
        <v>46094</v>
      </c>
      <c r="G4457" s="3">
        <v>90</v>
      </c>
      <c r="H4457" t="s">
        <v>28</v>
      </c>
      <c r="I4457">
        <v>85</v>
      </c>
      <c r="J4457">
        <v>0</v>
      </c>
      <c r="K4457">
        <v>0</v>
      </c>
      <c r="L4457" s="3">
        <v>0</v>
      </c>
      <c r="M4457" s="3">
        <v>0</v>
      </c>
      <c r="N4457">
        <v>0</v>
      </c>
      <c r="O4457">
        <v>0</v>
      </c>
      <c r="P4457">
        <v>0</v>
      </c>
      <c r="Q4457">
        <v>0</v>
      </c>
      <c r="R4457" s="3">
        <v>0</v>
      </c>
      <c r="S4457" s="3">
        <v>0</v>
      </c>
      <c r="T4457">
        <v>0</v>
      </c>
      <c r="U4457">
        <v>0</v>
      </c>
      <c r="V4457" s="3">
        <v>0</v>
      </c>
      <c r="W4457" s="3">
        <v>0</v>
      </c>
      <c r="X4457">
        <v>0</v>
      </c>
      <c r="Y4457" t="s">
        <v>3391</v>
      </c>
    </row>
    <row r="4458" spans="1:25" hidden="1" x14ac:dyDescent="0.25">
      <c r="A4458" t="s">
        <v>27</v>
      </c>
      <c r="B4458" t="s">
        <v>739</v>
      </c>
      <c r="C4458" t="s">
        <v>95</v>
      </c>
      <c r="D4458" t="s">
        <v>27</v>
      </c>
      <c r="E4458" s="2">
        <v>46094</v>
      </c>
      <c r="F4458" s="2">
        <v>46094</v>
      </c>
      <c r="G4458" s="3">
        <v>91</v>
      </c>
      <c r="H4458" t="s">
        <v>180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3391</v>
      </c>
    </row>
    <row r="4459" spans="1:25" hidden="1" x14ac:dyDescent="0.25">
      <c r="A4459" t="s">
        <v>27</v>
      </c>
      <c r="B4459" t="s">
        <v>755</v>
      </c>
      <c r="C4459" t="s">
        <v>44</v>
      </c>
      <c r="D4459" t="s">
        <v>27</v>
      </c>
      <c r="E4459" s="2">
        <v>46094</v>
      </c>
      <c r="F4459" s="2">
        <v>46094</v>
      </c>
      <c r="G4459" s="3">
        <v>92</v>
      </c>
      <c r="H4459" t="s">
        <v>959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3391</v>
      </c>
    </row>
    <row r="4460" spans="1:25" hidden="1" x14ac:dyDescent="0.25">
      <c r="A4460" t="s">
        <v>1316</v>
      </c>
      <c r="B4460" t="s">
        <v>1348</v>
      </c>
      <c r="C4460" t="s">
        <v>2379</v>
      </c>
      <c r="D4460" t="s">
        <v>27</v>
      </c>
      <c r="E4460" s="2">
        <v>46095</v>
      </c>
      <c r="F4460" s="2">
        <v>46095</v>
      </c>
      <c r="G4460" s="3">
        <v>63</v>
      </c>
      <c r="H4460" t="s">
        <v>28</v>
      </c>
      <c r="I4460">
        <v>0</v>
      </c>
      <c r="J4460">
        <v>0</v>
      </c>
      <c r="K4460">
        <v>0</v>
      </c>
      <c r="L4460" s="3">
        <v>1</v>
      </c>
      <c r="M4460" s="3">
        <v>0</v>
      </c>
      <c r="N4460">
        <v>0</v>
      </c>
      <c r="O4460">
        <v>0</v>
      </c>
      <c r="P4460">
        <v>0</v>
      </c>
      <c r="Q4460">
        <v>0</v>
      </c>
      <c r="R4460" s="3">
        <v>1</v>
      </c>
      <c r="S4460" s="3">
        <v>0</v>
      </c>
      <c r="T4460">
        <v>103</v>
      </c>
      <c r="U4460">
        <v>20</v>
      </c>
      <c r="V4460" s="3">
        <v>1</v>
      </c>
      <c r="W4460" s="3">
        <v>0</v>
      </c>
      <c r="X4460">
        <v>6</v>
      </c>
      <c r="Y4460" t="s">
        <v>3399</v>
      </c>
    </row>
    <row r="4461" spans="1:25" hidden="1" x14ac:dyDescent="0.25">
      <c r="A4461" t="s">
        <v>1316</v>
      </c>
      <c r="B4461" t="s">
        <v>1348</v>
      </c>
      <c r="C4461" t="s">
        <v>2379</v>
      </c>
      <c r="D4461" t="s">
        <v>27</v>
      </c>
      <c r="E4461" s="2">
        <v>46096</v>
      </c>
      <c r="F4461" s="2">
        <v>46096</v>
      </c>
      <c r="G4461" s="3">
        <v>63</v>
      </c>
      <c r="H4461" t="s">
        <v>28</v>
      </c>
      <c r="I4461">
        <v>0</v>
      </c>
      <c r="J4461">
        <v>0</v>
      </c>
      <c r="K4461">
        <v>0</v>
      </c>
      <c r="L4461" s="3">
        <v>1</v>
      </c>
      <c r="M4461" s="3">
        <v>0</v>
      </c>
      <c r="N4461">
        <v>0</v>
      </c>
      <c r="O4461">
        <v>0</v>
      </c>
      <c r="P4461">
        <v>0</v>
      </c>
      <c r="Q4461">
        <v>0</v>
      </c>
      <c r="R4461" s="3">
        <v>0</v>
      </c>
      <c r="S4461" s="3">
        <v>1</v>
      </c>
      <c r="T4461">
        <v>44</v>
      </c>
      <c r="U4461">
        <v>28</v>
      </c>
      <c r="V4461" s="3">
        <v>0</v>
      </c>
      <c r="W4461" s="3">
        <v>1</v>
      </c>
      <c r="X4461">
        <v>16</v>
      </c>
      <c r="Y4461" t="s">
        <v>3399</v>
      </c>
    </row>
    <row r="4462" spans="1:25" hidden="1" x14ac:dyDescent="0.25">
      <c r="A4462" t="s">
        <v>25</v>
      </c>
      <c r="B4462" t="s">
        <v>96</v>
      </c>
      <c r="C4462" t="s">
        <v>26</v>
      </c>
      <c r="D4462" t="s">
        <v>27</v>
      </c>
      <c r="E4462" s="2">
        <v>46097</v>
      </c>
      <c r="F4462" s="2">
        <v>46097</v>
      </c>
      <c r="G4462" s="3">
        <v>39</v>
      </c>
      <c r="H4462" t="s">
        <v>28</v>
      </c>
      <c r="I4462">
        <v>40</v>
      </c>
      <c r="J4462">
        <v>0</v>
      </c>
      <c r="K4462">
        <v>0</v>
      </c>
      <c r="L4462" s="3">
        <v>0</v>
      </c>
      <c r="M4462" s="3">
        <v>0</v>
      </c>
      <c r="N4462">
        <v>1</v>
      </c>
      <c r="O4462">
        <v>0</v>
      </c>
      <c r="P4462">
        <v>0</v>
      </c>
      <c r="Q4462">
        <v>0</v>
      </c>
      <c r="R4462" s="3">
        <v>0</v>
      </c>
      <c r="S4462" s="3">
        <v>0</v>
      </c>
      <c r="T4462">
        <v>0</v>
      </c>
      <c r="U4462">
        <v>0</v>
      </c>
      <c r="V4462" s="3">
        <v>0</v>
      </c>
      <c r="W4462" s="3">
        <v>0</v>
      </c>
      <c r="X4462">
        <v>0</v>
      </c>
      <c r="Y4462" t="s">
        <v>3409</v>
      </c>
    </row>
    <row r="4463" spans="1:25" hidden="1" x14ac:dyDescent="0.25">
      <c r="A4463" t="s">
        <v>29</v>
      </c>
      <c r="B4463" t="s">
        <v>100</v>
      </c>
      <c r="C4463" t="s">
        <v>2835</v>
      </c>
      <c r="D4463" t="s">
        <v>27</v>
      </c>
      <c r="E4463" s="2">
        <v>46097</v>
      </c>
      <c r="F4463" s="2">
        <v>46097</v>
      </c>
      <c r="G4463" s="3">
        <v>75</v>
      </c>
      <c r="H4463" t="s">
        <v>28</v>
      </c>
      <c r="I4463">
        <v>53</v>
      </c>
      <c r="J4463">
        <v>35</v>
      </c>
      <c r="K4463">
        <v>0</v>
      </c>
      <c r="L4463" s="3">
        <v>0</v>
      </c>
      <c r="M4463" s="3">
        <v>0</v>
      </c>
      <c r="N4463">
        <v>0</v>
      </c>
      <c r="O4463">
        <v>0</v>
      </c>
      <c r="P4463">
        <v>0</v>
      </c>
      <c r="Q4463">
        <v>0</v>
      </c>
      <c r="R4463" s="3">
        <v>0</v>
      </c>
      <c r="S4463" s="3">
        <v>0</v>
      </c>
      <c r="T4463">
        <v>0</v>
      </c>
      <c r="U4463">
        <v>0</v>
      </c>
      <c r="V4463" s="3">
        <v>0</v>
      </c>
      <c r="W4463" s="3">
        <v>0</v>
      </c>
      <c r="X4463">
        <v>8</v>
      </c>
      <c r="Y4463" t="s">
        <v>3410</v>
      </c>
    </row>
    <row r="4464" spans="1:25" hidden="1" x14ac:dyDescent="0.25">
      <c r="A4464" t="s">
        <v>344</v>
      </c>
      <c r="B4464" t="s">
        <v>100</v>
      </c>
      <c r="C4464" t="s">
        <v>2379</v>
      </c>
      <c r="D4464" t="s">
        <v>27</v>
      </c>
      <c r="E4464" s="2">
        <v>46097</v>
      </c>
      <c r="F4464" s="2">
        <v>46097</v>
      </c>
      <c r="G4464" s="3">
        <v>75</v>
      </c>
      <c r="H4464" t="s">
        <v>28</v>
      </c>
      <c r="I4464">
        <v>53</v>
      </c>
      <c r="J4464">
        <v>123</v>
      </c>
      <c r="K4464">
        <v>0</v>
      </c>
      <c r="L4464" s="3">
        <v>0</v>
      </c>
      <c r="M4464" s="3">
        <v>0</v>
      </c>
      <c r="N4464">
        <v>0</v>
      </c>
      <c r="O4464">
        <v>0</v>
      </c>
      <c r="P4464">
        <v>0</v>
      </c>
      <c r="Q4464">
        <v>0</v>
      </c>
      <c r="R4464" s="3">
        <v>0</v>
      </c>
      <c r="S4464" s="3">
        <v>0</v>
      </c>
      <c r="T4464">
        <v>0</v>
      </c>
      <c r="U4464">
        <v>0</v>
      </c>
      <c r="V4464" s="3">
        <v>0</v>
      </c>
      <c r="W4464" s="3">
        <v>0</v>
      </c>
      <c r="X4464">
        <v>16</v>
      </c>
      <c r="Y4464" t="s">
        <v>3410</v>
      </c>
    </row>
    <row r="4465" spans="1:25" hidden="1" x14ac:dyDescent="0.25">
      <c r="A4465" t="s">
        <v>31</v>
      </c>
      <c r="B4465" t="s">
        <v>104</v>
      </c>
      <c r="C4465" t="s">
        <v>27</v>
      </c>
      <c r="D4465" t="s">
        <v>27</v>
      </c>
      <c r="E4465" s="2">
        <v>46097</v>
      </c>
      <c r="F4465" s="2">
        <v>46097</v>
      </c>
      <c r="G4465" s="3">
        <v>129</v>
      </c>
      <c r="H4465" t="s">
        <v>28</v>
      </c>
      <c r="I4465">
        <v>248</v>
      </c>
      <c r="J4465">
        <v>0</v>
      </c>
      <c r="K4465">
        <v>0</v>
      </c>
      <c r="L4465" s="3">
        <v>1</v>
      </c>
      <c r="M4465" s="3">
        <v>0</v>
      </c>
      <c r="N4465">
        <v>0</v>
      </c>
      <c r="O4465">
        <v>0</v>
      </c>
      <c r="P4465">
        <v>0</v>
      </c>
      <c r="Q4465">
        <v>58</v>
      </c>
      <c r="R4465" s="3">
        <v>0</v>
      </c>
      <c r="S4465" s="3">
        <v>0</v>
      </c>
      <c r="T4465">
        <v>0</v>
      </c>
      <c r="U4465">
        <v>0</v>
      </c>
      <c r="V4465" s="3">
        <v>0</v>
      </c>
      <c r="W4465" s="3">
        <v>0</v>
      </c>
      <c r="X4465">
        <v>9</v>
      </c>
      <c r="Y4465" t="s">
        <v>3411</v>
      </c>
    </row>
    <row r="4466" spans="1:25" hidden="1" x14ac:dyDescent="0.25">
      <c r="A4466" t="s">
        <v>27</v>
      </c>
      <c r="B4466" t="s">
        <v>104</v>
      </c>
      <c r="C4466" t="s">
        <v>31</v>
      </c>
      <c r="D4466" t="s">
        <v>27</v>
      </c>
      <c r="E4466" s="2">
        <v>46097</v>
      </c>
      <c r="F4466" s="2">
        <v>46097</v>
      </c>
      <c r="G4466" s="3">
        <v>129</v>
      </c>
      <c r="H4466" t="s">
        <v>28</v>
      </c>
      <c r="I4466">
        <v>248</v>
      </c>
      <c r="J4466">
        <v>0</v>
      </c>
      <c r="K4466">
        <v>0</v>
      </c>
      <c r="L4466" s="3">
        <v>1</v>
      </c>
      <c r="M4466" s="3">
        <v>1</v>
      </c>
      <c r="N4466">
        <v>0</v>
      </c>
      <c r="O4466">
        <v>0</v>
      </c>
      <c r="P4466">
        <v>0</v>
      </c>
      <c r="Q4466">
        <v>58</v>
      </c>
      <c r="R4466" s="3">
        <v>0</v>
      </c>
      <c r="S4466" s="3">
        <v>0</v>
      </c>
      <c r="T4466">
        <v>0</v>
      </c>
      <c r="U4466">
        <v>0</v>
      </c>
      <c r="V4466" s="3">
        <v>0</v>
      </c>
      <c r="W4466" s="3">
        <v>0</v>
      </c>
      <c r="X4466">
        <v>9</v>
      </c>
      <c r="Y4466" t="s">
        <v>3411</v>
      </c>
    </row>
    <row r="4467" spans="1:25" hidden="1" x14ac:dyDescent="0.25">
      <c r="A4467" t="s">
        <v>33</v>
      </c>
      <c r="B4467" t="s">
        <v>106</v>
      </c>
      <c r="C4467" t="s">
        <v>57</v>
      </c>
      <c r="D4467" t="s">
        <v>27</v>
      </c>
      <c r="E4467" s="2">
        <v>46097</v>
      </c>
      <c r="F4467" s="2">
        <v>46097</v>
      </c>
      <c r="G4467" s="3">
        <v>27</v>
      </c>
      <c r="H4467" t="s">
        <v>28</v>
      </c>
      <c r="I4467">
        <v>65</v>
      </c>
      <c r="J4467">
        <v>0</v>
      </c>
      <c r="K4467">
        <v>0</v>
      </c>
      <c r="L4467" s="3">
        <v>0</v>
      </c>
      <c r="M4467" s="3">
        <v>0</v>
      </c>
      <c r="N4467">
        <v>0</v>
      </c>
      <c r="O4467">
        <v>0</v>
      </c>
      <c r="P4467">
        <v>0</v>
      </c>
      <c r="Q4467">
        <v>21</v>
      </c>
      <c r="R4467" s="3">
        <v>0</v>
      </c>
      <c r="S4467" s="3">
        <v>0</v>
      </c>
      <c r="T4467">
        <v>0</v>
      </c>
      <c r="U4467">
        <v>0</v>
      </c>
      <c r="V4467" s="3">
        <v>0</v>
      </c>
      <c r="W4467" s="3">
        <v>0</v>
      </c>
      <c r="X4467">
        <v>0</v>
      </c>
      <c r="Y4467" t="s">
        <v>3412</v>
      </c>
    </row>
    <row r="4468" spans="1:25" hidden="1" x14ac:dyDescent="0.25">
      <c r="A4468" t="s">
        <v>2899</v>
      </c>
      <c r="B4468" t="s">
        <v>2998</v>
      </c>
      <c r="C4468" t="s">
        <v>2271</v>
      </c>
      <c r="D4468" t="s">
        <v>27</v>
      </c>
      <c r="E4468" s="2">
        <v>46097</v>
      </c>
      <c r="F4468" s="2">
        <v>46097</v>
      </c>
      <c r="G4468" s="3">
        <v>35</v>
      </c>
      <c r="H4468" t="s">
        <v>28</v>
      </c>
      <c r="I4468">
        <v>41</v>
      </c>
      <c r="J4468">
        <v>0</v>
      </c>
      <c r="K4468">
        <v>0</v>
      </c>
      <c r="L4468" s="3">
        <v>0</v>
      </c>
      <c r="M4468" s="3">
        <v>0</v>
      </c>
      <c r="N4468">
        <v>0</v>
      </c>
      <c r="O4468">
        <v>0</v>
      </c>
      <c r="P4468">
        <v>0</v>
      </c>
      <c r="Q4468">
        <v>0</v>
      </c>
      <c r="R4468" s="3">
        <v>0</v>
      </c>
      <c r="S4468" s="3">
        <v>0</v>
      </c>
      <c r="T4468">
        <v>0</v>
      </c>
      <c r="U4468">
        <v>0</v>
      </c>
      <c r="V4468" s="3">
        <v>0</v>
      </c>
      <c r="W4468" s="3">
        <v>0</v>
      </c>
      <c r="X4468">
        <v>0</v>
      </c>
      <c r="Y4468" t="s">
        <v>3413</v>
      </c>
    </row>
    <row r="4469" spans="1:25" hidden="1" x14ac:dyDescent="0.25">
      <c r="A4469" t="s">
        <v>40</v>
      </c>
      <c r="B4469" t="s">
        <v>2998</v>
      </c>
      <c r="C4469" t="s">
        <v>27</v>
      </c>
      <c r="D4469" t="s">
        <v>27</v>
      </c>
      <c r="E4469" s="2">
        <v>46097</v>
      </c>
      <c r="F4469" s="2">
        <v>46097</v>
      </c>
      <c r="G4469" s="3">
        <v>35</v>
      </c>
      <c r="H4469" t="s">
        <v>28</v>
      </c>
      <c r="I4469">
        <v>41</v>
      </c>
      <c r="J4469">
        <v>0</v>
      </c>
      <c r="K4469">
        <v>0</v>
      </c>
      <c r="L4469" s="3">
        <v>0</v>
      </c>
      <c r="M4469" s="3">
        <v>0</v>
      </c>
      <c r="N4469">
        <v>0</v>
      </c>
      <c r="O4469">
        <v>0</v>
      </c>
      <c r="P4469">
        <v>0</v>
      </c>
      <c r="Q4469">
        <v>0</v>
      </c>
      <c r="R4469" s="3">
        <v>0</v>
      </c>
      <c r="S4469" s="3">
        <v>0</v>
      </c>
      <c r="T4469">
        <v>0</v>
      </c>
      <c r="U4469">
        <v>0</v>
      </c>
      <c r="V4469" s="3">
        <v>0</v>
      </c>
      <c r="W4469" s="3">
        <v>0</v>
      </c>
      <c r="X4469">
        <v>0</v>
      </c>
      <c r="Y4469" t="s">
        <v>3413</v>
      </c>
    </row>
    <row r="4470" spans="1:25" hidden="1" x14ac:dyDescent="0.25">
      <c r="A4470" t="s">
        <v>36</v>
      </c>
      <c r="B4470" t="s">
        <v>249</v>
      </c>
      <c r="C4470" t="s">
        <v>2534</v>
      </c>
      <c r="D4470" t="s">
        <v>27</v>
      </c>
      <c r="E4470" s="2">
        <v>46097</v>
      </c>
      <c r="F4470" s="2">
        <v>46097</v>
      </c>
      <c r="G4470" s="3">
        <v>77</v>
      </c>
      <c r="H4470" t="s">
        <v>28</v>
      </c>
      <c r="I4470">
        <v>63</v>
      </c>
      <c r="J4470">
        <v>0</v>
      </c>
      <c r="K4470">
        <v>0</v>
      </c>
      <c r="L4470" s="3">
        <v>1</v>
      </c>
      <c r="M4470" s="3">
        <v>0</v>
      </c>
      <c r="N4470">
        <v>1</v>
      </c>
      <c r="O4470">
        <v>0</v>
      </c>
      <c r="P4470">
        <v>0</v>
      </c>
      <c r="Q4470">
        <v>0</v>
      </c>
      <c r="R4470" s="3">
        <v>0</v>
      </c>
      <c r="S4470" s="3">
        <v>0</v>
      </c>
      <c r="T4470">
        <v>0</v>
      </c>
      <c r="U4470">
        <v>0</v>
      </c>
      <c r="V4470" s="3">
        <v>0</v>
      </c>
      <c r="W4470" s="3">
        <v>0</v>
      </c>
      <c r="X4470">
        <v>0</v>
      </c>
      <c r="Y4470" t="s">
        <v>3414</v>
      </c>
    </row>
    <row r="4471" spans="1:25" hidden="1" x14ac:dyDescent="0.25">
      <c r="A4471" t="s">
        <v>38</v>
      </c>
      <c r="B4471" t="s">
        <v>108</v>
      </c>
      <c r="C4471" t="s">
        <v>27</v>
      </c>
      <c r="D4471" t="s">
        <v>27</v>
      </c>
      <c r="E4471" s="2">
        <v>46097</v>
      </c>
      <c r="F4471" s="2">
        <v>46097</v>
      </c>
      <c r="G4471" s="3">
        <v>32</v>
      </c>
      <c r="H4471" t="s">
        <v>28</v>
      </c>
      <c r="I4471">
        <v>57</v>
      </c>
      <c r="J4471">
        <v>0</v>
      </c>
      <c r="K4471">
        <v>0</v>
      </c>
      <c r="L4471" s="3">
        <v>1</v>
      </c>
      <c r="M4471" s="3">
        <v>0</v>
      </c>
      <c r="N4471">
        <v>0</v>
      </c>
      <c r="O4471">
        <v>0</v>
      </c>
      <c r="P4471">
        <v>0</v>
      </c>
      <c r="Q4471">
        <v>57</v>
      </c>
      <c r="R4471" s="3">
        <v>0</v>
      </c>
      <c r="S4471" s="3">
        <v>0</v>
      </c>
      <c r="T4471">
        <v>0</v>
      </c>
      <c r="U4471">
        <v>0</v>
      </c>
      <c r="V4471" s="3">
        <v>0</v>
      </c>
      <c r="W4471" s="3">
        <v>0</v>
      </c>
      <c r="X4471">
        <v>0</v>
      </c>
      <c r="Y4471" t="s">
        <v>3415</v>
      </c>
    </row>
    <row r="4472" spans="1:25" hidden="1" x14ac:dyDescent="0.25">
      <c r="A4472" t="s">
        <v>2679</v>
      </c>
      <c r="B4472" t="s">
        <v>2680</v>
      </c>
      <c r="C4472" t="s">
        <v>39</v>
      </c>
      <c r="D4472" t="s">
        <v>27</v>
      </c>
      <c r="E4472" s="2">
        <v>46097</v>
      </c>
      <c r="F4472" s="2">
        <v>46097</v>
      </c>
      <c r="G4472" s="3">
        <v>36</v>
      </c>
      <c r="H4472" t="s">
        <v>28</v>
      </c>
      <c r="I4472">
        <v>60</v>
      </c>
      <c r="J4472">
        <v>0</v>
      </c>
      <c r="K4472">
        <v>0</v>
      </c>
      <c r="L4472" s="3">
        <v>0</v>
      </c>
      <c r="M4472" s="3">
        <v>0</v>
      </c>
      <c r="N4472">
        <v>0</v>
      </c>
      <c r="O4472">
        <v>0</v>
      </c>
      <c r="P4472">
        <v>0</v>
      </c>
      <c r="Q4472">
        <v>60</v>
      </c>
      <c r="R4472" s="3">
        <v>0</v>
      </c>
      <c r="S4472" s="3">
        <v>0</v>
      </c>
      <c r="T4472">
        <v>0</v>
      </c>
      <c r="U4472">
        <v>0</v>
      </c>
      <c r="V4472" s="3">
        <v>0</v>
      </c>
      <c r="W4472" s="3">
        <v>0</v>
      </c>
      <c r="X4472">
        <v>0</v>
      </c>
      <c r="Y4472" t="s">
        <v>3416</v>
      </c>
    </row>
    <row r="4473" spans="1:25" hidden="1" x14ac:dyDescent="0.25">
      <c r="A4473" t="s">
        <v>1316</v>
      </c>
      <c r="B4473" t="s">
        <v>1348</v>
      </c>
      <c r="C4473" t="s">
        <v>1316</v>
      </c>
      <c r="D4473" t="s">
        <v>27</v>
      </c>
      <c r="E4473" s="2">
        <v>46097</v>
      </c>
      <c r="F4473" s="2">
        <v>46097</v>
      </c>
      <c r="G4473" s="3">
        <v>57</v>
      </c>
      <c r="H4473" t="s">
        <v>28</v>
      </c>
      <c r="I4473">
        <v>94</v>
      </c>
      <c r="J4473">
        <v>0</v>
      </c>
      <c r="K4473">
        <v>0</v>
      </c>
      <c r="L4473" s="3">
        <v>1</v>
      </c>
      <c r="M4473" s="3">
        <v>0</v>
      </c>
      <c r="N4473">
        <v>0</v>
      </c>
      <c r="O4473">
        <v>0</v>
      </c>
      <c r="P4473">
        <v>0</v>
      </c>
      <c r="Q4473">
        <v>20</v>
      </c>
      <c r="R4473" s="3">
        <v>0</v>
      </c>
      <c r="S4473" s="3">
        <v>0</v>
      </c>
      <c r="T4473">
        <v>0</v>
      </c>
      <c r="U4473">
        <v>0</v>
      </c>
      <c r="V4473" s="3">
        <v>0</v>
      </c>
      <c r="W4473" s="3">
        <v>0</v>
      </c>
      <c r="X4473">
        <v>0</v>
      </c>
      <c r="Y4473" t="s">
        <v>3417</v>
      </c>
    </row>
    <row r="4474" spans="1:25" hidden="1" x14ac:dyDescent="0.25">
      <c r="A4474" t="s">
        <v>27</v>
      </c>
      <c r="B4474" t="s">
        <v>1348</v>
      </c>
      <c r="C4474" t="s">
        <v>2514</v>
      </c>
      <c r="D4474" t="s">
        <v>27</v>
      </c>
      <c r="E4474" s="2">
        <v>46097</v>
      </c>
      <c r="F4474" s="2">
        <v>46097</v>
      </c>
      <c r="G4474" s="3">
        <v>57</v>
      </c>
      <c r="H4474" t="s">
        <v>28</v>
      </c>
      <c r="I4474">
        <v>56</v>
      </c>
      <c r="J4474">
        <v>0</v>
      </c>
      <c r="K4474">
        <v>0</v>
      </c>
      <c r="L4474" s="3">
        <v>1</v>
      </c>
      <c r="M4474" s="3">
        <v>0</v>
      </c>
      <c r="N4474">
        <v>0</v>
      </c>
      <c r="O4474">
        <v>0</v>
      </c>
      <c r="P4474">
        <v>0</v>
      </c>
      <c r="Q4474">
        <v>20</v>
      </c>
      <c r="R4474" s="3">
        <v>0</v>
      </c>
      <c r="S4474" s="3">
        <v>0</v>
      </c>
      <c r="T4474">
        <v>0</v>
      </c>
      <c r="U4474">
        <v>0</v>
      </c>
      <c r="V4474" s="3">
        <v>0</v>
      </c>
      <c r="W4474" s="3">
        <v>0</v>
      </c>
      <c r="X4474">
        <v>0</v>
      </c>
      <c r="Y4474" t="s">
        <v>3417</v>
      </c>
    </row>
    <row r="4475" spans="1:25" s="1" customFormat="1" hidden="1" x14ac:dyDescent="0.25">
      <c r="A4475" s="1" t="s">
        <v>41</v>
      </c>
      <c r="B4475" s="1" t="s">
        <v>112</v>
      </c>
      <c r="C4475" s="1" t="s">
        <v>42</v>
      </c>
      <c r="D4475" s="1" t="s">
        <v>27</v>
      </c>
      <c r="E4475" s="10">
        <v>46097</v>
      </c>
      <c r="F4475" s="10">
        <v>46097</v>
      </c>
      <c r="G4475" s="41">
        <v>99</v>
      </c>
      <c r="H4475" s="1" t="s">
        <v>28</v>
      </c>
      <c r="I4475" s="1">
        <v>114</v>
      </c>
      <c r="J4475" s="1">
        <v>136</v>
      </c>
      <c r="K4475" s="1">
        <v>0</v>
      </c>
      <c r="L4475" s="41">
        <v>1</v>
      </c>
      <c r="M4475" s="41">
        <v>1</v>
      </c>
      <c r="N4475" s="1">
        <v>0</v>
      </c>
      <c r="O4475" s="1">
        <v>0</v>
      </c>
      <c r="P4475" s="1">
        <v>0</v>
      </c>
      <c r="Q4475" s="1">
        <v>104</v>
      </c>
      <c r="R4475" s="41">
        <v>1</v>
      </c>
      <c r="S4475" s="41">
        <v>0</v>
      </c>
      <c r="T4475" s="1">
        <v>0</v>
      </c>
      <c r="U4475" s="1">
        <v>0</v>
      </c>
      <c r="V4475" s="41">
        <v>0</v>
      </c>
      <c r="W4475" s="41">
        <v>0</v>
      </c>
      <c r="X4475" s="1">
        <v>16</v>
      </c>
      <c r="Y4475" s="1" t="s">
        <v>3418</v>
      </c>
    </row>
    <row r="4476" spans="1:25" hidden="1" x14ac:dyDescent="0.25">
      <c r="A4476" t="s">
        <v>43</v>
      </c>
      <c r="B4476" t="s">
        <v>114</v>
      </c>
      <c r="C4476" t="s">
        <v>44</v>
      </c>
      <c r="D4476" t="s">
        <v>27</v>
      </c>
      <c r="E4476" s="2">
        <v>46097</v>
      </c>
      <c r="F4476" s="2">
        <v>46097</v>
      </c>
      <c r="G4476" s="3">
        <v>29</v>
      </c>
      <c r="H4476" t="s">
        <v>28</v>
      </c>
      <c r="I4476">
        <v>52</v>
      </c>
      <c r="J4476">
        <v>0</v>
      </c>
      <c r="K4476">
        <v>0</v>
      </c>
      <c r="L4476" s="3">
        <v>0</v>
      </c>
      <c r="M4476" s="3">
        <v>0</v>
      </c>
      <c r="N4476">
        <v>0</v>
      </c>
      <c r="O4476">
        <v>0</v>
      </c>
      <c r="P4476">
        <v>0</v>
      </c>
      <c r="Q4476">
        <v>13</v>
      </c>
      <c r="R4476" s="3">
        <v>0</v>
      </c>
      <c r="S4476" s="3">
        <v>0</v>
      </c>
      <c r="T4476">
        <v>0</v>
      </c>
      <c r="U4476">
        <v>0</v>
      </c>
      <c r="V4476" s="3">
        <v>0</v>
      </c>
      <c r="W4476" s="3">
        <v>0</v>
      </c>
      <c r="X4476">
        <v>0</v>
      </c>
      <c r="Y4476" t="s">
        <v>3419</v>
      </c>
    </row>
    <row r="4477" spans="1:25" hidden="1" x14ac:dyDescent="0.25">
      <c r="A4477" t="s">
        <v>2118</v>
      </c>
      <c r="B4477" t="s">
        <v>2119</v>
      </c>
      <c r="C4477" t="s">
        <v>27</v>
      </c>
      <c r="D4477" t="s">
        <v>27</v>
      </c>
      <c r="E4477" s="2">
        <v>46097</v>
      </c>
      <c r="F4477" s="2">
        <v>46097</v>
      </c>
      <c r="G4477" s="3">
        <v>38</v>
      </c>
      <c r="H4477" t="s">
        <v>28</v>
      </c>
      <c r="I4477">
        <v>61</v>
      </c>
      <c r="J4477">
        <v>0</v>
      </c>
      <c r="K4477">
        <v>0</v>
      </c>
      <c r="L4477" s="3">
        <v>1</v>
      </c>
      <c r="M4477" s="3">
        <v>0</v>
      </c>
      <c r="N4477">
        <v>0</v>
      </c>
      <c r="O4477">
        <v>0</v>
      </c>
      <c r="P4477">
        <v>0</v>
      </c>
      <c r="Q4477">
        <v>61</v>
      </c>
      <c r="R4477" s="3">
        <v>0</v>
      </c>
      <c r="S4477" s="3">
        <v>0</v>
      </c>
      <c r="T4477">
        <v>0</v>
      </c>
      <c r="U4477">
        <v>0</v>
      </c>
      <c r="V4477" s="3">
        <v>0</v>
      </c>
      <c r="W4477" s="3">
        <v>0</v>
      </c>
      <c r="X4477">
        <v>0</v>
      </c>
      <c r="Y4477" t="s">
        <v>3420</v>
      </c>
    </row>
    <row r="4478" spans="1:25" hidden="1" x14ac:dyDescent="0.25">
      <c r="A4478" t="s">
        <v>45</v>
      </c>
      <c r="B4478" t="s">
        <v>116</v>
      </c>
      <c r="C4478" t="s">
        <v>46</v>
      </c>
      <c r="D4478" t="s">
        <v>27</v>
      </c>
      <c r="E4478" s="2">
        <v>46097</v>
      </c>
      <c r="F4478" s="2">
        <v>46097</v>
      </c>
      <c r="G4478" s="3">
        <v>69</v>
      </c>
      <c r="H4478" t="s">
        <v>28</v>
      </c>
      <c r="I4478">
        <v>67</v>
      </c>
      <c r="J4478">
        <v>0</v>
      </c>
      <c r="K4478">
        <v>0</v>
      </c>
      <c r="L4478" s="3">
        <v>1</v>
      </c>
      <c r="M4478" s="3">
        <v>0</v>
      </c>
      <c r="N4478">
        <v>0</v>
      </c>
      <c r="O4478">
        <v>0</v>
      </c>
      <c r="P4478">
        <v>0</v>
      </c>
      <c r="Q4478">
        <v>6</v>
      </c>
      <c r="R4478" s="3">
        <v>0</v>
      </c>
      <c r="S4478" s="3">
        <v>0</v>
      </c>
      <c r="T4478">
        <v>0</v>
      </c>
      <c r="U4478">
        <v>0</v>
      </c>
      <c r="V4478" s="3">
        <v>0</v>
      </c>
      <c r="W4478" s="3">
        <v>0</v>
      </c>
      <c r="X4478">
        <v>0</v>
      </c>
      <c r="Y4478" t="s">
        <v>3421</v>
      </c>
    </row>
    <row r="4479" spans="1:25" hidden="1" x14ac:dyDescent="0.25">
      <c r="A4479" t="s">
        <v>47</v>
      </c>
      <c r="B4479" t="s">
        <v>137</v>
      </c>
      <c r="C4479" t="s">
        <v>2310</v>
      </c>
      <c r="D4479" t="s">
        <v>27</v>
      </c>
      <c r="E4479" s="2">
        <v>46097</v>
      </c>
      <c r="F4479" s="2">
        <v>46097</v>
      </c>
      <c r="G4479" s="3">
        <v>36</v>
      </c>
      <c r="H4479" t="s">
        <v>28</v>
      </c>
      <c r="I4479">
        <v>49</v>
      </c>
      <c r="J4479">
        <v>0</v>
      </c>
      <c r="K4479">
        <v>0</v>
      </c>
      <c r="L4479" s="3">
        <v>1</v>
      </c>
      <c r="M4479" s="3">
        <v>0</v>
      </c>
      <c r="N4479">
        <v>0</v>
      </c>
      <c r="O4479">
        <v>0</v>
      </c>
      <c r="P4479">
        <v>0</v>
      </c>
      <c r="Q4479">
        <v>12</v>
      </c>
      <c r="R4479" s="3">
        <v>0</v>
      </c>
      <c r="S4479" s="3">
        <v>0</v>
      </c>
      <c r="T4479">
        <v>0</v>
      </c>
      <c r="U4479">
        <v>0</v>
      </c>
      <c r="V4479" s="3">
        <v>0</v>
      </c>
      <c r="W4479" s="3">
        <v>0</v>
      </c>
      <c r="X4479">
        <v>0</v>
      </c>
      <c r="Y4479" t="s">
        <v>3422</v>
      </c>
    </row>
    <row r="4480" spans="1:25" hidden="1" x14ac:dyDescent="0.25">
      <c r="A4480" t="s">
        <v>49</v>
      </c>
      <c r="B4480" t="s">
        <v>118</v>
      </c>
      <c r="C4480" t="s">
        <v>50</v>
      </c>
      <c r="D4480" t="s">
        <v>27</v>
      </c>
      <c r="E4480" s="2">
        <v>46097</v>
      </c>
      <c r="F4480" s="2">
        <v>46097</v>
      </c>
      <c r="G4480" s="3">
        <v>50</v>
      </c>
      <c r="H4480" t="s">
        <v>28</v>
      </c>
      <c r="I4480">
        <v>34</v>
      </c>
      <c r="J4480">
        <v>0</v>
      </c>
      <c r="K4480">
        <v>0</v>
      </c>
      <c r="L4480" s="3">
        <v>1</v>
      </c>
      <c r="M4480" s="3">
        <v>1</v>
      </c>
      <c r="N4480">
        <v>0</v>
      </c>
      <c r="O4480">
        <v>1</v>
      </c>
      <c r="P4480">
        <v>0</v>
      </c>
      <c r="Q4480">
        <v>34</v>
      </c>
      <c r="R4480" s="3">
        <v>0</v>
      </c>
      <c r="S4480" s="3">
        <v>0</v>
      </c>
      <c r="T4480">
        <v>0</v>
      </c>
      <c r="U4480">
        <v>0</v>
      </c>
      <c r="V4480" s="3">
        <v>0</v>
      </c>
      <c r="W4480" s="3">
        <v>0</v>
      </c>
      <c r="X4480">
        <v>0</v>
      </c>
      <c r="Y4480" t="s">
        <v>3423</v>
      </c>
    </row>
    <row r="4481" spans="1:25" hidden="1" x14ac:dyDescent="0.25">
      <c r="A4481" t="s">
        <v>51</v>
      </c>
      <c r="B4481" t="s">
        <v>120</v>
      </c>
      <c r="C4481" t="s">
        <v>55</v>
      </c>
      <c r="D4481" t="s">
        <v>27</v>
      </c>
      <c r="E4481" s="2">
        <v>46097</v>
      </c>
      <c r="F4481" s="2">
        <v>46097</v>
      </c>
      <c r="G4481" s="3">
        <v>68</v>
      </c>
      <c r="H4481" t="s">
        <v>28</v>
      </c>
      <c r="I4481">
        <v>38</v>
      </c>
      <c r="J4481">
        <v>0</v>
      </c>
      <c r="K4481">
        <v>0</v>
      </c>
      <c r="L4481" s="3">
        <v>1</v>
      </c>
      <c r="M4481" s="3">
        <v>0</v>
      </c>
      <c r="N4481">
        <v>1</v>
      </c>
      <c r="O4481">
        <v>0</v>
      </c>
      <c r="P4481">
        <v>0</v>
      </c>
      <c r="Q4481">
        <v>0</v>
      </c>
      <c r="R4481" s="3">
        <v>0</v>
      </c>
      <c r="S4481" s="3">
        <v>0</v>
      </c>
      <c r="T4481">
        <v>0</v>
      </c>
      <c r="U4481">
        <v>0</v>
      </c>
      <c r="V4481" s="3">
        <v>0</v>
      </c>
      <c r="W4481" s="3">
        <v>0</v>
      </c>
      <c r="X4481">
        <v>0</v>
      </c>
      <c r="Y4481" t="s">
        <v>3424</v>
      </c>
    </row>
    <row r="4482" spans="1:25" hidden="1" x14ac:dyDescent="0.25">
      <c r="A4482" t="s">
        <v>48</v>
      </c>
      <c r="B4482" t="s">
        <v>149</v>
      </c>
      <c r="C4482" t="s">
        <v>37</v>
      </c>
      <c r="D4482" t="s">
        <v>27</v>
      </c>
      <c r="E4482" s="2">
        <v>46097</v>
      </c>
      <c r="F4482" s="2">
        <v>46097</v>
      </c>
      <c r="G4482" s="3">
        <v>30</v>
      </c>
      <c r="H4482" t="s">
        <v>28</v>
      </c>
      <c r="I4482">
        <v>75</v>
      </c>
      <c r="J4482">
        <v>100</v>
      </c>
      <c r="K4482">
        <v>0</v>
      </c>
      <c r="L4482" s="3">
        <v>1</v>
      </c>
      <c r="M4482" s="3">
        <v>0</v>
      </c>
      <c r="N4482">
        <v>0</v>
      </c>
      <c r="O4482">
        <v>0</v>
      </c>
      <c r="P4482">
        <v>0</v>
      </c>
      <c r="Q4482">
        <v>0</v>
      </c>
      <c r="R4482" s="3">
        <v>0</v>
      </c>
      <c r="S4482" s="3">
        <v>0</v>
      </c>
      <c r="T4482">
        <v>0</v>
      </c>
      <c r="U4482">
        <v>0</v>
      </c>
      <c r="V4482" s="3">
        <v>0</v>
      </c>
      <c r="W4482" s="3">
        <v>0</v>
      </c>
      <c r="X4482">
        <v>0</v>
      </c>
      <c r="Y4482" t="s">
        <v>3425</v>
      </c>
    </row>
    <row r="4483" spans="1:25" hidden="1" x14ac:dyDescent="0.25">
      <c r="A4483" t="s">
        <v>27</v>
      </c>
      <c r="B4483" t="s">
        <v>739</v>
      </c>
      <c r="C4483" t="s">
        <v>32</v>
      </c>
      <c r="D4483" t="s">
        <v>27</v>
      </c>
      <c r="E4483" s="2">
        <v>46097</v>
      </c>
      <c r="F4483" s="2">
        <v>46097</v>
      </c>
      <c r="G4483" s="3">
        <v>31</v>
      </c>
      <c r="H4483" t="s">
        <v>180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3425</v>
      </c>
    </row>
    <row r="4484" spans="1:25" hidden="1" x14ac:dyDescent="0.25">
      <c r="A4484" t="s">
        <v>27</v>
      </c>
      <c r="B4484" t="s">
        <v>755</v>
      </c>
      <c r="C4484" t="s">
        <v>35</v>
      </c>
      <c r="D4484" t="s">
        <v>27</v>
      </c>
      <c r="E4484" s="2">
        <v>46097</v>
      </c>
      <c r="F4484" s="2">
        <v>46097</v>
      </c>
      <c r="G4484" s="3">
        <v>32</v>
      </c>
      <c r="H4484" t="s">
        <v>959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3425</v>
      </c>
    </row>
    <row r="4485" spans="1:25" hidden="1" x14ac:dyDescent="0.25">
      <c r="A4485" t="s">
        <v>27</v>
      </c>
      <c r="B4485" t="s">
        <v>758</v>
      </c>
      <c r="C4485" t="s">
        <v>95</v>
      </c>
      <c r="D4485" t="s">
        <v>27</v>
      </c>
      <c r="E4485" s="2">
        <v>46097</v>
      </c>
      <c r="F4485" s="2">
        <v>46097</v>
      </c>
      <c r="G4485" s="3">
        <v>33</v>
      </c>
      <c r="H4485" t="s">
        <v>959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3425</v>
      </c>
    </row>
    <row r="4486" spans="1:25" hidden="1" x14ac:dyDescent="0.25">
      <c r="A4486" t="s">
        <v>25</v>
      </c>
      <c r="B4486" t="s">
        <v>96</v>
      </c>
      <c r="C4486" t="s">
        <v>26</v>
      </c>
      <c r="D4486" t="s">
        <v>27</v>
      </c>
      <c r="E4486" s="2">
        <v>46098</v>
      </c>
      <c r="F4486" s="2">
        <v>46098</v>
      </c>
      <c r="G4486" s="3">
        <v>39</v>
      </c>
      <c r="H4486" t="s">
        <v>28</v>
      </c>
      <c r="I4486">
        <v>50</v>
      </c>
      <c r="J4486">
        <v>0</v>
      </c>
      <c r="K4486">
        <v>0</v>
      </c>
      <c r="L4486" s="3">
        <v>0</v>
      </c>
      <c r="M4486" s="3">
        <v>1</v>
      </c>
      <c r="N4486">
        <v>1</v>
      </c>
      <c r="O4486">
        <v>0</v>
      </c>
      <c r="P4486">
        <v>0</v>
      </c>
      <c r="Q4486">
        <v>0</v>
      </c>
      <c r="R4486" s="3">
        <v>0</v>
      </c>
      <c r="S4486" s="3">
        <v>0</v>
      </c>
      <c r="T4486">
        <v>0</v>
      </c>
      <c r="U4486">
        <v>0</v>
      </c>
      <c r="V4486" s="3">
        <v>0</v>
      </c>
      <c r="W4486" s="3">
        <v>0</v>
      </c>
      <c r="X4486">
        <v>0</v>
      </c>
      <c r="Y4486" t="s">
        <v>3426</v>
      </c>
    </row>
    <row r="4487" spans="1:25" hidden="1" x14ac:dyDescent="0.25">
      <c r="A4487" t="s">
        <v>29</v>
      </c>
      <c r="B4487" t="s">
        <v>100</v>
      </c>
      <c r="C4487" t="s">
        <v>1316</v>
      </c>
      <c r="D4487" t="s">
        <v>27</v>
      </c>
      <c r="E4487" s="2">
        <v>46098</v>
      </c>
      <c r="F4487" s="2">
        <v>46098</v>
      </c>
      <c r="G4487" s="3">
        <v>119</v>
      </c>
      <c r="H4487" t="s">
        <v>28</v>
      </c>
      <c r="I4487">
        <v>48</v>
      </c>
      <c r="J4487">
        <v>0</v>
      </c>
      <c r="K4487">
        <v>0</v>
      </c>
      <c r="L4487" s="3">
        <v>1</v>
      </c>
      <c r="M4487" s="3">
        <v>0</v>
      </c>
      <c r="N4487">
        <v>0</v>
      </c>
      <c r="O4487">
        <v>0</v>
      </c>
      <c r="P4487">
        <v>0</v>
      </c>
      <c r="Q4487">
        <v>10</v>
      </c>
      <c r="R4487" s="3">
        <v>0</v>
      </c>
      <c r="S4487" s="3">
        <v>0</v>
      </c>
      <c r="T4487">
        <v>0</v>
      </c>
      <c r="U4487">
        <v>0</v>
      </c>
      <c r="V4487" s="3">
        <v>0</v>
      </c>
      <c r="W4487" s="3">
        <v>0</v>
      </c>
      <c r="X4487">
        <v>0</v>
      </c>
      <c r="Y4487" t="s">
        <v>3427</v>
      </c>
    </row>
    <row r="4488" spans="1:25" hidden="1" x14ac:dyDescent="0.25">
      <c r="A4488" t="s">
        <v>344</v>
      </c>
      <c r="B4488" t="s">
        <v>102</v>
      </c>
      <c r="C4488" t="s">
        <v>35</v>
      </c>
      <c r="D4488" t="s">
        <v>27</v>
      </c>
      <c r="E4488" s="2">
        <v>46098</v>
      </c>
      <c r="F4488" s="2">
        <v>46098</v>
      </c>
      <c r="G4488" s="3">
        <v>42</v>
      </c>
      <c r="H4488" t="s">
        <v>28</v>
      </c>
      <c r="I4488">
        <v>55</v>
      </c>
      <c r="J4488">
        <v>0</v>
      </c>
      <c r="K4488">
        <v>0</v>
      </c>
      <c r="L4488" s="3">
        <v>0</v>
      </c>
      <c r="M4488" s="3">
        <v>0</v>
      </c>
      <c r="N4488">
        <v>0</v>
      </c>
      <c r="O4488">
        <v>0</v>
      </c>
      <c r="P4488">
        <v>0</v>
      </c>
      <c r="Q4488">
        <v>0</v>
      </c>
      <c r="R4488" s="3">
        <v>0</v>
      </c>
      <c r="S4488" s="3">
        <v>0</v>
      </c>
      <c r="T4488">
        <v>0</v>
      </c>
      <c r="U4488">
        <v>0</v>
      </c>
      <c r="V4488" s="3">
        <v>0</v>
      </c>
      <c r="W4488" s="3">
        <v>0</v>
      </c>
      <c r="X4488">
        <v>0</v>
      </c>
      <c r="Y4488" t="s">
        <v>3428</v>
      </c>
    </row>
    <row r="4489" spans="1:25" hidden="1" x14ac:dyDescent="0.25">
      <c r="A4489" t="s">
        <v>31</v>
      </c>
      <c r="B4489" t="s">
        <v>104</v>
      </c>
      <c r="C4489" t="s">
        <v>2835</v>
      </c>
      <c r="D4489" t="s">
        <v>27</v>
      </c>
      <c r="E4489" s="2">
        <v>46098</v>
      </c>
      <c r="F4489" s="2">
        <v>46098</v>
      </c>
      <c r="G4489" s="3">
        <v>61</v>
      </c>
      <c r="H4489" t="s">
        <v>28</v>
      </c>
      <c r="I4489">
        <v>69</v>
      </c>
      <c r="J4489">
        <v>0</v>
      </c>
      <c r="K4489">
        <v>0</v>
      </c>
      <c r="L4489" s="3">
        <v>0</v>
      </c>
      <c r="M4489" s="3">
        <v>0</v>
      </c>
      <c r="N4489">
        <v>0</v>
      </c>
      <c r="O4489">
        <v>0</v>
      </c>
      <c r="P4489">
        <v>0</v>
      </c>
      <c r="Q4489">
        <v>50</v>
      </c>
      <c r="R4489" s="3">
        <v>0</v>
      </c>
      <c r="S4489" s="3">
        <v>0</v>
      </c>
      <c r="T4489">
        <v>0</v>
      </c>
      <c r="U4489">
        <v>0</v>
      </c>
      <c r="V4489" s="3">
        <v>0</v>
      </c>
      <c r="W4489" s="3">
        <v>0</v>
      </c>
      <c r="X4489">
        <v>11</v>
      </c>
      <c r="Y4489" t="s">
        <v>3429</v>
      </c>
    </row>
    <row r="4490" spans="1:25" hidden="1" x14ac:dyDescent="0.25">
      <c r="A4490" t="s">
        <v>33</v>
      </c>
      <c r="B4490" t="s">
        <v>106</v>
      </c>
      <c r="C4490" t="s">
        <v>57</v>
      </c>
      <c r="D4490" t="s">
        <v>27</v>
      </c>
      <c r="E4490" s="2">
        <v>46098</v>
      </c>
      <c r="F4490" s="2">
        <v>46098</v>
      </c>
      <c r="G4490" s="3">
        <v>32</v>
      </c>
      <c r="H4490" t="s">
        <v>28</v>
      </c>
      <c r="I4490">
        <v>0</v>
      </c>
      <c r="J4490">
        <v>115</v>
      </c>
      <c r="K4490">
        <v>0</v>
      </c>
      <c r="L4490" s="3">
        <v>0</v>
      </c>
      <c r="M4490" s="3">
        <v>0</v>
      </c>
      <c r="N4490">
        <v>0</v>
      </c>
      <c r="O4490">
        <v>0</v>
      </c>
      <c r="P4490">
        <v>0</v>
      </c>
      <c r="Q4490">
        <v>0</v>
      </c>
      <c r="R4490" s="3">
        <v>0</v>
      </c>
      <c r="S4490" s="3">
        <v>0</v>
      </c>
      <c r="T4490">
        <v>0</v>
      </c>
      <c r="U4490">
        <v>0</v>
      </c>
      <c r="V4490" s="3">
        <v>0</v>
      </c>
      <c r="W4490" s="3">
        <v>0</v>
      </c>
      <c r="X4490">
        <v>0</v>
      </c>
      <c r="Y4490" t="s">
        <v>3430</v>
      </c>
    </row>
    <row r="4491" spans="1:25" hidden="1" x14ac:dyDescent="0.25">
      <c r="A4491" t="s">
        <v>2899</v>
      </c>
      <c r="B4491" t="s">
        <v>2998</v>
      </c>
      <c r="C4491" t="s">
        <v>2271</v>
      </c>
      <c r="D4491" t="s">
        <v>27</v>
      </c>
      <c r="E4491" s="2">
        <v>46098</v>
      </c>
      <c r="F4491" s="2">
        <v>46098</v>
      </c>
      <c r="G4491" s="3">
        <v>36</v>
      </c>
      <c r="H4491" t="s">
        <v>28</v>
      </c>
      <c r="I4491">
        <v>54</v>
      </c>
      <c r="J4491">
        <v>0</v>
      </c>
      <c r="K4491">
        <v>0</v>
      </c>
      <c r="L4491" s="3">
        <v>1</v>
      </c>
      <c r="M4491" s="3">
        <v>0</v>
      </c>
      <c r="N4491">
        <v>1</v>
      </c>
      <c r="O4491">
        <v>0</v>
      </c>
      <c r="P4491">
        <v>0</v>
      </c>
      <c r="Q4491">
        <v>4</v>
      </c>
      <c r="R4491" s="3">
        <v>0</v>
      </c>
      <c r="S4491" s="3">
        <v>0</v>
      </c>
      <c r="T4491">
        <v>0</v>
      </c>
      <c r="U4491">
        <v>0</v>
      </c>
      <c r="V4491" s="3">
        <v>0</v>
      </c>
      <c r="W4491" s="3">
        <v>0</v>
      </c>
      <c r="X4491">
        <v>0</v>
      </c>
      <c r="Y4491" t="s">
        <v>3431</v>
      </c>
    </row>
    <row r="4492" spans="1:25" hidden="1" x14ac:dyDescent="0.25">
      <c r="A4492" t="s">
        <v>40</v>
      </c>
      <c r="B4492" t="s">
        <v>249</v>
      </c>
      <c r="C4492" t="s">
        <v>2534</v>
      </c>
      <c r="D4492" t="s">
        <v>27</v>
      </c>
      <c r="E4492" s="2">
        <v>46098</v>
      </c>
      <c r="F4492" s="2">
        <v>46098</v>
      </c>
      <c r="G4492" s="3">
        <v>99</v>
      </c>
      <c r="H4492" t="s">
        <v>28</v>
      </c>
      <c r="I4492">
        <v>53</v>
      </c>
      <c r="J4492">
        <v>0</v>
      </c>
      <c r="K4492">
        <v>0</v>
      </c>
      <c r="L4492" s="3">
        <v>1</v>
      </c>
      <c r="M4492" s="3">
        <v>0</v>
      </c>
      <c r="N4492">
        <v>1</v>
      </c>
      <c r="O4492">
        <v>0</v>
      </c>
      <c r="P4492">
        <v>0</v>
      </c>
      <c r="Q4492">
        <v>0</v>
      </c>
      <c r="R4492" s="3">
        <v>0</v>
      </c>
      <c r="S4492" s="3">
        <v>0</v>
      </c>
      <c r="T4492">
        <v>0</v>
      </c>
      <c r="U4492">
        <v>0</v>
      </c>
      <c r="V4492" s="3">
        <v>0</v>
      </c>
      <c r="W4492" s="3">
        <v>0</v>
      </c>
      <c r="X4492">
        <v>0</v>
      </c>
      <c r="Y4492" t="s">
        <v>3432</v>
      </c>
    </row>
    <row r="4493" spans="1:25" hidden="1" x14ac:dyDescent="0.25">
      <c r="A4493" t="s">
        <v>38</v>
      </c>
      <c r="B4493" t="s">
        <v>108</v>
      </c>
      <c r="C4493" t="s">
        <v>27</v>
      </c>
      <c r="D4493" t="s">
        <v>27</v>
      </c>
      <c r="E4493" s="2">
        <v>46098</v>
      </c>
      <c r="F4493" s="2">
        <v>46098</v>
      </c>
      <c r="G4493" s="3">
        <v>42</v>
      </c>
      <c r="H4493" t="s">
        <v>28</v>
      </c>
      <c r="I4493">
        <v>31</v>
      </c>
      <c r="J4493">
        <v>0</v>
      </c>
      <c r="K4493">
        <v>0</v>
      </c>
      <c r="L4493" s="3">
        <v>1</v>
      </c>
      <c r="M4493" s="3">
        <v>0</v>
      </c>
      <c r="N4493">
        <v>0</v>
      </c>
      <c r="O4493">
        <v>0</v>
      </c>
      <c r="P4493">
        <v>0</v>
      </c>
      <c r="Q4493">
        <v>31</v>
      </c>
      <c r="R4493" s="3">
        <v>0</v>
      </c>
      <c r="S4493" s="3">
        <v>0</v>
      </c>
      <c r="T4493">
        <v>0</v>
      </c>
      <c r="U4493">
        <v>0</v>
      </c>
      <c r="V4493" s="3">
        <v>0</v>
      </c>
      <c r="W4493" s="3">
        <v>0</v>
      </c>
      <c r="X4493">
        <v>0</v>
      </c>
      <c r="Y4493" t="s">
        <v>3433</v>
      </c>
    </row>
    <row r="4494" spans="1:25" hidden="1" x14ac:dyDescent="0.25">
      <c r="A4494" t="s">
        <v>2679</v>
      </c>
      <c r="B4494" t="s">
        <v>2680</v>
      </c>
      <c r="C4494" t="s">
        <v>39</v>
      </c>
      <c r="D4494" t="s">
        <v>27</v>
      </c>
      <c r="E4494" s="2">
        <v>46098</v>
      </c>
      <c r="F4494" s="2">
        <v>46098</v>
      </c>
      <c r="G4494" s="3">
        <v>34</v>
      </c>
      <c r="H4494" t="s">
        <v>28</v>
      </c>
      <c r="I4494">
        <v>29</v>
      </c>
      <c r="J4494">
        <v>0</v>
      </c>
      <c r="K4494">
        <v>0</v>
      </c>
      <c r="L4494" s="3">
        <v>0</v>
      </c>
      <c r="M4494" s="3">
        <v>0</v>
      </c>
      <c r="N4494">
        <v>0</v>
      </c>
      <c r="O4494">
        <v>0</v>
      </c>
      <c r="P4494">
        <v>0</v>
      </c>
      <c r="Q4494">
        <v>29</v>
      </c>
      <c r="R4494" s="3">
        <v>0</v>
      </c>
      <c r="S4494" s="3">
        <v>0</v>
      </c>
      <c r="T4494">
        <v>0</v>
      </c>
      <c r="U4494">
        <v>0</v>
      </c>
      <c r="V4494" s="3">
        <v>0</v>
      </c>
      <c r="W4494" s="3">
        <v>0</v>
      </c>
      <c r="X4494">
        <v>0</v>
      </c>
      <c r="Y4494" t="s">
        <v>3434</v>
      </c>
    </row>
    <row r="4495" spans="1:25" s="1" customFormat="1" hidden="1" x14ac:dyDescent="0.25">
      <c r="A4495" s="1" t="s">
        <v>41</v>
      </c>
      <c r="B4495" s="1" t="s">
        <v>112</v>
      </c>
      <c r="C4495" s="1" t="s">
        <v>42</v>
      </c>
      <c r="D4495" s="1" t="s">
        <v>27</v>
      </c>
      <c r="E4495" s="10">
        <v>46098</v>
      </c>
      <c r="F4495" s="10">
        <v>46098</v>
      </c>
      <c r="G4495" s="41">
        <v>75</v>
      </c>
      <c r="H4495" s="1" t="s">
        <v>28</v>
      </c>
      <c r="I4495" s="1">
        <v>121</v>
      </c>
      <c r="J4495" s="1">
        <v>121</v>
      </c>
      <c r="K4495" s="1">
        <v>0</v>
      </c>
      <c r="L4495" s="41">
        <v>1</v>
      </c>
      <c r="M4495" s="41">
        <v>1</v>
      </c>
      <c r="N4495" s="1">
        <v>0</v>
      </c>
      <c r="O4495" s="1">
        <v>0</v>
      </c>
      <c r="P4495" s="1">
        <v>0</v>
      </c>
      <c r="Q4495" s="1">
        <v>92</v>
      </c>
      <c r="R4495" s="41">
        <v>0</v>
      </c>
      <c r="S4495" s="41">
        <v>0</v>
      </c>
      <c r="T4495" s="1">
        <v>0</v>
      </c>
      <c r="U4495" s="1">
        <v>0</v>
      </c>
      <c r="V4495" s="41">
        <v>0</v>
      </c>
      <c r="W4495" s="41">
        <v>0</v>
      </c>
      <c r="X4495" s="1">
        <v>25</v>
      </c>
      <c r="Y4495" s="1" t="s">
        <v>3435</v>
      </c>
    </row>
    <row r="4496" spans="1:25" hidden="1" x14ac:dyDescent="0.25">
      <c r="A4496" t="s">
        <v>43</v>
      </c>
      <c r="B4496" t="s">
        <v>114</v>
      </c>
      <c r="C4496" t="s">
        <v>44</v>
      </c>
      <c r="D4496" t="s">
        <v>27</v>
      </c>
      <c r="E4496" s="2">
        <v>46098</v>
      </c>
      <c r="F4496" s="2">
        <v>46098</v>
      </c>
      <c r="G4496" s="3">
        <v>51</v>
      </c>
      <c r="H4496" t="s">
        <v>28</v>
      </c>
      <c r="I4496">
        <v>81</v>
      </c>
      <c r="J4496">
        <v>0</v>
      </c>
      <c r="K4496">
        <v>0</v>
      </c>
      <c r="L4496" s="3">
        <v>1</v>
      </c>
      <c r="M4496" s="3">
        <v>0</v>
      </c>
      <c r="N4496">
        <v>0</v>
      </c>
      <c r="O4496">
        <v>0</v>
      </c>
      <c r="P4496">
        <v>0</v>
      </c>
      <c r="Q4496">
        <v>21</v>
      </c>
      <c r="R4496" s="3">
        <v>0</v>
      </c>
      <c r="S4496" s="3">
        <v>0</v>
      </c>
      <c r="T4496">
        <v>0</v>
      </c>
      <c r="U4496">
        <v>0</v>
      </c>
      <c r="V4496" s="3">
        <v>0</v>
      </c>
      <c r="W4496" s="3">
        <v>0</v>
      </c>
      <c r="X4496">
        <v>0</v>
      </c>
      <c r="Y4496" t="s">
        <v>3436</v>
      </c>
    </row>
    <row r="4497" spans="1:25" hidden="1" x14ac:dyDescent="0.25">
      <c r="A4497" t="s">
        <v>45</v>
      </c>
      <c r="B4497" t="s">
        <v>116</v>
      </c>
      <c r="C4497" t="s">
        <v>46</v>
      </c>
      <c r="D4497" t="s">
        <v>27</v>
      </c>
      <c r="E4497" s="2">
        <v>46098</v>
      </c>
      <c r="F4497" s="2">
        <v>46098</v>
      </c>
      <c r="G4497" s="3">
        <v>49</v>
      </c>
      <c r="H4497" t="s">
        <v>28</v>
      </c>
      <c r="I4497">
        <v>32</v>
      </c>
      <c r="J4497">
        <v>0</v>
      </c>
      <c r="K4497">
        <v>0</v>
      </c>
      <c r="L4497" s="3">
        <v>0</v>
      </c>
      <c r="M4497" s="3">
        <v>0</v>
      </c>
      <c r="N4497">
        <v>0</v>
      </c>
      <c r="O4497">
        <v>0</v>
      </c>
      <c r="P4497">
        <v>0</v>
      </c>
      <c r="Q4497">
        <v>6</v>
      </c>
      <c r="R4497" s="3">
        <v>0</v>
      </c>
      <c r="S4497" s="3">
        <v>0</v>
      </c>
      <c r="T4497">
        <v>0</v>
      </c>
      <c r="U4497">
        <v>0</v>
      </c>
      <c r="V4497" s="3">
        <v>0</v>
      </c>
      <c r="W4497" s="3">
        <v>0</v>
      </c>
      <c r="X4497">
        <v>0</v>
      </c>
      <c r="Y4497" t="s">
        <v>3437</v>
      </c>
    </row>
    <row r="4498" spans="1:25" hidden="1" x14ac:dyDescent="0.25">
      <c r="A4498" t="s">
        <v>47</v>
      </c>
      <c r="B4498" t="s">
        <v>137</v>
      </c>
      <c r="C4498" t="s">
        <v>2310</v>
      </c>
      <c r="D4498" t="s">
        <v>27</v>
      </c>
      <c r="E4498" s="2">
        <v>46098</v>
      </c>
      <c r="F4498" s="2">
        <v>46098</v>
      </c>
      <c r="G4498" s="3">
        <v>65</v>
      </c>
      <c r="H4498" t="s">
        <v>28</v>
      </c>
      <c r="I4498">
        <v>52</v>
      </c>
      <c r="J4498">
        <v>0</v>
      </c>
      <c r="K4498">
        <v>0</v>
      </c>
      <c r="L4498" s="3">
        <v>1</v>
      </c>
      <c r="M4498" s="3">
        <v>0</v>
      </c>
      <c r="N4498">
        <v>0</v>
      </c>
      <c r="O4498">
        <v>0</v>
      </c>
      <c r="P4498">
        <v>0</v>
      </c>
      <c r="Q4498">
        <v>6</v>
      </c>
      <c r="R4498" s="3">
        <v>0</v>
      </c>
      <c r="S4498" s="3">
        <v>0</v>
      </c>
      <c r="T4498">
        <v>0</v>
      </c>
      <c r="U4498">
        <v>0</v>
      </c>
      <c r="V4498" s="3">
        <v>0</v>
      </c>
      <c r="W4498" s="3">
        <v>0</v>
      </c>
      <c r="X4498">
        <v>0</v>
      </c>
      <c r="Y4498" t="s">
        <v>3438</v>
      </c>
    </row>
    <row r="4499" spans="1:25" hidden="1" x14ac:dyDescent="0.25">
      <c r="A4499" t="s">
        <v>49</v>
      </c>
      <c r="B4499" t="s">
        <v>118</v>
      </c>
      <c r="C4499" t="s">
        <v>50</v>
      </c>
      <c r="D4499" t="s">
        <v>27</v>
      </c>
      <c r="E4499" s="2">
        <v>46098</v>
      </c>
      <c r="F4499" s="2">
        <v>46098</v>
      </c>
      <c r="G4499" s="3">
        <v>41</v>
      </c>
      <c r="H4499" t="s">
        <v>28</v>
      </c>
      <c r="I4499">
        <v>70</v>
      </c>
      <c r="J4499">
        <v>0</v>
      </c>
      <c r="K4499">
        <v>0</v>
      </c>
      <c r="L4499" s="3">
        <v>1</v>
      </c>
      <c r="M4499" s="3">
        <v>1</v>
      </c>
      <c r="N4499">
        <v>0</v>
      </c>
      <c r="O4499">
        <v>1</v>
      </c>
      <c r="P4499">
        <v>0</v>
      </c>
      <c r="Q4499">
        <v>70</v>
      </c>
      <c r="R4499" s="3">
        <v>0</v>
      </c>
      <c r="S4499" s="3">
        <v>0</v>
      </c>
      <c r="T4499">
        <v>0</v>
      </c>
      <c r="U4499">
        <v>0</v>
      </c>
      <c r="V4499" s="3">
        <v>0</v>
      </c>
      <c r="W4499" s="3">
        <v>0</v>
      </c>
      <c r="X4499">
        <v>0</v>
      </c>
      <c r="Y4499" t="s">
        <v>3439</v>
      </c>
    </row>
    <row r="4500" spans="1:25" hidden="1" x14ac:dyDescent="0.25">
      <c r="A4500" t="s">
        <v>51</v>
      </c>
      <c r="B4500" t="s">
        <v>120</v>
      </c>
      <c r="C4500" t="s">
        <v>2514</v>
      </c>
      <c r="D4500" t="s">
        <v>27</v>
      </c>
      <c r="E4500" s="2">
        <v>46098</v>
      </c>
      <c r="F4500" s="2">
        <v>46098</v>
      </c>
      <c r="G4500" s="3">
        <v>51</v>
      </c>
      <c r="H4500" t="s">
        <v>28</v>
      </c>
      <c r="I4500">
        <v>0</v>
      </c>
      <c r="J4500">
        <v>65</v>
      </c>
      <c r="K4500">
        <v>0</v>
      </c>
      <c r="L4500" s="3">
        <v>0</v>
      </c>
      <c r="M4500" s="3">
        <v>0</v>
      </c>
      <c r="N4500">
        <v>0</v>
      </c>
      <c r="O4500">
        <v>0</v>
      </c>
      <c r="P4500">
        <v>0</v>
      </c>
      <c r="Q4500">
        <v>0</v>
      </c>
      <c r="R4500" s="3">
        <v>0</v>
      </c>
      <c r="S4500" s="3">
        <v>0</v>
      </c>
      <c r="T4500">
        <v>0</v>
      </c>
      <c r="U4500">
        <v>0</v>
      </c>
      <c r="V4500" s="3">
        <v>0</v>
      </c>
      <c r="W4500" s="3">
        <v>0</v>
      </c>
      <c r="X4500">
        <v>8</v>
      </c>
      <c r="Y4500" t="s">
        <v>3440</v>
      </c>
    </row>
    <row r="4501" spans="1:25" hidden="1" x14ac:dyDescent="0.25">
      <c r="A4501" t="s">
        <v>54</v>
      </c>
      <c r="B4501" t="s">
        <v>122</v>
      </c>
      <c r="C4501" t="s">
        <v>52</v>
      </c>
      <c r="D4501" t="s">
        <v>27</v>
      </c>
      <c r="E4501" s="2">
        <v>46094</v>
      </c>
      <c r="F4501" s="2">
        <v>46094</v>
      </c>
      <c r="G4501" s="3">
        <v>42</v>
      </c>
      <c r="H4501" t="s">
        <v>28</v>
      </c>
      <c r="I4501">
        <v>58</v>
      </c>
      <c r="J4501">
        <v>0</v>
      </c>
      <c r="K4501">
        <v>0</v>
      </c>
      <c r="L4501" s="3">
        <v>0</v>
      </c>
      <c r="M4501" s="3">
        <v>0</v>
      </c>
      <c r="N4501">
        <v>0</v>
      </c>
      <c r="O4501">
        <v>0</v>
      </c>
      <c r="P4501">
        <v>0</v>
      </c>
      <c r="Q4501">
        <v>7</v>
      </c>
      <c r="R4501" s="3">
        <v>0</v>
      </c>
      <c r="S4501" s="3">
        <v>0</v>
      </c>
      <c r="T4501">
        <v>0</v>
      </c>
      <c r="U4501">
        <v>0</v>
      </c>
      <c r="V4501" s="3">
        <v>0</v>
      </c>
      <c r="W4501" s="3">
        <v>0</v>
      </c>
      <c r="X4501">
        <v>0</v>
      </c>
      <c r="Y4501" t="s">
        <v>3389</v>
      </c>
    </row>
    <row r="4502" spans="1:25" hidden="1" x14ac:dyDescent="0.25">
      <c r="A4502" t="s">
        <v>54</v>
      </c>
      <c r="B4502" t="s">
        <v>122</v>
      </c>
      <c r="C4502" t="s">
        <v>52</v>
      </c>
      <c r="D4502" t="s">
        <v>27</v>
      </c>
      <c r="E4502" s="2">
        <v>46097</v>
      </c>
      <c r="F4502" s="2">
        <v>46097</v>
      </c>
      <c r="G4502" s="3">
        <v>42</v>
      </c>
      <c r="H4502" t="s">
        <v>28</v>
      </c>
      <c r="I4502">
        <v>65</v>
      </c>
      <c r="J4502">
        <v>0</v>
      </c>
      <c r="K4502">
        <v>0</v>
      </c>
      <c r="L4502" s="3">
        <v>0</v>
      </c>
      <c r="M4502" s="3">
        <v>0</v>
      </c>
      <c r="N4502">
        <v>0</v>
      </c>
      <c r="O4502">
        <v>0</v>
      </c>
      <c r="P4502">
        <v>0</v>
      </c>
      <c r="Q4502">
        <v>7</v>
      </c>
      <c r="R4502" s="3">
        <v>0</v>
      </c>
      <c r="S4502" s="3">
        <v>0</v>
      </c>
      <c r="T4502">
        <v>0</v>
      </c>
      <c r="U4502">
        <v>0</v>
      </c>
      <c r="V4502" s="3">
        <v>0</v>
      </c>
      <c r="W4502" s="3">
        <v>0</v>
      </c>
      <c r="X4502">
        <v>0</v>
      </c>
      <c r="Y4502" t="s">
        <v>3389</v>
      </c>
    </row>
    <row r="4503" spans="1:25" hidden="1" x14ac:dyDescent="0.25">
      <c r="A4503" t="s">
        <v>54</v>
      </c>
      <c r="B4503" t="s">
        <v>122</v>
      </c>
      <c r="C4503" t="s">
        <v>52</v>
      </c>
      <c r="D4503" t="s">
        <v>27</v>
      </c>
      <c r="E4503" s="2">
        <v>46098</v>
      </c>
      <c r="F4503" s="2">
        <v>46098</v>
      </c>
      <c r="G4503" s="3">
        <v>38</v>
      </c>
      <c r="H4503" t="s">
        <v>28</v>
      </c>
      <c r="I4503">
        <v>52</v>
      </c>
      <c r="J4503">
        <v>0</v>
      </c>
      <c r="K4503">
        <v>0</v>
      </c>
      <c r="L4503" s="3">
        <v>0</v>
      </c>
      <c r="M4503" s="3">
        <v>0</v>
      </c>
      <c r="N4503">
        <v>0</v>
      </c>
      <c r="O4503">
        <v>0</v>
      </c>
      <c r="P4503">
        <v>0</v>
      </c>
      <c r="Q4503">
        <v>0</v>
      </c>
      <c r="R4503" s="3">
        <v>0</v>
      </c>
      <c r="S4503" s="3">
        <v>0</v>
      </c>
      <c r="T4503">
        <v>0</v>
      </c>
      <c r="U4503">
        <v>0</v>
      </c>
      <c r="V4503" s="3">
        <v>0</v>
      </c>
      <c r="W4503" s="3">
        <v>0</v>
      </c>
      <c r="X4503">
        <v>0</v>
      </c>
      <c r="Y4503" t="s">
        <v>3441</v>
      </c>
    </row>
    <row r="4504" spans="1:25" hidden="1" x14ac:dyDescent="0.25">
      <c r="A4504" t="s">
        <v>48</v>
      </c>
      <c r="B4504" t="s">
        <v>149</v>
      </c>
      <c r="C4504" t="s">
        <v>37</v>
      </c>
      <c r="D4504" t="s">
        <v>27</v>
      </c>
      <c r="E4504" s="2">
        <v>46098</v>
      </c>
      <c r="F4504" s="2">
        <v>46098</v>
      </c>
      <c r="G4504" s="3">
        <v>24</v>
      </c>
      <c r="H4504" t="s">
        <v>28</v>
      </c>
      <c r="I4504">
        <v>25</v>
      </c>
      <c r="J4504">
        <v>0</v>
      </c>
      <c r="K4504">
        <v>0</v>
      </c>
      <c r="L4504" s="3">
        <v>0</v>
      </c>
      <c r="M4504" s="3">
        <v>0</v>
      </c>
      <c r="N4504">
        <v>0</v>
      </c>
      <c r="O4504">
        <v>0</v>
      </c>
      <c r="P4504">
        <v>0</v>
      </c>
      <c r="Q4504">
        <v>0</v>
      </c>
      <c r="R4504" s="3">
        <v>0</v>
      </c>
      <c r="S4504" s="3">
        <v>0</v>
      </c>
      <c r="T4504">
        <v>0</v>
      </c>
      <c r="U4504">
        <v>0</v>
      </c>
      <c r="V4504" s="3">
        <v>0</v>
      </c>
      <c r="W4504" s="3">
        <v>0</v>
      </c>
      <c r="X4504">
        <v>0</v>
      </c>
      <c r="Y4504" t="s">
        <v>3442</v>
      </c>
    </row>
    <row r="4505" spans="1:25" hidden="1" x14ac:dyDescent="0.25">
      <c r="A4505" t="s">
        <v>55</v>
      </c>
      <c r="B4505" t="s">
        <v>739</v>
      </c>
      <c r="C4505" t="s">
        <v>95</v>
      </c>
      <c r="D4505" t="s">
        <v>27</v>
      </c>
      <c r="E4505" s="2">
        <v>46098</v>
      </c>
      <c r="F4505" s="2">
        <v>46098</v>
      </c>
      <c r="G4505" s="3">
        <v>25</v>
      </c>
      <c r="H4505" t="s">
        <v>28</v>
      </c>
      <c r="I4505">
        <v>0</v>
      </c>
      <c r="J4505">
        <v>109</v>
      </c>
      <c r="K4505">
        <v>0</v>
      </c>
      <c r="L4505" s="3">
        <v>0</v>
      </c>
      <c r="M4505" s="3">
        <v>0</v>
      </c>
      <c r="N4505">
        <v>0</v>
      </c>
      <c r="O4505">
        <v>0</v>
      </c>
      <c r="P4505">
        <v>0</v>
      </c>
      <c r="Q4505">
        <v>0</v>
      </c>
      <c r="R4505" s="3">
        <v>0</v>
      </c>
      <c r="S4505" s="3">
        <v>0</v>
      </c>
      <c r="T4505">
        <v>0</v>
      </c>
      <c r="U4505">
        <v>0</v>
      </c>
      <c r="V4505" s="3">
        <v>0</v>
      </c>
      <c r="W4505" s="3">
        <v>0</v>
      </c>
      <c r="X4505" s="3">
        <v>0</v>
      </c>
      <c r="Y4505" t="s">
        <v>3442</v>
      </c>
    </row>
    <row r="4506" spans="1:25" hidden="1" x14ac:dyDescent="0.25">
      <c r="A4506" t="s">
        <v>27</v>
      </c>
      <c r="B4506" t="s">
        <v>755</v>
      </c>
      <c r="C4506" t="s">
        <v>40</v>
      </c>
      <c r="D4506" t="s">
        <v>27</v>
      </c>
      <c r="E4506" s="2">
        <v>46098</v>
      </c>
      <c r="F4506" s="2">
        <v>46098</v>
      </c>
      <c r="G4506" s="3">
        <v>26</v>
      </c>
      <c r="H4506" t="s">
        <v>1975</v>
      </c>
      <c r="I4506">
        <v>0</v>
      </c>
      <c r="J4506">
        <v>0</v>
      </c>
      <c r="K4506">
        <v>0</v>
      </c>
      <c r="L4506" s="3">
        <v>0</v>
      </c>
      <c r="M4506" s="3">
        <v>0</v>
      </c>
      <c r="N4506">
        <v>0</v>
      </c>
      <c r="O4506">
        <v>0</v>
      </c>
      <c r="P4506">
        <v>0</v>
      </c>
      <c r="Q4506">
        <v>0</v>
      </c>
      <c r="R4506" s="3">
        <v>0</v>
      </c>
      <c r="S4506" s="3">
        <v>0</v>
      </c>
      <c r="T4506">
        <v>0</v>
      </c>
      <c r="U4506">
        <v>0</v>
      </c>
      <c r="V4506" s="3">
        <v>0</v>
      </c>
      <c r="W4506" s="3">
        <v>0</v>
      </c>
      <c r="X4506" s="3">
        <v>0</v>
      </c>
      <c r="Y4506" t="s">
        <v>3442</v>
      </c>
    </row>
    <row r="4507" spans="1:25" hidden="1" x14ac:dyDescent="0.25">
      <c r="A4507" t="s">
        <v>25</v>
      </c>
      <c r="B4507" t="s">
        <v>96</v>
      </c>
      <c r="C4507" t="s">
        <v>26</v>
      </c>
      <c r="D4507" t="s">
        <v>27</v>
      </c>
      <c r="E4507" s="2">
        <v>46099</v>
      </c>
      <c r="F4507" s="2">
        <v>46099</v>
      </c>
      <c r="G4507" s="3">
        <v>104</v>
      </c>
      <c r="H4507" t="s">
        <v>28</v>
      </c>
      <c r="I4507">
        <v>53</v>
      </c>
      <c r="J4507">
        <v>0</v>
      </c>
      <c r="K4507">
        <v>0</v>
      </c>
      <c r="L4507" s="3">
        <v>0</v>
      </c>
      <c r="M4507" s="3">
        <v>1</v>
      </c>
      <c r="N4507">
        <v>1</v>
      </c>
      <c r="O4507">
        <v>0</v>
      </c>
      <c r="P4507">
        <v>0</v>
      </c>
      <c r="Q4507">
        <v>0</v>
      </c>
      <c r="R4507" s="3">
        <v>0</v>
      </c>
      <c r="S4507" s="3">
        <v>0</v>
      </c>
      <c r="T4507">
        <v>0</v>
      </c>
      <c r="U4507">
        <v>0</v>
      </c>
      <c r="V4507" s="3">
        <v>0</v>
      </c>
      <c r="W4507" s="3">
        <v>0</v>
      </c>
      <c r="X4507">
        <v>0</v>
      </c>
      <c r="Y4507" t="s">
        <v>3443</v>
      </c>
    </row>
    <row r="4508" spans="1:25" hidden="1" x14ac:dyDescent="0.25">
      <c r="A4508" t="s">
        <v>29</v>
      </c>
      <c r="B4508" t="s">
        <v>100</v>
      </c>
      <c r="C4508" t="s">
        <v>95</v>
      </c>
      <c r="D4508" t="s">
        <v>1316</v>
      </c>
      <c r="E4508" s="2">
        <v>46099</v>
      </c>
      <c r="F4508" s="2">
        <v>46099</v>
      </c>
      <c r="G4508" s="3">
        <v>45</v>
      </c>
      <c r="H4508" t="s">
        <v>28</v>
      </c>
      <c r="I4508">
        <v>31</v>
      </c>
      <c r="J4508">
        <v>0</v>
      </c>
      <c r="K4508">
        <v>0</v>
      </c>
      <c r="L4508" s="3">
        <v>1</v>
      </c>
      <c r="M4508" s="3">
        <v>0</v>
      </c>
      <c r="N4508">
        <v>0</v>
      </c>
      <c r="O4508">
        <v>0</v>
      </c>
      <c r="P4508">
        <v>8</v>
      </c>
      <c r="Q4508">
        <v>5</v>
      </c>
      <c r="R4508" s="3">
        <v>0</v>
      </c>
      <c r="S4508" s="3">
        <v>0</v>
      </c>
      <c r="T4508">
        <v>0</v>
      </c>
      <c r="U4508">
        <v>0</v>
      </c>
      <c r="V4508" s="3">
        <v>0</v>
      </c>
      <c r="W4508" s="3">
        <v>0</v>
      </c>
      <c r="X4508">
        <v>0</v>
      </c>
      <c r="Y4508" t="s">
        <v>3444</v>
      </c>
    </row>
    <row r="4509" spans="1:25" hidden="1" x14ac:dyDescent="0.25">
      <c r="A4509" t="s">
        <v>344</v>
      </c>
      <c r="B4509" t="s">
        <v>102</v>
      </c>
      <c r="C4509" t="s">
        <v>35</v>
      </c>
      <c r="D4509" t="s">
        <v>27</v>
      </c>
      <c r="E4509" s="2">
        <v>46099</v>
      </c>
      <c r="F4509" s="2">
        <v>46099</v>
      </c>
      <c r="G4509" s="3">
        <v>42</v>
      </c>
      <c r="H4509" t="s">
        <v>28</v>
      </c>
      <c r="I4509">
        <v>55</v>
      </c>
      <c r="J4509">
        <v>0</v>
      </c>
      <c r="K4509">
        <v>0</v>
      </c>
      <c r="L4509" s="3">
        <v>0</v>
      </c>
      <c r="M4509" s="3">
        <v>0</v>
      </c>
      <c r="N4509">
        <v>0</v>
      </c>
      <c r="O4509">
        <v>0</v>
      </c>
      <c r="P4509">
        <v>0</v>
      </c>
      <c r="Q4509">
        <v>0</v>
      </c>
      <c r="R4509" s="3">
        <v>0</v>
      </c>
      <c r="S4509" s="3">
        <v>0</v>
      </c>
      <c r="T4509">
        <v>0</v>
      </c>
      <c r="U4509">
        <v>0</v>
      </c>
      <c r="V4509" s="3">
        <v>0</v>
      </c>
      <c r="W4509" s="3">
        <v>0</v>
      </c>
      <c r="X4509">
        <v>0</v>
      </c>
      <c r="Y4509" t="s">
        <v>3428</v>
      </c>
    </row>
    <row r="4510" spans="1:25" ht="15.75" hidden="1" customHeight="1" x14ac:dyDescent="0.25">
      <c r="A4510" t="s">
        <v>31</v>
      </c>
      <c r="B4510" t="s">
        <v>104</v>
      </c>
      <c r="C4510" t="s">
        <v>2835</v>
      </c>
      <c r="D4510" t="s">
        <v>27</v>
      </c>
      <c r="E4510" s="2">
        <v>46099</v>
      </c>
      <c r="F4510" s="2">
        <v>46099</v>
      </c>
      <c r="G4510" s="3">
        <v>65</v>
      </c>
      <c r="H4510" t="s">
        <v>28</v>
      </c>
      <c r="I4510">
        <v>87</v>
      </c>
      <c r="J4510">
        <v>0</v>
      </c>
      <c r="K4510">
        <v>0</v>
      </c>
      <c r="L4510" s="3">
        <v>0</v>
      </c>
      <c r="M4510" s="3">
        <v>0</v>
      </c>
      <c r="N4510">
        <v>0</v>
      </c>
      <c r="O4510">
        <v>0</v>
      </c>
      <c r="P4510">
        <v>0</v>
      </c>
      <c r="Q4510">
        <v>50</v>
      </c>
      <c r="R4510" s="3">
        <v>0</v>
      </c>
      <c r="S4510" s="3">
        <v>0</v>
      </c>
      <c r="T4510">
        <v>0</v>
      </c>
      <c r="U4510">
        <v>0</v>
      </c>
      <c r="V4510" s="3">
        <v>0</v>
      </c>
      <c r="W4510" s="3">
        <v>0</v>
      </c>
      <c r="X4510">
        <v>13</v>
      </c>
      <c r="Y4510" t="s">
        <v>3445</v>
      </c>
    </row>
    <row r="4511" spans="1:25" ht="15.75" hidden="1" customHeight="1" x14ac:dyDescent="0.25">
      <c r="A4511" t="s">
        <v>31</v>
      </c>
      <c r="B4511" t="s">
        <v>104</v>
      </c>
      <c r="C4511" t="s">
        <v>2835</v>
      </c>
      <c r="D4511" t="s">
        <v>27</v>
      </c>
      <c r="E4511" s="2">
        <v>46100</v>
      </c>
      <c r="F4511" s="2">
        <v>46100</v>
      </c>
      <c r="G4511" s="3">
        <v>65</v>
      </c>
      <c r="H4511" t="s">
        <v>28</v>
      </c>
      <c r="I4511">
        <v>72</v>
      </c>
      <c r="J4511">
        <v>0</v>
      </c>
      <c r="K4511">
        <v>0</v>
      </c>
      <c r="L4511" s="3">
        <v>0</v>
      </c>
      <c r="M4511" s="3">
        <v>0</v>
      </c>
      <c r="N4511">
        <v>0</v>
      </c>
      <c r="O4511">
        <v>0</v>
      </c>
      <c r="P4511">
        <v>0</v>
      </c>
      <c r="Q4511">
        <v>50</v>
      </c>
      <c r="R4511" s="3">
        <v>0</v>
      </c>
      <c r="S4511" s="3">
        <v>0</v>
      </c>
      <c r="T4511">
        <v>0</v>
      </c>
      <c r="U4511">
        <v>0</v>
      </c>
      <c r="V4511" s="3">
        <v>0</v>
      </c>
      <c r="W4511" s="3">
        <v>0</v>
      </c>
      <c r="X4511">
        <v>4</v>
      </c>
      <c r="Y4511" t="s">
        <v>3445</v>
      </c>
    </row>
    <row r="4512" spans="1:25" hidden="1" x14ac:dyDescent="0.25">
      <c r="A4512" t="s">
        <v>33</v>
      </c>
      <c r="B4512" t="s">
        <v>106</v>
      </c>
      <c r="C4512" t="s">
        <v>57</v>
      </c>
      <c r="D4512" t="s">
        <v>27</v>
      </c>
      <c r="E4512" s="2">
        <v>46099</v>
      </c>
      <c r="F4512" s="2">
        <v>46099</v>
      </c>
      <c r="G4512" s="3">
        <v>28</v>
      </c>
      <c r="H4512" t="s">
        <v>28</v>
      </c>
      <c r="I4512">
        <v>49</v>
      </c>
      <c r="J4512">
        <v>0</v>
      </c>
      <c r="K4512">
        <v>0</v>
      </c>
      <c r="L4512" s="3">
        <v>0</v>
      </c>
      <c r="M4512" s="3">
        <v>0</v>
      </c>
      <c r="N4512">
        <v>0</v>
      </c>
      <c r="O4512">
        <v>0</v>
      </c>
      <c r="P4512">
        <v>0</v>
      </c>
      <c r="Q4512">
        <v>21</v>
      </c>
      <c r="R4512" s="3">
        <v>0</v>
      </c>
      <c r="S4512" s="3">
        <v>0</v>
      </c>
      <c r="T4512">
        <v>0</v>
      </c>
      <c r="U4512">
        <v>0</v>
      </c>
      <c r="V4512" s="3">
        <v>0</v>
      </c>
      <c r="W4512" s="3">
        <v>0</v>
      </c>
      <c r="X4512">
        <v>0</v>
      </c>
      <c r="Y4512" t="s">
        <v>3446</v>
      </c>
    </row>
    <row r="4513" spans="1:25" hidden="1" x14ac:dyDescent="0.25">
      <c r="A4513" t="s">
        <v>2899</v>
      </c>
      <c r="B4513" t="s">
        <v>2998</v>
      </c>
      <c r="C4513" t="s">
        <v>2271</v>
      </c>
      <c r="D4513" t="s">
        <v>27</v>
      </c>
      <c r="E4513" s="2">
        <v>46099</v>
      </c>
      <c r="F4513" s="2">
        <v>46099</v>
      </c>
      <c r="G4513" s="3">
        <v>41</v>
      </c>
      <c r="H4513" t="s">
        <v>28</v>
      </c>
      <c r="I4513">
        <v>24</v>
      </c>
      <c r="J4513">
        <v>0</v>
      </c>
      <c r="K4513">
        <v>0</v>
      </c>
      <c r="L4513" s="3">
        <v>1</v>
      </c>
      <c r="M4513" s="3">
        <v>0</v>
      </c>
      <c r="N4513">
        <v>1</v>
      </c>
      <c r="O4513">
        <v>0</v>
      </c>
      <c r="P4513">
        <v>0</v>
      </c>
      <c r="Q4513">
        <v>2</v>
      </c>
      <c r="R4513" s="3">
        <v>0</v>
      </c>
      <c r="S4513" s="3">
        <v>0</v>
      </c>
      <c r="T4513">
        <v>0</v>
      </c>
      <c r="U4513">
        <v>0</v>
      </c>
      <c r="V4513" s="3">
        <v>0</v>
      </c>
      <c r="W4513" s="3">
        <v>0</v>
      </c>
      <c r="X4513">
        <v>0</v>
      </c>
      <c r="Y4513" t="s">
        <v>3447</v>
      </c>
    </row>
    <row r="4514" spans="1:25" hidden="1" x14ac:dyDescent="0.25">
      <c r="A4514" t="s">
        <v>36</v>
      </c>
      <c r="B4514" t="s">
        <v>249</v>
      </c>
      <c r="C4514" t="s">
        <v>2534</v>
      </c>
      <c r="D4514" t="s">
        <v>27</v>
      </c>
      <c r="E4514" s="2">
        <v>46098</v>
      </c>
      <c r="F4514" s="2">
        <v>46098</v>
      </c>
      <c r="G4514" s="3">
        <v>77</v>
      </c>
      <c r="H4514" t="s">
        <v>28</v>
      </c>
      <c r="I4514">
        <v>40</v>
      </c>
      <c r="J4514">
        <v>0</v>
      </c>
      <c r="K4514">
        <v>0</v>
      </c>
      <c r="L4514" s="3">
        <v>0</v>
      </c>
      <c r="M4514" s="3">
        <v>0</v>
      </c>
      <c r="N4514">
        <v>0</v>
      </c>
      <c r="O4514">
        <v>0</v>
      </c>
      <c r="P4514">
        <v>0</v>
      </c>
      <c r="Q4514">
        <v>0</v>
      </c>
      <c r="R4514" s="3">
        <v>0</v>
      </c>
      <c r="S4514" s="3">
        <v>0</v>
      </c>
      <c r="T4514">
        <v>0</v>
      </c>
      <c r="U4514">
        <v>0</v>
      </c>
      <c r="V4514" s="3">
        <v>0</v>
      </c>
      <c r="W4514" s="3">
        <v>0</v>
      </c>
      <c r="X4514">
        <v>0</v>
      </c>
      <c r="Y4514" t="s">
        <v>3414</v>
      </c>
    </row>
    <row r="4515" spans="1:25" hidden="1" x14ac:dyDescent="0.25">
      <c r="A4515" t="s">
        <v>36</v>
      </c>
      <c r="B4515" t="s">
        <v>249</v>
      </c>
      <c r="C4515" t="s">
        <v>2534</v>
      </c>
      <c r="D4515" t="s">
        <v>27</v>
      </c>
      <c r="E4515" s="2">
        <v>46099</v>
      </c>
      <c r="F4515" s="2">
        <v>46099</v>
      </c>
      <c r="G4515" s="3">
        <v>103</v>
      </c>
      <c r="H4515" t="s">
        <v>28</v>
      </c>
      <c r="I4515">
        <v>60</v>
      </c>
      <c r="J4515">
        <v>0</v>
      </c>
      <c r="K4515">
        <v>0</v>
      </c>
      <c r="L4515" s="3">
        <v>1</v>
      </c>
      <c r="M4515" s="3">
        <v>0</v>
      </c>
      <c r="N4515">
        <v>1</v>
      </c>
      <c r="O4515">
        <v>1</v>
      </c>
      <c r="P4515">
        <v>0</v>
      </c>
      <c r="Q4515">
        <v>0</v>
      </c>
      <c r="R4515" s="3">
        <v>0</v>
      </c>
      <c r="S4515" s="3">
        <v>0</v>
      </c>
      <c r="T4515">
        <v>0</v>
      </c>
      <c r="U4515">
        <v>0</v>
      </c>
      <c r="V4515" s="3">
        <v>0</v>
      </c>
      <c r="W4515" s="3">
        <v>0</v>
      </c>
      <c r="X4515">
        <v>0</v>
      </c>
      <c r="Y4515" t="s">
        <v>3448</v>
      </c>
    </row>
    <row r="4516" spans="1:25" hidden="1" x14ac:dyDescent="0.25">
      <c r="A4516" t="s">
        <v>38</v>
      </c>
      <c r="B4516" t="s">
        <v>108</v>
      </c>
      <c r="C4516" t="s">
        <v>27</v>
      </c>
      <c r="D4516" t="s">
        <v>27</v>
      </c>
      <c r="E4516" s="2">
        <v>46099</v>
      </c>
      <c r="F4516" s="2">
        <v>46099</v>
      </c>
      <c r="G4516" s="3">
        <v>43</v>
      </c>
      <c r="H4516" t="s">
        <v>28</v>
      </c>
      <c r="I4516">
        <v>53</v>
      </c>
      <c r="J4516">
        <v>0</v>
      </c>
      <c r="K4516">
        <v>0</v>
      </c>
      <c r="L4516" s="3">
        <v>1</v>
      </c>
      <c r="M4516" s="3">
        <v>0</v>
      </c>
      <c r="N4516">
        <v>0</v>
      </c>
      <c r="O4516">
        <v>0</v>
      </c>
      <c r="P4516">
        <v>0</v>
      </c>
      <c r="Q4516">
        <v>53</v>
      </c>
      <c r="R4516" s="3">
        <v>0</v>
      </c>
      <c r="S4516" s="3">
        <v>0</v>
      </c>
      <c r="T4516">
        <v>0</v>
      </c>
      <c r="U4516">
        <v>0</v>
      </c>
      <c r="V4516" s="3">
        <v>0</v>
      </c>
      <c r="W4516" s="3">
        <v>0</v>
      </c>
      <c r="X4516">
        <v>0</v>
      </c>
      <c r="Y4516" t="s">
        <v>3449</v>
      </c>
    </row>
    <row r="4517" spans="1:25" hidden="1" x14ac:dyDescent="0.25">
      <c r="A4517" t="s">
        <v>2679</v>
      </c>
      <c r="B4517" t="s">
        <v>2680</v>
      </c>
      <c r="C4517" t="s">
        <v>39</v>
      </c>
      <c r="D4517" t="s">
        <v>27</v>
      </c>
      <c r="E4517" s="2">
        <v>46099</v>
      </c>
      <c r="F4517" s="2">
        <v>46099</v>
      </c>
      <c r="G4517" s="3">
        <v>34</v>
      </c>
      <c r="H4517" t="s">
        <v>28</v>
      </c>
      <c r="I4517">
        <v>58</v>
      </c>
      <c r="J4517">
        <v>0</v>
      </c>
      <c r="K4517">
        <v>0</v>
      </c>
      <c r="L4517" s="3">
        <v>0</v>
      </c>
      <c r="M4517" s="3">
        <v>0</v>
      </c>
      <c r="N4517">
        <v>0</v>
      </c>
      <c r="O4517">
        <v>0</v>
      </c>
      <c r="P4517">
        <v>0</v>
      </c>
      <c r="Q4517">
        <v>58</v>
      </c>
      <c r="R4517" s="3">
        <v>0</v>
      </c>
      <c r="S4517" s="3">
        <v>0</v>
      </c>
      <c r="T4517">
        <v>0</v>
      </c>
      <c r="U4517">
        <v>0</v>
      </c>
      <c r="V4517" s="3">
        <v>0</v>
      </c>
      <c r="W4517" s="3">
        <v>0</v>
      </c>
      <c r="X4517">
        <v>0</v>
      </c>
      <c r="Y4517" t="s">
        <v>3450</v>
      </c>
    </row>
    <row r="4518" spans="1:25" hidden="1" x14ac:dyDescent="0.25">
      <c r="A4518" t="s">
        <v>1316</v>
      </c>
      <c r="B4518" t="s">
        <v>1348</v>
      </c>
      <c r="C4518" t="s">
        <v>2514</v>
      </c>
      <c r="D4518" t="s">
        <v>27</v>
      </c>
      <c r="E4518" s="2">
        <v>46099</v>
      </c>
      <c r="F4518" s="2">
        <v>46099</v>
      </c>
      <c r="G4518" s="3">
        <v>99</v>
      </c>
      <c r="H4518" t="s">
        <v>28</v>
      </c>
      <c r="I4518">
        <v>62</v>
      </c>
      <c r="J4518">
        <v>0</v>
      </c>
      <c r="K4518">
        <v>0</v>
      </c>
      <c r="L4518" s="3">
        <v>1</v>
      </c>
      <c r="M4518" s="3">
        <v>0</v>
      </c>
      <c r="N4518">
        <v>0</v>
      </c>
      <c r="O4518">
        <v>0</v>
      </c>
      <c r="P4518">
        <v>0</v>
      </c>
      <c r="Q4518">
        <v>20</v>
      </c>
      <c r="R4518" s="3">
        <v>0</v>
      </c>
      <c r="S4518" s="3">
        <v>0</v>
      </c>
      <c r="T4518">
        <v>0</v>
      </c>
      <c r="U4518">
        <v>0</v>
      </c>
      <c r="V4518" s="3">
        <v>0</v>
      </c>
      <c r="W4518" s="3">
        <v>0</v>
      </c>
      <c r="X4518">
        <v>0</v>
      </c>
      <c r="Y4518" t="s">
        <v>3451</v>
      </c>
    </row>
    <row r="4519" spans="1:25" s="1" customFormat="1" hidden="1" x14ac:dyDescent="0.25">
      <c r="A4519" s="1" t="s">
        <v>41</v>
      </c>
      <c r="B4519" s="1" t="s">
        <v>112</v>
      </c>
      <c r="C4519" s="1" t="s">
        <v>42</v>
      </c>
      <c r="D4519" s="1" t="s">
        <v>27</v>
      </c>
      <c r="E4519" s="10">
        <v>46099</v>
      </c>
      <c r="F4519" s="10">
        <v>46099</v>
      </c>
      <c r="G4519" s="41">
        <v>86</v>
      </c>
      <c r="H4519" s="1" t="s">
        <v>28</v>
      </c>
      <c r="I4519" s="1">
        <v>145</v>
      </c>
      <c r="J4519" s="1">
        <v>167</v>
      </c>
      <c r="K4519" s="1">
        <v>0</v>
      </c>
      <c r="L4519" s="41">
        <v>1</v>
      </c>
      <c r="M4519" s="41">
        <v>1</v>
      </c>
      <c r="N4519" s="1">
        <v>0</v>
      </c>
      <c r="O4519" s="1">
        <v>0</v>
      </c>
      <c r="P4519" s="1">
        <v>0</v>
      </c>
      <c r="Q4519" s="1">
        <v>145</v>
      </c>
      <c r="R4519" s="41">
        <v>0</v>
      </c>
      <c r="S4519" s="41">
        <v>0</v>
      </c>
      <c r="T4519" s="1">
        <v>0</v>
      </c>
      <c r="U4519" s="1">
        <v>0</v>
      </c>
      <c r="V4519" s="41">
        <v>0</v>
      </c>
      <c r="W4519" s="41">
        <v>0</v>
      </c>
      <c r="X4519" s="1">
        <v>16</v>
      </c>
      <c r="Y4519" s="1" t="s">
        <v>3452</v>
      </c>
    </row>
    <row r="4520" spans="1:25" hidden="1" x14ac:dyDescent="0.25">
      <c r="A4520" t="s">
        <v>43</v>
      </c>
      <c r="B4520" t="s">
        <v>114</v>
      </c>
      <c r="C4520" t="s">
        <v>44</v>
      </c>
      <c r="D4520" t="s">
        <v>27</v>
      </c>
      <c r="E4520" s="2">
        <v>46099</v>
      </c>
      <c r="F4520" s="2">
        <v>46099</v>
      </c>
      <c r="G4520" s="3">
        <v>33</v>
      </c>
      <c r="H4520" t="s">
        <v>28</v>
      </c>
      <c r="I4520">
        <v>67</v>
      </c>
      <c r="J4520">
        <v>0</v>
      </c>
      <c r="K4520">
        <v>0</v>
      </c>
      <c r="L4520" s="3">
        <v>0</v>
      </c>
      <c r="M4520" s="3">
        <v>0</v>
      </c>
      <c r="N4520">
        <v>0</v>
      </c>
      <c r="O4520">
        <v>0</v>
      </c>
      <c r="P4520">
        <v>0</v>
      </c>
      <c r="Q4520">
        <v>21</v>
      </c>
      <c r="R4520" s="3">
        <v>0</v>
      </c>
      <c r="S4520" s="3">
        <v>0</v>
      </c>
      <c r="T4520">
        <v>0</v>
      </c>
      <c r="U4520">
        <v>0</v>
      </c>
      <c r="V4520" s="3">
        <v>0</v>
      </c>
      <c r="W4520" s="3">
        <v>0</v>
      </c>
      <c r="X4520">
        <v>0</v>
      </c>
      <c r="Y4520" t="s">
        <v>3453</v>
      </c>
    </row>
    <row r="4521" spans="1:25" hidden="1" x14ac:dyDescent="0.25">
      <c r="A4521" t="s">
        <v>2118</v>
      </c>
      <c r="B4521" t="s">
        <v>2119</v>
      </c>
      <c r="C4521" t="s">
        <v>27</v>
      </c>
      <c r="D4521" t="s">
        <v>27</v>
      </c>
      <c r="E4521" s="2">
        <v>46099</v>
      </c>
      <c r="F4521" s="2">
        <v>46099</v>
      </c>
      <c r="G4521" s="3">
        <v>34</v>
      </c>
      <c r="H4521" t="s">
        <v>28</v>
      </c>
      <c r="I4521">
        <v>54</v>
      </c>
      <c r="J4521">
        <v>0</v>
      </c>
      <c r="K4521">
        <v>0</v>
      </c>
      <c r="L4521" s="3">
        <v>1</v>
      </c>
      <c r="M4521" s="3">
        <v>0</v>
      </c>
      <c r="N4521">
        <v>0</v>
      </c>
      <c r="O4521">
        <v>0</v>
      </c>
      <c r="P4521">
        <v>0</v>
      </c>
      <c r="Q4521">
        <v>54</v>
      </c>
      <c r="R4521" s="3">
        <v>0</v>
      </c>
      <c r="S4521" s="3">
        <v>0</v>
      </c>
      <c r="T4521">
        <v>0</v>
      </c>
      <c r="U4521">
        <v>0</v>
      </c>
      <c r="V4521" s="3">
        <v>0</v>
      </c>
      <c r="W4521" s="3">
        <v>0</v>
      </c>
      <c r="X4521">
        <v>0</v>
      </c>
      <c r="Y4521" t="s">
        <v>3454</v>
      </c>
    </row>
    <row r="4522" spans="1:25" hidden="1" x14ac:dyDescent="0.25">
      <c r="A4522" t="s">
        <v>45</v>
      </c>
      <c r="B4522" t="s">
        <v>116</v>
      </c>
      <c r="C4522" t="s">
        <v>46</v>
      </c>
      <c r="D4522" t="s">
        <v>27</v>
      </c>
      <c r="E4522" s="2">
        <v>46099</v>
      </c>
      <c r="F4522" s="2">
        <v>46099</v>
      </c>
      <c r="G4522" s="3">
        <v>60</v>
      </c>
      <c r="H4522" t="s">
        <v>28</v>
      </c>
      <c r="I4522">
        <v>69</v>
      </c>
      <c r="J4522">
        <v>0</v>
      </c>
      <c r="K4522">
        <v>0</v>
      </c>
      <c r="L4522" s="3">
        <v>1</v>
      </c>
      <c r="M4522" s="3">
        <v>0</v>
      </c>
      <c r="N4522">
        <v>0</v>
      </c>
      <c r="O4522">
        <v>0</v>
      </c>
      <c r="P4522">
        <v>0</v>
      </c>
      <c r="Q4522">
        <v>12</v>
      </c>
      <c r="R4522" s="3">
        <v>0</v>
      </c>
      <c r="S4522" s="3">
        <v>0</v>
      </c>
      <c r="T4522">
        <v>0</v>
      </c>
      <c r="U4522">
        <v>0</v>
      </c>
      <c r="V4522" s="3">
        <v>0</v>
      </c>
      <c r="W4522" s="3">
        <v>0</v>
      </c>
      <c r="X4522">
        <v>0</v>
      </c>
      <c r="Y4522" t="s">
        <v>3455</v>
      </c>
    </row>
    <row r="4523" spans="1:25" hidden="1" x14ac:dyDescent="0.25">
      <c r="A4523" t="s">
        <v>47</v>
      </c>
      <c r="B4523" t="s">
        <v>137</v>
      </c>
      <c r="C4523" t="s">
        <v>2310</v>
      </c>
      <c r="D4523" t="s">
        <v>27</v>
      </c>
      <c r="E4523" s="2">
        <v>46099</v>
      </c>
      <c r="F4523" s="2">
        <v>46099</v>
      </c>
      <c r="G4523" s="3">
        <v>43</v>
      </c>
      <c r="H4523" t="s">
        <v>28</v>
      </c>
      <c r="I4523">
        <v>68</v>
      </c>
      <c r="J4523">
        <v>0</v>
      </c>
      <c r="K4523">
        <v>0</v>
      </c>
      <c r="L4523" s="3">
        <v>1</v>
      </c>
      <c r="M4523" s="3">
        <v>0</v>
      </c>
      <c r="N4523">
        <v>0</v>
      </c>
      <c r="O4523">
        <v>0</v>
      </c>
      <c r="P4523">
        <v>0</v>
      </c>
      <c r="Q4523">
        <v>10</v>
      </c>
      <c r="R4523" s="3">
        <v>0</v>
      </c>
      <c r="S4523" s="3">
        <v>0</v>
      </c>
      <c r="T4523">
        <v>0</v>
      </c>
      <c r="U4523">
        <v>0</v>
      </c>
      <c r="V4523" s="3">
        <v>0</v>
      </c>
      <c r="W4523" s="3">
        <v>0</v>
      </c>
      <c r="X4523">
        <v>0</v>
      </c>
      <c r="Y4523" t="s">
        <v>3456</v>
      </c>
    </row>
    <row r="4524" spans="1:25" hidden="1" x14ac:dyDescent="0.25">
      <c r="A4524" t="s">
        <v>49</v>
      </c>
      <c r="B4524" t="s">
        <v>118</v>
      </c>
      <c r="C4524" t="s">
        <v>50</v>
      </c>
      <c r="D4524" t="s">
        <v>27</v>
      </c>
      <c r="E4524" s="2">
        <v>46099</v>
      </c>
      <c r="F4524" s="2">
        <v>46099</v>
      </c>
      <c r="G4524" s="3">
        <v>32</v>
      </c>
      <c r="H4524" t="s">
        <v>28</v>
      </c>
      <c r="I4524">
        <v>42</v>
      </c>
      <c r="J4524">
        <v>0</v>
      </c>
      <c r="K4524">
        <v>0</v>
      </c>
      <c r="L4524" s="3">
        <v>1</v>
      </c>
      <c r="M4524" s="3">
        <v>1</v>
      </c>
      <c r="N4524">
        <v>0</v>
      </c>
      <c r="O4524">
        <v>0</v>
      </c>
      <c r="P4524">
        <v>0</v>
      </c>
      <c r="Q4524">
        <v>42</v>
      </c>
      <c r="R4524" s="3">
        <v>0</v>
      </c>
      <c r="S4524" s="3">
        <v>0</v>
      </c>
      <c r="T4524">
        <v>0</v>
      </c>
      <c r="U4524">
        <v>0</v>
      </c>
      <c r="V4524" s="3">
        <v>0</v>
      </c>
      <c r="W4524" s="3">
        <v>0</v>
      </c>
      <c r="X4524">
        <v>0</v>
      </c>
      <c r="Y4524" t="s">
        <v>3457</v>
      </c>
    </row>
    <row r="4525" spans="1:25" hidden="1" x14ac:dyDescent="0.25">
      <c r="A4525" t="s">
        <v>51</v>
      </c>
      <c r="B4525" t="s">
        <v>120</v>
      </c>
      <c r="C4525" t="s">
        <v>55</v>
      </c>
      <c r="D4525" t="s">
        <v>27</v>
      </c>
      <c r="E4525" s="2">
        <v>46099</v>
      </c>
      <c r="F4525" s="2">
        <v>46099</v>
      </c>
      <c r="G4525" s="3">
        <v>45</v>
      </c>
      <c r="H4525" t="s">
        <v>28</v>
      </c>
      <c r="I4525">
        <v>35</v>
      </c>
      <c r="J4525">
        <v>0</v>
      </c>
      <c r="K4525">
        <v>0</v>
      </c>
      <c r="L4525" s="3">
        <v>1</v>
      </c>
      <c r="M4525" s="3">
        <v>0</v>
      </c>
      <c r="N4525">
        <v>1</v>
      </c>
      <c r="O4525">
        <v>0</v>
      </c>
      <c r="P4525">
        <v>0</v>
      </c>
      <c r="Q4525">
        <v>0</v>
      </c>
      <c r="R4525" s="3">
        <v>0</v>
      </c>
      <c r="S4525" s="3">
        <v>0</v>
      </c>
      <c r="T4525">
        <v>0</v>
      </c>
      <c r="U4525">
        <v>0</v>
      </c>
      <c r="V4525" s="3">
        <v>0</v>
      </c>
      <c r="W4525" s="3">
        <v>0</v>
      </c>
      <c r="X4525">
        <v>0</v>
      </c>
      <c r="Y4525" t="s">
        <v>3458</v>
      </c>
    </row>
    <row r="4526" spans="1:25" hidden="1" x14ac:dyDescent="0.25">
      <c r="A4526" t="s">
        <v>54</v>
      </c>
      <c r="B4526" t="s">
        <v>122</v>
      </c>
      <c r="C4526" t="s">
        <v>52</v>
      </c>
      <c r="D4526" t="s">
        <v>27</v>
      </c>
      <c r="E4526" s="2">
        <v>46099</v>
      </c>
      <c r="F4526" s="2">
        <v>46099</v>
      </c>
      <c r="G4526" s="3">
        <v>41</v>
      </c>
      <c r="H4526" t="s">
        <v>28</v>
      </c>
      <c r="I4526">
        <v>36</v>
      </c>
      <c r="J4526">
        <v>0</v>
      </c>
      <c r="K4526">
        <v>0</v>
      </c>
      <c r="L4526" s="3">
        <v>0</v>
      </c>
      <c r="M4526" s="3">
        <v>0</v>
      </c>
      <c r="N4526">
        <v>0</v>
      </c>
      <c r="O4526">
        <v>0</v>
      </c>
      <c r="P4526">
        <v>0</v>
      </c>
      <c r="Q4526">
        <v>0</v>
      </c>
      <c r="R4526" s="3">
        <v>0</v>
      </c>
      <c r="S4526" s="3">
        <v>0</v>
      </c>
      <c r="T4526">
        <v>0</v>
      </c>
      <c r="U4526">
        <v>0</v>
      </c>
      <c r="V4526" s="3">
        <v>0</v>
      </c>
      <c r="W4526" s="3">
        <v>0</v>
      </c>
      <c r="X4526">
        <v>0</v>
      </c>
      <c r="Y4526" t="s">
        <v>3459</v>
      </c>
    </row>
    <row r="4527" spans="1:25" hidden="1" x14ac:dyDescent="0.25">
      <c r="A4527" t="s">
        <v>48</v>
      </c>
      <c r="B4527" t="s">
        <v>149</v>
      </c>
      <c r="C4527" t="s">
        <v>37</v>
      </c>
      <c r="D4527" t="s">
        <v>27</v>
      </c>
      <c r="E4527" s="2">
        <v>46099</v>
      </c>
      <c r="F4527" s="2">
        <v>46099</v>
      </c>
      <c r="G4527" s="3">
        <v>35</v>
      </c>
      <c r="H4527" t="s">
        <v>28</v>
      </c>
      <c r="I4527">
        <v>60</v>
      </c>
      <c r="J4527">
        <v>0</v>
      </c>
      <c r="K4527">
        <v>0</v>
      </c>
      <c r="L4527" s="3">
        <v>1</v>
      </c>
      <c r="M4527" s="3">
        <v>0</v>
      </c>
      <c r="N4527">
        <v>0</v>
      </c>
      <c r="O4527">
        <v>0</v>
      </c>
      <c r="P4527">
        <v>0</v>
      </c>
      <c r="Q4527">
        <v>15</v>
      </c>
      <c r="R4527" s="3">
        <v>0</v>
      </c>
      <c r="S4527" s="3">
        <v>0</v>
      </c>
      <c r="T4527">
        <v>0</v>
      </c>
      <c r="U4527">
        <v>0</v>
      </c>
      <c r="V4527" s="3">
        <v>0</v>
      </c>
      <c r="W4527" s="3">
        <v>0</v>
      </c>
      <c r="X4527">
        <v>0</v>
      </c>
      <c r="Y4527" t="s">
        <v>3460</v>
      </c>
    </row>
    <row r="4528" spans="1:25" hidden="1" x14ac:dyDescent="0.25">
      <c r="A4528" t="s">
        <v>27</v>
      </c>
      <c r="B4528" t="s">
        <v>755</v>
      </c>
      <c r="C4528" t="s">
        <v>40</v>
      </c>
      <c r="D4528" t="s">
        <v>27</v>
      </c>
      <c r="E4528" s="2">
        <v>46099</v>
      </c>
      <c r="F4528" s="2">
        <v>46099</v>
      </c>
      <c r="G4528" s="3">
        <v>26</v>
      </c>
      <c r="H4528" t="s">
        <v>1975</v>
      </c>
      <c r="I4528">
        <v>0</v>
      </c>
      <c r="J4528">
        <v>0</v>
      </c>
      <c r="K4528">
        <v>0</v>
      </c>
      <c r="L4528" s="3">
        <v>0</v>
      </c>
      <c r="M4528" s="3">
        <v>0</v>
      </c>
      <c r="N4528">
        <v>0</v>
      </c>
      <c r="O4528">
        <v>0</v>
      </c>
      <c r="P4528">
        <v>0</v>
      </c>
      <c r="Q4528">
        <v>0</v>
      </c>
      <c r="R4528" s="3">
        <v>0</v>
      </c>
      <c r="S4528" s="3">
        <v>0</v>
      </c>
      <c r="T4528">
        <v>0</v>
      </c>
      <c r="U4528">
        <v>0</v>
      </c>
      <c r="V4528" s="3">
        <v>0</v>
      </c>
      <c r="W4528" s="3">
        <v>0</v>
      </c>
      <c r="X4528" s="3">
        <v>0</v>
      </c>
      <c r="Y4528" t="s">
        <v>3442</v>
      </c>
    </row>
    <row r="4529" spans="1:25" hidden="1" x14ac:dyDescent="0.25">
      <c r="A4529" t="s">
        <v>27</v>
      </c>
      <c r="B4529" t="s">
        <v>739</v>
      </c>
      <c r="C4529" t="s">
        <v>32</v>
      </c>
      <c r="D4529" t="s">
        <v>27</v>
      </c>
      <c r="E4529" s="2">
        <v>46098</v>
      </c>
      <c r="F4529" s="2">
        <v>46098</v>
      </c>
      <c r="G4529" s="3">
        <v>31</v>
      </c>
      <c r="H4529" t="s">
        <v>180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 t="s">
        <v>3425</v>
      </c>
    </row>
    <row r="4530" spans="1:25" hidden="1" x14ac:dyDescent="0.25">
      <c r="A4530" t="s">
        <v>27</v>
      </c>
      <c r="B4530" t="s">
        <v>739</v>
      </c>
      <c r="C4530" t="s">
        <v>32</v>
      </c>
      <c r="D4530" t="s">
        <v>27</v>
      </c>
      <c r="E4530" s="2">
        <v>46099</v>
      </c>
      <c r="F4530" s="2">
        <v>46099</v>
      </c>
      <c r="G4530" s="3">
        <v>31</v>
      </c>
      <c r="H4530" t="s">
        <v>180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3425</v>
      </c>
    </row>
    <row r="4531" spans="1:25" hidden="1" x14ac:dyDescent="0.25">
      <c r="A4531" t="s">
        <v>25</v>
      </c>
      <c r="B4531" t="s">
        <v>96</v>
      </c>
      <c r="C4531" t="s">
        <v>26</v>
      </c>
      <c r="D4531" t="s">
        <v>27</v>
      </c>
      <c r="E4531" s="2">
        <v>46100</v>
      </c>
      <c r="F4531" s="2">
        <v>46100</v>
      </c>
      <c r="G4531" s="3">
        <v>42</v>
      </c>
      <c r="H4531" t="s">
        <v>28</v>
      </c>
      <c r="I4531">
        <v>49</v>
      </c>
      <c r="J4531">
        <v>0</v>
      </c>
      <c r="K4531">
        <v>0</v>
      </c>
      <c r="L4531" s="3">
        <v>0</v>
      </c>
      <c r="M4531" s="3">
        <v>0</v>
      </c>
      <c r="N4531">
        <v>1</v>
      </c>
      <c r="O4531">
        <v>0</v>
      </c>
      <c r="P4531">
        <v>0</v>
      </c>
      <c r="Q4531">
        <v>0</v>
      </c>
      <c r="R4531" s="3">
        <v>0</v>
      </c>
      <c r="S4531" s="3">
        <v>0</v>
      </c>
      <c r="T4531">
        <v>0</v>
      </c>
      <c r="U4531">
        <v>0</v>
      </c>
      <c r="V4531" s="3">
        <v>0</v>
      </c>
      <c r="W4531" s="3">
        <v>0</v>
      </c>
      <c r="X4531">
        <v>0</v>
      </c>
      <c r="Y4531" t="s">
        <v>3461</v>
      </c>
    </row>
    <row r="4532" spans="1:25" hidden="1" x14ac:dyDescent="0.25">
      <c r="A4532" t="s">
        <v>29</v>
      </c>
      <c r="B4532" t="s">
        <v>100</v>
      </c>
      <c r="C4532" t="s">
        <v>95</v>
      </c>
      <c r="D4532" t="s">
        <v>1316</v>
      </c>
      <c r="E4532" s="2">
        <v>46100</v>
      </c>
      <c r="F4532" s="2">
        <v>46100</v>
      </c>
      <c r="G4532" s="3">
        <v>36</v>
      </c>
      <c r="H4532" t="s">
        <v>28</v>
      </c>
      <c r="I4532">
        <v>40</v>
      </c>
      <c r="J4532">
        <v>0</v>
      </c>
      <c r="K4532">
        <v>0</v>
      </c>
      <c r="L4532" s="3">
        <v>1</v>
      </c>
      <c r="M4532" s="3">
        <v>0</v>
      </c>
      <c r="N4532">
        <v>0</v>
      </c>
      <c r="O4532">
        <v>0</v>
      </c>
      <c r="P4532">
        <v>8</v>
      </c>
      <c r="Q4532">
        <v>16</v>
      </c>
      <c r="R4532" s="3">
        <v>0</v>
      </c>
      <c r="S4532" s="3">
        <v>0</v>
      </c>
      <c r="T4532">
        <v>0</v>
      </c>
      <c r="U4532">
        <v>0</v>
      </c>
      <c r="V4532" s="3">
        <v>0</v>
      </c>
      <c r="W4532" s="3">
        <v>0</v>
      </c>
      <c r="X4532">
        <v>0</v>
      </c>
      <c r="Y4532" t="s">
        <v>3462</v>
      </c>
    </row>
    <row r="4533" spans="1:25" hidden="1" x14ac:dyDescent="0.25">
      <c r="A4533" t="s">
        <v>344</v>
      </c>
      <c r="B4533" t="s">
        <v>102</v>
      </c>
      <c r="C4533" t="s">
        <v>35</v>
      </c>
      <c r="D4533" t="s">
        <v>27</v>
      </c>
      <c r="E4533" s="2">
        <v>46100</v>
      </c>
      <c r="F4533" s="2">
        <v>46100</v>
      </c>
      <c r="G4533" s="3">
        <v>42</v>
      </c>
      <c r="H4533" t="s">
        <v>28</v>
      </c>
      <c r="I4533">
        <v>55</v>
      </c>
      <c r="J4533">
        <v>0</v>
      </c>
      <c r="K4533">
        <v>0</v>
      </c>
      <c r="L4533" s="3">
        <v>0</v>
      </c>
      <c r="M4533" s="3">
        <v>0</v>
      </c>
      <c r="N4533">
        <v>0</v>
      </c>
      <c r="O4533">
        <v>0</v>
      </c>
      <c r="P4533">
        <v>0</v>
      </c>
      <c r="Q4533">
        <v>0</v>
      </c>
      <c r="R4533" s="3">
        <v>0</v>
      </c>
      <c r="S4533" s="3">
        <v>0</v>
      </c>
      <c r="T4533">
        <v>0</v>
      </c>
      <c r="U4533">
        <v>0</v>
      </c>
      <c r="V4533" s="3">
        <v>0</v>
      </c>
      <c r="W4533" s="3">
        <v>0</v>
      </c>
      <c r="X4533">
        <v>0</v>
      </c>
      <c r="Y4533" t="s">
        <v>3428</v>
      </c>
    </row>
    <row r="4534" spans="1:25" hidden="1" x14ac:dyDescent="0.25">
      <c r="A4534" t="s">
        <v>33</v>
      </c>
      <c r="B4534" t="s">
        <v>106</v>
      </c>
      <c r="C4534" t="s">
        <v>57</v>
      </c>
      <c r="D4534" t="s">
        <v>27</v>
      </c>
      <c r="E4534" s="2">
        <v>46100</v>
      </c>
      <c r="F4534" s="2">
        <v>46100</v>
      </c>
      <c r="G4534" s="3">
        <v>25</v>
      </c>
      <c r="H4534" t="s">
        <v>28</v>
      </c>
      <c r="I4534">
        <v>43</v>
      </c>
      <c r="J4534">
        <v>0</v>
      </c>
      <c r="K4534">
        <v>0</v>
      </c>
      <c r="L4534" s="3">
        <v>0</v>
      </c>
      <c r="M4534" s="3">
        <v>0</v>
      </c>
      <c r="N4534">
        <v>0</v>
      </c>
      <c r="O4534">
        <v>0</v>
      </c>
      <c r="P4534">
        <v>0</v>
      </c>
      <c r="Q4534">
        <v>0</v>
      </c>
      <c r="R4534" s="3">
        <v>0</v>
      </c>
      <c r="S4534" s="3">
        <v>0</v>
      </c>
      <c r="T4534">
        <v>0</v>
      </c>
      <c r="U4534">
        <v>0</v>
      </c>
      <c r="V4534" s="3">
        <v>0</v>
      </c>
      <c r="W4534" s="3">
        <v>0</v>
      </c>
      <c r="X4534">
        <v>0</v>
      </c>
      <c r="Y4534" t="s">
        <v>3463</v>
      </c>
    </row>
    <row r="4535" spans="1:25" hidden="1" x14ac:dyDescent="0.25">
      <c r="A4535" t="s">
        <v>36</v>
      </c>
      <c r="B4535" t="s">
        <v>249</v>
      </c>
      <c r="C4535" t="s">
        <v>2534</v>
      </c>
      <c r="D4535" t="s">
        <v>27</v>
      </c>
      <c r="E4535" s="2">
        <v>46100</v>
      </c>
      <c r="F4535" s="2">
        <v>46100</v>
      </c>
      <c r="G4535" s="3">
        <v>80</v>
      </c>
      <c r="H4535" t="s">
        <v>28</v>
      </c>
      <c r="I4535">
        <v>44</v>
      </c>
      <c r="J4535">
        <v>0</v>
      </c>
      <c r="K4535">
        <v>0</v>
      </c>
      <c r="L4535" s="3">
        <v>1</v>
      </c>
      <c r="M4535" s="3">
        <v>0</v>
      </c>
      <c r="N4535">
        <v>1</v>
      </c>
      <c r="O4535">
        <v>0</v>
      </c>
      <c r="P4535">
        <v>0</v>
      </c>
      <c r="Q4535">
        <v>0</v>
      </c>
      <c r="R4535" s="3">
        <v>0</v>
      </c>
      <c r="S4535" s="3">
        <v>0</v>
      </c>
      <c r="T4535">
        <v>0</v>
      </c>
      <c r="U4535">
        <v>0</v>
      </c>
      <c r="V4535" s="3">
        <v>0</v>
      </c>
      <c r="W4535" s="3">
        <v>0</v>
      </c>
      <c r="X4535">
        <v>0</v>
      </c>
      <c r="Y4535" t="s">
        <v>3464</v>
      </c>
    </row>
    <row r="4536" spans="1:25" hidden="1" x14ac:dyDescent="0.25">
      <c r="A4536" t="s">
        <v>38</v>
      </c>
      <c r="B4536" t="s">
        <v>108</v>
      </c>
      <c r="C4536" t="s">
        <v>27</v>
      </c>
      <c r="D4536" t="s">
        <v>27</v>
      </c>
      <c r="E4536" s="2">
        <v>46100</v>
      </c>
      <c r="F4536" s="2">
        <v>46100</v>
      </c>
      <c r="G4536" s="3">
        <v>195</v>
      </c>
      <c r="H4536" t="s">
        <v>28</v>
      </c>
      <c r="I4536">
        <v>31</v>
      </c>
      <c r="J4536">
        <v>0</v>
      </c>
      <c r="K4536">
        <v>0</v>
      </c>
      <c r="L4536" s="3">
        <v>1</v>
      </c>
      <c r="M4536" s="3">
        <v>0</v>
      </c>
      <c r="N4536">
        <v>0</v>
      </c>
      <c r="O4536">
        <v>0</v>
      </c>
      <c r="P4536">
        <v>0</v>
      </c>
      <c r="Q4536">
        <v>31</v>
      </c>
      <c r="R4536" s="3">
        <v>0</v>
      </c>
      <c r="S4536" s="3">
        <v>0</v>
      </c>
      <c r="T4536">
        <v>0</v>
      </c>
      <c r="U4536">
        <v>0</v>
      </c>
      <c r="V4536" s="3">
        <v>0</v>
      </c>
      <c r="W4536" s="3">
        <v>0</v>
      </c>
      <c r="X4536">
        <v>0</v>
      </c>
      <c r="Y4536" t="s">
        <v>3465</v>
      </c>
    </row>
    <row r="4537" spans="1:25" hidden="1" x14ac:dyDescent="0.25">
      <c r="A4537" t="s">
        <v>2679</v>
      </c>
      <c r="B4537" t="s">
        <v>2680</v>
      </c>
      <c r="C4537" t="s">
        <v>39</v>
      </c>
      <c r="D4537" t="s">
        <v>27</v>
      </c>
      <c r="E4537" s="2">
        <v>46100</v>
      </c>
      <c r="F4537" s="2">
        <v>46100</v>
      </c>
      <c r="G4537" s="3">
        <v>35</v>
      </c>
      <c r="H4537" t="s">
        <v>28</v>
      </c>
      <c r="I4537">
        <v>32</v>
      </c>
      <c r="J4537">
        <v>0</v>
      </c>
      <c r="K4537">
        <v>0</v>
      </c>
      <c r="L4537" s="3">
        <v>0</v>
      </c>
      <c r="M4537" s="3">
        <v>0</v>
      </c>
      <c r="N4537">
        <v>0</v>
      </c>
      <c r="O4537">
        <v>0</v>
      </c>
      <c r="P4537">
        <v>0</v>
      </c>
      <c r="Q4537">
        <v>32</v>
      </c>
      <c r="R4537" s="3">
        <v>0</v>
      </c>
      <c r="S4537" s="3">
        <v>0</v>
      </c>
      <c r="T4537">
        <v>0</v>
      </c>
      <c r="U4537">
        <v>0</v>
      </c>
      <c r="V4537" s="3">
        <v>0</v>
      </c>
      <c r="W4537" s="3">
        <v>0</v>
      </c>
      <c r="X4537">
        <v>0</v>
      </c>
      <c r="Y4537" t="s">
        <v>3466</v>
      </c>
    </row>
    <row r="4538" spans="1:25" s="1" customFormat="1" hidden="1" x14ac:dyDescent="0.25">
      <c r="A4538" s="1" t="s">
        <v>41</v>
      </c>
      <c r="B4538" s="1" t="s">
        <v>112</v>
      </c>
      <c r="C4538" s="1" t="s">
        <v>42</v>
      </c>
      <c r="D4538" s="1" t="s">
        <v>27</v>
      </c>
      <c r="E4538" s="10">
        <v>46100</v>
      </c>
      <c r="F4538" s="10">
        <v>46100</v>
      </c>
      <c r="G4538" s="41">
        <v>146</v>
      </c>
      <c r="H4538" s="1" t="s">
        <v>28</v>
      </c>
      <c r="I4538" s="1">
        <v>104</v>
      </c>
      <c r="J4538" s="1">
        <v>74</v>
      </c>
      <c r="K4538" s="1">
        <v>0</v>
      </c>
      <c r="L4538" s="41">
        <v>1</v>
      </c>
      <c r="M4538" s="41">
        <v>1</v>
      </c>
      <c r="N4538" s="1">
        <v>0</v>
      </c>
      <c r="O4538" s="1">
        <v>0</v>
      </c>
      <c r="P4538" s="1">
        <v>0</v>
      </c>
      <c r="Q4538" s="1">
        <v>104</v>
      </c>
      <c r="R4538" s="41">
        <v>0</v>
      </c>
      <c r="S4538" s="41">
        <v>0</v>
      </c>
      <c r="T4538" s="1">
        <v>0</v>
      </c>
      <c r="U4538" s="1">
        <v>0</v>
      </c>
      <c r="V4538" s="41">
        <v>0</v>
      </c>
      <c r="W4538" s="41">
        <v>0</v>
      </c>
      <c r="X4538" s="1">
        <v>8</v>
      </c>
      <c r="Y4538" s="1" t="s">
        <v>3467</v>
      </c>
    </row>
    <row r="4539" spans="1:25" hidden="1" x14ac:dyDescent="0.25">
      <c r="A4539" t="s">
        <v>43</v>
      </c>
      <c r="B4539" t="s">
        <v>114</v>
      </c>
      <c r="C4539" t="s">
        <v>44</v>
      </c>
      <c r="D4539" t="s">
        <v>27</v>
      </c>
      <c r="E4539" s="2">
        <v>46100</v>
      </c>
      <c r="F4539" s="2">
        <v>46100</v>
      </c>
      <c r="G4539" s="3">
        <v>30</v>
      </c>
      <c r="H4539" t="s">
        <v>28</v>
      </c>
      <c r="I4539">
        <v>78</v>
      </c>
      <c r="J4539">
        <v>0</v>
      </c>
      <c r="K4539">
        <v>0</v>
      </c>
      <c r="L4539" s="3">
        <v>0</v>
      </c>
      <c r="M4539" s="3">
        <v>0</v>
      </c>
      <c r="N4539">
        <v>0</v>
      </c>
      <c r="O4539">
        <v>0</v>
      </c>
      <c r="P4539">
        <v>0</v>
      </c>
      <c r="Q4539">
        <v>0</v>
      </c>
      <c r="R4539" s="3">
        <v>0</v>
      </c>
      <c r="S4539" s="3">
        <v>0</v>
      </c>
      <c r="T4539">
        <v>0</v>
      </c>
      <c r="U4539">
        <v>0</v>
      </c>
      <c r="V4539" s="3">
        <v>0</v>
      </c>
      <c r="W4539" s="3">
        <v>0</v>
      </c>
      <c r="X4539">
        <v>0</v>
      </c>
      <c r="Y4539" t="s">
        <v>3468</v>
      </c>
    </row>
    <row r="4540" spans="1:25" hidden="1" x14ac:dyDescent="0.25">
      <c r="A4540" t="s">
        <v>2118</v>
      </c>
      <c r="B4540" t="s">
        <v>2119</v>
      </c>
      <c r="C4540" t="s">
        <v>27</v>
      </c>
      <c r="D4540" t="s">
        <v>27</v>
      </c>
      <c r="E4540" s="2">
        <v>46100</v>
      </c>
      <c r="F4540" s="2">
        <v>46100</v>
      </c>
      <c r="G4540" s="3">
        <v>35</v>
      </c>
      <c r="H4540" t="s">
        <v>28</v>
      </c>
      <c r="I4540">
        <v>2</v>
      </c>
      <c r="J4540">
        <v>0</v>
      </c>
      <c r="K4540">
        <v>0</v>
      </c>
      <c r="L4540" s="3">
        <v>1</v>
      </c>
      <c r="M4540" s="3">
        <v>0</v>
      </c>
      <c r="N4540">
        <v>0</v>
      </c>
      <c r="O4540">
        <v>0</v>
      </c>
      <c r="P4540">
        <v>0</v>
      </c>
      <c r="Q4540">
        <v>2</v>
      </c>
      <c r="R4540" s="3">
        <v>0</v>
      </c>
      <c r="S4540" s="3">
        <v>0</v>
      </c>
      <c r="T4540">
        <v>0</v>
      </c>
      <c r="U4540">
        <v>0</v>
      </c>
      <c r="V4540" s="3">
        <v>0</v>
      </c>
      <c r="W4540" s="3">
        <v>0</v>
      </c>
      <c r="X4540">
        <v>0</v>
      </c>
      <c r="Y4540" t="s">
        <v>3469</v>
      </c>
    </row>
    <row r="4541" spans="1:25" hidden="1" x14ac:dyDescent="0.25">
      <c r="A4541" t="s">
        <v>45</v>
      </c>
      <c r="B4541" t="s">
        <v>116</v>
      </c>
      <c r="C4541" t="s">
        <v>46</v>
      </c>
      <c r="D4541" t="s">
        <v>27</v>
      </c>
      <c r="E4541" s="2">
        <v>46100</v>
      </c>
      <c r="F4541" s="2">
        <v>46100</v>
      </c>
      <c r="G4541" s="3">
        <v>42</v>
      </c>
      <c r="H4541" t="s">
        <v>28</v>
      </c>
      <c r="I4541">
        <v>30</v>
      </c>
      <c r="J4541">
        <v>0</v>
      </c>
      <c r="K4541">
        <v>0</v>
      </c>
      <c r="L4541" s="3">
        <v>0</v>
      </c>
      <c r="M4541" s="3">
        <v>0</v>
      </c>
      <c r="N4541">
        <v>0</v>
      </c>
      <c r="O4541">
        <v>0</v>
      </c>
      <c r="P4541">
        <v>0</v>
      </c>
      <c r="Q4541">
        <v>5</v>
      </c>
      <c r="R4541" s="3">
        <v>0</v>
      </c>
      <c r="S4541" s="3">
        <v>0</v>
      </c>
      <c r="T4541">
        <v>0</v>
      </c>
      <c r="U4541">
        <v>0</v>
      </c>
      <c r="V4541" s="3">
        <v>0</v>
      </c>
      <c r="W4541" s="3">
        <v>0</v>
      </c>
      <c r="X4541">
        <v>0</v>
      </c>
      <c r="Y4541" t="s">
        <v>3470</v>
      </c>
    </row>
    <row r="4542" spans="1:25" hidden="1" x14ac:dyDescent="0.25">
      <c r="A4542" t="s">
        <v>47</v>
      </c>
      <c r="B4542" t="s">
        <v>137</v>
      </c>
      <c r="C4542" t="s">
        <v>2310</v>
      </c>
      <c r="D4542" t="s">
        <v>27</v>
      </c>
      <c r="E4542" s="2">
        <v>46100</v>
      </c>
      <c r="F4542" s="2">
        <v>46100</v>
      </c>
      <c r="G4542" s="3">
        <v>68</v>
      </c>
      <c r="H4542" t="s">
        <v>28</v>
      </c>
      <c r="I4542">
        <v>49</v>
      </c>
      <c r="J4542">
        <v>0</v>
      </c>
      <c r="K4542">
        <v>0</v>
      </c>
      <c r="L4542" s="3">
        <v>1</v>
      </c>
      <c r="M4542" s="3">
        <v>0</v>
      </c>
      <c r="N4542">
        <v>0</v>
      </c>
      <c r="O4542">
        <v>0</v>
      </c>
      <c r="P4542">
        <v>0</v>
      </c>
      <c r="Q4542">
        <v>2</v>
      </c>
      <c r="R4542" s="3">
        <v>0</v>
      </c>
      <c r="S4542" s="3">
        <v>0</v>
      </c>
      <c r="T4542">
        <v>0</v>
      </c>
      <c r="U4542">
        <v>0</v>
      </c>
      <c r="V4542" s="3">
        <v>0</v>
      </c>
      <c r="W4542" s="3">
        <v>0</v>
      </c>
      <c r="X4542">
        <v>0</v>
      </c>
      <c r="Y4542" t="s">
        <v>3471</v>
      </c>
    </row>
    <row r="4543" spans="1:25" hidden="1" x14ac:dyDescent="0.25">
      <c r="A4543" t="s">
        <v>51</v>
      </c>
      <c r="B4543" t="s">
        <v>120</v>
      </c>
      <c r="C4543" t="s">
        <v>55</v>
      </c>
      <c r="D4543" t="s">
        <v>27</v>
      </c>
      <c r="E4543" s="2">
        <v>46100</v>
      </c>
      <c r="F4543" s="2">
        <v>46100</v>
      </c>
      <c r="G4543" s="3">
        <v>38</v>
      </c>
      <c r="H4543" t="s">
        <v>28</v>
      </c>
      <c r="I4543">
        <v>28</v>
      </c>
      <c r="J4543">
        <v>0</v>
      </c>
      <c r="K4543">
        <v>0</v>
      </c>
      <c r="L4543" s="3">
        <v>1</v>
      </c>
      <c r="M4543" s="3">
        <v>0</v>
      </c>
      <c r="N4543">
        <v>1</v>
      </c>
      <c r="O4543">
        <v>0</v>
      </c>
      <c r="P4543">
        <v>0</v>
      </c>
      <c r="Q4543">
        <v>0</v>
      </c>
      <c r="R4543" s="3">
        <v>0</v>
      </c>
      <c r="S4543" s="3">
        <v>0</v>
      </c>
      <c r="T4543">
        <v>0</v>
      </c>
      <c r="U4543">
        <v>0</v>
      </c>
      <c r="V4543" s="3">
        <v>0</v>
      </c>
      <c r="W4543" s="3">
        <v>0</v>
      </c>
      <c r="X4543">
        <v>0</v>
      </c>
      <c r="Y4543" t="s">
        <v>3472</v>
      </c>
    </row>
    <row r="4544" spans="1:25" hidden="1" x14ac:dyDescent="0.25">
      <c r="A4544" t="s">
        <v>51</v>
      </c>
      <c r="B4544" t="s">
        <v>120</v>
      </c>
      <c r="C4544" t="s">
        <v>50</v>
      </c>
      <c r="D4544" t="s">
        <v>27</v>
      </c>
      <c r="E4544" s="2">
        <v>46100</v>
      </c>
      <c r="F4544" s="2">
        <v>46100</v>
      </c>
      <c r="G4544" s="3">
        <v>29</v>
      </c>
      <c r="H4544" t="s">
        <v>28</v>
      </c>
      <c r="I4544">
        <v>62</v>
      </c>
      <c r="J4544">
        <v>0</v>
      </c>
      <c r="K4544">
        <v>0</v>
      </c>
      <c r="L4544" s="3">
        <v>1</v>
      </c>
      <c r="M4544" s="3">
        <v>1</v>
      </c>
      <c r="N4544">
        <v>0</v>
      </c>
      <c r="O4544">
        <v>1</v>
      </c>
      <c r="P4544">
        <v>0</v>
      </c>
      <c r="Q4544">
        <v>62</v>
      </c>
      <c r="R4544" s="3">
        <v>0</v>
      </c>
      <c r="S4544" s="3">
        <v>0</v>
      </c>
      <c r="T4544">
        <v>0</v>
      </c>
      <c r="U4544">
        <v>0</v>
      </c>
      <c r="V4544" s="3">
        <v>0</v>
      </c>
      <c r="W4544" s="3">
        <v>0</v>
      </c>
      <c r="X4544">
        <v>0</v>
      </c>
      <c r="Y4544" t="s">
        <v>3473</v>
      </c>
    </row>
    <row r="4545" spans="1:25" hidden="1" x14ac:dyDescent="0.25">
      <c r="A4545" t="s">
        <v>54</v>
      </c>
      <c r="B4545" t="s">
        <v>122</v>
      </c>
      <c r="C4545" t="s">
        <v>52</v>
      </c>
      <c r="D4545" t="s">
        <v>27</v>
      </c>
      <c r="E4545" s="2">
        <v>46100</v>
      </c>
      <c r="F4545" s="2">
        <v>46100</v>
      </c>
      <c r="G4545" s="3">
        <v>46</v>
      </c>
      <c r="H4545" t="s">
        <v>28</v>
      </c>
      <c r="I4545">
        <v>50</v>
      </c>
      <c r="J4545">
        <v>0</v>
      </c>
      <c r="K4545">
        <v>0</v>
      </c>
      <c r="L4545" s="3">
        <v>0</v>
      </c>
      <c r="M4545" s="3">
        <v>0</v>
      </c>
      <c r="N4545">
        <v>0</v>
      </c>
      <c r="O4545">
        <v>0</v>
      </c>
      <c r="P4545">
        <v>0</v>
      </c>
      <c r="Q4545">
        <v>0</v>
      </c>
      <c r="R4545" s="3">
        <v>0</v>
      </c>
      <c r="S4545" s="3">
        <v>0</v>
      </c>
      <c r="T4545">
        <v>0</v>
      </c>
      <c r="U4545">
        <v>0</v>
      </c>
      <c r="V4545" s="3">
        <v>0</v>
      </c>
      <c r="W4545" s="3">
        <v>0</v>
      </c>
      <c r="X4545">
        <v>0</v>
      </c>
      <c r="Y4545" t="s">
        <v>3474</v>
      </c>
    </row>
    <row r="4546" spans="1:25" hidden="1" x14ac:dyDescent="0.25">
      <c r="A4546" t="s">
        <v>48</v>
      </c>
      <c r="B4546" t="s">
        <v>149</v>
      </c>
      <c r="C4546" t="s">
        <v>37</v>
      </c>
      <c r="D4546" t="s">
        <v>27</v>
      </c>
      <c r="E4546" s="2">
        <v>46100</v>
      </c>
      <c r="F4546" s="2">
        <v>46100</v>
      </c>
      <c r="G4546" s="3">
        <v>28</v>
      </c>
      <c r="H4546" t="s">
        <v>28</v>
      </c>
      <c r="I4546">
        <v>28</v>
      </c>
      <c r="J4546">
        <v>0</v>
      </c>
      <c r="K4546">
        <v>0</v>
      </c>
      <c r="L4546" s="3">
        <v>0</v>
      </c>
      <c r="M4546" s="3">
        <v>0</v>
      </c>
      <c r="N4546">
        <v>0</v>
      </c>
      <c r="O4546">
        <v>0</v>
      </c>
      <c r="P4546">
        <v>0</v>
      </c>
      <c r="Q4546">
        <v>0</v>
      </c>
      <c r="R4546" s="3">
        <v>0</v>
      </c>
      <c r="S4546" s="3">
        <v>0</v>
      </c>
      <c r="T4546">
        <v>0</v>
      </c>
      <c r="U4546">
        <v>0</v>
      </c>
      <c r="V4546" s="3">
        <v>0</v>
      </c>
      <c r="W4546" s="3">
        <v>0</v>
      </c>
      <c r="X4546">
        <v>0</v>
      </c>
      <c r="Y4546" t="s">
        <v>3475</v>
      </c>
    </row>
    <row r="4547" spans="1:25" hidden="1" x14ac:dyDescent="0.25">
      <c r="A4547" t="s">
        <v>27</v>
      </c>
      <c r="B4547" t="s">
        <v>755</v>
      </c>
      <c r="C4547" t="s">
        <v>40</v>
      </c>
      <c r="D4547" t="s">
        <v>27</v>
      </c>
      <c r="E4547" s="2">
        <v>46100</v>
      </c>
      <c r="F4547" s="2">
        <v>46100</v>
      </c>
      <c r="G4547" s="3">
        <v>26</v>
      </c>
      <c r="H4547" t="s">
        <v>1975</v>
      </c>
      <c r="I4547">
        <v>0</v>
      </c>
      <c r="J4547">
        <v>0</v>
      </c>
      <c r="K4547">
        <v>0</v>
      </c>
      <c r="L4547" s="3">
        <v>0</v>
      </c>
      <c r="M4547" s="3">
        <v>0</v>
      </c>
      <c r="N4547">
        <v>0</v>
      </c>
      <c r="O4547">
        <v>0</v>
      </c>
      <c r="P4547">
        <v>0</v>
      </c>
      <c r="Q4547">
        <v>0</v>
      </c>
      <c r="R4547" s="3">
        <v>0</v>
      </c>
      <c r="S4547" s="3">
        <v>0</v>
      </c>
      <c r="T4547">
        <v>0</v>
      </c>
      <c r="U4547">
        <v>0</v>
      </c>
      <c r="V4547" s="3">
        <v>0</v>
      </c>
      <c r="W4547" s="3">
        <v>0</v>
      </c>
      <c r="X4547" s="3">
        <v>0</v>
      </c>
      <c r="Y4547" t="s">
        <v>3442</v>
      </c>
    </row>
    <row r="4548" spans="1:25" hidden="1" x14ac:dyDescent="0.25">
      <c r="A4548" t="s">
        <v>27</v>
      </c>
      <c r="B4548" t="s">
        <v>739</v>
      </c>
      <c r="C4548" t="s">
        <v>32</v>
      </c>
      <c r="D4548" t="s">
        <v>27</v>
      </c>
      <c r="E4548" s="2">
        <v>46100</v>
      </c>
      <c r="F4548" s="2">
        <v>46100</v>
      </c>
      <c r="G4548" s="3">
        <v>31</v>
      </c>
      <c r="H4548" t="s">
        <v>180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3425</v>
      </c>
    </row>
    <row r="4549" spans="1:25" hidden="1" x14ac:dyDescent="0.25">
      <c r="A4549" t="s">
        <v>51</v>
      </c>
      <c r="B4549" t="s">
        <v>120</v>
      </c>
      <c r="C4549" t="s">
        <v>55</v>
      </c>
      <c r="D4549" t="s">
        <v>27</v>
      </c>
      <c r="E4549" s="2">
        <v>46100</v>
      </c>
      <c r="F4549" s="2">
        <v>46100</v>
      </c>
      <c r="G4549" s="3">
        <v>38</v>
      </c>
      <c r="H4549" t="s">
        <v>28</v>
      </c>
      <c r="I4549">
        <v>28</v>
      </c>
      <c r="J4549">
        <v>0</v>
      </c>
      <c r="K4549">
        <v>0</v>
      </c>
      <c r="L4549" s="3">
        <v>1</v>
      </c>
      <c r="M4549" s="3">
        <v>0</v>
      </c>
      <c r="N4549">
        <v>1</v>
      </c>
      <c r="O4549">
        <v>0</v>
      </c>
      <c r="P4549">
        <v>0</v>
      </c>
      <c r="Q4549">
        <v>0</v>
      </c>
      <c r="R4549" s="3">
        <v>0</v>
      </c>
      <c r="S4549" s="3">
        <v>0</v>
      </c>
      <c r="T4549">
        <v>0</v>
      </c>
      <c r="U4549">
        <v>0</v>
      </c>
      <c r="V4549" s="3">
        <v>0</v>
      </c>
      <c r="W4549" s="3">
        <v>0</v>
      </c>
      <c r="X4549">
        <v>0</v>
      </c>
      <c r="Y4549" t="s">
        <v>3472</v>
      </c>
    </row>
    <row r="4550" spans="1:25" hidden="1" x14ac:dyDescent="0.25">
      <c r="A4550" t="s">
        <v>55</v>
      </c>
      <c r="B4550" t="s">
        <v>2072</v>
      </c>
      <c r="C4550" t="s">
        <v>27</v>
      </c>
      <c r="D4550" t="s">
        <v>27</v>
      </c>
      <c r="E4550" s="2">
        <v>46100</v>
      </c>
      <c r="F4550" s="2">
        <v>46100</v>
      </c>
      <c r="G4550" s="3">
        <v>46</v>
      </c>
      <c r="H4550" t="s">
        <v>28</v>
      </c>
      <c r="I4550">
        <v>28</v>
      </c>
      <c r="J4550">
        <v>0</v>
      </c>
      <c r="K4550">
        <v>0</v>
      </c>
      <c r="L4550" s="3">
        <v>1</v>
      </c>
      <c r="M4550" s="3">
        <v>0</v>
      </c>
      <c r="N4550">
        <v>1</v>
      </c>
      <c r="O4550">
        <v>0</v>
      </c>
      <c r="P4550">
        <v>0</v>
      </c>
      <c r="Q4550">
        <v>0</v>
      </c>
      <c r="R4550" s="3">
        <v>0</v>
      </c>
      <c r="S4550" s="3">
        <v>0</v>
      </c>
      <c r="T4550">
        <v>0</v>
      </c>
      <c r="U4550">
        <v>0</v>
      </c>
      <c r="V4550" s="3">
        <v>0</v>
      </c>
      <c r="W4550" s="3">
        <v>0</v>
      </c>
      <c r="X4550">
        <v>0</v>
      </c>
      <c r="Y4550" t="s">
        <v>3476</v>
      </c>
    </row>
    <row r="4551" spans="1:25" hidden="1" x14ac:dyDescent="0.25">
      <c r="A4551" t="s">
        <v>25</v>
      </c>
      <c r="B4551" t="s">
        <v>96</v>
      </c>
      <c r="C4551" t="s">
        <v>26</v>
      </c>
      <c r="D4551" t="s">
        <v>27</v>
      </c>
      <c r="E4551" s="2">
        <v>46101</v>
      </c>
      <c r="F4551" s="2">
        <v>46101</v>
      </c>
      <c r="G4551" s="3">
        <v>148</v>
      </c>
      <c r="H4551" t="s">
        <v>28</v>
      </c>
      <c r="I4551">
        <v>60</v>
      </c>
      <c r="J4551">
        <v>0</v>
      </c>
      <c r="K4551">
        <v>0</v>
      </c>
      <c r="L4551" s="3">
        <v>0</v>
      </c>
      <c r="M4551" s="3">
        <v>1</v>
      </c>
      <c r="N4551">
        <v>1</v>
      </c>
      <c r="O4551">
        <v>0</v>
      </c>
      <c r="P4551">
        <v>0</v>
      </c>
      <c r="Q4551">
        <v>0</v>
      </c>
      <c r="R4551" s="3">
        <v>0</v>
      </c>
      <c r="S4551" s="3">
        <v>0</v>
      </c>
      <c r="T4551">
        <v>0</v>
      </c>
      <c r="U4551">
        <v>0</v>
      </c>
      <c r="V4551" s="3">
        <v>0</v>
      </c>
      <c r="W4551" s="3">
        <v>0</v>
      </c>
      <c r="X4551">
        <v>0</v>
      </c>
      <c r="Y4551" t="s">
        <v>3477</v>
      </c>
    </row>
    <row r="4552" spans="1:25" hidden="1" x14ac:dyDescent="0.25">
      <c r="A4552" t="s">
        <v>29</v>
      </c>
      <c r="B4552" t="s">
        <v>100</v>
      </c>
      <c r="C4552" t="s">
        <v>95</v>
      </c>
      <c r="D4552" t="s">
        <v>27</v>
      </c>
      <c r="E4552" s="2">
        <v>46101</v>
      </c>
      <c r="F4552" s="2">
        <v>46101</v>
      </c>
      <c r="G4552" s="3">
        <v>36</v>
      </c>
      <c r="H4552" t="s">
        <v>28</v>
      </c>
      <c r="I4552">
        <v>40</v>
      </c>
      <c r="J4552">
        <v>0</v>
      </c>
      <c r="K4552">
        <v>0</v>
      </c>
      <c r="L4552" s="3">
        <v>1</v>
      </c>
      <c r="M4552" s="3">
        <v>0</v>
      </c>
      <c r="N4552">
        <v>0</v>
      </c>
      <c r="O4552">
        <v>0</v>
      </c>
      <c r="P4552">
        <v>8</v>
      </c>
      <c r="Q4552">
        <v>16</v>
      </c>
      <c r="R4552" s="3">
        <v>0</v>
      </c>
      <c r="S4552" s="3">
        <v>0</v>
      </c>
      <c r="T4552">
        <v>0</v>
      </c>
      <c r="U4552">
        <v>0</v>
      </c>
      <c r="V4552" s="3">
        <v>0</v>
      </c>
      <c r="W4552" s="3">
        <v>0</v>
      </c>
      <c r="X4552">
        <v>0</v>
      </c>
      <c r="Y4552" t="s">
        <v>3462</v>
      </c>
    </row>
    <row r="4553" spans="1:25" hidden="1" x14ac:dyDescent="0.25">
      <c r="A4553" t="s">
        <v>344</v>
      </c>
      <c r="B4553" t="s">
        <v>102</v>
      </c>
      <c r="C4553" t="s">
        <v>35</v>
      </c>
      <c r="D4553" t="s">
        <v>27</v>
      </c>
      <c r="E4553" s="2">
        <v>46101</v>
      </c>
      <c r="F4553" s="2">
        <v>46101</v>
      </c>
      <c r="G4553" s="3">
        <v>42</v>
      </c>
      <c r="H4553" t="s">
        <v>28</v>
      </c>
      <c r="I4553">
        <v>55</v>
      </c>
      <c r="J4553">
        <v>0</v>
      </c>
      <c r="K4553">
        <v>0</v>
      </c>
      <c r="L4553" s="3">
        <v>0</v>
      </c>
      <c r="M4553" s="3">
        <v>0</v>
      </c>
      <c r="N4553">
        <v>0</v>
      </c>
      <c r="O4553">
        <v>0</v>
      </c>
      <c r="P4553">
        <v>0</v>
      </c>
      <c r="Q4553">
        <v>0</v>
      </c>
      <c r="R4553" s="3">
        <v>0</v>
      </c>
      <c r="S4553" s="3">
        <v>0</v>
      </c>
      <c r="T4553">
        <v>0</v>
      </c>
      <c r="U4553">
        <v>0</v>
      </c>
      <c r="V4553" s="3">
        <v>0</v>
      </c>
      <c r="W4553" s="3">
        <v>0</v>
      </c>
      <c r="X4553">
        <v>0</v>
      </c>
      <c r="Y4553" t="s">
        <v>3428</v>
      </c>
    </row>
    <row r="4554" spans="1:25" hidden="1" x14ac:dyDescent="0.25">
      <c r="A4554" t="s">
        <v>31</v>
      </c>
      <c r="B4554" t="s">
        <v>104</v>
      </c>
      <c r="C4554" t="s">
        <v>2835</v>
      </c>
      <c r="D4554" t="s">
        <v>27</v>
      </c>
      <c r="E4554" s="2">
        <v>46101</v>
      </c>
      <c r="F4554" s="2">
        <v>46101</v>
      </c>
      <c r="G4554" s="3">
        <v>44</v>
      </c>
      <c r="H4554" t="s">
        <v>28</v>
      </c>
      <c r="I4554">
        <v>69</v>
      </c>
      <c r="J4554">
        <v>0</v>
      </c>
      <c r="K4554">
        <v>0</v>
      </c>
      <c r="L4554" s="3">
        <v>0</v>
      </c>
      <c r="M4554" s="3">
        <v>0</v>
      </c>
      <c r="N4554">
        <v>0</v>
      </c>
      <c r="O4554">
        <v>0</v>
      </c>
      <c r="P4554">
        <v>0</v>
      </c>
      <c r="Q4554">
        <v>30</v>
      </c>
      <c r="R4554" s="3">
        <v>0</v>
      </c>
      <c r="S4554" s="3">
        <v>0</v>
      </c>
      <c r="T4554">
        <v>0</v>
      </c>
      <c r="U4554">
        <v>0</v>
      </c>
      <c r="V4554" s="3">
        <v>0</v>
      </c>
      <c r="W4554" s="3">
        <v>0</v>
      </c>
      <c r="X4554">
        <v>0</v>
      </c>
      <c r="Y4554" t="s">
        <v>3478</v>
      </c>
    </row>
    <row r="4555" spans="1:25" hidden="1" x14ac:dyDescent="0.25">
      <c r="A4555" t="s">
        <v>33</v>
      </c>
      <c r="B4555" t="s">
        <v>106</v>
      </c>
      <c r="C4555" t="s">
        <v>57</v>
      </c>
      <c r="D4555" t="s">
        <v>27</v>
      </c>
      <c r="E4555" s="2">
        <v>46101</v>
      </c>
      <c r="F4555" s="2">
        <v>46101</v>
      </c>
      <c r="G4555" s="3">
        <v>27</v>
      </c>
      <c r="H4555" t="s">
        <v>28</v>
      </c>
      <c r="I4555">
        <v>48</v>
      </c>
      <c r="J4555">
        <v>0</v>
      </c>
      <c r="K4555">
        <v>0</v>
      </c>
      <c r="L4555" s="3">
        <v>0</v>
      </c>
      <c r="M4555" s="3">
        <v>0</v>
      </c>
      <c r="N4555">
        <v>0</v>
      </c>
      <c r="O4555">
        <v>0</v>
      </c>
      <c r="P4555">
        <v>0</v>
      </c>
      <c r="Q4555">
        <v>21</v>
      </c>
      <c r="R4555" s="3">
        <v>0</v>
      </c>
      <c r="S4555" s="3">
        <v>0</v>
      </c>
      <c r="T4555">
        <v>0</v>
      </c>
      <c r="U4555">
        <v>0</v>
      </c>
      <c r="V4555" s="3">
        <v>0</v>
      </c>
      <c r="W4555" s="3">
        <v>0</v>
      </c>
      <c r="X4555">
        <v>0</v>
      </c>
      <c r="Y4555" t="s">
        <v>3479</v>
      </c>
    </row>
    <row r="4556" spans="1:25" hidden="1" x14ac:dyDescent="0.25">
      <c r="A4556" t="s">
        <v>36</v>
      </c>
      <c r="B4556" t="s">
        <v>249</v>
      </c>
      <c r="C4556" t="s">
        <v>2534</v>
      </c>
      <c r="D4556" t="s">
        <v>27</v>
      </c>
      <c r="E4556" s="2">
        <v>46101</v>
      </c>
      <c r="F4556" s="2">
        <v>46101</v>
      </c>
      <c r="G4556" s="3">
        <v>85</v>
      </c>
      <c r="H4556" t="s">
        <v>28</v>
      </c>
      <c r="I4556">
        <v>51</v>
      </c>
      <c r="J4556">
        <v>0</v>
      </c>
      <c r="K4556">
        <v>0</v>
      </c>
      <c r="L4556" s="3">
        <v>1</v>
      </c>
      <c r="M4556" s="3">
        <v>0</v>
      </c>
      <c r="N4556">
        <v>1</v>
      </c>
      <c r="O4556">
        <v>0</v>
      </c>
      <c r="P4556">
        <v>0</v>
      </c>
      <c r="Q4556">
        <v>0</v>
      </c>
      <c r="R4556" s="3">
        <v>0</v>
      </c>
      <c r="S4556" s="3">
        <v>0</v>
      </c>
      <c r="T4556">
        <v>0</v>
      </c>
      <c r="U4556">
        <v>0</v>
      </c>
      <c r="V4556" s="3">
        <v>0</v>
      </c>
      <c r="W4556" s="3">
        <v>0</v>
      </c>
      <c r="X4556">
        <v>0</v>
      </c>
      <c r="Y4556" t="s">
        <v>3480</v>
      </c>
    </row>
    <row r="4557" spans="1:25" hidden="1" x14ac:dyDescent="0.25">
      <c r="A4557" t="s">
        <v>27</v>
      </c>
      <c r="B4557" t="s">
        <v>1348</v>
      </c>
      <c r="C4557" t="s">
        <v>2514</v>
      </c>
      <c r="D4557" t="s">
        <v>27</v>
      </c>
      <c r="E4557" s="2">
        <v>46100</v>
      </c>
      <c r="F4557" s="2">
        <v>46100</v>
      </c>
      <c r="G4557" s="3">
        <v>99</v>
      </c>
      <c r="H4557" s="4" t="s">
        <v>250</v>
      </c>
      <c r="I4557">
        <v>0</v>
      </c>
      <c r="J4557">
        <v>0</v>
      </c>
      <c r="K4557">
        <v>0</v>
      </c>
      <c r="L4557" s="3">
        <v>0</v>
      </c>
      <c r="M4557" s="3">
        <v>0</v>
      </c>
      <c r="N4557">
        <v>0</v>
      </c>
      <c r="O4557">
        <v>0</v>
      </c>
      <c r="P4557">
        <v>0</v>
      </c>
      <c r="Q4557">
        <v>0</v>
      </c>
      <c r="R4557" s="3">
        <v>0</v>
      </c>
      <c r="S4557" s="3">
        <v>0</v>
      </c>
      <c r="T4557">
        <v>0</v>
      </c>
      <c r="U4557">
        <v>0</v>
      </c>
      <c r="V4557" s="3">
        <v>0</v>
      </c>
      <c r="W4557" s="3">
        <v>0</v>
      </c>
      <c r="X4557">
        <v>0</v>
      </c>
      <c r="Y4557" t="s">
        <v>3451</v>
      </c>
    </row>
    <row r="4558" spans="1:25" hidden="1" x14ac:dyDescent="0.25">
      <c r="A4558" t="s">
        <v>1316</v>
      </c>
      <c r="B4558" t="s">
        <v>1348</v>
      </c>
      <c r="C4558" t="s">
        <v>2514</v>
      </c>
      <c r="D4558" t="s">
        <v>27</v>
      </c>
      <c r="E4558" s="2">
        <v>46101</v>
      </c>
      <c r="F4558" s="2">
        <v>46101</v>
      </c>
      <c r="G4558" s="3">
        <v>65</v>
      </c>
      <c r="H4558" t="s">
        <v>28</v>
      </c>
      <c r="I4558">
        <v>60</v>
      </c>
      <c r="J4558">
        <v>0</v>
      </c>
      <c r="K4558">
        <v>0</v>
      </c>
      <c r="L4558" s="3">
        <v>1</v>
      </c>
      <c r="M4558" s="3">
        <v>0</v>
      </c>
      <c r="N4558">
        <v>0</v>
      </c>
      <c r="O4558">
        <v>0</v>
      </c>
      <c r="P4558">
        <v>0</v>
      </c>
      <c r="Q4558">
        <v>20</v>
      </c>
      <c r="R4558" s="3">
        <v>0</v>
      </c>
      <c r="S4558" s="3">
        <v>0</v>
      </c>
      <c r="T4558">
        <v>0</v>
      </c>
      <c r="U4558">
        <v>0</v>
      </c>
      <c r="V4558" s="3">
        <v>0</v>
      </c>
      <c r="W4558" s="3">
        <v>0</v>
      </c>
      <c r="X4558">
        <v>0</v>
      </c>
      <c r="Y4558" t="s">
        <v>3481</v>
      </c>
    </row>
    <row r="4559" spans="1:25" s="1" customFormat="1" hidden="1" x14ac:dyDescent="0.25">
      <c r="A4559" s="1" t="s">
        <v>41</v>
      </c>
      <c r="B4559" s="1" t="s">
        <v>112</v>
      </c>
      <c r="C4559" s="1" t="s">
        <v>42</v>
      </c>
      <c r="D4559" s="1" t="s">
        <v>27</v>
      </c>
      <c r="E4559" s="10">
        <v>46101</v>
      </c>
      <c r="F4559" s="10">
        <v>46101</v>
      </c>
      <c r="G4559" s="41">
        <v>189</v>
      </c>
      <c r="H4559" s="1" t="s">
        <v>28</v>
      </c>
      <c r="I4559" s="1">
        <v>107</v>
      </c>
      <c r="J4559" s="1">
        <v>7</v>
      </c>
      <c r="K4559" s="1">
        <v>0</v>
      </c>
      <c r="L4559" s="41">
        <v>1</v>
      </c>
      <c r="M4559" s="41">
        <v>1</v>
      </c>
      <c r="N4559" s="1">
        <v>0</v>
      </c>
      <c r="O4559" s="1">
        <v>0</v>
      </c>
      <c r="P4559" s="1">
        <v>0</v>
      </c>
      <c r="Q4559" s="1">
        <v>107</v>
      </c>
      <c r="R4559" s="41">
        <v>0</v>
      </c>
      <c r="S4559" s="41">
        <v>0</v>
      </c>
      <c r="T4559" s="1">
        <v>0</v>
      </c>
      <c r="U4559" s="1">
        <v>0</v>
      </c>
      <c r="V4559" s="41">
        <v>0</v>
      </c>
      <c r="W4559" s="41">
        <v>0</v>
      </c>
      <c r="X4559" s="1">
        <v>6</v>
      </c>
      <c r="Y4559" s="1" t="s">
        <v>3482</v>
      </c>
    </row>
    <row r="4560" spans="1:25" hidden="1" x14ac:dyDescent="0.25">
      <c r="A4560" t="s">
        <v>43</v>
      </c>
      <c r="B4560" t="s">
        <v>114</v>
      </c>
      <c r="C4560" t="s">
        <v>44</v>
      </c>
      <c r="D4560" t="s">
        <v>27</v>
      </c>
      <c r="E4560" s="2">
        <v>46101</v>
      </c>
      <c r="F4560" s="2">
        <v>46101</v>
      </c>
      <c r="G4560" s="3">
        <v>31</v>
      </c>
      <c r="H4560" t="s">
        <v>28</v>
      </c>
      <c r="I4560">
        <v>60</v>
      </c>
      <c r="J4560">
        <v>0</v>
      </c>
      <c r="K4560">
        <v>0</v>
      </c>
      <c r="L4560" s="3">
        <v>1</v>
      </c>
      <c r="M4560" s="3">
        <v>0</v>
      </c>
      <c r="N4560">
        <v>0</v>
      </c>
      <c r="O4560">
        <v>0</v>
      </c>
      <c r="P4560">
        <v>0</v>
      </c>
      <c r="Q4560">
        <v>21</v>
      </c>
      <c r="R4560" s="3">
        <v>0</v>
      </c>
      <c r="S4560" s="3">
        <v>0</v>
      </c>
      <c r="T4560">
        <v>0</v>
      </c>
      <c r="U4560">
        <v>0</v>
      </c>
      <c r="V4560" s="3">
        <v>0</v>
      </c>
      <c r="W4560" s="3">
        <v>0</v>
      </c>
      <c r="X4560">
        <v>0</v>
      </c>
      <c r="Y4560" t="s">
        <v>3483</v>
      </c>
    </row>
    <row r="4561" spans="1:25" hidden="1" x14ac:dyDescent="0.25">
      <c r="A4561" t="s">
        <v>45</v>
      </c>
      <c r="B4561" t="s">
        <v>116</v>
      </c>
      <c r="C4561" t="s">
        <v>46</v>
      </c>
      <c r="D4561" t="s">
        <v>27</v>
      </c>
      <c r="E4561" s="2">
        <v>46101</v>
      </c>
      <c r="F4561" s="2">
        <v>46101</v>
      </c>
      <c r="G4561" s="3">
        <v>40</v>
      </c>
      <c r="H4561" t="s">
        <v>28</v>
      </c>
      <c r="I4561">
        <v>64</v>
      </c>
      <c r="J4561">
        <v>0</v>
      </c>
      <c r="K4561">
        <v>0</v>
      </c>
      <c r="L4561" s="3">
        <v>1</v>
      </c>
      <c r="M4561" s="3">
        <v>0</v>
      </c>
      <c r="N4561">
        <v>0</v>
      </c>
      <c r="O4561">
        <v>0</v>
      </c>
      <c r="P4561">
        <v>0</v>
      </c>
      <c r="Q4561">
        <v>11</v>
      </c>
      <c r="R4561" s="3">
        <v>0</v>
      </c>
      <c r="S4561" s="3">
        <v>0</v>
      </c>
      <c r="T4561">
        <v>0</v>
      </c>
      <c r="U4561">
        <v>0</v>
      </c>
      <c r="V4561" s="3">
        <v>0</v>
      </c>
      <c r="W4561" s="3">
        <v>0</v>
      </c>
      <c r="X4561">
        <v>0</v>
      </c>
      <c r="Y4561" t="s">
        <v>3484</v>
      </c>
    </row>
    <row r="4562" spans="1:25" hidden="1" x14ac:dyDescent="0.25">
      <c r="A4562" t="s">
        <v>47</v>
      </c>
      <c r="B4562" t="s">
        <v>137</v>
      </c>
      <c r="C4562" t="s">
        <v>2310</v>
      </c>
      <c r="D4562" t="s">
        <v>27</v>
      </c>
      <c r="E4562" s="2">
        <v>46101</v>
      </c>
      <c r="F4562" s="2">
        <v>46101</v>
      </c>
      <c r="G4562" s="3">
        <v>105</v>
      </c>
      <c r="H4562" t="s">
        <v>28</v>
      </c>
      <c r="I4562">
        <v>67</v>
      </c>
      <c r="J4562">
        <v>0</v>
      </c>
      <c r="K4562">
        <v>0</v>
      </c>
      <c r="L4562" s="3">
        <v>1</v>
      </c>
      <c r="M4562" s="3">
        <v>0</v>
      </c>
      <c r="N4562">
        <v>0</v>
      </c>
      <c r="O4562">
        <v>0</v>
      </c>
      <c r="P4562">
        <v>0</v>
      </c>
      <c r="Q4562">
        <v>16</v>
      </c>
      <c r="R4562" s="3">
        <v>0</v>
      </c>
      <c r="S4562" s="3">
        <v>0</v>
      </c>
      <c r="T4562">
        <v>0</v>
      </c>
      <c r="U4562">
        <v>0</v>
      </c>
      <c r="V4562" s="3">
        <v>0</v>
      </c>
      <c r="W4562" s="3">
        <v>0</v>
      </c>
      <c r="X4562">
        <v>0</v>
      </c>
      <c r="Y4562" t="s">
        <v>3485</v>
      </c>
    </row>
    <row r="4563" spans="1:25" hidden="1" x14ac:dyDescent="0.25">
      <c r="A4563" t="s">
        <v>51</v>
      </c>
      <c r="B4563" t="s">
        <v>120</v>
      </c>
      <c r="C4563" t="s">
        <v>50</v>
      </c>
      <c r="D4563" t="s">
        <v>27</v>
      </c>
      <c r="E4563" s="2">
        <v>46101</v>
      </c>
      <c r="F4563" s="2">
        <v>46101</v>
      </c>
      <c r="G4563" s="3">
        <v>32</v>
      </c>
      <c r="H4563" t="s">
        <v>28</v>
      </c>
      <c r="I4563">
        <v>41</v>
      </c>
      <c r="J4563">
        <v>0</v>
      </c>
      <c r="K4563">
        <v>0</v>
      </c>
      <c r="L4563" s="3">
        <v>1</v>
      </c>
      <c r="M4563" s="3">
        <v>1</v>
      </c>
      <c r="N4563">
        <v>0</v>
      </c>
      <c r="O4563">
        <v>1</v>
      </c>
      <c r="P4563">
        <v>0</v>
      </c>
      <c r="Q4563">
        <v>41</v>
      </c>
      <c r="R4563" s="3">
        <v>0</v>
      </c>
      <c r="S4563" s="3">
        <v>0</v>
      </c>
      <c r="T4563">
        <v>0</v>
      </c>
      <c r="U4563">
        <v>0</v>
      </c>
      <c r="V4563" s="3">
        <v>0</v>
      </c>
      <c r="W4563" s="3">
        <v>0</v>
      </c>
      <c r="X4563">
        <v>0</v>
      </c>
      <c r="Y4563" t="s">
        <v>3486</v>
      </c>
    </row>
    <row r="4564" spans="1:25" hidden="1" x14ac:dyDescent="0.25">
      <c r="A4564" t="s">
        <v>54</v>
      </c>
      <c r="B4564" t="s">
        <v>122</v>
      </c>
      <c r="C4564" t="s">
        <v>52</v>
      </c>
      <c r="D4564" t="s">
        <v>27</v>
      </c>
      <c r="E4564" s="2">
        <v>46101</v>
      </c>
      <c r="F4564" s="2">
        <v>46101</v>
      </c>
      <c r="G4564" s="3">
        <v>73</v>
      </c>
      <c r="H4564" t="s">
        <v>28</v>
      </c>
      <c r="I4564">
        <v>50</v>
      </c>
      <c r="J4564">
        <v>0</v>
      </c>
      <c r="K4564">
        <v>0</v>
      </c>
      <c r="L4564" s="3">
        <v>0</v>
      </c>
      <c r="M4564" s="3">
        <v>0</v>
      </c>
      <c r="N4564">
        <v>0</v>
      </c>
      <c r="O4564">
        <v>0</v>
      </c>
      <c r="P4564">
        <v>0</v>
      </c>
      <c r="Q4564">
        <v>0</v>
      </c>
      <c r="R4564" s="3">
        <v>0</v>
      </c>
      <c r="S4564" s="3">
        <v>0</v>
      </c>
      <c r="T4564">
        <v>0</v>
      </c>
      <c r="U4564">
        <v>0</v>
      </c>
      <c r="V4564" s="3">
        <v>0</v>
      </c>
      <c r="W4564" s="3">
        <v>0</v>
      </c>
      <c r="X4564">
        <v>0</v>
      </c>
      <c r="Y4564" t="s">
        <v>3487</v>
      </c>
    </row>
    <row r="4565" spans="1:25" hidden="1" x14ac:dyDescent="0.25">
      <c r="A4565" t="s">
        <v>48</v>
      </c>
      <c r="B4565" t="s">
        <v>149</v>
      </c>
      <c r="C4565" t="s">
        <v>37</v>
      </c>
      <c r="D4565" t="s">
        <v>27</v>
      </c>
      <c r="E4565" s="2">
        <v>46101</v>
      </c>
      <c r="F4565" s="2">
        <v>46101</v>
      </c>
      <c r="G4565" s="3">
        <v>23</v>
      </c>
      <c r="H4565" t="s">
        <v>28</v>
      </c>
      <c r="I4565">
        <v>80</v>
      </c>
      <c r="J4565">
        <v>0</v>
      </c>
      <c r="K4565">
        <v>0</v>
      </c>
      <c r="L4565" s="3">
        <v>1</v>
      </c>
      <c r="M4565" s="3">
        <v>0</v>
      </c>
      <c r="N4565">
        <v>0</v>
      </c>
      <c r="O4565">
        <v>0</v>
      </c>
      <c r="P4565">
        <v>0</v>
      </c>
      <c r="Q4565">
        <v>0</v>
      </c>
      <c r="R4565" s="3">
        <v>0</v>
      </c>
      <c r="S4565" s="3">
        <v>0</v>
      </c>
      <c r="T4565">
        <v>0</v>
      </c>
      <c r="U4565">
        <v>0</v>
      </c>
      <c r="V4565" s="3">
        <v>0</v>
      </c>
      <c r="W4565" s="3">
        <v>0</v>
      </c>
      <c r="X4565">
        <v>0</v>
      </c>
      <c r="Y4565" t="s">
        <v>3488</v>
      </c>
    </row>
    <row r="4566" spans="1:25" hidden="1" x14ac:dyDescent="0.25">
      <c r="A4566" t="s">
        <v>27</v>
      </c>
      <c r="B4566" t="s">
        <v>755</v>
      </c>
      <c r="C4566" t="s">
        <v>40</v>
      </c>
      <c r="D4566" t="s">
        <v>27</v>
      </c>
      <c r="E4566" s="2">
        <v>46101</v>
      </c>
      <c r="F4566" s="2">
        <v>46101</v>
      </c>
      <c r="G4566" s="3">
        <v>26</v>
      </c>
      <c r="H4566" t="s">
        <v>1975</v>
      </c>
      <c r="I4566">
        <v>0</v>
      </c>
      <c r="J4566">
        <v>0</v>
      </c>
      <c r="K4566">
        <v>0</v>
      </c>
      <c r="L4566" s="3">
        <v>0</v>
      </c>
      <c r="M4566" s="3">
        <v>0</v>
      </c>
      <c r="N4566">
        <v>0</v>
      </c>
      <c r="O4566">
        <v>0</v>
      </c>
      <c r="P4566">
        <v>0</v>
      </c>
      <c r="Q4566">
        <v>0</v>
      </c>
      <c r="R4566" s="3">
        <v>0</v>
      </c>
      <c r="S4566" s="3">
        <v>0</v>
      </c>
      <c r="T4566">
        <v>0</v>
      </c>
      <c r="U4566">
        <v>0</v>
      </c>
      <c r="V4566" s="3">
        <v>0</v>
      </c>
      <c r="W4566" s="3">
        <v>0</v>
      </c>
      <c r="X4566" s="3">
        <v>0</v>
      </c>
      <c r="Y4566" t="s">
        <v>3442</v>
      </c>
    </row>
    <row r="4567" spans="1:25" hidden="1" x14ac:dyDescent="0.25">
      <c r="A4567" t="s">
        <v>27</v>
      </c>
      <c r="B4567" t="s">
        <v>739</v>
      </c>
      <c r="C4567" t="s">
        <v>32</v>
      </c>
      <c r="D4567" t="s">
        <v>27</v>
      </c>
      <c r="E4567" s="2">
        <v>46101</v>
      </c>
      <c r="F4567" s="2">
        <v>46101</v>
      </c>
      <c r="G4567" s="3">
        <v>31</v>
      </c>
      <c r="H4567" t="s">
        <v>180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3425</v>
      </c>
    </row>
    <row r="4568" spans="1:25" hidden="1" x14ac:dyDescent="0.25">
      <c r="A4568" t="s">
        <v>51</v>
      </c>
      <c r="B4568" t="s">
        <v>2072</v>
      </c>
      <c r="C4568" t="s">
        <v>44</v>
      </c>
      <c r="D4568" t="s">
        <v>27</v>
      </c>
      <c r="E4568" s="2">
        <v>46102</v>
      </c>
      <c r="F4568" s="2">
        <v>46102</v>
      </c>
      <c r="G4568" s="3">
        <v>84</v>
      </c>
      <c r="H4568" t="s">
        <v>28</v>
      </c>
      <c r="I4568">
        <v>0</v>
      </c>
      <c r="J4568">
        <v>0</v>
      </c>
      <c r="K4568">
        <v>0</v>
      </c>
      <c r="L4568" s="3">
        <v>0</v>
      </c>
      <c r="M4568" s="3">
        <v>0</v>
      </c>
      <c r="N4568">
        <v>0</v>
      </c>
      <c r="O4568">
        <v>1</v>
      </c>
      <c r="P4568">
        <v>0</v>
      </c>
      <c r="Q4568">
        <v>0</v>
      </c>
      <c r="R4568" s="3">
        <v>1</v>
      </c>
      <c r="S4568" s="3">
        <v>0</v>
      </c>
      <c r="T4568">
        <v>18</v>
      </c>
      <c r="U4568">
        <v>39</v>
      </c>
      <c r="V4568" s="3">
        <v>1</v>
      </c>
      <c r="W4568" s="3">
        <v>0</v>
      </c>
      <c r="X4568">
        <v>0</v>
      </c>
      <c r="Y4568" t="s">
        <v>3489</v>
      </c>
    </row>
    <row r="4569" spans="1:25" s="1" customFormat="1" hidden="1" x14ac:dyDescent="0.25">
      <c r="A4569" s="1" t="s">
        <v>41</v>
      </c>
      <c r="B4569" s="1" t="s">
        <v>112</v>
      </c>
      <c r="C4569" s="1" t="s">
        <v>42</v>
      </c>
      <c r="D4569" s="1" t="s">
        <v>27</v>
      </c>
      <c r="E4569" s="10">
        <v>46102</v>
      </c>
      <c r="F4569" s="10">
        <v>46102</v>
      </c>
      <c r="G4569" s="41">
        <v>79</v>
      </c>
      <c r="H4569" s="1" t="s">
        <v>28</v>
      </c>
      <c r="I4569" s="1">
        <v>0</v>
      </c>
      <c r="J4569" s="1">
        <v>0</v>
      </c>
      <c r="K4569" s="1">
        <v>0</v>
      </c>
      <c r="L4569" s="41">
        <v>0</v>
      </c>
      <c r="M4569" s="41">
        <v>0</v>
      </c>
      <c r="N4569" s="1">
        <v>0</v>
      </c>
      <c r="O4569" s="1">
        <v>0</v>
      </c>
      <c r="P4569" s="1">
        <v>0</v>
      </c>
      <c r="Q4569" s="1">
        <v>40</v>
      </c>
      <c r="R4569" s="41">
        <v>1</v>
      </c>
      <c r="S4569" s="41">
        <v>0</v>
      </c>
      <c r="T4569" s="1">
        <v>40</v>
      </c>
      <c r="U4569" s="1">
        <v>131</v>
      </c>
      <c r="V4569" s="41">
        <v>1</v>
      </c>
      <c r="W4569" s="41">
        <v>0</v>
      </c>
      <c r="X4569" s="1">
        <v>13</v>
      </c>
      <c r="Y4569" s="1" t="s">
        <v>3490</v>
      </c>
    </row>
    <row r="4570" spans="1:25" hidden="1" x14ac:dyDescent="0.25">
      <c r="A4570" t="s">
        <v>29</v>
      </c>
      <c r="B4570" t="s">
        <v>590</v>
      </c>
      <c r="C4570" t="s">
        <v>27</v>
      </c>
      <c r="D4570" t="s">
        <v>27</v>
      </c>
      <c r="E4570" s="2">
        <v>46102</v>
      </c>
      <c r="F4570" s="2">
        <v>46102</v>
      </c>
      <c r="G4570" s="3">
        <v>80</v>
      </c>
      <c r="H4570" t="s">
        <v>28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 t="s">
        <v>3490</v>
      </c>
    </row>
    <row r="4571" spans="1:25" hidden="1" x14ac:dyDescent="0.25">
      <c r="A4571" t="s">
        <v>344</v>
      </c>
      <c r="B4571" t="s">
        <v>591</v>
      </c>
      <c r="C4571" t="s">
        <v>27</v>
      </c>
      <c r="D4571" t="s">
        <v>27</v>
      </c>
      <c r="E4571" s="2">
        <v>46102</v>
      </c>
      <c r="F4571" s="2">
        <v>46102</v>
      </c>
      <c r="G4571" s="3">
        <v>81</v>
      </c>
      <c r="H4571" t="s">
        <v>28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 t="s">
        <v>3490</v>
      </c>
    </row>
    <row r="4572" spans="1:25" hidden="1" x14ac:dyDescent="0.25">
      <c r="A4572" t="s">
        <v>344</v>
      </c>
      <c r="B4572" t="s">
        <v>149</v>
      </c>
      <c r="C4572" t="s">
        <v>27</v>
      </c>
      <c r="D4572" t="s">
        <v>27</v>
      </c>
      <c r="E4572" s="2">
        <v>46075</v>
      </c>
      <c r="F4572" s="2">
        <v>46075</v>
      </c>
      <c r="G4572" s="3">
        <v>81</v>
      </c>
      <c r="H4572" s="4" t="s">
        <v>180</v>
      </c>
      <c r="I4572">
        <v>0</v>
      </c>
      <c r="J4572">
        <v>0</v>
      </c>
      <c r="K4572">
        <v>0</v>
      </c>
      <c r="L4572" s="3">
        <v>0</v>
      </c>
      <c r="M4572" s="3">
        <v>0</v>
      </c>
      <c r="N4572">
        <v>0</v>
      </c>
      <c r="O4572">
        <v>0</v>
      </c>
      <c r="P4572">
        <v>0</v>
      </c>
      <c r="Q4572">
        <v>0</v>
      </c>
      <c r="R4572" s="3">
        <v>0</v>
      </c>
      <c r="S4572" s="3">
        <v>0</v>
      </c>
      <c r="T4572">
        <v>0</v>
      </c>
      <c r="U4572">
        <v>0</v>
      </c>
      <c r="V4572" s="3">
        <v>0</v>
      </c>
      <c r="W4572" s="3">
        <v>0</v>
      </c>
      <c r="X4572">
        <v>0</v>
      </c>
      <c r="Y4572" t="s">
        <v>3253</v>
      </c>
    </row>
    <row r="4573" spans="1:25" hidden="1" x14ac:dyDescent="0.25">
      <c r="A4573" t="s">
        <v>344</v>
      </c>
      <c r="B4573" t="s">
        <v>149</v>
      </c>
      <c r="C4573" t="s">
        <v>27</v>
      </c>
      <c r="D4573" t="s">
        <v>27</v>
      </c>
      <c r="E4573" s="2">
        <v>46076</v>
      </c>
      <c r="F4573" s="2">
        <v>46076</v>
      </c>
      <c r="G4573" s="3">
        <v>81</v>
      </c>
      <c r="H4573" s="4" t="s">
        <v>180</v>
      </c>
      <c r="I4573">
        <v>0</v>
      </c>
      <c r="J4573">
        <v>0</v>
      </c>
      <c r="K4573">
        <v>0</v>
      </c>
      <c r="L4573" s="3">
        <v>0</v>
      </c>
      <c r="M4573" s="3">
        <v>0</v>
      </c>
      <c r="N4573">
        <v>0</v>
      </c>
      <c r="O4573">
        <v>0</v>
      </c>
      <c r="P4573">
        <v>0</v>
      </c>
      <c r="Q4573">
        <v>0</v>
      </c>
      <c r="R4573" s="3">
        <v>0</v>
      </c>
      <c r="S4573" s="3">
        <v>0</v>
      </c>
      <c r="T4573">
        <v>0</v>
      </c>
      <c r="U4573">
        <v>0</v>
      </c>
      <c r="V4573" s="3">
        <v>0</v>
      </c>
      <c r="W4573" s="3">
        <v>0</v>
      </c>
      <c r="X4573">
        <v>0</v>
      </c>
      <c r="Y4573" t="s">
        <v>3253</v>
      </c>
    </row>
    <row r="4574" spans="1:25" hidden="1" x14ac:dyDescent="0.25">
      <c r="A4574" t="s">
        <v>344</v>
      </c>
      <c r="B4574" t="s">
        <v>149</v>
      </c>
      <c r="C4574" t="s">
        <v>27</v>
      </c>
      <c r="D4574" t="s">
        <v>27</v>
      </c>
      <c r="E4574" s="2">
        <v>46077</v>
      </c>
      <c r="F4574" s="2">
        <v>46077</v>
      </c>
      <c r="G4574" s="3">
        <v>81</v>
      </c>
      <c r="H4574" s="4" t="s">
        <v>180</v>
      </c>
      <c r="I4574">
        <v>0</v>
      </c>
      <c r="J4574">
        <v>0</v>
      </c>
      <c r="K4574">
        <v>0</v>
      </c>
      <c r="L4574" s="3">
        <v>0</v>
      </c>
      <c r="M4574" s="3">
        <v>0</v>
      </c>
      <c r="N4574">
        <v>0</v>
      </c>
      <c r="O4574">
        <v>0</v>
      </c>
      <c r="P4574">
        <v>0</v>
      </c>
      <c r="Q4574">
        <v>0</v>
      </c>
      <c r="R4574" s="3">
        <v>0</v>
      </c>
      <c r="S4574" s="3">
        <v>0</v>
      </c>
      <c r="T4574">
        <v>0</v>
      </c>
      <c r="U4574">
        <v>0</v>
      </c>
      <c r="V4574" s="3">
        <v>0</v>
      </c>
      <c r="W4574" s="3">
        <v>0</v>
      </c>
      <c r="X4574">
        <v>0</v>
      </c>
      <c r="Y4574" t="s">
        <v>3253</v>
      </c>
    </row>
    <row r="4575" spans="1:25" hidden="1" x14ac:dyDescent="0.25">
      <c r="A4575" t="s">
        <v>344</v>
      </c>
      <c r="B4575" t="s">
        <v>149</v>
      </c>
      <c r="C4575" t="s">
        <v>27</v>
      </c>
      <c r="D4575" t="s">
        <v>27</v>
      </c>
      <c r="E4575" s="2">
        <v>46078</v>
      </c>
      <c r="F4575" s="2">
        <v>46078</v>
      </c>
      <c r="G4575" s="3">
        <v>81</v>
      </c>
      <c r="H4575" s="4" t="s">
        <v>180</v>
      </c>
      <c r="I4575">
        <v>0</v>
      </c>
      <c r="J4575">
        <v>0</v>
      </c>
      <c r="K4575">
        <v>0</v>
      </c>
      <c r="L4575" s="3">
        <v>0</v>
      </c>
      <c r="M4575" s="3">
        <v>0</v>
      </c>
      <c r="N4575">
        <v>0</v>
      </c>
      <c r="O4575">
        <v>0</v>
      </c>
      <c r="P4575">
        <v>0</v>
      </c>
      <c r="Q4575">
        <v>0</v>
      </c>
      <c r="R4575" s="3">
        <v>0</v>
      </c>
      <c r="S4575" s="3">
        <v>0</v>
      </c>
      <c r="T4575">
        <v>0</v>
      </c>
      <c r="U4575">
        <v>0</v>
      </c>
      <c r="V4575" s="3">
        <v>0</v>
      </c>
      <c r="W4575" s="3">
        <v>0</v>
      </c>
      <c r="X4575">
        <v>0</v>
      </c>
      <c r="Y4575" t="s">
        <v>3253</v>
      </c>
    </row>
    <row r="4576" spans="1:25" hidden="1" x14ac:dyDescent="0.25">
      <c r="A4576" t="s">
        <v>344</v>
      </c>
      <c r="B4576" t="s">
        <v>149</v>
      </c>
      <c r="C4576" t="s">
        <v>27</v>
      </c>
      <c r="D4576" t="s">
        <v>27</v>
      </c>
      <c r="E4576" s="2">
        <v>46079</v>
      </c>
      <c r="F4576" s="2">
        <v>46079</v>
      </c>
      <c r="G4576" s="3">
        <v>81</v>
      </c>
      <c r="H4576" s="4" t="s">
        <v>180</v>
      </c>
      <c r="I4576">
        <v>0</v>
      </c>
      <c r="J4576">
        <v>0</v>
      </c>
      <c r="K4576">
        <v>0</v>
      </c>
      <c r="L4576" s="3">
        <v>0</v>
      </c>
      <c r="M4576" s="3">
        <v>0</v>
      </c>
      <c r="N4576">
        <v>0</v>
      </c>
      <c r="O4576">
        <v>0</v>
      </c>
      <c r="P4576">
        <v>0</v>
      </c>
      <c r="Q4576">
        <v>0</v>
      </c>
      <c r="R4576" s="3">
        <v>0</v>
      </c>
      <c r="S4576" s="3">
        <v>0</v>
      </c>
      <c r="T4576">
        <v>0</v>
      </c>
      <c r="U4576">
        <v>0</v>
      </c>
      <c r="V4576" s="3">
        <v>0</v>
      </c>
      <c r="W4576" s="3">
        <v>0</v>
      </c>
      <c r="X4576">
        <v>0</v>
      </c>
      <c r="Y4576" t="s">
        <v>3253</v>
      </c>
    </row>
    <row r="4577" spans="1:25" hidden="1" x14ac:dyDescent="0.25">
      <c r="A4577" t="s">
        <v>344</v>
      </c>
      <c r="B4577" t="s">
        <v>149</v>
      </c>
      <c r="C4577" t="s">
        <v>27</v>
      </c>
      <c r="D4577" t="s">
        <v>27</v>
      </c>
      <c r="E4577" s="2">
        <v>46080</v>
      </c>
      <c r="F4577" s="2">
        <v>46080</v>
      </c>
      <c r="G4577" s="3">
        <v>81</v>
      </c>
      <c r="H4577" s="4" t="s">
        <v>180</v>
      </c>
      <c r="I4577">
        <v>0</v>
      </c>
      <c r="J4577">
        <v>0</v>
      </c>
      <c r="K4577">
        <v>0</v>
      </c>
      <c r="L4577" s="3">
        <v>0</v>
      </c>
      <c r="M4577" s="3">
        <v>0</v>
      </c>
      <c r="N4577">
        <v>0</v>
      </c>
      <c r="O4577">
        <v>0</v>
      </c>
      <c r="P4577">
        <v>0</v>
      </c>
      <c r="Q4577">
        <v>0</v>
      </c>
      <c r="R4577" s="3">
        <v>0</v>
      </c>
      <c r="S4577" s="3">
        <v>0</v>
      </c>
      <c r="T4577">
        <v>0</v>
      </c>
      <c r="U4577">
        <v>0</v>
      </c>
      <c r="V4577" s="3">
        <v>0</v>
      </c>
      <c r="W4577" s="3">
        <v>0</v>
      </c>
      <c r="X4577">
        <v>0</v>
      </c>
      <c r="Y4577" t="s">
        <v>3253</v>
      </c>
    </row>
    <row r="4578" spans="1:25" hidden="1" x14ac:dyDescent="0.25">
      <c r="A4578" t="s">
        <v>344</v>
      </c>
      <c r="B4578" t="s">
        <v>149</v>
      </c>
      <c r="C4578" t="s">
        <v>27</v>
      </c>
      <c r="D4578" t="s">
        <v>27</v>
      </c>
      <c r="E4578" s="2">
        <v>46081</v>
      </c>
      <c r="F4578" s="2">
        <v>46081</v>
      </c>
      <c r="G4578" s="3">
        <v>81</v>
      </c>
      <c r="H4578" s="4" t="s">
        <v>180</v>
      </c>
      <c r="I4578">
        <v>0</v>
      </c>
      <c r="J4578">
        <v>0</v>
      </c>
      <c r="K4578">
        <v>0</v>
      </c>
      <c r="L4578" s="3">
        <v>0</v>
      </c>
      <c r="M4578" s="3">
        <v>0</v>
      </c>
      <c r="N4578">
        <v>0</v>
      </c>
      <c r="O4578">
        <v>0</v>
      </c>
      <c r="P4578">
        <v>0</v>
      </c>
      <c r="Q4578">
        <v>0</v>
      </c>
      <c r="R4578" s="3">
        <v>0</v>
      </c>
      <c r="S4578" s="3">
        <v>0</v>
      </c>
      <c r="T4578">
        <v>0</v>
      </c>
      <c r="U4578">
        <v>0</v>
      </c>
      <c r="V4578" s="3">
        <v>0</v>
      </c>
      <c r="W4578" s="3">
        <v>0</v>
      </c>
      <c r="X4578">
        <v>0</v>
      </c>
      <c r="Y4578" t="s">
        <v>3253</v>
      </c>
    </row>
    <row r="4579" spans="1:25" hidden="1" x14ac:dyDescent="0.25">
      <c r="A4579" t="s">
        <v>2899</v>
      </c>
      <c r="B4579" t="s">
        <v>2998</v>
      </c>
      <c r="C4579" t="s">
        <v>2271</v>
      </c>
      <c r="D4579" t="s">
        <v>27</v>
      </c>
      <c r="E4579" s="2">
        <v>46100</v>
      </c>
      <c r="F4579" s="2">
        <v>46100</v>
      </c>
      <c r="G4579" s="3">
        <v>41</v>
      </c>
      <c r="H4579" t="s">
        <v>28</v>
      </c>
      <c r="I4579">
        <v>46</v>
      </c>
      <c r="J4579">
        <v>0</v>
      </c>
      <c r="K4579">
        <v>0</v>
      </c>
      <c r="L4579" s="3">
        <v>1</v>
      </c>
      <c r="M4579" s="3">
        <v>0</v>
      </c>
      <c r="N4579">
        <v>0</v>
      </c>
      <c r="O4579">
        <v>0</v>
      </c>
      <c r="P4579">
        <v>0</v>
      </c>
      <c r="Q4579">
        <v>2</v>
      </c>
      <c r="R4579" s="3">
        <v>0</v>
      </c>
      <c r="S4579" s="3">
        <v>0</v>
      </c>
      <c r="T4579">
        <v>0</v>
      </c>
      <c r="U4579">
        <v>0</v>
      </c>
      <c r="V4579" s="3">
        <v>0</v>
      </c>
      <c r="W4579" s="3">
        <v>0</v>
      </c>
      <c r="X4579">
        <v>0</v>
      </c>
      <c r="Y4579" t="s">
        <v>3447</v>
      </c>
    </row>
    <row r="4580" spans="1:25" hidden="1" x14ac:dyDescent="0.25">
      <c r="A4580" t="s">
        <v>27</v>
      </c>
      <c r="B4580" t="s">
        <v>114</v>
      </c>
      <c r="C4580" t="s">
        <v>2379</v>
      </c>
      <c r="D4580" t="s">
        <v>27</v>
      </c>
      <c r="E4580" s="2">
        <v>46098</v>
      </c>
      <c r="F4580" s="2">
        <v>46098</v>
      </c>
      <c r="G4580" s="3">
        <v>27</v>
      </c>
      <c r="H4580" t="s">
        <v>959</v>
      </c>
      <c r="I4580">
        <v>0</v>
      </c>
      <c r="J4580">
        <v>0</v>
      </c>
      <c r="K4580">
        <v>0</v>
      </c>
      <c r="L4580" s="3">
        <v>0</v>
      </c>
      <c r="M4580" s="3">
        <v>0</v>
      </c>
      <c r="N4580">
        <v>0</v>
      </c>
      <c r="O4580">
        <v>0</v>
      </c>
      <c r="P4580">
        <v>0</v>
      </c>
      <c r="Q4580">
        <v>0</v>
      </c>
      <c r="R4580" s="3">
        <v>0</v>
      </c>
      <c r="S4580" s="3">
        <v>0</v>
      </c>
      <c r="T4580">
        <v>0</v>
      </c>
      <c r="U4580">
        <v>0</v>
      </c>
      <c r="V4580" s="3">
        <v>0</v>
      </c>
      <c r="W4580" s="3">
        <v>0</v>
      </c>
      <c r="X4580">
        <v>0</v>
      </c>
      <c r="Y4580" t="s">
        <v>3397</v>
      </c>
    </row>
    <row r="4581" spans="1:25" hidden="1" x14ac:dyDescent="0.25">
      <c r="A4581" t="s">
        <v>27</v>
      </c>
      <c r="B4581" t="s">
        <v>114</v>
      </c>
      <c r="C4581" t="s">
        <v>2379</v>
      </c>
      <c r="D4581" t="s">
        <v>27</v>
      </c>
      <c r="E4581" s="2">
        <v>46099</v>
      </c>
      <c r="F4581" s="2">
        <v>46099</v>
      </c>
      <c r="G4581" s="3">
        <v>27</v>
      </c>
      <c r="H4581" t="s">
        <v>959</v>
      </c>
      <c r="I4581">
        <v>0</v>
      </c>
      <c r="J4581">
        <v>0</v>
      </c>
      <c r="K4581">
        <v>0</v>
      </c>
      <c r="L4581" s="3">
        <v>0</v>
      </c>
      <c r="M4581" s="3">
        <v>0</v>
      </c>
      <c r="N4581">
        <v>0</v>
      </c>
      <c r="O4581">
        <v>0</v>
      </c>
      <c r="P4581">
        <v>0</v>
      </c>
      <c r="Q4581">
        <v>0</v>
      </c>
      <c r="R4581" s="3">
        <v>0</v>
      </c>
      <c r="S4581" s="3">
        <v>0</v>
      </c>
      <c r="T4581">
        <v>0</v>
      </c>
      <c r="U4581">
        <v>0</v>
      </c>
      <c r="V4581" s="3">
        <v>0</v>
      </c>
      <c r="W4581" s="3">
        <v>0</v>
      </c>
      <c r="X4581">
        <v>0</v>
      </c>
      <c r="Y4581" t="s">
        <v>3397</v>
      </c>
    </row>
    <row r="4582" spans="1:25" hidden="1" x14ac:dyDescent="0.25">
      <c r="A4582" t="s">
        <v>27</v>
      </c>
      <c r="B4582" t="s">
        <v>114</v>
      </c>
      <c r="C4582" t="s">
        <v>2379</v>
      </c>
      <c r="D4582" t="s">
        <v>27</v>
      </c>
      <c r="E4582" s="2">
        <v>46100</v>
      </c>
      <c r="F4582" s="2">
        <v>46100</v>
      </c>
      <c r="G4582" s="3">
        <v>27</v>
      </c>
      <c r="H4582" t="s">
        <v>959</v>
      </c>
      <c r="I4582">
        <v>0</v>
      </c>
      <c r="J4582">
        <v>0</v>
      </c>
      <c r="K4582">
        <v>0</v>
      </c>
      <c r="L4582" s="3">
        <v>0</v>
      </c>
      <c r="M4582" s="3">
        <v>0</v>
      </c>
      <c r="N4582">
        <v>0</v>
      </c>
      <c r="O4582">
        <v>0</v>
      </c>
      <c r="P4582">
        <v>0</v>
      </c>
      <c r="Q4582">
        <v>0</v>
      </c>
      <c r="R4582" s="3">
        <v>0</v>
      </c>
      <c r="S4582" s="3">
        <v>0</v>
      </c>
      <c r="T4582">
        <v>0</v>
      </c>
      <c r="U4582">
        <v>0</v>
      </c>
      <c r="V4582" s="3">
        <v>0</v>
      </c>
      <c r="W4582" s="3">
        <v>0</v>
      </c>
      <c r="X4582">
        <v>0</v>
      </c>
      <c r="Y4582" t="s">
        <v>3397</v>
      </c>
    </row>
    <row r="4583" spans="1:25" hidden="1" x14ac:dyDescent="0.25">
      <c r="A4583" t="s">
        <v>55</v>
      </c>
      <c r="B4583" t="s">
        <v>2072</v>
      </c>
      <c r="C4583" t="s">
        <v>2271</v>
      </c>
      <c r="D4583" t="s">
        <v>27</v>
      </c>
      <c r="E4583" s="2">
        <v>46101</v>
      </c>
      <c r="F4583" s="2">
        <v>46101</v>
      </c>
      <c r="G4583" s="3">
        <v>46</v>
      </c>
      <c r="H4583" t="s">
        <v>28</v>
      </c>
      <c r="I4583">
        <v>30</v>
      </c>
      <c r="J4583">
        <v>0</v>
      </c>
      <c r="K4583">
        <v>0</v>
      </c>
      <c r="L4583" s="3">
        <v>1</v>
      </c>
      <c r="M4583" s="3">
        <v>0</v>
      </c>
      <c r="N4583">
        <v>1</v>
      </c>
      <c r="O4583">
        <v>0</v>
      </c>
      <c r="P4583">
        <v>0</v>
      </c>
      <c r="Q4583">
        <v>0</v>
      </c>
      <c r="R4583" s="3">
        <v>0</v>
      </c>
      <c r="S4583" s="3">
        <v>0</v>
      </c>
      <c r="T4583">
        <v>0</v>
      </c>
      <c r="U4583">
        <v>0</v>
      </c>
      <c r="V4583" s="3">
        <v>0</v>
      </c>
      <c r="W4583" s="3">
        <v>0</v>
      </c>
      <c r="X4583">
        <v>0</v>
      </c>
      <c r="Y4583" t="s">
        <v>3476</v>
      </c>
    </row>
    <row r="4584" spans="1:25" hidden="1" x14ac:dyDescent="0.25">
      <c r="A4584" t="s">
        <v>33</v>
      </c>
      <c r="B4584" t="s">
        <v>106</v>
      </c>
      <c r="C4584" t="s">
        <v>55</v>
      </c>
      <c r="D4584" t="s">
        <v>27</v>
      </c>
      <c r="E4584" s="2">
        <v>46103</v>
      </c>
      <c r="F4584" s="2">
        <v>46103</v>
      </c>
      <c r="G4584" s="3">
        <v>165</v>
      </c>
      <c r="H4584" t="s">
        <v>28</v>
      </c>
      <c r="I4584">
        <v>0</v>
      </c>
      <c r="J4584">
        <v>0</v>
      </c>
      <c r="K4584">
        <v>0</v>
      </c>
      <c r="L4584" s="3">
        <v>0</v>
      </c>
      <c r="M4584" s="3">
        <v>0</v>
      </c>
      <c r="N4584">
        <v>0</v>
      </c>
      <c r="O4584">
        <v>0</v>
      </c>
      <c r="P4584">
        <v>0</v>
      </c>
      <c r="Q4584">
        <v>27</v>
      </c>
      <c r="R4584" s="3">
        <v>0</v>
      </c>
      <c r="S4584" s="3">
        <v>1</v>
      </c>
      <c r="T4584">
        <v>30</v>
      </c>
      <c r="U4584">
        <v>16</v>
      </c>
      <c r="V4584" s="3">
        <v>0</v>
      </c>
      <c r="W4584" s="3">
        <v>1</v>
      </c>
      <c r="X4584">
        <v>0</v>
      </c>
      <c r="Y4584" t="s">
        <v>3491</v>
      </c>
    </row>
    <row r="4585" spans="1:25" hidden="1" x14ac:dyDescent="0.25">
      <c r="A4585" t="s">
        <v>41</v>
      </c>
      <c r="B4585" t="s">
        <v>112</v>
      </c>
      <c r="C4585" t="s">
        <v>42</v>
      </c>
      <c r="D4585" t="s">
        <v>27</v>
      </c>
      <c r="E4585" s="2">
        <v>46103</v>
      </c>
      <c r="F4585" s="2">
        <v>46103</v>
      </c>
      <c r="G4585" s="3">
        <v>75</v>
      </c>
      <c r="H4585" t="s">
        <v>28</v>
      </c>
      <c r="I4585">
        <v>0</v>
      </c>
      <c r="J4585">
        <v>0</v>
      </c>
      <c r="K4585">
        <v>0</v>
      </c>
      <c r="L4585" s="3">
        <v>0</v>
      </c>
      <c r="M4585" s="3">
        <v>0</v>
      </c>
      <c r="N4585">
        <v>0</v>
      </c>
      <c r="O4585">
        <v>0</v>
      </c>
      <c r="P4585">
        <v>0</v>
      </c>
      <c r="Q4585">
        <v>20</v>
      </c>
      <c r="R4585" s="3">
        <v>0</v>
      </c>
      <c r="S4585" s="3">
        <v>1</v>
      </c>
      <c r="T4585">
        <v>20</v>
      </c>
      <c r="U4585">
        <v>0</v>
      </c>
      <c r="V4585" s="3">
        <v>0</v>
      </c>
      <c r="W4585" s="3">
        <v>1</v>
      </c>
      <c r="X4585">
        <v>4</v>
      </c>
      <c r="Y4585" t="s">
        <v>3492</v>
      </c>
    </row>
    <row r="4586" spans="1:25" hidden="1" x14ac:dyDescent="0.25">
      <c r="A4586" t="s">
        <v>48</v>
      </c>
      <c r="B4586" t="s">
        <v>149</v>
      </c>
      <c r="C4586" t="s">
        <v>44</v>
      </c>
      <c r="D4586" t="s">
        <v>27</v>
      </c>
      <c r="E4586" s="2">
        <v>46103</v>
      </c>
      <c r="F4586" s="2">
        <v>46103</v>
      </c>
      <c r="G4586" s="3">
        <v>104</v>
      </c>
      <c r="H4586" t="s">
        <v>28</v>
      </c>
      <c r="I4586">
        <v>0</v>
      </c>
      <c r="J4586">
        <v>0</v>
      </c>
      <c r="K4586">
        <v>0</v>
      </c>
      <c r="L4586" s="3">
        <v>0</v>
      </c>
      <c r="M4586" s="3">
        <v>0</v>
      </c>
      <c r="N4586">
        <v>0</v>
      </c>
      <c r="O4586">
        <v>0</v>
      </c>
      <c r="P4586">
        <v>0</v>
      </c>
      <c r="Q4586">
        <v>0</v>
      </c>
      <c r="R4586" s="3">
        <v>0</v>
      </c>
      <c r="S4586" s="3">
        <v>1</v>
      </c>
      <c r="T4586">
        <v>3</v>
      </c>
      <c r="U4586">
        <v>81</v>
      </c>
      <c r="V4586" s="3">
        <v>0</v>
      </c>
      <c r="W4586" s="3">
        <v>1</v>
      </c>
      <c r="X4586">
        <v>1</v>
      </c>
      <c r="Y4586" t="s">
        <v>3493</v>
      </c>
    </row>
    <row r="4587" spans="1:25" hidden="1" x14ac:dyDescent="0.25">
      <c r="A4587" t="s">
        <v>55</v>
      </c>
      <c r="B4587" t="s">
        <v>2072</v>
      </c>
      <c r="C4587" t="s">
        <v>46</v>
      </c>
      <c r="D4587" t="s">
        <v>27</v>
      </c>
      <c r="E4587" s="2">
        <v>46104</v>
      </c>
      <c r="F4587" s="2">
        <v>46104</v>
      </c>
      <c r="G4587" s="3">
        <v>23</v>
      </c>
      <c r="H4587" t="s">
        <v>28</v>
      </c>
      <c r="I4587">
        <v>65</v>
      </c>
      <c r="J4587">
        <v>0</v>
      </c>
      <c r="K4587">
        <v>0</v>
      </c>
      <c r="L4587" s="3">
        <v>1</v>
      </c>
      <c r="M4587" s="3">
        <v>0</v>
      </c>
      <c r="N4587">
        <v>0</v>
      </c>
      <c r="O4587">
        <v>0</v>
      </c>
      <c r="P4587">
        <v>0</v>
      </c>
      <c r="Q4587">
        <v>0</v>
      </c>
      <c r="R4587" s="3">
        <v>0</v>
      </c>
      <c r="S4587" s="3">
        <v>0</v>
      </c>
      <c r="T4587">
        <v>0</v>
      </c>
      <c r="U4587">
        <v>0</v>
      </c>
      <c r="V4587" s="3">
        <v>0</v>
      </c>
      <c r="W4587" s="3">
        <v>0</v>
      </c>
      <c r="X4587">
        <v>0</v>
      </c>
      <c r="Y4587" t="s">
        <v>3494</v>
      </c>
    </row>
    <row r="4588" spans="1:25" hidden="1" x14ac:dyDescent="0.25">
      <c r="A4588" t="s">
        <v>25</v>
      </c>
      <c r="B4588" t="s">
        <v>96</v>
      </c>
      <c r="C4588" t="s">
        <v>26</v>
      </c>
      <c r="D4588" t="s">
        <v>27</v>
      </c>
      <c r="E4588" s="2">
        <v>46104</v>
      </c>
      <c r="F4588" s="2">
        <v>46104</v>
      </c>
      <c r="G4588" s="3">
        <v>33</v>
      </c>
      <c r="H4588" t="s">
        <v>28</v>
      </c>
      <c r="I4588">
        <v>35</v>
      </c>
      <c r="J4588">
        <v>0</v>
      </c>
      <c r="K4588">
        <v>0</v>
      </c>
      <c r="L4588" s="3">
        <v>0</v>
      </c>
      <c r="M4588" s="3">
        <v>0</v>
      </c>
      <c r="N4588">
        <v>1</v>
      </c>
      <c r="O4588">
        <v>0</v>
      </c>
      <c r="P4588">
        <v>0</v>
      </c>
      <c r="Q4588">
        <v>0</v>
      </c>
      <c r="R4588" s="3">
        <v>0</v>
      </c>
      <c r="S4588" s="3">
        <v>0</v>
      </c>
      <c r="T4588">
        <v>0</v>
      </c>
      <c r="U4588">
        <v>0</v>
      </c>
      <c r="V4588" s="3">
        <v>0</v>
      </c>
      <c r="W4588" s="3">
        <v>0</v>
      </c>
      <c r="X4588">
        <v>0</v>
      </c>
      <c r="Y4588" t="s">
        <v>3495</v>
      </c>
    </row>
    <row r="4589" spans="1:25" hidden="1" x14ac:dyDescent="0.25">
      <c r="A4589" t="s">
        <v>29</v>
      </c>
      <c r="B4589" t="s">
        <v>96</v>
      </c>
      <c r="C4589" t="s">
        <v>95</v>
      </c>
      <c r="D4589" t="s">
        <v>27</v>
      </c>
      <c r="E4589" s="2">
        <v>46104</v>
      </c>
      <c r="F4589" s="2">
        <v>46104</v>
      </c>
      <c r="G4589" s="3">
        <v>33</v>
      </c>
      <c r="H4589" t="s">
        <v>28</v>
      </c>
      <c r="I4589">
        <v>53</v>
      </c>
      <c r="J4589">
        <v>0</v>
      </c>
      <c r="K4589">
        <v>0</v>
      </c>
      <c r="L4589" s="3">
        <v>0</v>
      </c>
      <c r="M4589" s="3">
        <v>0</v>
      </c>
      <c r="N4589">
        <v>1</v>
      </c>
      <c r="O4589">
        <v>0</v>
      </c>
      <c r="P4589">
        <v>0</v>
      </c>
      <c r="Q4589">
        <v>0</v>
      </c>
      <c r="R4589" s="3">
        <v>0</v>
      </c>
      <c r="S4589" s="3">
        <v>0</v>
      </c>
      <c r="T4589">
        <v>0</v>
      </c>
      <c r="U4589">
        <v>0</v>
      </c>
      <c r="V4589" s="3">
        <v>0</v>
      </c>
      <c r="W4589" s="3">
        <v>0</v>
      </c>
      <c r="X4589">
        <v>0</v>
      </c>
      <c r="Y4589" t="s">
        <v>3495</v>
      </c>
    </row>
    <row r="4590" spans="1:25" hidden="1" x14ac:dyDescent="0.25">
      <c r="A4590" t="s">
        <v>344</v>
      </c>
      <c r="B4590" t="s">
        <v>96</v>
      </c>
      <c r="C4590" t="s">
        <v>35</v>
      </c>
      <c r="D4590" t="s">
        <v>27</v>
      </c>
      <c r="E4590" s="2">
        <v>46104</v>
      </c>
      <c r="F4590" s="2">
        <v>46104</v>
      </c>
      <c r="G4590" s="3">
        <v>33</v>
      </c>
      <c r="H4590" t="s">
        <v>28</v>
      </c>
      <c r="I4590">
        <v>37</v>
      </c>
      <c r="J4590">
        <v>0</v>
      </c>
      <c r="K4590">
        <v>0</v>
      </c>
      <c r="L4590" s="3">
        <v>0</v>
      </c>
      <c r="M4590" s="3">
        <v>0</v>
      </c>
      <c r="N4590">
        <v>1</v>
      </c>
      <c r="O4590">
        <v>0</v>
      </c>
      <c r="P4590">
        <v>0</v>
      </c>
      <c r="Q4590">
        <v>0</v>
      </c>
      <c r="R4590" s="3">
        <v>0</v>
      </c>
      <c r="S4590" s="3">
        <v>0</v>
      </c>
      <c r="T4590">
        <v>0</v>
      </c>
      <c r="U4590">
        <v>0</v>
      </c>
      <c r="V4590" s="3">
        <v>0</v>
      </c>
      <c r="W4590" s="3">
        <v>0</v>
      </c>
      <c r="X4590">
        <v>0</v>
      </c>
      <c r="Y4590" t="s">
        <v>3495</v>
      </c>
    </row>
    <row r="4591" spans="1:25" hidden="1" x14ac:dyDescent="0.25">
      <c r="A4591" t="s">
        <v>31</v>
      </c>
      <c r="B4591" t="s">
        <v>104</v>
      </c>
      <c r="C4591" t="s">
        <v>686</v>
      </c>
      <c r="D4591" t="s">
        <v>27</v>
      </c>
      <c r="E4591" s="2">
        <v>46104</v>
      </c>
      <c r="F4591" s="2">
        <v>46104</v>
      </c>
      <c r="G4591" s="3">
        <v>52</v>
      </c>
      <c r="H4591" t="s">
        <v>28</v>
      </c>
      <c r="I4591">
        <v>76</v>
      </c>
      <c r="J4591">
        <v>0</v>
      </c>
      <c r="K4591">
        <v>0</v>
      </c>
      <c r="L4591" s="3">
        <v>1</v>
      </c>
      <c r="M4591" s="3">
        <v>0</v>
      </c>
      <c r="N4591">
        <v>0</v>
      </c>
      <c r="O4591">
        <v>0</v>
      </c>
      <c r="P4591">
        <v>0</v>
      </c>
      <c r="Q4591">
        <v>40</v>
      </c>
      <c r="R4591" s="3">
        <v>0</v>
      </c>
      <c r="S4591" s="3">
        <v>0</v>
      </c>
      <c r="T4591">
        <v>0</v>
      </c>
      <c r="U4591">
        <v>0</v>
      </c>
      <c r="V4591" s="3">
        <v>0</v>
      </c>
      <c r="W4591" s="3">
        <v>0</v>
      </c>
      <c r="X4591">
        <v>1</v>
      </c>
      <c r="Y4591" t="s">
        <v>3496</v>
      </c>
    </row>
    <row r="4592" spans="1:25" hidden="1" x14ac:dyDescent="0.25">
      <c r="A4592" t="s">
        <v>33</v>
      </c>
      <c r="B4592" t="s">
        <v>106</v>
      </c>
      <c r="C4592" t="s">
        <v>57</v>
      </c>
      <c r="D4592" t="s">
        <v>27</v>
      </c>
      <c r="E4592" s="2">
        <v>46104</v>
      </c>
      <c r="F4592" s="2">
        <v>46104</v>
      </c>
      <c r="G4592" s="3">
        <v>59</v>
      </c>
      <c r="H4592" t="s">
        <v>28</v>
      </c>
      <c r="I4592">
        <v>63</v>
      </c>
      <c r="J4592">
        <v>0</v>
      </c>
      <c r="K4592">
        <v>0</v>
      </c>
      <c r="L4592" s="3">
        <v>0</v>
      </c>
      <c r="M4592" s="3">
        <v>0</v>
      </c>
      <c r="N4592">
        <v>0</v>
      </c>
      <c r="O4592">
        <v>0</v>
      </c>
      <c r="P4592">
        <v>0</v>
      </c>
      <c r="Q4592">
        <v>21</v>
      </c>
      <c r="R4592" s="3">
        <v>0</v>
      </c>
      <c r="S4592" s="3">
        <v>0</v>
      </c>
      <c r="T4592">
        <v>0</v>
      </c>
      <c r="U4592">
        <v>0</v>
      </c>
      <c r="V4592" s="3">
        <v>0</v>
      </c>
      <c r="W4592" s="3">
        <v>0</v>
      </c>
      <c r="X4592">
        <v>0</v>
      </c>
      <c r="Y4592" t="s">
        <v>3497</v>
      </c>
    </row>
    <row r="4593" spans="1:25" hidden="1" x14ac:dyDescent="0.25">
      <c r="A4593" t="s">
        <v>36</v>
      </c>
      <c r="B4593" t="s">
        <v>249</v>
      </c>
      <c r="C4593" t="s">
        <v>2534</v>
      </c>
      <c r="D4593" t="s">
        <v>27</v>
      </c>
      <c r="E4593" s="2">
        <v>46104</v>
      </c>
      <c r="F4593" s="2">
        <v>46104</v>
      </c>
      <c r="G4593" s="3">
        <v>65</v>
      </c>
      <c r="H4593" t="s">
        <v>28</v>
      </c>
      <c r="I4593">
        <v>63</v>
      </c>
      <c r="J4593">
        <v>0</v>
      </c>
      <c r="K4593">
        <v>0</v>
      </c>
      <c r="L4593" s="3">
        <v>1</v>
      </c>
      <c r="M4593" s="3">
        <v>0</v>
      </c>
      <c r="N4593">
        <v>1</v>
      </c>
      <c r="O4593">
        <v>0</v>
      </c>
      <c r="P4593">
        <v>0</v>
      </c>
      <c r="Q4593">
        <v>0</v>
      </c>
      <c r="R4593" s="3">
        <v>0</v>
      </c>
      <c r="S4593" s="3">
        <v>0</v>
      </c>
      <c r="T4593">
        <v>0</v>
      </c>
      <c r="U4593">
        <v>0</v>
      </c>
      <c r="V4593" s="3">
        <v>0</v>
      </c>
      <c r="W4593" s="3">
        <v>0</v>
      </c>
      <c r="X4593">
        <v>0</v>
      </c>
      <c r="Y4593" t="s">
        <v>3498</v>
      </c>
    </row>
    <row r="4594" spans="1:25" hidden="1" x14ac:dyDescent="0.25">
      <c r="A4594" t="s">
        <v>38</v>
      </c>
      <c r="B4594" t="s">
        <v>108</v>
      </c>
      <c r="C4594" t="s">
        <v>27</v>
      </c>
      <c r="D4594" t="s">
        <v>27</v>
      </c>
      <c r="E4594" s="2">
        <v>46104</v>
      </c>
      <c r="F4594" s="2">
        <v>46104</v>
      </c>
      <c r="G4594" s="3">
        <v>40</v>
      </c>
      <c r="H4594" t="s">
        <v>28</v>
      </c>
      <c r="I4594">
        <v>47</v>
      </c>
      <c r="J4594">
        <v>0</v>
      </c>
      <c r="K4594">
        <v>0</v>
      </c>
      <c r="L4594" s="3">
        <v>1</v>
      </c>
      <c r="M4594" s="3">
        <v>0</v>
      </c>
      <c r="N4594">
        <v>0</v>
      </c>
      <c r="O4594">
        <v>0</v>
      </c>
      <c r="P4594">
        <v>0</v>
      </c>
      <c r="Q4594">
        <v>47</v>
      </c>
      <c r="R4594" s="3">
        <v>0</v>
      </c>
      <c r="S4594" s="3">
        <v>0</v>
      </c>
      <c r="T4594">
        <v>0</v>
      </c>
      <c r="U4594">
        <v>0</v>
      </c>
      <c r="V4594" s="3">
        <v>0</v>
      </c>
      <c r="W4594" s="3">
        <v>0</v>
      </c>
      <c r="X4594">
        <v>0</v>
      </c>
      <c r="Y4594" t="s">
        <v>3499</v>
      </c>
    </row>
    <row r="4595" spans="1:25" hidden="1" x14ac:dyDescent="0.25">
      <c r="A4595" t="s">
        <v>2679</v>
      </c>
      <c r="B4595" t="s">
        <v>2680</v>
      </c>
      <c r="C4595" t="s">
        <v>39</v>
      </c>
      <c r="D4595" t="s">
        <v>27</v>
      </c>
      <c r="E4595" s="2">
        <v>46104</v>
      </c>
      <c r="F4595" s="2">
        <v>46104</v>
      </c>
      <c r="G4595" s="3">
        <v>35</v>
      </c>
      <c r="H4595" t="s">
        <v>28</v>
      </c>
      <c r="I4595">
        <v>53</v>
      </c>
      <c r="J4595">
        <v>0</v>
      </c>
      <c r="K4595">
        <v>0</v>
      </c>
      <c r="L4595" s="3">
        <v>0</v>
      </c>
      <c r="M4595" s="3">
        <v>0</v>
      </c>
      <c r="N4595">
        <v>0</v>
      </c>
      <c r="O4595">
        <v>0</v>
      </c>
      <c r="P4595">
        <v>0</v>
      </c>
      <c r="Q4595">
        <v>53</v>
      </c>
      <c r="R4595" s="3">
        <v>0</v>
      </c>
      <c r="S4595" s="3">
        <v>0</v>
      </c>
      <c r="T4595">
        <v>0</v>
      </c>
      <c r="U4595">
        <v>0</v>
      </c>
      <c r="V4595" s="3">
        <v>0</v>
      </c>
      <c r="W4595" s="3">
        <v>0</v>
      </c>
      <c r="X4595">
        <v>0</v>
      </c>
      <c r="Y4595" t="s">
        <v>3500</v>
      </c>
    </row>
    <row r="4596" spans="1:25" hidden="1" x14ac:dyDescent="0.25">
      <c r="A4596" t="s">
        <v>1316</v>
      </c>
      <c r="B4596" t="s">
        <v>1348</v>
      </c>
      <c r="C4596" t="s">
        <v>2514</v>
      </c>
      <c r="D4596" t="s">
        <v>27</v>
      </c>
      <c r="E4596" s="2">
        <v>46104</v>
      </c>
      <c r="F4596" s="2">
        <v>46104</v>
      </c>
      <c r="G4596" s="3">
        <v>293</v>
      </c>
      <c r="H4596" t="s">
        <v>28</v>
      </c>
      <c r="I4596">
        <v>55</v>
      </c>
      <c r="J4596">
        <v>20</v>
      </c>
      <c r="K4596">
        <v>0</v>
      </c>
      <c r="L4596" s="3">
        <v>1</v>
      </c>
      <c r="M4596" s="3">
        <v>0</v>
      </c>
      <c r="N4596">
        <v>0</v>
      </c>
      <c r="O4596">
        <v>0</v>
      </c>
      <c r="P4596">
        <v>0</v>
      </c>
      <c r="Q4596">
        <v>25</v>
      </c>
      <c r="R4596" s="3">
        <v>0</v>
      </c>
      <c r="S4596" s="3">
        <v>0</v>
      </c>
      <c r="T4596">
        <v>0</v>
      </c>
      <c r="U4596">
        <v>0</v>
      </c>
      <c r="V4596" s="3">
        <v>0</v>
      </c>
      <c r="W4596" s="3">
        <v>0</v>
      </c>
      <c r="X4596">
        <v>0</v>
      </c>
      <c r="Y4596" t="s">
        <v>3501</v>
      </c>
    </row>
    <row r="4597" spans="1:25" hidden="1" x14ac:dyDescent="0.25">
      <c r="A4597" t="s">
        <v>41</v>
      </c>
      <c r="B4597" t="s">
        <v>112</v>
      </c>
      <c r="C4597" t="s">
        <v>42</v>
      </c>
      <c r="D4597" t="s">
        <v>27</v>
      </c>
      <c r="E4597" s="2">
        <v>46104</v>
      </c>
      <c r="F4597" s="2">
        <v>46104</v>
      </c>
      <c r="G4597" s="3">
        <v>46</v>
      </c>
      <c r="H4597" t="s">
        <v>28</v>
      </c>
      <c r="I4597">
        <v>62</v>
      </c>
      <c r="J4597">
        <v>0</v>
      </c>
      <c r="K4597">
        <v>0</v>
      </c>
      <c r="L4597" s="3">
        <v>1</v>
      </c>
      <c r="M4597" s="3">
        <v>0</v>
      </c>
      <c r="N4597">
        <v>0</v>
      </c>
      <c r="O4597">
        <v>0</v>
      </c>
      <c r="P4597">
        <v>0</v>
      </c>
      <c r="Q4597">
        <v>22</v>
      </c>
      <c r="R4597" s="3">
        <v>0</v>
      </c>
      <c r="S4597" s="3">
        <v>0</v>
      </c>
      <c r="T4597">
        <v>0</v>
      </c>
      <c r="U4597">
        <v>0</v>
      </c>
      <c r="V4597" s="3">
        <v>0</v>
      </c>
      <c r="W4597" s="3">
        <v>0</v>
      </c>
      <c r="X4597">
        <v>7</v>
      </c>
      <c r="Y4597" t="s">
        <v>3502</v>
      </c>
    </row>
    <row r="4598" spans="1:25" hidden="1" x14ac:dyDescent="0.25">
      <c r="A4598" t="s">
        <v>43</v>
      </c>
      <c r="B4598" t="s">
        <v>114</v>
      </c>
      <c r="C4598" t="s">
        <v>44</v>
      </c>
      <c r="D4598" t="s">
        <v>27</v>
      </c>
      <c r="E4598" s="2">
        <v>46104</v>
      </c>
      <c r="F4598" s="2">
        <v>46104</v>
      </c>
      <c r="G4598" s="3">
        <v>30</v>
      </c>
      <c r="H4598" t="s">
        <v>28</v>
      </c>
      <c r="I4598">
        <v>57</v>
      </c>
      <c r="J4598">
        <v>0</v>
      </c>
      <c r="K4598">
        <v>0</v>
      </c>
      <c r="L4598" s="3">
        <v>1</v>
      </c>
      <c r="M4598" s="3">
        <v>0</v>
      </c>
      <c r="N4598">
        <v>0</v>
      </c>
      <c r="O4598">
        <v>0</v>
      </c>
      <c r="P4598">
        <v>0</v>
      </c>
      <c r="Q4598">
        <v>21</v>
      </c>
      <c r="R4598" s="3">
        <v>0</v>
      </c>
      <c r="S4598" s="3">
        <v>0</v>
      </c>
      <c r="T4598">
        <v>0</v>
      </c>
      <c r="U4598">
        <v>0</v>
      </c>
      <c r="V4598" s="3">
        <v>0</v>
      </c>
      <c r="W4598" s="3">
        <v>0</v>
      </c>
      <c r="X4598">
        <v>0</v>
      </c>
      <c r="Y4598" t="s">
        <v>3503</v>
      </c>
    </row>
    <row r="4599" spans="1:25" hidden="1" x14ac:dyDescent="0.25">
      <c r="A4599" t="s">
        <v>47</v>
      </c>
      <c r="B4599" t="s">
        <v>137</v>
      </c>
      <c r="C4599" t="s">
        <v>2310</v>
      </c>
      <c r="D4599" t="s">
        <v>27</v>
      </c>
      <c r="E4599" s="2">
        <v>46104</v>
      </c>
      <c r="F4599" s="2">
        <v>46104</v>
      </c>
      <c r="G4599" s="3">
        <v>66</v>
      </c>
      <c r="H4599" t="s">
        <v>28</v>
      </c>
      <c r="I4599">
        <v>59</v>
      </c>
      <c r="J4599">
        <v>0</v>
      </c>
      <c r="K4599">
        <v>0</v>
      </c>
      <c r="L4599" s="3">
        <v>1</v>
      </c>
      <c r="M4599" s="3">
        <v>0</v>
      </c>
      <c r="N4599">
        <v>0</v>
      </c>
      <c r="O4599">
        <v>0</v>
      </c>
      <c r="P4599">
        <v>0</v>
      </c>
      <c r="Q4599">
        <v>10</v>
      </c>
      <c r="R4599" s="3">
        <v>0</v>
      </c>
      <c r="S4599" s="3">
        <v>0</v>
      </c>
      <c r="T4599">
        <v>0</v>
      </c>
      <c r="U4599">
        <v>0</v>
      </c>
      <c r="V4599" s="3">
        <v>0</v>
      </c>
      <c r="W4599" s="3">
        <v>0</v>
      </c>
      <c r="X4599">
        <v>0</v>
      </c>
      <c r="Y4599" t="s">
        <v>3504</v>
      </c>
    </row>
    <row r="4600" spans="1:25" hidden="1" x14ac:dyDescent="0.25">
      <c r="A4600" t="s">
        <v>49</v>
      </c>
      <c r="B4600" t="s">
        <v>120</v>
      </c>
      <c r="C4600" t="s">
        <v>50</v>
      </c>
      <c r="D4600" t="s">
        <v>27</v>
      </c>
      <c r="E4600" s="2">
        <v>46104</v>
      </c>
      <c r="F4600" s="2">
        <v>46104</v>
      </c>
      <c r="G4600" s="3">
        <v>24</v>
      </c>
      <c r="H4600" t="s">
        <v>28</v>
      </c>
      <c r="I4600">
        <v>27</v>
      </c>
      <c r="J4600">
        <v>0</v>
      </c>
      <c r="K4600">
        <v>0</v>
      </c>
      <c r="L4600" s="3">
        <v>1</v>
      </c>
      <c r="M4600" s="3">
        <v>1</v>
      </c>
      <c r="N4600">
        <v>0</v>
      </c>
      <c r="O4600">
        <v>1</v>
      </c>
      <c r="P4600">
        <v>0</v>
      </c>
      <c r="Q4600">
        <v>27</v>
      </c>
      <c r="R4600" s="3">
        <v>0</v>
      </c>
      <c r="S4600" s="3">
        <v>0</v>
      </c>
      <c r="T4600">
        <v>0</v>
      </c>
      <c r="U4600">
        <v>0</v>
      </c>
      <c r="V4600" s="3">
        <v>0</v>
      </c>
      <c r="W4600" s="3">
        <v>0</v>
      </c>
      <c r="X4600">
        <v>0</v>
      </c>
      <c r="Y4600" t="s">
        <v>3505</v>
      </c>
    </row>
    <row r="4601" spans="1:25" hidden="1" x14ac:dyDescent="0.25">
      <c r="A4601" t="s">
        <v>51</v>
      </c>
      <c r="B4601" t="s">
        <v>120</v>
      </c>
      <c r="C4601" t="s">
        <v>2835</v>
      </c>
      <c r="D4601" t="s">
        <v>27</v>
      </c>
      <c r="E4601" s="2">
        <v>46104</v>
      </c>
      <c r="F4601" s="2">
        <v>46104</v>
      </c>
      <c r="G4601" s="3">
        <v>95</v>
      </c>
      <c r="H4601" t="s">
        <v>28</v>
      </c>
      <c r="I4601">
        <v>38</v>
      </c>
      <c r="J4601">
        <v>10</v>
      </c>
      <c r="K4601">
        <v>0</v>
      </c>
      <c r="L4601" s="3">
        <v>1</v>
      </c>
      <c r="M4601" s="3">
        <v>0</v>
      </c>
      <c r="N4601">
        <v>0</v>
      </c>
      <c r="O4601">
        <v>1</v>
      </c>
      <c r="P4601">
        <v>0</v>
      </c>
      <c r="Q4601">
        <v>0</v>
      </c>
      <c r="R4601" s="3">
        <v>0</v>
      </c>
      <c r="S4601" s="3">
        <v>0</v>
      </c>
      <c r="T4601">
        <v>0</v>
      </c>
      <c r="U4601">
        <v>0</v>
      </c>
      <c r="V4601" s="3">
        <v>0</v>
      </c>
      <c r="W4601" s="3">
        <v>0</v>
      </c>
      <c r="X4601">
        <v>0</v>
      </c>
      <c r="Y4601" t="s">
        <v>3506</v>
      </c>
    </row>
    <row r="4602" spans="1:25" hidden="1" x14ac:dyDescent="0.25">
      <c r="A4602" t="s">
        <v>54</v>
      </c>
      <c r="B4602" t="s">
        <v>122</v>
      </c>
      <c r="C4602" t="s">
        <v>52</v>
      </c>
      <c r="D4602" t="s">
        <v>27</v>
      </c>
      <c r="E4602" s="2">
        <v>46104</v>
      </c>
      <c r="F4602" s="2">
        <v>46104</v>
      </c>
      <c r="G4602" s="3">
        <v>35</v>
      </c>
      <c r="H4602" t="s">
        <v>28</v>
      </c>
      <c r="I4602">
        <v>50</v>
      </c>
      <c r="J4602">
        <v>0</v>
      </c>
      <c r="K4602">
        <v>0</v>
      </c>
      <c r="L4602" s="3">
        <v>0</v>
      </c>
      <c r="M4602" s="3">
        <v>0</v>
      </c>
      <c r="N4602">
        <v>0</v>
      </c>
      <c r="O4602">
        <v>0</v>
      </c>
      <c r="P4602">
        <v>0</v>
      </c>
      <c r="Q4602">
        <v>7</v>
      </c>
      <c r="R4602" s="3">
        <v>0</v>
      </c>
      <c r="S4602" s="3">
        <v>0</v>
      </c>
      <c r="T4602">
        <v>0</v>
      </c>
      <c r="U4602">
        <v>0</v>
      </c>
      <c r="V4602" s="3">
        <v>0</v>
      </c>
      <c r="W4602" s="3">
        <v>0</v>
      </c>
      <c r="X4602">
        <v>0</v>
      </c>
      <c r="Y4602" t="s">
        <v>3507</v>
      </c>
    </row>
    <row r="4603" spans="1:25" hidden="1" x14ac:dyDescent="0.25">
      <c r="A4603" t="s">
        <v>48</v>
      </c>
      <c r="B4603" t="s">
        <v>149</v>
      </c>
      <c r="C4603" t="s">
        <v>37</v>
      </c>
      <c r="D4603" t="s">
        <v>27</v>
      </c>
      <c r="E4603" s="2">
        <v>46104</v>
      </c>
      <c r="F4603" s="2">
        <v>46104</v>
      </c>
      <c r="G4603" s="3">
        <v>18</v>
      </c>
      <c r="H4603" t="s">
        <v>28</v>
      </c>
      <c r="I4603">
        <v>75</v>
      </c>
      <c r="J4603">
        <v>0</v>
      </c>
      <c r="K4603">
        <v>0</v>
      </c>
      <c r="L4603" s="3">
        <v>1</v>
      </c>
      <c r="M4603" s="3">
        <v>0</v>
      </c>
      <c r="N4603">
        <v>0</v>
      </c>
      <c r="O4603">
        <v>0</v>
      </c>
      <c r="P4603">
        <v>0</v>
      </c>
      <c r="Q4603">
        <v>0</v>
      </c>
      <c r="R4603" s="3">
        <v>0</v>
      </c>
      <c r="S4603" s="3">
        <v>0</v>
      </c>
      <c r="T4603">
        <v>0</v>
      </c>
      <c r="U4603">
        <v>0</v>
      </c>
      <c r="V4603" s="3">
        <v>0</v>
      </c>
      <c r="W4603" s="3">
        <v>0</v>
      </c>
      <c r="X4603">
        <v>0</v>
      </c>
      <c r="Y4603" t="s">
        <v>3508</v>
      </c>
    </row>
    <row r="4604" spans="1:25" hidden="1" x14ac:dyDescent="0.25">
      <c r="A4604" t="s">
        <v>27</v>
      </c>
      <c r="B4604" t="s">
        <v>739</v>
      </c>
      <c r="C4604" t="s">
        <v>32</v>
      </c>
      <c r="D4604" t="s">
        <v>27</v>
      </c>
      <c r="E4604" s="2">
        <v>46104</v>
      </c>
      <c r="F4604" s="2">
        <v>46104</v>
      </c>
      <c r="G4604" s="3">
        <v>19</v>
      </c>
      <c r="H4604" t="s">
        <v>180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3508</v>
      </c>
    </row>
    <row r="4605" spans="1:25" hidden="1" x14ac:dyDescent="0.25">
      <c r="A4605" t="s">
        <v>40</v>
      </c>
      <c r="B4605" t="s">
        <v>755</v>
      </c>
      <c r="C4605" t="s">
        <v>27</v>
      </c>
      <c r="D4605" t="s">
        <v>27</v>
      </c>
      <c r="E4605" s="2">
        <v>46104</v>
      </c>
      <c r="F4605" s="2">
        <v>46104</v>
      </c>
      <c r="G4605" s="3">
        <v>20</v>
      </c>
      <c r="H4605" t="s">
        <v>1256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3508</v>
      </c>
    </row>
    <row r="4606" spans="1:25" hidden="1" x14ac:dyDescent="0.25">
      <c r="A4606" t="s">
        <v>27</v>
      </c>
      <c r="B4606" t="s">
        <v>758</v>
      </c>
      <c r="C4606" t="s">
        <v>2379</v>
      </c>
      <c r="D4606" t="s">
        <v>27</v>
      </c>
      <c r="E4606" s="2">
        <v>46104</v>
      </c>
      <c r="F4606" s="2">
        <v>46104</v>
      </c>
      <c r="G4606" s="3">
        <v>21</v>
      </c>
      <c r="H4606" t="s">
        <v>2143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3508</v>
      </c>
    </row>
    <row r="4607" spans="1:25" hidden="1" x14ac:dyDescent="0.25">
      <c r="A4607" t="s">
        <v>27</v>
      </c>
      <c r="B4607" t="s">
        <v>798</v>
      </c>
      <c r="C4607" t="s">
        <v>2271</v>
      </c>
      <c r="D4607" t="s">
        <v>27</v>
      </c>
      <c r="E4607" s="2">
        <v>46104</v>
      </c>
      <c r="F4607" s="2">
        <v>46104</v>
      </c>
      <c r="G4607" s="3">
        <v>22</v>
      </c>
      <c r="H4607" t="s">
        <v>1153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3508</v>
      </c>
    </row>
    <row r="4608" spans="1:25" hidden="1" x14ac:dyDescent="0.25">
      <c r="A4608" t="s">
        <v>45</v>
      </c>
      <c r="B4608" t="s">
        <v>799</v>
      </c>
      <c r="C4608" t="s">
        <v>27</v>
      </c>
      <c r="D4608" t="s">
        <v>27</v>
      </c>
      <c r="E4608" s="2">
        <v>46104</v>
      </c>
      <c r="F4608" s="2">
        <v>46104</v>
      </c>
      <c r="G4608" s="3">
        <v>23</v>
      </c>
      <c r="H4608" t="s">
        <v>1255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3508</v>
      </c>
    </row>
    <row r="4609" spans="1:25" hidden="1" x14ac:dyDescent="0.25">
      <c r="A4609" t="s">
        <v>55</v>
      </c>
      <c r="B4609" t="s">
        <v>2072</v>
      </c>
      <c r="C4609" t="s">
        <v>46</v>
      </c>
      <c r="D4609" t="s">
        <v>27</v>
      </c>
      <c r="E4609" s="2">
        <v>46105</v>
      </c>
      <c r="F4609" s="2">
        <v>46105</v>
      </c>
      <c r="G4609" s="3">
        <v>116</v>
      </c>
      <c r="H4609" t="s">
        <v>28</v>
      </c>
      <c r="I4609">
        <v>39</v>
      </c>
      <c r="J4609">
        <v>0</v>
      </c>
      <c r="K4609">
        <v>0</v>
      </c>
      <c r="L4609" s="3">
        <v>0</v>
      </c>
      <c r="M4609" s="3">
        <v>0</v>
      </c>
      <c r="N4609">
        <v>0</v>
      </c>
      <c r="O4609">
        <v>0</v>
      </c>
      <c r="P4609">
        <v>0</v>
      </c>
      <c r="Q4609">
        <v>6</v>
      </c>
      <c r="R4609" s="3">
        <v>0</v>
      </c>
      <c r="S4609" s="3">
        <v>0</v>
      </c>
      <c r="T4609">
        <v>0</v>
      </c>
      <c r="U4609">
        <v>0</v>
      </c>
      <c r="V4609" s="3">
        <v>0</v>
      </c>
      <c r="W4609" s="3">
        <v>0</v>
      </c>
      <c r="X4609">
        <v>0</v>
      </c>
      <c r="Y4609" t="s">
        <v>3509</v>
      </c>
    </row>
    <row r="4610" spans="1:25" hidden="1" x14ac:dyDescent="0.25">
      <c r="A4610" t="s">
        <v>25</v>
      </c>
      <c r="B4610" t="s">
        <v>96</v>
      </c>
      <c r="C4610" t="s">
        <v>26</v>
      </c>
      <c r="D4610" t="s">
        <v>27</v>
      </c>
      <c r="E4610" s="2">
        <v>46105</v>
      </c>
      <c r="F4610" s="2">
        <v>46105</v>
      </c>
      <c r="G4610" s="3">
        <v>35</v>
      </c>
      <c r="H4610" t="s">
        <v>28</v>
      </c>
      <c r="I4610">
        <v>52</v>
      </c>
      <c r="J4610">
        <v>0</v>
      </c>
      <c r="K4610">
        <v>0</v>
      </c>
      <c r="L4610" s="3">
        <v>0</v>
      </c>
      <c r="M4610" s="3">
        <v>0</v>
      </c>
      <c r="N4610">
        <v>1</v>
      </c>
      <c r="O4610">
        <v>0</v>
      </c>
      <c r="P4610">
        <v>0</v>
      </c>
      <c r="Q4610">
        <v>0</v>
      </c>
      <c r="R4610" s="3">
        <v>0</v>
      </c>
      <c r="S4610" s="3">
        <v>0</v>
      </c>
      <c r="T4610">
        <v>0</v>
      </c>
      <c r="U4610">
        <v>0</v>
      </c>
      <c r="V4610" s="3">
        <v>0</v>
      </c>
      <c r="W4610" s="3">
        <v>0</v>
      </c>
      <c r="X4610">
        <v>0</v>
      </c>
      <c r="Y4610" t="s">
        <v>3510</v>
      </c>
    </row>
    <row r="4611" spans="1:25" hidden="1" x14ac:dyDescent="0.25">
      <c r="A4611" t="s">
        <v>29</v>
      </c>
      <c r="B4611" t="s">
        <v>100</v>
      </c>
      <c r="C4611" t="s">
        <v>95</v>
      </c>
      <c r="D4611" t="s">
        <v>27</v>
      </c>
      <c r="E4611" s="2">
        <v>46105</v>
      </c>
      <c r="F4611" s="2">
        <v>46105</v>
      </c>
      <c r="G4611" s="3">
        <v>28</v>
      </c>
      <c r="H4611" t="s">
        <v>28</v>
      </c>
      <c r="I4611">
        <v>15</v>
      </c>
      <c r="J4611">
        <v>0</v>
      </c>
      <c r="K4611">
        <v>0</v>
      </c>
      <c r="L4611" s="3">
        <v>1</v>
      </c>
      <c r="M4611" s="3">
        <v>0</v>
      </c>
      <c r="N4611">
        <v>0</v>
      </c>
      <c r="O4611">
        <v>0</v>
      </c>
      <c r="P4611">
        <v>2</v>
      </c>
      <c r="Q4611">
        <v>2</v>
      </c>
      <c r="R4611" s="3">
        <v>0</v>
      </c>
      <c r="S4611" s="3">
        <v>0</v>
      </c>
      <c r="T4611">
        <v>0</v>
      </c>
      <c r="U4611">
        <v>0</v>
      </c>
      <c r="V4611" s="3">
        <v>0</v>
      </c>
      <c r="W4611" s="3">
        <v>0</v>
      </c>
      <c r="X4611">
        <v>0</v>
      </c>
      <c r="Y4611" t="s">
        <v>3511</v>
      </c>
    </row>
    <row r="4612" spans="1:25" hidden="1" x14ac:dyDescent="0.25">
      <c r="A4612" t="s">
        <v>31</v>
      </c>
      <c r="B4612" t="s">
        <v>104</v>
      </c>
      <c r="C4612" t="s">
        <v>2835</v>
      </c>
      <c r="D4612" t="s">
        <v>27</v>
      </c>
      <c r="E4612" s="2">
        <v>46105</v>
      </c>
      <c r="F4612" s="2">
        <v>46105</v>
      </c>
      <c r="G4612" s="3">
        <v>36</v>
      </c>
      <c r="H4612" t="s">
        <v>28</v>
      </c>
      <c r="I4612">
        <v>57</v>
      </c>
      <c r="J4612">
        <v>0</v>
      </c>
      <c r="K4612">
        <v>0</v>
      </c>
      <c r="L4612" s="3">
        <v>1</v>
      </c>
      <c r="M4612" s="3">
        <v>0</v>
      </c>
      <c r="N4612">
        <v>0</v>
      </c>
      <c r="O4612">
        <v>0</v>
      </c>
      <c r="P4612">
        <v>0</v>
      </c>
      <c r="Q4612">
        <v>30</v>
      </c>
      <c r="R4612" s="3">
        <v>0</v>
      </c>
      <c r="S4612" s="3">
        <v>0</v>
      </c>
      <c r="T4612">
        <v>0</v>
      </c>
      <c r="U4612">
        <v>0</v>
      </c>
      <c r="V4612" s="3">
        <v>0</v>
      </c>
      <c r="W4612" s="3">
        <v>0</v>
      </c>
      <c r="X4612">
        <v>1</v>
      </c>
      <c r="Y4612" t="s">
        <v>3512</v>
      </c>
    </row>
    <row r="4613" spans="1:25" hidden="1" x14ac:dyDescent="0.25">
      <c r="A4613" t="s">
        <v>36</v>
      </c>
      <c r="B4613" t="s">
        <v>249</v>
      </c>
      <c r="C4613" t="s">
        <v>2534</v>
      </c>
      <c r="D4613" t="s">
        <v>27</v>
      </c>
      <c r="E4613" s="2">
        <v>46105</v>
      </c>
      <c r="F4613" s="2">
        <v>46105</v>
      </c>
      <c r="G4613" s="3">
        <v>77</v>
      </c>
      <c r="H4613" t="s">
        <v>28</v>
      </c>
      <c r="I4613">
        <v>48</v>
      </c>
      <c r="J4613">
        <v>0</v>
      </c>
      <c r="K4613">
        <v>0</v>
      </c>
      <c r="L4613" s="3">
        <v>1</v>
      </c>
      <c r="M4613" s="3">
        <v>0</v>
      </c>
      <c r="N4613">
        <v>1</v>
      </c>
      <c r="O4613">
        <v>0</v>
      </c>
      <c r="P4613">
        <v>0</v>
      </c>
      <c r="Q4613">
        <v>0</v>
      </c>
      <c r="R4613" s="3">
        <v>0</v>
      </c>
      <c r="S4613" s="3">
        <v>0</v>
      </c>
      <c r="T4613">
        <v>0</v>
      </c>
      <c r="U4613">
        <v>0</v>
      </c>
      <c r="V4613" s="3">
        <v>0</v>
      </c>
      <c r="W4613" s="3">
        <v>0</v>
      </c>
      <c r="X4613">
        <v>0</v>
      </c>
      <c r="Y4613" t="s">
        <v>3513</v>
      </c>
    </row>
    <row r="4614" spans="1:25" hidden="1" x14ac:dyDescent="0.25">
      <c r="A4614" t="s">
        <v>38</v>
      </c>
      <c r="B4614" t="s">
        <v>108</v>
      </c>
      <c r="C4614" t="s">
        <v>27</v>
      </c>
      <c r="D4614" t="s">
        <v>27</v>
      </c>
      <c r="E4614" s="2">
        <v>46105</v>
      </c>
      <c r="F4614" s="2">
        <v>46105</v>
      </c>
      <c r="G4614" s="3">
        <v>80</v>
      </c>
      <c r="H4614" t="s">
        <v>28</v>
      </c>
      <c r="I4614">
        <v>28</v>
      </c>
      <c r="J4614">
        <v>0</v>
      </c>
      <c r="K4614">
        <v>0</v>
      </c>
      <c r="L4614" s="3">
        <v>1</v>
      </c>
      <c r="M4614" s="3">
        <v>0</v>
      </c>
      <c r="N4614">
        <v>0</v>
      </c>
      <c r="O4614">
        <v>0</v>
      </c>
      <c r="P4614">
        <v>0</v>
      </c>
      <c r="Q4614">
        <v>28</v>
      </c>
      <c r="R4614" s="3">
        <v>0</v>
      </c>
      <c r="S4614" s="3">
        <v>0</v>
      </c>
      <c r="T4614">
        <v>0</v>
      </c>
      <c r="U4614">
        <v>0</v>
      </c>
      <c r="V4614" s="3">
        <v>0</v>
      </c>
      <c r="W4614" s="3">
        <v>0</v>
      </c>
      <c r="X4614">
        <v>0</v>
      </c>
      <c r="Y4614" t="s">
        <v>3514</v>
      </c>
    </row>
    <row r="4615" spans="1:25" hidden="1" x14ac:dyDescent="0.25">
      <c r="A4615" t="s">
        <v>2679</v>
      </c>
      <c r="B4615" t="s">
        <v>2680</v>
      </c>
      <c r="C4615" t="s">
        <v>39</v>
      </c>
      <c r="D4615" t="s">
        <v>27</v>
      </c>
      <c r="E4615" s="2">
        <v>46105</v>
      </c>
      <c r="F4615" s="2">
        <v>46105</v>
      </c>
      <c r="G4615" s="3">
        <v>34</v>
      </c>
      <c r="H4615" t="s">
        <v>28</v>
      </c>
      <c r="I4615">
        <v>32</v>
      </c>
      <c r="J4615">
        <v>0</v>
      </c>
      <c r="K4615">
        <v>0</v>
      </c>
      <c r="L4615" s="3">
        <v>0</v>
      </c>
      <c r="M4615" s="3">
        <v>0</v>
      </c>
      <c r="N4615">
        <v>0</v>
      </c>
      <c r="O4615">
        <v>0</v>
      </c>
      <c r="P4615">
        <v>0</v>
      </c>
      <c r="Q4615">
        <v>32</v>
      </c>
      <c r="R4615" s="3">
        <v>0</v>
      </c>
      <c r="S4615" s="3">
        <v>0</v>
      </c>
      <c r="T4615">
        <v>0</v>
      </c>
      <c r="U4615">
        <v>0</v>
      </c>
      <c r="V4615" s="3">
        <v>0</v>
      </c>
      <c r="W4615" s="3">
        <v>0</v>
      </c>
      <c r="X4615">
        <v>0</v>
      </c>
      <c r="Y4615" t="s">
        <v>3515</v>
      </c>
    </row>
    <row r="4616" spans="1:25" hidden="1" x14ac:dyDescent="0.25">
      <c r="A4616" t="s">
        <v>1316</v>
      </c>
      <c r="B4616" t="s">
        <v>1348</v>
      </c>
      <c r="C4616" t="s">
        <v>2514</v>
      </c>
      <c r="D4616" t="s">
        <v>27</v>
      </c>
      <c r="E4616" s="2">
        <v>46105</v>
      </c>
      <c r="F4616" s="2">
        <v>46105</v>
      </c>
      <c r="G4616" s="3">
        <v>101</v>
      </c>
      <c r="H4616" t="s">
        <v>28</v>
      </c>
      <c r="I4616">
        <f>25+106</f>
        <v>131</v>
      </c>
      <c r="J4616">
        <v>0</v>
      </c>
      <c r="K4616">
        <v>0</v>
      </c>
      <c r="L4616" s="3">
        <v>0</v>
      </c>
      <c r="M4616" s="3">
        <v>0</v>
      </c>
      <c r="N4616">
        <v>0</v>
      </c>
      <c r="O4616">
        <v>0</v>
      </c>
      <c r="P4616">
        <v>0</v>
      </c>
      <c r="Q4616">
        <v>5</v>
      </c>
      <c r="R4616" s="3">
        <v>0</v>
      </c>
      <c r="S4616" s="3">
        <v>0</v>
      </c>
      <c r="T4616">
        <v>0</v>
      </c>
      <c r="U4616">
        <v>0</v>
      </c>
      <c r="V4616" s="3">
        <v>0</v>
      </c>
      <c r="W4616" s="3">
        <v>0</v>
      </c>
      <c r="X4616">
        <v>0</v>
      </c>
      <c r="Y4616" t="s">
        <v>3516</v>
      </c>
    </row>
    <row r="4617" spans="1:25" hidden="1" x14ac:dyDescent="0.25">
      <c r="A4617" t="s">
        <v>41</v>
      </c>
      <c r="B4617" t="s">
        <v>112</v>
      </c>
      <c r="C4617" t="s">
        <v>42</v>
      </c>
      <c r="D4617" t="s">
        <v>27</v>
      </c>
      <c r="E4617" s="2">
        <v>46105</v>
      </c>
      <c r="F4617" s="2">
        <v>46105</v>
      </c>
      <c r="G4617" s="3">
        <v>62</v>
      </c>
      <c r="H4617" t="s">
        <v>28</v>
      </c>
      <c r="I4617">
        <v>62</v>
      </c>
      <c r="J4617">
        <v>21</v>
      </c>
      <c r="K4617">
        <v>0</v>
      </c>
      <c r="L4617" s="3">
        <v>1</v>
      </c>
      <c r="M4617" s="3">
        <v>1</v>
      </c>
      <c r="N4617">
        <v>0</v>
      </c>
      <c r="O4617">
        <v>0</v>
      </c>
      <c r="P4617">
        <v>0</v>
      </c>
      <c r="Q4617">
        <v>6</v>
      </c>
      <c r="R4617" s="3">
        <v>0</v>
      </c>
      <c r="S4617" s="3">
        <v>0</v>
      </c>
      <c r="T4617">
        <v>0</v>
      </c>
      <c r="U4617">
        <v>0</v>
      </c>
      <c r="V4617" s="3">
        <v>0</v>
      </c>
      <c r="W4617" s="3">
        <v>0</v>
      </c>
      <c r="X4617">
        <v>4</v>
      </c>
      <c r="Y4617" t="s">
        <v>3517</v>
      </c>
    </row>
    <row r="4618" spans="1:25" hidden="1" x14ac:dyDescent="0.25">
      <c r="A4618" t="s">
        <v>43</v>
      </c>
      <c r="B4618" t="s">
        <v>114</v>
      </c>
      <c r="C4618" t="s">
        <v>44</v>
      </c>
      <c r="D4618" t="s">
        <v>27</v>
      </c>
      <c r="E4618" s="2">
        <v>46105</v>
      </c>
      <c r="F4618" s="2">
        <v>46105</v>
      </c>
      <c r="G4618" s="3">
        <v>85</v>
      </c>
      <c r="H4618" t="s">
        <v>28</v>
      </c>
      <c r="I4618">
        <v>82</v>
      </c>
      <c r="J4618">
        <v>0</v>
      </c>
      <c r="K4618">
        <v>0</v>
      </c>
      <c r="L4618" s="3">
        <v>1</v>
      </c>
      <c r="M4618" s="3">
        <v>0</v>
      </c>
      <c r="N4618">
        <v>0</v>
      </c>
      <c r="O4618">
        <v>0</v>
      </c>
      <c r="P4618">
        <v>0</v>
      </c>
      <c r="Q4618">
        <v>21</v>
      </c>
      <c r="R4618" s="3">
        <v>0</v>
      </c>
      <c r="S4618" s="3">
        <v>0</v>
      </c>
      <c r="T4618">
        <v>0</v>
      </c>
      <c r="U4618">
        <v>0</v>
      </c>
      <c r="V4618" s="3">
        <v>0</v>
      </c>
      <c r="W4618" s="3">
        <v>0</v>
      </c>
      <c r="X4618">
        <v>0</v>
      </c>
      <c r="Y4618" t="s">
        <v>3518</v>
      </c>
    </row>
    <row r="4619" spans="1:25" hidden="1" x14ac:dyDescent="0.25">
      <c r="A4619" t="s">
        <v>47</v>
      </c>
      <c r="B4619" t="s">
        <v>137</v>
      </c>
      <c r="C4619" t="s">
        <v>2310</v>
      </c>
      <c r="D4619" t="s">
        <v>27</v>
      </c>
      <c r="E4619" s="2">
        <v>46105</v>
      </c>
      <c r="F4619" s="2">
        <v>46105</v>
      </c>
      <c r="G4619" s="3">
        <v>588</v>
      </c>
      <c r="H4619" t="s">
        <v>28</v>
      </c>
      <c r="I4619">
        <v>54</v>
      </c>
      <c r="J4619">
        <v>0</v>
      </c>
      <c r="K4619">
        <v>0</v>
      </c>
      <c r="L4619" s="3">
        <v>1</v>
      </c>
      <c r="M4619" s="3">
        <v>0</v>
      </c>
      <c r="N4619">
        <v>0</v>
      </c>
      <c r="O4619">
        <v>0</v>
      </c>
      <c r="P4619">
        <v>0</v>
      </c>
      <c r="Q4619">
        <v>6</v>
      </c>
      <c r="R4619" s="3">
        <v>0</v>
      </c>
      <c r="S4619" s="3">
        <v>0</v>
      </c>
      <c r="T4619">
        <v>0</v>
      </c>
      <c r="U4619">
        <v>0</v>
      </c>
      <c r="V4619" s="3">
        <v>0</v>
      </c>
      <c r="W4619" s="3">
        <v>0</v>
      </c>
      <c r="X4619">
        <v>0</v>
      </c>
      <c r="Y4619" t="s">
        <v>3519</v>
      </c>
    </row>
    <row r="4620" spans="1:25" hidden="1" x14ac:dyDescent="0.25">
      <c r="A4620" t="s">
        <v>49</v>
      </c>
      <c r="B4620" t="s">
        <v>118</v>
      </c>
      <c r="C4620" t="s">
        <v>50</v>
      </c>
      <c r="D4620" t="s">
        <v>27</v>
      </c>
      <c r="E4620" s="2">
        <v>46105</v>
      </c>
      <c r="F4620" s="2">
        <v>46105</v>
      </c>
      <c r="G4620" s="3">
        <v>52</v>
      </c>
      <c r="H4620" t="s">
        <v>28</v>
      </c>
      <c r="I4620">
        <v>58</v>
      </c>
      <c r="J4620">
        <v>0</v>
      </c>
      <c r="K4620">
        <v>0</v>
      </c>
      <c r="L4620" s="3">
        <v>1</v>
      </c>
      <c r="M4620" s="3">
        <v>1</v>
      </c>
      <c r="N4620">
        <v>0</v>
      </c>
      <c r="O4620">
        <v>1</v>
      </c>
      <c r="P4620">
        <v>0</v>
      </c>
      <c r="Q4620">
        <v>58</v>
      </c>
      <c r="R4620" s="3">
        <v>0</v>
      </c>
      <c r="S4620" s="3">
        <v>0</v>
      </c>
      <c r="T4620">
        <v>0</v>
      </c>
      <c r="U4620">
        <v>0</v>
      </c>
      <c r="V4620" s="3">
        <v>0</v>
      </c>
      <c r="W4620" s="3">
        <v>0</v>
      </c>
      <c r="X4620">
        <v>0</v>
      </c>
      <c r="Y4620" t="s">
        <v>3520</v>
      </c>
    </row>
    <row r="4621" spans="1:25" hidden="1" x14ac:dyDescent="0.25">
      <c r="A4621" t="s">
        <v>51</v>
      </c>
      <c r="B4621" t="s">
        <v>120</v>
      </c>
      <c r="C4621" t="s">
        <v>35</v>
      </c>
      <c r="D4621" t="s">
        <v>27</v>
      </c>
      <c r="E4621" s="2">
        <v>46105</v>
      </c>
      <c r="F4621" s="2">
        <v>46105</v>
      </c>
      <c r="G4621" s="3">
        <v>48</v>
      </c>
      <c r="H4621" t="s">
        <v>28</v>
      </c>
      <c r="I4621">
        <v>56</v>
      </c>
      <c r="J4621">
        <v>0</v>
      </c>
      <c r="K4621">
        <v>0</v>
      </c>
      <c r="L4621" s="3">
        <v>1</v>
      </c>
      <c r="M4621" s="3">
        <v>0</v>
      </c>
      <c r="N4621">
        <v>0</v>
      </c>
      <c r="O4621">
        <v>0</v>
      </c>
      <c r="P4621">
        <v>0</v>
      </c>
      <c r="Q4621">
        <v>15</v>
      </c>
      <c r="R4621" s="3">
        <v>0</v>
      </c>
      <c r="S4621" s="3">
        <v>0</v>
      </c>
      <c r="T4621">
        <v>0</v>
      </c>
      <c r="U4621">
        <v>0</v>
      </c>
      <c r="V4621" s="3">
        <v>0</v>
      </c>
      <c r="W4621" s="3">
        <v>0</v>
      </c>
      <c r="X4621">
        <v>0</v>
      </c>
      <c r="Y4621" t="s">
        <v>3521</v>
      </c>
    </row>
    <row r="4622" spans="1:25" hidden="1" x14ac:dyDescent="0.25">
      <c r="A4622" t="s">
        <v>54</v>
      </c>
      <c r="B4622" t="s">
        <v>122</v>
      </c>
      <c r="C4622" t="s">
        <v>52</v>
      </c>
      <c r="D4622" t="s">
        <v>27</v>
      </c>
      <c r="E4622" s="2">
        <v>46105</v>
      </c>
      <c r="F4622" s="2">
        <v>46105</v>
      </c>
      <c r="G4622" s="3">
        <v>41</v>
      </c>
      <c r="H4622" t="s">
        <v>28</v>
      </c>
      <c r="I4622">
        <v>51</v>
      </c>
      <c r="J4622">
        <v>0</v>
      </c>
      <c r="K4622">
        <v>0</v>
      </c>
      <c r="L4622" s="3">
        <v>0</v>
      </c>
      <c r="M4622" s="3">
        <v>0</v>
      </c>
      <c r="N4622">
        <v>0</v>
      </c>
      <c r="O4622">
        <v>0</v>
      </c>
      <c r="P4622">
        <v>0</v>
      </c>
      <c r="Q4622">
        <v>7</v>
      </c>
      <c r="R4622" s="3">
        <v>0</v>
      </c>
      <c r="S4622" s="3">
        <v>0</v>
      </c>
      <c r="T4622">
        <v>0</v>
      </c>
      <c r="U4622">
        <v>0</v>
      </c>
      <c r="V4622" s="3">
        <v>0</v>
      </c>
      <c r="W4622" s="3">
        <v>0</v>
      </c>
      <c r="X4622">
        <v>0</v>
      </c>
      <c r="Y4622" t="s">
        <v>3522</v>
      </c>
    </row>
    <row r="4623" spans="1:25" hidden="1" x14ac:dyDescent="0.25">
      <c r="A4623" t="s">
        <v>48</v>
      </c>
      <c r="B4623" t="s">
        <v>149</v>
      </c>
      <c r="C4623" t="s">
        <v>37</v>
      </c>
      <c r="D4623" t="s">
        <v>27</v>
      </c>
      <c r="E4623" s="2">
        <v>46105</v>
      </c>
      <c r="F4623" s="2">
        <v>46105</v>
      </c>
      <c r="G4623" s="3">
        <v>55</v>
      </c>
      <c r="H4623" t="s">
        <v>28</v>
      </c>
      <c r="I4623">
        <v>28</v>
      </c>
      <c r="J4623">
        <v>0</v>
      </c>
      <c r="K4623">
        <v>0</v>
      </c>
      <c r="L4623" s="3">
        <v>1</v>
      </c>
      <c r="M4623" s="3">
        <v>0</v>
      </c>
      <c r="N4623">
        <v>0</v>
      </c>
      <c r="O4623">
        <v>0</v>
      </c>
      <c r="P4623">
        <v>0</v>
      </c>
      <c r="Q4623">
        <v>0</v>
      </c>
      <c r="R4623" s="3">
        <v>0</v>
      </c>
      <c r="S4623" s="3">
        <v>0</v>
      </c>
      <c r="T4623">
        <v>0</v>
      </c>
      <c r="U4623">
        <v>0</v>
      </c>
      <c r="V4623" s="3">
        <v>0</v>
      </c>
      <c r="W4623" s="3">
        <v>0</v>
      </c>
      <c r="X4623">
        <v>0</v>
      </c>
      <c r="Y4623" t="s">
        <v>3523</v>
      </c>
    </row>
    <row r="4624" spans="1:25" hidden="1" x14ac:dyDescent="0.25">
      <c r="A4624" t="s">
        <v>45</v>
      </c>
      <c r="B4624" t="s">
        <v>149</v>
      </c>
      <c r="C4624" t="s">
        <v>46</v>
      </c>
      <c r="D4624" t="s">
        <v>27</v>
      </c>
      <c r="E4624" s="2">
        <v>46105</v>
      </c>
      <c r="F4624" s="2">
        <v>46105</v>
      </c>
      <c r="G4624" s="3">
        <v>55</v>
      </c>
      <c r="H4624" t="s">
        <v>28</v>
      </c>
      <c r="I4624">
        <v>31</v>
      </c>
      <c r="J4624">
        <v>0</v>
      </c>
      <c r="K4624">
        <v>0</v>
      </c>
      <c r="L4624" s="3">
        <v>1</v>
      </c>
      <c r="M4624" s="3">
        <v>0</v>
      </c>
      <c r="N4624">
        <v>0</v>
      </c>
      <c r="O4624">
        <v>0</v>
      </c>
      <c r="P4624">
        <v>0</v>
      </c>
      <c r="Q4624">
        <v>0</v>
      </c>
      <c r="R4624" s="3">
        <v>0</v>
      </c>
      <c r="S4624" s="3">
        <v>0</v>
      </c>
      <c r="T4624">
        <v>0</v>
      </c>
      <c r="U4624">
        <v>0</v>
      </c>
      <c r="V4624" s="3">
        <v>0</v>
      </c>
      <c r="W4624" s="3">
        <v>0</v>
      </c>
      <c r="X4624">
        <v>0</v>
      </c>
      <c r="Y4624" t="s">
        <v>3523</v>
      </c>
    </row>
    <row r="4625" spans="1:25" hidden="1" x14ac:dyDescent="0.25">
      <c r="A4625" t="s">
        <v>344</v>
      </c>
      <c r="B4625" t="s">
        <v>739</v>
      </c>
      <c r="C4625" t="s">
        <v>27</v>
      </c>
      <c r="D4625" t="s">
        <v>27</v>
      </c>
      <c r="E4625" s="2">
        <v>46105</v>
      </c>
      <c r="F4625" s="2">
        <v>46105</v>
      </c>
      <c r="G4625" s="3">
        <v>56</v>
      </c>
      <c r="H4625" t="s">
        <v>2143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3523</v>
      </c>
    </row>
    <row r="4626" spans="1:25" hidden="1" x14ac:dyDescent="0.25">
      <c r="A4626" t="s">
        <v>33</v>
      </c>
      <c r="B4626" t="s">
        <v>755</v>
      </c>
      <c r="C4626" t="s">
        <v>27</v>
      </c>
      <c r="D4626" t="s">
        <v>27</v>
      </c>
      <c r="E4626" s="2">
        <v>46105</v>
      </c>
      <c r="F4626" s="2">
        <v>46105</v>
      </c>
      <c r="G4626" s="3">
        <v>57</v>
      </c>
      <c r="H4626" t="s">
        <v>1448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 t="s">
        <v>3523</v>
      </c>
    </row>
    <row r="4627" spans="1:25" hidden="1" x14ac:dyDescent="0.25">
      <c r="A4627" t="s">
        <v>27</v>
      </c>
      <c r="B4627" t="s">
        <v>758</v>
      </c>
      <c r="C4627" t="s">
        <v>57</v>
      </c>
      <c r="D4627" t="s">
        <v>27</v>
      </c>
      <c r="E4627" s="2">
        <v>46105</v>
      </c>
      <c r="F4627" s="2">
        <v>46105</v>
      </c>
      <c r="G4627" s="3">
        <v>58</v>
      </c>
      <c r="H4627" t="s">
        <v>1448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 t="s">
        <v>3523</v>
      </c>
    </row>
    <row r="4628" spans="1:25" hidden="1" x14ac:dyDescent="0.25">
      <c r="A4628" t="s">
        <v>27</v>
      </c>
      <c r="B4628" t="s">
        <v>798</v>
      </c>
      <c r="C4628" t="s">
        <v>55</v>
      </c>
      <c r="D4628" t="s">
        <v>27</v>
      </c>
      <c r="E4628" s="2">
        <v>46105</v>
      </c>
      <c r="F4628" s="2">
        <v>46105</v>
      </c>
      <c r="G4628" s="3">
        <v>59</v>
      </c>
      <c r="H4628" t="s">
        <v>1448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 t="s">
        <v>3523</v>
      </c>
    </row>
    <row r="4629" spans="1:25" hidden="1" x14ac:dyDescent="0.25">
      <c r="A4629" t="s">
        <v>27</v>
      </c>
      <c r="B4629" t="s">
        <v>799</v>
      </c>
      <c r="C4629" t="s">
        <v>2271</v>
      </c>
      <c r="D4629" t="s">
        <v>27</v>
      </c>
      <c r="E4629" s="2">
        <v>46105</v>
      </c>
      <c r="F4629" s="2">
        <v>46105</v>
      </c>
      <c r="G4629" s="3">
        <v>60</v>
      </c>
      <c r="H4629" t="s">
        <v>28</v>
      </c>
      <c r="I4629">
        <v>25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 t="s">
        <v>3523</v>
      </c>
    </row>
    <row r="4630" spans="1:25" hidden="1" x14ac:dyDescent="0.25">
      <c r="A4630" t="s">
        <v>2899</v>
      </c>
      <c r="B4630" t="s">
        <v>3524</v>
      </c>
      <c r="C4630" t="s">
        <v>27</v>
      </c>
      <c r="D4630" t="s">
        <v>27</v>
      </c>
      <c r="E4630" s="2">
        <v>46105</v>
      </c>
      <c r="F4630" s="2">
        <v>46105</v>
      </c>
      <c r="G4630" s="3">
        <v>61</v>
      </c>
      <c r="H4630" t="s">
        <v>28</v>
      </c>
      <c r="I4630">
        <v>25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 t="s">
        <v>3523</v>
      </c>
    </row>
    <row r="4631" spans="1:25" hidden="1" x14ac:dyDescent="0.25">
      <c r="A4631" t="s">
        <v>27</v>
      </c>
      <c r="B4631" t="s">
        <v>3525</v>
      </c>
      <c r="C4631" t="s">
        <v>2379</v>
      </c>
      <c r="D4631" t="s">
        <v>27</v>
      </c>
      <c r="E4631" s="2">
        <v>46105</v>
      </c>
      <c r="F4631" s="2">
        <v>46105</v>
      </c>
      <c r="G4631" s="3">
        <v>62</v>
      </c>
      <c r="H4631" t="s">
        <v>28</v>
      </c>
      <c r="I4631">
        <v>25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 t="s">
        <v>3523</v>
      </c>
    </row>
    <row r="4632" spans="1:25" hidden="1" x14ac:dyDescent="0.25">
      <c r="A4632" t="s">
        <v>25</v>
      </c>
      <c r="B4632" t="s">
        <v>96</v>
      </c>
      <c r="C4632" t="s">
        <v>26</v>
      </c>
      <c r="D4632" t="s">
        <v>27</v>
      </c>
      <c r="E4632" s="2">
        <v>46106</v>
      </c>
      <c r="F4632" s="2">
        <v>46106</v>
      </c>
      <c r="G4632" s="3">
        <v>44</v>
      </c>
      <c r="H4632" t="s">
        <v>28</v>
      </c>
      <c r="I4632">
        <v>52</v>
      </c>
      <c r="J4632">
        <v>0</v>
      </c>
      <c r="K4632">
        <v>0</v>
      </c>
      <c r="L4632" s="3">
        <v>0</v>
      </c>
      <c r="M4632" s="3">
        <v>1</v>
      </c>
      <c r="N4632">
        <v>1</v>
      </c>
      <c r="O4632">
        <v>0</v>
      </c>
      <c r="P4632">
        <v>0</v>
      </c>
      <c r="Q4632">
        <v>0</v>
      </c>
      <c r="R4632" s="3">
        <v>0</v>
      </c>
      <c r="S4632" s="3">
        <v>0</v>
      </c>
      <c r="T4632">
        <v>0</v>
      </c>
      <c r="U4632">
        <v>0</v>
      </c>
      <c r="V4632" s="3">
        <v>0</v>
      </c>
      <c r="W4632" s="3">
        <v>0</v>
      </c>
      <c r="X4632">
        <v>0</v>
      </c>
      <c r="Y4632" t="s">
        <v>3526</v>
      </c>
    </row>
    <row r="4633" spans="1:25" hidden="1" x14ac:dyDescent="0.25">
      <c r="A4633" t="s">
        <v>29</v>
      </c>
      <c r="B4633" t="s">
        <v>100</v>
      </c>
      <c r="C4633" t="s">
        <v>95</v>
      </c>
      <c r="D4633" t="s">
        <v>27</v>
      </c>
      <c r="E4633" s="2">
        <v>46106</v>
      </c>
      <c r="F4633" s="2">
        <v>46106</v>
      </c>
      <c r="G4633" s="3">
        <v>64</v>
      </c>
      <c r="H4633" t="s">
        <v>28</v>
      </c>
      <c r="I4633">
        <v>34</v>
      </c>
      <c r="J4633">
        <v>22</v>
      </c>
      <c r="K4633">
        <v>0</v>
      </c>
      <c r="L4633" s="3">
        <v>1</v>
      </c>
      <c r="M4633" s="3">
        <v>0</v>
      </c>
      <c r="N4633">
        <v>0</v>
      </c>
      <c r="O4633">
        <v>0</v>
      </c>
      <c r="P4633">
        <v>0</v>
      </c>
      <c r="Q4633">
        <v>12</v>
      </c>
      <c r="R4633" s="3">
        <v>0</v>
      </c>
      <c r="S4633" s="3">
        <v>0</v>
      </c>
      <c r="T4633">
        <v>0</v>
      </c>
      <c r="U4633">
        <v>0</v>
      </c>
      <c r="V4633" s="3">
        <v>0</v>
      </c>
      <c r="W4633" s="3">
        <v>0</v>
      </c>
      <c r="X4633">
        <v>1</v>
      </c>
      <c r="Y4633" t="s">
        <v>3527</v>
      </c>
    </row>
    <row r="4634" spans="1:25" hidden="1" x14ac:dyDescent="0.25">
      <c r="A4634" t="s">
        <v>344</v>
      </c>
      <c r="B4634" t="s">
        <v>100</v>
      </c>
      <c r="C4634" t="s">
        <v>35</v>
      </c>
      <c r="D4634" t="s">
        <v>27</v>
      </c>
      <c r="E4634" s="2">
        <v>46106</v>
      </c>
      <c r="F4634" s="2">
        <v>46106</v>
      </c>
      <c r="G4634" s="3">
        <v>64</v>
      </c>
      <c r="H4634" t="s">
        <v>28</v>
      </c>
      <c r="I4634">
        <v>37</v>
      </c>
      <c r="J4634">
        <v>0</v>
      </c>
      <c r="K4634">
        <v>0</v>
      </c>
      <c r="L4634" s="3">
        <v>1</v>
      </c>
      <c r="M4634" s="3">
        <v>0</v>
      </c>
      <c r="N4634">
        <v>0</v>
      </c>
      <c r="O4634">
        <v>0</v>
      </c>
      <c r="P4634">
        <v>0</v>
      </c>
      <c r="Q4634">
        <v>12</v>
      </c>
      <c r="R4634" s="3">
        <v>0</v>
      </c>
      <c r="S4634" s="3">
        <v>0</v>
      </c>
      <c r="T4634">
        <v>0</v>
      </c>
      <c r="U4634">
        <v>0</v>
      </c>
      <c r="V4634" s="3">
        <v>0</v>
      </c>
      <c r="W4634" s="3">
        <v>0</v>
      </c>
      <c r="X4634">
        <v>1</v>
      </c>
      <c r="Y4634" t="s">
        <v>3527</v>
      </c>
    </row>
    <row r="4635" spans="1:25" hidden="1" x14ac:dyDescent="0.25">
      <c r="A4635" t="s">
        <v>31</v>
      </c>
      <c r="B4635" t="s">
        <v>104</v>
      </c>
      <c r="C4635" s="1" t="s">
        <v>32</v>
      </c>
      <c r="D4635" t="s">
        <v>27</v>
      </c>
      <c r="E4635" s="2">
        <v>46106</v>
      </c>
      <c r="F4635" s="2">
        <v>46106</v>
      </c>
      <c r="G4635" s="3">
        <v>46</v>
      </c>
      <c r="H4635" t="s">
        <v>28</v>
      </c>
      <c r="I4635">
        <v>88</v>
      </c>
      <c r="J4635">
        <v>0</v>
      </c>
      <c r="K4635">
        <v>0</v>
      </c>
      <c r="L4635" s="3">
        <v>1</v>
      </c>
      <c r="M4635" s="3">
        <v>0</v>
      </c>
      <c r="N4635">
        <v>0</v>
      </c>
      <c r="O4635">
        <v>0</v>
      </c>
      <c r="P4635">
        <v>0</v>
      </c>
      <c r="Q4635">
        <v>40</v>
      </c>
      <c r="R4635" s="3">
        <v>0</v>
      </c>
      <c r="S4635" s="3">
        <v>0</v>
      </c>
      <c r="T4635">
        <v>0</v>
      </c>
      <c r="U4635">
        <v>0</v>
      </c>
      <c r="V4635" s="3">
        <v>0</v>
      </c>
      <c r="W4635" s="3">
        <v>0</v>
      </c>
      <c r="X4635">
        <v>1</v>
      </c>
      <c r="Y4635" t="s">
        <v>3528</v>
      </c>
    </row>
    <row r="4636" spans="1:25" hidden="1" x14ac:dyDescent="0.25">
      <c r="A4636" t="s">
        <v>33</v>
      </c>
      <c r="B4636" t="s">
        <v>106</v>
      </c>
      <c r="C4636" t="s">
        <v>57</v>
      </c>
      <c r="D4636" t="s">
        <v>27</v>
      </c>
      <c r="E4636" s="2">
        <v>46106</v>
      </c>
      <c r="F4636" s="2">
        <v>46106</v>
      </c>
      <c r="G4636" s="3">
        <v>31</v>
      </c>
      <c r="H4636" t="s">
        <v>28</v>
      </c>
      <c r="I4636">
        <v>45</v>
      </c>
      <c r="J4636">
        <v>0</v>
      </c>
      <c r="K4636">
        <v>0</v>
      </c>
      <c r="L4636" s="3">
        <v>0</v>
      </c>
      <c r="M4636" s="3">
        <v>0</v>
      </c>
      <c r="N4636">
        <v>0</v>
      </c>
      <c r="O4636">
        <v>0</v>
      </c>
      <c r="P4636">
        <v>0</v>
      </c>
      <c r="Q4636">
        <v>21</v>
      </c>
      <c r="R4636" s="3">
        <v>0</v>
      </c>
      <c r="S4636" s="3">
        <v>0</v>
      </c>
      <c r="T4636">
        <v>0</v>
      </c>
      <c r="U4636">
        <v>0</v>
      </c>
      <c r="V4636" s="3">
        <v>0</v>
      </c>
      <c r="W4636" s="3">
        <v>0</v>
      </c>
      <c r="X4636">
        <v>0</v>
      </c>
      <c r="Y4636" t="s">
        <v>3529</v>
      </c>
    </row>
    <row r="4637" spans="1:25" hidden="1" x14ac:dyDescent="0.25">
      <c r="A4637" t="s">
        <v>36</v>
      </c>
      <c r="B4637" t="s">
        <v>249</v>
      </c>
      <c r="C4637" t="s">
        <v>2534</v>
      </c>
      <c r="D4637" t="s">
        <v>27</v>
      </c>
      <c r="E4637" s="2">
        <v>46106</v>
      </c>
      <c r="F4637" s="2">
        <v>46106</v>
      </c>
      <c r="G4637" s="3">
        <v>75</v>
      </c>
      <c r="H4637" t="s">
        <v>28</v>
      </c>
      <c r="I4637">
        <v>56</v>
      </c>
      <c r="J4637">
        <v>0</v>
      </c>
      <c r="K4637">
        <v>0</v>
      </c>
      <c r="L4637" s="3">
        <v>1</v>
      </c>
      <c r="M4637" s="3">
        <v>0</v>
      </c>
      <c r="N4637">
        <v>1</v>
      </c>
      <c r="O4637">
        <v>0</v>
      </c>
      <c r="P4637">
        <v>0</v>
      </c>
      <c r="Q4637">
        <v>0</v>
      </c>
      <c r="R4637" s="3">
        <v>0</v>
      </c>
      <c r="S4637" s="3">
        <v>0</v>
      </c>
      <c r="T4637">
        <v>0</v>
      </c>
      <c r="U4637">
        <v>0</v>
      </c>
      <c r="V4637" s="3">
        <v>0</v>
      </c>
      <c r="W4637" s="3">
        <v>0</v>
      </c>
      <c r="X4637">
        <v>0</v>
      </c>
      <c r="Y4637" t="s">
        <v>3530</v>
      </c>
    </row>
    <row r="4638" spans="1:25" hidden="1" x14ac:dyDescent="0.25">
      <c r="A4638" t="s">
        <v>38</v>
      </c>
      <c r="B4638" t="s">
        <v>108</v>
      </c>
      <c r="C4638" t="s">
        <v>27</v>
      </c>
      <c r="D4638" t="s">
        <v>27</v>
      </c>
      <c r="E4638" s="2">
        <v>46106</v>
      </c>
      <c r="F4638" s="2">
        <v>46106</v>
      </c>
      <c r="G4638" s="3">
        <v>52</v>
      </c>
      <c r="H4638" t="s">
        <v>28</v>
      </c>
      <c r="I4638">
        <v>48</v>
      </c>
      <c r="J4638">
        <v>0</v>
      </c>
      <c r="K4638">
        <v>0</v>
      </c>
      <c r="L4638" s="3">
        <v>1</v>
      </c>
      <c r="M4638" s="3">
        <v>0</v>
      </c>
      <c r="N4638">
        <v>0</v>
      </c>
      <c r="O4638">
        <v>0</v>
      </c>
      <c r="P4638">
        <v>0</v>
      </c>
      <c r="Q4638">
        <v>48</v>
      </c>
      <c r="R4638" s="3">
        <v>0</v>
      </c>
      <c r="S4638" s="3">
        <v>0</v>
      </c>
      <c r="T4638">
        <v>0</v>
      </c>
      <c r="U4638">
        <v>0</v>
      </c>
      <c r="V4638" s="3">
        <v>0</v>
      </c>
      <c r="W4638" s="3">
        <v>0</v>
      </c>
      <c r="X4638">
        <v>0</v>
      </c>
      <c r="Y4638" t="s">
        <v>3531</v>
      </c>
    </row>
    <row r="4639" spans="1:25" hidden="1" x14ac:dyDescent="0.25">
      <c r="A4639" t="s">
        <v>2679</v>
      </c>
      <c r="B4639" t="s">
        <v>2680</v>
      </c>
      <c r="C4639" t="s">
        <v>39</v>
      </c>
      <c r="D4639" t="s">
        <v>27</v>
      </c>
      <c r="E4639" s="2">
        <v>46106</v>
      </c>
      <c r="F4639" s="2">
        <v>46106</v>
      </c>
      <c r="G4639" s="3">
        <v>33</v>
      </c>
      <c r="H4639" t="s">
        <v>28</v>
      </c>
      <c r="I4639">
        <v>54</v>
      </c>
      <c r="J4639">
        <v>0</v>
      </c>
      <c r="K4639">
        <v>0</v>
      </c>
      <c r="L4639" s="3">
        <v>0</v>
      </c>
      <c r="M4639" s="3">
        <v>0</v>
      </c>
      <c r="N4639">
        <v>0</v>
      </c>
      <c r="O4639">
        <v>0</v>
      </c>
      <c r="P4639">
        <v>0</v>
      </c>
      <c r="Q4639">
        <v>54</v>
      </c>
      <c r="R4639" s="3">
        <v>0</v>
      </c>
      <c r="S4639" s="3">
        <v>0</v>
      </c>
      <c r="T4639">
        <v>0</v>
      </c>
      <c r="U4639">
        <v>0</v>
      </c>
      <c r="V4639" s="3">
        <v>0</v>
      </c>
      <c r="W4639" s="3">
        <v>0</v>
      </c>
      <c r="X4639">
        <v>0</v>
      </c>
      <c r="Y4639" t="s">
        <v>3532</v>
      </c>
    </row>
    <row r="4640" spans="1:25" hidden="1" x14ac:dyDescent="0.25">
      <c r="A4640" t="s">
        <v>1316</v>
      </c>
      <c r="B4640" t="s">
        <v>1348</v>
      </c>
      <c r="C4640" t="s">
        <v>2514</v>
      </c>
      <c r="D4640" t="s">
        <v>27</v>
      </c>
      <c r="E4640" s="2">
        <v>46106</v>
      </c>
      <c r="F4640" s="2">
        <v>46106</v>
      </c>
      <c r="G4640" s="3">
        <v>139</v>
      </c>
      <c r="H4640" t="s">
        <v>28</v>
      </c>
      <c r="I4640">
        <v>59</v>
      </c>
      <c r="J4640">
        <v>1</v>
      </c>
      <c r="K4640">
        <v>0</v>
      </c>
      <c r="L4640" s="3">
        <v>1</v>
      </c>
      <c r="M4640" s="3">
        <v>0</v>
      </c>
      <c r="N4640">
        <v>0</v>
      </c>
      <c r="O4640">
        <v>0</v>
      </c>
      <c r="P4640">
        <v>0</v>
      </c>
      <c r="Q4640">
        <v>25</v>
      </c>
      <c r="R4640" s="3">
        <v>0</v>
      </c>
      <c r="S4640" s="3">
        <v>0</v>
      </c>
      <c r="T4640">
        <v>0</v>
      </c>
      <c r="U4640">
        <v>0</v>
      </c>
      <c r="V4640" s="3">
        <v>0</v>
      </c>
      <c r="W4640" s="3">
        <v>0</v>
      </c>
      <c r="X4640">
        <v>0</v>
      </c>
      <c r="Y4640" t="s">
        <v>3533</v>
      </c>
    </row>
    <row r="4641" spans="1:25" hidden="1" x14ac:dyDescent="0.25">
      <c r="A4641" t="s">
        <v>41</v>
      </c>
      <c r="B4641" t="s">
        <v>112</v>
      </c>
      <c r="C4641" t="s">
        <v>42</v>
      </c>
      <c r="D4641" t="s">
        <v>27</v>
      </c>
      <c r="E4641" s="2">
        <v>46106</v>
      </c>
      <c r="F4641" s="2">
        <v>46106</v>
      </c>
      <c r="G4641" s="3">
        <v>58</v>
      </c>
      <c r="H4641" t="s">
        <v>28</v>
      </c>
      <c r="I4641">
        <v>39</v>
      </c>
      <c r="J4641">
        <v>4</v>
      </c>
      <c r="K4641">
        <v>0</v>
      </c>
      <c r="L4641" s="3">
        <v>1</v>
      </c>
      <c r="M4641" s="3">
        <v>0</v>
      </c>
      <c r="N4641">
        <v>0</v>
      </c>
      <c r="O4641">
        <v>0</v>
      </c>
      <c r="P4641">
        <v>0</v>
      </c>
      <c r="Q4641">
        <v>4</v>
      </c>
      <c r="R4641" s="3">
        <v>0</v>
      </c>
      <c r="S4641" s="3">
        <v>0</v>
      </c>
      <c r="T4641">
        <v>0</v>
      </c>
      <c r="U4641">
        <v>0</v>
      </c>
      <c r="V4641" s="3">
        <v>0</v>
      </c>
      <c r="W4641" s="3">
        <v>0</v>
      </c>
      <c r="X4641">
        <v>5</v>
      </c>
      <c r="Y4641" t="s">
        <v>3534</v>
      </c>
    </row>
    <row r="4642" spans="1:25" hidden="1" x14ac:dyDescent="0.25">
      <c r="A4642" t="s">
        <v>43</v>
      </c>
      <c r="B4642" t="s">
        <v>114</v>
      </c>
      <c r="C4642" t="s">
        <v>44</v>
      </c>
      <c r="D4642" t="s">
        <v>27</v>
      </c>
      <c r="E4642" s="2">
        <v>46106</v>
      </c>
      <c r="F4642" s="2">
        <v>46106</v>
      </c>
      <c r="G4642" s="3">
        <v>80</v>
      </c>
      <c r="H4642" t="s">
        <v>28</v>
      </c>
      <c r="I4642">
        <v>70</v>
      </c>
      <c r="J4642">
        <v>0</v>
      </c>
      <c r="K4642">
        <v>0</v>
      </c>
      <c r="L4642" s="3">
        <v>1</v>
      </c>
      <c r="M4642" s="3">
        <v>0</v>
      </c>
      <c r="N4642">
        <v>0</v>
      </c>
      <c r="O4642">
        <v>0</v>
      </c>
      <c r="P4642">
        <v>0</v>
      </c>
      <c r="Q4642">
        <v>35</v>
      </c>
      <c r="R4642" s="3">
        <v>0</v>
      </c>
      <c r="S4642" s="3">
        <v>0</v>
      </c>
      <c r="T4642">
        <v>0</v>
      </c>
      <c r="U4642">
        <v>0</v>
      </c>
      <c r="V4642" s="3">
        <v>0</v>
      </c>
      <c r="W4642" s="3">
        <v>0</v>
      </c>
      <c r="X4642">
        <v>0</v>
      </c>
      <c r="Y4642" t="s">
        <v>3535</v>
      </c>
    </row>
    <row r="4643" spans="1:25" hidden="1" x14ac:dyDescent="0.25">
      <c r="A4643" t="s">
        <v>2118</v>
      </c>
      <c r="B4643" t="s">
        <v>2119</v>
      </c>
      <c r="C4643" t="s">
        <v>27</v>
      </c>
      <c r="D4643" t="s">
        <v>27</v>
      </c>
      <c r="E4643" s="2">
        <v>46106</v>
      </c>
      <c r="F4643" s="2">
        <v>46106</v>
      </c>
      <c r="G4643" s="3">
        <v>48</v>
      </c>
      <c r="H4643" t="s">
        <v>28</v>
      </c>
      <c r="I4643">
        <v>53</v>
      </c>
      <c r="J4643">
        <v>0</v>
      </c>
      <c r="K4643">
        <v>0</v>
      </c>
      <c r="L4643" s="3">
        <v>1</v>
      </c>
      <c r="M4643" s="3">
        <v>0</v>
      </c>
      <c r="N4643">
        <v>0</v>
      </c>
      <c r="O4643">
        <v>0</v>
      </c>
      <c r="P4643">
        <v>0</v>
      </c>
      <c r="Q4643">
        <v>53</v>
      </c>
      <c r="R4643" s="3">
        <v>0</v>
      </c>
      <c r="S4643" s="3">
        <v>0</v>
      </c>
      <c r="T4643">
        <v>0</v>
      </c>
      <c r="U4643">
        <v>0</v>
      </c>
      <c r="V4643" s="3">
        <v>0</v>
      </c>
      <c r="W4643" s="3">
        <v>0</v>
      </c>
      <c r="X4643">
        <v>0</v>
      </c>
      <c r="Y4643" t="s">
        <v>3536</v>
      </c>
    </row>
    <row r="4644" spans="1:25" hidden="1" x14ac:dyDescent="0.25">
      <c r="A4644" t="s">
        <v>45</v>
      </c>
      <c r="B4644" t="s">
        <v>116</v>
      </c>
      <c r="C4644" t="s">
        <v>46</v>
      </c>
      <c r="D4644" t="s">
        <v>27</v>
      </c>
      <c r="E4644" s="2">
        <v>46106</v>
      </c>
      <c r="F4644" s="2">
        <v>46106</v>
      </c>
      <c r="G4644" s="3">
        <v>183</v>
      </c>
      <c r="H4644" t="s">
        <v>28</v>
      </c>
      <c r="I4644">
        <v>76</v>
      </c>
      <c r="J4644">
        <v>0</v>
      </c>
      <c r="K4644">
        <v>0</v>
      </c>
      <c r="L4644" s="3">
        <v>1</v>
      </c>
      <c r="M4644" s="3">
        <v>0</v>
      </c>
      <c r="N4644">
        <v>0</v>
      </c>
      <c r="O4644">
        <v>0</v>
      </c>
      <c r="P4644">
        <v>0</v>
      </c>
      <c r="Q4644">
        <v>14</v>
      </c>
      <c r="R4644" s="3">
        <v>0</v>
      </c>
      <c r="S4644" s="3">
        <v>0</v>
      </c>
      <c r="T4644">
        <v>0</v>
      </c>
      <c r="U4644">
        <v>0</v>
      </c>
      <c r="V4644" s="3">
        <v>0</v>
      </c>
      <c r="W4644" s="3">
        <v>0</v>
      </c>
      <c r="X4644">
        <v>1</v>
      </c>
      <c r="Y4644" t="s">
        <v>3537</v>
      </c>
    </row>
    <row r="4645" spans="1:25" hidden="1" x14ac:dyDescent="0.25">
      <c r="A4645" t="s">
        <v>47</v>
      </c>
      <c r="B4645" t="s">
        <v>137</v>
      </c>
      <c r="C4645" t="s">
        <v>2310</v>
      </c>
      <c r="D4645" t="s">
        <v>27</v>
      </c>
      <c r="E4645" s="2">
        <v>46106</v>
      </c>
      <c r="F4645" s="2">
        <v>46106</v>
      </c>
      <c r="G4645" s="3">
        <v>316</v>
      </c>
      <c r="H4645" t="s">
        <v>28</v>
      </c>
      <c r="I4645">
        <v>62</v>
      </c>
      <c r="J4645">
        <v>0</v>
      </c>
      <c r="K4645">
        <v>0</v>
      </c>
      <c r="L4645" s="3">
        <v>1</v>
      </c>
      <c r="M4645" s="3">
        <v>0</v>
      </c>
      <c r="N4645">
        <v>0</v>
      </c>
      <c r="O4645">
        <v>0</v>
      </c>
      <c r="P4645">
        <v>0</v>
      </c>
      <c r="Q4645">
        <v>10</v>
      </c>
      <c r="R4645" s="3">
        <v>0</v>
      </c>
      <c r="S4645" s="3">
        <v>0</v>
      </c>
      <c r="T4645">
        <v>0</v>
      </c>
      <c r="U4645">
        <v>0</v>
      </c>
      <c r="V4645" s="3">
        <v>0</v>
      </c>
      <c r="W4645" s="3">
        <v>0</v>
      </c>
      <c r="X4645">
        <v>0</v>
      </c>
      <c r="Y4645" t="s">
        <v>3538</v>
      </c>
    </row>
    <row r="4646" spans="1:25" hidden="1" x14ac:dyDescent="0.25">
      <c r="A4646" t="s">
        <v>49</v>
      </c>
      <c r="B4646" t="s">
        <v>118</v>
      </c>
      <c r="C4646" t="s">
        <v>50</v>
      </c>
      <c r="D4646" t="s">
        <v>27</v>
      </c>
      <c r="E4646" s="2">
        <v>46106</v>
      </c>
      <c r="F4646" s="2">
        <v>46106</v>
      </c>
      <c r="G4646" s="3">
        <v>141</v>
      </c>
      <c r="H4646" t="s">
        <v>28</v>
      </c>
      <c r="I4646">
        <v>31</v>
      </c>
      <c r="J4646">
        <v>0</v>
      </c>
      <c r="K4646">
        <v>0</v>
      </c>
      <c r="L4646" s="3">
        <v>1</v>
      </c>
      <c r="M4646" s="3">
        <v>1</v>
      </c>
      <c r="N4646">
        <v>0</v>
      </c>
      <c r="O4646">
        <v>0</v>
      </c>
      <c r="P4646">
        <v>0</v>
      </c>
      <c r="Q4646">
        <v>31</v>
      </c>
      <c r="R4646" s="3">
        <v>0</v>
      </c>
      <c r="S4646" s="3">
        <v>0</v>
      </c>
      <c r="T4646">
        <v>0</v>
      </c>
      <c r="U4646">
        <v>0</v>
      </c>
      <c r="V4646" s="3">
        <v>0</v>
      </c>
      <c r="W4646" s="3">
        <v>0</v>
      </c>
      <c r="X4646">
        <v>0</v>
      </c>
      <c r="Y4646" t="s">
        <v>3539</v>
      </c>
    </row>
    <row r="4647" spans="1:25" hidden="1" x14ac:dyDescent="0.25">
      <c r="A4647" t="s">
        <v>51</v>
      </c>
      <c r="B4647" t="s">
        <v>120</v>
      </c>
      <c r="C4647" t="s">
        <v>55</v>
      </c>
      <c r="D4647" t="s">
        <v>27</v>
      </c>
      <c r="E4647" s="2">
        <v>46106</v>
      </c>
      <c r="F4647" s="2">
        <v>46106</v>
      </c>
      <c r="G4647" s="3">
        <v>49</v>
      </c>
      <c r="H4647" t="s">
        <v>28</v>
      </c>
      <c r="I4647">
        <v>15</v>
      </c>
      <c r="J4647">
        <v>0</v>
      </c>
      <c r="K4647">
        <v>0</v>
      </c>
      <c r="L4647" s="3">
        <v>1</v>
      </c>
      <c r="M4647" s="3">
        <v>0</v>
      </c>
      <c r="N4647">
        <v>1</v>
      </c>
      <c r="O4647">
        <v>0</v>
      </c>
      <c r="P4647">
        <v>0</v>
      </c>
      <c r="Q4647">
        <v>0</v>
      </c>
      <c r="R4647" s="3">
        <v>0</v>
      </c>
      <c r="S4647" s="3">
        <v>0</v>
      </c>
      <c r="T4647">
        <v>0</v>
      </c>
      <c r="U4647">
        <v>0</v>
      </c>
      <c r="V4647" s="3">
        <v>0</v>
      </c>
      <c r="W4647" s="3">
        <v>0</v>
      </c>
      <c r="X4647">
        <v>0</v>
      </c>
      <c r="Y4647" t="s">
        <v>3540</v>
      </c>
    </row>
    <row r="4648" spans="1:25" hidden="1" x14ac:dyDescent="0.25">
      <c r="A4648" t="s">
        <v>54</v>
      </c>
      <c r="B4648" t="s">
        <v>122</v>
      </c>
      <c r="C4648" t="s">
        <v>52</v>
      </c>
      <c r="D4648" t="s">
        <v>27</v>
      </c>
      <c r="E4648" s="2">
        <v>46106</v>
      </c>
      <c r="F4648" s="2">
        <v>46106</v>
      </c>
      <c r="G4648" s="3">
        <v>40</v>
      </c>
      <c r="H4648" t="s">
        <v>28</v>
      </c>
      <c r="I4648">
        <v>40</v>
      </c>
      <c r="J4648">
        <v>0</v>
      </c>
      <c r="K4648">
        <v>0</v>
      </c>
      <c r="L4648" s="3">
        <v>0</v>
      </c>
      <c r="M4648" s="3">
        <v>0</v>
      </c>
      <c r="N4648">
        <v>0</v>
      </c>
      <c r="O4648">
        <v>0</v>
      </c>
      <c r="P4648">
        <v>0</v>
      </c>
      <c r="Q4648">
        <v>7</v>
      </c>
      <c r="R4648" s="3">
        <v>0</v>
      </c>
      <c r="S4648" s="3">
        <v>0</v>
      </c>
      <c r="T4648">
        <v>0</v>
      </c>
      <c r="U4648">
        <v>0</v>
      </c>
      <c r="V4648" s="3">
        <v>0</v>
      </c>
      <c r="W4648" s="3">
        <v>0</v>
      </c>
      <c r="X4648">
        <v>1</v>
      </c>
      <c r="Y4648" t="s">
        <v>3541</v>
      </c>
    </row>
    <row r="4649" spans="1:25" hidden="1" x14ac:dyDescent="0.25">
      <c r="A4649" t="s">
        <v>48</v>
      </c>
      <c r="B4649" t="s">
        <v>149</v>
      </c>
      <c r="C4649" t="s">
        <v>37</v>
      </c>
      <c r="D4649" t="s">
        <v>27</v>
      </c>
      <c r="E4649" s="2">
        <v>46106</v>
      </c>
      <c r="F4649" s="2">
        <v>46106</v>
      </c>
      <c r="G4649" s="3">
        <v>23</v>
      </c>
      <c r="H4649" t="s">
        <v>28</v>
      </c>
      <c r="I4649">
        <v>60</v>
      </c>
      <c r="J4649">
        <v>0</v>
      </c>
      <c r="K4649">
        <v>0</v>
      </c>
      <c r="L4649" s="3">
        <v>1</v>
      </c>
      <c r="M4649" s="3">
        <v>0</v>
      </c>
      <c r="N4649">
        <v>0</v>
      </c>
      <c r="O4649">
        <v>0</v>
      </c>
      <c r="P4649">
        <v>0</v>
      </c>
      <c r="Q4649">
        <v>2</v>
      </c>
      <c r="R4649" s="3">
        <v>0</v>
      </c>
      <c r="S4649" s="3">
        <v>0</v>
      </c>
      <c r="T4649">
        <v>0</v>
      </c>
      <c r="U4649">
        <v>0</v>
      </c>
      <c r="V4649" s="3">
        <v>0</v>
      </c>
      <c r="W4649" s="3">
        <v>0</v>
      </c>
      <c r="X4649">
        <v>0</v>
      </c>
      <c r="Y4649" t="s">
        <v>3542</v>
      </c>
    </row>
    <row r="4650" spans="1:25" hidden="1" x14ac:dyDescent="0.25">
      <c r="A4650" t="s">
        <v>2899</v>
      </c>
      <c r="B4650" t="s">
        <v>739</v>
      </c>
      <c r="C4650" t="s">
        <v>27</v>
      </c>
      <c r="D4650" t="s">
        <v>27</v>
      </c>
      <c r="E4650" s="2">
        <v>46106</v>
      </c>
      <c r="F4650" s="2">
        <v>46106</v>
      </c>
      <c r="G4650" s="3">
        <v>24</v>
      </c>
      <c r="H4650" t="s">
        <v>28</v>
      </c>
      <c r="I4650">
        <v>25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 t="s">
        <v>3542</v>
      </c>
    </row>
    <row r="4651" spans="1:25" hidden="1" x14ac:dyDescent="0.25">
      <c r="A4651" t="s">
        <v>40</v>
      </c>
      <c r="B4651" t="s">
        <v>755</v>
      </c>
      <c r="C4651" t="s">
        <v>27</v>
      </c>
      <c r="D4651" t="s">
        <v>27</v>
      </c>
      <c r="E4651" s="2">
        <v>46105</v>
      </c>
      <c r="F4651" s="2">
        <v>46105</v>
      </c>
      <c r="G4651" s="3">
        <v>20</v>
      </c>
      <c r="H4651" t="s">
        <v>1256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3508</v>
      </c>
    </row>
    <row r="4652" spans="1:25" hidden="1" x14ac:dyDescent="0.25">
      <c r="A4652" t="s">
        <v>40</v>
      </c>
      <c r="B4652" t="s">
        <v>755</v>
      </c>
      <c r="C4652" t="s">
        <v>27</v>
      </c>
      <c r="D4652" t="s">
        <v>27</v>
      </c>
      <c r="E4652" s="2">
        <v>46106</v>
      </c>
      <c r="F4652" s="2">
        <v>46106</v>
      </c>
      <c r="G4652" s="3">
        <v>25</v>
      </c>
      <c r="H4652" t="s">
        <v>28</v>
      </c>
      <c r="I4652">
        <v>28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3542</v>
      </c>
    </row>
    <row r="4653" spans="1:25" hidden="1" x14ac:dyDescent="0.25">
      <c r="A4653" t="s">
        <v>25</v>
      </c>
      <c r="B4653" t="s">
        <v>96</v>
      </c>
      <c r="C4653" t="s">
        <v>26</v>
      </c>
      <c r="D4653" t="s">
        <v>27</v>
      </c>
      <c r="E4653" s="2">
        <v>46107</v>
      </c>
      <c r="F4653" s="2">
        <v>46107</v>
      </c>
      <c r="G4653" s="3">
        <v>42</v>
      </c>
      <c r="H4653" t="s">
        <v>28</v>
      </c>
      <c r="I4653">
        <v>51</v>
      </c>
      <c r="J4653">
        <v>0</v>
      </c>
      <c r="K4653">
        <v>0</v>
      </c>
      <c r="L4653" s="3">
        <v>1</v>
      </c>
      <c r="M4653" s="3">
        <v>0</v>
      </c>
      <c r="N4653">
        <v>1</v>
      </c>
      <c r="O4653">
        <v>0</v>
      </c>
      <c r="P4653">
        <v>0</v>
      </c>
      <c r="Q4653">
        <v>0</v>
      </c>
      <c r="R4653" s="3">
        <v>0</v>
      </c>
      <c r="S4653" s="3">
        <v>0</v>
      </c>
      <c r="T4653">
        <v>0</v>
      </c>
      <c r="U4653">
        <v>0</v>
      </c>
      <c r="V4653" s="3">
        <v>0</v>
      </c>
      <c r="W4653" s="3">
        <v>0</v>
      </c>
      <c r="X4653">
        <v>0</v>
      </c>
      <c r="Y4653" t="s">
        <v>3543</v>
      </c>
    </row>
    <row r="4654" spans="1:25" hidden="1" x14ac:dyDescent="0.25">
      <c r="A4654" t="s">
        <v>29</v>
      </c>
      <c r="B4654" t="s">
        <v>100</v>
      </c>
      <c r="C4654" t="s">
        <v>95</v>
      </c>
      <c r="D4654" t="s">
        <v>27</v>
      </c>
      <c r="E4654" s="2">
        <v>46107</v>
      </c>
      <c r="F4654" s="2">
        <v>46107</v>
      </c>
      <c r="G4654" s="3">
        <v>39</v>
      </c>
      <c r="H4654" t="s">
        <v>28</v>
      </c>
      <c r="I4654">
        <v>42</v>
      </c>
      <c r="J4654">
        <v>0</v>
      </c>
      <c r="K4654">
        <v>0</v>
      </c>
      <c r="L4654" s="3">
        <v>1</v>
      </c>
      <c r="M4654" s="3">
        <v>0</v>
      </c>
      <c r="N4654">
        <v>0</v>
      </c>
      <c r="O4654">
        <v>0</v>
      </c>
      <c r="P4654">
        <v>15</v>
      </c>
      <c r="Q4654">
        <v>13</v>
      </c>
      <c r="R4654" s="3">
        <v>0</v>
      </c>
      <c r="S4654" s="3">
        <v>0</v>
      </c>
      <c r="T4654">
        <v>0</v>
      </c>
      <c r="U4654">
        <v>0</v>
      </c>
      <c r="V4654" s="3">
        <v>0</v>
      </c>
      <c r="W4654" s="3">
        <v>0</v>
      </c>
      <c r="X4654">
        <v>0</v>
      </c>
      <c r="Y4654" t="s">
        <v>3544</v>
      </c>
    </row>
    <row r="4655" spans="1:25" hidden="1" x14ac:dyDescent="0.25">
      <c r="A4655" t="s">
        <v>344</v>
      </c>
      <c r="B4655" t="s">
        <v>100</v>
      </c>
      <c r="C4655" t="s">
        <v>35</v>
      </c>
      <c r="D4655" t="s">
        <v>27</v>
      </c>
      <c r="E4655" s="2">
        <v>46107</v>
      </c>
      <c r="F4655" s="2">
        <v>46107</v>
      </c>
      <c r="G4655" s="3">
        <v>64</v>
      </c>
      <c r="H4655" t="s">
        <v>28</v>
      </c>
      <c r="I4655">
        <v>37</v>
      </c>
      <c r="J4655">
        <v>0</v>
      </c>
      <c r="K4655">
        <v>0</v>
      </c>
      <c r="L4655" s="3">
        <v>1</v>
      </c>
      <c r="M4655" s="3">
        <v>0</v>
      </c>
      <c r="N4655">
        <v>0</v>
      </c>
      <c r="O4655">
        <v>0</v>
      </c>
      <c r="P4655">
        <v>0</v>
      </c>
      <c r="Q4655">
        <v>12</v>
      </c>
      <c r="R4655" s="3">
        <v>0</v>
      </c>
      <c r="S4655" s="3">
        <v>0</v>
      </c>
      <c r="T4655">
        <v>0</v>
      </c>
      <c r="U4655">
        <v>0</v>
      </c>
      <c r="V4655" s="3">
        <v>0</v>
      </c>
      <c r="W4655" s="3">
        <v>0</v>
      </c>
      <c r="X4655">
        <v>1</v>
      </c>
      <c r="Y4655" t="s">
        <v>3527</v>
      </c>
    </row>
    <row r="4656" spans="1:25" hidden="1" x14ac:dyDescent="0.25">
      <c r="A4656" t="s">
        <v>27</v>
      </c>
      <c r="B4656" t="s">
        <v>104</v>
      </c>
      <c r="C4656" t="s">
        <v>2835</v>
      </c>
      <c r="D4656" t="s">
        <v>27</v>
      </c>
      <c r="E4656" s="2">
        <v>46106</v>
      </c>
      <c r="F4656" s="2">
        <v>46106</v>
      </c>
      <c r="G4656" s="3">
        <v>36</v>
      </c>
      <c r="H4656" t="s">
        <v>28</v>
      </c>
      <c r="I4656">
        <v>57</v>
      </c>
      <c r="J4656">
        <v>0</v>
      </c>
      <c r="K4656">
        <v>0</v>
      </c>
      <c r="L4656" s="3">
        <v>1</v>
      </c>
      <c r="M4656" s="3">
        <v>0</v>
      </c>
      <c r="N4656">
        <v>0</v>
      </c>
      <c r="O4656">
        <v>0</v>
      </c>
      <c r="P4656">
        <v>0</v>
      </c>
      <c r="Q4656">
        <v>30</v>
      </c>
      <c r="R4656" s="3">
        <v>0</v>
      </c>
      <c r="S4656" s="3">
        <v>0</v>
      </c>
      <c r="T4656">
        <v>0</v>
      </c>
      <c r="U4656">
        <v>0</v>
      </c>
      <c r="V4656" s="3">
        <v>0</v>
      </c>
      <c r="W4656" s="3">
        <v>0</v>
      </c>
      <c r="X4656">
        <v>1</v>
      </c>
      <c r="Y4656" t="s">
        <v>3512</v>
      </c>
    </row>
    <row r="4657" spans="1:25" hidden="1" x14ac:dyDescent="0.25">
      <c r="A4657" t="s">
        <v>31</v>
      </c>
      <c r="B4657" t="s">
        <v>104</v>
      </c>
      <c r="C4657" t="s">
        <v>2835</v>
      </c>
      <c r="D4657" t="s">
        <v>27</v>
      </c>
      <c r="E4657" s="2">
        <v>46107</v>
      </c>
      <c r="F4657" s="2">
        <v>46107</v>
      </c>
      <c r="G4657" s="3">
        <v>40</v>
      </c>
      <c r="H4657" t="s">
        <v>28</v>
      </c>
      <c r="I4657">
        <v>62</v>
      </c>
      <c r="J4657">
        <v>0</v>
      </c>
      <c r="K4657">
        <v>0</v>
      </c>
      <c r="L4657" s="3">
        <v>1</v>
      </c>
      <c r="M4657" s="3">
        <v>0</v>
      </c>
      <c r="N4657">
        <v>0</v>
      </c>
      <c r="O4657">
        <v>0</v>
      </c>
      <c r="P4657">
        <v>0</v>
      </c>
      <c r="Q4657">
        <v>30</v>
      </c>
      <c r="R4657" s="3">
        <v>0</v>
      </c>
      <c r="S4657" s="3">
        <v>0</v>
      </c>
      <c r="T4657">
        <v>0</v>
      </c>
      <c r="U4657">
        <v>0</v>
      </c>
      <c r="V4657" s="3">
        <v>0</v>
      </c>
      <c r="W4657" s="3">
        <v>0</v>
      </c>
      <c r="X4657">
        <v>1</v>
      </c>
      <c r="Y4657" t="s">
        <v>3545</v>
      </c>
    </row>
    <row r="4658" spans="1:25" hidden="1" x14ac:dyDescent="0.25">
      <c r="A4658" t="s">
        <v>33</v>
      </c>
      <c r="B4658" t="s">
        <v>106</v>
      </c>
      <c r="C4658" t="s">
        <v>57</v>
      </c>
      <c r="D4658" t="s">
        <v>27</v>
      </c>
      <c r="E4658" s="2">
        <v>46107</v>
      </c>
      <c r="F4658" s="2">
        <v>46107</v>
      </c>
      <c r="G4658" s="3">
        <v>29</v>
      </c>
      <c r="H4658" t="s">
        <v>28</v>
      </c>
      <c r="I4658">
        <v>40</v>
      </c>
      <c r="J4658">
        <v>0</v>
      </c>
      <c r="K4658">
        <v>0</v>
      </c>
      <c r="L4658" s="3">
        <v>0</v>
      </c>
      <c r="M4658" s="3">
        <v>0</v>
      </c>
      <c r="N4658">
        <v>0</v>
      </c>
      <c r="O4658">
        <v>0</v>
      </c>
      <c r="P4658">
        <v>0</v>
      </c>
      <c r="Q4658">
        <v>0</v>
      </c>
      <c r="R4658" s="3">
        <v>0</v>
      </c>
      <c r="S4658" s="3">
        <v>0</v>
      </c>
      <c r="T4658">
        <v>0</v>
      </c>
      <c r="U4658">
        <v>0</v>
      </c>
      <c r="V4658" s="3">
        <v>0</v>
      </c>
      <c r="W4658" s="3">
        <v>0</v>
      </c>
      <c r="X4658">
        <v>0</v>
      </c>
      <c r="Y4658" t="s">
        <v>3546</v>
      </c>
    </row>
    <row r="4659" spans="1:25" hidden="1" x14ac:dyDescent="0.25">
      <c r="A4659" t="s">
        <v>36</v>
      </c>
      <c r="B4659" t="s">
        <v>249</v>
      </c>
      <c r="C4659" t="s">
        <v>46</v>
      </c>
      <c r="D4659" t="s">
        <v>27</v>
      </c>
      <c r="E4659" s="2">
        <v>46107</v>
      </c>
      <c r="F4659" s="2">
        <v>46107</v>
      </c>
      <c r="G4659" s="3">
        <v>70</v>
      </c>
      <c r="H4659" t="s">
        <v>28</v>
      </c>
      <c r="I4659">
        <v>32</v>
      </c>
      <c r="J4659">
        <v>0</v>
      </c>
      <c r="K4659">
        <v>0</v>
      </c>
      <c r="L4659" s="3">
        <v>0</v>
      </c>
      <c r="M4659" s="3">
        <v>0</v>
      </c>
      <c r="N4659">
        <v>0</v>
      </c>
      <c r="O4659">
        <v>0</v>
      </c>
      <c r="P4659">
        <v>0</v>
      </c>
      <c r="Q4659">
        <v>0</v>
      </c>
      <c r="R4659" s="3">
        <v>0</v>
      </c>
      <c r="S4659" s="3">
        <v>0</v>
      </c>
      <c r="T4659">
        <v>0</v>
      </c>
      <c r="U4659">
        <v>0</v>
      </c>
      <c r="V4659" s="3">
        <v>0</v>
      </c>
      <c r="W4659" s="3">
        <v>0</v>
      </c>
      <c r="X4659">
        <v>0</v>
      </c>
      <c r="Y4659" t="s">
        <v>3547</v>
      </c>
    </row>
    <row r="4660" spans="1:25" hidden="1" x14ac:dyDescent="0.25">
      <c r="A4660" t="s">
        <v>38</v>
      </c>
      <c r="B4660" t="s">
        <v>108</v>
      </c>
      <c r="C4660" t="s">
        <v>27</v>
      </c>
      <c r="D4660" t="s">
        <v>27</v>
      </c>
      <c r="E4660" s="2">
        <v>46107</v>
      </c>
      <c r="F4660" s="2">
        <v>46107</v>
      </c>
      <c r="G4660" s="3">
        <v>34</v>
      </c>
      <c r="H4660" t="s">
        <v>28</v>
      </c>
      <c r="I4660">
        <v>27</v>
      </c>
      <c r="J4660">
        <v>0</v>
      </c>
      <c r="K4660">
        <v>0</v>
      </c>
      <c r="L4660" s="3">
        <v>1</v>
      </c>
      <c r="M4660" s="3">
        <v>0</v>
      </c>
      <c r="N4660">
        <v>0</v>
      </c>
      <c r="O4660">
        <v>0</v>
      </c>
      <c r="P4660">
        <v>0</v>
      </c>
      <c r="Q4660">
        <v>27</v>
      </c>
      <c r="R4660" s="3">
        <v>0</v>
      </c>
      <c r="S4660" s="3">
        <v>0</v>
      </c>
      <c r="T4660">
        <v>0</v>
      </c>
      <c r="U4660">
        <v>0</v>
      </c>
      <c r="V4660" s="3">
        <v>0</v>
      </c>
      <c r="W4660" s="3">
        <v>0</v>
      </c>
      <c r="X4660">
        <v>0</v>
      </c>
      <c r="Y4660" t="s">
        <v>3548</v>
      </c>
    </row>
    <row r="4661" spans="1:25" hidden="1" x14ac:dyDescent="0.25">
      <c r="A4661" t="s">
        <v>2679</v>
      </c>
      <c r="B4661" t="s">
        <v>2680</v>
      </c>
      <c r="C4661" t="s">
        <v>39</v>
      </c>
      <c r="D4661" t="s">
        <v>27</v>
      </c>
      <c r="E4661" s="2">
        <v>46107</v>
      </c>
      <c r="F4661" s="2">
        <v>46107</v>
      </c>
      <c r="G4661" s="3">
        <v>30</v>
      </c>
      <c r="H4661" t="s">
        <v>28</v>
      </c>
      <c r="I4661">
        <v>30</v>
      </c>
      <c r="J4661">
        <v>0</v>
      </c>
      <c r="K4661">
        <v>0</v>
      </c>
      <c r="L4661" s="3">
        <v>0</v>
      </c>
      <c r="M4661" s="3">
        <v>0</v>
      </c>
      <c r="N4661">
        <v>0</v>
      </c>
      <c r="O4661">
        <v>0</v>
      </c>
      <c r="P4661">
        <v>0</v>
      </c>
      <c r="Q4661">
        <v>30</v>
      </c>
      <c r="R4661" s="3">
        <v>0</v>
      </c>
      <c r="S4661" s="3">
        <v>0</v>
      </c>
      <c r="T4661">
        <v>0</v>
      </c>
      <c r="U4661">
        <v>0</v>
      </c>
      <c r="V4661" s="3">
        <v>0</v>
      </c>
      <c r="W4661" s="3">
        <v>0</v>
      </c>
      <c r="X4661">
        <v>0</v>
      </c>
      <c r="Y4661" t="s">
        <v>3549</v>
      </c>
    </row>
    <row r="4662" spans="1:25" hidden="1" x14ac:dyDescent="0.25">
      <c r="A4662" t="s">
        <v>40</v>
      </c>
      <c r="B4662" t="s">
        <v>110</v>
      </c>
      <c r="C4662" t="s">
        <v>2534</v>
      </c>
      <c r="D4662" t="s">
        <v>27</v>
      </c>
      <c r="E4662" s="2">
        <v>46107</v>
      </c>
      <c r="F4662" s="2">
        <v>46107</v>
      </c>
      <c r="G4662" s="3">
        <v>102</v>
      </c>
      <c r="H4662" t="s">
        <v>28</v>
      </c>
      <c r="I4662">
        <v>40</v>
      </c>
      <c r="J4662">
        <v>0</v>
      </c>
      <c r="K4662">
        <v>0</v>
      </c>
      <c r="L4662" s="3">
        <v>1</v>
      </c>
      <c r="M4662" s="3">
        <v>0</v>
      </c>
      <c r="N4662">
        <v>1</v>
      </c>
      <c r="O4662">
        <v>0</v>
      </c>
      <c r="P4662">
        <v>0</v>
      </c>
      <c r="Q4662">
        <v>0</v>
      </c>
      <c r="R4662" s="3">
        <v>0</v>
      </c>
      <c r="S4662" s="3">
        <v>0</v>
      </c>
      <c r="T4662">
        <v>0</v>
      </c>
      <c r="U4662">
        <v>0</v>
      </c>
      <c r="V4662" s="3">
        <v>0</v>
      </c>
      <c r="W4662" s="3">
        <v>0</v>
      </c>
      <c r="X4662">
        <v>0</v>
      </c>
      <c r="Y4662" t="s">
        <v>3550</v>
      </c>
    </row>
    <row r="4663" spans="1:25" hidden="1" x14ac:dyDescent="0.25">
      <c r="A4663" t="s">
        <v>2899</v>
      </c>
      <c r="B4663" t="s">
        <v>112</v>
      </c>
      <c r="C4663" t="s">
        <v>42</v>
      </c>
      <c r="D4663" t="s">
        <v>27</v>
      </c>
      <c r="E4663" s="2">
        <v>46107</v>
      </c>
      <c r="F4663" s="2">
        <v>46107</v>
      </c>
      <c r="G4663" s="3">
        <v>57</v>
      </c>
      <c r="H4663" t="s">
        <v>28</v>
      </c>
      <c r="I4663">
        <v>69</v>
      </c>
      <c r="J4663">
        <v>0</v>
      </c>
      <c r="K4663">
        <v>0</v>
      </c>
      <c r="L4663" s="3">
        <v>1</v>
      </c>
      <c r="M4663" s="3">
        <v>0</v>
      </c>
      <c r="N4663">
        <v>0</v>
      </c>
      <c r="O4663">
        <v>0</v>
      </c>
      <c r="P4663">
        <v>0</v>
      </c>
      <c r="Q4663">
        <v>8</v>
      </c>
      <c r="R4663" s="3">
        <v>0</v>
      </c>
      <c r="S4663" s="3">
        <v>0</v>
      </c>
      <c r="T4663">
        <v>0</v>
      </c>
      <c r="U4663">
        <v>0</v>
      </c>
      <c r="V4663" s="3">
        <v>0</v>
      </c>
      <c r="W4663" s="3">
        <v>0</v>
      </c>
      <c r="X4663">
        <v>3</v>
      </c>
      <c r="Y4663" t="s">
        <v>3551</v>
      </c>
    </row>
    <row r="4664" spans="1:25" hidden="1" x14ac:dyDescent="0.25">
      <c r="A4664" t="s">
        <v>43</v>
      </c>
      <c r="B4664" t="s">
        <v>114</v>
      </c>
      <c r="C4664" t="s">
        <v>2379</v>
      </c>
      <c r="D4664" t="s">
        <v>27</v>
      </c>
      <c r="E4664" s="2">
        <v>46107</v>
      </c>
      <c r="F4664" s="2">
        <v>46107</v>
      </c>
      <c r="G4664" s="3">
        <v>36</v>
      </c>
      <c r="H4664" t="s">
        <v>28</v>
      </c>
      <c r="I4664">
        <v>90</v>
      </c>
      <c r="J4664">
        <v>0</v>
      </c>
      <c r="K4664">
        <v>0</v>
      </c>
      <c r="L4664" s="3">
        <v>1</v>
      </c>
      <c r="M4664" s="3">
        <v>0</v>
      </c>
      <c r="N4664">
        <v>0</v>
      </c>
      <c r="O4664">
        <v>0</v>
      </c>
      <c r="P4664">
        <v>0</v>
      </c>
      <c r="Q4664">
        <v>35</v>
      </c>
      <c r="R4664" s="3">
        <v>0</v>
      </c>
      <c r="S4664" s="3">
        <v>0</v>
      </c>
      <c r="T4664">
        <v>0</v>
      </c>
      <c r="U4664">
        <v>0</v>
      </c>
      <c r="V4664" s="3">
        <v>0</v>
      </c>
      <c r="W4664" s="3">
        <v>0</v>
      </c>
      <c r="X4664">
        <v>0</v>
      </c>
      <c r="Y4664" t="s">
        <v>3552</v>
      </c>
    </row>
    <row r="4665" spans="1:25" hidden="1" x14ac:dyDescent="0.25">
      <c r="A4665" t="s">
        <v>47</v>
      </c>
      <c r="B4665" t="s">
        <v>137</v>
      </c>
      <c r="C4665" t="s">
        <v>2310</v>
      </c>
      <c r="D4665" t="s">
        <v>27</v>
      </c>
      <c r="E4665" s="2">
        <v>46107</v>
      </c>
      <c r="F4665" s="2">
        <v>46107</v>
      </c>
      <c r="G4665" s="3">
        <v>124</v>
      </c>
      <c r="H4665" t="s">
        <v>28</v>
      </c>
      <c r="I4665">
        <v>50</v>
      </c>
      <c r="J4665">
        <v>0</v>
      </c>
      <c r="K4665">
        <v>0</v>
      </c>
      <c r="L4665" s="3">
        <v>1</v>
      </c>
      <c r="M4665" s="3">
        <v>0</v>
      </c>
      <c r="N4665">
        <v>0</v>
      </c>
      <c r="O4665">
        <v>0</v>
      </c>
      <c r="P4665">
        <v>0</v>
      </c>
      <c r="Q4665">
        <v>4</v>
      </c>
      <c r="R4665" s="3">
        <v>0</v>
      </c>
      <c r="S4665" s="3">
        <v>0</v>
      </c>
      <c r="T4665">
        <v>0</v>
      </c>
      <c r="U4665">
        <v>0</v>
      </c>
      <c r="V4665" s="3">
        <v>0</v>
      </c>
      <c r="W4665" s="3">
        <v>0</v>
      </c>
      <c r="X4665">
        <v>0</v>
      </c>
      <c r="Y4665" t="s">
        <v>3553</v>
      </c>
    </row>
    <row r="4666" spans="1:25" hidden="1" x14ac:dyDescent="0.25">
      <c r="A4666" t="s">
        <v>49</v>
      </c>
      <c r="B4666" t="s">
        <v>118</v>
      </c>
      <c r="C4666" t="s">
        <v>50</v>
      </c>
      <c r="D4666" t="s">
        <v>27</v>
      </c>
      <c r="E4666" s="2">
        <v>46107</v>
      </c>
      <c r="F4666" s="2">
        <v>46107</v>
      </c>
      <c r="G4666" s="3">
        <v>32</v>
      </c>
      <c r="H4666" t="s">
        <v>28</v>
      </c>
      <c r="I4666">
        <v>63</v>
      </c>
      <c r="J4666">
        <v>0</v>
      </c>
      <c r="K4666">
        <v>0</v>
      </c>
      <c r="L4666" s="3">
        <v>1</v>
      </c>
      <c r="M4666" s="3">
        <v>1</v>
      </c>
      <c r="N4666">
        <v>0</v>
      </c>
      <c r="O4666">
        <v>0</v>
      </c>
      <c r="P4666">
        <v>0</v>
      </c>
      <c r="Q4666">
        <v>63</v>
      </c>
      <c r="R4666" s="3">
        <v>0</v>
      </c>
      <c r="S4666" s="3">
        <v>0</v>
      </c>
      <c r="T4666">
        <v>0</v>
      </c>
      <c r="U4666">
        <v>0</v>
      </c>
      <c r="V4666" s="3">
        <v>0</v>
      </c>
      <c r="W4666" s="3">
        <v>0</v>
      </c>
      <c r="X4666">
        <v>0</v>
      </c>
      <c r="Y4666" t="s">
        <v>3554</v>
      </c>
    </row>
    <row r="4667" spans="1:25" hidden="1" x14ac:dyDescent="0.25">
      <c r="A4667" t="s">
        <v>51</v>
      </c>
      <c r="B4667" t="s">
        <v>120</v>
      </c>
      <c r="C4667" t="s">
        <v>55</v>
      </c>
      <c r="D4667" t="s">
        <v>27</v>
      </c>
      <c r="E4667" s="2">
        <v>46107</v>
      </c>
      <c r="F4667" s="2">
        <v>46107</v>
      </c>
      <c r="G4667" s="3">
        <v>63</v>
      </c>
      <c r="H4667" t="s">
        <v>28</v>
      </c>
      <c r="I4667">
        <v>38</v>
      </c>
      <c r="J4667">
        <v>0</v>
      </c>
      <c r="K4667">
        <v>0</v>
      </c>
      <c r="L4667" s="3">
        <v>1</v>
      </c>
      <c r="M4667" s="3">
        <v>0</v>
      </c>
      <c r="N4667">
        <v>1</v>
      </c>
      <c r="O4667">
        <v>0</v>
      </c>
      <c r="P4667">
        <v>0</v>
      </c>
      <c r="Q4667">
        <v>0</v>
      </c>
      <c r="R4667" s="3">
        <v>0</v>
      </c>
      <c r="S4667" s="3">
        <v>0</v>
      </c>
      <c r="T4667">
        <v>0</v>
      </c>
      <c r="U4667">
        <v>0</v>
      </c>
      <c r="V4667" s="3">
        <v>0</v>
      </c>
      <c r="W4667" s="3">
        <v>0</v>
      </c>
      <c r="X4667">
        <v>0</v>
      </c>
      <c r="Y4667" t="s">
        <v>3555</v>
      </c>
    </row>
    <row r="4668" spans="1:25" hidden="1" x14ac:dyDescent="0.25">
      <c r="A4668" t="s">
        <v>54</v>
      </c>
      <c r="B4668" t="s">
        <v>122</v>
      </c>
      <c r="C4668" t="s">
        <v>52</v>
      </c>
      <c r="D4668" t="s">
        <v>27</v>
      </c>
      <c r="E4668" s="2">
        <v>46107</v>
      </c>
      <c r="F4668" s="2">
        <v>46107</v>
      </c>
      <c r="G4668" s="3">
        <v>36</v>
      </c>
      <c r="H4668" t="s">
        <v>28</v>
      </c>
      <c r="I4668">
        <v>48</v>
      </c>
      <c r="J4668">
        <v>0</v>
      </c>
      <c r="K4668">
        <v>0</v>
      </c>
      <c r="L4668" s="3">
        <v>0</v>
      </c>
      <c r="M4668" s="3">
        <v>0</v>
      </c>
      <c r="N4668">
        <v>0</v>
      </c>
      <c r="O4668">
        <v>0</v>
      </c>
      <c r="P4668">
        <v>0</v>
      </c>
      <c r="Q4668">
        <v>7</v>
      </c>
      <c r="R4668" s="3">
        <v>0</v>
      </c>
      <c r="S4668" s="3">
        <v>0</v>
      </c>
      <c r="T4668">
        <v>0</v>
      </c>
      <c r="U4668">
        <v>0</v>
      </c>
      <c r="V4668" s="3">
        <v>0</v>
      </c>
      <c r="W4668" s="3">
        <v>0</v>
      </c>
      <c r="X4668">
        <v>0</v>
      </c>
      <c r="Y4668" t="s">
        <v>3556</v>
      </c>
    </row>
    <row r="4669" spans="1:25" hidden="1" x14ac:dyDescent="0.25">
      <c r="A4669" t="s">
        <v>48</v>
      </c>
      <c r="B4669" t="s">
        <v>149</v>
      </c>
      <c r="C4669" t="s">
        <v>37</v>
      </c>
      <c r="D4669" t="s">
        <v>27</v>
      </c>
      <c r="E4669" s="2">
        <v>46107</v>
      </c>
      <c r="F4669" s="2">
        <v>46107</v>
      </c>
      <c r="G4669" s="3">
        <v>26</v>
      </c>
      <c r="H4669" t="s">
        <v>28</v>
      </c>
      <c r="I4669">
        <v>45</v>
      </c>
      <c r="J4669">
        <v>0</v>
      </c>
      <c r="K4669">
        <v>0</v>
      </c>
      <c r="L4669" s="3">
        <v>1</v>
      </c>
      <c r="M4669" s="3">
        <v>0</v>
      </c>
      <c r="N4669">
        <v>0</v>
      </c>
      <c r="O4669">
        <v>0</v>
      </c>
      <c r="P4669">
        <v>0</v>
      </c>
      <c r="Q4669">
        <v>0</v>
      </c>
      <c r="R4669" s="3">
        <v>0</v>
      </c>
      <c r="S4669" s="3">
        <v>0</v>
      </c>
      <c r="T4669">
        <v>0</v>
      </c>
      <c r="U4669">
        <v>0</v>
      </c>
      <c r="V4669" s="3">
        <v>0</v>
      </c>
      <c r="W4669" s="3">
        <v>0</v>
      </c>
      <c r="X4669">
        <v>0</v>
      </c>
      <c r="Y4669" t="s">
        <v>3557</v>
      </c>
    </row>
    <row r="4670" spans="1:25" hidden="1" x14ac:dyDescent="0.25">
      <c r="A4670" t="s">
        <v>1316</v>
      </c>
      <c r="B4670" t="s">
        <v>739</v>
      </c>
      <c r="C4670" t="s">
        <v>27</v>
      </c>
      <c r="D4670" t="s">
        <v>27</v>
      </c>
      <c r="E4670" s="2">
        <v>46107</v>
      </c>
      <c r="F4670" s="2">
        <v>46107</v>
      </c>
      <c r="G4670" s="3">
        <v>27</v>
      </c>
      <c r="H4670" t="s">
        <v>2143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3557</v>
      </c>
    </row>
    <row r="4671" spans="1:25" hidden="1" x14ac:dyDescent="0.25">
      <c r="A4671" t="s">
        <v>27</v>
      </c>
      <c r="B4671" t="s">
        <v>755</v>
      </c>
      <c r="C4671" t="s">
        <v>2514</v>
      </c>
      <c r="D4671" t="s">
        <v>27</v>
      </c>
      <c r="E4671" s="2">
        <v>46107</v>
      </c>
      <c r="F4671" s="2">
        <v>46107</v>
      </c>
      <c r="G4671" s="3">
        <v>28</v>
      </c>
      <c r="H4671" t="s">
        <v>2143</v>
      </c>
      <c r="I4671" t="s">
        <v>3839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3557</v>
      </c>
    </row>
    <row r="4672" spans="1:25" hidden="1" x14ac:dyDescent="0.25">
      <c r="A4672" t="s">
        <v>27</v>
      </c>
      <c r="B4672" t="s">
        <v>799</v>
      </c>
      <c r="C4672" t="s">
        <v>2271</v>
      </c>
      <c r="D4672" t="s">
        <v>27</v>
      </c>
      <c r="E4672" s="2">
        <v>46106</v>
      </c>
      <c r="F4672" s="2">
        <v>46106</v>
      </c>
      <c r="G4672" s="3">
        <v>60</v>
      </c>
      <c r="H4672" t="s">
        <v>3840</v>
      </c>
      <c r="I4672">
        <v>67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4</v>
      </c>
      <c r="Y4672" t="s">
        <v>3523</v>
      </c>
    </row>
    <row r="4673" spans="1:25" hidden="1" x14ac:dyDescent="0.25">
      <c r="A4673" t="s">
        <v>27</v>
      </c>
      <c r="B4673" t="s">
        <v>758</v>
      </c>
      <c r="C4673" t="s">
        <v>2271</v>
      </c>
      <c r="D4673" t="s">
        <v>27</v>
      </c>
      <c r="E4673" s="2">
        <v>46107</v>
      </c>
      <c r="F4673" s="2">
        <v>46107</v>
      </c>
      <c r="G4673" s="3">
        <v>29</v>
      </c>
      <c r="H4673" t="s">
        <v>1448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3557</v>
      </c>
    </row>
    <row r="4674" spans="1:25" hidden="1" x14ac:dyDescent="0.25">
      <c r="A4674" t="s">
        <v>41</v>
      </c>
      <c r="B4674" t="s">
        <v>798</v>
      </c>
      <c r="C4674" t="s">
        <v>27</v>
      </c>
      <c r="D4674" t="s">
        <v>27</v>
      </c>
      <c r="E4674" s="2">
        <v>46107</v>
      </c>
      <c r="F4674" s="2">
        <v>46107</v>
      </c>
      <c r="G4674" s="3">
        <v>30</v>
      </c>
      <c r="H4674" t="s">
        <v>2143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3557</v>
      </c>
    </row>
    <row r="4675" spans="1:25" hidden="1" x14ac:dyDescent="0.25">
      <c r="A4675" t="s">
        <v>27</v>
      </c>
      <c r="B4675" t="s">
        <v>799</v>
      </c>
      <c r="C4675" t="s">
        <v>44</v>
      </c>
      <c r="D4675" t="s">
        <v>27</v>
      </c>
      <c r="E4675" s="2">
        <v>46107</v>
      </c>
      <c r="F4675" s="2">
        <v>46107</v>
      </c>
      <c r="G4675" s="3">
        <v>31</v>
      </c>
      <c r="H4675" t="s">
        <v>2143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t="s">
        <v>3557</v>
      </c>
    </row>
    <row r="4676" spans="1:25" hidden="1" x14ac:dyDescent="0.25">
      <c r="A4676" t="s">
        <v>45</v>
      </c>
      <c r="B4676" t="s">
        <v>3524</v>
      </c>
      <c r="C4676" t="s">
        <v>27</v>
      </c>
      <c r="D4676" t="s">
        <v>27</v>
      </c>
      <c r="E4676" s="2">
        <v>46107</v>
      </c>
      <c r="F4676" s="2">
        <v>46107</v>
      </c>
      <c r="G4676" s="3">
        <v>32</v>
      </c>
      <c r="H4676" t="s">
        <v>763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3557</v>
      </c>
    </row>
    <row r="4677" spans="1:25" hidden="1" x14ac:dyDescent="0.25">
      <c r="A4677" t="s">
        <v>27</v>
      </c>
      <c r="B4677" t="s">
        <v>3558</v>
      </c>
      <c r="C4677" t="s">
        <v>32</v>
      </c>
      <c r="D4677" t="s">
        <v>27</v>
      </c>
      <c r="E4677" s="2">
        <v>46107</v>
      </c>
      <c r="F4677" s="2">
        <v>46107</v>
      </c>
      <c r="G4677" s="3">
        <v>63</v>
      </c>
      <c r="H4677" t="s">
        <v>180</v>
      </c>
      <c r="I4677">
        <v>0</v>
      </c>
      <c r="J4677">
        <v>0</v>
      </c>
      <c r="K4677">
        <v>0</v>
      </c>
      <c r="L4677" s="3">
        <v>0</v>
      </c>
      <c r="M4677" s="3">
        <v>0</v>
      </c>
      <c r="N4677">
        <v>0</v>
      </c>
      <c r="O4677">
        <v>0</v>
      </c>
      <c r="P4677">
        <v>0</v>
      </c>
      <c r="Q4677">
        <v>0</v>
      </c>
      <c r="R4677" s="3">
        <v>0</v>
      </c>
      <c r="S4677" s="3">
        <v>0</v>
      </c>
      <c r="T4677">
        <v>0</v>
      </c>
      <c r="U4677">
        <v>0</v>
      </c>
      <c r="V4677" s="3">
        <v>0</v>
      </c>
      <c r="W4677" s="3">
        <v>0</v>
      </c>
      <c r="X4677" s="3">
        <v>0</v>
      </c>
      <c r="Y4677" t="s">
        <v>3523</v>
      </c>
    </row>
    <row r="4678" spans="1:25" hidden="1" x14ac:dyDescent="0.25">
      <c r="A4678" t="s">
        <v>29</v>
      </c>
      <c r="B4678" t="s">
        <v>100</v>
      </c>
      <c r="C4678" t="s">
        <v>27</v>
      </c>
      <c r="D4678" t="s">
        <v>27</v>
      </c>
      <c r="E4678" s="2">
        <v>46108</v>
      </c>
      <c r="F4678" s="2">
        <v>46108</v>
      </c>
      <c r="G4678" s="3">
        <v>41</v>
      </c>
      <c r="H4678" t="s">
        <v>28</v>
      </c>
      <c r="I4678">
        <v>61</v>
      </c>
      <c r="J4678">
        <v>0</v>
      </c>
      <c r="K4678">
        <v>0</v>
      </c>
      <c r="L4678" s="3">
        <v>1</v>
      </c>
      <c r="M4678" s="3">
        <v>0</v>
      </c>
      <c r="N4678">
        <v>0</v>
      </c>
      <c r="O4678">
        <v>0</v>
      </c>
      <c r="P4678">
        <v>0</v>
      </c>
      <c r="Q4678">
        <v>0</v>
      </c>
      <c r="R4678" s="3">
        <v>0</v>
      </c>
      <c r="S4678" s="3">
        <v>0</v>
      </c>
      <c r="T4678">
        <v>0</v>
      </c>
      <c r="U4678">
        <v>0</v>
      </c>
      <c r="V4678" s="3">
        <v>0</v>
      </c>
      <c r="W4678" s="3">
        <v>0</v>
      </c>
      <c r="X4678">
        <v>0</v>
      </c>
      <c r="Y4678" t="s">
        <v>3559</v>
      </c>
    </row>
    <row r="4679" spans="1:25" hidden="1" x14ac:dyDescent="0.25">
      <c r="A4679" t="s">
        <v>344</v>
      </c>
      <c r="B4679" t="s">
        <v>100</v>
      </c>
      <c r="C4679" t="s">
        <v>27</v>
      </c>
      <c r="D4679" t="s">
        <v>27</v>
      </c>
      <c r="E4679" s="2">
        <v>46108</v>
      </c>
      <c r="F4679" s="2">
        <v>46108</v>
      </c>
      <c r="G4679" s="3">
        <v>41</v>
      </c>
      <c r="H4679" t="s">
        <v>28</v>
      </c>
      <c r="I4679">
        <v>61</v>
      </c>
      <c r="J4679">
        <v>0</v>
      </c>
      <c r="K4679">
        <v>0</v>
      </c>
      <c r="L4679" s="3">
        <v>1</v>
      </c>
      <c r="M4679" s="3">
        <v>0</v>
      </c>
      <c r="N4679">
        <v>0</v>
      </c>
      <c r="O4679">
        <v>0</v>
      </c>
      <c r="P4679">
        <v>0</v>
      </c>
      <c r="Q4679">
        <v>0</v>
      </c>
      <c r="R4679" s="3">
        <v>0</v>
      </c>
      <c r="S4679" s="3">
        <v>0</v>
      </c>
      <c r="T4679">
        <v>0</v>
      </c>
      <c r="U4679">
        <v>0</v>
      </c>
      <c r="V4679" s="3">
        <v>0</v>
      </c>
      <c r="W4679" s="3">
        <v>0</v>
      </c>
      <c r="X4679">
        <v>0</v>
      </c>
      <c r="Y4679" t="s">
        <v>3559</v>
      </c>
    </row>
    <row r="4680" spans="1:25" hidden="1" x14ac:dyDescent="0.25">
      <c r="A4680" t="s">
        <v>31</v>
      </c>
      <c r="B4680" t="s">
        <v>104</v>
      </c>
      <c r="C4680" t="s">
        <v>2835</v>
      </c>
      <c r="D4680" t="s">
        <v>27</v>
      </c>
      <c r="E4680" s="2">
        <v>46108</v>
      </c>
      <c r="F4680" s="2">
        <v>46108</v>
      </c>
      <c r="G4680" s="3">
        <v>53</v>
      </c>
      <c r="H4680" t="s">
        <v>28</v>
      </c>
      <c r="I4680">
        <v>84</v>
      </c>
      <c r="J4680">
        <v>0</v>
      </c>
      <c r="K4680">
        <v>0</v>
      </c>
      <c r="L4680" s="3">
        <v>1</v>
      </c>
      <c r="M4680" s="3">
        <v>0</v>
      </c>
      <c r="N4680">
        <v>0</v>
      </c>
      <c r="O4680">
        <v>0</v>
      </c>
      <c r="P4680">
        <v>0</v>
      </c>
      <c r="Q4680">
        <v>30</v>
      </c>
      <c r="R4680" s="3">
        <v>0</v>
      </c>
      <c r="S4680" s="3">
        <v>0</v>
      </c>
      <c r="T4680">
        <v>0</v>
      </c>
      <c r="U4680">
        <v>0</v>
      </c>
      <c r="V4680" s="3">
        <v>0</v>
      </c>
      <c r="W4680" s="3">
        <v>0</v>
      </c>
      <c r="X4680">
        <v>1</v>
      </c>
      <c r="Y4680" t="s">
        <v>3560</v>
      </c>
    </row>
    <row r="4681" spans="1:25" hidden="1" x14ac:dyDescent="0.25">
      <c r="A4681" t="s">
        <v>33</v>
      </c>
      <c r="B4681" t="s">
        <v>106</v>
      </c>
      <c r="C4681" t="s">
        <v>57</v>
      </c>
      <c r="D4681" t="s">
        <v>27</v>
      </c>
      <c r="E4681" s="2">
        <v>46108</v>
      </c>
      <c r="F4681" s="2">
        <v>46108</v>
      </c>
      <c r="G4681" s="3">
        <v>29</v>
      </c>
      <c r="H4681" t="s">
        <v>28</v>
      </c>
      <c r="I4681">
        <v>45</v>
      </c>
      <c r="J4681">
        <v>0</v>
      </c>
      <c r="K4681">
        <v>0</v>
      </c>
      <c r="L4681" s="3">
        <v>0</v>
      </c>
      <c r="M4681" s="3">
        <v>0</v>
      </c>
      <c r="N4681">
        <v>0</v>
      </c>
      <c r="O4681">
        <v>0</v>
      </c>
      <c r="P4681">
        <v>0</v>
      </c>
      <c r="Q4681">
        <v>0</v>
      </c>
      <c r="R4681" s="3">
        <v>0</v>
      </c>
      <c r="S4681" s="3">
        <v>0</v>
      </c>
      <c r="T4681">
        <v>0</v>
      </c>
      <c r="U4681">
        <v>0</v>
      </c>
      <c r="V4681" s="3">
        <v>0</v>
      </c>
      <c r="W4681" s="3">
        <v>0</v>
      </c>
      <c r="X4681">
        <v>0</v>
      </c>
      <c r="Y4681" t="s">
        <v>3546</v>
      </c>
    </row>
    <row r="4682" spans="1:25" hidden="1" x14ac:dyDescent="0.25">
      <c r="A4682" t="s">
        <v>45</v>
      </c>
      <c r="B4682" t="s">
        <v>249</v>
      </c>
      <c r="C4682" t="s">
        <v>46</v>
      </c>
      <c r="D4682" t="s">
        <v>27</v>
      </c>
      <c r="E4682" s="2">
        <v>46108</v>
      </c>
      <c r="F4682" s="2">
        <v>46108</v>
      </c>
      <c r="G4682" s="3">
        <v>58</v>
      </c>
      <c r="H4682" t="s">
        <v>28</v>
      </c>
      <c r="I4682">
        <v>70</v>
      </c>
      <c r="J4682">
        <v>0</v>
      </c>
      <c r="K4682">
        <v>0</v>
      </c>
      <c r="L4682" s="3">
        <v>1</v>
      </c>
      <c r="M4682" s="3">
        <v>0</v>
      </c>
      <c r="N4682">
        <v>0</v>
      </c>
      <c r="O4682">
        <v>0</v>
      </c>
      <c r="P4682">
        <v>0</v>
      </c>
      <c r="Q4682">
        <v>20</v>
      </c>
      <c r="R4682" s="3">
        <v>0</v>
      </c>
      <c r="S4682" s="3">
        <v>0</v>
      </c>
      <c r="T4682">
        <v>0</v>
      </c>
      <c r="U4682">
        <v>0</v>
      </c>
      <c r="V4682" s="3">
        <v>0</v>
      </c>
      <c r="W4682" s="3">
        <v>0</v>
      </c>
      <c r="X4682">
        <v>1</v>
      </c>
      <c r="Y4682" t="s">
        <v>3561</v>
      </c>
    </row>
    <row r="4683" spans="1:25" hidden="1" x14ac:dyDescent="0.25">
      <c r="A4683" t="s">
        <v>36</v>
      </c>
      <c r="B4683" t="s">
        <v>249</v>
      </c>
      <c r="C4683" t="s">
        <v>26</v>
      </c>
      <c r="D4683" t="s">
        <v>27</v>
      </c>
      <c r="E4683" s="2">
        <v>46108</v>
      </c>
      <c r="F4683" s="2">
        <v>46108</v>
      </c>
      <c r="G4683" s="3">
        <v>37</v>
      </c>
      <c r="H4683" t="s">
        <v>28</v>
      </c>
      <c r="I4683">
        <v>57</v>
      </c>
      <c r="J4683">
        <v>0</v>
      </c>
      <c r="K4683">
        <v>0</v>
      </c>
      <c r="L4683" s="3">
        <v>1</v>
      </c>
      <c r="M4683" s="3">
        <v>0</v>
      </c>
      <c r="N4683">
        <v>1</v>
      </c>
      <c r="O4683">
        <v>1</v>
      </c>
      <c r="P4683">
        <v>0</v>
      </c>
      <c r="Q4683">
        <v>0</v>
      </c>
      <c r="R4683" s="3">
        <v>0</v>
      </c>
      <c r="S4683" s="3">
        <v>0</v>
      </c>
      <c r="T4683">
        <v>0</v>
      </c>
      <c r="U4683">
        <v>0</v>
      </c>
      <c r="V4683" s="3">
        <v>0</v>
      </c>
      <c r="W4683" s="3">
        <v>0</v>
      </c>
      <c r="X4683">
        <v>0</v>
      </c>
      <c r="Y4683" t="s">
        <v>3562</v>
      </c>
    </row>
    <row r="4684" spans="1:25" hidden="1" x14ac:dyDescent="0.25">
      <c r="A4684" t="s">
        <v>38</v>
      </c>
      <c r="B4684" t="s">
        <v>108</v>
      </c>
      <c r="C4684" t="s">
        <v>27</v>
      </c>
      <c r="D4684" t="s">
        <v>27</v>
      </c>
      <c r="E4684" s="2">
        <v>46108</v>
      </c>
      <c r="F4684" s="2">
        <v>46108</v>
      </c>
      <c r="G4684" s="3">
        <v>865</v>
      </c>
      <c r="H4684" t="s">
        <v>28</v>
      </c>
      <c r="I4684">
        <v>51</v>
      </c>
      <c r="J4684">
        <v>0</v>
      </c>
      <c r="K4684">
        <v>0</v>
      </c>
      <c r="L4684" s="3">
        <v>1</v>
      </c>
      <c r="M4684" s="3">
        <v>0</v>
      </c>
      <c r="N4684">
        <v>0</v>
      </c>
      <c r="O4684">
        <v>0</v>
      </c>
      <c r="P4684">
        <v>0</v>
      </c>
      <c r="Q4684">
        <v>51</v>
      </c>
      <c r="R4684" s="3">
        <v>0</v>
      </c>
      <c r="S4684" s="3">
        <v>0</v>
      </c>
      <c r="T4684">
        <v>0</v>
      </c>
      <c r="U4684">
        <v>0</v>
      </c>
      <c r="V4684" s="3">
        <v>0</v>
      </c>
      <c r="W4684" s="3">
        <v>0</v>
      </c>
      <c r="X4684">
        <v>0</v>
      </c>
      <c r="Y4684" t="s">
        <v>3563</v>
      </c>
    </row>
    <row r="4685" spans="1:25" hidden="1" x14ac:dyDescent="0.25">
      <c r="A4685" t="s">
        <v>2679</v>
      </c>
      <c r="B4685" t="s">
        <v>2680</v>
      </c>
      <c r="C4685" t="s">
        <v>39</v>
      </c>
      <c r="D4685" t="s">
        <v>27</v>
      </c>
      <c r="E4685" s="2">
        <v>46108</v>
      </c>
      <c r="F4685" s="2">
        <v>46108</v>
      </c>
      <c r="G4685" s="3">
        <v>37</v>
      </c>
      <c r="H4685" t="s">
        <v>28</v>
      </c>
      <c r="I4685">
        <v>48</v>
      </c>
      <c r="J4685">
        <v>0</v>
      </c>
      <c r="K4685">
        <v>0</v>
      </c>
      <c r="L4685" s="3">
        <v>0</v>
      </c>
      <c r="M4685" s="3">
        <v>0</v>
      </c>
      <c r="N4685">
        <v>0</v>
      </c>
      <c r="O4685">
        <v>0</v>
      </c>
      <c r="P4685">
        <v>0</v>
      </c>
      <c r="Q4685">
        <v>48</v>
      </c>
      <c r="R4685" s="3">
        <v>0</v>
      </c>
      <c r="S4685" s="3">
        <v>0</v>
      </c>
      <c r="T4685">
        <v>0</v>
      </c>
      <c r="U4685">
        <v>0</v>
      </c>
      <c r="V4685" s="3">
        <v>0</v>
      </c>
      <c r="W4685" s="3">
        <v>0</v>
      </c>
      <c r="X4685">
        <v>0</v>
      </c>
      <c r="Y4685" t="s">
        <v>3564</v>
      </c>
    </row>
    <row r="4686" spans="1:25" hidden="1" x14ac:dyDescent="0.25">
      <c r="A4686" t="s">
        <v>40</v>
      </c>
      <c r="B4686" t="s">
        <v>110</v>
      </c>
      <c r="C4686" t="s">
        <v>2534</v>
      </c>
      <c r="D4686" t="s">
        <v>27</v>
      </c>
      <c r="E4686" s="2">
        <v>46108</v>
      </c>
      <c r="F4686" s="2">
        <v>46108</v>
      </c>
      <c r="G4686" s="3">
        <v>87</v>
      </c>
      <c r="H4686" t="s">
        <v>28</v>
      </c>
      <c r="I4686">
        <v>57</v>
      </c>
      <c r="J4686">
        <v>0</v>
      </c>
      <c r="K4686">
        <v>0</v>
      </c>
      <c r="L4686" s="3">
        <v>1</v>
      </c>
      <c r="M4686" s="3">
        <v>0</v>
      </c>
      <c r="N4686">
        <v>1</v>
      </c>
      <c r="O4686">
        <v>0</v>
      </c>
      <c r="P4686">
        <v>0</v>
      </c>
      <c r="Q4686">
        <v>42</v>
      </c>
      <c r="R4686" s="3">
        <v>0</v>
      </c>
      <c r="S4686" s="3">
        <v>0</v>
      </c>
      <c r="T4686">
        <v>0</v>
      </c>
      <c r="U4686">
        <v>0</v>
      </c>
      <c r="V4686" s="3">
        <v>0</v>
      </c>
      <c r="W4686" s="3">
        <v>0</v>
      </c>
      <c r="X4686">
        <v>0</v>
      </c>
      <c r="Y4686" t="s">
        <v>3565</v>
      </c>
    </row>
    <row r="4687" spans="1:25" hidden="1" x14ac:dyDescent="0.25">
      <c r="A4687" t="s">
        <v>1316</v>
      </c>
      <c r="B4687" t="s">
        <v>1348</v>
      </c>
      <c r="C4687" t="s">
        <v>2514</v>
      </c>
      <c r="D4687" t="s">
        <v>27</v>
      </c>
      <c r="E4687" s="2">
        <v>46108</v>
      </c>
      <c r="F4687" s="2">
        <v>46108</v>
      </c>
      <c r="G4687" s="3">
        <v>50</v>
      </c>
      <c r="H4687" t="s">
        <v>28</v>
      </c>
      <c r="I4687">
        <v>62</v>
      </c>
      <c r="J4687">
        <v>0</v>
      </c>
      <c r="K4687">
        <v>0</v>
      </c>
      <c r="L4687" s="3">
        <v>1</v>
      </c>
      <c r="M4687" s="3">
        <v>0</v>
      </c>
      <c r="N4687">
        <v>0</v>
      </c>
      <c r="O4687">
        <v>0</v>
      </c>
      <c r="P4687">
        <v>0</v>
      </c>
      <c r="Q4687">
        <v>25</v>
      </c>
      <c r="R4687" s="3">
        <v>0</v>
      </c>
      <c r="S4687" s="3">
        <v>0</v>
      </c>
      <c r="T4687">
        <v>0</v>
      </c>
      <c r="U4687">
        <v>0</v>
      </c>
      <c r="V4687" s="3">
        <v>0</v>
      </c>
      <c r="W4687" s="3">
        <v>0</v>
      </c>
      <c r="X4687">
        <v>0</v>
      </c>
      <c r="Y4687" t="s">
        <v>3566</v>
      </c>
    </row>
    <row r="4688" spans="1:25" hidden="1" x14ac:dyDescent="0.25">
      <c r="A4688" t="s">
        <v>41</v>
      </c>
      <c r="B4688" t="s">
        <v>112</v>
      </c>
      <c r="C4688" t="s">
        <v>42</v>
      </c>
      <c r="D4688" t="s">
        <v>27</v>
      </c>
      <c r="E4688" s="2">
        <v>46108</v>
      </c>
      <c r="F4688" s="2">
        <v>46108</v>
      </c>
      <c r="G4688" s="3">
        <v>34</v>
      </c>
      <c r="H4688" t="s">
        <v>28</v>
      </c>
      <c r="I4688">
        <v>48</v>
      </c>
      <c r="J4688">
        <v>0</v>
      </c>
      <c r="K4688">
        <v>0</v>
      </c>
      <c r="L4688" s="3">
        <v>1</v>
      </c>
      <c r="M4688" s="3">
        <v>0</v>
      </c>
      <c r="N4688">
        <v>0</v>
      </c>
      <c r="O4688">
        <v>0</v>
      </c>
      <c r="P4688">
        <v>0</v>
      </c>
      <c r="Q4688">
        <v>8</v>
      </c>
      <c r="R4688" s="3">
        <v>0</v>
      </c>
      <c r="S4688" s="3">
        <v>0</v>
      </c>
      <c r="T4688">
        <v>0</v>
      </c>
      <c r="U4688">
        <v>0</v>
      </c>
      <c r="V4688" s="3">
        <v>0</v>
      </c>
      <c r="W4688" s="3">
        <v>0</v>
      </c>
      <c r="X4688">
        <v>3</v>
      </c>
      <c r="Y4688" t="s">
        <v>3567</v>
      </c>
    </row>
    <row r="4689" spans="1:25" hidden="1" x14ac:dyDescent="0.25">
      <c r="A4689" t="s">
        <v>43</v>
      </c>
      <c r="B4689" t="s">
        <v>114</v>
      </c>
      <c r="C4689" t="s">
        <v>44</v>
      </c>
      <c r="D4689" t="s">
        <v>27</v>
      </c>
      <c r="E4689" s="2">
        <v>46108</v>
      </c>
      <c r="F4689" s="2">
        <v>46108</v>
      </c>
      <c r="G4689" s="3">
        <v>45</v>
      </c>
      <c r="H4689" t="s">
        <v>28</v>
      </c>
      <c r="I4689">
        <v>45</v>
      </c>
      <c r="J4689">
        <v>0</v>
      </c>
      <c r="K4689">
        <v>0</v>
      </c>
      <c r="L4689" s="3">
        <v>1</v>
      </c>
      <c r="M4689" s="3">
        <v>0</v>
      </c>
      <c r="N4689">
        <v>0</v>
      </c>
      <c r="O4689">
        <v>0</v>
      </c>
      <c r="P4689">
        <v>0</v>
      </c>
      <c r="Q4689">
        <v>35</v>
      </c>
      <c r="R4689" s="3">
        <v>0</v>
      </c>
      <c r="S4689" s="3">
        <v>0</v>
      </c>
      <c r="T4689">
        <v>0</v>
      </c>
      <c r="U4689">
        <v>0</v>
      </c>
      <c r="V4689" s="3">
        <v>0</v>
      </c>
      <c r="W4689" s="3">
        <v>0</v>
      </c>
      <c r="X4689">
        <v>0</v>
      </c>
      <c r="Y4689" t="s">
        <v>3568</v>
      </c>
    </row>
    <row r="4690" spans="1:25" hidden="1" x14ac:dyDescent="0.25">
      <c r="A4690" t="s">
        <v>2118</v>
      </c>
      <c r="B4690" t="s">
        <v>2119</v>
      </c>
      <c r="C4690" t="s">
        <v>27</v>
      </c>
      <c r="D4690" t="s">
        <v>27</v>
      </c>
      <c r="E4690" s="2">
        <v>46108</v>
      </c>
      <c r="F4690" s="2">
        <v>46108</v>
      </c>
      <c r="G4690" s="3">
        <v>45</v>
      </c>
      <c r="H4690" t="s">
        <v>28</v>
      </c>
      <c r="I4690">
        <v>52</v>
      </c>
      <c r="J4690">
        <v>0</v>
      </c>
      <c r="K4690">
        <v>0</v>
      </c>
      <c r="L4690" s="3">
        <v>1</v>
      </c>
      <c r="M4690" s="3">
        <v>0</v>
      </c>
      <c r="N4690">
        <v>0</v>
      </c>
      <c r="O4690">
        <v>0</v>
      </c>
      <c r="P4690">
        <v>0</v>
      </c>
      <c r="Q4690">
        <v>52</v>
      </c>
      <c r="R4690" s="3">
        <v>0</v>
      </c>
      <c r="S4690" s="3">
        <v>0</v>
      </c>
      <c r="T4690">
        <v>0</v>
      </c>
      <c r="U4690">
        <v>0</v>
      </c>
      <c r="V4690" s="3">
        <v>0</v>
      </c>
      <c r="W4690" s="3">
        <v>0</v>
      </c>
      <c r="X4690">
        <v>0</v>
      </c>
      <c r="Y4690" t="s">
        <v>3569</v>
      </c>
    </row>
    <row r="4691" spans="1:25" hidden="1" x14ac:dyDescent="0.25">
      <c r="A4691" t="s">
        <v>47</v>
      </c>
      <c r="B4691" t="s">
        <v>137</v>
      </c>
      <c r="C4691" t="s">
        <v>2310</v>
      </c>
      <c r="D4691" t="s">
        <v>27</v>
      </c>
      <c r="E4691" s="2">
        <v>46108</v>
      </c>
      <c r="F4691" s="2">
        <v>46108</v>
      </c>
      <c r="G4691" s="3">
        <v>77</v>
      </c>
      <c r="H4691" t="s">
        <v>28</v>
      </c>
      <c r="I4691">
        <v>76</v>
      </c>
      <c r="J4691">
        <v>0</v>
      </c>
      <c r="K4691">
        <v>0</v>
      </c>
      <c r="L4691" s="3">
        <v>1</v>
      </c>
      <c r="M4691" s="3">
        <v>0</v>
      </c>
      <c r="N4691">
        <v>0</v>
      </c>
      <c r="O4691">
        <v>0</v>
      </c>
      <c r="P4691">
        <v>0</v>
      </c>
      <c r="Q4691">
        <v>10</v>
      </c>
      <c r="R4691" s="3">
        <v>0</v>
      </c>
      <c r="S4691" s="3">
        <v>0</v>
      </c>
      <c r="T4691">
        <v>0</v>
      </c>
      <c r="U4691">
        <v>0</v>
      </c>
      <c r="V4691" s="3">
        <v>0</v>
      </c>
      <c r="W4691" s="3">
        <v>0</v>
      </c>
      <c r="X4691">
        <v>0</v>
      </c>
      <c r="Y4691" t="s">
        <v>3570</v>
      </c>
    </row>
    <row r="4692" spans="1:25" hidden="1" x14ac:dyDescent="0.25">
      <c r="A4692" t="s">
        <v>49</v>
      </c>
      <c r="B4692" t="s">
        <v>118</v>
      </c>
      <c r="C4692" t="s">
        <v>50</v>
      </c>
      <c r="D4692" t="s">
        <v>27</v>
      </c>
      <c r="E4692" s="2">
        <v>46108</v>
      </c>
      <c r="F4692" s="2">
        <v>46108</v>
      </c>
      <c r="G4692" s="3">
        <v>124</v>
      </c>
      <c r="H4692" t="s">
        <v>28</v>
      </c>
      <c r="I4692">
        <v>42</v>
      </c>
      <c r="J4692">
        <v>0</v>
      </c>
      <c r="K4692">
        <v>0</v>
      </c>
      <c r="L4692" s="3">
        <v>1</v>
      </c>
      <c r="M4692" s="3">
        <v>1</v>
      </c>
      <c r="N4692">
        <v>0</v>
      </c>
      <c r="O4692">
        <v>0</v>
      </c>
      <c r="P4692">
        <v>0</v>
      </c>
      <c r="Q4692">
        <v>42</v>
      </c>
      <c r="R4692" s="3">
        <v>0</v>
      </c>
      <c r="S4692" s="3">
        <v>0</v>
      </c>
      <c r="T4692">
        <v>0</v>
      </c>
      <c r="U4692">
        <v>0</v>
      </c>
      <c r="V4692" s="3">
        <v>0</v>
      </c>
      <c r="W4692" s="3">
        <v>0</v>
      </c>
      <c r="X4692">
        <v>0</v>
      </c>
      <c r="Y4692" t="s">
        <v>3571</v>
      </c>
    </row>
    <row r="4693" spans="1:25" hidden="1" x14ac:dyDescent="0.25">
      <c r="A4693" t="s">
        <v>51</v>
      </c>
      <c r="B4693" t="s">
        <v>120</v>
      </c>
      <c r="C4693" t="s">
        <v>55</v>
      </c>
      <c r="D4693" t="s">
        <v>27</v>
      </c>
      <c r="E4693" s="2">
        <v>46108</v>
      </c>
      <c r="F4693" s="2">
        <v>46108</v>
      </c>
      <c r="G4693" s="3">
        <v>86</v>
      </c>
      <c r="H4693" t="s">
        <v>28</v>
      </c>
      <c r="I4693">
        <v>43</v>
      </c>
      <c r="J4693">
        <v>0</v>
      </c>
      <c r="K4693">
        <v>0</v>
      </c>
      <c r="L4693" s="3">
        <v>1</v>
      </c>
      <c r="M4693" s="3">
        <v>0</v>
      </c>
      <c r="N4693">
        <v>1</v>
      </c>
      <c r="O4693">
        <v>0</v>
      </c>
      <c r="P4693">
        <v>0</v>
      </c>
      <c r="Q4693">
        <v>0</v>
      </c>
      <c r="R4693" s="3">
        <v>0</v>
      </c>
      <c r="S4693" s="3">
        <v>0</v>
      </c>
      <c r="T4693">
        <v>0</v>
      </c>
      <c r="U4693">
        <v>0</v>
      </c>
      <c r="V4693" s="3">
        <v>0</v>
      </c>
      <c r="W4693" s="3">
        <v>0</v>
      </c>
      <c r="X4693">
        <v>0</v>
      </c>
      <c r="Y4693" t="s">
        <v>3572</v>
      </c>
    </row>
    <row r="4694" spans="1:25" hidden="1" x14ac:dyDescent="0.25">
      <c r="A4694" t="s">
        <v>54</v>
      </c>
      <c r="B4694" t="s">
        <v>122</v>
      </c>
      <c r="C4694" t="s">
        <v>35</v>
      </c>
      <c r="D4694" t="s">
        <v>27</v>
      </c>
      <c r="E4694" s="2">
        <v>46108</v>
      </c>
      <c r="F4694" s="2">
        <v>46108</v>
      </c>
      <c r="G4694" s="3">
        <v>44</v>
      </c>
      <c r="H4694" t="s">
        <v>28</v>
      </c>
      <c r="I4694">
        <v>63</v>
      </c>
      <c r="J4694">
        <v>0</v>
      </c>
      <c r="K4694">
        <v>0</v>
      </c>
      <c r="L4694" s="3">
        <v>0</v>
      </c>
      <c r="M4694" s="3">
        <v>0</v>
      </c>
      <c r="N4694">
        <v>0</v>
      </c>
      <c r="O4694">
        <v>0</v>
      </c>
      <c r="P4694">
        <v>0</v>
      </c>
      <c r="Q4694">
        <v>7</v>
      </c>
      <c r="R4694" s="3">
        <v>0</v>
      </c>
      <c r="S4694" s="3">
        <v>0</v>
      </c>
      <c r="T4694">
        <v>0</v>
      </c>
      <c r="U4694">
        <v>0</v>
      </c>
      <c r="V4694" s="3">
        <v>0</v>
      </c>
      <c r="W4694" s="3">
        <v>0</v>
      </c>
      <c r="X4694">
        <v>1</v>
      </c>
      <c r="Y4694" t="s">
        <v>3573</v>
      </c>
    </row>
    <row r="4695" spans="1:25" hidden="1" x14ac:dyDescent="0.25">
      <c r="A4695" t="s">
        <v>48</v>
      </c>
      <c r="B4695" t="s">
        <v>149</v>
      </c>
      <c r="C4695" t="s">
        <v>37</v>
      </c>
      <c r="D4695" t="s">
        <v>27</v>
      </c>
      <c r="E4695" s="2">
        <v>46108</v>
      </c>
      <c r="F4695" s="2">
        <v>46108</v>
      </c>
      <c r="G4695" s="3">
        <v>24</v>
      </c>
      <c r="H4695" t="s">
        <v>28</v>
      </c>
      <c r="I4695">
        <v>78</v>
      </c>
      <c r="J4695">
        <v>0</v>
      </c>
      <c r="K4695">
        <v>0</v>
      </c>
      <c r="L4695" s="3">
        <v>1</v>
      </c>
      <c r="M4695" s="3">
        <v>0</v>
      </c>
      <c r="N4695">
        <v>0</v>
      </c>
      <c r="O4695">
        <v>0</v>
      </c>
      <c r="P4695">
        <v>0</v>
      </c>
      <c r="Q4695">
        <v>0</v>
      </c>
      <c r="R4695" s="3">
        <v>0</v>
      </c>
      <c r="S4695" s="3">
        <v>0</v>
      </c>
      <c r="T4695">
        <v>0</v>
      </c>
      <c r="U4695">
        <v>0</v>
      </c>
      <c r="V4695" s="3">
        <v>0</v>
      </c>
      <c r="W4695" s="3">
        <v>0</v>
      </c>
      <c r="X4695">
        <v>0</v>
      </c>
      <c r="Y4695" t="s">
        <v>3574</v>
      </c>
    </row>
    <row r="4696" spans="1:25" hidden="1" x14ac:dyDescent="0.25">
      <c r="A4696" t="s">
        <v>2899</v>
      </c>
      <c r="B4696" t="s">
        <v>739</v>
      </c>
      <c r="C4696" t="s">
        <v>27</v>
      </c>
      <c r="D4696" t="s">
        <v>27</v>
      </c>
      <c r="E4696" s="2">
        <v>46108</v>
      </c>
      <c r="F4696" s="2">
        <v>46108</v>
      </c>
      <c r="G4696" s="3">
        <v>25</v>
      </c>
      <c r="H4696" t="s">
        <v>3575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</row>
    <row r="4697" spans="1:25" hidden="1" x14ac:dyDescent="0.25">
      <c r="A4697" t="s">
        <v>27</v>
      </c>
      <c r="B4697" t="s">
        <v>755</v>
      </c>
      <c r="C4697" t="s">
        <v>2379</v>
      </c>
      <c r="D4697" t="s">
        <v>27</v>
      </c>
      <c r="E4697" s="2">
        <v>46108</v>
      </c>
      <c r="F4697" s="2">
        <v>46108</v>
      </c>
      <c r="G4697" s="3">
        <v>26</v>
      </c>
      <c r="H4697" t="s">
        <v>3575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</row>
    <row r="4698" spans="1:25" hidden="1" x14ac:dyDescent="0.25">
      <c r="A4698" t="s">
        <v>27</v>
      </c>
      <c r="B4698" t="s">
        <v>758</v>
      </c>
      <c r="C4698" t="s">
        <v>2271</v>
      </c>
      <c r="D4698" t="s">
        <v>27</v>
      </c>
      <c r="E4698" s="2">
        <v>46108</v>
      </c>
      <c r="F4698" s="2">
        <v>46108</v>
      </c>
      <c r="G4698" s="3">
        <v>27</v>
      </c>
      <c r="H4698" t="s">
        <v>1448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</row>
    <row r="4699" spans="1:25" hidden="1" x14ac:dyDescent="0.25">
      <c r="A4699" t="s">
        <v>27</v>
      </c>
      <c r="B4699" t="s">
        <v>798</v>
      </c>
      <c r="C4699" t="s">
        <v>52</v>
      </c>
      <c r="D4699" t="s">
        <v>27</v>
      </c>
      <c r="E4699" s="2">
        <v>46108</v>
      </c>
      <c r="F4699" s="2">
        <v>46108</v>
      </c>
      <c r="G4699" s="3">
        <v>28</v>
      </c>
      <c r="H4699" t="s">
        <v>2143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</row>
    <row r="4700" spans="1:25" hidden="1" x14ac:dyDescent="0.25">
      <c r="A4700" t="s">
        <v>27</v>
      </c>
      <c r="B4700" t="s">
        <v>3558</v>
      </c>
      <c r="C4700" t="s">
        <v>32</v>
      </c>
      <c r="D4700" t="s">
        <v>27</v>
      </c>
      <c r="E4700" s="2">
        <v>46108</v>
      </c>
      <c r="F4700" s="2">
        <v>46108</v>
      </c>
      <c r="G4700" s="3">
        <v>63</v>
      </c>
      <c r="H4700" t="s">
        <v>180</v>
      </c>
      <c r="I4700">
        <v>0</v>
      </c>
      <c r="J4700">
        <v>0</v>
      </c>
      <c r="K4700">
        <v>0</v>
      </c>
      <c r="L4700" s="3">
        <v>0</v>
      </c>
      <c r="M4700" s="3">
        <v>0</v>
      </c>
      <c r="N4700">
        <v>0</v>
      </c>
      <c r="O4700">
        <v>0</v>
      </c>
      <c r="P4700">
        <v>0</v>
      </c>
      <c r="Q4700">
        <v>0</v>
      </c>
      <c r="R4700" s="3">
        <v>0</v>
      </c>
      <c r="S4700" s="3">
        <v>0</v>
      </c>
      <c r="T4700">
        <v>0</v>
      </c>
      <c r="U4700">
        <v>0</v>
      </c>
      <c r="V4700" s="3">
        <v>0</v>
      </c>
      <c r="W4700" s="3">
        <v>0</v>
      </c>
      <c r="X4700" s="3">
        <v>0</v>
      </c>
      <c r="Y4700" t="s">
        <v>3523</v>
      </c>
    </row>
    <row r="4701" spans="1:25" hidden="1" x14ac:dyDescent="0.25">
      <c r="A4701" t="s">
        <v>41</v>
      </c>
      <c r="B4701" t="s">
        <v>112</v>
      </c>
      <c r="C4701" t="s">
        <v>42</v>
      </c>
      <c r="D4701" t="s">
        <v>27</v>
      </c>
      <c r="E4701" s="2">
        <v>46109</v>
      </c>
      <c r="F4701" s="2">
        <v>46109</v>
      </c>
      <c r="G4701" s="3">
        <v>46</v>
      </c>
      <c r="H4701" t="s">
        <v>28</v>
      </c>
      <c r="I4701">
        <v>0</v>
      </c>
      <c r="J4701">
        <v>0</v>
      </c>
      <c r="K4701">
        <v>0</v>
      </c>
      <c r="L4701" s="3">
        <v>0</v>
      </c>
      <c r="M4701" s="3">
        <v>0</v>
      </c>
      <c r="N4701">
        <v>0</v>
      </c>
      <c r="O4701">
        <v>0</v>
      </c>
      <c r="P4701">
        <v>0</v>
      </c>
      <c r="Q4701">
        <v>11</v>
      </c>
      <c r="R4701" s="3">
        <v>1</v>
      </c>
      <c r="S4701" s="3">
        <v>0</v>
      </c>
      <c r="T4701">
        <v>27</v>
      </c>
      <c r="U4701">
        <v>14</v>
      </c>
      <c r="V4701" s="3">
        <v>1</v>
      </c>
      <c r="W4701" s="3">
        <v>0</v>
      </c>
      <c r="X4701">
        <v>2</v>
      </c>
      <c r="Y4701" t="s">
        <v>3576</v>
      </c>
    </row>
    <row r="4702" spans="1:25" hidden="1" x14ac:dyDescent="0.25">
      <c r="A4702" t="s">
        <v>43</v>
      </c>
      <c r="B4702" t="s">
        <v>114</v>
      </c>
      <c r="C4702" t="s">
        <v>27</v>
      </c>
      <c r="D4702" t="s">
        <v>27</v>
      </c>
      <c r="E4702" s="2">
        <v>46109</v>
      </c>
      <c r="F4702" s="2">
        <v>46109</v>
      </c>
      <c r="G4702" s="3">
        <v>81</v>
      </c>
      <c r="H4702" t="s">
        <v>28</v>
      </c>
      <c r="I4702">
        <v>0</v>
      </c>
      <c r="J4702">
        <v>0</v>
      </c>
      <c r="K4702">
        <v>0</v>
      </c>
      <c r="L4702" s="3">
        <v>0</v>
      </c>
      <c r="M4702" s="3">
        <v>0</v>
      </c>
      <c r="N4702">
        <v>0</v>
      </c>
      <c r="O4702">
        <v>0</v>
      </c>
      <c r="P4702">
        <v>0</v>
      </c>
      <c r="Q4702">
        <v>47</v>
      </c>
      <c r="R4702" s="3">
        <v>1</v>
      </c>
      <c r="S4702" s="3">
        <v>0</v>
      </c>
      <c r="T4702">
        <v>47</v>
      </c>
      <c r="U4702">
        <v>0</v>
      </c>
      <c r="V4702" s="3">
        <v>0</v>
      </c>
      <c r="W4702" s="3">
        <v>0</v>
      </c>
      <c r="X4702">
        <v>0</v>
      </c>
      <c r="Y4702" t="s">
        <v>3577</v>
      </c>
    </row>
    <row r="4703" spans="1:25" hidden="1" x14ac:dyDescent="0.25">
      <c r="A4703" t="s">
        <v>33</v>
      </c>
      <c r="B4703" t="s">
        <v>106</v>
      </c>
      <c r="C4703" t="s">
        <v>55</v>
      </c>
      <c r="D4703" t="s">
        <v>27</v>
      </c>
      <c r="E4703" s="2">
        <v>46110</v>
      </c>
      <c r="F4703" s="2">
        <v>46110</v>
      </c>
      <c r="G4703" s="3">
        <v>371</v>
      </c>
      <c r="H4703" t="s">
        <v>28</v>
      </c>
      <c r="I4703">
        <v>0</v>
      </c>
      <c r="J4703">
        <v>0</v>
      </c>
      <c r="K4703">
        <v>0</v>
      </c>
      <c r="L4703" s="3">
        <v>0</v>
      </c>
      <c r="M4703" s="3">
        <v>0</v>
      </c>
      <c r="N4703">
        <v>0</v>
      </c>
      <c r="O4703">
        <v>0</v>
      </c>
      <c r="P4703">
        <v>0</v>
      </c>
      <c r="Q4703">
        <v>6</v>
      </c>
      <c r="R4703" s="3">
        <v>0</v>
      </c>
      <c r="S4703" s="3">
        <v>1</v>
      </c>
      <c r="T4703">
        <v>104</v>
      </c>
      <c r="U4703">
        <v>80</v>
      </c>
      <c r="V4703" s="3">
        <v>0</v>
      </c>
      <c r="W4703" s="3">
        <v>1</v>
      </c>
      <c r="X4703">
        <v>0</v>
      </c>
      <c r="Y4703" t="s">
        <v>3578</v>
      </c>
    </row>
    <row r="4704" spans="1:25" hidden="1" x14ac:dyDescent="0.25">
      <c r="A4704" t="s">
        <v>41</v>
      </c>
      <c r="B4704" t="s">
        <v>112</v>
      </c>
      <c r="C4704" t="s">
        <v>42</v>
      </c>
      <c r="D4704" t="s">
        <v>27</v>
      </c>
      <c r="E4704" s="2">
        <v>46110</v>
      </c>
      <c r="F4704" s="2">
        <v>46110</v>
      </c>
      <c r="G4704" s="3">
        <v>84</v>
      </c>
      <c r="H4704" t="s">
        <v>28</v>
      </c>
      <c r="I4704">
        <v>0</v>
      </c>
      <c r="J4704">
        <v>0</v>
      </c>
      <c r="K4704">
        <v>0</v>
      </c>
      <c r="L4704" s="3">
        <v>0</v>
      </c>
      <c r="M4704" s="3">
        <v>0</v>
      </c>
      <c r="N4704">
        <v>0</v>
      </c>
      <c r="O4704">
        <v>0</v>
      </c>
      <c r="P4704">
        <v>0</v>
      </c>
      <c r="Q4704">
        <v>3</v>
      </c>
      <c r="R4704" s="3">
        <v>0</v>
      </c>
      <c r="S4704" s="3">
        <v>1</v>
      </c>
      <c r="T4704">
        <v>3</v>
      </c>
      <c r="U4704">
        <v>0</v>
      </c>
      <c r="V4704" s="3">
        <v>0</v>
      </c>
      <c r="W4704" s="3">
        <v>0</v>
      </c>
      <c r="X4704">
        <v>1</v>
      </c>
      <c r="Y4704" t="s">
        <v>3579</v>
      </c>
    </row>
    <row r="4705" spans="1:25" hidden="1" x14ac:dyDescent="0.25">
      <c r="A4705" t="s">
        <v>43</v>
      </c>
      <c r="B4705" t="s">
        <v>114</v>
      </c>
      <c r="C4705" t="s">
        <v>27</v>
      </c>
      <c r="D4705" t="s">
        <v>27</v>
      </c>
      <c r="E4705" s="2">
        <v>46110</v>
      </c>
      <c r="F4705" s="2">
        <v>46110</v>
      </c>
      <c r="G4705" s="3">
        <v>31</v>
      </c>
      <c r="H4705" t="s">
        <v>28</v>
      </c>
      <c r="I4705">
        <v>0</v>
      </c>
      <c r="J4705">
        <v>0</v>
      </c>
      <c r="K4705">
        <v>0</v>
      </c>
      <c r="L4705" s="3">
        <v>0</v>
      </c>
      <c r="M4705" s="3">
        <v>0</v>
      </c>
      <c r="N4705">
        <v>0</v>
      </c>
      <c r="O4705">
        <v>0</v>
      </c>
      <c r="P4705">
        <v>0</v>
      </c>
      <c r="Q4705">
        <v>35</v>
      </c>
      <c r="R4705" s="3">
        <v>0</v>
      </c>
      <c r="S4705" s="3">
        <v>1</v>
      </c>
      <c r="T4705">
        <v>35</v>
      </c>
      <c r="U4705">
        <v>0</v>
      </c>
      <c r="V4705" s="3">
        <v>0</v>
      </c>
      <c r="W4705" s="3">
        <v>0</v>
      </c>
      <c r="X4705">
        <v>0</v>
      </c>
      <c r="Y4705" t="s">
        <v>3580</v>
      </c>
    </row>
    <row r="4706" spans="1:25" hidden="1" x14ac:dyDescent="0.25">
      <c r="A4706" t="s">
        <v>51</v>
      </c>
      <c r="B4706" t="s">
        <v>120</v>
      </c>
      <c r="C4706" t="s">
        <v>2514</v>
      </c>
      <c r="D4706" t="s">
        <v>27</v>
      </c>
      <c r="E4706" s="2">
        <v>46110</v>
      </c>
      <c r="F4706" s="2">
        <v>46110</v>
      </c>
      <c r="G4706" s="3">
        <v>294</v>
      </c>
      <c r="H4706" t="s">
        <v>28</v>
      </c>
      <c r="I4706">
        <v>0</v>
      </c>
      <c r="J4706">
        <v>0</v>
      </c>
      <c r="K4706">
        <v>0</v>
      </c>
      <c r="L4706" s="3">
        <v>1</v>
      </c>
      <c r="M4706" s="3">
        <v>0</v>
      </c>
      <c r="N4706">
        <v>0</v>
      </c>
      <c r="O4706">
        <v>0</v>
      </c>
      <c r="P4706">
        <v>0</v>
      </c>
      <c r="Q4706">
        <v>0</v>
      </c>
      <c r="R4706" s="3">
        <v>0</v>
      </c>
      <c r="S4706" s="3">
        <v>1</v>
      </c>
      <c r="T4706">
        <v>81</v>
      </c>
      <c r="U4706">
        <v>0</v>
      </c>
      <c r="V4706" s="3">
        <v>0</v>
      </c>
      <c r="W4706" s="3">
        <v>1</v>
      </c>
      <c r="X4706">
        <v>6</v>
      </c>
      <c r="Y4706" t="s">
        <v>3581</v>
      </c>
    </row>
    <row r="4707" spans="1:25" hidden="1" x14ac:dyDescent="0.25">
      <c r="A4707" t="s">
        <v>48</v>
      </c>
      <c r="B4707" t="s">
        <v>149</v>
      </c>
      <c r="C4707" t="s">
        <v>37</v>
      </c>
      <c r="D4707" t="s">
        <v>27</v>
      </c>
      <c r="E4707" s="2">
        <v>46110</v>
      </c>
      <c r="F4707" s="2">
        <v>46110</v>
      </c>
      <c r="G4707" s="3">
        <v>286</v>
      </c>
      <c r="H4707" t="s">
        <v>28</v>
      </c>
      <c r="I4707">
        <v>0</v>
      </c>
      <c r="J4707">
        <v>0</v>
      </c>
      <c r="K4707">
        <v>0</v>
      </c>
      <c r="L4707" s="3">
        <v>1</v>
      </c>
      <c r="M4707" s="3">
        <v>0</v>
      </c>
      <c r="N4707">
        <v>0</v>
      </c>
      <c r="O4707">
        <v>0</v>
      </c>
      <c r="P4707">
        <v>0</v>
      </c>
      <c r="Q4707">
        <v>0</v>
      </c>
      <c r="R4707" s="3">
        <v>0</v>
      </c>
      <c r="S4707" s="3">
        <v>1</v>
      </c>
      <c r="T4707">
        <v>86</v>
      </c>
      <c r="U4707">
        <v>94</v>
      </c>
      <c r="V4707" s="3">
        <v>0</v>
      </c>
      <c r="W4707" s="3">
        <v>1</v>
      </c>
      <c r="X4707">
        <v>0</v>
      </c>
      <c r="Y4707" t="s">
        <v>3582</v>
      </c>
    </row>
    <row r="4708" spans="1:25" hidden="1" x14ac:dyDescent="0.25">
      <c r="A4708" t="s">
        <v>25</v>
      </c>
      <c r="B4708" t="s">
        <v>96</v>
      </c>
      <c r="C4708" t="s">
        <v>26</v>
      </c>
      <c r="D4708" t="s">
        <v>27</v>
      </c>
      <c r="E4708" s="2">
        <v>46108</v>
      </c>
      <c r="F4708" s="2">
        <v>46108</v>
      </c>
      <c r="G4708" s="3">
        <v>42</v>
      </c>
      <c r="H4708" t="s">
        <v>1120</v>
      </c>
      <c r="I4708">
        <v>0</v>
      </c>
      <c r="J4708">
        <v>0</v>
      </c>
      <c r="K4708">
        <v>0</v>
      </c>
      <c r="L4708" s="3">
        <v>0</v>
      </c>
      <c r="M4708" s="3">
        <v>0</v>
      </c>
      <c r="N4708">
        <v>0</v>
      </c>
      <c r="O4708">
        <v>0</v>
      </c>
      <c r="P4708">
        <v>0</v>
      </c>
      <c r="Q4708">
        <v>0</v>
      </c>
      <c r="R4708" s="3">
        <v>0</v>
      </c>
      <c r="S4708" s="3">
        <v>0</v>
      </c>
      <c r="T4708">
        <v>0</v>
      </c>
      <c r="U4708">
        <v>0</v>
      </c>
      <c r="V4708" s="3">
        <v>0</v>
      </c>
      <c r="W4708" s="3">
        <v>0</v>
      </c>
      <c r="X4708">
        <v>0</v>
      </c>
      <c r="Y4708" t="s">
        <v>3543</v>
      </c>
    </row>
    <row r="4709" spans="1:25" hidden="1" x14ac:dyDescent="0.25">
      <c r="A4709" t="s">
        <v>25</v>
      </c>
      <c r="B4709" t="s">
        <v>96</v>
      </c>
      <c r="C4709" t="s">
        <v>26</v>
      </c>
      <c r="D4709" t="s">
        <v>27</v>
      </c>
      <c r="E4709" s="2">
        <v>46111</v>
      </c>
      <c r="F4709" s="2">
        <v>46111</v>
      </c>
      <c r="G4709" s="3">
        <v>76</v>
      </c>
      <c r="H4709" t="s">
        <v>28</v>
      </c>
      <c r="I4709">
        <v>35</v>
      </c>
      <c r="J4709">
        <v>0</v>
      </c>
      <c r="K4709">
        <v>0</v>
      </c>
      <c r="L4709" s="3">
        <v>0</v>
      </c>
      <c r="M4709" s="3">
        <v>0</v>
      </c>
      <c r="N4709">
        <v>1</v>
      </c>
      <c r="O4709">
        <v>0</v>
      </c>
      <c r="P4709">
        <v>0</v>
      </c>
      <c r="Q4709">
        <v>0</v>
      </c>
      <c r="R4709" s="3">
        <v>0</v>
      </c>
      <c r="S4709" s="3">
        <v>0</v>
      </c>
      <c r="T4709">
        <v>0</v>
      </c>
      <c r="U4709">
        <v>0</v>
      </c>
      <c r="V4709" s="3">
        <v>0</v>
      </c>
      <c r="W4709" s="3">
        <v>0</v>
      </c>
      <c r="X4709">
        <v>0</v>
      </c>
      <c r="Y4709" t="s">
        <v>3583</v>
      </c>
    </row>
    <row r="4710" spans="1:25" hidden="1" x14ac:dyDescent="0.25">
      <c r="A4710" t="s">
        <v>29</v>
      </c>
      <c r="B4710" t="s">
        <v>100</v>
      </c>
      <c r="C4710" t="s">
        <v>95</v>
      </c>
      <c r="D4710" t="s">
        <v>27</v>
      </c>
      <c r="E4710" s="2">
        <v>46111</v>
      </c>
      <c r="F4710" s="2">
        <v>46111</v>
      </c>
      <c r="G4710" s="3">
        <v>39</v>
      </c>
      <c r="H4710" t="s">
        <v>28</v>
      </c>
      <c r="I4710">
        <v>42</v>
      </c>
      <c r="J4710">
        <v>100</v>
      </c>
      <c r="K4710">
        <v>0</v>
      </c>
      <c r="L4710" s="3">
        <v>1</v>
      </c>
      <c r="M4710" s="3">
        <v>0</v>
      </c>
      <c r="N4710">
        <v>0</v>
      </c>
      <c r="O4710">
        <v>0</v>
      </c>
      <c r="P4710">
        <v>15</v>
      </c>
      <c r="Q4710">
        <v>13</v>
      </c>
      <c r="R4710" s="3">
        <v>0</v>
      </c>
      <c r="S4710" s="3">
        <v>0</v>
      </c>
      <c r="T4710">
        <v>0</v>
      </c>
      <c r="U4710">
        <v>0</v>
      </c>
      <c r="V4710" s="3">
        <v>0</v>
      </c>
      <c r="W4710" s="3">
        <v>0</v>
      </c>
      <c r="X4710">
        <v>0</v>
      </c>
      <c r="Y4710" t="s">
        <v>3544</v>
      </c>
    </row>
    <row r="4711" spans="1:25" hidden="1" x14ac:dyDescent="0.25">
      <c r="A4711" t="s">
        <v>344</v>
      </c>
      <c r="B4711" t="s">
        <v>102</v>
      </c>
      <c r="C4711" t="s">
        <v>35</v>
      </c>
      <c r="D4711" t="s">
        <v>2379</v>
      </c>
      <c r="E4711" s="2">
        <v>46111</v>
      </c>
      <c r="F4711" s="2">
        <v>46111</v>
      </c>
      <c r="G4711" s="3">
        <v>47</v>
      </c>
      <c r="H4711" t="s">
        <v>28</v>
      </c>
      <c r="I4711">
        <v>10</v>
      </c>
      <c r="J4711">
        <v>100</v>
      </c>
      <c r="K4711">
        <v>0</v>
      </c>
      <c r="L4711" s="3">
        <v>1</v>
      </c>
      <c r="M4711" s="3">
        <v>0</v>
      </c>
      <c r="N4711">
        <v>0</v>
      </c>
      <c r="O4711">
        <v>0</v>
      </c>
      <c r="P4711">
        <v>0</v>
      </c>
      <c r="Q4711">
        <v>4</v>
      </c>
      <c r="R4711" s="3">
        <v>0</v>
      </c>
      <c r="S4711" s="3">
        <v>0</v>
      </c>
      <c r="T4711">
        <v>0</v>
      </c>
      <c r="U4711">
        <v>0</v>
      </c>
      <c r="V4711" s="3">
        <v>0</v>
      </c>
      <c r="W4711" s="3">
        <v>0</v>
      </c>
      <c r="X4711">
        <v>0</v>
      </c>
      <c r="Y4711" t="s">
        <v>3584</v>
      </c>
    </row>
    <row r="4712" spans="1:25" hidden="1" x14ac:dyDescent="0.25">
      <c r="A4712" t="s">
        <v>31</v>
      </c>
      <c r="B4712" t="s">
        <v>104</v>
      </c>
      <c r="C4712" t="s">
        <v>2835</v>
      </c>
      <c r="D4712" t="s">
        <v>27</v>
      </c>
      <c r="E4712" s="2">
        <v>46111</v>
      </c>
      <c r="F4712" s="2">
        <v>46111</v>
      </c>
      <c r="G4712" s="3">
        <v>40</v>
      </c>
      <c r="H4712" t="s">
        <v>28</v>
      </c>
      <c r="I4712">
        <v>96</v>
      </c>
      <c r="J4712">
        <v>0</v>
      </c>
      <c r="K4712">
        <v>0</v>
      </c>
      <c r="L4712" s="3">
        <v>1</v>
      </c>
      <c r="M4712" s="3">
        <v>0</v>
      </c>
      <c r="N4712">
        <v>0</v>
      </c>
      <c r="O4712">
        <v>0</v>
      </c>
      <c r="P4712">
        <v>0</v>
      </c>
      <c r="Q4712">
        <v>35</v>
      </c>
      <c r="R4712" s="3">
        <v>0</v>
      </c>
      <c r="S4712" s="3">
        <v>0</v>
      </c>
      <c r="T4712">
        <v>0</v>
      </c>
      <c r="U4712">
        <v>0</v>
      </c>
      <c r="V4712" s="3">
        <v>0</v>
      </c>
      <c r="W4712" s="3">
        <v>0</v>
      </c>
      <c r="X4712">
        <v>3</v>
      </c>
      <c r="Y4712" t="s">
        <v>3585</v>
      </c>
    </row>
    <row r="4713" spans="1:25" hidden="1" x14ac:dyDescent="0.25">
      <c r="A4713" t="s">
        <v>33</v>
      </c>
      <c r="B4713" t="s">
        <v>106</v>
      </c>
      <c r="C4713" t="s">
        <v>57</v>
      </c>
      <c r="D4713" t="s">
        <v>27</v>
      </c>
      <c r="E4713" s="2">
        <v>46111</v>
      </c>
      <c r="F4713" s="2">
        <v>46111</v>
      </c>
      <c r="G4713" s="3">
        <v>25</v>
      </c>
      <c r="H4713" t="s">
        <v>28</v>
      </c>
      <c r="I4713">
        <v>60</v>
      </c>
      <c r="J4713">
        <v>0</v>
      </c>
      <c r="K4713">
        <v>0</v>
      </c>
      <c r="L4713" s="3">
        <v>0</v>
      </c>
      <c r="M4713" s="3">
        <v>0</v>
      </c>
      <c r="N4713">
        <v>0</v>
      </c>
      <c r="O4713">
        <v>0</v>
      </c>
      <c r="P4713">
        <v>0</v>
      </c>
      <c r="Q4713">
        <v>21</v>
      </c>
      <c r="R4713" s="3">
        <v>0</v>
      </c>
      <c r="S4713" s="3">
        <v>0</v>
      </c>
      <c r="T4713">
        <v>0</v>
      </c>
      <c r="U4713">
        <v>0</v>
      </c>
      <c r="V4713" s="3">
        <v>0</v>
      </c>
      <c r="W4713" s="3">
        <v>0</v>
      </c>
      <c r="X4713">
        <v>0</v>
      </c>
      <c r="Y4713" t="s">
        <v>3586</v>
      </c>
    </row>
    <row r="4714" spans="1:25" hidden="1" x14ac:dyDescent="0.25">
      <c r="A4714" t="s">
        <v>36</v>
      </c>
      <c r="B4714" t="s">
        <v>249</v>
      </c>
      <c r="C4714" t="s">
        <v>2514</v>
      </c>
      <c r="D4714" t="s">
        <v>27</v>
      </c>
      <c r="E4714" s="2">
        <v>46111</v>
      </c>
      <c r="F4714" s="2">
        <v>46111</v>
      </c>
      <c r="G4714" s="3">
        <v>107</v>
      </c>
      <c r="H4714" t="s">
        <v>28</v>
      </c>
      <c r="I4714">
        <v>56</v>
      </c>
      <c r="J4714">
        <v>0</v>
      </c>
      <c r="K4714">
        <v>0</v>
      </c>
      <c r="L4714" s="3">
        <v>1</v>
      </c>
      <c r="M4714" s="3">
        <v>0</v>
      </c>
      <c r="N4714">
        <v>0</v>
      </c>
      <c r="O4714">
        <v>0</v>
      </c>
      <c r="P4714">
        <v>0</v>
      </c>
      <c r="Q4714">
        <v>25</v>
      </c>
      <c r="R4714" s="3">
        <v>0</v>
      </c>
      <c r="S4714" s="3">
        <v>0</v>
      </c>
      <c r="T4714">
        <v>0</v>
      </c>
      <c r="U4714">
        <v>0</v>
      </c>
      <c r="V4714" s="3">
        <v>0</v>
      </c>
      <c r="W4714" s="3">
        <v>0</v>
      </c>
      <c r="X4714">
        <v>0</v>
      </c>
      <c r="Y4714" t="s">
        <v>3587</v>
      </c>
    </row>
    <row r="4715" spans="1:25" hidden="1" x14ac:dyDescent="0.25">
      <c r="A4715" t="s">
        <v>45</v>
      </c>
      <c r="B4715" t="s">
        <v>249</v>
      </c>
      <c r="C4715" t="s">
        <v>46</v>
      </c>
      <c r="D4715" t="s">
        <v>27</v>
      </c>
      <c r="E4715" s="2">
        <v>46111</v>
      </c>
      <c r="F4715" s="2">
        <v>46111</v>
      </c>
      <c r="G4715" s="3">
        <v>48</v>
      </c>
      <c r="H4715" t="s">
        <v>28</v>
      </c>
      <c r="I4715">
        <v>67</v>
      </c>
      <c r="J4715">
        <v>0</v>
      </c>
      <c r="K4715">
        <v>0</v>
      </c>
      <c r="L4715" s="3">
        <v>1</v>
      </c>
      <c r="M4715" s="3">
        <v>0</v>
      </c>
      <c r="N4715">
        <v>0</v>
      </c>
      <c r="O4715">
        <v>0</v>
      </c>
      <c r="P4715">
        <v>0</v>
      </c>
      <c r="Q4715">
        <v>8</v>
      </c>
      <c r="R4715" s="3">
        <v>0</v>
      </c>
      <c r="S4715" s="3">
        <v>0</v>
      </c>
      <c r="T4715">
        <v>0</v>
      </c>
      <c r="U4715">
        <v>0</v>
      </c>
      <c r="V4715" s="3">
        <v>0</v>
      </c>
      <c r="W4715" s="3">
        <v>0</v>
      </c>
      <c r="X4715">
        <v>0</v>
      </c>
      <c r="Y4715" t="s">
        <v>3588</v>
      </c>
    </row>
    <row r="4716" spans="1:25" hidden="1" x14ac:dyDescent="0.25">
      <c r="A4716" t="s">
        <v>38</v>
      </c>
      <c r="B4716" t="s">
        <v>108</v>
      </c>
      <c r="C4716" t="s">
        <v>27</v>
      </c>
      <c r="D4716" t="s">
        <v>27</v>
      </c>
      <c r="E4716" s="2">
        <v>46111</v>
      </c>
      <c r="F4716" s="2">
        <v>46111</v>
      </c>
      <c r="G4716" s="3">
        <v>32</v>
      </c>
      <c r="H4716" t="s">
        <v>28</v>
      </c>
      <c r="I4716">
        <v>50</v>
      </c>
      <c r="J4716">
        <v>0</v>
      </c>
      <c r="K4716">
        <v>0</v>
      </c>
      <c r="L4716" s="3">
        <v>1</v>
      </c>
      <c r="M4716" s="3">
        <v>0</v>
      </c>
      <c r="N4716">
        <v>0</v>
      </c>
      <c r="O4716">
        <v>0</v>
      </c>
      <c r="P4716">
        <v>0</v>
      </c>
      <c r="Q4716">
        <v>50</v>
      </c>
      <c r="R4716" s="3">
        <v>0</v>
      </c>
      <c r="S4716" s="3">
        <v>0</v>
      </c>
      <c r="T4716">
        <v>0</v>
      </c>
      <c r="U4716">
        <v>0</v>
      </c>
      <c r="V4716" s="3">
        <v>0</v>
      </c>
      <c r="W4716" s="3">
        <v>0</v>
      </c>
      <c r="X4716">
        <v>0</v>
      </c>
      <c r="Y4716" t="s">
        <v>3589</v>
      </c>
    </row>
    <row r="4717" spans="1:25" hidden="1" x14ac:dyDescent="0.25">
      <c r="A4717" t="s">
        <v>2679</v>
      </c>
      <c r="B4717" t="s">
        <v>2680</v>
      </c>
      <c r="C4717" t="s">
        <v>39</v>
      </c>
      <c r="D4717" t="s">
        <v>27</v>
      </c>
      <c r="E4717" s="2">
        <v>46111</v>
      </c>
      <c r="F4717" s="2">
        <v>46111</v>
      </c>
      <c r="G4717" s="3">
        <v>33</v>
      </c>
      <c r="H4717" t="s">
        <v>28</v>
      </c>
      <c r="I4717">
        <v>49</v>
      </c>
      <c r="J4717">
        <v>0</v>
      </c>
      <c r="K4717">
        <v>0</v>
      </c>
      <c r="L4717" s="3">
        <v>0</v>
      </c>
      <c r="M4717" s="3">
        <v>0</v>
      </c>
      <c r="N4717">
        <v>0</v>
      </c>
      <c r="O4717">
        <v>0</v>
      </c>
      <c r="P4717">
        <v>0</v>
      </c>
      <c r="Q4717">
        <v>49</v>
      </c>
      <c r="R4717" s="3">
        <v>0</v>
      </c>
      <c r="S4717" s="3">
        <v>0</v>
      </c>
      <c r="T4717">
        <v>0</v>
      </c>
      <c r="U4717">
        <v>0</v>
      </c>
      <c r="V4717" s="3">
        <v>0</v>
      </c>
      <c r="W4717" s="3">
        <v>0</v>
      </c>
      <c r="X4717">
        <v>0</v>
      </c>
      <c r="Y4717" t="s">
        <v>3590</v>
      </c>
    </row>
    <row r="4718" spans="1:25" hidden="1" x14ac:dyDescent="0.25">
      <c r="A4718" t="s">
        <v>40</v>
      </c>
      <c r="B4718" t="s">
        <v>110</v>
      </c>
      <c r="C4718" t="s">
        <v>2534</v>
      </c>
      <c r="D4718" t="s">
        <v>27</v>
      </c>
      <c r="E4718" s="2">
        <v>46111</v>
      </c>
      <c r="F4718" s="2">
        <v>46111</v>
      </c>
      <c r="G4718" s="3">
        <v>71</v>
      </c>
      <c r="H4718" t="s">
        <v>28</v>
      </c>
      <c r="I4718">
        <v>72</v>
      </c>
      <c r="J4718">
        <v>0</v>
      </c>
      <c r="K4718">
        <v>0</v>
      </c>
      <c r="L4718" s="3">
        <v>1</v>
      </c>
      <c r="M4718" s="3">
        <v>0</v>
      </c>
      <c r="N4718">
        <v>1</v>
      </c>
      <c r="O4718">
        <v>0</v>
      </c>
      <c r="P4718">
        <v>0</v>
      </c>
      <c r="Q4718">
        <v>44</v>
      </c>
      <c r="R4718" s="3">
        <v>0</v>
      </c>
      <c r="S4718" s="3">
        <v>0</v>
      </c>
      <c r="T4718">
        <v>0</v>
      </c>
      <c r="U4718">
        <v>0</v>
      </c>
      <c r="V4718" s="3">
        <v>0</v>
      </c>
      <c r="W4718" s="3">
        <v>0</v>
      </c>
      <c r="X4718">
        <v>0</v>
      </c>
      <c r="Y4718" t="s">
        <v>3591</v>
      </c>
    </row>
    <row r="4719" spans="1:25" hidden="1" x14ac:dyDescent="0.25">
      <c r="A4719" t="s">
        <v>41</v>
      </c>
      <c r="B4719" t="s">
        <v>112</v>
      </c>
      <c r="C4719" t="s">
        <v>42</v>
      </c>
      <c r="D4719" t="s">
        <v>27</v>
      </c>
      <c r="E4719" s="2">
        <v>46111</v>
      </c>
      <c r="F4719" s="2">
        <v>46111</v>
      </c>
      <c r="G4719" s="3">
        <v>34</v>
      </c>
      <c r="H4719" t="s">
        <v>28</v>
      </c>
      <c r="I4719">
        <v>48</v>
      </c>
      <c r="J4719">
        <v>0</v>
      </c>
      <c r="K4719">
        <v>0</v>
      </c>
      <c r="L4719" s="3">
        <v>1</v>
      </c>
      <c r="M4719" s="3">
        <v>0</v>
      </c>
      <c r="N4719">
        <v>0</v>
      </c>
      <c r="O4719">
        <v>0</v>
      </c>
      <c r="P4719">
        <v>0</v>
      </c>
      <c r="Q4719">
        <v>8</v>
      </c>
      <c r="R4719" s="3">
        <v>0</v>
      </c>
      <c r="S4719" s="3">
        <v>0</v>
      </c>
      <c r="T4719">
        <v>0</v>
      </c>
      <c r="U4719">
        <v>0</v>
      </c>
      <c r="V4719" s="3">
        <v>0</v>
      </c>
      <c r="W4719" s="3">
        <v>0</v>
      </c>
      <c r="X4719">
        <v>3</v>
      </c>
      <c r="Y4719" t="s">
        <v>3567</v>
      </c>
    </row>
    <row r="4720" spans="1:25" hidden="1" x14ac:dyDescent="0.25">
      <c r="A4720" t="s">
        <v>27</v>
      </c>
      <c r="B4720" t="s">
        <v>114</v>
      </c>
      <c r="C4720" t="s">
        <v>43</v>
      </c>
      <c r="D4720" t="s">
        <v>27</v>
      </c>
      <c r="E4720" s="2">
        <v>46109</v>
      </c>
      <c r="F4720" s="2">
        <v>46109</v>
      </c>
      <c r="G4720" s="3">
        <v>45</v>
      </c>
      <c r="H4720" t="s">
        <v>28</v>
      </c>
      <c r="I4720">
        <v>0</v>
      </c>
      <c r="J4720">
        <v>0</v>
      </c>
      <c r="K4720">
        <v>0</v>
      </c>
      <c r="L4720" s="3">
        <v>1</v>
      </c>
      <c r="M4720" s="3">
        <v>0</v>
      </c>
      <c r="N4720">
        <v>0</v>
      </c>
      <c r="O4720">
        <v>0</v>
      </c>
      <c r="P4720">
        <v>0</v>
      </c>
      <c r="Q4720">
        <v>35</v>
      </c>
      <c r="R4720" s="3">
        <v>1</v>
      </c>
      <c r="S4720" s="3">
        <v>0</v>
      </c>
      <c r="T4720">
        <v>47</v>
      </c>
      <c r="U4720">
        <v>0</v>
      </c>
      <c r="V4720" s="3">
        <v>0</v>
      </c>
      <c r="W4720" s="3">
        <v>0</v>
      </c>
      <c r="X4720">
        <v>0</v>
      </c>
      <c r="Y4720" t="s">
        <v>3568</v>
      </c>
    </row>
    <row r="4721" spans="1:25" hidden="1" x14ac:dyDescent="0.25">
      <c r="A4721" t="s">
        <v>27</v>
      </c>
      <c r="B4721" t="s">
        <v>114</v>
      </c>
      <c r="C4721" t="s">
        <v>43</v>
      </c>
      <c r="D4721" t="s">
        <v>27</v>
      </c>
      <c r="E4721" s="2">
        <v>46110</v>
      </c>
      <c r="F4721" s="2">
        <v>46110</v>
      </c>
      <c r="G4721" s="3">
        <v>45</v>
      </c>
      <c r="H4721" t="s">
        <v>28</v>
      </c>
      <c r="I4721">
        <v>0</v>
      </c>
      <c r="J4721">
        <v>0</v>
      </c>
      <c r="K4721">
        <v>0</v>
      </c>
      <c r="L4721" s="3">
        <v>0</v>
      </c>
      <c r="M4721" s="3">
        <v>0</v>
      </c>
      <c r="N4721">
        <v>0</v>
      </c>
      <c r="O4721">
        <v>0</v>
      </c>
      <c r="P4721">
        <v>0</v>
      </c>
      <c r="Q4721">
        <v>35</v>
      </c>
      <c r="R4721" s="3">
        <v>0</v>
      </c>
      <c r="S4721" s="3">
        <v>1</v>
      </c>
      <c r="T4721">
        <v>35</v>
      </c>
      <c r="U4721">
        <v>0</v>
      </c>
      <c r="V4721" s="3">
        <v>0</v>
      </c>
      <c r="W4721" s="3">
        <v>0</v>
      </c>
      <c r="X4721">
        <v>0</v>
      </c>
      <c r="Y4721" t="s">
        <v>3568</v>
      </c>
    </row>
    <row r="4722" spans="1:25" hidden="1" x14ac:dyDescent="0.25">
      <c r="A4722" t="s">
        <v>2118</v>
      </c>
      <c r="B4722" t="s">
        <v>2119</v>
      </c>
      <c r="C4722" t="s">
        <v>27</v>
      </c>
      <c r="D4722" t="s">
        <v>27</v>
      </c>
      <c r="E4722" s="2">
        <v>46111</v>
      </c>
      <c r="F4722" s="2">
        <v>46111</v>
      </c>
      <c r="G4722" s="3">
        <v>32</v>
      </c>
      <c r="H4722" t="s">
        <v>28</v>
      </c>
      <c r="I4722">
        <v>53</v>
      </c>
      <c r="J4722">
        <v>0</v>
      </c>
      <c r="K4722">
        <v>0</v>
      </c>
      <c r="L4722" s="3">
        <v>1</v>
      </c>
      <c r="M4722" s="3">
        <v>0</v>
      </c>
      <c r="N4722">
        <v>0</v>
      </c>
      <c r="O4722">
        <v>0</v>
      </c>
      <c r="P4722">
        <v>0</v>
      </c>
      <c r="Q4722">
        <v>53</v>
      </c>
      <c r="R4722" s="3">
        <v>0</v>
      </c>
      <c r="S4722" s="3">
        <v>0</v>
      </c>
      <c r="T4722">
        <v>0</v>
      </c>
      <c r="U4722">
        <v>0</v>
      </c>
      <c r="V4722" s="3">
        <v>0</v>
      </c>
      <c r="W4722" s="3">
        <v>0</v>
      </c>
      <c r="X4722">
        <v>0</v>
      </c>
      <c r="Y4722" t="s">
        <v>3592</v>
      </c>
    </row>
    <row r="4723" spans="1:25" hidden="1" x14ac:dyDescent="0.25">
      <c r="A4723" t="s">
        <v>47</v>
      </c>
      <c r="B4723" t="s">
        <v>137</v>
      </c>
      <c r="C4723" t="s">
        <v>2310</v>
      </c>
      <c r="D4723" t="s">
        <v>27</v>
      </c>
      <c r="E4723" s="2">
        <v>46111</v>
      </c>
      <c r="F4723" s="2">
        <v>46111</v>
      </c>
      <c r="G4723" s="3">
        <v>31</v>
      </c>
      <c r="H4723" t="s">
        <v>28</v>
      </c>
      <c r="I4723">
        <v>50</v>
      </c>
      <c r="J4723">
        <v>0</v>
      </c>
      <c r="K4723">
        <v>0</v>
      </c>
      <c r="L4723" s="3">
        <v>1</v>
      </c>
      <c r="M4723" s="3">
        <v>0</v>
      </c>
      <c r="N4723">
        <v>0</v>
      </c>
      <c r="O4723">
        <v>0</v>
      </c>
      <c r="P4723">
        <v>0</v>
      </c>
      <c r="Q4723">
        <v>12</v>
      </c>
      <c r="R4723" s="3">
        <v>0</v>
      </c>
      <c r="S4723" s="3">
        <v>0</v>
      </c>
      <c r="T4723">
        <v>0</v>
      </c>
      <c r="U4723">
        <v>0</v>
      </c>
      <c r="V4723" s="3">
        <v>0</v>
      </c>
      <c r="W4723" s="3">
        <v>0</v>
      </c>
      <c r="X4723">
        <v>0</v>
      </c>
      <c r="Y4723" t="s">
        <v>3593</v>
      </c>
    </row>
    <row r="4724" spans="1:25" hidden="1" x14ac:dyDescent="0.25">
      <c r="A4724" t="s">
        <v>49</v>
      </c>
      <c r="B4724" t="s">
        <v>118</v>
      </c>
      <c r="C4724" t="s">
        <v>50</v>
      </c>
      <c r="D4724" t="s">
        <v>27</v>
      </c>
      <c r="E4724" s="2">
        <v>46111</v>
      </c>
      <c r="F4724" s="2">
        <v>46111</v>
      </c>
      <c r="G4724" s="3">
        <v>27</v>
      </c>
      <c r="H4724" t="s">
        <v>28</v>
      </c>
      <c r="I4724">
        <v>27</v>
      </c>
      <c r="J4724">
        <v>0</v>
      </c>
      <c r="K4724">
        <v>0</v>
      </c>
      <c r="L4724" s="3">
        <v>1</v>
      </c>
      <c r="M4724" s="3">
        <v>0</v>
      </c>
      <c r="N4724">
        <v>0</v>
      </c>
      <c r="O4724">
        <v>1</v>
      </c>
      <c r="P4724">
        <v>0</v>
      </c>
      <c r="Q4724">
        <v>27</v>
      </c>
      <c r="R4724" s="3">
        <v>0</v>
      </c>
      <c r="S4724" s="3">
        <v>0</v>
      </c>
      <c r="T4724">
        <v>0</v>
      </c>
      <c r="U4724">
        <v>0</v>
      </c>
      <c r="V4724" s="3">
        <v>0</v>
      </c>
      <c r="W4724" s="3">
        <v>0</v>
      </c>
      <c r="X4724">
        <v>0</v>
      </c>
      <c r="Y4724" t="s">
        <v>3594</v>
      </c>
    </row>
    <row r="4725" spans="1:25" hidden="1" x14ac:dyDescent="0.25">
      <c r="A4725" t="s">
        <v>51</v>
      </c>
      <c r="B4725" t="s">
        <v>120</v>
      </c>
      <c r="C4725" t="s">
        <v>55</v>
      </c>
      <c r="D4725" t="s">
        <v>27</v>
      </c>
      <c r="E4725" s="2">
        <v>46111</v>
      </c>
      <c r="F4725" s="2">
        <v>46111</v>
      </c>
      <c r="G4725" s="3">
        <v>76</v>
      </c>
      <c r="H4725" t="s">
        <v>28</v>
      </c>
      <c r="I4725">
        <v>40</v>
      </c>
      <c r="J4725">
        <v>0</v>
      </c>
      <c r="K4725">
        <v>0</v>
      </c>
      <c r="L4725" s="3">
        <v>1</v>
      </c>
      <c r="M4725" s="3">
        <v>0</v>
      </c>
      <c r="N4725">
        <v>1</v>
      </c>
      <c r="O4725">
        <v>0</v>
      </c>
      <c r="P4725">
        <v>0</v>
      </c>
      <c r="Q4725">
        <v>0</v>
      </c>
      <c r="R4725" s="3">
        <v>0</v>
      </c>
      <c r="S4725" s="3">
        <v>0</v>
      </c>
      <c r="T4725">
        <v>0</v>
      </c>
      <c r="U4725">
        <v>0</v>
      </c>
      <c r="V4725" s="3">
        <v>0</v>
      </c>
      <c r="W4725" s="3">
        <v>0</v>
      </c>
      <c r="X4725">
        <v>0</v>
      </c>
      <c r="Y4725" t="s">
        <v>3595</v>
      </c>
    </row>
    <row r="4726" spans="1:25" hidden="1" x14ac:dyDescent="0.25">
      <c r="A4726" t="s">
        <v>54</v>
      </c>
      <c r="B4726" t="s">
        <v>122</v>
      </c>
      <c r="C4726" t="s">
        <v>2271</v>
      </c>
      <c r="D4726" t="s">
        <v>27</v>
      </c>
      <c r="E4726" s="2">
        <v>46111</v>
      </c>
      <c r="F4726" s="2">
        <v>46111</v>
      </c>
      <c r="G4726" s="3">
        <v>46</v>
      </c>
      <c r="H4726" t="s">
        <v>28</v>
      </c>
      <c r="I4726">
        <v>64</v>
      </c>
      <c r="J4726">
        <v>0</v>
      </c>
      <c r="K4726">
        <v>0</v>
      </c>
      <c r="L4726" s="3">
        <v>0</v>
      </c>
      <c r="M4726" s="3">
        <v>0</v>
      </c>
      <c r="N4726">
        <v>0</v>
      </c>
      <c r="O4726">
        <v>0</v>
      </c>
      <c r="P4726">
        <v>0</v>
      </c>
      <c r="Q4726">
        <v>7</v>
      </c>
      <c r="R4726" s="3">
        <v>0</v>
      </c>
      <c r="S4726" s="3">
        <v>0</v>
      </c>
      <c r="T4726">
        <v>0</v>
      </c>
      <c r="U4726">
        <v>0</v>
      </c>
      <c r="V4726" s="3">
        <v>0</v>
      </c>
      <c r="W4726" s="3">
        <v>0</v>
      </c>
      <c r="X4726">
        <v>1</v>
      </c>
      <c r="Y4726" t="s">
        <v>3596</v>
      </c>
    </row>
    <row r="4727" spans="1:25" hidden="1" x14ac:dyDescent="0.25">
      <c r="A4727" t="s">
        <v>48</v>
      </c>
      <c r="B4727" t="s">
        <v>149</v>
      </c>
      <c r="C4727" t="s">
        <v>37</v>
      </c>
      <c r="D4727" t="s">
        <v>27</v>
      </c>
      <c r="E4727" s="2">
        <v>46111</v>
      </c>
      <c r="F4727" s="2">
        <v>46111</v>
      </c>
      <c r="G4727" s="3">
        <v>25</v>
      </c>
      <c r="H4727" t="s">
        <v>28</v>
      </c>
      <c r="I4727">
        <v>77</v>
      </c>
      <c r="J4727">
        <v>0</v>
      </c>
      <c r="K4727">
        <v>0</v>
      </c>
      <c r="L4727" s="3">
        <v>1</v>
      </c>
      <c r="M4727" s="3">
        <v>0</v>
      </c>
      <c r="N4727">
        <v>0</v>
      </c>
      <c r="O4727">
        <v>0</v>
      </c>
      <c r="P4727">
        <v>0</v>
      </c>
      <c r="Q4727">
        <v>0</v>
      </c>
      <c r="R4727" s="3">
        <v>0</v>
      </c>
      <c r="S4727" s="3">
        <v>0</v>
      </c>
      <c r="T4727">
        <v>0</v>
      </c>
      <c r="U4727">
        <v>0</v>
      </c>
      <c r="V4727" s="3">
        <v>0</v>
      </c>
      <c r="W4727" s="3">
        <v>0</v>
      </c>
      <c r="X4727">
        <v>0</v>
      </c>
      <c r="Y4727" t="s">
        <v>3597</v>
      </c>
    </row>
    <row r="4728" spans="1:25" hidden="1" x14ac:dyDescent="0.25">
      <c r="A4728" t="s">
        <v>2899</v>
      </c>
      <c r="B4728" t="s">
        <v>739</v>
      </c>
      <c r="C4728" t="s">
        <v>27</v>
      </c>
      <c r="D4728" t="s">
        <v>27</v>
      </c>
      <c r="E4728" s="2">
        <v>46111</v>
      </c>
      <c r="F4728" s="2">
        <v>46111</v>
      </c>
      <c r="G4728" s="3">
        <v>26</v>
      </c>
      <c r="H4728" t="s">
        <v>1448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3597</v>
      </c>
    </row>
    <row r="4729" spans="1:25" hidden="1" x14ac:dyDescent="0.25">
      <c r="A4729" t="s">
        <v>27</v>
      </c>
      <c r="B4729" t="s">
        <v>755</v>
      </c>
      <c r="C4729" t="s">
        <v>52</v>
      </c>
      <c r="D4729" t="s">
        <v>27</v>
      </c>
      <c r="E4729" s="2">
        <v>46111</v>
      </c>
      <c r="F4729" s="2">
        <v>46111</v>
      </c>
      <c r="G4729" s="3">
        <v>27</v>
      </c>
      <c r="H4729" t="s">
        <v>2143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3597</v>
      </c>
    </row>
    <row r="4730" spans="1:25" hidden="1" x14ac:dyDescent="0.25">
      <c r="A4730" t="s">
        <v>27</v>
      </c>
      <c r="B4730" t="s">
        <v>3558</v>
      </c>
      <c r="C4730" t="s">
        <v>32</v>
      </c>
      <c r="D4730" t="s">
        <v>27</v>
      </c>
      <c r="E4730" s="2">
        <v>46111</v>
      </c>
      <c r="F4730" s="2">
        <v>46111</v>
      </c>
      <c r="G4730" s="3">
        <v>63</v>
      </c>
      <c r="H4730" t="s">
        <v>180</v>
      </c>
      <c r="I4730">
        <v>0</v>
      </c>
      <c r="J4730">
        <v>0</v>
      </c>
      <c r="K4730">
        <v>0</v>
      </c>
      <c r="L4730" s="3">
        <v>0</v>
      </c>
      <c r="M4730" s="3">
        <v>0</v>
      </c>
      <c r="N4730">
        <v>0</v>
      </c>
      <c r="O4730">
        <v>0</v>
      </c>
      <c r="P4730">
        <v>0</v>
      </c>
      <c r="Q4730">
        <v>0</v>
      </c>
      <c r="R4730" s="3">
        <v>0</v>
      </c>
      <c r="S4730" s="3">
        <v>0</v>
      </c>
      <c r="T4730">
        <v>0</v>
      </c>
      <c r="U4730">
        <v>0</v>
      </c>
      <c r="V4730" s="3">
        <v>0</v>
      </c>
      <c r="W4730" s="3">
        <v>0</v>
      </c>
      <c r="X4730" s="3">
        <v>0</v>
      </c>
      <c r="Y4730" t="s">
        <v>3523</v>
      </c>
    </row>
    <row r="4731" spans="1:25" hidden="1" x14ac:dyDescent="0.25">
      <c r="A4731" t="s">
        <v>25</v>
      </c>
      <c r="B4731" t="s">
        <v>96</v>
      </c>
      <c r="C4731" t="s">
        <v>26</v>
      </c>
      <c r="D4731" t="s">
        <v>27</v>
      </c>
      <c r="E4731" s="2">
        <v>46112</v>
      </c>
      <c r="F4731" s="2">
        <v>46112</v>
      </c>
      <c r="G4731" s="3">
        <v>53</v>
      </c>
      <c r="H4731" t="s">
        <v>28</v>
      </c>
      <c r="I4731">
        <v>46</v>
      </c>
      <c r="J4731">
        <v>0</v>
      </c>
      <c r="K4731">
        <v>0</v>
      </c>
      <c r="L4731" s="3">
        <v>0</v>
      </c>
      <c r="M4731" s="3">
        <v>1</v>
      </c>
      <c r="N4731">
        <v>1</v>
      </c>
      <c r="O4731">
        <v>0</v>
      </c>
      <c r="P4731">
        <v>0</v>
      </c>
      <c r="Q4731">
        <v>0</v>
      </c>
      <c r="R4731" s="3">
        <v>0</v>
      </c>
      <c r="S4731" s="3">
        <v>0</v>
      </c>
      <c r="T4731">
        <v>0</v>
      </c>
      <c r="U4731">
        <v>0</v>
      </c>
      <c r="V4731" s="3">
        <v>0</v>
      </c>
      <c r="W4731" s="3">
        <v>0</v>
      </c>
      <c r="X4731">
        <v>0</v>
      </c>
      <c r="Y4731" t="s">
        <v>3598</v>
      </c>
    </row>
    <row r="4732" spans="1:25" hidden="1" x14ac:dyDescent="0.25">
      <c r="A4732" t="s">
        <v>29</v>
      </c>
      <c r="B4732" t="s">
        <v>100</v>
      </c>
      <c r="C4732" t="s">
        <v>95</v>
      </c>
      <c r="D4732" t="s">
        <v>27</v>
      </c>
      <c r="E4732" s="2">
        <v>46112</v>
      </c>
      <c r="F4732" s="2">
        <v>46112</v>
      </c>
      <c r="G4732" s="3">
        <v>36</v>
      </c>
      <c r="H4732" t="s">
        <v>28</v>
      </c>
      <c r="I4732">
        <v>23</v>
      </c>
      <c r="J4732">
        <v>0</v>
      </c>
      <c r="K4732">
        <v>0</v>
      </c>
      <c r="L4732" s="3">
        <v>0</v>
      </c>
      <c r="M4732" s="3">
        <v>0</v>
      </c>
      <c r="N4732">
        <v>0</v>
      </c>
      <c r="O4732">
        <v>0</v>
      </c>
      <c r="P4732">
        <v>0</v>
      </c>
      <c r="Q4732">
        <v>0</v>
      </c>
      <c r="R4732" s="3">
        <v>0</v>
      </c>
      <c r="S4732" s="3">
        <v>0</v>
      </c>
      <c r="T4732">
        <v>0</v>
      </c>
      <c r="U4732">
        <v>0</v>
      </c>
      <c r="V4732" s="3">
        <v>0</v>
      </c>
      <c r="W4732" s="3">
        <v>0</v>
      </c>
      <c r="X4732">
        <v>0</v>
      </c>
      <c r="Y4732" t="s">
        <v>3599</v>
      </c>
    </row>
    <row r="4733" spans="1:25" hidden="1" x14ac:dyDescent="0.25">
      <c r="A4733" t="s">
        <v>344</v>
      </c>
      <c r="B4733" t="s">
        <v>102</v>
      </c>
      <c r="C4733" t="s">
        <v>35</v>
      </c>
      <c r="D4733" t="s">
        <v>27</v>
      </c>
      <c r="E4733" s="2">
        <v>46112</v>
      </c>
      <c r="F4733" s="2">
        <v>46112</v>
      </c>
      <c r="G4733" s="3">
        <v>47</v>
      </c>
      <c r="H4733" t="s">
        <v>28</v>
      </c>
      <c r="I4733">
        <v>10</v>
      </c>
      <c r="J4733">
        <v>100</v>
      </c>
      <c r="K4733">
        <v>0</v>
      </c>
      <c r="L4733" s="3">
        <v>1</v>
      </c>
      <c r="M4733" s="3">
        <v>0</v>
      </c>
      <c r="N4733">
        <v>0</v>
      </c>
      <c r="O4733">
        <v>0</v>
      </c>
      <c r="P4733">
        <v>0</v>
      </c>
      <c r="Q4733">
        <v>4</v>
      </c>
      <c r="R4733" s="3">
        <v>0</v>
      </c>
      <c r="S4733" s="3">
        <v>0</v>
      </c>
      <c r="T4733">
        <v>0</v>
      </c>
      <c r="U4733">
        <v>0</v>
      </c>
      <c r="V4733" s="3">
        <v>0</v>
      </c>
      <c r="W4733" s="3">
        <v>0</v>
      </c>
      <c r="X4733">
        <v>0</v>
      </c>
      <c r="Y4733" t="s">
        <v>3584</v>
      </c>
    </row>
    <row r="4734" spans="1:25" hidden="1" x14ac:dyDescent="0.25">
      <c r="A4734" t="s">
        <v>31</v>
      </c>
      <c r="B4734" t="s">
        <v>104</v>
      </c>
      <c r="C4734" t="s">
        <v>2835</v>
      </c>
      <c r="D4734" t="s">
        <v>27</v>
      </c>
      <c r="E4734" s="2">
        <v>46112</v>
      </c>
      <c r="F4734" s="2">
        <v>46112</v>
      </c>
      <c r="G4734" s="3">
        <v>38</v>
      </c>
      <c r="H4734" t="s">
        <v>28</v>
      </c>
      <c r="I4734">
        <v>62</v>
      </c>
      <c r="J4734">
        <v>0</v>
      </c>
      <c r="K4734">
        <v>0</v>
      </c>
      <c r="L4734" s="3">
        <v>1</v>
      </c>
      <c r="M4734" s="3">
        <v>0</v>
      </c>
      <c r="N4734">
        <v>0</v>
      </c>
      <c r="O4734">
        <v>0</v>
      </c>
      <c r="P4734">
        <v>0</v>
      </c>
      <c r="Q4734">
        <v>30</v>
      </c>
      <c r="R4734" s="3">
        <v>0</v>
      </c>
      <c r="S4734" s="3">
        <v>0</v>
      </c>
      <c r="T4734">
        <v>0</v>
      </c>
      <c r="U4734">
        <v>0</v>
      </c>
      <c r="V4734" s="3">
        <v>0</v>
      </c>
      <c r="W4734" s="3">
        <v>0</v>
      </c>
      <c r="X4734">
        <v>1</v>
      </c>
      <c r="Y4734" t="s">
        <v>3600</v>
      </c>
    </row>
    <row r="4735" spans="1:25" hidden="1" x14ac:dyDescent="0.25">
      <c r="A4735" t="s">
        <v>36</v>
      </c>
      <c r="B4735" t="s">
        <v>249</v>
      </c>
      <c r="C4735" t="s">
        <v>2514</v>
      </c>
      <c r="D4735" t="s">
        <v>27</v>
      </c>
      <c r="E4735" s="2">
        <v>46112</v>
      </c>
      <c r="F4735" s="2">
        <v>46112</v>
      </c>
      <c r="G4735" s="3">
        <v>147</v>
      </c>
      <c r="H4735" t="s">
        <v>28</v>
      </c>
      <c r="I4735">
        <v>26</v>
      </c>
      <c r="J4735">
        <v>0</v>
      </c>
      <c r="K4735">
        <v>0</v>
      </c>
      <c r="L4735" s="3">
        <v>0</v>
      </c>
      <c r="M4735" s="3">
        <v>0</v>
      </c>
      <c r="N4735">
        <v>0</v>
      </c>
      <c r="O4735">
        <v>0</v>
      </c>
      <c r="P4735">
        <v>0</v>
      </c>
      <c r="Q4735">
        <v>10</v>
      </c>
      <c r="R4735" s="3">
        <v>0</v>
      </c>
      <c r="S4735" s="3">
        <v>0</v>
      </c>
      <c r="T4735">
        <v>0</v>
      </c>
      <c r="U4735">
        <v>0</v>
      </c>
      <c r="V4735" s="3">
        <v>0</v>
      </c>
      <c r="W4735" s="3">
        <v>0</v>
      </c>
      <c r="X4735">
        <v>0</v>
      </c>
      <c r="Y4735" t="s">
        <v>3601</v>
      </c>
    </row>
    <row r="4736" spans="1:25" hidden="1" x14ac:dyDescent="0.25">
      <c r="A4736" t="s">
        <v>45</v>
      </c>
      <c r="B4736" t="s">
        <v>249</v>
      </c>
      <c r="C4736" t="s">
        <v>46</v>
      </c>
      <c r="D4736" t="s">
        <v>27</v>
      </c>
      <c r="E4736" s="2">
        <v>46112</v>
      </c>
      <c r="F4736" s="2">
        <v>46112</v>
      </c>
      <c r="G4736" s="3">
        <v>45</v>
      </c>
      <c r="H4736" t="s">
        <v>28</v>
      </c>
      <c r="I4736">
        <v>32</v>
      </c>
      <c r="J4736">
        <v>15</v>
      </c>
      <c r="K4736">
        <v>0</v>
      </c>
      <c r="L4736" s="3">
        <v>0</v>
      </c>
      <c r="M4736" s="3">
        <v>0</v>
      </c>
      <c r="N4736">
        <v>0</v>
      </c>
      <c r="O4736">
        <v>0</v>
      </c>
      <c r="P4736">
        <v>0</v>
      </c>
      <c r="Q4736">
        <v>4</v>
      </c>
      <c r="R4736" s="3">
        <v>0</v>
      </c>
      <c r="S4736" s="3">
        <v>0</v>
      </c>
      <c r="T4736">
        <v>0</v>
      </c>
      <c r="U4736">
        <v>0</v>
      </c>
      <c r="V4736" s="3">
        <v>0</v>
      </c>
      <c r="W4736" s="3">
        <v>0</v>
      </c>
      <c r="X4736">
        <v>0</v>
      </c>
      <c r="Y4736" t="s">
        <v>3602</v>
      </c>
    </row>
    <row r="4737" spans="1:25" hidden="1" x14ac:dyDescent="0.25">
      <c r="A4737" t="s">
        <v>38</v>
      </c>
      <c r="B4737" t="s">
        <v>108</v>
      </c>
      <c r="C4737" t="s">
        <v>27</v>
      </c>
      <c r="D4737" t="s">
        <v>27</v>
      </c>
      <c r="E4737" s="2">
        <v>46112</v>
      </c>
      <c r="F4737" s="2">
        <v>46112</v>
      </c>
      <c r="G4737" s="3">
        <v>30</v>
      </c>
      <c r="H4737" t="s">
        <v>28</v>
      </c>
      <c r="I4737">
        <v>29</v>
      </c>
      <c r="J4737">
        <v>0</v>
      </c>
      <c r="K4737">
        <v>0</v>
      </c>
      <c r="L4737" s="3">
        <v>1</v>
      </c>
      <c r="M4737" s="3">
        <v>0</v>
      </c>
      <c r="N4737">
        <v>0</v>
      </c>
      <c r="O4737">
        <v>0</v>
      </c>
      <c r="P4737">
        <v>0</v>
      </c>
      <c r="Q4737">
        <v>29</v>
      </c>
      <c r="R4737" s="3">
        <v>0</v>
      </c>
      <c r="S4737" s="3">
        <v>0</v>
      </c>
      <c r="T4737">
        <v>0</v>
      </c>
      <c r="U4737">
        <v>0</v>
      </c>
      <c r="V4737" s="3">
        <v>0</v>
      </c>
      <c r="W4737" s="3">
        <v>0</v>
      </c>
      <c r="X4737">
        <v>0</v>
      </c>
      <c r="Y4737" t="s">
        <v>3603</v>
      </c>
    </row>
    <row r="4738" spans="1:25" hidden="1" x14ac:dyDescent="0.25">
      <c r="A4738" t="s">
        <v>2679</v>
      </c>
      <c r="B4738" t="s">
        <v>2680</v>
      </c>
      <c r="C4738" t="s">
        <v>39</v>
      </c>
      <c r="D4738" t="s">
        <v>27</v>
      </c>
      <c r="E4738" s="2">
        <v>46112</v>
      </c>
      <c r="F4738" s="2">
        <v>46112</v>
      </c>
      <c r="G4738" s="3">
        <v>37</v>
      </c>
      <c r="H4738" t="s">
        <v>28</v>
      </c>
      <c r="I4738">
        <v>29</v>
      </c>
      <c r="J4738">
        <v>0</v>
      </c>
      <c r="K4738">
        <v>0</v>
      </c>
      <c r="L4738" s="3">
        <v>0</v>
      </c>
      <c r="M4738" s="3">
        <v>0</v>
      </c>
      <c r="N4738">
        <v>0</v>
      </c>
      <c r="O4738">
        <v>0</v>
      </c>
      <c r="P4738">
        <v>0</v>
      </c>
      <c r="Q4738">
        <v>29</v>
      </c>
      <c r="R4738" s="3">
        <v>0</v>
      </c>
      <c r="S4738" s="3">
        <v>0</v>
      </c>
      <c r="T4738">
        <v>0</v>
      </c>
      <c r="U4738">
        <v>0</v>
      </c>
      <c r="V4738" s="3">
        <v>0</v>
      </c>
      <c r="W4738" s="3">
        <v>0</v>
      </c>
      <c r="X4738">
        <v>0</v>
      </c>
      <c r="Y4738" t="s">
        <v>3604</v>
      </c>
    </row>
    <row r="4739" spans="1:25" hidden="1" x14ac:dyDescent="0.25">
      <c r="A4739" t="s">
        <v>40</v>
      </c>
      <c r="B4739" t="s">
        <v>110</v>
      </c>
      <c r="C4739" t="s">
        <v>2534</v>
      </c>
      <c r="D4739" t="s">
        <v>27</v>
      </c>
      <c r="E4739" s="2">
        <v>46112</v>
      </c>
      <c r="F4739" s="2">
        <v>46112</v>
      </c>
      <c r="G4739" s="3">
        <v>32</v>
      </c>
      <c r="H4739" t="s">
        <v>28</v>
      </c>
      <c r="I4739">
        <v>40</v>
      </c>
      <c r="J4739">
        <v>10</v>
      </c>
      <c r="K4739">
        <v>0</v>
      </c>
      <c r="L4739" s="3">
        <v>1</v>
      </c>
      <c r="M4739" s="3">
        <v>0</v>
      </c>
      <c r="N4739">
        <v>0</v>
      </c>
      <c r="O4739">
        <v>0</v>
      </c>
      <c r="P4739">
        <v>0</v>
      </c>
      <c r="Q4739">
        <v>0</v>
      </c>
      <c r="R4739" s="3">
        <v>0</v>
      </c>
      <c r="S4739" s="3">
        <v>0</v>
      </c>
      <c r="T4739">
        <v>0</v>
      </c>
      <c r="U4739">
        <v>0</v>
      </c>
      <c r="V4739" s="3">
        <v>0</v>
      </c>
      <c r="W4739" s="3">
        <v>0</v>
      </c>
      <c r="X4739">
        <v>0</v>
      </c>
      <c r="Y4739" t="s">
        <v>3605</v>
      </c>
    </row>
    <row r="4740" spans="1:25" hidden="1" x14ac:dyDescent="0.25">
      <c r="A4740" t="s">
        <v>41</v>
      </c>
      <c r="B4740" t="s">
        <v>112</v>
      </c>
      <c r="C4740" t="s">
        <v>42</v>
      </c>
      <c r="D4740" t="s">
        <v>27</v>
      </c>
      <c r="E4740" s="2">
        <v>46112</v>
      </c>
      <c r="F4740" s="2">
        <v>46112</v>
      </c>
      <c r="G4740" s="3">
        <v>110</v>
      </c>
      <c r="H4740" t="s">
        <v>28</v>
      </c>
      <c r="I4740">
        <v>56</v>
      </c>
      <c r="J4740">
        <v>9</v>
      </c>
      <c r="K4740">
        <v>0</v>
      </c>
      <c r="L4740" s="3">
        <v>1</v>
      </c>
      <c r="M4740" s="3">
        <v>0</v>
      </c>
      <c r="N4740">
        <v>0</v>
      </c>
      <c r="O4740">
        <v>0</v>
      </c>
      <c r="P4740">
        <v>0</v>
      </c>
      <c r="Q4740">
        <v>3</v>
      </c>
      <c r="R4740" s="3">
        <v>0</v>
      </c>
      <c r="S4740" s="3">
        <v>0</v>
      </c>
      <c r="T4740">
        <v>0</v>
      </c>
      <c r="U4740">
        <v>0</v>
      </c>
      <c r="V4740" s="3">
        <v>0</v>
      </c>
      <c r="W4740" s="3">
        <v>0</v>
      </c>
      <c r="X4740">
        <v>1</v>
      </c>
      <c r="Y4740" t="s">
        <v>3606</v>
      </c>
    </row>
    <row r="4741" spans="1:25" hidden="1" x14ac:dyDescent="0.25">
      <c r="A4741" t="s">
        <v>43</v>
      </c>
      <c r="B4741" t="s">
        <v>114</v>
      </c>
      <c r="C4741" t="s">
        <v>2899</v>
      </c>
      <c r="D4741" t="s">
        <v>27</v>
      </c>
      <c r="E4741" s="2">
        <v>46112</v>
      </c>
      <c r="F4741" s="2">
        <v>46112</v>
      </c>
      <c r="G4741" s="3">
        <v>45</v>
      </c>
      <c r="H4741" t="s">
        <v>28</v>
      </c>
      <c r="I4741">
        <v>93</v>
      </c>
      <c r="J4741">
        <v>0</v>
      </c>
      <c r="K4741">
        <v>0</v>
      </c>
      <c r="L4741" s="3">
        <v>1</v>
      </c>
      <c r="M4741" s="3">
        <v>0</v>
      </c>
      <c r="N4741">
        <v>0</v>
      </c>
      <c r="O4741">
        <v>0</v>
      </c>
      <c r="P4741">
        <v>0</v>
      </c>
      <c r="Q4741">
        <v>35</v>
      </c>
      <c r="R4741" s="3">
        <v>0</v>
      </c>
      <c r="S4741" s="3">
        <v>0</v>
      </c>
      <c r="T4741">
        <v>0</v>
      </c>
      <c r="U4741">
        <v>0</v>
      </c>
      <c r="V4741" s="3">
        <v>0</v>
      </c>
      <c r="W4741" s="3">
        <v>0</v>
      </c>
      <c r="X4741">
        <v>0</v>
      </c>
      <c r="Y4741" t="s">
        <v>3607</v>
      </c>
    </row>
    <row r="4742" spans="1:25" hidden="1" x14ac:dyDescent="0.25">
      <c r="A4742" t="s">
        <v>47</v>
      </c>
      <c r="B4742" t="s">
        <v>137</v>
      </c>
      <c r="C4742" t="s">
        <v>2310</v>
      </c>
      <c r="D4742" t="s">
        <v>27</v>
      </c>
      <c r="E4742" s="2">
        <v>46112</v>
      </c>
      <c r="F4742" s="2">
        <v>46112</v>
      </c>
      <c r="G4742" s="3">
        <v>97</v>
      </c>
      <c r="H4742" t="s">
        <v>28</v>
      </c>
      <c r="I4742">
        <v>50</v>
      </c>
      <c r="J4742">
        <v>0</v>
      </c>
      <c r="K4742">
        <v>0</v>
      </c>
      <c r="L4742" s="3">
        <v>1</v>
      </c>
      <c r="M4742" s="3">
        <v>0</v>
      </c>
      <c r="N4742">
        <v>0</v>
      </c>
      <c r="O4742">
        <v>0</v>
      </c>
      <c r="P4742">
        <v>0</v>
      </c>
      <c r="Q4742">
        <v>8</v>
      </c>
      <c r="R4742" s="3">
        <v>0</v>
      </c>
      <c r="S4742" s="3">
        <v>0</v>
      </c>
      <c r="T4742">
        <v>0</v>
      </c>
      <c r="U4742">
        <v>0</v>
      </c>
      <c r="V4742" s="3">
        <v>0</v>
      </c>
      <c r="W4742" s="3">
        <v>0</v>
      </c>
      <c r="X4742">
        <v>0</v>
      </c>
      <c r="Y4742" t="s">
        <v>3608</v>
      </c>
    </row>
    <row r="4743" spans="1:25" hidden="1" x14ac:dyDescent="0.25">
      <c r="A4743" t="s">
        <v>49</v>
      </c>
      <c r="B4743" t="s">
        <v>118</v>
      </c>
      <c r="C4743" t="s">
        <v>50</v>
      </c>
      <c r="D4743" t="s">
        <v>27</v>
      </c>
      <c r="E4743" s="2">
        <v>46112</v>
      </c>
      <c r="F4743" s="2">
        <v>46112</v>
      </c>
      <c r="G4743" s="3">
        <v>26</v>
      </c>
      <c r="H4743" t="s">
        <v>28</v>
      </c>
      <c r="I4743">
        <v>46</v>
      </c>
      <c r="J4743">
        <v>0</v>
      </c>
      <c r="K4743">
        <v>0</v>
      </c>
      <c r="L4743" s="3">
        <v>1</v>
      </c>
      <c r="M4743" s="3">
        <v>1</v>
      </c>
      <c r="N4743">
        <v>0</v>
      </c>
      <c r="O4743">
        <v>1</v>
      </c>
      <c r="P4743">
        <v>0</v>
      </c>
      <c r="Q4743">
        <v>46</v>
      </c>
      <c r="R4743" s="3">
        <v>0</v>
      </c>
      <c r="S4743" s="3">
        <v>0</v>
      </c>
      <c r="T4743">
        <v>0</v>
      </c>
      <c r="U4743">
        <v>0</v>
      </c>
      <c r="V4743" s="3">
        <v>0</v>
      </c>
      <c r="W4743" s="3">
        <v>0</v>
      </c>
      <c r="X4743">
        <v>0</v>
      </c>
      <c r="Y4743" t="s">
        <v>3609</v>
      </c>
    </row>
    <row r="4744" spans="1:25" hidden="1" x14ac:dyDescent="0.25">
      <c r="A4744" t="s">
        <v>54</v>
      </c>
      <c r="B4744" t="s">
        <v>122</v>
      </c>
      <c r="C4744" t="s">
        <v>2271</v>
      </c>
      <c r="D4744" t="s">
        <v>27</v>
      </c>
      <c r="E4744" s="2">
        <v>46112</v>
      </c>
      <c r="F4744" s="2">
        <v>46112</v>
      </c>
      <c r="G4744" s="3">
        <v>36</v>
      </c>
      <c r="H4744" t="s">
        <v>28</v>
      </c>
      <c r="I4744">
        <v>46</v>
      </c>
      <c r="J4744">
        <v>0</v>
      </c>
      <c r="K4744">
        <v>0</v>
      </c>
      <c r="L4744" s="3">
        <v>0</v>
      </c>
      <c r="M4744" s="3">
        <v>0</v>
      </c>
      <c r="N4744">
        <v>0</v>
      </c>
      <c r="O4744">
        <v>0</v>
      </c>
      <c r="P4744">
        <v>0</v>
      </c>
      <c r="Q4744">
        <v>7</v>
      </c>
      <c r="R4744" s="3">
        <v>0</v>
      </c>
      <c r="S4744" s="3">
        <v>0</v>
      </c>
      <c r="T4744">
        <v>0</v>
      </c>
      <c r="U4744">
        <v>0</v>
      </c>
      <c r="V4744" s="3">
        <v>0</v>
      </c>
      <c r="W4744" s="3">
        <v>0</v>
      </c>
      <c r="X4744">
        <v>1</v>
      </c>
      <c r="Y4744" t="s">
        <v>3610</v>
      </c>
    </row>
    <row r="4745" spans="1:25" hidden="1" x14ac:dyDescent="0.25">
      <c r="A4745" t="s">
        <v>48</v>
      </c>
      <c r="B4745" t="s">
        <v>149</v>
      </c>
      <c r="C4745" t="s">
        <v>37</v>
      </c>
      <c r="D4745" t="s">
        <v>27</v>
      </c>
      <c r="E4745" s="2">
        <v>46112</v>
      </c>
      <c r="F4745" s="2">
        <v>46112</v>
      </c>
      <c r="G4745" s="3">
        <v>21</v>
      </c>
      <c r="H4745" t="s">
        <v>28</v>
      </c>
      <c r="I4745">
        <v>22</v>
      </c>
      <c r="J4745">
        <v>0</v>
      </c>
      <c r="K4745">
        <v>0</v>
      </c>
      <c r="L4745" s="3">
        <v>1</v>
      </c>
      <c r="M4745" s="3">
        <v>0</v>
      </c>
      <c r="N4745">
        <v>0</v>
      </c>
      <c r="O4745">
        <v>0</v>
      </c>
      <c r="P4745">
        <v>0</v>
      </c>
      <c r="Q4745">
        <v>0</v>
      </c>
      <c r="R4745" s="3">
        <v>0</v>
      </c>
      <c r="S4745" s="3">
        <v>0</v>
      </c>
      <c r="T4745">
        <v>0</v>
      </c>
      <c r="U4745">
        <v>0</v>
      </c>
      <c r="V4745" s="3">
        <v>0</v>
      </c>
      <c r="W4745" s="3">
        <v>0</v>
      </c>
      <c r="X4745">
        <v>0</v>
      </c>
      <c r="Y4745" t="s">
        <v>3611</v>
      </c>
    </row>
    <row r="4746" spans="1:25" hidden="1" x14ac:dyDescent="0.25">
      <c r="A4746" t="s">
        <v>51</v>
      </c>
      <c r="B4746" t="s">
        <v>739</v>
      </c>
      <c r="C4746" t="s">
        <v>27</v>
      </c>
      <c r="D4746" t="s">
        <v>27</v>
      </c>
      <c r="E4746" s="2">
        <v>46112</v>
      </c>
      <c r="F4746" s="2">
        <v>46112</v>
      </c>
      <c r="G4746" s="3">
        <v>22</v>
      </c>
      <c r="H4746" t="s">
        <v>28</v>
      </c>
      <c r="I4746">
        <v>25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3611</v>
      </c>
    </row>
    <row r="4747" spans="1:25" hidden="1" x14ac:dyDescent="0.25">
      <c r="A4747" t="s">
        <v>27</v>
      </c>
      <c r="B4747" t="s">
        <v>755</v>
      </c>
      <c r="C4747" t="s">
        <v>55</v>
      </c>
      <c r="D4747" t="s">
        <v>27</v>
      </c>
      <c r="E4747" s="2">
        <v>46112</v>
      </c>
      <c r="F4747" s="2">
        <v>46112</v>
      </c>
      <c r="G4747" s="3">
        <v>23</v>
      </c>
      <c r="H4747" t="s">
        <v>28</v>
      </c>
      <c r="I4747">
        <v>25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3611</v>
      </c>
    </row>
    <row r="4748" spans="1:25" hidden="1" x14ac:dyDescent="0.25">
      <c r="A4748" t="s">
        <v>27</v>
      </c>
      <c r="B4748" t="s">
        <v>758</v>
      </c>
      <c r="C4748" t="s">
        <v>57</v>
      </c>
      <c r="D4748" t="s">
        <v>27</v>
      </c>
      <c r="E4748" s="2">
        <v>46112</v>
      </c>
      <c r="F4748" s="2">
        <v>46112</v>
      </c>
      <c r="G4748" s="3">
        <v>24</v>
      </c>
      <c r="H4748" t="s">
        <v>28</v>
      </c>
      <c r="I4748">
        <v>25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3611</v>
      </c>
    </row>
    <row r="4749" spans="1:25" hidden="1" x14ac:dyDescent="0.25">
      <c r="A4749" t="s">
        <v>33</v>
      </c>
      <c r="B4749" t="s">
        <v>798</v>
      </c>
      <c r="C4749" t="s">
        <v>27</v>
      </c>
      <c r="D4749" t="s">
        <v>27</v>
      </c>
      <c r="E4749" s="2">
        <v>46112</v>
      </c>
      <c r="F4749" s="2">
        <v>46112</v>
      </c>
      <c r="G4749" s="3">
        <v>25</v>
      </c>
      <c r="H4749" t="s">
        <v>2143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3611</v>
      </c>
    </row>
    <row r="4750" spans="1:25" hidden="1" x14ac:dyDescent="0.25">
      <c r="A4750" t="s">
        <v>27</v>
      </c>
      <c r="B4750" t="s">
        <v>799</v>
      </c>
      <c r="C4750" t="s">
        <v>44</v>
      </c>
      <c r="D4750" t="s">
        <v>27</v>
      </c>
      <c r="E4750" s="2">
        <v>46112</v>
      </c>
      <c r="F4750" s="2">
        <v>46112</v>
      </c>
      <c r="G4750" s="3">
        <v>26</v>
      </c>
      <c r="H4750" t="s">
        <v>2143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3611</v>
      </c>
    </row>
    <row r="4751" spans="1:25" hidden="1" x14ac:dyDescent="0.25">
      <c r="A4751" t="s">
        <v>27</v>
      </c>
      <c r="B4751" t="s">
        <v>3524</v>
      </c>
      <c r="C4751" t="s">
        <v>2379</v>
      </c>
      <c r="D4751" t="s">
        <v>27</v>
      </c>
      <c r="E4751" s="2">
        <v>46112</v>
      </c>
      <c r="F4751" s="2">
        <v>46112</v>
      </c>
      <c r="G4751" s="3">
        <v>27</v>
      </c>
      <c r="H4751" t="s">
        <v>1448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3611</v>
      </c>
    </row>
    <row r="4752" spans="1:25" hidden="1" x14ac:dyDescent="0.25">
      <c r="A4752" t="s">
        <v>27</v>
      </c>
      <c r="B4752" t="s">
        <v>3525</v>
      </c>
      <c r="C4752" t="s">
        <v>52</v>
      </c>
      <c r="D4752" t="s">
        <v>27</v>
      </c>
      <c r="E4752" s="2">
        <v>46112</v>
      </c>
      <c r="F4752" s="2">
        <v>46112</v>
      </c>
      <c r="G4752" s="3">
        <v>28</v>
      </c>
      <c r="H4752" t="s">
        <v>180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 t="s">
        <v>3611</v>
      </c>
    </row>
    <row r="4753" spans="1:25" hidden="1" x14ac:dyDescent="0.25">
      <c r="A4753" t="s">
        <v>27</v>
      </c>
      <c r="B4753" t="s">
        <v>3558</v>
      </c>
      <c r="C4753" t="s">
        <v>32</v>
      </c>
      <c r="D4753" t="s">
        <v>27</v>
      </c>
      <c r="E4753" s="2">
        <v>46111</v>
      </c>
      <c r="F4753" s="2">
        <v>46111</v>
      </c>
      <c r="G4753" s="3">
        <v>63</v>
      </c>
      <c r="H4753" t="s">
        <v>180</v>
      </c>
      <c r="I4753">
        <v>0</v>
      </c>
      <c r="J4753">
        <v>0</v>
      </c>
      <c r="K4753">
        <v>0</v>
      </c>
      <c r="L4753" s="3">
        <v>0</v>
      </c>
      <c r="M4753" s="3">
        <v>0</v>
      </c>
      <c r="N4753">
        <v>0</v>
      </c>
      <c r="O4753">
        <v>0</v>
      </c>
      <c r="P4753">
        <v>0</v>
      </c>
      <c r="Q4753">
        <v>0</v>
      </c>
      <c r="R4753" s="3">
        <v>0</v>
      </c>
      <c r="S4753" s="3">
        <v>0</v>
      </c>
      <c r="T4753">
        <v>0</v>
      </c>
      <c r="U4753">
        <v>0</v>
      </c>
      <c r="V4753" s="3">
        <v>0</v>
      </c>
      <c r="W4753" s="3">
        <v>0</v>
      </c>
      <c r="X4753" s="3">
        <v>0</v>
      </c>
      <c r="Y4753" t="s">
        <v>3523</v>
      </c>
    </row>
    <row r="4754" spans="1:25" hidden="1" x14ac:dyDescent="0.25">
      <c r="A4754" t="s">
        <v>25</v>
      </c>
      <c r="B4754" t="s">
        <v>96</v>
      </c>
      <c r="C4754" t="s">
        <v>26</v>
      </c>
      <c r="D4754" t="s">
        <v>27</v>
      </c>
      <c r="E4754" s="2">
        <v>46113</v>
      </c>
      <c r="F4754" s="2">
        <v>46113</v>
      </c>
      <c r="G4754" s="3">
        <v>44</v>
      </c>
      <c r="H4754" t="s">
        <v>28</v>
      </c>
      <c r="I4754">
        <v>50</v>
      </c>
      <c r="J4754">
        <v>0</v>
      </c>
      <c r="K4754">
        <v>0</v>
      </c>
      <c r="L4754" s="3">
        <v>0</v>
      </c>
      <c r="M4754" s="3">
        <v>0</v>
      </c>
      <c r="N4754">
        <v>1</v>
      </c>
      <c r="O4754">
        <v>0</v>
      </c>
      <c r="P4754">
        <v>0</v>
      </c>
      <c r="Q4754">
        <v>0</v>
      </c>
      <c r="R4754" s="3">
        <v>0</v>
      </c>
      <c r="S4754" s="3">
        <v>0</v>
      </c>
      <c r="T4754">
        <v>0</v>
      </c>
      <c r="U4754">
        <v>0</v>
      </c>
      <c r="V4754" s="3">
        <v>0</v>
      </c>
      <c r="W4754" s="3">
        <v>0</v>
      </c>
      <c r="X4754">
        <v>0</v>
      </c>
      <c r="Y4754" t="s">
        <v>3612</v>
      </c>
    </row>
    <row r="4755" spans="1:25" hidden="1" x14ac:dyDescent="0.25">
      <c r="A4755" t="s">
        <v>29</v>
      </c>
      <c r="B4755" t="s">
        <v>100</v>
      </c>
      <c r="C4755" t="s">
        <v>95</v>
      </c>
      <c r="D4755" t="s">
        <v>27</v>
      </c>
      <c r="E4755" s="2">
        <v>46113</v>
      </c>
      <c r="F4755" s="2">
        <v>46113</v>
      </c>
      <c r="G4755" s="3">
        <v>29</v>
      </c>
      <c r="H4755" t="s">
        <v>28</v>
      </c>
      <c r="I4755">
        <v>32</v>
      </c>
      <c r="J4755">
        <v>0</v>
      </c>
      <c r="K4755">
        <v>0</v>
      </c>
      <c r="L4755" s="3">
        <v>1</v>
      </c>
      <c r="M4755" s="3">
        <v>0</v>
      </c>
      <c r="N4755">
        <v>0</v>
      </c>
      <c r="O4755">
        <v>0</v>
      </c>
      <c r="P4755">
        <v>10</v>
      </c>
      <c r="Q4755">
        <v>5</v>
      </c>
      <c r="R4755" s="3">
        <v>0</v>
      </c>
      <c r="S4755" s="3">
        <v>0</v>
      </c>
      <c r="T4755">
        <v>0</v>
      </c>
      <c r="U4755">
        <v>0</v>
      </c>
      <c r="V4755" s="3">
        <v>0</v>
      </c>
      <c r="W4755" s="3">
        <v>0</v>
      </c>
      <c r="X4755">
        <v>0</v>
      </c>
      <c r="Y4755" t="s">
        <v>3613</v>
      </c>
    </row>
    <row r="4756" spans="1:25" hidden="1" x14ac:dyDescent="0.25">
      <c r="A4756" t="s">
        <v>344</v>
      </c>
      <c r="B4756" t="s">
        <v>102</v>
      </c>
      <c r="C4756" t="s">
        <v>35</v>
      </c>
      <c r="D4756" t="s">
        <v>27</v>
      </c>
      <c r="E4756" s="2">
        <v>46113</v>
      </c>
      <c r="F4756" s="2">
        <v>46113</v>
      </c>
      <c r="G4756" s="3">
        <v>47</v>
      </c>
      <c r="H4756" t="s">
        <v>28</v>
      </c>
      <c r="I4756">
        <v>33</v>
      </c>
      <c r="J4756">
        <v>0</v>
      </c>
      <c r="K4756">
        <v>0</v>
      </c>
      <c r="L4756" s="3">
        <v>1</v>
      </c>
      <c r="M4756" s="3">
        <v>0</v>
      </c>
      <c r="N4756">
        <v>0</v>
      </c>
      <c r="O4756">
        <v>0</v>
      </c>
      <c r="P4756">
        <v>0</v>
      </c>
      <c r="Q4756">
        <v>4</v>
      </c>
      <c r="R4756" s="3">
        <v>0</v>
      </c>
      <c r="S4756" s="3">
        <v>0</v>
      </c>
      <c r="T4756">
        <v>0</v>
      </c>
      <c r="U4756">
        <v>0</v>
      </c>
      <c r="V4756" s="3">
        <v>0</v>
      </c>
      <c r="W4756" s="3">
        <v>0</v>
      </c>
      <c r="X4756">
        <v>0</v>
      </c>
      <c r="Y4756" t="s">
        <v>3584</v>
      </c>
    </row>
    <row r="4757" spans="1:25" hidden="1" x14ac:dyDescent="0.25">
      <c r="A4757" t="s">
        <v>31</v>
      </c>
      <c r="B4757" t="s">
        <v>104</v>
      </c>
      <c r="C4757" t="s">
        <v>2835</v>
      </c>
      <c r="D4757" t="s">
        <v>27</v>
      </c>
      <c r="E4757" s="2">
        <v>46113</v>
      </c>
      <c r="F4757" s="2">
        <v>46113</v>
      </c>
      <c r="G4757" s="3">
        <v>38</v>
      </c>
      <c r="H4757" t="s">
        <v>28</v>
      </c>
      <c r="I4757">
        <v>82</v>
      </c>
      <c r="J4757">
        <v>0</v>
      </c>
      <c r="K4757">
        <v>0</v>
      </c>
      <c r="L4757" s="3">
        <v>1</v>
      </c>
      <c r="M4757" s="3">
        <v>0</v>
      </c>
      <c r="N4757">
        <v>0</v>
      </c>
      <c r="O4757">
        <v>0</v>
      </c>
      <c r="P4757">
        <v>0</v>
      </c>
      <c r="Q4757">
        <v>30</v>
      </c>
      <c r="R4757" s="3">
        <v>0</v>
      </c>
      <c r="S4757" s="3">
        <v>0</v>
      </c>
      <c r="T4757">
        <v>0</v>
      </c>
      <c r="U4757">
        <v>0</v>
      </c>
      <c r="V4757" s="3">
        <v>0</v>
      </c>
      <c r="W4757" s="3">
        <v>0</v>
      </c>
      <c r="X4757">
        <v>1</v>
      </c>
      <c r="Y4757" t="s">
        <v>3614</v>
      </c>
    </row>
    <row r="4758" spans="1:25" hidden="1" x14ac:dyDescent="0.25">
      <c r="A4758" t="s">
        <v>33</v>
      </c>
      <c r="B4758" t="s">
        <v>106</v>
      </c>
      <c r="C4758" t="s">
        <v>57</v>
      </c>
      <c r="D4758" t="s">
        <v>27</v>
      </c>
      <c r="E4758" s="2">
        <v>46113</v>
      </c>
      <c r="F4758" s="2">
        <v>46113</v>
      </c>
      <c r="G4758" s="3">
        <v>27</v>
      </c>
      <c r="H4758" t="s">
        <v>28</v>
      </c>
      <c r="I4758">
        <v>48</v>
      </c>
      <c r="J4758">
        <v>0</v>
      </c>
      <c r="K4758">
        <v>0</v>
      </c>
      <c r="L4758" s="3">
        <v>0</v>
      </c>
      <c r="M4758" s="3">
        <v>0</v>
      </c>
      <c r="N4758">
        <v>0</v>
      </c>
      <c r="O4758">
        <v>0</v>
      </c>
      <c r="P4758">
        <v>0</v>
      </c>
      <c r="Q4758">
        <v>21</v>
      </c>
      <c r="R4758" s="3">
        <v>0</v>
      </c>
      <c r="S4758" s="3">
        <v>0</v>
      </c>
      <c r="T4758">
        <v>0</v>
      </c>
      <c r="U4758">
        <v>0</v>
      </c>
      <c r="V4758" s="3">
        <v>0</v>
      </c>
      <c r="W4758" s="3">
        <v>0</v>
      </c>
      <c r="X4758">
        <v>0</v>
      </c>
      <c r="Y4758" t="s">
        <v>3615</v>
      </c>
    </row>
    <row r="4759" spans="1:25" hidden="1" x14ac:dyDescent="0.25">
      <c r="A4759" t="s">
        <v>36</v>
      </c>
      <c r="B4759" t="s">
        <v>249</v>
      </c>
      <c r="C4759" t="s">
        <v>2514</v>
      </c>
      <c r="D4759" t="s">
        <v>27</v>
      </c>
      <c r="E4759" s="2">
        <v>46113</v>
      </c>
      <c r="F4759" s="2">
        <v>46113</v>
      </c>
      <c r="G4759" s="3">
        <v>118</v>
      </c>
      <c r="H4759" t="s">
        <v>28</v>
      </c>
      <c r="I4759">
        <v>58</v>
      </c>
      <c r="J4759">
        <v>1</v>
      </c>
      <c r="K4759">
        <v>0</v>
      </c>
      <c r="L4759" s="3">
        <v>1</v>
      </c>
      <c r="M4759" s="3">
        <v>0</v>
      </c>
      <c r="N4759">
        <v>0</v>
      </c>
      <c r="O4759">
        <v>0</v>
      </c>
      <c r="P4759">
        <v>0</v>
      </c>
      <c r="Q4759">
        <v>25</v>
      </c>
      <c r="R4759" s="3">
        <v>0</v>
      </c>
      <c r="S4759" s="3">
        <v>0</v>
      </c>
      <c r="T4759">
        <v>0</v>
      </c>
      <c r="U4759">
        <v>0</v>
      </c>
      <c r="V4759" s="3">
        <v>0</v>
      </c>
      <c r="W4759" s="3">
        <v>0</v>
      </c>
      <c r="X4759">
        <v>0</v>
      </c>
      <c r="Y4759" t="s">
        <v>3616</v>
      </c>
    </row>
    <row r="4760" spans="1:25" hidden="1" x14ac:dyDescent="0.25">
      <c r="A4760" t="s">
        <v>45</v>
      </c>
      <c r="B4760" t="s">
        <v>249</v>
      </c>
      <c r="C4760" t="s">
        <v>46</v>
      </c>
      <c r="D4760" t="s">
        <v>27</v>
      </c>
      <c r="E4760" s="2">
        <v>46113</v>
      </c>
      <c r="F4760" s="2">
        <v>46113</v>
      </c>
      <c r="G4760" s="3">
        <v>51</v>
      </c>
      <c r="H4760" t="s">
        <v>28</v>
      </c>
      <c r="I4760">
        <v>67</v>
      </c>
      <c r="J4760">
        <v>0</v>
      </c>
      <c r="K4760">
        <v>0</v>
      </c>
      <c r="L4760" s="3">
        <v>1</v>
      </c>
      <c r="M4760" s="3">
        <v>0</v>
      </c>
      <c r="N4760">
        <v>0</v>
      </c>
      <c r="O4760">
        <v>0</v>
      </c>
      <c r="P4760">
        <v>0</v>
      </c>
      <c r="Q4760">
        <v>12</v>
      </c>
      <c r="R4760" s="3">
        <v>0</v>
      </c>
      <c r="S4760" s="3">
        <v>0</v>
      </c>
      <c r="T4760">
        <v>0</v>
      </c>
      <c r="U4760">
        <v>0</v>
      </c>
      <c r="V4760" s="3">
        <v>0</v>
      </c>
      <c r="W4760" s="3">
        <v>0</v>
      </c>
      <c r="X4760">
        <v>0</v>
      </c>
      <c r="Y4760" t="s">
        <v>3617</v>
      </c>
    </row>
    <row r="4761" spans="1:25" hidden="1" x14ac:dyDescent="0.25">
      <c r="A4761" t="s">
        <v>38</v>
      </c>
      <c r="B4761" t="s">
        <v>108</v>
      </c>
      <c r="C4761" t="s">
        <v>27</v>
      </c>
      <c r="D4761" t="s">
        <v>27</v>
      </c>
      <c r="E4761" s="2">
        <v>46113</v>
      </c>
      <c r="F4761" s="2">
        <v>46113</v>
      </c>
      <c r="G4761" s="3">
        <v>29</v>
      </c>
      <c r="H4761" t="s">
        <v>28</v>
      </c>
      <c r="I4761">
        <v>50</v>
      </c>
      <c r="J4761">
        <v>0</v>
      </c>
      <c r="K4761">
        <v>0</v>
      </c>
      <c r="L4761" s="3">
        <v>1</v>
      </c>
      <c r="M4761" s="3">
        <v>0</v>
      </c>
      <c r="N4761">
        <v>0</v>
      </c>
      <c r="O4761">
        <v>0</v>
      </c>
      <c r="P4761">
        <v>0</v>
      </c>
      <c r="Q4761">
        <v>50</v>
      </c>
      <c r="R4761" s="3">
        <v>0</v>
      </c>
      <c r="S4761" s="3">
        <v>0</v>
      </c>
      <c r="T4761">
        <v>0</v>
      </c>
      <c r="U4761">
        <v>0</v>
      </c>
      <c r="V4761" s="3">
        <v>0</v>
      </c>
      <c r="W4761" s="3">
        <v>0</v>
      </c>
      <c r="X4761">
        <v>0</v>
      </c>
      <c r="Y4761" t="s">
        <v>3618</v>
      </c>
    </row>
    <row r="4762" spans="1:25" hidden="1" x14ac:dyDescent="0.25">
      <c r="A4762" t="s">
        <v>2679</v>
      </c>
      <c r="B4762" t="s">
        <v>2680</v>
      </c>
      <c r="C4762" t="s">
        <v>39</v>
      </c>
      <c r="D4762" t="s">
        <v>27</v>
      </c>
      <c r="E4762" s="2">
        <v>46113</v>
      </c>
      <c r="F4762" s="2">
        <v>46113</v>
      </c>
      <c r="G4762" s="3">
        <v>33</v>
      </c>
      <c r="H4762" t="s">
        <v>28</v>
      </c>
      <c r="I4762">
        <v>49</v>
      </c>
      <c r="J4762">
        <v>0</v>
      </c>
      <c r="K4762">
        <v>0</v>
      </c>
      <c r="L4762" s="3">
        <v>0</v>
      </c>
      <c r="M4762" s="3">
        <v>0</v>
      </c>
      <c r="N4762">
        <v>0</v>
      </c>
      <c r="O4762">
        <v>0</v>
      </c>
      <c r="P4762">
        <v>0</v>
      </c>
      <c r="Q4762">
        <v>49</v>
      </c>
      <c r="R4762" s="3">
        <v>0</v>
      </c>
      <c r="S4762" s="3">
        <v>0</v>
      </c>
      <c r="T4762">
        <v>0</v>
      </c>
      <c r="U4762">
        <v>0</v>
      </c>
      <c r="V4762" s="3">
        <v>0</v>
      </c>
      <c r="W4762" s="3">
        <v>0</v>
      </c>
      <c r="X4762">
        <v>0</v>
      </c>
      <c r="Y4762" t="s">
        <v>3619</v>
      </c>
    </row>
    <row r="4763" spans="1:25" hidden="1" x14ac:dyDescent="0.25">
      <c r="A4763" t="s">
        <v>40</v>
      </c>
      <c r="B4763" t="s">
        <v>110</v>
      </c>
      <c r="C4763" t="s">
        <v>2534</v>
      </c>
      <c r="D4763" t="s">
        <v>27</v>
      </c>
      <c r="E4763" s="2">
        <v>46113</v>
      </c>
      <c r="F4763" s="2">
        <v>46113</v>
      </c>
      <c r="G4763" s="3">
        <v>92</v>
      </c>
      <c r="H4763" t="s">
        <v>28</v>
      </c>
      <c r="I4763">
        <v>68</v>
      </c>
      <c r="J4763">
        <v>0</v>
      </c>
      <c r="K4763">
        <v>0</v>
      </c>
      <c r="L4763" s="3">
        <v>1</v>
      </c>
      <c r="M4763" s="3">
        <v>0</v>
      </c>
      <c r="N4763">
        <v>1</v>
      </c>
      <c r="O4763">
        <v>0</v>
      </c>
      <c r="P4763">
        <v>0</v>
      </c>
      <c r="Q4763">
        <v>42</v>
      </c>
      <c r="R4763" s="3">
        <v>0</v>
      </c>
      <c r="S4763" s="3">
        <v>0</v>
      </c>
      <c r="T4763">
        <v>0</v>
      </c>
      <c r="U4763">
        <v>0</v>
      </c>
      <c r="V4763" s="3">
        <v>0</v>
      </c>
      <c r="W4763" s="3">
        <v>0</v>
      </c>
      <c r="X4763">
        <v>0</v>
      </c>
      <c r="Y4763" t="s">
        <v>3620</v>
      </c>
    </row>
    <row r="4764" spans="1:25" hidden="1" x14ac:dyDescent="0.25">
      <c r="A4764" t="s">
        <v>41</v>
      </c>
      <c r="B4764" t="s">
        <v>112</v>
      </c>
      <c r="C4764" t="s">
        <v>42</v>
      </c>
      <c r="D4764" t="s">
        <v>27</v>
      </c>
      <c r="E4764" s="2">
        <v>46113</v>
      </c>
      <c r="F4764" s="2">
        <v>46113</v>
      </c>
      <c r="G4764" s="3">
        <v>79</v>
      </c>
      <c r="H4764" t="s">
        <v>28</v>
      </c>
      <c r="I4764">
        <v>39</v>
      </c>
      <c r="J4764">
        <v>3</v>
      </c>
      <c r="K4764">
        <v>0</v>
      </c>
      <c r="L4764" s="3">
        <v>1</v>
      </c>
      <c r="M4764" s="3">
        <v>1</v>
      </c>
      <c r="N4764">
        <v>0</v>
      </c>
      <c r="O4764">
        <v>0</v>
      </c>
      <c r="P4764">
        <v>0</v>
      </c>
      <c r="Q4764">
        <v>0</v>
      </c>
      <c r="R4764" s="3">
        <v>0</v>
      </c>
      <c r="S4764" s="3">
        <v>0</v>
      </c>
      <c r="T4764">
        <v>0</v>
      </c>
      <c r="U4764">
        <v>0</v>
      </c>
      <c r="V4764" s="3">
        <v>0</v>
      </c>
      <c r="W4764" s="3">
        <v>0</v>
      </c>
      <c r="X4764">
        <v>1</v>
      </c>
      <c r="Y4764" t="s">
        <v>3621</v>
      </c>
    </row>
    <row r="4765" spans="1:25" hidden="1" x14ac:dyDescent="0.25">
      <c r="A4765" t="s">
        <v>43</v>
      </c>
      <c r="B4765" t="s">
        <v>114</v>
      </c>
      <c r="C4765" t="s">
        <v>44</v>
      </c>
      <c r="D4765" t="s">
        <v>27</v>
      </c>
      <c r="E4765" s="2">
        <v>46113</v>
      </c>
      <c r="F4765" s="2">
        <v>46113</v>
      </c>
      <c r="G4765" s="3">
        <v>62</v>
      </c>
      <c r="H4765" t="s">
        <v>28</v>
      </c>
      <c r="I4765">
        <v>79</v>
      </c>
      <c r="J4765">
        <v>0</v>
      </c>
      <c r="K4765">
        <v>0</v>
      </c>
      <c r="L4765" s="3">
        <v>1</v>
      </c>
      <c r="M4765" s="3">
        <v>0</v>
      </c>
      <c r="N4765">
        <v>0</v>
      </c>
      <c r="O4765">
        <v>0</v>
      </c>
      <c r="P4765">
        <v>0</v>
      </c>
      <c r="Q4765">
        <v>35</v>
      </c>
      <c r="R4765" s="3">
        <v>0</v>
      </c>
      <c r="S4765" s="3">
        <v>0</v>
      </c>
      <c r="T4765">
        <v>0</v>
      </c>
      <c r="U4765">
        <v>0</v>
      </c>
      <c r="V4765" s="3">
        <v>0</v>
      </c>
      <c r="W4765" s="3">
        <v>0</v>
      </c>
      <c r="X4765">
        <v>0</v>
      </c>
      <c r="Y4765" t="s">
        <v>3622</v>
      </c>
    </row>
    <row r="4766" spans="1:25" hidden="1" x14ac:dyDescent="0.25">
      <c r="A4766" t="s">
        <v>2118</v>
      </c>
      <c r="B4766" t="s">
        <v>2119</v>
      </c>
      <c r="C4766" t="s">
        <v>27</v>
      </c>
      <c r="D4766" t="s">
        <v>27</v>
      </c>
      <c r="E4766" s="2">
        <v>46113</v>
      </c>
      <c r="F4766" s="2">
        <v>46113</v>
      </c>
      <c r="G4766" s="3">
        <v>31</v>
      </c>
      <c r="H4766" t="s">
        <v>28</v>
      </c>
      <c r="I4766">
        <v>47</v>
      </c>
      <c r="J4766">
        <v>0</v>
      </c>
      <c r="K4766">
        <v>0</v>
      </c>
      <c r="L4766" s="3">
        <v>1</v>
      </c>
      <c r="M4766" s="3">
        <v>0</v>
      </c>
      <c r="N4766">
        <v>0</v>
      </c>
      <c r="O4766">
        <v>0</v>
      </c>
      <c r="P4766">
        <v>0</v>
      </c>
      <c r="Q4766">
        <v>47</v>
      </c>
      <c r="R4766" s="3">
        <v>0</v>
      </c>
      <c r="S4766" s="3">
        <v>0</v>
      </c>
      <c r="T4766">
        <v>0</v>
      </c>
      <c r="U4766">
        <v>0</v>
      </c>
      <c r="V4766" s="3">
        <v>0</v>
      </c>
      <c r="W4766" s="3">
        <v>0</v>
      </c>
      <c r="X4766">
        <v>0</v>
      </c>
      <c r="Y4766" t="s">
        <v>3623</v>
      </c>
    </row>
    <row r="4767" spans="1:25" hidden="1" x14ac:dyDescent="0.25">
      <c r="A4767" t="s">
        <v>47</v>
      </c>
      <c r="B4767" t="s">
        <v>137</v>
      </c>
      <c r="C4767" t="s">
        <v>2310</v>
      </c>
      <c r="D4767" t="s">
        <v>27</v>
      </c>
      <c r="E4767" s="2">
        <v>46113</v>
      </c>
      <c r="F4767" s="2">
        <v>46113</v>
      </c>
      <c r="G4767" s="3">
        <v>52</v>
      </c>
      <c r="H4767" t="s">
        <v>28</v>
      </c>
      <c r="I4767">
        <v>68</v>
      </c>
      <c r="J4767">
        <v>0</v>
      </c>
      <c r="K4767">
        <v>0</v>
      </c>
      <c r="L4767" s="3">
        <v>1</v>
      </c>
      <c r="M4767" s="3">
        <v>0</v>
      </c>
      <c r="N4767">
        <v>0</v>
      </c>
      <c r="O4767">
        <v>0</v>
      </c>
      <c r="P4767">
        <v>0</v>
      </c>
      <c r="Q4767">
        <v>4</v>
      </c>
      <c r="R4767" s="3">
        <v>0</v>
      </c>
      <c r="S4767" s="3">
        <v>0</v>
      </c>
      <c r="T4767">
        <v>0</v>
      </c>
      <c r="U4767">
        <v>0</v>
      </c>
      <c r="V4767" s="3">
        <v>0</v>
      </c>
      <c r="W4767" s="3">
        <v>0</v>
      </c>
      <c r="X4767">
        <v>0</v>
      </c>
      <c r="Y4767" t="s">
        <v>3624</v>
      </c>
    </row>
    <row r="4768" spans="1:25" hidden="1" x14ac:dyDescent="0.25">
      <c r="A4768" t="s">
        <v>49</v>
      </c>
      <c r="B4768" t="s">
        <v>118</v>
      </c>
      <c r="C4768" t="s">
        <v>50</v>
      </c>
      <c r="D4768" t="s">
        <v>27</v>
      </c>
      <c r="E4768" s="2">
        <v>46113</v>
      </c>
      <c r="F4768" s="2">
        <v>46113</v>
      </c>
      <c r="G4768" s="3">
        <v>28</v>
      </c>
      <c r="H4768" t="s">
        <v>28</v>
      </c>
      <c r="I4768">
        <v>31</v>
      </c>
      <c r="J4768">
        <v>0</v>
      </c>
      <c r="K4768">
        <v>0</v>
      </c>
      <c r="L4768" s="3">
        <v>1</v>
      </c>
      <c r="M4768" s="3">
        <v>1</v>
      </c>
      <c r="N4768">
        <v>0</v>
      </c>
      <c r="O4768">
        <v>0</v>
      </c>
      <c r="P4768">
        <v>0</v>
      </c>
      <c r="Q4768">
        <v>30</v>
      </c>
      <c r="R4768" s="3">
        <v>0</v>
      </c>
      <c r="S4768" s="3">
        <v>0</v>
      </c>
      <c r="T4768">
        <v>0</v>
      </c>
      <c r="U4768">
        <v>0</v>
      </c>
      <c r="V4768" s="3">
        <v>0</v>
      </c>
      <c r="W4768" s="3">
        <v>0</v>
      </c>
      <c r="X4768">
        <v>0</v>
      </c>
      <c r="Y4768" t="s">
        <v>3625</v>
      </c>
    </row>
    <row r="4769" spans="1:25" hidden="1" x14ac:dyDescent="0.25">
      <c r="A4769" t="s">
        <v>51</v>
      </c>
      <c r="B4769" t="s">
        <v>120</v>
      </c>
      <c r="C4769" t="s">
        <v>55</v>
      </c>
      <c r="D4769" t="s">
        <v>27</v>
      </c>
      <c r="E4769" s="2">
        <v>46113</v>
      </c>
      <c r="F4769" s="2">
        <v>46113</v>
      </c>
      <c r="G4769" s="3">
        <v>79</v>
      </c>
      <c r="H4769" t="s">
        <v>28</v>
      </c>
      <c r="I4769">
        <v>33</v>
      </c>
      <c r="J4769">
        <v>0</v>
      </c>
      <c r="K4769">
        <v>0</v>
      </c>
      <c r="L4769" s="3">
        <v>1</v>
      </c>
      <c r="M4769" s="3">
        <v>1</v>
      </c>
      <c r="N4769">
        <v>1</v>
      </c>
      <c r="O4769">
        <v>0</v>
      </c>
      <c r="P4769">
        <v>0</v>
      </c>
      <c r="Q4769">
        <v>0</v>
      </c>
      <c r="R4769" s="3">
        <v>0</v>
      </c>
      <c r="S4769" s="3">
        <v>0</v>
      </c>
      <c r="T4769">
        <v>0</v>
      </c>
      <c r="U4769">
        <v>0</v>
      </c>
      <c r="V4769" s="3">
        <v>0</v>
      </c>
      <c r="W4769" s="3">
        <v>0</v>
      </c>
      <c r="X4769">
        <v>0</v>
      </c>
      <c r="Y4769" t="s">
        <v>3626</v>
      </c>
    </row>
    <row r="4770" spans="1:25" hidden="1" x14ac:dyDescent="0.25">
      <c r="A4770" t="s">
        <v>54</v>
      </c>
      <c r="B4770" t="s">
        <v>122</v>
      </c>
      <c r="C4770" t="s">
        <v>2271</v>
      </c>
      <c r="D4770" t="s">
        <v>27</v>
      </c>
      <c r="E4770" s="2">
        <v>46113</v>
      </c>
      <c r="F4770" s="2">
        <v>46113</v>
      </c>
      <c r="G4770" s="3">
        <v>42</v>
      </c>
      <c r="H4770" t="s">
        <v>28</v>
      </c>
      <c r="I4770">
        <v>33</v>
      </c>
      <c r="J4770">
        <v>0</v>
      </c>
      <c r="K4770">
        <v>0</v>
      </c>
      <c r="L4770" s="3">
        <v>0</v>
      </c>
      <c r="M4770" s="3">
        <v>0</v>
      </c>
      <c r="N4770">
        <v>0</v>
      </c>
      <c r="O4770">
        <v>0</v>
      </c>
      <c r="P4770">
        <v>0</v>
      </c>
      <c r="Q4770">
        <v>7</v>
      </c>
      <c r="R4770" s="3">
        <v>0</v>
      </c>
      <c r="S4770" s="3">
        <v>0</v>
      </c>
      <c r="T4770">
        <v>0</v>
      </c>
      <c r="U4770">
        <v>0</v>
      </c>
      <c r="V4770" s="3">
        <v>0</v>
      </c>
      <c r="W4770" s="3">
        <v>0</v>
      </c>
      <c r="X4770">
        <v>1</v>
      </c>
      <c r="Y4770" t="s">
        <v>3627</v>
      </c>
    </row>
    <row r="4771" spans="1:25" hidden="1" x14ac:dyDescent="0.25">
      <c r="A4771" t="s">
        <v>48</v>
      </c>
      <c r="B4771" t="s">
        <v>149</v>
      </c>
      <c r="C4771" t="s">
        <v>37</v>
      </c>
      <c r="D4771" t="s">
        <v>27</v>
      </c>
      <c r="E4771" s="2">
        <v>46113</v>
      </c>
      <c r="F4771" s="2">
        <v>46113</v>
      </c>
      <c r="G4771" s="3">
        <v>29</v>
      </c>
      <c r="H4771" t="s">
        <v>28</v>
      </c>
      <c r="I4771">
        <v>60</v>
      </c>
      <c r="J4771">
        <v>0</v>
      </c>
      <c r="K4771">
        <v>0</v>
      </c>
      <c r="L4771" s="3">
        <v>1</v>
      </c>
      <c r="M4771" s="3">
        <v>0</v>
      </c>
      <c r="N4771">
        <v>0</v>
      </c>
      <c r="O4771">
        <v>0</v>
      </c>
      <c r="P4771">
        <v>0</v>
      </c>
      <c r="Q4771">
        <v>2</v>
      </c>
      <c r="R4771" s="3">
        <v>0</v>
      </c>
      <c r="S4771" s="3">
        <v>0</v>
      </c>
      <c r="T4771">
        <v>0</v>
      </c>
      <c r="U4771">
        <v>0</v>
      </c>
      <c r="V4771" s="3">
        <v>0</v>
      </c>
      <c r="W4771" s="3">
        <v>0</v>
      </c>
      <c r="X4771">
        <v>0</v>
      </c>
      <c r="Y4771" t="s">
        <v>3628</v>
      </c>
    </row>
    <row r="4772" spans="1:25" hidden="1" x14ac:dyDescent="0.25">
      <c r="A4772" t="s">
        <v>2899</v>
      </c>
      <c r="B4772" t="s">
        <v>739</v>
      </c>
      <c r="C4772" t="s">
        <v>27</v>
      </c>
      <c r="D4772" t="s">
        <v>27</v>
      </c>
      <c r="E4772" s="2">
        <v>46113</v>
      </c>
      <c r="F4772" s="2">
        <v>46113</v>
      </c>
      <c r="G4772" s="3">
        <v>30</v>
      </c>
      <c r="H4772" t="s">
        <v>1448</v>
      </c>
      <c r="I4772">
        <v>0</v>
      </c>
      <c r="J4772">
        <v>0</v>
      </c>
      <c r="K4772">
        <v>0</v>
      </c>
      <c r="L4772" s="3">
        <v>0</v>
      </c>
      <c r="M4772" s="3">
        <v>0</v>
      </c>
      <c r="N4772">
        <v>0</v>
      </c>
      <c r="O4772">
        <v>0</v>
      </c>
      <c r="P4772">
        <v>0</v>
      </c>
      <c r="Q4772">
        <v>0</v>
      </c>
      <c r="R4772" s="3">
        <v>0</v>
      </c>
      <c r="S4772" s="3">
        <v>0</v>
      </c>
      <c r="T4772">
        <v>0</v>
      </c>
      <c r="U4772">
        <v>0</v>
      </c>
      <c r="V4772" s="3">
        <v>0</v>
      </c>
      <c r="W4772" s="3">
        <v>0</v>
      </c>
      <c r="X4772" s="3">
        <v>0</v>
      </c>
      <c r="Y4772" t="s">
        <v>3628</v>
      </c>
    </row>
    <row r="4773" spans="1:25" hidden="1" x14ac:dyDescent="0.25">
      <c r="A4773" t="s">
        <v>27</v>
      </c>
      <c r="B4773" t="s">
        <v>3525</v>
      </c>
      <c r="C4773" t="s">
        <v>52</v>
      </c>
      <c r="D4773" t="s">
        <v>27</v>
      </c>
      <c r="E4773" s="2">
        <v>46113</v>
      </c>
      <c r="F4773" s="2">
        <v>46113</v>
      </c>
      <c r="G4773" s="3">
        <v>31</v>
      </c>
      <c r="H4773" t="s">
        <v>180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 t="s">
        <v>3611</v>
      </c>
    </row>
    <row r="4774" spans="1:25" hidden="1" x14ac:dyDescent="0.25">
      <c r="A4774" t="s">
        <v>27</v>
      </c>
      <c r="B4774" t="s">
        <v>3558</v>
      </c>
      <c r="C4774" t="s">
        <v>32</v>
      </c>
      <c r="D4774" t="s">
        <v>27</v>
      </c>
      <c r="E4774" s="2">
        <v>46113</v>
      </c>
      <c r="F4774" s="2">
        <v>46113</v>
      </c>
      <c r="G4774" s="3">
        <v>32</v>
      </c>
      <c r="H4774" t="s">
        <v>180</v>
      </c>
      <c r="I4774">
        <v>0</v>
      </c>
      <c r="J4774">
        <v>0</v>
      </c>
      <c r="K4774">
        <v>0</v>
      </c>
      <c r="L4774" s="3">
        <v>0</v>
      </c>
      <c r="M4774" s="3">
        <v>0</v>
      </c>
      <c r="N4774">
        <v>0</v>
      </c>
      <c r="O4774">
        <v>0</v>
      </c>
      <c r="P4774">
        <v>0</v>
      </c>
      <c r="Q4774">
        <v>0</v>
      </c>
      <c r="R4774" s="3">
        <v>0</v>
      </c>
      <c r="S4774" s="3">
        <v>0</v>
      </c>
      <c r="T4774">
        <v>0</v>
      </c>
      <c r="U4774">
        <v>0</v>
      </c>
      <c r="V4774" s="3">
        <v>0</v>
      </c>
      <c r="W4774" s="3">
        <v>0</v>
      </c>
      <c r="X4774" s="3">
        <v>0</v>
      </c>
      <c r="Y4774" t="s">
        <v>3523</v>
      </c>
    </row>
    <row r="4775" spans="1:25" hidden="1" x14ac:dyDescent="0.25">
      <c r="A4775" t="s">
        <v>25</v>
      </c>
      <c r="B4775" t="s">
        <v>96</v>
      </c>
      <c r="C4775" t="s">
        <v>26</v>
      </c>
      <c r="D4775" t="s">
        <v>27</v>
      </c>
      <c r="E4775" s="2">
        <v>46114</v>
      </c>
      <c r="F4775" s="2">
        <v>46114</v>
      </c>
      <c r="G4775" s="3">
        <v>62</v>
      </c>
      <c r="H4775" t="s">
        <v>28</v>
      </c>
      <c r="I4775">
        <v>51</v>
      </c>
      <c r="J4775">
        <v>0</v>
      </c>
      <c r="K4775">
        <v>0</v>
      </c>
      <c r="L4775" s="3">
        <v>0</v>
      </c>
      <c r="M4775" s="3">
        <v>1</v>
      </c>
      <c r="N4775">
        <v>1</v>
      </c>
      <c r="O4775">
        <v>0</v>
      </c>
      <c r="P4775">
        <v>0</v>
      </c>
      <c r="Q4775">
        <v>0</v>
      </c>
      <c r="R4775" s="3">
        <v>0</v>
      </c>
      <c r="S4775" s="3">
        <v>0</v>
      </c>
      <c r="T4775">
        <v>0</v>
      </c>
      <c r="U4775">
        <v>0</v>
      </c>
      <c r="V4775" s="3">
        <v>0</v>
      </c>
      <c r="W4775" s="3">
        <v>0</v>
      </c>
      <c r="X4775">
        <v>0</v>
      </c>
      <c r="Y4775" t="s">
        <v>3629</v>
      </c>
    </row>
    <row r="4776" spans="1:25" hidden="1" x14ac:dyDescent="0.25">
      <c r="A4776" t="s">
        <v>29</v>
      </c>
      <c r="B4776" t="s">
        <v>100</v>
      </c>
      <c r="C4776" t="s">
        <v>95</v>
      </c>
      <c r="D4776" t="s">
        <v>27</v>
      </c>
      <c r="E4776" s="2">
        <v>46114</v>
      </c>
      <c r="F4776" s="2">
        <v>46114</v>
      </c>
      <c r="G4776" s="3">
        <v>29</v>
      </c>
      <c r="H4776" t="s">
        <v>28</v>
      </c>
      <c r="I4776">
        <v>32</v>
      </c>
      <c r="J4776">
        <v>0</v>
      </c>
      <c r="K4776">
        <v>0</v>
      </c>
      <c r="L4776" s="3">
        <v>1</v>
      </c>
      <c r="M4776" s="3">
        <v>0</v>
      </c>
      <c r="N4776">
        <v>0</v>
      </c>
      <c r="O4776">
        <v>0</v>
      </c>
      <c r="P4776">
        <v>10</v>
      </c>
      <c r="Q4776">
        <v>5</v>
      </c>
      <c r="R4776" s="3">
        <v>0</v>
      </c>
      <c r="S4776" s="3">
        <v>0</v>
      </c>
      <c r="T4776">
        <v>0</v>
      </c>
      <c r="U4776">
        <v>0</v>
      </c>
      <c r="V4776" s="3">
        <v>0</v>
      </c>
      <c r="W4776" s="3">
        <v>0</v>
      </c>
      <c r="X4776">
        <v>0</v>
      </c>
      <c r="Y4776" t="s">
        <v>3613</v>
      </c>
    </row>
    <row r="4777" spans="1:25" hidden="1" x14ac:dyDescent="0.25">
      <c r="A4777" t="s">
        <v>31</v>
      </c>
      <c r="B4777" t="s">
        <v>104</v>
      </c>
      <c r="C4777" t="s">
        <v>2835</v>
      </c>
      <c r="D4777" t="s">
        <v>27</v>
      </c>
      <c r="E4777" s="2">
        <v>46114</v>
      </c>
      <c r="F4777" s="2">
        <v>46114</v>
      </c>
      <c r="G4777" s="3">
        <v>34</v>
      </c>
      <c r="H4777" t="s">
        <v>28</v>
      </c>
      <c r="I4777">
        <v>65</v>
      </c>
      <c r="J4777">
        <v>0</v>
      </c>
      <c r="K4777">
        <v>0</v>
      </c>
      <c r="L4777" s="3">
        <v>1</v>
      </c>
      <c r="M4777" s="3">
        <v>0</v>
      </c>
      <c r="N4777">
        <v>0</v>
      </c>
      <c r="O4777">
        <v>0</v>
      </c>
      <c r="P4777">
        <v>0</v>
      </c>
      <c r="Q4777">
        <v>30</v>
      </c>
      <c r="R4777" s="3">
        <v>0</v>
      </c>
      <c r="S4777" s="3">
        <v>0</v>
      </c>
      <c r="T4777">
        <v>0</v>
      </c>
      <c r="U4777">
        <v>0</v>
      </c>
      <c r="V4777" s="3">
        <v>0</v>
      </c>
      <c r="W4777" s="3">
        <v>0</v>
      </c>
      <c r="X4777">
        <v>1</v>
      </c>
      <c r="Y4777" t="s">
        <v>3630</v>
      </c>
    </row>
    <row r="4778" spans="1:25" hidden="1" x14ac:dyDescent="0.25">
      <c r="A4778" t="s">
        <v>33</v>
      </c>
      <c r="B4778" t="s">
        <v>106</v>
      </c>
      <c r="C4778" t="s">
        <v>57</v>
      </c>
      <c r="D4778" t="s">
        <v>27</v>
      </c>
      <c r="E4778" s="2">
        <v>46114</v>
      </c>
      <c r="F4778" s="2">
        <v>46114</v>
      </c>
      <c r="G4778" s="3">
        <v>28</v>
      </c>
      <c r="H4778" t="s">
        <v>28</v>
      </c>
      <c r="I4778">
        <v>40</v>
      </c>
      <c r="J4778">
        <v>0</v>
      </c>
      <c r="K4778">
        <v>0</v>
      </c>
      <c r="L4778" s="3">
        <v>0</v>
      </c>
      <c r="M4778" s="3">
        <v>0</v>
      </c>
      <c r="N4778">
        <v>0</v>
      </c>
      <c r="O4778">
        <v>0</v>
      </c>
      <c r="P4778">
        <v>0</v>
      </c>
      <c r="Q4778">
        <v>0</v>
      </c>
      <c r="R4778" s="3">
        <v>0</v>
      </c>
      <c r="S4778" s="3">
        <v>0</v>
      </c>
      <c r="T4778">
        <v>0</v>
      </c>
      <c r="U4778">
        <v>0</v>
      </c>
      <c r="V4778" s="3">
        <v>0</v>
      </c>
      <c r="W4778" s="3">
        <v>0</v>
      </c>
      <c r="X4778">
        <v>0</v>
      </c>
      <c r="Y4778" t="s">
        <v>3631</v>
      </c>
    </row>
    <row r="4779" spans="1:25" hidden="1" x14ac:dyDescent="0.25">
      <c r="A4779" t="s">
        <v>45</v>
      </c>
      <c r="B4779" t="s">
        <v>249</v>
      </c>
      <c r="C4779" t="s">
        <v>46</v>
      </c>
      <c r="D4779" t="s">
        <v>27</v>
      </c>
      <c r="E4779" s="2">
        <v>46114</v>
      </c>
      <c r="F4779" s="2">
        <v>46114</v>
      </c>
      <c r="G4779" s="3">
        <v>53</v>
      </c>
      <c r="H4779" t="s">
        <v>28</v>
      </c>
      <c r="I4779">
        <v>30</v>
      </c>
      <c r="J4779">
        <v>0</v>
      </c>
      <c r="K4779">
        <v>0</v>
      </c>
      <c r="L4779" s="3">
        <v>0</v>
      </c>
      <c r="M4779" s="3">
        <v>0</v>
      </c>
      <c r="N4779">
        <v>0</v>
      </c>
      <c r="O4779">
        <v>0</v>
      </c>
      <c r="P4779">
        <v>0</v>
      </c>
      <c r="Q4779">
        <v>4</v>
      </c>
      <c r="R4779" s="3">
        <v>0</v>
      </c>
      <c r="S4779" s="3">
        <v>0</v>
      </c>
      <c r="T4779">
        <v>0</v>
      </c>
      <c r="U4779">
        <v>0</v>
      </c>
      <c r="V4779" s="3">
        <v>0</v>
      </c>
      <c r="W4779" s="3">
        <v>0</v>
      </c>
      <c r="X4779">
        <v>0</v>
      </c>
      <c r="Y4779" t="s">
        <v>3632</v>
      </c>
    </row>
    <row r="4780" spans="1:25" hidden="1" x14ac:dyDescent="0.25">
      <c r="A4780" t="s">
        <v>36</v>
      </c>
      <c r="B4780" t="s">
        <v>249</v>
      </c>
      <c r="C4780" t="s">
        <v>35</v>
      </c>
      <c r="D4780" t="s">
        <v>27</v>
      </c>
      <c r="E4780" s="2">
        <v>46114</v>
      </c>
      <c r="F4780" s="2">
        <v>46114</v>
      </c>
      <c r="G4780" s="3">
        <v>72</v>
      </c>
      <c r="H4780" t="s">
        <v>28</v>
      </c>
      <c r="I4780">
        <v>74</v>
      </c>
      <c r="J4780">
        <v>0</v>
      </c>
      <c r="K4780">
        <v>0</v>
      </c>
      <c r="L4780" s="3">
        <v>1</v>
      </c>
      <c r="M4780" s="3">
        <v>0</v>
      </c>
      <c r="N4780">
        <v>0</v>
      </c>
      <c r="O4780">
        <v>0</v>
      </c>
      <c r="P4780">
        <v>0</v>
      </c>
      <c r="Q4780">
        <v>0</v>
      </c>
      <c r="R4780" s="3">
        <v>0</v>
      </c>
      <c r="S4780" s="3">
        <v>0</v>
      </c>
      <c r="T4780">
        <v>0</v>
      </c>
      <c r="U4780">
        <v>0</v>
      </c>
      <c r="V4780" s="3">
        <v>0</v>
      </c>
      <c r="W4780" s="3">
        <v>0</v>
      </c>
      <c r="X4780">
        <v>0</v>
      </c>
      <c r="Y4780" t="s">
        <v>3633</v>
      </c>
    </row>
    <row r="4781" spans="1:25" hidden="1" x14ac:dyDescent="0.25">
      <c r="A4781" t="s">
        <v>38</v>
      </c>
      <c r="B4781" t="s">
        <v>108</v>
      </c>
      <c r="C4781" t="s">
        <v>27</v>
      </c>
      <c r="D4781" t="s">
        <v>27</v>
      </c>
      <c r="E4781" s="2">
        <v>46114</v>
      </c>
      <c r="F4781" s="2">
        <v>46114</v>
      </c>
      <c r="G4781" s="3">
        <v>33</v>
      </c>
      <c r="H4781" t="s">
        <v>28</v>
      </c>
      <c r="I4781">
        <v>31</v>
      </c>
      <c r="J4781">
        <v>0</v>
      </c>
      <c r="K4781">
        <v>0</v>
      </c>
      <c r="L4781" s="3">
        <v>1</v>
      </c>
      <c r="M4781" s="3">
        <v>0</v>
      </c>
      <c r="N4781">
        <v>0</v>
      </c>
      <c r="O4781">
        <v>0</v>
      </c>
      <c r="P4781">
        <v>0</v>
      </c>
      <c r="Q4781">
        <v>31</v>
      </c>
      <c r="R4781" s="3">
        <v>0</v>
      </c>
      <c r="S4781" s="3">
        <v>0</v>
      </c>
      <c r="T4781">
        <v>0</v>
      </c>
      <c r="U4781">
        <v>0</v>
      </c>
      <c r="V4781" s="3">
        <v>0</v>
      </c>
      <c r="W4781" s="3">
        <v>0</v>
      </c>
      <c r="X4781">
        <v>0</v>
      </c>
      <c r="Y4781" t="s">
        <v>3634</v>
      </c>
    </row>
    <row r="4782" spans="1:25" hidden="1" x14ac:dyDescent="0.25">
      <c r="A4782" t="s">
        <v>2679</v>
      </c>
      <c r="B4782" t="s">
        <v>2680</v>
      </c>
      <c r="C4782" t="s">
        <v>39</v>
      </c>
      <c r="D4782" t="s">
        <v>27</v>
      </c>
      <c r="E4782" s="2">
        <v>46114</v>
      </c>
      <c r="F4782" s="2">
        <v>46114</v>
      </c>
      <c r="G4782" s="3">
        <v>34</v>
      </c>
      <c r="H4782" t="s">
        <v>28</v>
      </c>
      <c r="I4782">
        <v>32</v>
      </c>
      <c r="J4782">
        <v>0</v>
      </c>
      <c r="K4782">
        <v>0</v>
      </c>
      <c r="L4782" s="3">
        <v>0</v>
      </c>
      <c r="M4782" s="3">
        <v>0</v>
      </c>
      <c r="N4782">
        <v>0</v>
      </c>
      <c r="O4782">
        <v>0</v>
      </c>
      <c r="P4782">
        <v>0</v>
      </c>
      <c r="Q4782">
        <v>32</v>
      </c>
      <c r="R4782" s="3">
        <v>0</v>
      </c>
      <c r="S4782" s="3">
        <v>0</v>
      </c>
      <c r="T4782">
        <v>0</v>
      </c>
      <c r="U4782">
        <v>0</v>
      </c>
      <c r="V4782" s="3">
        <v>0</v>
      </c>
      <c r="W4782" s="3">
        <v>0</v>
      </c>
      <c r="X4782">
        <v>0</v>
      </c>
      <c r="Y4782" t="s">
        <v>3635</v>
      </c>
    </row>
    <row r="4783" spans="1:25" hidden="1" x14ac:dyDescent="0.25">
      <c r="A4783" t="s">
        <v>40</v>
      </c>
      <c r="B4783" t="s">
        <v>110</v>
      </c>
      <c r="C4783" t="s">
        <v>2534</v>
      </c>
      <c r="D4783" t="s">
        <v>27</v>
      </c>
      <c r="E4783" s="2">
        <v>46114</v>
      </c>
      <c r="F4783" s="2">
        <v>46114</v>
      </c>
      <c r="G4783" s="3">
        <v>58</v>
      </c>
      <c r="H4783" t="s">
        <v>28</v>
      </c>
      <c r="I4783">
        <v>35</v>
      </c>
      <c r="J4783">
        <v>0</v>
      </c>
      <c r="K4783">
        <v>0</v>
      </c>
      <c r="L4783" s="3">
        <v>1</v>
      </c>
      <c r="M4783" s="3">
        <v>0</v>
      </c>
      <c r="N4783">
        <v>1</v>
      </c>
      <c r="O4783">
        <v>0</v>
      </c>
      <c r="P4783">
        <v>0</v>
      </c>
      <c r="Q4783">
        <v>0</v>
      </c>
      <c r="R4783" s="3">
        <v>0</v>
      </c>
      <c r="S4783" s="3">
        <v>0</v>
      </c>
      <c r="T4783">
        <v>0</v>
      </c>
      <c r="U4783">
        <v>0</v>
      </c>
      <c r="V4783" s="3">
        <v>0</v>
      </c>
      <c r="W4783" s="3">
        <v>0</v>
      </c>
      <c r="X4783">
        <v>0</v>
      </c>
      <c r="Y4783" t="s">
        <v>3636</v>
      </c>
    </row>
    <row r="4784" spans="1:25" hidden="1" x14ac:dyDescent="0.25">
      <c r="A4784" t="s">
        <v>41</v>
      </c>
      <c r="B4784" t="s">
        <v>112</v>
      </c>
      <c r="C4784" t="s">
        <v>42</v>
      </c>
      <c r="D4784" t="s">
        <v>27</v>
      </c>
      <c r="E4784" s="2">
        <v>46114</v>
      </c>
      <c r="F4784" s="2">
        <v>46114</v>
      </c>
      <c r="G4784" s="3">
        <v>46</v>
      </c>
      <c r="H4784" t="s">
        <v>28</v>
      </c>
      <c r="I4784">
        <v>53</v>
      </c>
      <c r="J4784">
        <v>0</v>
      </c>
      <c r="K4784">
        <v>0</v>
      </c>
      <c r="L4784" s="3">
        <v>1</v>
      </c>
      <c r="M4784" s="3">
        <v>0</v>
      </c>
      <c r="N4784">
        <v>0</v>
      </c>
      <c r="O4784">
        <v>0</v>
      </c>
      <c r="P4784">
        <v>0</v>
      </c>
      <c r="Q4784">
        <v>4</v>
      </c>
      <c r="R4784" s="3">
        <v>0</v>
      </c>
      <c r="S4784" s="3">
        <v>0</v>
      </c>
      <c r="T4784">
        <v>0</v>
      </c>
      <c r="U4784">
        <v>0</v>
      </c>
      <c r="V4784" s="3">
        <v>0</v>
      </c>
      <c r="W4784" s="3">
        <v>0</v>
      </c>
      <c r="X4784">
        <v>1</v>
      </c>
      <c r="Y4784" t="s">
        <v>3637</v>
      </c>
    </row>
    <row r="4785" spans="1:25" hidden="1" x14ac:dyDescent="0.25">
      <c r="A4785" t="s">
        <v>43</v>
      </c>
      <c r="B4785" t="s">
        <v>114</v>
      </c>
      <c r="C4785" t="s">
        <v>44</v>
      </c>
      <c r="D4785" t="s">
        <v>27</v>
      </c>
      <c r="E4785" s="2">
        <v>46114</v>
      </c>
      <c r="F4785" s="2">
        <v>46114</v>
      </c>
      <c r="G4785" s="3">
        <v>39</v>
      </c>
      <c r="H4785" t="s">
        <v>28</v>
      </c>
      <c r="I4785">
        <v>87</v>
      </c>
      <c r="J4785">
        <v>0</v>
      </c>
      <c r="K4785">
        <v>0</v>
      </c>
      <c r="L4785" s="3">
        <v>1</v>
      </c>
      <c r="M4785" s="3">
        <v>0</v>
      </c>
      <c r="N4785">
        <v>0</v>
      </c>
      <c r="O4785">
        <v>0</v>
      </c>
      <c r="P4785">
        <v>0</v>
      </c>
      <c r="Q4785">
        <v>35</v>
      </c>
      <c r="R4785" s="3">
        <v>0</v>
      </c>
      <c r="S4785" s="3">
        <v>0</v>
      </c>
      <c r="T4785">
        <v>0</v>
      </c>
      <c r="U4785">
        <v>0</v>
      </c>
      <c r="V4785" s="3">
        <v>0</v>
      </c>
      <c r="W4785" s="3">
        <v>0</v>
      </c>
      <c r="X4785">
        <v>0</v>
      </c>
      <c r="Y4785" t="s">
        <v>3638</v>
      </c>
    </row>
    <row r="4786" spans="1:25" hidden="1" x14ac:dyDescent="0.25">
      <c r="A4786" t="s">
        <v>2899</v>
      </c>
      <c r="B4786" t="s">
        <v>137</v>
      </c>
      <c r="C4786" t="s">
        <v>2310</v>
      </c>
      <c r="D4786" t="s">
        <v>27</v>
      </c>
      <c r="E4786" s="2">
        <v>46114</v>
      </c>
      <c r="F4786" s="2">
        <v>46114</v>
      </c>
      <c r="G4786" s="5">
        <v>1234</v>
      </c>
      <c r="H4786" t="s">
        <v>28</v>
      </c>
      <c r="I4786">
        <v>47</v>
      </c>
      <c r="J4786">
        <v>0</v>
      </c>
      <c r="K4786">
        <v>0</v>
      </c>
      <c r="L4786" s="3">
        <v>1</v>
      </c>
      <c r="M4786" s="3">
        <v>0</v>
      </c>
      <c r="N4786">
        <v>0</v>
      </c>
      <c r="O4786">
        <v>0</v>
      </c>
      <c r="P4786">
        <v>0</v>
      </c>
      <c r="Q4786">
        <v>2</v>
      </c>
      <c r="R4786" s="3">
        <v>0</v>
      </c>
      <c r="S4786" s="3">
        <v>0</v>
      </c>
      <c r="T4786">
        <v>0</v>
      </c>
      <c r="U4786">
        <v>0</v>
      </c>
      <c r="V4786" s="3">
        <v>0</v>
      </c>
      <c r="W4786" s="3">
        <v>0</v>
      </c>
      <c r="X4786">
        <v>0</v>
      </c>
      <c r="Y4786" t="s">
        <v>3639</v>
      </c>
    </row>
    <row r="4787" spans="1:25" hidden="1" x14ac:dyDescent="0.25">
      <c r="A4787" t="s">
        <v>49</v>
      </c>
      <c r="B4787" t="s">
        <v>118</v>
      </c>
      <c r="C4787" t="s">
        <v>50</v>
      </c>
      <c r="D4787" t="s">
        <v>27</v>
      </c>
      <c r="E4787" s="2">
        <v>46114</v>
      </c>
      <c r="F4787" s="2">
        <v>46114</v>
      </c>
      <c r="G4787" s="3">
        <v>25</v>
      </c>
      <c r="H4787" t="s">
        <v>28</v>
      </c>
      <c r="I4787">
        <v>45</v>
      </c>
      <c r="J4787">
        <v>0</v>
      </c>
      <c r="K4787">
        <v>0</v>
      </c>
      <c r="L4787" s="3">
        <v>1</v>
      </c>
      <c r="M4787" s="3">
        <v>1</v>
      </c>
      <c r="N4787">
        <v>0</v>
      </c>
      <c r="O4787">
        <v>1</v>
      </c>
      <c r="P4787">
        <v>0</v>
      </c>
      <c r="Q4787">
        <v>45</v>
      </c>
      <c r="R4787" s="3">
        <v>0</v>
      </c>
      <c r="S4787" s="3">
        <v>0</v>
      </c>
      <c r="T4787">
        <v>0</v>
      </c>
      <c r="U4787">
        <v>0</v>
      </c>
      <c r="V4787" s="3">
        <v>0</v>
      </c>
      <c r="W4787" s="3">
        <v>0</v>
      </c>
      <c r="X4787">
        <v>0</v>
      </c>
      <c r="Y4787" t="s">
        <v>3640</v>
      </c>
    </row>
    <row r="4788" spans="1:25" hidden="1" x14ac:dyDescent="0.25">
      <c r="A4788" t="s">
        <v>51</v>
      </c>
      <c r="B4788" t="s">
        <v>120</v>
      </c>
      <c r="C4788" t="s">
        <v>55</v>
      </c>
      <c r="D4788" t="s">
        <v>27</v>
      </c>
      <c r="E4788" s="2">
        <v>46114</v>
      </c>
      <c r="F4788" s="2">
        <v>46114</v>
      </c>
      <c r="G4788" s="3">
        <v>57</v>
      </c>
      <c r="H4788" t="s">
        <v>28</v>
      </c>
      <c r="I4788">
        <v>30</v>
      </c>
      <c r="J4788">
        <v>0</v>
      </c>
      <c r="K4788">
        <v>0</v>
      </c>
      <c r="L4788" s="3">
        <v>1</v>
      </c>
      <c r="M4788" s="3">
        <v>0</v>
      </c>
      <c r="N4788">
        <v>1</v>
      </c>
      <c r="O4788">
        <v>0</v>
      </c>
      <c r="P4788">
        <v>0</v>
      </c>
      <c r="Q4788">
        <v>0</v>
      </c>
      <c r="R4788" s="3">
        <v>0</v>
      </c>
      <c r="S4788" s="3">
        <v>0</v>
      </c>
      <c r="T4788">
        <v>0</v>
      </c>
      <c r="U4788">
        <v>0</v>
      </c>
      <c r="V4788" s="3">
        <v>0</v>
      </c>
      <c r="W4788" s="3">
        <v>0</v>
      </c>
      <c r="X4788">
        <v>0</v>
      </c>
      <c r="Y4788" t="s">
        <v>3641</v>
      </c>
    </row>
    <row r="4789" spans="1:25" hidden="1" x14ac:dyDescent="0.25">
      <c r="A4789" t="s">
        <v>54</v>
      </c>
      <c r="B4789" t="s">
        <v>122</v>
      </c>
      <c r="C4789" t="s">
        <v>2271</v>
      </c>
      <c r="D4789" t="s">
        <v>27</v>
      </c>
      <c r="E4789" s="2">
        <v>46114</v>
      </c>
      <c r="F4789" s="2">
        <v>46114</v>
      </c>
      <c r="G4789" s="3">
        <v>42</v>
      </c>
      <c r="H4789" t="s">
        <v>28</v>
      </c>
      <c r="I4789">
        <v>48</v>
      </c>
      <c r="J4789">
        <v>0</v>
      </c>
      <c r="K4789">
        <v>0</v>
      </c>
      <c r="L4789" s="3">
        <v>0</v>
      </c>
      <c r="M4789" s="3">
        <v>0</v>
      </c>
      <c r="N4789">
        <v>0</v>
      </c>
      <c r="O4789">
        <v>0</v>
      </c>
      <c r="P4789">
        <v>0</v>
      </c>
      <c r="Q4789">
        <v>7</v>
      </c>
      <c r="R4789" s="3">
        <v>0</v>
      </c>
      <c r="S4789" s="3">
        <v>0</v>
      </c>
      <c r="T4789">
        <v>0</v>
      </c>
      <c r="U4789">
        <v>0</v>
      </c>
      <c r="V4789" s="3">
        <v>0</v>
      </c>
      <c r="W4789" s="3">
        <v>0</v>
      </c>
      <c r="X4789">
        <v>1</v>
      </c>
      <c r="Y4789" t="s">
        <v>3642</v>
      </c>
    </row>
    <row r="4790" spans="1:25" hidden="1" x14ac:dyDescent="0.25">
      <c r="A4790" t="s">
        <v>48</v>
      </c>
      <c r="B4790" t="s">
        <v>149</v>
      </c>
      <c r="C4790" t="s">
        <v>37</v>
      </c>
      <c r="D4790" t="s">
        <v>27</v>
      </c>
      <c r="E4790" s="2">
        <v>46114</v>
      </c>
      <c r="F4790" s="2">
        <v>46114</v>
      </c>
      <c r="G4790" s="3">
        <v>46</v>
      </c>
      <c r="H4790" t="s">
        <v>28</v>
      </c>
      <c r="I4790">
        <v>30</v>
      </c>
      <c r="J4790">
        <v>0</v>
      </c>
      <c r="K4790">
        <v>0</v>
      </c>
      <c r="L4790" s="3">
        <v>1</v>
      </c>
      <c r="M4790" s="3">
        <v>0</v>
      </c>
      <c r="N4790">
        <v>0</v>
      </c>
      <c r="O4790">
        <v>0</v>
      </c>
      <c r="P4790">
        <v>0</v>
      </c>
      <c r="Q4790">
        <v>0</v>
      </c>
      <c r="R4790" s="3">
        <v>0</v>
      </c>
      <c r="S4790" s="3">
        <v>0</v>
      </c>
      <c r="T4790">
        <v>0</v>
      </c>
      <c r="U4790">
        <v>0</v>
      </c>
      <c r="V4790" s="3">
        <v>0</v>
      </c>
      <c r="W4790" s="3">
        <v>0</v>
      </c>
      <c r="X4790">
        <v>0</v>
      </c>
      <c r="Y4790" t="s">
        <v>3643</v>
      </c>
    </row>
    <row r="4791" spans="1:25" hidden="1" x14ac:dyDescent="0.25">
      <c r="A4791" t="s">
        <v>344</v>
      </c>
      <c r="B4791" t="s">
        <v>739</v>
      </c>
      <c r="C4791" t="s">
        <v>27</v>
      </c>
      <c r="D4791" t="s">
        <v>27</v>
      </c>
      <c r="E4791" s="2">
        <v>46114</v>
      </c>
      <c r="F4791" s="2">
        <v>46114</v>
      </c>
      <c r="G4791" s="3">
        <v>47</v>
      </c>
      <c r="H4791" t="s">
        <v>2143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 t="s">
        <v>3643</v>
      </c>
    </row>
    <row r="4792" spans="1:25" hidden="1" x14ac:dyDescent="0.25">
      <c r="A4792" t="s">
        <v>47</v>
      </c>
      <c r="B4792" t="s">
        <v>755</v>
      </c>
      <c r="C4792" t="s">
        <v>27</v>
      </c>
      <c r="D4792" t="s">
        <v>27</v>
      </c>
      <c r="E4792" s="2">
        <v>46114</v>
      </c>
      <c r="F4792" s="2">
        <v>46114</v>
      </c>
      <c r="G4792" s="3">
        <v>48</v>
      </c>
      <c r="H4792" t="s">
        <v>1448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t="s">
        <v>3643</v>
      </c>
    </row>
    <row r="4793" spans="1:25" hidden="1" x14ac:dyDescent="0.25">
      <c r="A4793" t="s">
        <v>27</v>
      </c>
      <c r="B4793" t="s">
        <v>758</v>
      </c>
      <c r="C4793" t="s">
        <v>2514</v>
      </c>
      <c r="D4793" t="s">
        <v>27</v>
      </c>
      <c r="E4793" s="2">
        <v>46114</v>
      </c>
      <c r="F4793" s="2">
        <v>46114</v>
      </c>
      <c r="G4793" s="3">
        <v>49</v>
      </c>
      <c r="H4793" t="s">
        <v>1395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3643</v>
      </c>
    </row>
    <row r="4794" spans="1:25" hidden="1" x14ac:dyDescent="0.25">
      <c r="A4794" t="s">
        <v>27</v>
      </c>
      <c r="B4794" t="s">
        <v>3525</v>
      </c>
      <c r="C4794" t="s">
        <v>52</v>
      </c>
      <c r="D4794" t="s">
        <v>27</v>
      </c>
      <c r="E4794" s="2">
        <v>46114</v>
      </c>
      <c r="F4794" s="2">
        <v>46114</v>
      </c>
      <c r="G4794" s="3">
        <v>50</v>
      </c>
      <c r="H4794" t="s">
        <v>180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3611</v>
      </c>
    </row>
    <row r="4795" spans="1:25" hidden="1" x14ac:dyDescent="0.25">
      <c r="A4795" t="s">
        <v>27</v>
      </c>
      <c r="B4795" t="s">
        <v>3558</v>
      </c>
      <c r="C4795" t="s">
        <v>32</v>
      </c>
      <c r="D4795" t="s">
        <v>27</v>
      </c>
      <c r="E4795" s="2">
        <v>46114</v>
      </c>
      <c r="F4795" s="2">
        <v>46114</v>
      </c>
      <c r="G4795" s="3">
        <v>51</v>
      </c>
      <c r="H4795" t="s">
        <v>180</v>
      </c>
      <c r="I4795">
        <v>0</v>
      </c>
      <c r="J4795">
        <v>0</v>
      </c>
      <c r="K4795">
        <v>0</v>
      </c>
      <c r="L4795" s="3">
        <v>0</v>
      </c>
      <c r="M4795" s="3">
        <v>0</v>
      </c>
      <c r="N4795">
        <v>0</v>
      </c>
      <c r="O4795">
        <v>0</v>
      </c>
      <c r="P4795">
        <v>0</v>
      </c>
      <c r="Q4795">
        <v>0</v>
      </c>
      <c r="R4795" s="3">
        <v>0</v>
      </c>
      <c r="S4795" s="3">
        <v>0</v>
      </c>
      <c r="T4795">
        <v>0</v>
      </c>
      <c r="U4795">
        <v>0</v>
      </c>
      <c r="V4795" s="3">
        <v>0</v>
      </c>
      <c r="W4795" s="3">
        <v>0</v>
      </c>
      <c r="X4795" s="3">
        <v>0</v>
      </c>
      <c r="Y4795" t="s">
        <v>3523</v>
      </c>
    </row>
    <row r="4796" spans="1:25" hidden="1" x14ac:dyDescent="0.25">
      <c r="A4796" t="s">
        <v>41</v>
      </c>
      <c r="B4796" t="s">
        <v>112</v>
      </c>
      <c r="C4796" t="s">
        <v>42</v>
      </c>
      <c r="D4796" t="s">
        <v>27</v>
      </c>
      <c r="E4796" s="2">
        <v>46115</v>
      </c>
      <c r="F4796" s="2">
        <v>46115</v>
      </c>
      <c r="G4796" s="3">
        <v>70</v>
      </c>
      <c r="H4796" t="s">
        <v>28</v>
      </c>
      <c r="I4796">
        <v>0</v>
      </c>
      <c r="J4796">
        <v>0</v>
      </c>
      <c r="K4796">
        <v>0</v>
      </c>
      <c r="L4796" s="3">
        <v>0</v>
      </c>
      <c r="M4796" s="3">
        <v>0</v>
      </c>
      <c r="N4796">
        <v>0</v>
      </c>
      <c r="O4796">
        <v>0</v>
      </c>
      <c r="P4796">
        <v>0</v>
      </c>
      <c r="Q4796">
        <v>67</v>
      </c>
      <c r="R4796" s="3">
        <v>0</v>
      </c>
      <c r="S4796" s="3">
        <v>1</v>
      </c>
      <c r="T4796">
        <v>67</v>
      </c>
      <c r="U4796">
        <v>19</v>
      </c>
      <c r="V4796" s="3">
        <v>0</v>
      </c>
      <c r="W4796" s="3">
        <v>1</v>
      </c>
      <c r="X4796">
        <v>3</v>
      </c>
      <c r="Y4796" t="s">
        <v>3644</v>
      </c>
    </row>
    <row r="4797" spans="1:25" hidden="1" x14ac:dyDescent="0.25">
      <c r="A4797" t="s">
        <v>43</v>
      </c>
      <c r="B4797" t="s">
        <v>114</v>
      </c>
      <c r="C4797" t="s">
        <v>27</v>
      </c>
      <c r="D4797" t="s">
        <v>27</v>
      </c>
      <c r="E4797" s="2">
        <v>46115</v>
      </c>
      <c r="F4797" s="2">
        <v>46115</v>
      </c>
      <c r="G4797" s="3">
        <v>41</v>
      </c>
      <c r="H4797" t="s">
        <v>28</v>
      </c>
      <c r="I4797">
        <v>0</v>
      </c>
      <c r="J4797">
        <v>0</v>
      </c>
      <c r="K4797">
        <v>0</v>
      </c>
      <c r="L4797" s="3">
        <v>1</v>
      </c>
      <c r="M4797" s="3">
        <v>0</v>
      </c>
      <c r="N4797">
        <v>0</v>
      </c>
      <c r="O4797">
        <v>0</v>
      </c>
      <c r="P4797">
        <v>0</v>
      </c>
      <c r="Q4797">
        <v>35</v>
      </c>
      <c r="R4797" s="3">
        <v>0</v>
      </c>
      <c r="S4797" s="3">
        <v>1</v>
      </c>
      <c r="T4797">
        <v>35</v>
      </c>
      <c r="U4797">
        <v>0</v>
      </c>
      <c r="V4797" s="3">
        <v>0</v>
      </c>
      <c r="W4797" s="3">
        <v>0</v>
      </c>
      <c r="X4797">
        <v>0</v>
      </c>
      <c r="Y4797" t="s">
        <v>3645</v>
      </c>
    </row>
    <row r="4798" spans="1:25" hidden="1" x14ac:dyDescent="0.25">
      <c r="A4798" t="s">
        <v>54</v>
      </c>
      <c r="B4798" t="s">
        <v>122</v>
      </c>
      <c r="C4798" t="s">
        <v>2271</v>
      </c>
      <c r="D4798" t="s">
        <v>27</v>
      </c>
      <c r="E4798" s="2">
        <v>46115</v>
      </c>
      <c r="F4798" s="2">
        <v>46115</v>
      </c>
      <c r="G4798" s="3">
        <v>69</v>
      </c>
      <c r="H4798" t="s">
        <v>28</v>
      </c>
      <c r="I4798">
        <v>0</v>
      </c>
      <c r="J4798">
        <v>0</v>
      </c>
      <c r="K4798">
        <v>0</v>
      </c>
      <c r="L4798" s="3">
        <v>0</v>
      </c>
      <c r="M4798" s="3">
        <v>0</v>
      </c>
      <c r="N4798">
        <v>0</v>
      </c>
      <c r="O4798">
        <v>0</v>
      </c>
      <c r="P4798">
        <v>0</v>
      </c>
      <c r="Q4798">
        <v>0</v>
      </c>
      <c r="R4798" s="3">
        <v>0</v>
      </c>
      <c r="S4798" s="3">
        <v>1</v>
      </c>
      <c r="T4798">
        <v>27</v>
      </c>
      <c r="U4798">
        <v>0</v>
      </c>
      <c r="V4798" s="3">
        <v>0</v>
      </c>
      <c r="W4798" s="3">
        <v>1</v>
      </c>
      <c r="X4798">
        <v>0</v>
      </c>
      <c r="Y4798" t="s">
        <v>3646</v>
      </c>
    </row>
    <row r="4799" spans="1:25" hidden="1" x14ac:dyDescent="0.25">
      <c r="A4799" t="s">
        <v>41</v>
      </c>
      <c r="B4799" t="s">
        <v>112</v>
      </c>
      <c r="C4799" t="s">
        <v>42</v>
      </c>
      <c r="D4799" t="s">
        <v>27</v>
      </c>
      <c r="E4799" s="2">
        <v>46116</v>
      </c>
      <c r="F4799" s="2">
        <v>46116</v>
      </c>
      <c r="G4799" s="3">
        <v>122</v>
      </c>
      <c r="H4799" t="s">
        <v>28</v>
      </c>
      <c r="I4799">
        <v>0</v>
      </c>
      <c r="J4799">
        <v>0</v>
      </c>
      <c r="K4799">
        <v>0</v>
      </c>
      <c r="L4799" s="3">
        <v>0</v>
      </c>
      <c r="M4799" s="3">
        <v>0</v>
      </c>
      <c r="N4799">
        <v>0</v>
      </c>
      <c r="O4799">
        <v>0</v>
      </c>
      <c r="P4799">
        <v>0</v>
      </c>
      <c r="Q4799">
        <v>68</v>
      </c>
      <c r="R4799" s="3">
        <v>0</v>
      </c>
      <c r="S4799" s="3">
        <v>1</v>
      </c>
      <c r="T4799">
        <v>92</v>
      </c>
      <c r="U4799">
        <v>20</v>
      </c>
      <c r="V4799" s="3">
        <v>0</v>
      </c>
      <c r="W4799" s="3">
        <v>1</v>
      </c>
      <c r="X4799">
        <v>11</v>
      </c>
      <c r="Y4799" t="s">
        <v>3647</v>
      </c>
    </row>
    <row r="4800" spans="1:25" hidden="1" x14ac:dyDescent="0.25">
      <c r="A4800" t="s">
        <v>27</v>
      </c>
      <c r="B4800" t="s">
        <v>114</v>
      </c>
      <c r="C4800" t="s">
        <v>43</v>
      </c>
      <c r="D4800" t="s">
        <v>27</v>
      </c>
      <c r="E4800" s="2">
        <v>46115</v>
      </c>
      <c r="F4800" s="2">
        <v>46115</v>
      </c>
      <c r="G4800" s="3">
        <v>41</v>
      </c>
      <c r="H4800" t="s">
        <v>28</v>
      </c>
      <c r="I4800">
        <v>0</v>
      </c>
      <c r="J4800">
        <v>0</v>
      </c>
      <c r="K4800">
        <v>0</v>
      </c>
      <c r="L4800" s="3">
        <v>1</v>
      </c>
      <c r="M4800" s="3">
        <v>0</v>
      </c>
      <c r="N4800">
        <v>0</v>
      </c>
      <c r="O4800">
        <v>0</v>
      </c>
      <c r="P4800">
        <v>0</v>
      </c>
      <c r="Q4800">
        <v>35</v>
      </c>
      <c r="R4800" s="3">
        <v>0</v>
      </c>
      <c r="S4800" s="3">
        <v>1</v>
      </c>
      <c r="T4800">
        <v>35</v>
      </c>
      <c r="U4800">
        <v>0</v>
      </c>
      <c r="V4800" s="3">
        <v>0</v>
      </c>
      <c r="W4800" s="3">
        <v>0</v>
      </c>
      <c r="X4800">
        <v>0</v>
      </c>
      <c r="Y4800" t="s">
        <v>3645</v>
      </c>
    </row>
    <row r="4801" spans="1:25" hidden="1" x14ac:dyDescent="0.25">
      <c r="A4801" t="s">
        <v>43</v>
      </c>
      <c r="B4801" t="s">
        <v>114</v>
      </c>
      <c r="C4801" t="s">
        <v>27</v>
      </c>
      <c r="D4801" t="s">
        <v>27</v>
      </c>
      <c r="E4801" s="2">
        <v>46116</v>
      </c>
      <c r="F4801" s="2">
        <v>46116</v>
      </c>
      <c r="G4801" s="3">
        <v>33</v>
      </c>
      <c r="H4801" t="s">
        <v>28</v>
      </c>
      <c r="I4801">
        <v>0</v>
      </c>
      <c r="J4801">
        <v>0</v>
      </c>
      <c r="K4801">
        <v>0</v>
      </c>
      <c r="L4801" s="3">
        <v>0</v>
      </c>
      <c r="M4801" s="3">
        <v>0</v>
      </c>
      <c r="N4801">
        <v>0</v>
      </c>
      <c r="O4801">
        <v>0</v>
      </c>
      <c r="P4801">
        <v>0</v>
      </c>
      <c r="Q4801">
        <v>35</v>
      </c>
      <c r="R4801" s="3">
        <v>0</v>
      </c>
      <c r="S4801" s="3">
        <v>1</v>
      </c>
      <c r="T4801">
        <v>35</v>
      </c>
      <c r="U4801">
        <v>0</v>
      </c>
      <c r="V4801" s="3">
        <v>0</v>
      </c>
      <c r="W4801" s="3">
        <v>0</v>
      </c>
      <c r="X4801">
        <v>0</v>
      </c>
      <c r="Y4801" t="s">
        <v>3648</v>
      </c>
    </row>
    <row r="4802" spans="1:25" hidden="1" x14ac:dyDescent="0.25">
      <c r="A4802" t="s">
        <v>51</v>
      </c>
      <c r="B4802" t="s">
        <v>120</v>
      </c>
      <c r="C4802" t="s">
        <v>2534</v>
      </c>
      <c r="D4802" t="s">
        <v>27</v>
      </c>
      <c r="E4802" s="2">
        <v>46116</v>
      </c>
      <c r="F4802" s="2">
        <v>46116</v>
      </c>
      <c r="G4802" s="3">
        <v>98</v>
      </c>
      <c r="H4802" t="s">
        <v>28</v>
      </c>
      <c r="I4802">
        <v>0</v>
      </c>
      <c r="J4802">
        <v>0</v>
      </c>
      <c r="K4802">
        <v>0</v>
      </c>
      <c r="L4802" s="3">
        <v>1</v>
      </c>
      <c r="M4802" s="3">
        <v>0</v>
      </c>
      <c r="N4802">
        <v>0</v>
      </c>
      <c r="O4802">
        <v>0</v>
      </c>
      <c r="P4802">
        <v>0</v>
      </c>
      <c r="Q4802">
        <v>40</v>
      </c>
      <c r="R4802" s="3">
        <v>0</v>
      </c>
      <c r="S4802" s="3">
        <v>1</v>
      </c>
      <c r="T4802">
        <v>46</v>
      </c>
      <c r="U4802">
        <v>41</v>
      </c>
      <c r="V4802" s="3">
        <v>0</v>
      </c>
      <c r="W4802" s="3">
        <v>1</v>
      </c>
      <c r="X4802">
        <v>4</v>
      </c>
      <c r="Y4802" t="s">
        <v>3649</v>
      </c>
    </row>
    <row r="4803" spans="1:25" hidden="1" x14ac:dyDescent="0.25">
      <c r="A4803" t="s">
        <v>48</v>
      </c>
      <c r="B4803" t="s">
        <v>114</v>
      </c>
      <c r="C4803" t="s">
        <v>2835</v>
      </c>
      <c r="D4803" t="s">
        <v>27</v>
      </c>
      <c r="E4803" s="2">
        <v>46117</v>
      </c>
      <c r="F4803" s="2">
        <v>46117</v>
      </c>
      <c r="G4803" s="3">
        <v>33</v>
      </c>
      <c r="H4803" t="s">
        <v>28</v>
      </c>
      <c r="I4803">
        <v>0</v>
      </c>
      <c r="J4803">
        <v>0</v>
      </c>
      <c r="K4803">
        <v>0</v>
      </c>
      <c r="L4803" s="3">
        <v>0</v>
      </c>
      <c r="M4803" s="3">
        <v>0</v>
      </c>
      <c r="N4803">
        <v>0</v>
      </c>
      <c r="O4803">
        <v>0</v>
      </c>
      <c r="P4803">
        <v>0</v>
      </c>
      <c r="Q4803">
        <v>35</v>
      </c>
      <c r="R4803" s="3">
        <v>0</v>
      </c>
      <c r="S4803" s="3">
        <v>1</v>
      </c>
      <c r="T4803">
        <v>18</v>
      </c>
      <c r="U4803">
        <v>82</v>
      </c>
      <c r="V4803" s="3">
        <v>0</v>
      </c>
      <c r="W4803" s="3">
        <v>1</v>
      </c>
      <c r="X4803">
        <v>0</v>
      </c>
      <c r="Y4803" t="s">
        <v>3648</v>
      </c>
    </row>
    <row r="4804" spans="1:25" hidden="1" x14ac:dyDescent="0.25">
      <c r="A4804" t="s">
        <v>51</v>
      </c>
      <c r="B4804" t="s">
        <v>120</v>
      </c>
      <c r="C4804" t="s">
        <v>2534</v>
      </c>
      <c r="D4804" t="s">
        <v>27</v>
      </c>
      <c r="E4804" s="2">
        <v>46117</v>
      </c>
      <c r="F4804" s="2">
        <v>46117</v>
      </c>
      <c r="G4804" s="3">
        <v>98</v>
      </c>
      <c r="H4804" t="s">
        <v>28</v>
      </c>
      <c r="I4804">
        <v>0</v>
      </c>
      <c r="J4804">
        <v>0</v>
      </c>
      <c r="K4804">
        <v>0</v>
      </c>
      <c r="L4804" s="3">
        <v>0</v>
      </c>
      <c r="M4804" s="3">
        <v>0</v>
      </c>
      <c r="N4804">
        <v>0</v>
      </c>
      <c r="O4804">
        <v>0</v>
      </c>
      <c r="P4804">
        <v>0</v>
      </c>
      <c r="Q4804">
        <v>40</v>
      </c>
      <c r="R4804" s="3">
        <v>0</v>
      </c>
      <c r="S4804" s="3">
        <v>1</v>
      </c>
      <c r="T4804">
        <v>0</v>
      </c>
      <c r="U4804">
        <v>41</v>
      </c>
      <c r="V4804" s="3">
        <v>0</v>
      </c>
      <c r="W4804" s="3">
        <v>1</v>
      </c>
      <c r="X4804">
        <v>0</v>
      </c>
      <c r="Y4804" t="s">
        <v>3649</v>
      </c>
    </row>
    <row r="4805" spans="1:25" hidden="1" x14ac:dyDescent="0.25">
      <c r="A4805" t="s">
        <v>25</v>
      </c>
      <c r="B4805" t="s">
        <v>96</v>
      </c>
      <c r="C4805" t="s">
        <v>26</v>
      </c>
      <c r="D4805" t="s">
        <v>27</v>
      </c>
      <c r="E4805" s="2">
        <v>46118</v>
      </c>
      <c r="F4805" s="2">
        <v>46118</v>
      </c>
      <c r="G4805" s="3">
        <v>51</v>
      </c>
      <c r="H4805" t="s">
        <v>28</v>
      </c>
      <c r="I4805">
        <v>35</v>
      </c>
      <c r="J4805">
        <v>0</v>
      </c>
      <c r="K4805">
        <v>0</v>
      </c>
      <c r="L4805" s="3">
        <v>0</v>
      </c>
      <c r="M4805" s="3">
        <v>0</v>
      </c>
      <c r="N4805">
        <v>1</v>
      </c>
      <c r="O4805">
        <v>0</v>
      </c>
      <c r="P4805">
        <v>0</v>
      </c>
      <c r="Q4805">
        <v>0</v>
      </c>
      <c r="R4805" s="3">
        <v>0</v>
      </c>
      <c r="S4805" s="3">
        <v>0</v>
      </c>
      <c r="T4805">
        <v>0</v>
      </c>
      <c r="U4805">
        <v>0</v>
      </c>
      <c r="V4805" s="3">
        <v>0</v>
      </c>
      <c r="W4805" s="3">
        <v>0</v>
      </c>
      <c r="X4805">
        <v>0</v>
      </c>
      <c r="Y4805" t="s">
        <v>3650</v>
      </c>
    </row>
    <row r="4806" spans="1:25" hidden="1" x14ac:dyDescent="0.25">
      <c r="A4806" t="s">
        <v>29</v>
      </c>
      <c r="B4806" t="s">
        <v>100</v>
      </c>
      <c r="C4806" t="s">
        <v>95</v>
      </c>
      <c r="D4806" t="s">
        <v>27</v>
      </c>
      <c r="E4806" s="2">
        <v>46118</v>
      </c>
      <c r="F4806" s="2">
        <v>46118</v>
      </c>
      <c r="G4806" s="3">
        <v>306</v>
      </c>
      <c r="H4806" t="s">
        <v>28</v>
      </c>
      <c r="I4806">
        <v>56</v>
      </c>
      <c r="J4806">
        <v>25</v>
      </c>
      <c r="K4806">
        <v>0</v>
      </c>
      <c r="L4806" s="3">
        <v>1</v>
      </c>
      <c r="M4806" s="3">
        <v>0</v>
      </c>
      <c r="N4806">
        <v>0</v>
      </c>
      <c r="O4806">
        <v>0</v>
      </c>
      <c r="P4806">
        <v>17</v>
      </c>
      <c r="Q4806">
        <v>15</v>
      </c>
      <c r="R4806" s="3">
        <v>0</v>
      </c>
      <c r="S4806" s="3">
        <v>0</v>
      </c>
      <c r="T4806">
        <v>0</v>
      </c>
      <c r="U4806">
        <v>0</v>
      </c>
      <c r="V4806" s="3">
        <v>0</v>
      </c>
      <c r="W4806" s="3">
        <v>0</v>
      </c>
      <c r="X4806">
        <v>1</v>
      </c>
      <c r="Y4806" t="s">
        <v>3651</v>
      </c>
    </row>
    <row r="4807" spans="1:25" hidden="1" x14ac:dyDescent="0.25">
      <c r="A4807" t="s">
        <v>344</v>
      </c>
      <c r="B4807" t="s">
        <v>100</v>
      </c>
      <c r="C4807" t="s">
        <v>35</v>
      </c>
      <c r="D4807" t="s">
        <v>27</v>
      </c>
      <c r="E4807" s="2">
        <v>46118</v>
      </c>
      <c r="F4807" s="2">
        <v>46118</v>
      </c>
      <c r="G4807" s="3">
        <v>306</v>
      </c>
      <c r="H4807" t="s">
        <v>28</v>
      </c>
      <c r="I4807">
        <v>56</v>
      </c>
      <c r="J4807">
        <v>25</v>
      </c>
      <c r="K4807">
        <v>0</v>
      </c>
      <c r="L4807" s="3">
        <v>1</v>
      </c>
      <c r="M4807" s="3">
        <v>0</v>
      </c>
      <c r="N4807">
        <v>0</v>
      </c>
      <c r="O4807">
        <v>0</v>
      </c>
      <c r="P4807">
        <v>17</v>
      </c>
      <c r="Q4807">
        <v>15</v>
      </c>
      <c r="R4807" s="3">
        <v>0</v>
      </c>
      <c r="S4807" s="3">
        <v>0</v>
      </c>
      <c r="T4807">
        <v>0</v>
      </c>
      <c r="U4807">
        <v>0</v>
      </c>
      <c r="V4807" s="3">
        <v>0</v>
      </c>
      <c r="W4807" s="3">
        <v>0</v>
      </c>
      <c r="X4807">
        <v>1</v>
      </c>
      <c r="Y4807" t="s">
        <v>3651</v>
      </c>
    </row>
    <row r="4808" spans="1:25" hidden="1" x14ac:dyDescent="0.25">
      <c r="A4808" t="s">
        <v>31</v>
      </c>
      <c r="B4808" t="s">
        <v>104</v>
      </c>
      <c r="C4808" t="s">
        <v>32</v>
      </c>
      <c r="D4808" t="s">
        <v>27</v>
      </c>
      <c r="E4808" s="2">
        <v>46118</v>
      </c>
      <c r="F4808" s="2">
        <v>46118</v>
      </c>
      <c r="G4808" s="3">
        <v>160</v>
      </c>
      <c r="H4808" t="s">
        <v>28</v>
      </c>
      <c r="I4808">
        <v>96</v>
      </c>
      <c r="J4808">
        <v>12</v>
      </c>
      <c r="K4808">
        <v>0</v>
      </c>
      <c r="L4808" s="3">
        <v>1</v>
      </c>
      <c r="M4808" s="3">
        <v>0</v>
      </c>
      <c r="N4808">
        <v>0</v>
      </c>
      <c r="O4808">
        <v>0</v>
      </c>
      <c r="P4808">
        <v>0</v>
      </c>
      <c r="Q4808">
        <v>30</v>
      </c>
      <c r="R4808" s="3">
        <v>0</v>
      </c>
      <c r="S4808" s="3">
        <v>0</v>
      </c>
      <c r="T4808">
        <v>0</v>
      </c>
      <c r="U4808">
        <v>0</v>
      </c>
      <c r="V4808" s="3">
        <v>0</v>
      </c>
      <c r="W4808" s="3">
        <v>0</v>
      </c>
      <c r="X4808">
        <v>4</v>
      </c>
      <c r="Y4808" t="s">
        <v>3652</v>
      </c>
    </row>
    <row r="4809" spans="1:25" hidden="1" x14ac:dyDescent="0.25">
      <c r="A4809" t="s">
        <v>33</v>
      </c>
      <c r="B4809" t="s">
        <v>106</v>
      </c>
      <c r="C4809" t="s">
        <v>57</v>
      </c>
      <c r="D4809" t="s">
        <v>27</v>
      </c>
      <c r="E4809" s="2">
        <v>46118</v>
      </c>
      <c r="F4809" s="2">
        <v>46118</v>
      </c>
      <c r="G4809" s="3">
        <v>31</v>
      </c>
      <c r="H4809" t="s">
        <v>28</v>
      </c>
      <c r="I4809">
        <v>60</v>
      </c>
      <c r="J4809">
        <v>0</v>
      </c>
      <c r="K4809">
        <v>0</v>
      </c>
      <c r="L4809" s="3">
        <v>0</v>
      </c>
      <c r="M4809" s="3">
        <v>0</v>
      </c>
      <c r="N4809">
        <v>0</v>
      </c>
      <c r="O4809">
        <v>0</v>
      </c>
      <c r="P4809">
        <v>0</v>
      </c>
      <c r="Q4809">
        <v>21</v>
      </c>
      <c r="R4809" s="3">
        <v>0</v>
      </c>
      <c r="S4809" s="3">
        <v>0</v>
      </c>
      <c r="T4809">
        <v>0</v>
      </c>
      <c r="U4809">
        <v>0</v>
      </c>
      <c r="V4809" s="3">
        <v>0</v>
      </c>
      <c r="W4809" s="3">
        <v>0</v>
      </c>
      <c r="X4809">
        <v>0</v>
      </c>
      <c r="Y4809" t="s">
        <v>3653</v>
      </c>
    </row>
    <row r="4810" spans="1:25" hidden="1" x14ac:dyDescent="0.25">
      <c r="A4810" t="s">
        <v>36</v>
      </c>
      <c r="B4810" t="s">
        <v>249</v>
      </c>
      <c r="C4810" t="s">
        <v>2514</v>
      </c>
      <c r="D4810" t="s">
        <v>27</v>
      </c>
      <c r="E4810" s="2">
        <v>46118</v>
      </c>
      <c r="F4810" s="2">
        <v>46118</v>
      </c>
      <c r="G4810" s="3">
        <v>148</v>
      </c>
      <c r="H4810" t="s">
        <v>28</v>
      </c>
      <c r="I4810">
        <v>56</v>
      </c>
      <c r="J4810">
        <v>0</v>
      </c>
      <c r="K4810">
        <v>0</v>
      </c>
      <c r="L4810" s="3">
        <v>1</v>
      </c>
      <c r="M4810" s="3">
        <v>0</v>
      </c>
      <c r="N4810">
        <v>0</v>
      </c>
      <c r="O4810">
        <v>0</v>
      </c>
      <c r="P4810">
        <v>0</v>
      </c>
      <c r="Q4810">
        <v>25</v>
      </c>
      <c r="R4810" s="3">
        <v>0</v>
      </c>
      <c r="S4810" s="3">
        <v>0</v>
      </c>
      <c r="T4810">
        <v>0</v>
      </c>
      <c r="U4810">
        <v>0</v>
      </c>
      <c r="V4810" s="3">
        <v>0</v>
      </c>
      <c r="W4810" s="3">
        <v>0</v>
      </c>
      <c r="X4810">
        <v>1</v>
      </c>
      <c r="Y4810" t="s">
        <v>3654</v>
      </c>
    </row>
    <row r="4811" spans="1:25" hidden="1" x14ac:dyDescent="0.25">
      <c r="A4811" t="s">
        <v>45</v>
      </c>
      <c r="B4811" t="s">
        <v>249</v>
      </c>
      <c r="C4811" t="s">
        <v>46</v>
      </c>
      <c r="D4811" t="s">
        <v>27</v>
      </c>
      <c r="E4811" s="2">
        <v>46118</v>
      </c>
      <c r="F4811" s="2">
        <v>46118</v>
      </c>
      <c r="G4811" s="3">
        <v>68</v>
      </c>
      <c r="H4811" t="s">
        <v>28</v>
      </c>
      <c r="I4811">
        <v>60</v>
      </c>
      <c r="J4811">
        <v>0</v>
      </c>
      <c r="K4811">
        <v>0</v>
      </c>
      <c r="L4811" s="3">
        <v>1</v>
      </c>
      <c r="M4811" s="3">
        <v>0</v>
      </c>
      <c r="N4811">
        <v>0</v>
      </c>
      <c r="O4811">
        <v>0</v>
      </c>
      <c r="P4811">
        <v>0</v>
      </c>
      <c r="Q4811">
        <v>8</v>
      </c>
      <c r="R4811" s="3">
        <v>0</v>
      </c>
      <c r="S4811" s="3">
        <v>0</v>
      </c>
      <c r="T4811">
        <v>0</v>
      </c>
      <c r="U4811">
        <v>0</v>
      </c>
      <c r="V4811" s="3">
        <v>0</v>
      </c>
      <c r="W4811" s="3">
        <v>0</v>
      </c>
      <c r="X4811">
        <v>0</v>
      </c>
      <c r="Y4811" t="s">
        <v>3655</v>
      </c>
    </row>
    <row r="4812" spans="1:25" hidden="1" x14ac:dyDescent="0.25">
      <c r="A4812" t="s">
        <v>38</v>
      </c>
      <c r="B4812" t="s">
        <v>108</v>
      </c>
      <c r="C4812" t="s">
        <v>27</v>
      </c>
      <c r="D4812" t="s">
        <v>27</v>
      </c>
      <c r="E4812" s="2">
        <v>46118</v>
      </c>
      <c r="F4812" s="2">
        <v>46118</v>
      </c>
      <c r="G4812" s="3">
        <v>27</v>
      </c>
      <c r="H4812" t="s">
        <v>28</v>
      </c>
      <c r="I4812">
        <v>49</v>
      </c>
      <c r="J4812">
        <v>0</v>
      </c>
      <c r="K4812">
        <v>0</v>
      </c>
      <c r="L4812" s="3">
        <v>1</v>
      </c>
      <c r="M4812" s="3">
        <v>0</v>
      </c>
      <c r="N4812">
        <v>0</v>
      </c>
      <c r="O4812">
        <v>0</v>
      </c>
      <c r="P4812">
        <v>0</v>
      </c>
      <c r="Q4812">
        <v>49</v>
      </c>
      <c r="R4812" s="3">
        <v>0</v>
      </c>
      <c r="S4812" s="3">
        <v>0</v>
      </c>
      <c r="T4812">
        <v>0</v>
      </c>
      <c r="U4812">
        <v>0</v>
      </c>
      <c r="V4812" s="3">
        <v>0</v>
      </c>
      <c r="W4812" s="3">
        <v>0</v>
      </c>
      <c r="X4812">
        <v>0</v>
      </c>
      <c r="Y4812" t="s">
        <v>3656</v>
      </c>
    </row>
    <row r="4813" spans="1:25" hidden="1" x14ac:dyDescent="0.25">
      <c r="A4813" t="s">
        <v>2679</v>
      </c>
      <c r="B4813" t="s">
        <v>2680</v>
      </c>
      <c r="C4813" t="s">
        <v>39</v>
      </c>
      <c r="D4813" t="s">
        <v>27</v>
      </c>
      <c r="E4813" s="2">
        <v>46118</v>
      </c>
      <c r="F4813" s="2">
        <v>46118</v>
      </c>
      <c r="G4813" s="3">
        <v>40</v>
      </c>
      <c r="H4813" t="s">
        <v>28</v>
      </c>
      <c r="I4813">
        <v>38</v>
      </c>
      <c r="J4813">
        <v>0</v>
      </c>
      <c r="K4813">
        <v>0</v>
      </c>
      <c r="L4813" s="3">
        <v>0</v>
      </c>
      <c r="M4813" s="3">
        <v>0</v>
      </c>
      <c r="N4813">
        <v>0</v>
      </c>
      <c r="O4813">
        <v>0</v>
      </c>
      <c r="P4813">
        <v>0</v>
      </c>
      <c r="Q4813">
        <v>38</v>
      </c>
      <c r="R4813" s="3">
        <v>0</v>
      </c>
      <c r="S4813" s="3">
        <v>0</v>
      </c>
      <c r="T4813">
        <v>0</v>
      </c>
      <c r="U4813">
        <v>0</v>
      </c>
      <c r="V4813" s="3">
        <v>0</v>
      </c>
      <c r="W4813" s="3">
        <v>0</v>
      </c>
      <c r="X4813">
        <v>0</v>
      </c>
      <c r="Y4813" t="s">
        <v>3657</v>
      </c>
    </row>
    <row r="4814" spans="1:25" hidden="1" x14ac:dyDescent="0.25">
      <c r="A4814" t="s">
        <v>40</v>
      </c>
      <c r="B4814" t="s">
        <v>110</v>
      </c>
      <c r="C4814" t="s">
        <v>2534</v>
      </c>
      <c r="D4814" t="s">
        <v>27</v>
      </c>
      <c r="E4814" s="2">
        <v>46118</v>
      </c>
      <c r="F4814" s="2">
        <v>46118</v>
      </c>
      <c r="G4814" s="3">
        <v>53</v>
      </c>
      <c r="H4814" t="s">
        <v>28</v>
      </c>
      <c r="I4814">
        <v>65</v>
      </c>
      <c r="J4814">
        <v>0</v>
      </c>
      <c r="K4814">
        <v>0</v>
      </c>
      <c r="L4814" s="3">
        <v>1</v>
      </c>
      <c r="M4814" s="3">
        <v>0</v>
      </c>
      <c r="N4814">
        <v>1</v>
      </c>
      <c r="O4814">
        <v>0</v>
      </c>
      <c r="P4814">
        <v>0</v>
      </c>
      <c r="Q4814">
        <v>42</v>
      </c>
      <c r="R4814" s="3">
        <v>0</v>
      </c>
      <c r="S4814" s="3">
        <v>0</v>
      </c>
      <c r="T4814">
        <v>0</v>
      </c>
      <c r="U4814">
        <v>0</v>
      </c>
      <c r="V4814" s="3">
        <v>0</v>
      </c>
      <c r="W4814" s="3">
        <v>0</v>
      </c>
      <c r="X4814">
        <v>0</v>
      </c>
      <c r="Y4814" t="s">
        <v>3658</v>
      </c>
    </row>
    <row r="4815" spans="1:25" hidden="1" x14ac:dyDescent="0.25">
      <c r="A4815" t="s">
        <v>41</v>
      </c>
      <c r="B4815" t="s">
        <v>112</v>
      </c>
      <c r="C4815" t="s">
        <v>42</v>
      </c>
      <c r="D4815" t="s">
        <v>27</v>
      </c>
      <c r="E4815" s="2">
        <v>46118</v>
      </c>
      <c r="F4815" s="2">
        <v>46118</v>
      </c>
      <c r="G4815" s="3">
        <v>55</v>
      </c>
      <c r="H4815" t="s">
        <v>28</v>
      </c>
      <c r="I4815">
        <v>52</v>
      </c>
      <c r="J4815">
        <v>0</v>
      </c>
      <c r="K4815">
        <v>0</v>
      </c>
      <c r="L4815" s="3">
        <v>1</v>
      </c>
      <c r="M4815" s="3">
        <v>1</v>
      </c>
      <c r="N4815">
        <v>0</v>
      </c>
      <c r="O4815">
        <v>0</v>
      </c>
      <c r="P4815">
        <v>0</v>
      </c>
      <c r="Q4815">
        <v>4</v>
      </c>
      <c r="R4815" s="3">
        <v>0</v>
      </c>
      <c r="S4815" s="3">
        <v>0</v>
      </c>
      <c r="T4815">
        <v>0</v>
      </c>
      <c r="U4815">
        <v>0</v>
      </c>
      <c r="V4815" s="3">
        <v>0</v>
      </c>
      <c r="W4815" s="3">
        <v>0</v>
      </c>
      <c r="X4815">
        <v>2</v>
      </c>
      <c r="Y4815" t="s">
        <v>3659</v>
      </c>
    </row>
    <row r="4816" spans="1:25" hidden="1" x14ac:dyDescent="0.25">
      <c r="A4816" t="s">
        <v>27</v>
      </c>
      <c r="B4816" t="s">
        <v>114</v>
      </c>
      <c r="C4816" t="s">
        <v>43</v>
      </c>
      <c r="D4816" t="s">
        <v>27</v>
      </c>
      <c r="E4816" s="2">
        <v>46116</v>
      </c>
      <c r="F4816" s="2">
        <v>46116</v>
      </c>
      <c r="G4816" s="3">
        <v>33</v>
      </c>
      <c r="H4816" t="s">
        <v>28</v>
      </c>
      <c r="I4816">
        <v>0</v>
      </c>
      <c r="J4816">
        <v>0</v>
      </c>
      <c r="K4816">
        <v>0</v>
      </c>
      <c r="L4816" s="3">
        <v>0</v>
      </c>
      <c r="M4816" s="3">
        <v>0</v>
      </c>
      <c r="N4816">
        <v>0</v>
      </c>
      <c r="O4816">
        <v>0</v>
      </c>
      <c r="P4816">
        <v>0</v>
      </c>
      <c r="Q4816">
        <v>35</v>
      </c>
      <c r="R4816" s="3">
        <v>0</v>
      </c>
      <c r="S4816" s="3">
        <v>1</v>
      </c>
      <c r="T4816">
        <v>35</v>
      </c>
      <c r="U4816">
        <v>0</v>
      </c>
      <c r="V4816" s="3">
        <v>0</v>
      </c>
      <c r="W4816" s="3">
        <v>0</v>
      </c>
      <c r="X4816">
        <v>0</v>
      </c>
      <c r="Y4816" t="s">
        <v>3648</v>
      </c>
    </row>
    <row r="4817" spans="1:25" hidden="1" x14ac:dyDescent="0.25">
      <c r="A4817" t="s">
        <v>43</v>
      </c>
      <c r="B4817" t="s">
        <v>114</v>
      </c>
      <c r="C4817" t="s">
        <v>27</v>
      </c>
      <c r="D4817" t="s">
        <v>27</v>
      </c>
      <c r="E4817" s="2">
        <v>46146</v>
      </c>
      <c r="F4817" s="2">
        <v>46146</v>
      </c>
      <c r="G4817" s="3">
        <v>33</v>
      </c>
      <c r="H4817" t="s">
        <v>28</v>
      </c>
      <c r="I4817">
        <v>0</v>
      </c>
      <c r="J4817">
        <v>0</v>
      </c>
      <c r="K4817">
        <v>0</v>
      </c>
      <c r="L4817" s="3">
        <v>0</v>
      </c>
      <c r="M4817" s="3">
        <v>0</v>
      </c>
      <c r="N4817">
        <v>0</v>
      </c>
      <c r="O4817">
        <v>0</v>
      </c>
      <c r="P4817">
        <v>0</v>
      </c>
      <c r="Q4817">
        <v>35</v>
      </c>
      <c r="R4817" s="3">
        <v>1</v>
      </c>
      <c r="S4817" s="3">
        <v>0</v>
      </c>
      <c r="T4817">
        <v>35</v>
      </c>
      <c r="U4817">
        <v>0</v>
      </c>
      <c r="V4817" s="3">
        <v>0</v>
      </c>
      <c r="W4817" s="3">
        <v>0</v>
      </c>
      <c r="X4817">
        <v>0</v>
      </c>
      <c r="Y4817" t="s">
        <v>3648</v>
      </c>
    </row>
    <row r="4818" spans="1:25" hidden="1" x14ac:dyDescent="0.25">
      <c r="A4818" t="s">
        <v>27</v>
      </c>
      <c r="B4818" t="s">
        <v>114</v>
      </c>
      <c r="C4818" t="s">
        <v>43</v>
      </c>
      <c r="D4818" t="s">
        <v>27</v>
      </c>
      <c r="E4818" s="2">
        <v>46117</v>
      </c>
      <c r="F4818" s="2">
        <v>46117</v>
      </c>
      <c r="G4818" s="3">
        <v>41</v>
      </c>
      <c r="H4818" t="s">
        <v>28</v>
      </c>
      <c r="I4818">
        <v>0</v>
      </c>
      <c r="J4818">
        <v>0</v>
      </c>
      <c r="K4818">
        <v>0</v>
      </c>
      <c r="L4818" s="3">
        <v>1</v>
      </c>
      <c r="M4818" s="3">
        <v>0</v>
      </c>
      <c r="N4818">
        <v>0</v>
      </c>
      <c r="O4818">
        <v>0</v>
      </c>
      <c r="P4818">
        <v>0</v>
      </c>
      <c r="Q4818">
        <v>35</v>
      </c>
      <c r="R4818" s="3">
        <v>0</v>
      </c>
      <c r="S4818" s="3">
        <v>1</v>
      </c>
      <c r="T4818">
        <v>35</v>
      </c>
      <c r="U4818">
        <v>0</v>
      </c>
      <c r="V4818" s="3">
        <v>0</v>
      </c>
      <c r="W4818" s="3">
        <v>0</v>
      </c>
      <c r="X4818">
        <v>0</v>
      </c>
      <c r="Y4818" t="s">
        <v>3645</v>
      </c>
    </row>
    <row r="4819" spans="1:25" hidden="1" x14ac:dyDescent="0.25">
      <c r="A4819" t="s">
        <v>43</v>
      </c>
      <c r="B4819" t="s">
        <v>114</v>
      </c>
      <c r="C4819" t="s">
        <v>44</v>
      </c>
      <c r="D4819" t="s">
        <v>27</v>
      </c>
      <c r="E4819" s="2">
        <v>46118</v>
      </c>
      <c r="F4819" s="2">
        <v>46118</v>
      </c>
      <c r="G4819" s="3">
        <v>157</v>
      </c>
      <c r="H4819" t="s">
        <v>28</v>
      </c>
      <c r="I4819">
        <v>65</v>
      </c>
      <c r="J4819">
        <v>0</v>
      </c>
      <c r="K4819">
        <v>0</v>
      </c>
      <c r="L4819" s="3">
        <v>1</v>
      </c>
      <c r="M4819" s="3">
        <v>1</v>
      </c>
      <c r="N4819">
        <v>0</v>
      </c>
      <c r="O4819">
        <v>0</v>
      </c>
      <c r="P4819">
        <v>0</v>
      </c>
      <c r="Q4819">
        <v>35</v>
      </c>
      <c r="R4819" s="3">
        <v>0</v>
      </c>
      <c r="S4819" s="3">
        <v>0</v>
      </c>
      <c r="T4819">
        <v>0</v>
      </c>
      <c r="U4819">
        <v>0</v>
      </c>
      <c r="V4819" s="3">
        <v>0</v>
      </c>
      <c r="W4819" s="3">
        <v>0</v>
      </c>
      <c r="X4819">
        <v>2</v>
      </c>
      <c r="Y4819" t="s">
        <v>3660</v>
      </c>
    </row>
    <row r="4820" spans="1:25" hidden="1" x14ac:dyDescent="0.25">
      <c r="A4820" t="s">
        <v>2899</v>
      </c>
      <c r="B4820" t="s">
        <v>137</v>
      </c>
      <c r="C4820" t="s">
        <v>2310</v>
      </c>
      <c r="D4820" t="s">
        <v>27</v>
      </c>
      <c r="E4820" s="2">
        <v>46118</v>
      </c>
      <c r="F4820" s="2">
        <v>46118</v>
      </c>
      <c r="G4820" s="3">
        <v>114</v>
      </c>
      <c r="H4820" t="s">
        <v>28</v>
      </c>
      <c r="I4820">
        <v>42</v>
      </c>
      <c r="J4820">
        <v>0</v>
      </c>
      <c r="K4820">
        <v>0</v>
      </c>
      <c r="L4820" s="3">
        <v>1</v>
      </c>
      <c r="M4820" s="3">
        <v>0</v>
      </c>
      <c r="N4820">
        <v>0</v>
      </c>
      <c r="O4820">
        <v>0</v>
      </c>
      <c r="P4820">
        <v>0</v>
      </c>
      <c r="Q4820">
        <v>2</v>
      </c>
      <c r="R4820" s="3">
        <v>0</v>
      </c>
      <c r="S4820" s="3">
        <v>0</v>
      </c>
      <c r="T4820">
        <v>0</v>
      </c>
      <c r="U4820">
        <v>0</v>
      </c>
      <c r="V4820" s="3">
        <v>0</v>
      </c>
      <c r="W4820" s="3">
        <v>0</v>
      </c>
      <c r="X4820">
        <v>0</v>
      </c>
      <c r="Y4820" t="s">
        <v>3661</v>
      </c>
    </row>
    <row r="4821" spans="1:25" hidden="1" x14ac:dyDescent="0.25">
      <c r="A4821" t="s">
        <v>49</v>
      </c>
      <c r="B4821" t="s">
        <v>118</v>
      </c>
      <c r="C4821" t="s">
        <v>50</v>
      </c>
      <c r="D4821" t="s">
        <v>27</v>
      </c>
      <c r="E4821" s="2">
        <v>46118</v>
      </c>
      <c r="F4821" s="2">
        <v>46118</v>
      </c>
      <c r="G4821" s="3">
        <v>29</v>
      </c>
      <c r="H4821" t="s">
        <v>28</v>
      </c>
      <c r="I4821">
        <v>27</v>
      </c>
      <c r="J4821">
        <v>0</v>
      </c>
      <c r="K4821">
        <v>0</v>
      </c>
      <c r="L4821" s="3">
        <v>1</v>
      </c>
      <c r="M4821" s="3">
        <v>0</v>
      </c>
      <c r="N4821">
        <v>0</v>
      </c>
      <c r="O4821">
        <v>1</v>
      </c>
      <c r="P4821">
        <v>0</v>
      </c>
      <c r="Q4821">
        <v>27</v>
      </c>
      <c r="R4821" s="3">
        <v>0</v>
      </c>
      <c r="S4821" s="3">
        <v>0</v>
      </c>
      <c r="T4821">
        <v>0</v>
      </c>
      <c r="U4821">
        <v>0</v>
      </c>
      <c r="V4821" s="3">
        <v>0</v>
      </c>
      <c r="W4821" s="3">
        <v>0</v>
      </c>
      <c r="X4821">
        <v>0</v>
      </c>
      <c r="Y4821" t="s">
        <v>3662</v>
      </c>
    </row>
    <row r="4822" spans="1:25" hidden="1" x14ac:dyDescent="0.25">
      <c r="A4822" t="s">
        <v>51</v>
      </c>
      <c r="B4822" t="s">
        <v>120</v>
      </c>
      <c r="C4822" t="s">
        <v>55</v>
      </c>
      <c r="D4822" t="s">
        <v>27</v>
      </c>
      <c r="E4822" s="2">
        <v>46118</v>
      </c>
      <c r="F4822" s="2">
        <v>46118</v>
      </c>
      <c r="G4822" s="3">
        <v>50</v>
      </c>
      <c r="H4822" t="s">
        <v>28</v>
      </c>
      <c r="I4822">
        <v>37</v>
      </c>
      <c r="J4822">
        <v>0</v>
      </c>
      <c r="K4822">
        <v>0</v>
      </c>
      <c r="L4822" s="3">
        <v>1</v>
      </c>
      <c r="M4822" s="3">
        <v>0</v>
      </c>
      <c r="N4822">
        <v>1</v>
      </c>
      <c r="O4822">
        <v>0</v>
      </c>
      <c r="P4822">
        <v>0</v>
      </c>
      <c r="Q4822">
        <v>0</v>
      </c>
      <c r="R4822" s="3">
        <v>0</v>
      </c>
      <c r="S4822" s="3">
        <v>0</v>
      </c>
      <c r="T4822">
        <v>0</v>
      </c>
      <c r="U4822">
        <v>0</v>
      </c>
      <c r="V4822" s="3">
        <v>0</v>
      </c>
      <c r="W4822" s="3">
        <v>0</v>
      </c>
      <c r="X4822">
        <v>0</v>
      </c>
      <c r="Y4822" t="s">
        <v>3663</v>
      </c>
    </row>
    <row r="4823" spans="1:25" hidden="1" x14ac:dyDescent="0.25">
      <c r="A4823" t="s">
        <v>54</v>
      </c>
      <c r="B4823" t="s">
        <v>122</v>
      </c>
      <c r="C4823" t="s">
        <v>2271</v>
      </c>
      <c r="D4823" t="s">
        <v>27</v>
      </c>
      <c r="E4823" s="2">
        <v>46118</v>
      </c>
      <c r="F4823" s="2">
        <v>46118</v>
      </c>
      <c r="G4823" s="3">
        <v>31</v>
      </c>
      <c r="H4823" t="s">
        <v>28</v>
      </c>
      <c r="I4823">
        <v>57</v>
      </c>
      <c r="J4823">
        <v>0</v>
      </c>
      <c r="K4823">
        <v>0</v>
      </c>
      <c r="L4823" s="3">
        <v>0</v>
      </c>
      <c r="M4823" s="3">
        <v>0</v>
      </c>
      <c r="N4823">
        <v>0</v>
      </c>
      <c r="O4823">
        <v>0</v>
      </c>
      <c r="P4823">
        <v>0</v>
      </c>
      <c r="Q4823">
        <v>7</v>
      </c>
      <c r="R4823" s="3">
        <v>0</v>
      </c>
      <c r="S4823" s="3">
        <v>0</v>
      </c>
      <c r="T4823">
        <v>0</v>
      </c>
      <c r="U4823">
        <v>0</v>
      </c>
      <c r="V4823" s="3">
        <v>0</v>
      </c>
      <c r="W4823" s="3">
        <v>0</v>
      </c>
      <c r="X4823">
        <v>0</v>
      </c>
      <c r="Y4823" t="s">
        <v>3664</v>
      </c>
    </row>
    <row r="4824" spans="1:25" hidden="1" x14ac:dyDescent="0.25">
      <c r="A4824" t="s">
        <v>48</v>
      </c>
      <c r="B4824" t="s">
        <v>149</v>
      </c>
      <c r="C4824" t="s">
        <v>37</v>
      </c>
      <c r="D4824" t="s">
        <v>27</v>
      </c>
      <c r="E4824" s="2">
        <v>46118</v>
      </c>
      <c r="F4824" s="2">
        <v>46118</v>
      </c>
      <c r="G4824" s="3">
        <v>25</v>
      </c>
      <c r="H4824" t="s">
        <v>28</v>
      </c>
      <c r="I4824">
        <v>75</v>
      </c>
      <c r="J4824">
        <v>0</v>
      </c>
      <c r="K4824">
        <v>0</v>
      </c>
      <c r="L4824" s="3">
        <v>1</v>
      </c>
      <c r="M4824" s="3">
        <v>0</v>
      </c>
      <c r="N4824">
        <v>0</v>
      </c>
      <c r="O4824">
        <v>0</v>
      </c>
      <c r="P4824">
        <v>0</v>
      </c>
      <c r="Q4824">
        <v>0</v>
      </c>
      <c r="R4824" s="3">
        <v>0</v>
      </c>
      <c r="S4824" s="3">
        <v>0</v>
      </c>
      <c r="T4824">
        <v>0</v>
      </c>
      <c r="U4824">
        <v>0</v>
      </c>
      <c r="V4824" s="3">
        <v>0</v>
      </c>
      <c r="W4824" s="3">
        <v>0</v>
      </c>
      <c r="X4824">
        <v>0</v>
      </c>
      <c r="Y4824" t="s">
        <v>3665</v>
      </c>
    </row>
    <row r="4825" spans="1:25" hidden="1" x14ac:dyDescent="0.25">
      <c r="A4825" t="s">
        <v>47</v>
      </c>
      <c r="B4825" t="s">
        <v>739</v>
      </c>
      <c r="C4825" t="s">
        <v>27</v>
      </c>
      <c r="D4825" t="s">
        <v>27</v>
      </c>
      <c r="E4825" s="2">
        <v>46118</v>
      </c>
      <c r="F4825" s="2">
        <v>46118</v>
      </c>
      <c r="G4825" s="3">
        <v>26</v>
      </c>
      <c r="H4825" t="s">
        <v>763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3665</v>
      </c>
    </row>
    <row r="4826" spans="1:25" hidden="1" x14ac:dyDescent="0.25">
      <c r="A4826" t="s">
        <v>27</v>
      </c>
      <c r="B4826" t="s">
        <v>758</v>
      </c>
      <c r="C4826" t="s">
        <v>52</v>
      </c>
      <c r="D4826" t="s">
        <v>27</v>
      </c>
      <c r="E4826" s="2">
        <v>46118</v>
      </c>
      <c r="F4826" s="2">
        <v>46118</v>
      </c>
      <c r="G4826" s="3">
        <v>28</v>
      </c>
      <c r="H4826" t="s">
        <v>763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3665</v>
      </c>
    </row>
    <row r="4827" spans="1:25" hidden="1" x14ac:dyDescent="0.25">
      <c r="A4827" t="s">
        <v>25</v>
      </c>
      <c r="B4827" t="s">
        <v>96</v>
      </c>
      <c r="C4827" t="s">
        <v>26</v>
      </c>
      <c r="D4827" t="s">
        <v>27</v>
      </c>
      <c r="E4827" s="2">
        <v>46119</v>
      </c>
      <c r="F4827" s="2">
        <v>46119</v>
      </c>
      <c r="G4827" s="3">
        <v>36</v>
      </c>
      <c r="H4827" t="s">
        <v>28</v>
      </c>
      <c r="I4827">
        <v>42</v>
      </c>
      <c r="J4827">
        <v>0</v>
      </c>
      <c r="K4827">
        <v>0</v>
      </c>
      <c r="L4827" s="3">
        <v>0</v>
      </c>
      <c r="M4827" s="3">
        <v>1</v>
      </c>
      <c r="N4827">
        <v>1</v>
      </c>
      <c r="O4827">
        <v>0</v>
      </c>
      <c r="P4827">
        <v>0</v>
      </c>
      <c r="Q4827">
        <v>0</v>
      </c>
      <c r="R4827" s="3">
        <v>0</v>
      </c>
      <c r="S4827" s="3">
        <v>0</v>
      </c>
      <c r="T4827">
        <v>0</v>
      </c>
      <c r="U4827">
        <v>0</v>
      </c>
      <c r="V4827" s="3">
        <v>0</v>
      </c>
      <c r="W4827" s="3">
        <v>0</v>
      </c>
      <c r="X4827">
        <v>0</v>
      </c>
      <c r="Y4827" t="s">
        <v>3666</v>
      </c>
    </row>
    <row r="4828" spans="1:25" hidden="1" x14ac:dyDescent="0.25">
      <c r="A4828" t="s">
        <v>29</v>
      </c>
      <c r="B4828" t="s">
        <v>100</v>
      </c>
      <c r="C4828" t="s">
        <v>95</v>
      </c>
      <c r="D4828" t="s">
        <v>27</v>
      </c>
      <c r="E4828" s="2">
        <v>46119</v>
      </c>
      <c r="F4828" s="2">
        <v>46119</v>
      </c>
      <c r="G4828" s="3">
        <v>306</v>
      </c>
      <c r="H4828" t="s">
        <v>28</v>
      </c>
      <c r="I4828">
        <v>12</v>
      </c>
      <c r="J4828">
        <v>0</v>
      </c>
      <c r="K4828">
        <v>0</v>
      </c>
      <c r="L4828" s="3">
        <v>1</v>
      </c>
      <c r="M4828" s="3">
        <v>0</v>
      </c>
      <c r="N4828">
        <v>0</v>
      </c>
      <c r="O4828">
        <v>0</v>
      </c>
      <c r="P4828">
        <v>17</v>
      </c>
      <c r="Q4828">
        <v>15</v>
      </c>
      <c r="R4828" s="3">
        <v>0</v>
      </c>
      <c r="S4828" s="3">
        <v>0</v>
      </c>
      <c r="T4828">
        <v>0</v>
      </c>
      <c r="U4828">
        <v>0</v>
      </c>
      <c r="V4828" s="3">
        <v>0</v>
      </c>
      <c r="W4828" s="3">
        <v>0</v>
      </c>
      <c r="X4828">
        <v>1</v>
      </c>
      <c r="Y4828" t="s">
        <v>3651</v>
      </c>
    </row>
    <row r="4829" spans="1:25" hidden="1" x14ac:dyDescent="0.25">
      <c r="A4829" t="s">
        <v>344</v>
      </c>
      <c r="B4829" t="s">
        <v>100</v>
      </c>
      <c r="C4829" t="s">
        <v>35</v>
      </c>
      <c r="D4829" t="s">
        <v>27</v>
      </c>
      <c r="E4829" s="2">
        <v>46119</v>
      </c>
      <c r="F4829" s="2">
        <v>46119</v>
      </c>
      <c r="G4829" s="3">
        <v>306</v>
      </c>
      <c r="H4829" t="s">
        <v>28</v>
      </c>
      <c r="I4829">
        <v>57</v>
      </c>
      <c r="J4829">
        <v>0</v>
      </c>
      <c r="K4829">
        <v>0</v>
      </c>
      <c r="L4829" s="3">
        <v>1</v>
      </c>
      <c r="M4829" s="3">
        <v>0</v>
      </c>
      <c r="N4829">
        <v>0</v>
      </c>
      <c r="O4829">
        <v>0</v>
      </c>
      <c r="P4829">
        <v>17</v>
      </c>
      <c r="Q4829">
        <v>15</v>
      </c>
      <c r="R4829" s="3">
        <v>0</v>
      </c>
      <c r="S4829" s="3">
        <v>0</v>
      </c>
      <c r="T4829">
        <v>0</v>
      </c>
      <c r="U4829">
        <v>0</v>
      </c>
      <c r="V4829" s="3">
        <v>0</v>
      </c>
      <c r="W4829" s="3">
        <v>0</v>
      </c>
      <c r="X4829">
        <v>1</v>
      </c>
      <c r="Y4829" t="s">
        <v>3651</v>
      </c>
    </row>
    <row r="4830" spans="1:25" hidden="1" x14ac:dyDescent="0.25">
      <c r="A4830" t="s">
        <v>31</v>
      </c>
      <c r="B4830" t="s">
        <v>104</v>
      </c>
      <c r="C4830" t="s">
        <v>32</v>
      </c>
      <c r="D4830" t="s">
        <v>27</v>
      </c>
      <c r="E4830" s="2">
        <v>46119</v>
      </c>
      <c r="F4830" s="2">
        <v>46119</v>
      </c>
      <c r="G4830" s="3">
        <v>44</v>
      </c>
      <c r="H4830" t="s">
        <v>28</v>
      </c>
      <c r="I4830">
        <v>53</v>
      </c>
      <c r="J4830">
        <v>0</v>
      </c>
      <c r="K4830">
        <v>0</v>
      </c>
      <c r="L4830" s="3">
        <v>1</v>
      </c>
      <c r="M4830" s="3">
        <v>0</v>
      </c>
      <c r="N4830">
        <v>0</v>
      </c>
      <c r="O4830">
        <v>0</v>
      </c>
      <c r="P4830">
        <v>0</v>
      </c>
      <c r="Q4830">
        <v>34</v>
      </c>
      <c r="R4830" s="3">
        <v>0</v>
      </c>
      <c r="S4830" s="3">
        <v>0</v>
      </c>
      <c r="T4830">
        <v>0</v>
      </c>
      <c r="U4830">
        <v>0</v>
      </c>
      <c r="V4830" s="3">
        <v>0</v>
      </c>
      <c r="W4830" s="3">
        <v>0</v>
      </c>
      <c r="X4830">
        <v>1</v>
      </c>
      <c r="Y4830" t="s">
        <v>3667</v>
      </c>
    </row>
    <row r="4831" spans="1:25" hidden="1" x14ac:dyDescent="0.25">
      <c r="A4831" t="s">
        <v>36</v>
      </c>
      <c r="B4831" t="s">
        <v>249</v>
      </c>
      <c r="C4831" t="s">
        <v>2514</v>
      </c>
      <c r="D4831" t="s">
        <v>27</v>
      </c>
      <c r="E4831" s="2">
        <v>46119</v>
      </c>
      <c r="F4831" s="2">
        <v>46119</v>
      </c>
      <c r="G4831" s="3">
        <v>161</v>
      </c>
      <c r="H4831" t="s">
        <v>28</v>
      </c>
      <c r="I4831">
        <v>26</v>
      </c>
      <c r="J4831">
        <v>0</v>
      </c>
      <c r="K4831">
        <v>0</v>
      </c>
      <c r="L4831" s="3">
        <v>1</v>
      </c>
      <c r="M4831" s="3">
        <v>0</v>
      </c>
      <c r="N4831">
        <v>0</v>
      </c>
      <c r="O4831">
        <v>0</v>
      </c>
      <c r="P4831">
        <v>0</v>
      </c>
      <c r="Q4831">
        <v>10</v>
      </c>
      <c r="R4831" s="3">
        <v>0</v>
      </c>
      <c r="S4831" s="3">
        <v>0</v>
      </c>
      <c r="T4831">
        <v>0</v>
      </c>
      <c r="U4831">
        <v>0</v>
      </c>
      <c r="V4831" s="3">
        <v>0</v>
      </c>
      <c r="W4831" s="3">
        <v>0</v>
      </c>
      <c r="X4831">
        <v>1</v>
      </c>
      <c r="Y4831" t="s">
        <v>3668</v>
      </c>
    </row>
    <row r="4832" spans="1:25" hidden="1" x14ac:dyDescent="0.25">
      <c r="A4832" t="s">
        <v>45</v>
      </c>
      <c r="B4832" t="s">
        <v>249</v>
      </c>
      <c r="C4832" t="s">
        <v>46</v>
      </c>
      <c r="D4832" t="s">
        <v>27</v>
      </c>
      <c r="E4832" s="2">
        <v>46119</v>
      </c>
      <c r="F4832" s="2">
        <v>46119</v>
      </c>
      <c r="G4832" s="3">
        <v>40</v>
      </c>
      <c r="H4832" t="s">
        <v>28</v>
      </c>
      <c r="I4832">
        <v>31</v>
      </c>
      <c r="J4832">
        <v>0</v>
      </c>
      <c r="K4832">
        <v>0</v>
      </c>
      <c r="L4832" s="3">
        <v>0</v>
      </c>
      <c r="M4832" s="3">
        <v>0</v>
      </c>
      <c r="N4832">
        <v>0</v>
      </c>
      <c r="O4832">
        <v>0</v>
      </c>
      <c r="P4832">
        <v>0</v>
      </c>
      <c r="Q4832">
        <v>4</v>
      </c>
      <c r="R4832" s="3">
        <v>0</v>
      </c>
      <c r="S4832" s="3">
        <v>0</v>
      </c>
      <c r="T4832">
        <v>0</v>
      </c>
      <c r="U4832">
        <v>0</v>
      </c>
      <c r="V4832" s="3">
        <v>0</v>
      </c>
      <c r="W4832" s="3">
        <v>0</v>
      </c>
      <c r="X4832">
        <v>0</v>
      </c>
      <c r="Y4832" t="s">
        <v>3669</v>
      </c>
    </row>
    <row r="4833" spans="1:25" hidden="1" x14ac:dyDescent="0.25">
      <c r="A4833" t="s">
        <v>38</v>
      </c>
      <c r="B4833" t="s">
        <v>108</v>
      </c>
      <c r="C4833" t="s">
        <v>27</v>
      </c>
      <c r="D4833" t="s">
        <v>27</v>
      </c>
      <c r="E4833" s="2">
        <v>46119</v>
      </c>
      <c r="F4833" s="2">
        <v>46119</v>
      </c>
      <c r="G4833" s="3">
        <v>26</v>
      </c>
      <c r="H4833" t="s">
        <v>28</v>
      </c>
      <c r="I4833">
        <v>23</v>
      </c>
      <c r="J4833">
        <v>0</v>
      </c>
      <c r="K4833">
        <v>0</v>
      </c>
      <c r="L4833" s="3">
        <v>1</v>
      </c>
      <c r="M4833" s="3">
        <v>0</v>
      </c>
      <c r="N4833">
        <v>0</v>
      </c>
      <c r="O4833">
        <v>0</v>
      </c>
      <c r="P4833">
        <v>0</v>
      </c>
      <c r="Q4833">
        <v>23</v>
      </c>
      <c r="R4833" s="3">
        <v>0</v>
      </c>
      <c r="S4833" s="3">
        <v>0</v>
      </c>
      <c r="T4833">
        <v>0</v>
      </c>
      <c r="U4833">
        <v>0</v>
      </c>
      <c r="V4833" s="3">
        <v>0</v>
      </c>
      <c r="W4833" s="3">
        <v>0</v>
      </c>
      <c r="X4833">
        <v>0</v>
      </c>
      <c r="Y4833" t="s">
        <v>3670</v>
      </c>
    </row>
    <row r="4834" spans="1:25" hidden="1" x14ac:dyDescent="0.25">
      <c r="A4834" t="s">
        <v>2679</v>
      </c>
      <c r="B4834" t="s">
        <v>2680</v>
      </c>
      <c r="C4834" t="s">
        <v>39</v>
      </c>
      <c r="D4834" t="s">
        <v>27</v>
      </c>
      <c r="E4834" s="2">
        <v>46119</v>
      </c>
      <c r="F4834" s="2">
        <v>46119</v>
      </c>
      <c r="G4834" s="3">
        <v>34</v>
      </c>
      <c r="H4834" t="s">
        <v>28</v>
      </c>
      <c r="I4834">
        <v>21</v>
      </c>
      <c r="J4834">
        <v>0</v>
      </c>
      <c r="K4834">
        <v>0</v>
      </c>
      <c r="L4834" s="3">
        <v>0</v>
      </c>
      <c r="M4834" s="3">
        <v>0</v>
      </c>
      <c r="N4834">
        <v>0</v>
      </c>
      <c r="O4834">
        <v>0</v>
      </c>
      <c r="P4834">
        <v>0</v>
      </c>
      <c r="Q4834">
        <v>21</v>
      </c>
      <c r="R4834" s="3">
        <v>0</v>
      </c>
      <c r="S4834" s="3">
        <v>0</v>
      </c>
      <c r="T4834">
        <v>0</v>
      </c>
      <c r="U4834">
        <v>0</v>
      </c>
      <c r="V4834" s="3">
        <v>0</v>
      </c>
      <c r="W4834" s="3">
        <v>0</v>
      </c>
      <c r="X4834">
        <v>0</v>
      </c>
      <c r="Y4834" t="s">
        <v>3671</v>
      </c>
    </row>
    <row r="4835" spans="1:25" hidden="1" x14ac:dyDescent="0.25">
      <c r="A4835" t="s">
        <v>40</v>
      </c>
      <c r="B4835" t="s">
        <v>110</v>
      </c>
      <c r="C4835" t="s">
        <v>2534</v>
      </c>
      <c r="D4835" t="s">
        <v>27</v>
      </c>
      <c r="E4835" s="2">
        <v>46119</v>
      </c>
      <c r="F4835" s="2">
        <v>46119</v>
      </c>
      <c r="G4835" s="3">
        <v>80</v>
      </c>
      <c r="H4835" t="s">
        <v>28</v>
      </c>
      <c r="I4835">
        <v>46</v>
      </c>
      <c r="J4835">
        <v>0</v>
      </c>
      <c r="K4835">
        <v>0</v>
      </c>
      <c r="L4835" s="3">
        <v>1</v>
      </c>
      <c r="M4835" s="3">
        <v>0</v>
      </c>
      <c r="N4835">
        <v>1</v>
      </c>
      <c r="O4835">
        <v>0</v>
      </c>
      <c r="P4835">
        <v>0</v>
      </c>
      <c r="Q4835">
        <v>0</v>
      </c>
      <c r="R4835" s="3">
        <v>0</v>
      </c>
      <c r="S4835" s="3">
        <v>0</v>
      </c>
      <c r="T4835">
        <v>0</v>
      </c>
      <c r="U4835">
        <v>0</v>
      </c>
      <c r="V4835" s="3">
        <v>0</v>
      </c>
      <c r="W4835" s="3">
        <v>0</v>
      </c>
      <c r="X4835">
        <v>0</v>
      </c>
      <c r="Y4835" t="s">
        <v>3672</v>
      </c>
    </row>
    <row r="4836" spans="1:25" hidden="1" x14ac:dyDescent="0.25">
      <c r="A4836" t="s">
        <v>41</v>
      </c>
      <c r="B4836" t="s">
        <v>112</v>
      </c>
      <c r="C4836" t="s">
        <v>42</v>
      </c>
      <c r="D4836" t="s">
        <v>27</v>
      </c>
      <c r="E4836" s="2">
        <v>46119</v>
      </c>
      <c r="F4836" s="2">
        <v>46119</v>
      </c>
      <c r="G4836" s="3">
        <v>46</v>
      </c>
      <c r="H4836" t="s">
        <v>28</v>
      </c>
      <c r="I4836">
        <v>40</v>
      </c>
      <c r="J4836">
        <v>0</v>
      </c>
      <c r="K4836">
        <v>0</v>
      </c>
      <c r="L4836" s="3">
        <v>1</v>
      </c>
      <c r="M4836" s="3">
        <v>0</v>
      </c>
      <c r="N4836">
        <v>0</v>
      </c>
      <c r="O4836">
        <v>0</v>
      </c>
      <c r="P4836">
        <v>0</v>
      </c>
      <c r="Q4836">
        <v>1</v>
      </c>
      <c r="R4836" s="3">
        <v>0</v>
      </c>
      <c r="S4836" s="3">
        <v>0</v>
      </c>
      <c r="T4836">
        <v>0</v>
      </c>
      <c r="U4836">
        <v>0</v>
      </c>
      <c r="V4836" s="3">
        <v>0</v>
      </c>
      <c r="W4836" s="3">
        <v>0</v>
      </c>
      <c r="X4836">
        <v>5</v>
      </c>
      <c r="Y4836" t="s">
        <v>3673</v>
      </c>
    </row>
    <row r="4837" spans="1:25" hidden="1" x14ac:dyDescent="0.25">
      <c r="A4837" t="s">
        <v>43</v>
      </c>
      <c r="B4837" t="s">
        <v>114</v>
      </c>
      <c r="C4837" t="s">
        <v>44</v>
      </c>
      <c r="D4837" t="s">
        <v>27</v>
      </c>
      <c r="E4837" s="2">
        <v>46119</v>
      </c>
      <c r="F4837" s="2">
        <v>46119</v>
      </c>
      <c r="G4837" s="3">
        <v>37</v>
      </c>
      <c r="H4837" t="s">
        <v>28</v>
      </c>
      <c r="I4837">
        <v>56</v>
      </c>
      <c r="J4837">
        <v>0</v>
      </c>
      <c r="K4837">
        <v>0</v>
      </c>
      <c r="L4837" s="3">
        <v>1</v>
      </c>
      <c r="M4837" s="3">
        <v>1</v>
      </c>
      <c r="N4837">
        <v>0</v>
      </c>
      <c r="O4837">
        <v>0</v>
      </c>
      <c r="P4837">
        <v>0</v>
      </c>
      <c r="Q4837">
        <v>0</v>
      </c>
      <c r="R4837" s="3">
        <v>0</v>
      </c>
      <c r="S4837" s="3">
        <v>0</v>
      </c>
      <c r="T4837">
        <v>0</v>
      </c>
      <c r="U4837">
        <v>0</v>
      </c>
      <c r="V4837" s="3">
        <v>0</v>
      </c>
      <c r="W4837" s="3">
        <v>0</v>
      </c>
      <c r="X4837">
        <v>0</v>
      </c>
      <c r="Y4837" t="s">
        <v>3674</v>
      </c>
    </row>
    <row r="4838" spans="1:25" hidden="1" x14ac:dyDescent="0.25">
      <c r="A4838" t="s">
        <v>49</v>
      </c>
      <c r="B4838" t="s">
        <v>118</v>
      </c>
      <c r="C4838" t="s">
        <v>50</v>
      </c>
      <c r="D4838" t="s">
        <v>27</v>
      </c>
      <c r="E4838" s="2">
        <v>46119</v>
      </c>
      <c r="F4838" s="2">
        <v>46119</v>
      </c>
      <c r="G4838" s="3">
        <v>31</v>
      </c>
      <c r="H4838" t="s">
        <v>28</v>
      </c>
      <c r="I4838">
        <v>40</v>
      </c>
      <c r="J4838">
        <v>0</v>
      </c>
      <c r="K4838">
        <v>0</v>
      </c>
      <c r="L4838" s="3">
        <v>1</v>
      </c>
      <c r="M4838" s="3">
        <v>1</v>
      </c>
      <c r="N4838">
        <v>0</v>
      </c>
      <c r="O4838">
        <v>1</v>
      </c>
      <c r="P4838">
        <v>0</v>
      </c>
      <c r="Q4838">
        <v>40</v>
      </c>
      <c r="R4838" s="3">
        <v>0</v>
      </c>
      <c r="S4838" s="3">
        <v>0</v>
      </c>
      <c r="T4838">
        <v>0</v>
      </c>
      <c r="U4838">
        <v>0</v>
      </c>
      <c r="V4838" s="3">
        <v>0</v>
      </c>
      <c r="W4838" s="3">
        <v>0</v>
      </c>
      <c r="X4838">
        <v>0</v>
      </c>
      <c r="Y4838" t="s">
        <v>3675</v>
      </c>
    </row>
    <row r="4839" spans="1:25" hidden="1" x14ac:dyDescent="0.25">
      <c r="A4839" t="s">
        <v>51</v>
      </c>
      <c r="B4839" t="s">
        <v>120</v>
      </c>
      <c r="C4839" t="s">
        <v>2310</v>
      </c>
      <c r="D4839" t="s">
        <v>27</v>
      </c>
      <c r="E4839" s="2">
        <v>46119</v>
      </c>
      <c r="F4839" s="2">
        <v>46119</v>
      </c>
      <c r="G4839" s="3">
        <v>77</v>
      </c>
      <c r="H4839" t="s">
        <v>28</v>
      </c>
      <c r="I4839">
        <v>43</v>
      </c>
      <c r="J4839">
        <v>0</v>
      </c>
      <c r="K4839">
        <v>0</v>
      </c>
      <c r="L4839" s="3">
        <v>1</v>
      </c>
      <c r="M4839" s="3">
        <v>0</v>
      </c>
      <c r="N4839">
        <v>0</v>
      </c>
      <c r="O4839">
        <v>0</v>
      </c>
      <c r="P4839">
        <v>0</v>
      </c>
      <c r="Q4839">
        <v>0</v>
      </c>
      <c r="R4839" s="3">
        <v>0</v>
      </c>
      <c r="S4839" s="3">
        <v>0</v>
      </c>
      <c r="T4839">
        <v>0</v>
      </c>
      <c r="U4839">
        <v>0</v>
      </c>
      <c r="V4839" s="3">
        <v>0</v>
      </c>
      <c r="W4839" s="3">
        <v>0</v>
      </c>
      <c r="X4839">
        <v>0</v>
      </c>
      <c r="Y4839" t="s">
        <v>3676</v>
      </c>
    </row>
    <row r="4840" spans="1:25" hidden="1" x14ac:dyDescent="0.25">
      <c r="A4840" t="s">
        <v>54</v>
      </c>
      <c r="B4840" t="s">
        <v>122</v>
      </c>
      <c r="C4840" t="s">
        <v>2271</v>
      </c>
      <c r="D4840" t="s">
        <v>27</v>
      </c>
      <c r="E4840" s="2">
        <v>46119</v>
      </c>
      <c r="F4840" s="2">
        <v>46119</v>
      </c>
      <c r="G4840" s="3">
        <v>36</v>
      </c>
      <c r="H4840" t="s">
        <v>28</v>
      </c>
      <c r="I4840">
        <v>51</v>
      </c>
      <c r="J4840">
        <v>0</v>
      </c>
      <c r="K4840">
        <v>0</v>
      </c>
      <c r="L4840" s="3">
        <v>0</v>
      </c>
      <c r="M4840" s="3">
        <v>0</v>
      </c>
      <c r="N4840">
        <v>0</v>
      </c>
      <c r="O4840">
        <v>0</v>
      </c>
      <c r="P4840">
        <v>0</v>
      </c>
      <c r="Q4840">
        <v>2</v>
      </c>
      <c r="R4840" s="3">
        <v>0</v>
      </c>
      <c r="S4840" s="3">
        <v>0</v>
      </c>
      <c r="T4840">
        <v>0</v>
      </c>
      <c r="U4840">
        <v>0</v>
      </c>
      <c r="V4840" s="3">
        <v>0</v>
      </c>
      <c r="W4840" s="3">
        <v>0</v>
      </c>
      <c r="X4840">
        <v>0</v>
      </c>
      <c r="Y4840" t="s">
        <v>3677</v>
      </c>
    </row>
    <row r="4841" spans="1:25" hidden="1" x14ac:dyDescent="0.25">
      <c r="A4841" t="s">
        <v>48</v>
      </c>
      <c r="B4841" t="s">
        <v>149</v>
      </c>
      <c r="C4841" t="s">
        <v>37</v>
      </c>
      <c r="D4841" t="s">
        <v>27</v>
      </c>
      <c r="E4841" s="2">
        <v>46119</v>
      </c>
      <c r="F4841" s="2">
        <v>46119</v>
      </c>
      <c r="G4841" s="3">
        <v>32</v>
      </c>
      <c r="H4841" t="s">
        <v>28</v>
      </c>
      <c r="I4841">
        <v>25</v>
      </c>
      <c r="J4841">
        <v>0</v>
      </c>
      <c r="K4841">
        <v>0</v>
      </c>
      <c r="L4841" s="3">
        <v>1</v>
      </c>
      <c r="M4841" s="3">
        <v>0</v>
      </c>
      <c r="N4841">
        <v>0</v>
      </c>
      <c r="O4841">
        <v>0</v>
      </c>
      <c r="P4841">
        <v>0</v>
      </c>
      <c r="Q4841">
        <v>0</v>
      </c>
      <c r="R4841" s="3">
        <v>0</v>
      </c>
      <c r="S4841" s="3">
        <v>0</v>
      </c>
      <c r="T4841">
        <v>0</v>
      </c>
      <c r="U4841">
        <v>0</v>
      </c>
      <c r="V4841" s="3">
        <v>0</v>
      </c>
      <c r="W4841" s="3">
        <v>0</v>
      </c>
      <c r="X4841">
        <v>0</v>
      </c>
      <c r="Y4841" t="s">
        <v>3678</v>
      </c>
    </row>
    <row r="4842" spans="1:25" hidden="1" x14ac:dyDescent="0.25">
      <c r="A4842" t="s">
        <v>27</v>
      </c>
      <c r="B4842" t="s">
        <v>739</v>
      </c>
      <c r="C4842" t="s">
        <v>2835</v>
      </c>
      <c r="D4842" t="s">
        <v>27</v>
      </c>
      <c r="E4842" s="2">
        <v>46119</v>
      </c>
      <c r="F4842" s="2">
        <v>46119</v>
      </c>
      <c r="G4842" s="3">
        <v>33</v>
      </c>
      <c r="H4842" t="s">
        <v>1448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 spans="1:25" hidden="1" x14ac:dyDescent="0.25">
      <c r="A4843" t="s">
        <v>27</v>
      </c>
      <c r="B4843" t="s">
        <v>755</v>
      </c>
      <c r="C4843" t="s">
        <v>57</v>
      </c>
      <c r="D4843" t="s">
        <v>27</v>
      </c>
      <c r="E4843" s="2">
        <v>46119</v>
      </c>
      <c r="F4843" s="2">
        <v>46119</v>
      </c>
      <c r="G4843" s="3">
        <v>34</v>
      </c>
      <c r="H4843" t="s">
        <v>1448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</row>
    <row r="4844" spans="1:25" hidden="1" x14ac:dyDescent="0.25">
      <c r="A4844" t="s">
        <v>27</v>
      </c>
      <c r="B4844" t="s">
        <v>758</v>
      </c>
      <c r="C4844" t="s">
        <v>55</v>
      </c>
      <c r="D4844" t="s">
        <v>27</v>
      </c>
      <c r="E4844" s="2">
        <v>46119</v>
      </c>
      <c r="F4844" s="2">
        <v>46119</v>
      </c>
      <c r="G4844" s="3">
        <v>35</v>
      </c>
      <c r="H4844" t="s">
        <v>2143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3663</v>
      </c>
    </row>
    <row r="4845" spans="1:25" hidden="1" x14ac:dyDescent="0.25">
      <c r="A4845" t="s">
        <v>33</v>
      </c>
      <c r="B4845" t="s">
        <v>798</v>
      </c>
      <c r="C4845" t="s">
        <v>27</v>
      </c>
      <c r="D4845" t="s">
        <v>27</v>
      </c>
      <c r="E4845" s="2">
        <v>46119</v>
      </c>
      <c r="F4845" s="2">
        <v>46119</v>
      </c>
      <c r="G4845" s="3">
        <v>36</v>
      </c>
      <c r="H4845" t="s">
        <v>28</v>
      </c>
      <c r="I4845">
        <v>30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</row>
    <row r="4846" spans="1:25" hidden="1" x14ac:dyDescent="0.25">
      <c r="A4846" t="s">
        <v>47</v>
      </c>
      <c r="B4846" t="s">
        <v>739</v>
      </c>
      <c r="C4846" t="s">
        <v>27</v>
      </c>
      <c r="D4846" t="s">
        <v>27</v>
      </c>
      <c r="E4846" s="2">
        <v>46119</v>
      </c>
      <c r="F4846" s="2">
        <v>46119</v>
      </c>
      <c r="G4846" s="3">
        <v>26</v>
      </c>
      <c r="H4846" t="s">
        <v>763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3665</v>
      </c>
    </row>
    <row r="4847" spans="1:25" hidden="1" x14ac:dyDescent="0.25">
      <c r="A4847" t="s">
        <v>27</v>
      </c>
      <c r="B4847" t="s">
        <v>758</v>
      </c>
      <c r="C4847" t="s">
        <v>52</v>
      </c>
      <c r="D4847" t="s">
        <v>27</v>
      </c>
      <c r="E4847" s="2">
        <v>46119</v>
      </c>
      <c r="F4847" s="2">
        <v>46119</v>
      </c>
      <c r="G4847" s="3">
        <v>28</v>
      </c>
      <c r="H4847" t="s">
        <v>763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3665</v>
      </c>
    </row>
    <row r="4848" spans="1:25" hidden="1" x14ac:dyDescent="0.25">
      <c r="A4848" t="s">
        <v>25</v>
      </c>
      <c r="B4848" t="s">
        <v>96</v>
      </c>
      <c r="C4848" t="s">
        <v>26</v>
      </c>
      <c r="D4848" t="s">
        <v>27</v>
      </c>
      <c r="E4848" s="2">
        <v>46120</v>
      </c>
      <c r="F4848" s="2">
        <v>46120</v>
      </c>
      <c r="G4848" s="3">
        <v>38</v>
      </c>
      <c r="H4848" t="s">
        <v>28</v>
      </c>
      <c r="I4848">
        <v>50</v>
      </c>
      <c r="J4848">
        <v>0</v>
      </c>
      <c r="K4848">
        <v>0</v>
      </c>
      <c r="L4848" s="3">
        <v>0</v>
      </c>
      <c r="M4848" s="3">
        <v>1</v>
      </c>
      <c r="N4848">
        <v>1</v>
      </c>
      <c r="O4848">
        <v>0</v>
      </c>
      <c r="P4848">
        <v>0</v>
      </c>
      <c r="Q4848">
        <v>0</v>
      </c>
      <c r="R4848" s="3">
        <v>0</v>
      </c>
      <c r="S4848" s="3">
        <v>0</v>
      </c>
      <c r="T4848">
        <v>0</v>
      </c>
      <c r="U4848">
        <v>0</v>
      </c>
      <c r="V4848" s="3">
        <v>0</v>
      </c>
      <c r="W4848" s="3">
        <v>0</v>
      </c>
      <c r="X4848">
        <v>0</v>
      </c>
      <c r="Y4848" t="s">
        <v>3679</v>
      </c>
    </row>
    <row r="4849" spans="1:25" hidden="1" x14ac:dyDescent="0.25">
      <c r="A4849" t="s">
        <v>29</v>
      </c>
      <c r="B4849" t="s">
        <v>100</v>
      </c>
      <c r="C4849" t="s">
        <v>95</v>
      </c>
      <c r="D4849" t="s">
        <v>27</v>
      </c>
      <c r="E4849" s="2">
        <v>46120</v>
      </c>
      <c r="F4849" s="2">
        <v>46120</v>
      </c>
      <c r="G4849" s="3">
        <v>34</v>
      </c>
      <c r="H4849" t="s">
        <v>28</v>
      </c>
      <c r="I4849">
        <v>33</v>
      </c>
      <c r="J4849">
        <v>0</v>
      </c>
      <c r="K4849">
        <v>0</v>
      </c>
      <c r="L4849" s="3">
        <v>1</v>
      </c>
      <c r="M4849" s="3">
        <v>0</v>
      </c>
      <c r="N4849">
        <v>0</v>
      </c>
      <c r="O4849">
        <v>0</v>
      </c>
      <c r="P4849">
        <v>5</v>
      </c>
      <c r="Q4849">
        <v>8</v>
      </c>
      <c r="R4849" s="3">
        <v>0</v>
      </c>
      <c r="S4849" s="3">
        <v>0</v>
      </c>
      <c r="T4849">
        <v>0</v>
      </c>
      <c r="U4849">
        <v>0</v>
      </c>
      <c r="V4849" s="3">
        <v>0</v>
      </c>
      <c r="W4849" s="3">
        <v>0</v>
      </c>
      <c r="X4849">
        <v>0</v>
      </c>
      <c r="Y4849" t="s">
        <v>3680</v>
      </c>
    </row>
    <row r="4850" spans="1:25" hidden="1" x14ac:dyDescent="0.25">
      <c r="A4850" t="s">
        <v>344</v>
      </c>
      <c r="B4850" t="s">
        <v>100</v>
      </c>
      <c r="C4850" t="s">
        <v>35</v>
      </c>
      <c r="D4850" t="s">
        <v>27</v>
      </c>
      <c r="E4850" s="2">
        <v>46120</v>
      </c>
      <c r="F4850" s="2">
        <v>46120</v>
      </c>
      <c r="G4850" s="3">
        <v>306</v>
      </c>
      <c r="H4850" t="s">
        <v>28</v>
      </c>
      <c r="I4850">
        <v>57</v>
      </c>
      <c r="J4850">
        <v>0</v>
      </c>
      <c r="K4850">
        <v>0</v>
      </c>
      <c r="L4850" s="3">
        <v>1</v>
      </c>
      <c r="M4850" s="3">
        <v>0</v>
      </c>
      <c r="N4850">
        <v>0</v>
      </c>
      <c r="O4850">
        <v>0</v>
      </c>
      <c r="P4850">
        <v>17</v>
      </c>
      <c r="Q4850">
        <v>15</v>
      </c>
      <c r="R4850" s="3">
        <v>0</v>
      </c>
      <c r="S4850" s="3">
        <v>0</v>
      </c>
      <c r="T4850">
        <v>0</v>
      </c>
      <c r="U4850">
        <v>0</v>
      </c>
      <c r="V4850" s="3">
        <v>0</v>
      </c>
      <c r="W4850" s="3">
        <v>0</v>
      </c>
      <c r="X4850">
        <v>1</v>
      </c>
      <c r="Y4850" t="s">
        <v>3651</v>
      </c>
    </row>
    <row r="4851" spans="1:25" hidden="1" x14ac:dyDescent="0.25">
      <c r="A4851" t="s">
        <v>31</v>
      </c>
      <c r="B4851" t="s">
        <v>104</v>
      </c>
      <c r="C4851" t="s">
        <v>32</v>
      </c>
      <c r="D4851" t="s">
        <v>27</v>
      </c>
      <c r="E4851" s="2">
        <v>46120</v>
      </c>
      <c r="F4851" s="2">
        <v>46120</v>
      </c>
      <c r="G4851" s="3">
        <v>51</v>
      </c>
      <c r="H4851" t="s">
        <v>28</v>
      </c>
      <c r="I4851">
        <v>88</v>
      </c>
      <c r="J4851">
        <v>0</v>
      </c>
      <c r="K4851">
        <v>0</v>
      </c>
      <c r="L4851" s="3">
        <v>1</v>
      </c>
      <c r="M4851" s="3">
        <v>0</v>
      </c>
      <c r="N4851">
        <v>0</v>
      </c>
      <c r="O4851">
        <v>0</v>
      </c>
      <c r="P4851">
        <v>0</v>
      </c>
      <c r="Q4851">
        <v>37</v>
      </c>
      <c r="R4851" s="3">
        <v>0</v>
      </c>
      <c r="S4851" s="3">
        <v>0</v>
      </c>
      <c r="T4851">
        <v>0</v>
      </c>
      <c r="U4851">
        <v>0</v>
      </c>
      <c r="V4851" s="3">
        <v>0</v>
      </c>
      <c r="W4851" s="3">
        <v>0</v>
      </c>
      <c r="X4851">
        <v>0</v>
      </c>
      <c r="Y4851" t="s">
        <v>3681</v>
      </c>
    </row>
    <row r="4852" spans="1:25" hidden="1" x14ac:dyDescent="0.25">
      <c r="A4852" t="s">
        <v>33</v>
      </c>
      <c r="B4852" t="s">
        <v>106</v>
      </c>
      <c r="C4852" t="s">
        <v>57</v>
      </c>
      <c r="D4852" t="s">
        <v>27</v>
      </c>
      <c r="E4852" s="2">
        <v>46120</v>
      </c>
      <c r="F4852" s="2">
        <v>46120</v>
      </c>
      <c r="G4852" s="3">
        <v>27</v>
      </c>
      <c r="H4852" t="s">
        <v>28</v>
      </c>
      <c r="I4852">
        <v>45</v>
      </c>
      <c r="J4852">
        <v>0</v>
      </c>
      <c r="K4852">
        <v>0</v>
      </c>
      <c r="L4852" s="3">
        <v>0</v>
      </c>
      <c r="M4852" s="3">
        <v>0</v>
      </c>
      <c r="N4852">
        <v>0</v>
      </c>
      <c r="O4852">
        <v>0</v>
      </c>
      <c r="P4852">
        <v>0</v>
      </c>
      <c r="Q4852">
        <v>21</v>
      </c>
      <c r="R4852" s="3">
        <v>0</v>
      </c>
      <c r="S4852" s="3">
        <v>0</v>
      </c>
      <c r="T4852">
        <v>0</v>
      </c>
      <c r="U4852">
        <v>0</v>
      </c>
      <c r="V4852" s="3">
        <v>0</v>
      </c>
      <c r="W4852" s="3">
        <v>0</v>
      </c>
      <c r="X4852">
        <v>0</v>
      </c>
      <c r="Y4852" t="s">
        <v>3682</v>
      </c>
    </row>
    <row r="4853" spans="1:25" hidden="1" x14ac:dyDescent="0.25">
      <c r="A4853" t="s">
        <v>2899</v>
      </c>
      <c r="B4853" t="s">
        <v>2998</v>
      </c>
      <c r="C4853" t="s">
        <v>2310</v>
      </c>
      <c r="D4853" t="s">
        <v>27</v>
      </c>
      <c r="E4853" s="2">
        <v>46120</v>
      </c>
      <c r="F4853" s="2">
        <v>46120</v>
      </c>
      <c r="G4853" s="3">
        <v>69</v>
      </c>
      <c r="H4853" t="s">
        <v>28</v>
      </c>
      <c r="I4853">
        <v>60</v>
      </c>
      <c r="J4853">
        <v>0</v>
      </c>
      <c r="K4853">
        <v>0</v>
      </c>
      <c r="L4853" s="3">
        <v>1</v>
      </c>
      <c r="M4853" s="3">
        <v>0</v>
      </c>
      <c r="N4853">
        <v>0</v>
      </c>
      <c r="O4853">
        <v>0</v>
      </c>
      <c r="P4853">
        <v>0</v>
      </c>
      <c r="Q4853">
        <v>10</v>
      </c>
      <c r="R4853" s="3">
        <v>0</v>
      </c>
      <c r="S4853" s="3">
        <v>0</v>
      </c>
      <c r="T4853">
        <v>0</v>
      </c>
      <c r="U4853">
        <v>0</v>
      </c>
      <c r="V4853" s="3">
        <v>0</v>
      </c>
      <c r="W4853" s="3">
        <v>0</v>
      </c>
      <c r="X4853">
        <v>0</v>
      </c>
      <c r="Y4853" t="s">
        <v>3683</v>
      </c>
    </row>
    <row r="4854" spans="1:25" hidden="1" x14ac:dyDescent="0.25">
      <c r="A4854" t="s">
        <v>36</v>
      </c>
      <c r="B4854" t="s">
        <v>249</v>
      </c>
      <c r="C4854" t="s">
        <v>2514</v>
      </c>
      <c r="D4854" t="s">
        <v>27</v>
      </c>
      <c r="E4854" s="2">
        <v>46120</v>
      </c>
      <c r="F4854" s="2">
        <v>46120</v>
      </c>
      <c r="G4854" s="3">
        <v>143</v>
      </c>
      <c r="H4854" t="s">
        <v>28</v>
      </c>
      <c r="I4854">
        <v>57</v>
      </c>
      <c r="J4854">
        <v>0</v>
      </c>
      <c r="K4854">
        <v>0</v>
      </c>
      <c r="L4854" s="3">
        <v>1</v>
      </c>
      <c r="M4854" s="3">
        <v>0</v>
      </c>
      <c r="N4854">
        <v>0</v>
      </c>
      <c r="O4854">
        <v>0</v>
      </c>
      <c r="P4854">
        <v>0</v>
      </c>
      <c r="Q4854">
        <v>25</v>
      </c>
      <c r="R4854" s="3">
        <v>0</v>
      </c>
      <c r="S4854" s="3">
        <v>0</v>
      </c>
      <c r="T4854">
        <v>0</v>
      </c>
      <c r="U4854">
        <v>0</v>
      </c>
      <c r="V4854" s="3">
        <v>0</v>
      </c>
      <c r="W4854" s="3">
        <v>0</v>
      </c>
      <c r="X4854">
        <v>1</v>
      </c>
      <c r="Y4854" t="s">
        <v>3684</v>
      </c>
    </row>
    <row r="4855" spans="1:25" hidden="1" x14ac:dyDescent="0.25">
      <c r="A4855" t="s">
        <v>38</v>
      </c>
      <c r="B4855" t="s">
        <v>108</v>
      </c>
      <c r="C4855" t="s">
        <v>27</v>
      </c>
      <c r="D4855" t="s">
        <v>27</v>
      </c>
      <c r="E4855" s="2">
        <v>46120</v>
      </c>
      <c r="F4855" s="2">
        <v>46120</v>
      </c>
      <c r="G4855" s="3">
        <v>25</v>
      </c>
      <c r="H4855" t="s">
        <v>28</v>
      </c>
      <c r="I4855">
        <v>46</v>
      </c>
      <c r="J4855">
        <v>0</v>
      </c>
      <c r="K4855">
        <v>0</v>
      </c>
      <c r="L4855" s="3">
        <v>1</v>
      </c>
      <c r="M4855" s="3">
        <v>0</v>
      </c>
      <c r="N4855">
        <v>0</v>
      </c>
      <c r="O4855">
        <v>0</v>
      </c>
      <c r="P4855">
        <v>0</v>
      </c>
      <c r="Q4855">
        <v>46</v>
      </c>
      <c r="R4855" s="3">
        <v>0</v>
      </c>
      <c r="S4855" s="3">
        <v>0</v>
      </c>
      <c r="T4855">
        <v>0</v>
      </c>
      <c r="U4855">
        <v>0</v>
      </c>
      <c r="V4855" s="3">
        <v>0</v>
      </c>
      <c r="W4855" s="3">
        <v>0</v>
      </c>
      <c r="X4855">
        <v>0</v>
      </c>
      <c r="Y4855" t="s">
        <v>3685</v>
      </c>
    </row>
    <row r="4856" spans="1:25" hidden="1" x14ac:dyDescent="0.25">
      <c r="A4856" t="s">
        <v>2679</v>
      </c>
      <c r="B4856" t="s">
        <v>2680</v>
      </c>
      <c r="C4856" t="s">
        <v>39</v>
      </c>
      <c r="D4856" t="s">
        <v>27</v>
      </c>
      <c r="E4856" s="2">
        <v>46120</v>
      </c>
      <c r="F4856" s="2">
        <v>46120</v>
      </c>
      <c r="G4856" s="3">
        <v>53</v>
      </c>
      <c r="H4856" t="s">
        <v>28</v>
      </c>
      <c r="I4856">
        <v>31</v>
      </c>
      <c r="J4856">
        <v>0</v>
      </c>
      <c r="K4856">
        <v>0</v>
      </c>
      <c r="L4856" s="3">
        <v>0</v>
      </c>
      <c r="M4856" s="3">
        <v>0</v>
      </c>
      <c r="N4856">
        <v>0</v>
      </c>
      <c r="O4856">
        <v>0</v>
      </c>
      <c r="P4856">
        <v>0</v>
      </c>
      <c r="Q4856">
        <v>31</v>
      </c>
      <c r="R4856" s="3">
        <v>0</v>
      </c>
      <c r="S4856" s="3">
        <v>0</v>
      </c>
      <c r="T4856">
        <v>0</v>
      </c>
      <c r="U4856">
        <v>0</v>
      </c>
      <c r="V4856" s="3">
        <v>0</v>
      </c>
      <c r="W4856" s="3">
        <v>0</v>
      </c>
      <c r="X4856">
        <v>0</v>
      </c>
      <c r="Y4856" t="s">
        <v>3686</v>
      </c>
    </row>
    <row r="4857" spans="1:25" hidden="1" x14ac:dyDescent="0.25">
      <c r="A4857" t="s">
        <v>40</v>
      </c>
      <c r="B4857" t="s">
        <v>110</v>
      </c>
      <c r="C4857" t="s">
        <v>2534</v>
      </c>
      <c r="D4857" t="s">
        <v>27</v>
      </c>
      <c r="E4857" s="2">
        <v>46120</v>
      </c>
      <c r="F4857" s="2">
        <v>46120</v>
      </c>
      <c r="G4857" s="3">
        <v>52</v>
      </c>
      <c r="H4857" t="s">
        <v>28</v>
      </c>
      <c r="I4857">
        <v>60</v>
      </c>
      <c r="J4857">
        <v>0</v>
      </c>
      <c r="K4857">
        <v>0</v>
      </c>
      <c r="L4857" s="3">
        <v>1</v>
      </c>
      <c r="M4857" s="3">
        <v>0</v>
      </c>
      <c r="N4857">
        <v>1</v>
      </c>
      <c r="O4857">
        <v>0</v>
      </c>
      <c r="P4857">
        <v>0</v>
      </c>
      <c r="Q4857">
        <v>42</v>
      </c>
      <c r="R4857" s="3">
        <v>0</v>
      </c>
      <c r="S4857" s="3">
        <v>0</v>
      </c>
      <c r="T4857">
        <v>0</v>
      </c>
      <c r="U4857">
        <v>0</v>
      </c>
      <c r="V4857" s="3">
        <v>0</v>
      </c>
      <c r="W4857" s="3">
        <v>0</v>
      </c>
      <c r="X4857">
        <v>0</v>
      </c>
      <c r="Y4857" t="s">
        <v>3687</v>
      </c>
    </row>
    <row r="4858" spans="1:25" hidden="1" x14ac:dyDescent="0.25">
      <c r="A4858" t="s">
        <v>41</v>
      </c>
      <c r="B4858" t="s">
        <v>112</v>
      </c>
      <c r="C4858" t="s">
        <v>42</v>
      </c>
      <c r="D4858" t="s">
        <v>27</v>
      </c>
      <c r="E4858" s="2">
        <v>46120</v>
      </c>
      <c r="F4858" s="2">
        <v>46120</v>
      </c>
      <c r="G4858" s="3">
        <v>56</v>
      </c>
      <c r="H4858" t="s">
        <v>28</v>
      </c>
      <c r="I4858">
        <v>33</v>
      </c>
      <c r="J4858">
        <v>0</v>
      </c>
      <c r="K4858">
        <v>0</v>
      </c>
      <c r="L4858" s="3">
        <v>1</v>
      </c>
      <c r="M4858" s="3">
        <v>0</v>
      </c>
      <c r="N4858">
        <v>0</v>
      </c>
      <c r="O4858">
        <v>0</v>
      </c>
      <c r="P4858">
        <v>0</v>
      </c>
      <c r="Q4858">
        <v>0</v>
      </c>
      <c r="R4858" s="3">
        <v>0</v>
      </c>
      <c r="S4858" s="3">
        <v>0</v>
      </c>
      <c r="T4858">
        <v>0</v>
      </c>
      <c r="U4858">
        <v>0</v>
      </c>
      <c r="V4858" s="3">
        <v>0</v>
      </c>
      <c r="W4858" s="3">
        <v>0</v>
      </c>
      <c r="X4858">
        <v>16</v>
      </c>
      <c r="Y4858" t="s">
        <v>3688</v>
      </c>
    </row>
    <row r="4859" spans="1:25" hidden="1" x14ac:dyDescent="0.25">
      <c r="A4859" t="s">
        <v>43</v>
      </c>
      <c r="B4859" t="s">
        <v>114</v>
      </c>
      <c r="C4859" t="s">
        <v>44</v>
      </c>
      <c r="D4859" t="s">
        <v>27</v>
      </c>
      <c r="E4859" s="2">
        <v>46120</v>
      </c>
      <c r="F4859" s="2">
        <v>46120</v>
      </c>
      <c r="G4859" s="3">
        <v>27</v>
      </c>
      <c r="H4859" t="s">
        <v>28</v>
      </c>
      <c r="I4859">
        <v>45</v>
      </c>
      <c r="J4859">
        <v>0</v>
      </c>
      <c r="K4859">
        <v>0</v>
      </c>
      <c r="L4859" s="3">
        <v>1</v>
      </c>
      <c r="M4859" s="3">
        <v>1</v>
      </c>
      <c r="N4859">
        <v>0</v>
      </c>
      <c r="O4859">
        <v>0</v>
      </c>
      <c r="P4859">
        <v>0</v>
      </c>
      <c r="Q4859">
        <v>0</v>
      </c>
      <c r="R4859" s="3">
        <v>0</v>
      </c>
      <c r="S4859" s="3">
        <v>0</v>
      </c>
      <c r="T4859">
        <v>0</v>
      </c>
      <c r="U4859">
        <v>0</v>
      </c>
      <c r="V4859" s="3">
        <v>0</v>
      </c>
      <c r="W4859" s="3">
        <v>0</v>
      </c>
      <c r="X4859">
        <v>0</v>
      </c>
      <c r="Y4859" t="s">
        <v>3689</v>
      </c>
    </row>
    <row r="4860" spans="1:25" hidden="1" x14ac:dyDescent="0.25">
      <c r="A4860" t="s">
        <v>2118</v>
      </c>
      <c r="B4860" t="s">
        <v>2119</v>
      </c>
      <c r="C4860" t="s">
        <v>27</v>
      </c>
      <c r="D4860" t="s">
        <v>27</v>
      </c>
      <c r="E4860" s="2">
        <v>46120</v>
      </c>
      <c r="F4860" s="2">
        <v>46120</v>
      </c>
      <c r="G4860" s="3">
        <v>86</v>
      </c>
      <c r="H4860" t="s">
        <v>28</v>
      </c>
      <c r="I4860">
        <v>41</v>
      </c>
      <c r="J4860">
        <v>0</v>
      </c>
      <c r="K4860">
        <v>0</v>
      </c>
      <c r="L4860" s="3">
        <v>1</v>
      </c>
      <c r="M4860" s="3">
        <v>0</v>
      </c>
      <c r="N4860">
        <v>0</v>
      </c>
      <c r="O4860">
        <v>0</v>
      </c>
      <c r="P4860">
        <v>0</v>
      </c>
      <c r="Q4860">
        <v>41</v>
      </c>
      <c r="R4860" s="3">
        <v>0</v>
      </c>
      <c r="S4860" s="3">
        <v>0</v>
      </c>
      <c r="T4860">
        <v>0</v>
      </c>
      <c r="U4860">
        <v>0</v>
      </c>
      <c r="V4860" s="3">
        <v>0</v>
      </c>
      <c r="W4860" s="3">
        <v>0</v>
      </c>
      <c r="X4860">
        <v>0</v>
      </c>
      <c r="Y4860" t="s">
        <v>3690</v>
      </c>
    </row>
    <row r="4861" spans="1:25" hidden="1" x14ac:dyDescent="0.25">
      <c r="A4861" t="s">
        <v>45</v>
      </c>
      <c r="B4861" t="s">
        <v>116</v>
      </c>
      <c r="C4861" t="s">
        <v>46</v>
      </c>
      <c r="D4861" t="s">
        <v>27</v>
      </c>
      <c r="E4861" s="2">
        <v>46120</v>
      </c>
      <c r="F4861" s="2">
        <v>46120</v>
      </c>
      <c r="G4861" s="3">
        <v>48</v>
      </c>
      <c r="H4861" t="s">
        <v>28</v>
      </c>
      <c r="I4861">
        <v>68</v>
      </c>
      <c r="J4861">
        <v>0</v>
      </c>
      <c r="K4861">
        <v>0</v>
      </c>
      <c r="L4861" s="3">
        <v>1</v>
      </c>
      <c r="M4861" s="3">
        <v>0</v>
      </c>
      <c r="N4861">
        <v>0</v>
      </c>
      <c r="O4861">
        <v>0</v>
      </c>
      <c r="P4861">
        <v>0</v>
      </c>
      <c r="Q4861">
        <v>11</v>
      </c>
      <c r="R4861" s="3">
        <v>0</v>
      </c>
      <c r="S4861" s="3">
        <v>0</v>
      </c>
      <c r="T4861">
        <v>0</v>
      </c>
      <c r="U4861">
        <v>0</v>
      </c>
      <c r="V4861" s="3">
        <v>0</v>
      </c>
      <c r="W4861" s="3">
        <v>0</v>
      </c>
      <c r="X4861">
        <v>0</v>
      </c>
      <c r="Y4861" t="s">
        <v>3691</v>
      </c>
    </row>
    <row r="4862" spans="1:25" hidden="1" x14ac:dyDescent="0.25">
      <c r="A4862" t="s">
        <v>49</v>
      </c>
      <c r="B4862" t="s">
        <v>118</v>
      </c>
      <c r="C4862" t="s">
        <v>50</v>
      </c>
      <c r="D4862" t="s">
        <v>27</v>
      </c>
      <c r="E4862" s="2">
        <v>46120</v>
      </c>
      <c r="F4862" s="2">
        <v>46120</v>
      </c>
      <c r="G4862" s="3">
        <v>47</v>
      </c>
      <c r="H4862" t="s">
        <v>28</v>
      </c>
      <c r="I4862">
        <v>29</v>
      </c>
      <c r="J4862">
        <v>0</v>
      </c>
      <c r="K4862">
        <v>0</v>
      </c>
      <c r="L4862" s="3">
        <v>1</v>
      </c>
      <c r="M4862" s="3">
        <v>1</v>
      </c>
      <c r="N4862">
        <v>0</v>
      </c>
      <c r="O4862">
        <v>0</v>
      </c>
      <c r="P4862">
        <v>0</v>
      </c>
      <c r="Q4862">
        <v>29</v>
      </c>
      <c r="R4862" s="3">
        <v>0</v>
      </c>
      <c r="S4862" s="3">
        <v>0</v>
      </c>
      <c r="T4862">
        <v>0</v>
      </c>
      <c r="U4862">
        <v>0</v>
      </c>
      <c r="V4862" s="3">
        <v>0</v>
      </c>
      <c r="W4862" s="3">
        <v>0</v>
      </c>
      <c r="X4862">
        <v>0</v>
      </c>
      <c r="Y4862" t="s">
        <v>3692</v>
      </c>
    </row>
    <row r="4863" spans="1:25" hidden="1" x14ac:dyDescent="0.25">
      <c r="A4863" t="s">
        <v>51</v>
      </c>
      <c r="B4863" t="s">
        <v>120</v>
      </c>
      <c r="C4863" t="s">
        <v>55</v>
      </c>
      <c r="D4863" t="s">
        <v>27</v>
      </c>
      <c r="E4863" s="2">
        <v>46120</v>
      </c>
      <c r="F4863" s="2">
        <v>46120</v>
      </c>
      <c r="G4863" s="3">
        <v>490</v>
      </c>
      <c r="H4863" t="s">
        <v>28</v>
      </c>
      <c r="I4863">
        <v>33</v>
      </c>
      <c r="J4863">
        <v>0</v>
      </c>
      <c r="K4863">
        <v>0</v>
      </c>
      <c r="L4863" s="3">
        <v>1</v>
      </c>
      <c r="M4863" s="3">
        <v>0</v>
      </c>
      <c r="N4863">
        <v>1</v>
      </c>
      <c r="O4863">
        <v>0</v>
      </c>
      <c r="P4863">
        <v>0</v>
      </c>
      <c r="Q4863">
        <v>0</v>
      </c>
      <c r="R4863" s="3">
        <v>0</v>
      </c>
      <c r="S4863" s="3">
        <v>0</v>
      </c>
      <c r="T4863">
        <v>0</v>
      </c>
      <c r="U4863">
        <v>0</v>
      </c>
      <c r="V4863" s="3">
        <v>0</v>
      </c>
      <c r="W4863" s="3">
        <v>0</v>
      </c>
      <c r="X4863">
        <v>0</v>
      </c>
      <c r="Y4863" t="s">
        <v>3693</v>
      </c>
    </row>
    <row r="4864" spans="1:25" hidden="1" x14ac:dyDescent="0.25">
      <c r="A4864" t="s">
        <v>48</v>
      </c>
      <c r="B4864" t="s">
        <v>149</v>
      </c>
      <c r="C4864" t="s">
        <v>37</v>
      </c>
      <c r="D4864" t="s">
        <v>27</v>
      </c>
      <c r="E4864" s="2">
        <v>46120</v>
      </c>
      <c r="F4864" s="2">
        <v>46120</v>
      </c>
      <c r="G4864" s="3">
        <v>28</v>
      </c>
      <c r="H4864" t="s">
        <v>28</v>
      </c>
      <c r="I4864">
        <v>60</v>
      </c>
      <c r="J4864">
        <v>0</v>
      </c>
      <c r="K4864">
        <v>0</v>
      </c>
      <c r="L4864" s="3">
        <v>1</v>
      </c>
      <c r="M4864" s="3">
        <v>0</v>
      </c>
      <c r="N4864">
        <v>0</v>
      </c>
      <c r="O4864">
        <v>0</v>
      </c>
      <c r="P4864">
        <v>0</v>
      </c>
      <c r="Q4864">
        <v>0</v>
      </c>
      <c r="R4864" s="3">
        <v>0</v>
      </c>
      <c r="S4864" s="3">
        <v>0</v>
      </c>
      <c r="T4864">
        <v>0</v>
      </c>
      <c r="U4864">
        <v>0</v>
      </c>
      <c r="V4864" s="3">
        <v>0</v>
      </c>
      <c r="W4864" s="3">
        <v>0</v>
      </c>
      <c r="X4864">
        <v>0</v>
      </c>
      <c r="Y4864" t="s">
        <v>3694</v>
      </c>
    </row>
    <row r="4865" spans="1:25" hidden="1" x14ac:dyDescent="0.25">
      <c r="A4865" t="s">
        <v>54</v>
      </c>
      <c r="B4865" t="s">
        <v>122</v>
      </c>
      <c r="C4865" t="s">
        <v>2271</v>
      </c>
      <c r="D4865" t="s">
        <v>27</v>
      </c>
      <c r="E4865" s="2">
        <v>46120</v>
      </c>
      <c r="F4865" s="2">
        <v>46120</v>
      </c>
      <c r="G4865" s="3">
        <v>36</v>
      </c>
      <c r="H4865" t="s">
        <v>28</v>
      </c>
      <c r="I4865">
        <v>59</v>
      </c>
      <c r="J4865">
        <v>0</v>
      </c>
      <c r="K4865">
        <v>0</v>
      </c>
      <c r="L4865" s="3">
        <v>0</v>
      </c>
      <c r="M4865" s="3">
        <v>0</v>
      </c>
      <c r="N4865">
        <v>0</v>
      </c>
      <c r="O4865">
        <v>0</v>
      </c>
      <c r="P4865">
        <v>0</v>
      </c>
      <c r="Q4865">
        <v>2</v>
      </c>
      <c r="R4865" s="3">
        <v>0</v>
      </c>
      <c r="S4865" s="3">
        <v>0</v>
      </c>
      <c r="T4865">
        <v>0</v>
      </c>
      <c r="U4865">
        <v>0</v>
      </c>
      <c r="V4865" s="3">
        <v>0</v>
      </c>
      <c r="W4865" s="3">
        <v>0</v>
      </c>
      <c r="X4865">
        <v>0</v>
      </c>
      <c r="Y4865" t="s">
        <v>3677</v>
      </c>
    </row>
    <row r="4866" spans="1:25" hidden="1" x14ac:dyDescent="0.25">
      <c r="A4866" t="s">
        <v>55</v>
      </c>
      <c r="B4866" t="s">
        <v>2072</v>
      </c>
      <c r="C4866" t="s">
        <v>2310</v>
      </c>
      <c r="D4866" t="s">
        <v>27</v>
      </c>
      <c r="E4866" s="2">
        <v>46121</v>
      </c>
      <c r="F4866" s="2">
        <v>46121</v>
      </c>
      <c r="G4866" s="3">
        <v>34</v>
      </c>
      <c r="H4866" t="s">
        <v>28</v>
      </c>
      <c r="I4866">
        <v>45</v>
      </c>
      <c r="J4866">
        <v>0</v>
      </c>
      <c r="K4866">
        <v>0</v>
      </c>
      <c r="L4866" s="3">
        <v>1</v>
      </c>
      <c r="M4866" s="3">
        <v>0</v>
      </c>
      <c r="N4866">
        <v>1</v>
      </c>
      <c r="O4866">
        <v>0</v>
      </c>
      <c r="P4866">
        <v>0</v>
      </c>
      <c r="Q4866">
        <v>0</v>
      </c>
      <c r="R4866" s="3">
        <v>0</v>
      </c>
      <c r="S4866" s="3">
        <v>0</v>
      </c>
      <c r="T4866">
        <v>0</v>
      </c>
      <c r="U4866">
        <v>0</v>
      </c>
      <c r="V4866" s="3">
        <v>0</v>
      </c>
      <c r="W4866" s="3">
        <v>0</v>
      </c>
      <c r="X4866">
        <v>0</v>
      </c>
      <c r="Y4866" t="s">
        <v>3695</v>
      </c>
    </row>
    <row r="4867" spans="1:25" hidden="1" x14ac:dyDescent="0.25">
      <c r="A4867" t="s">
        <v>25</v>
      </c>
      <c r="B4867" t="s">
        <v>96</v>
      </c>
      <c r="C4867" t="s">
        <v>26</v>
      </c>
      <c r="D4867" t="s">
        <v>27</v>
      </c>
      <c r="E4867" s="2">
        <v>46121</v>
      </c>
      <c r="F4867" s="2">
        <v>46121</v>
      </c>
      <c r="G4867" s="3">
        <v>41</v>
      </c>
      <c r="H4867" t="s">
        <v>28</v>
      </c>
      <c r="I4867">
        <v>46</v>
      </c>
      <c r="J4867">
        <v>0</v>
      </c>
      <c r="K4867">
        <v>0</v>
      </c>
      <c r="L4867" s="3">
        <v>1</v>
      </c>
      <c r="M4867" s="3">
        <v>0</v>
      </c>
      <c r="N4867">
        <v>1</v>
      </c>
      <c r="O4867">
        <v>0</v>
      </c>
      <c r="P4867">
        <v>0</v>
      </c>
      <c r="Q4867">
        <v>0</v>
      </c>
      <c r="R4867" s="3">
        <v>0</v>
      </c>
      <c r="S4867" s="3">
        <v>0</v>
      </c>
      <c r="T4867">
        <v>0</v>
      </c>
      <c r="U4867">
        <v>0</v>
      </c>
      <c r="V4867" s="3">
        <v>0</v>
      </c>
      <c r="W4867" s="3">
        <v>0</v>
      </c>
      <c r="X4867">
        <v>0</v>
      </c>
      <c r="Y4867" t="s">
        <v>3696</v>
      </c>
    </row>
    <row r="4868" spans="1:25" hidden="1" x14ac:dyDescent="0.25">
      <c r="A4868" t="s">
        <v>29</v>
      </c>
      <c r="B4868" t="s">
        <v>100</v>
      </c>
      <c r="C4868" t="s">
        <v>95</v>
      </c>
      <c r="D4868" t="s">
        <v>27</v>
      </c>
      <c r="E4868" s="2">
        <v>46121</v>
      </c>
      <c r="F4868" s="2">
        <v>46121</v>
      </c>
      <c r="G4868" s="3">
        <v>42</v>
      </c>
      <c r="H4868" t="s">
        <v>28</v>
      </c>
      <c r="I4868">
        <v>44</v>
      </c>
      <c r="J4868">
        <v>0</v>
      </c>
      <c r="K4868">
        <v>0</v>
      </c>
      <c r="L4868" s="3">
        <v>1</v>
      </c>
      <c r="M4868" s="3">
        <v>0</v>
      </c>
      <c r="N4868">
        <v>0</v>
      </c>
      <c r="O4868">
        <v>0</v>
      </c>
      <c r="P4868">
        <v>15</v>
      </c>
      <c r="Q4868">
        <v>12</v>
      </c>
      <c r="R4868" s="3">
        <v>0</v>
      </c>
      <c r="S4868" s="3">
        <v>0</v>
      </c>
      <c r="T4868">
        <v>0</v>
      </c>
      <c r="U4868">
        <v>0</v>
      </c>
      <c r="V4868" s="3">
        <v>0</v>
      </c>
      <c r="W4868" s="3">
        <v>0</v>
      </c>
      <c r="X4868">
        <v>0</v>
      </c>
      <c r="Y4868" t="s">
        <v>3697</v>
      </c>
    </row>
    <row r="4869" spans="1:25" hidden="1" x14ac:dyDescent="0.25">
      <c r="A4869" t="s">
        <v>31</v>
      </c>
      <c r="B4869" t="s">
        <v>104</v>
      </c>
      <c r="C4869" t="s">
        <v>32</v>
      </c>
      <c r="D4869" t="s">
        <v>27</v>
      </c>
      <c r="E4869" s="2">
        <v>46121</v>
      </c>
      <c r="F4869" s="2">
        <v>46121</v>
      </c>
      <c r="G4869" s="3">
        <v>54</v>
      </c>
      <c r="H4869" t="s">
        <v>28</v>
      </c>
      <c r="I4869">
        <v>61</v>
      </c>
      <c r="J4869">
        <v>0</v>
      </c>
      <c r="K4869">
        <v>0</v>
      </c>
      <c r="L4869" s="3">
        <v>1</v>
      </c>
      <c r="M4869" s="3">
        <v>0</v>
      </c>
      <c r="N4869">
        <v>0</v>
      </c>
      <c r="O4869">
        <v>0</v>
      </c>
      <c r="P4869">
        <v>0</v>
      </c>
      <c r="Q4869">
        <v>30</v>
      </c>
      <c r="R4869" s="3">
        <v>0</v>
      </c>
      <c r="S4869" s="3">
        <v>0</v>
      </c>
      <c r="T4869">
        <v>0</v>
      </c>
      <c r="U4869">
        <v>0</v>
      </c>
      <c r="V4869" s="3">
        <v>0</v>
      </c>
      <c r="W4869" s="3">
        <v>0</v>
      </c>
      <c r="X4869">
        <v>0</v>
      </c>
      <c r="Y4869" t="s">
        <v>3698</v>
      </c>
    </row>
    <row r="4870" spans="1:25" hidden="1" x14ac:dyDescent="0.25">
      <c r="A4870" t="s">
        <v>33</v>
      </c>
      <c r="B4870" t="s">
        <v>106</v>
      </c>
      <c r="C4870" t="s">
        <v>57</v>
      </c>
      <c r="D4870" t="s">
        <v>27</v>
      </c>
      <c r="E4870" s="2">
        <v>46121</v>
      </c>
      <c r="F4870" s="2">
        <v>46121</v>
      </c>
      <c r="G4870" s="3">
        <v>40</v>
      </c>
      <c r="H4870" t="s">
        <v>28</v>
      </c>
      <c r="I4870">
        <v>42</v>
      </c>
      <c r="J4870">
        <v>0</v>
      </c>
      <c r="K4870">
        <v>0</v>
      </c>
      <c r="L4870" s="3">
        <v>0</v>
      </c>
      <c r="M4870" s="3">
        <v>0</v>
      </c>
      <c r="N4870">
        <v>0</v>
      </c>
      <c r="O4870">
        <v>0</v>
      </c>
      <c r="P4870">
        <v>0</v>
      </c>
      <c r="Q4870">
        <v>5</v>
      </c>
      <c r="R4870" s="3">
        <v>0</v>
      </c>
      <c r="S4870" s="3">
        <v>0</v>
      </c>
      <c r="T4870">
        <v>0</v>
      </c>
      <c r="U4870">
        <v>0</v>
      </c>
      <c r="V4870" s="3">
        <v>0</v>
      </c>
      <c r="W4870" s="3">
        <v>0</v>
      </c>
      <c r="X4870">
        <v>1</v>
      </c>
      <c r="Y4870" t="s">
        <v>3699</v>
      </c>
    </row>
    <row r="4871" spans="1:25" hidden="1" x14ac:dyDescent="0.25">
      <c r="A4871" t="s">
        <v>597</v>
      </c>
      <c r="B4871" t="s">
        <v>598</v>
      </c>
      <c r="C4871" t="s">
        <v>46</v>
      </c>
      <c r="D4871" t="s">
        <v>27</v>
      </c>
      <c r="E4871" s="2">
        <v>46121</v>
      </c>
      <c r="F4871" s="2">
        <v>46121</v>
      </c>
      <c r="G4871" s="3">
        <v>42</v>
      </c>
      <c r="H4871" t="s">
        <v>28</v>
      </c>
      <c r="I4871">
        <v>36</v>
      </c>
      <c r="J4871">
        <v>0</v>
      </c>
      <c r="K4871">
        <v>0</v>
      </c>
      <c r="L4871" s="3">
        <v>0</v>
      </c>
      <c r="M4871" s="3">
        <v>0</v>
      </c>
      <c r="N4871">
        <v>0</v>
      </c>
      <c r="O4871">
        <v>0</v>
      </c>
      <c r="P4871">
        <v>0</v>
      </c>
      <c r="Q4871">
        <v>20</v>
      </c>
      <c r="R4871" s="3">
        <v>0</v>
      </c>
      <c r="S4871" s="3">
        <v>0</v>
      </c>
      <c r="T4871">
        <v>0</v>
      </c>
      <c r="U4871">
        <v>0</v>
      </c>
      <c r="V4871" s="3">
        <v>0</v>
      </c>
      <c r="W4871" s="3">
        <v>0</v>
      </c>
      <c r="X4871">
        <v>0</v>
      </c>
      <c r="Y4871" t="s">
        <v>3700</v>
      </c>
    </row>
    <row r="4872" spans="1:25" hidden="1" x14ac:dyDescent="0.25">
      <c r="A4872" t="s">
        <v>36</v>
      </c>
      <c r="B4872" t="s">
        <v>249</v>
      </c>
      <c r="C4872" t="s">
        <v>35</v>
      </c>
      <c r="D4872" t="s">
        <v>27</v>
      </c>
      <c r="E4872" s="2">
        <v>46121</v>
      </c>
      <c r="F4872" s="2">
        <v>46121</v>
      </c>
      <c r="G4872" s="3">
        <v>68</v>
      </c>
      <c r="H4872" t="s">
        <v>28</v>
      </c>
      <c r="I4872">
        <v>65</v>
      </c>
      <c r="J4872">
        <v>0</v>
      </c>
      <c r="K4872">
        <v>0</v>
      </c>
      <c r="L4872" s="3">
        <v>0</v>
      </c>
      <c r="M4872" s="3">
        <v>0</v>
      </c>
      <c r="N4872">
        <v>0</v>
      </c>
      <c r="O4872">
        <v>0</v>
      </c>
      <c r="P4872">
        <v>0</v>
      </c>
      <c r="Q4872">
        <v>0</v>
      </c>
      <c r="R4872" s="3">
        <v>0</v>
      </c>
      <c r="S4872" s="3">
        <v>0</v>
      </c>
      <c r="T4872">
        <v>0</v>
      </c>
      <c r="U4872">
        <v>0</v>
      </c>
      <c r="V4872" s="3">
        <v>0</v>
      </c>
      <c r="W4872" s="3">
        <v>0</v>
      </c>
      <c r="X4872">
        <v>0</v>
      </c>
      <c r="Y4872" t="s">
        <v>3701</v>
      </c>
    </row>
    <row r="4873" spans="1:25" hidden="1" x14ac:dyDescent="0.25">
      <c r="A4873" t="s">
        <v>38</v>
      </c>
      <c r="B4873" t="s">
        <v>108</v>
      </c>
      <c r="C4873" t="s">
        <v>27</v>
      </c>
      <c r="D4873" t="s">
        <v>27</v>
      </c>
      <c r="E4873" s="2">
        <v>46121</v>
      </c>
      <c r="F4873" s="2">
        <v>46121</v>
      </c>
      <c r="G4873" s="3">
        <v>30</v>
      </c>
      <c r="H4873" t="s">
        <v>28</v>
      </c>
      <c r="I4873">
        <v>22</v>
      </c>
      <c r="J4873">
        <v>0</v>
      </c>
      <c r="K4873">
        <v>0</v>
      </c>
      <c r="L4873" s="3">
        <v>1</v>
      </c>
      <c r="M4873" s="3">
        <v>0</v>
      </c>
      <c r="N4873">
        <v>0</v>
      </c>
      <c r="O4873">
        <v>0</v>
      </c>
      <c r="P4873">
        <v>0</v>
      </c>
      <c r="Q4873">
        <v>22</v>
      </c>
      <c r="R4873" s="3">
        <v>0</v>
      </c>
      <c r="S4873" s="3">
        <v>0</v>
      </c>
      <c r="T4873">
        <v>0</v>
      </c>
      <c r="U4873">
        <v>0</v>
      </c>
      <c r="V4873" s="3">
        <v>0</v>
      </c>
      <c r="W4873" s="3">
        <v>0</v>
      </c>
      <c r="X4873">
        <v>0</v>
      </c>
      <c r="Y4873" t="s">
        <v>3702</v>
      </c>
    </row>
    <row r="4874" spans="1:25" hidden="1" x14ac:dyDescent="0.25">
      <c r="A4874" t="s">
        <v>2679</v>
      </c>
      <c r="B4874" t="s">
        <v>2680</v>
      </c>
      <c r="C4874" t="s">
        <v>39</v>
      </c>
      <c r="D4874" t="s">
        <v>27</v>
      </c>
      <c r="E4874" s="2">
        <v>46121</v>
      </c>
      <c r="F4874" s="2">
        <v>46121</v>
      </c>
      <c r="G4874" s="3">
        <v>34</v>
      </c>
      <c r="H4874" t="s">
        <v>28</v>
      </c>
      <c r="I4874">
        <v>22</v>
      </c>
      <c r="J4874">
        <v>0</v>
      </c>
      <c r="K4874">
        <v>0</v>
      </c>
      <c r="L4874" s="3">
        <v>0</v>
      </c>
      <c r="M4874" s="3">
        <v>0</v>
      </c>
      <c r="N4874">
        <v>0</v>
      </c>
      <c r="O4874">
        <v>0</v>
      </c>
      <c r="P4874">
        <v>0</v>
      </c>
      <c r="Q4874">
        <v>22</v>
      </c>
      <c r="R4874" s="3">
        <v>0</v>
      </c>
      <c r="S4874" s="3">
        <v>0</v>
      </c>
      <c r="T4874">
        <v>0</v>
      </c>
      <c r="U4874">
        <v>0</v>
      </c>
      <c r="V4874" s="3">
        <v>0</v>
      </c>
      <c r="W4874" s="3">
        <v>0</v>
      </c>
      <c r="X4874">
        <v>0</v>
      </c>
      <c r="Y4874" t="s">
        <v>3703</v>
      </c>
    </row>
    <row r="4875" spans="1:25" hidden="1" x14ac:dyDescent="0.25">
      <c r="A4875" t="s">
        <v>40</v>
      </c>
      <c r="B4875" t="s">
        <v>110</v>
      </c>
      <c r="C4875" t="s">
        <v>2534</v>
      </c>
      <c r="D4875" t="s">
        <v>27</v>
      </c>
      <c r="E4875" s="2">
        <v>46121</v>
      </c>
      <c r="F4875" s="2">
        <v>46121</v>
      </c>
      <c r="G4875" s="3">
        <v>56</v>
      </c>
      <c r="H4875" t="s">
        <v>28</v>
      </c>
      <c r="I4875">
        <v>35</v>
      </c>
      <c r="J4875">
        <v>0</v>
      </c>
      <c r="K4875">
        <v>0</v>
      </c>
      <c r="L4875" s="3">
        <v>1</v>
      </c>
      <c r="M4875" s="3">
        <v>0</v>
      </c>
      <c r="N4875">
        <v>1</v>
      </c>
      <c r="O4875">
        <v>0</v>
      </c>
      <c r="P4875">
        <v>0</v>
      </c>
      <c r="Q4875">
        <v>0</v>
      </c>
      <c r="R4875" s="3">
        <v>0</v>
      </c>
      <c r="S4875" s="3">
        <v>0</v>
      </c>
      <c r="T4875">
        <v>0</v>
      </c>
      <c r="U4875">
        <v>0</v>
      </c>
      <c r="V4875" s="3">
        <v>0</v>
      </c>
      <c r="W4875" s="3">
        <v>0</v>
      </c>
      <c r="X4875">
        <v>0</v>
      </c>
      <c r="Y4875" t="s">
        <v>3704</v>
      </c>
    </row>
    <row r="4876" spans="1:25" hidden="1" x14ac:dyDescent="0.25">
      <c r="A4876" t="s">
        <v>41</v>
      </c>
      <c r="B4876" t="s">
        <v>112</v>
      </c>
      <c r="C4876" t="s">
        <v>42</v>
      </c>
      <c r="D4876" t="s">
        <v>27</v>
      </c>
      <c r="E4876" s="2">
        <v>46121</v>
      </c>
      <c r="F4876" s="2">
        <v>46121</v>
      </c>
      <c r="G4876" s="3">
        <v>57</v>
      </c>
      <c r="H4876" t="s">
        <v>28</v>
      </c>
      <c r="I4876">
        <v>48</v>
      </c>
      <c r="J4876">
        <v>0</v>
      </c>
      <c r="K4876">
        <v>0</v>
      </c>
      <c r="L4876" s="3">
        <v>1</v>
      </c>
      <c r="M4876" s="3">
        <v>0</v>
      </c>
      <c r="N4876">
        <v>0</v>
      </c>
      <c r="O4876">
        <v>0</v>
      </c>
      <c r="P4876">
        <v>0</v>
      </c>
      <c r="Q4876">
        <v>4</v>
      </c>
      <c r="R4876" s="3">
        <v>0</v>
      </c>
      <c r="S4876" s="3">
        <v>0</v>
      </c>
      <c r="T4876">
        <v>0</v>
      </c>
      <c r="U4876">
        <v>0</v>
      </c>
      <c r="V4876" s="3">
        <v>0</v>
      </c>
      <c r="W4876" s="3">
        <v>0</v>
      </c>
      <c r="X4876">
        <v>16</v>
      </c>
      <c r="Y4876" t="s">
        <v>3705</v>
      </c>
    </row>
    <row r="4877" spans="1:25" hidden="1" x14ac:dyDescent="0.25">
      <c r="A4877" t="s">
        <v>43</v>
      </c>
      <c r="B4877" t="s">
        <v>114</v>
      </c>
      <c r="C4877" t="s">
        <v>44</v>
      </c>
      <c r="D4877" t="s">
        <v>27</v>
      </c>
      <c r="E4877" s="2">
        <v>46121</v>
      </c>
      <c r="F4877" s="2">
        <v>46121</v>
      </c>
      <c r="G4877" s="3">
        <v>21</v>
      </c>
      <c r="H4877" t="s">
        <v>28</v>
      </c>
      <c r="I4877">
        <v>51</v>
      </c>
      <c r="J4877">
        <v>0</v>
      </c>
      <c r="K4877">
        <v>0</v>
      </c>
      <c r="L4877" s="3">
        <v>1</v>
      </c>
      <c r="M4877" s="3">
        <v>1</v>
      </c>
      <c r="N4877">
        <v>0</v>
      </c>
      <c r="O4877">
        <v>0</v>
      </c>
      <c r="P4877">
        <v>0</v>
      </c>
      <c r="Q4877">
        <v>0</v>
      </c>
      <c r="R4877" s="3">
        <v>0</v>
      </c>
      <c r="S4877" s="3">
        <v>0</v>
      </c>
      <c r="T4877">
        <v>0</v>
      </c>
      <c r="U4877">
        <v>0</v>
      </c>
      <c r="V4877" s="3">
        <v>0</v>
      </c>
      <c r="W4877" s="3">
        <v>0</v>
      </c>
      <c r="X4877">
        <v>0</v>
      </c>
      <c r="Y4877" t="s">
        <v>3706</v>
      </c>
    </row>
    <row r="4878" spans="1:25" hidden="1" x14ac:dyDescent="0.25">
      <c r="A4878" t="s">
        <v>49</v>
      </c>
      <c r="B4878" t="s">
        <v>118</v>
      </c>
      <c r="C4878" t="s">
        <v>50</v>
      </c>
      <c r="D4878" t="s">
        <v>27</v>
      </c>
      <c r="E4878" s="2">
        <v>46121</v>
      </c>
      <c r="F4878" s="2">
        <v>46121</v>
      </c>
      <c r="G4878" s="3">
        <v>39</v>
      </c>
      <c r="H4878" t="s">
        <v>28</v>
      </c>
      <c r="I4878">
        <v>45</v>
      </c>
      <c r="J4878">
        <v>0</v>
      </c>
      <c r="K4878">
        <v>0</v>
      </c>
      <c r="L4878" s="3">
        <v>1</v>
      </c>
      <c r="M4878" s="3">
        <v>1</v>
      </c>
      <c r="N4878">
        <v>0</v>
      </c>
      <c r="O4878">
        <v>1</v>
      </c>
      <c r="P4878">
        <v>0</v>
      </c>
      <c r="Q4878">
        <v>45</v>
      </c>
      <c r="R4878" s="3">
        <v>0</v>
      </c>
      <c r="S4878" s="3">
        <v>0</v>
      </c>
      <c r="T4878">
        <v>0</v>
      </c>
      <c r="U4878">
        <v>0</v>
      </c>
      <c r="V4878" s="3">
        <v>0</v>
      </c>
      <c r="W4878" s="3">
        <v>0</v>
      </c>
      <c r="X4878">
        <v>0</v>
      </c>
      <c r="Y4878" t="s">
        <v>3707</v>
      </c>
    </row>
    <row r="4879" spans="1:25" hidden="1" x14ac:dyDescent="0.25">
      <c r="A4879" t="s">
        <v>51</v>
      </c>
      <c r="B4879" t="s">
        <v>120</v>
      </c>
      <c r="C4879" t="s">
        <v>2835</v>
      </c>
      <c r="D4879" t="s">
        <v>27</v>
      </c>
      <c r="E4879" s="2">
        <v>46121</v>
      </c>
      <c r="F4879" s="2">
        <v>46121</v>
      </c>
      <c r="G4879" s="3">
        <v>731</v>
      </c>
      <c r="H4879" t="s">
        <v>28</v>
      </c>
      <c r="I4879">
        <v>53</v>
      </c>
      <c r="J4879">
        <v>0</v>
      </c>
      <c r="K4879">
        <v>0</v>
      </c>
      <c r="L4879" s="3">
        <v>1</v>
      </c>
      <c r="M4879" s="3">
        <v>0</v>
      </c>
      <c r="N4879">
        <v>0</v>
      </c>
      <c r="O4879">
        <v>0</v>
      </c>
      <c r="P4879">
        <v>0</v>
      </c>
      <c r="Q4879">
        <v>2</v>
      </c>
      <c r="R4879" s="3">
        <v>0</v>
      </c>
      <c r="S4879" s="3">
        <v>0</v>
      </c>
      <c r="T4879">
        <v>0</v>
      </c>
      <c r="U4879">
        <v>0</v>
      </c>
      <c r="V4879" s="3">
        <v>0</v>
      </c>
      <c r="W4879" s="3">
        <v>0</v>
      </c>
      <c r="X4879">
        <v>0</v>
      </c>
      <c r="Y4879" t="s">
        <v>3708</v>
      </c>
    </row>
    <row r="4880" spans="1:25" hidden="1" x14ac:dyDescent="0.25">
      <c r="A4880" t="s">
        <v>54</v>
      </c>
      <c r="B4880" t="s">
        <v>122</v>
      </c>
      <c r="C4880" t="s">
        <v>2271</v>
      </c>
      <c r="D4880" t="s">
        <v>27</v>
      </c>
      <c r="E4880" s="2">
        <v>46121</v>
      </c>
      <c r="F4880" s="2">
        <v>46121</v>
      </c>
      <c r="G4880" s="3">
        <v>32</v>
      </c>
      <c r="H4880" t="s">
        <v>28</v>
      </c>
      <c r="I4880">
        <v>51</v>
      </c>
      <c r="J4880">
        <v>0</v>
      </c>
      <c r="K4880">
        <v>0</v>
      </c>
      <c r="L4880" s="3">
        <v>0</v>
      </c>
      <c r="M4880" s="3">
        <v>0</v>
      </c>
      <c r="N4880">
        <v>0</v>
      </c>
      <c r="O4880">
        <v>0</v>
      </c>
      <c r="P4880">
        <v>0</v>
      </c>
      <c r="Q4880">
        <v>2</v>
      </c>
      <c r="R4880" s="3">
        <v>0</v>
      </c>
      <c r="S4880" s="3">
        <v>0</v>
      </c>
      <c r="T4880">
        <v>0</v>
      </c>
      <c r="U4880">
        <v>0</v>
      </c>
      <c r="V4880" s="3">
        <v>0</v>
      </c>
      <c r="W4880" s="3">
        <v>0</v>
      </c>
      <c r="X4880">
        <v>0</v>
      </c>
      <c r="Y4880" t="s">
        <v>3709</v>
      </c>
    </row>
    <row r="4881" spans="1:25" hidden="1" x14ac:dyDescent="0.25">
      <c r="A4881" t="s">
        <v>48</v>
      </c>
      <c r="B4881" t="s">
        <v>149</v>
      </c>
      <c r="C4881" t="s">
        <v>37</v>
      </c>
      <c r="D4881" t="s">
        <v>27</v>
      </c>
      <c r="E4881" s="2">
        <v>46121</v>
      </c>
      <c r="F4881" s="2">
        <v>46121</v>
      </c>
      <c r="G4881" s="3">
        <v>25</v>
      </c>
      <c r="H4881" t="s">
        <v>28</v>
      </c>
      <c r="I4881">
        <v>30</v>
      </c>
      <c r="J4881">
        <v>0</v>
      </c>
      <c r="K4881">
        <v>0</v>
      </c>
      <c r="L4881" s="3">
        <v>1</v>
      </c>
      <c r="M4881" s="3">
        <v>0</v>
      </c>
      <c r="N4881">
        <v>0</v>
      </c>
      <c r="O4881">
        <v>0</v>
      </c>
      <c r="P4881">
        <v>0</v>
      </c>
      <c r="Q4881">
        <v>0</v>
      </c>
      <c r="R4881" s="3">
        <v>0</v>
      </c>
      <c r="S4881" s="3">
        <v>0</v>
      </c>
      <c r="T4881">
        <v>0</v>
      </c>
      <c r="U4881">
        <v>0</v>
      </c>
      <c r="V4881" s="3">
        <v>0</v>
      </c>
      <c r="W4881" s="3">
        <v>0</v>
      </c>
      <c r="X4881">
        <v>0</v>
      </c>
      <c r="Y4881" t="s">
        <v>3710</v>
      </c>
    </row>
    <row r="4882" spans="1:25" hidden="1" x14ac:dyDescent="0.25">
      <c r="A4882" t="s">
        <v>27</v>
      </c>
      <c r="B4882" t="s">
        <v>739</v>
      </c>
      <c r="C4882" t="s">
        <v>2514</v>
      </c>
      <c r="D4882" t="s">
        <v>27</v>
      </c>
      <c r="E4882" s="2">
        <v>46121</v>
      </c>
      <c r="F4882" s="2">
        <v>46121</v>
      </c>
      <c r="G4882" s="3">
        <v>25</v>
      </c>
      <c r="H4882" t="s">
        <v>2143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 t="s">
        <v>3710</v>
      </c>
    </row>
    <row r="4883" spans="1:25" hidden="1" x14ac:dyDescent="0.25">
      <c r="A4883" t="s">
        <v>344</v>
      </c>
      <c r="B4883" t="s">
        <v>755</v>
      </c>
      <c r="C4883" t="s">
        <v>27</v>
      </c>
      <c r="D4883" t="s">
        <v>27</v>
      </c>
      <c r="E4883" s="2">
        <v>46121</v>
      </c>
      <c r="F4883" s="2">
        <v>46121</v>
      </c>
      <c r="G4883" s="3">
        <v>25</v>
      </c>
      <c r="H4883" t="s">
        <v>2143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 t="s">
        <v>3710</v>
      </c>
    </row>
    <row r="4884" spans="1:25" hidden="1" x14ac:dyDescent="0.25">
      <c r="A4884" t="s">
        <v>2899</v>
      </c>
      <c r="B4884" t="s">
        <v>758</v>
      </c>
      <c r="C4884" t="s">
        <v>27</v>
      </c>
      <c r="D4884" t="s">
        <v>27</v>
      </c>
      <c r="E4884" s="2">
        <v>46121</v>
      </c>
      <c r="F4884" s="2">
        <v>46121</v>
      </c>
      <c r="G4884" s="3">
        <v>25</v>
      </c>
      <c r="H4884" t="s">
        <v>959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3710</v>
      </c>
    </row>
    <row r="4885" spans="1:25" hidden="1" x14ac:dyDescent="0.25">
      <c r="A4885" t="s">
        <v>47</v>
      </c>
      <c r="B4885" t="s">
        <v>798</v>
      </c>
      <c r="C4885" t="s">
        <v>27</v>
      </c>
      <c r="D4885" t="s">
        <v>27</v>
      </c>
      <c r="E4885" s="2">
        <v>46121</v>
      </c>
      <c r="F4885" s="2">
        <v>46121</v>
      </c>
      <c r="G4885" s="3">
        <v>49</v>
      </c>
      <c r="H4885" t="s">
        <v>763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t="s">
        <v>3711</v>
      </c>
    </row>
    <row r="4886" spans="1:25" hidden="1" x14ac:dyDescent="0.25">
      <c r="A4886" t="s">
        <v>27</v>
      </c>
      <c r="B4886" t="s">
        <v>2764</v>
      </c>
      <c r="C4886" t="s">
        <v>52</v>
      </c>
      <c r="D4886" t="s">
        <v>27</v>
      </c>
      <c r="E4886" s="2">
        <v>46121</v>
      </c>
      <c r="F4886" s="2">
        <v>46121</v>
      </c>
      <c r="G4886" s="3">
        <v>50</v>
      </c>
      <c r="H4886" t="s">
        <v>763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3711</v>
      </c>
    </row>
    <row r="4887" spans="1:25" hidden="1" x14ac:dyDescent="0.25">
      <c r="A4887" t="s">
        <v>55</v>
      </c>
      <c r="B4887" t="s">
        <v>2072</v>
      </c>
      <c r="C4887" t="s">
        <v>2835</v>
      </c>
      <c r="D4887" t="s">
        <v>27</v>
      </c>
      <c r="E4887" s="2">
        <v>46122</v>
      </c>
      <c r="F4887" s="2">
        <v>46122</v>
      </c>
      <c r="G4887" s="3">
        <v>35</v>
      </c>
      <c r="H4887" t="s">
        <v>28</v>
      </c>
      <c r="I4887">
        <v>36</v>
      </c>
      <c r="J4887">
        <v>0</v>
      </c>
      <c r="K4887">
        <v>0</v>
      </c>
      <c r="L4887" s="3">
        <v>1</v>
      </c>
      <c r="M4887" s="3">
        <v>0</v>
      </c>
      <c r="N4887">
        <v>1</v>
      </c>
      <c r="O4887">
        <v>0</v>
      </c>
      <c r="P4887">
        <v>0</v>
      </c>
      <c r="Q4887">
        <v>0</v>
      </c>
      <c r="R4887" s="3">
        <v>0</v>
      </c>
      <c r="S4887" s="3">
        <v>0</v>
      </c>
      <c r="T4887">
        <v>0</v>
      </c>
      <c r="U4887">
        <v>0</v>
      </c>
      <c r="V4887" s="3">
        <v>0</v>
      </c>
      <c r="W4887" s="3">
        <v>0</v>
      </c>
      <c r="X4887">
        <v>0</v>
      </c>
      <c r="Y4887" t="s">
        <v>3712</v>
      </c>
    </row>
    <row r="4888" spans="1:25" hidden="1" x14ac:dyDescent="0.25">
      <c r="A4888" t="s">
        <v>25</v>
      </c>
      <c r="B4888" t="s">
        <v>96</v>
      </c>
      <c r="C4888" t="s">
        <v>26</v>
      </c>
      <c r="D4888" t="s">
        <v>27</v>
      </c>
      <c r="E4888" s="2">
        <v>46122</v>
      </c>
      <c r="F4888" s="2">
        <v>46122</v>
      </c>
      <c r="G4888" s="3">
        <v>38</v>
      </c>
      <c r="H4888" t="s">
        <v>28</v>
      </c>
      <c r="I4888">
        <v>45</v>
      </c>
      <c r="J4888">
        <v>0</v>
      </c>
      <c r="K4888">
        <v>0</v>
      </c>
      <c r="L4888" s="3">
        <v>0</v>
      </c>
      <c r="M4888" s="3">
        <v>1</v>
      </c>
      <c r="N4888">
        <v>1</v>
      </c>
      <c r="O4888">
        <v>0</v>
      </c>
      <c r="P4888">
        <v>0</v>
      </c>
      <c r="Q4888">
        <v>0</v>
      </c>
      <c r="R4888" s="3">
        <v>0</v>
      </c>
      <c r="S4888" s="3">
        <v>0</v>
      </c>
      <c r="T4888">
        <v>0</v>
      </c>
      <c r="U4888">
        <v>0</v>
      </c>
      <c r="V4888" s="3">
        <v>0</v>
      </c>
      <c r="W4888" s="3">
        <v>0</v>
      </c>
      <c r="X4888">
        <v>0</v>
      </c>
      <c r="Y4888" t="s">
        <v>3713</v>
      </c>
    </row>
    <row r="4889" spans="1:25" hidden="1" x14ac:dyDescent="0.25">
      <c r="A4889" t="s">
        <v>29</v>
      </c>
      <c r="B4889" t="s">
        <v>100</v>
      </c>
      <c r="C4889" t="s">
        <v>35</v>
      </c>
      <c r="D4889" t="s">
        <v>27</v>
      </c>
      <c r="E4889" s="2">
        <v>46122</v>
      </c>
      <c r="F4889" s="2">
        <v>46122</v>
      </c>
      <c r="G4889" s="3">
        <v>50</v>
      </c>
      <c r="H4889" t="s">
        <v>28</v>
      </c>
      <c r="I4889">
        <v>43</v>
      </c>
      <c r="J4889">
        <v>0</v>
      </c>
      <c r="K4889">
        <v>0</v>
      </c>
      <c r="L4889" s="3">
        <v>0</v>
      </c>
      <c r="M4889" s="3">
        <v>0</v>
      </c>
      <c r="N4889">
        <v>0</v>
      </c>
      <c r="O4889">
        <v>0</v>
      </c>
      <c r="P4889">
        <v>0</v>
      </c>
      <c r="Q4889">
        <v>0</v>
      </c>
      <c r="R4889" s="3">
        <v>0</v>
      </c>
      <c r="S4889" s="3">
        <v>0</v>
      </c>
      <c r="T4889">
        <v>0</v>
      </c>
      <c r="U4889">
        <v>0</v>
      </c>
      <c r="V4889" s="3">
        <v>0</v>
      </c>
      <c r="W4889" s="3">
        <v>0</v>
      </c>
      <c r="X4889">
        <v>0</v>
      </c>
      <c r="Y4889" t="s">
        <v>3714</v>
      </c>
    </row>
    <row r="4890" spans="1:25" hidden="1" x14ac:dyDescent="0.25">
      <c r="A4890" t="s">
        <v>344</v>
      </c>
      <c r="B4890" t="s">
        <v>100</v>
      </c>
      <c r="C4890" t="s">
        <v>27</v>
      </c>
      <c r="D4890" t="s">
        <v>27</v>
      </c>
      <c r="E4890" s="2">
        <v>46122</v>
      </c>
      <c r="F4890" s="2">
        <v>46122</v>
      </c>
      <c r="G4890" s="3">
        <v>50</v>
      </c>
      <c r="H4890" t="s">
        <v>28</v>
      </c>
      <c r="I4890">
        <v>43</v>
      </c>
      <c r="J4890">
        <v>0</v>
      </c>
      <c r="K4890">
        <v>0</v>
      </c>
      <c r="L4890" s="3">
        <v>0</v>
      </c>
      <c r="M4890" s="3">
        <v>0</v>
      </c>
      <c r="N4890">
        <v>0</v>
      </c>
      <c r="O4890">
        <v>0</v>
      </c>
      <c r="P4890">
        <v>0</v>
      </c>
      <c r="Q4890">
        <v>0</v>
      </c>
      <c r="R4890" s="3">
        <v>0</v>
      </c>
      <c r="S4890" s="3">
        <v>0</v>
      </c>
      <c r="T4890">
        <v>0</v>
      </c>
      <c r="U4890">
        <v>0</v>
      </c>
      <c r="V4890" s="3">
        <v>0</v>
      </c>
      <c r="W4890" s="3">
        <v>0</v>
      </c>
      <c r="X4890">
        <v>0</v>
      </c>
      <c r="Y4890" t="s">
        <v>3714</v>
      </c>
    </row>
    <row r="4891" spans="1:25" hidden="1" x14ac:dyDescent="0.25">
      <c r="A4891" t="s">
        <v>31</v>
      </c>
      <c r="B4891" t="s">
        <v>104</v>
      </c>
      <c r="C4891" t="s">
        <v>32</v>
      </c>
      <c r="D4891" t="s">
        <v>27</v>
      </c>
      <c r="E4891" s="2">
        <v>46122</v>
      </c>
      <c r="F4891" s="2">
        <v>46122</v>
      </c>
      <c r="G4891" s="3">
        <v>43</v>
      </c>
      <c r="H4891" t="s">
        <v>28</v>
      </c>
      <c r="I4891">
        <v>85</v>
      </c>
      <c r="J4891">
        <v>0</v>
      </c>
      <c r="K4891">
        <v>0</v>
      </c>
      <c r="L4891" s="3">
        <v>1</v>
      </c>
      <c r="M4891" s="3">
        <v>0</v>
      </c>
      <c r="N4891">
        <v>0</v>
      </c>
      <c r="O4891">
        <v>0</v>
      </c>
      <c r="P4891">
        <v>2</v>
      </c>
      <c r="Q4891">
        <v>30</v>
      </c>
      <c r="R4891" s="3">
        <v>0</v>
      </c>
      <c r="S4891" s="3">
        <v>0</v>
      </c>
      <c r="T4891">
        <v>0</v>
      </c>
      <c r="U4891">
        <v>0</v>
      </c>
      <c r="V4891" s="3">
        <v>0</v>
      </c>
      <c r="W4891" s="3">
        <v>0</v>
      </c>
      <c r="X4891">
        <v>0</v>
      </c>
      <c r="Y4891" t="s">
        <v>3715</v>
      </c>
    </row>
    <row r="4892" spans="1:25" hidden="1" x14ac:dyDescent="0.25">
      <c r="A4892" t="s">
        <v>33</v>
      </c>
      <c r="B4892" t="s">
        <v>106</v>
      </c>
      <c r="C4892" t="s">
        <v>57</v>
      </c>
      <c r="D4892" t="s">
        <v>27</v>
      </c>
      <c r="E4892" s="2">
        <v>46122</v>
      </c>
      <c r="F4892" s="2">
        <v>46122</v>
      </c>
      <c r="G4892" s="3">
        <v>44</v>
      </c>
      <c r="H4892" t="s">
        <v>28</v>
      </c>
      <c r="I4892">
        <v>40</v>
      </c>
      <c r="J4892">
        <v>0</v>
      </c>
      <c r="K4892">
        <v>0</v>
      </c>
      <c r="L4892" s="3">
        <v>0</v>
      </c>
      <c r="M4892" s="3">
        <v>0</v>
      </c>
      <c r="N4892">
        <v>0</v>
      </c>
      <c r="O4892">
        <v>0</v>
      </c>
      <c r="P4892">
        <v>0</v>
      </c>
      <c r="Q4892">
        <v>21</v>
      </c>
      <c r="R4892" s="3">
        <v>0</v>
      </c>
      <c r="S4892" s="3">
        <v>0</v>
      </c>
      <c r="T4892">
        <v>0</v>
      </c>
      <c r="U4892">
        <v>0</v>
      </c>
      <c r="V4892" s="3">
        <v>0</v>
      </c>
      <c r="W4892" s="3">
        <v>0</v>
      </c>
      <c r="X4892">
        <v>0</v>
      </c>
      <c r="Y4892" t="s">
        <v>3716</v>
      </c>
    </row>
    <row r="4893" spans="1:25" hidden="1" x14ac:dyDescent="0.25">
      <c r="A4893" t="s">
        <v>45</v>
      </c>
      <c r="B4893" t="s">
        <v>598</v>
      </c>
      <c r="C4893" t="s">
        <v>46</v>
      </c>
      <c r="D4893" t="s">
        <v>27</v>
      </c>
      <c r="E4893" s="2">
        <v>46122</v>
      </c>
      <c r="F4893" s="2">
        <v>46122</v>
      </c>
      <c r="G4893" s="3">
        <v>40</v>
      </c>
      <c r="H4893" t="s">
        <v>28</v>
      </c>
      <c r="I4893">
        <v>65</v>
      </c>
      <c r="J4893">
        <v>0</v>
      </c>
      <c r="K4893">
        <v>0</v>
      </c>
      <c r="L4893" s="3">
        <v>1</v>
      </c>
      <c r="M4893" s="3">
        <v>0</v>
      </c>
      <c r="N4893">
        <v>0</v>
      </c>
      <c r="O4893">
        <v>0</v>
      </c>
      <c r="P4893">
        <v>0</v>
      </c>
      <c r="Q4893">
        <v>12</v>
      </c>
      <c r="R4893" s="3">
        <v>0</v>
      </c>
      <c r="S4893" s="3">
        <v>0</v>
      </c>
      <c r="T4893">
        <v>0</v>
      </c>
      <c r="U4893">
        <v>0</v>
      </c>
      <c r="V4893" s="3">
        <v>0</v>
      </c>
      <c r="W4893" s="3">
        <v>0</v>
      </c>
      <c r="X4893">
        <v>0</v>
      </c>
      <c r="Y4893" t="s">
        <v>3717</v>
      </c>
    </row>
    <row r="4894" spans="1:25" hidden="1" x14ac:dyDescent="0.25">
      <c r="A4894" t="s">
        <v>36</v>
      </c>
      <c r="B4894" t="s">
        <v>249</v>
      </c>
      <c r="C4894" t="s">
        <v>2514</v>
      </c>
      <c r="D4894" t="s">
        <v>27</v>
      </c>
      <c r="E4894" s="2">
        <v>46122</v>
      </c>
      <c r="F4894" s="2">
        <v>46122</v>
      </c>
      <c r="G4894" s="3">
        <v>197</v>
      </c>
      <c r="H4894" t="s">
        <v>28</v>
      </c>
      <c r="I4894">
        <v>62</v>
      </c>
      <c r="J4894">
        <v>0</v>
      </c>
      <c r="K4894">
        <v>0</v>
      </c>
      <c r="L4894" s="3">
        <v>1</v>
      </c>
      <c r="M4894" s="3">
        <v>0</v>
      </c>
      <c r="N4894">
        <v>0</v>
      </c>
      <c r="O4894">
        <v>0</v>
      </c>
      <c r="P4894">
        <v>0</v>
      </c>
      <c r="Q4894">
        <v>25</v>
      </c>
      <c r="R4894" s="3">
        <v>0</v>
      </c>
      <c r="S4894" s="3">
        <v>0</v>
      </c>
      <c r="T4894">
        <v>0</v>
      </c>
      <c r="U4894">
        <v>0</v>
      </c>
      <c r="V4894" s="3">
        <v>0</v>
      </c>
      <c r="W4894" s="3">
        <v>0</v>
      </c>
      <c r="X4894">
        <v>1</v>
      </c>
      <c r="Y4894" t="s">
        <v>3718</v>
      </c>
    </row>
    <row r="4895" spans="1:25" hidden="1" x14ac:dyDescent="0.25">
      <c r="A4895" t="s">
        <v>38</v>
      </c>
      <c r="B4895" t="s">
        <v>108</v>
      </c>
      <c r="C4895" t="s">
        <v>27</v>
      </c>
      <c r="D4895" t="s">
        <v>27</v>
      </c>
      <c r="E4895" s="2">
        <v>46122</v>
      </c>
      <c r="F4895" s="2">
        <v>46122</v>
      </c>
      <c r="G4895" s="3">
        <v>32</v>
      </c>
      <c r="H4895" t="s">
        <v>28</v>
      </c>
      <c r="I4895">
        <v>45</v>
      </c>
      <c r="J4895">
        <v>0</v>
      </c>
      <c r="K4895">
        <v>0</v>
      </c>
      <c r="L4895" s="3">
        <v>1</v>
      </c>
      <c r="M4895" s="3">
        <v>0</v>
      </c>
      <c r="N4895">
        <v>0</v>
      </c>
      <c r="O4895">
        <v>0</v>
      </c>
      <c r="P4895">
        <v>0</v>
      </c>
      <c r="Q4895">
        <v>45</v>
      </c>
      <c r="R4895" s="3">
        <v>0</v>
      </c>
      <c r="S4895" s="3">
        <v>0</v>
      </c>
      <c r="T4895">
        <v>0</v>
      </c>
      <c r="U4895">
        <v>0</v>
      </c>
      <c r="V4895" s="3">
        <v>0</v>
      </c>
      <c r="W4895" s="3">
        <v>0</v>
      </c>
      <c r="X4895">
        <v>0</v>
      </c>
      <c r="Y4895" t="s">
        <v>3719</v>
      </c>
    </row>
    <row r="4896" spans="1:25" hidden="1" x14ac:dyDescent="0.25">
      <c r="A4896" t="s">
        <v>2679</v>
      </c>
      <c r="B4896" t="s">
        <v>2680</v>
      </c>
      <c r="C4896" t="s">
        <v>39</v>
      </c>
      <c r="D4896" t="s">
        <v>27</v>
      </c>
      <c r="E4896" s="2">
        <v>46122</v>
      </c>
      <c r="F4896" s="2">
        <v>46122</v>
      </c>
      <c r="G4896" s="3">
        <v>35</v>
      </c>
      <c r="H4896" t="s">
        <v>28</v>
      </c>
      <c r="I4896">
        <v>32</v>
      </c>
      <c r="J4896">
        <v>0</v>
      </c>
      <c r="K4896">
        <v>0</v>
      </c>
      <c r="L4896" s="3">
        <v>0</v>
      </c>
      <c r="M4896" s="3">
        <v>0</v>
      </c>
      <c r="N4896">
        <v>0</v>
      </c>
      <c r="O4896">
        <v>0</v>
      </c>
      <c r="P4896">
        <v>0</v>
      </c>
      <c r="Q4896">
        <v>32</v>
      </c>
      <c r="R4896" s="3">
        <v>0</v>
      </c>
      <c r="S4896" s="3">
        <v>0</v>
      </c>
      <c r="T4896">
        <v>0</v>
      </c>
      <c r="U4896">
        <v>0</v>
      </c>
      <c r="V4896" s="3">
        <v>0</v>
      </c>
      <c r="W4896" s="3">
        <v>0</v>
      </c>
      <c r="X4896">
        <v>0</v>
      </c>
      <c r="Y4896" t="s">
        <v>3720</v>
      </c>
    </row>
    <row r="4897" spans="1:25" hidden="1" x14ac:dyDescent="0.25">
      <c r="A4897" t="s">
        <v>40</v>
      </c>
      <c r="B4897" t="s">
        <v>110</v>
      </c>
      <c r="C4897" t="s">
        <v>2534</v>
      </c>
      <c r="D4897" t="s">
        <v>27</v>
      </c>
      <c r="E4897" s="2">
        <v>46122</v>
      </c>
      <c r="F4897" s="2">
        <v>46122</v>
      </c>
      <c r="G4897" s="3">
        <v>38</v>
      </c>
      <c r="H4897" t="s">
        <v>28</v>
      </c>
      <c r="I4897">
        <v>56</v>
      </c>
      <c r="J4897">
        <v>0</v>
      </c>
      <c r="K4897">
        <v>0</v>
      </c>
      <c r="L4897" s="3">
        <v>1</v>
      </c>
      <c r="M4897" s="3">
        <v>0</v>
      </c>
      <c r="N4897">
        <v>1</v>
      </c>
      <c r="O4897">
        <v>0</v>
      </c>
      <c r="P4897">
        <v>0</v>
      </c>
      <c r="Q4897">
        <v>42</v>
      </c>
      <c r="R4897" s="3">
        <v>0</v>
      </c>
      <c r="S4897" s="3">
        <v>0</v>
      </c>
      <c r="T4897">
        <v>0</v>
      </c>
      <c r="U4897">
        <v>0</v>
      </c>
      <c r="V4897" s="3">
        <v>0</v>
      </c>
      <c r="W4897" s="3">
        <v>0</v>
      </c>
      <c r="X4897">
        <v>0</v>
      </c>
      <c r="Y4897" t="s">
        <v>3721</v>
      </c>
    </row>
    <row r="4898" spans="1:25" hidden="1" x14ac:dyDescent="0.25">
      <c r="A4898" t="s">
        <v>41</v>
      </c>
      <c r="B4898" t="s">
        <v>112</v>
      </c>
      <c r="C4898" t="s">
        <v>42</v>
      </c>
      <c r="D4898" t="s">
        <v>27</v>
      </c>
      <c r="E4898" s="2">
        <v>46122</v>
      </c>
      <c r="F4898" s="2">
        <v>46122</v>
      </c>
      <c r="G4898" s="3">
        <v>35</v>
      </c>
      <c r="H4898" t="s">
        <v>28</v>
      </c>
      <c r="I4898">
        <v>43</v>
      </c>
      <c r="J4898">
        <v>0</v>
      </c>
      <c r="K4898">
        <v>0</v>
      </c>
      <c r="L4898" s="3">
        <v>1</v>
      </c>
      <c r="M4898" s="3">
        <v>0</v>
      </c>
      <c r="N4898">
        <v>0</v>
      </c>
      <c r="O4898">
        <v>0</v>
      </c>
      <c r="P4898">
        <v>0</v>
      </c>
      <c r="Q4898">
        <v>1</v>
      </c>
      <c r="R4898" s="3">
        <v>0</v>
      </c>
      <c r="S4898" s="3">
        <v>0</v>
      </c>
      <c r="T4898">
        <v>0</v>
      </c>
      <c r="U4898">
        <v>0</v>
      </c>
      <c r="V4898" s="3">
        <v>0</v>
      </c>
      <c r="W4898" s="3">
        <v>0</v>
      </c>
      <c r="X4898">
        <v>16</v>
      </c>
      <c r="Y4898" t="s">
        <v>3722</v>
      </c>
    </row>
    <row r="4899" spans="1:25" hidden="1" x14ac:dyDescent="0.25">
      <c r="A4899" t="s">
        <v>43</v>
      </c>
      <c r="B4899" t="s">
        <v>114</v>
      </c>
      <c r="C4899" t="s">
        <v>44</v>
      </c>
      <c r="D4899" t="s">
        <v>27</v>
      </c>
      <c r="E4899" s="2">
        <v>46122</v>
      </c>
      <c r="F4899" s="2">
        <v>46122</v>
      </c>
      <c r="G4899" s="3">
        <v>39</v>
      </c>
      <c r="H4899" t="s">
        <v>28</v>
      </c>
      <c r="I4899">
        <v>39</v>
      </c>
      <c r="J4899">
        <v>0</v>
      </c>
      <c r="K4899">
        <v>0</v>
      </c>
      <c r="L4899" s="3">
        <v>1</v>
      </c>
      <c r="M4899" s="3">
        <v>1</v>
      </c>
      <c r="N4899">
        <v>0</v>
      </c>
      <c r="O4899">
        <v>0</v>
      </c>
      <c r="P4899">
        <v>0</v>
      </c>
      <c r="Q4899">
        <v>0</v>
      </c>
      <c r="R4899" s="3">
        <v>0</v>
      </c>
      <c r="S4899" s="3">
        <v>0</v>
      </c>
      <c r="T4899">
        <v>0</v>
      </c>
      <c r="U4899">
        <v>0</v>
      </c>
      <c r="V4899" s="3">
        <v>0</v>
      </c>
      <c r="W4899" s="3">
        <v>0</v>
      </c>
      <c r="X4899">
        <v>0</v>
      </c>
      <c r="Y4899" t="s">
        <v>3723</v>
      </c>
    </row>
    <row r="4900" spans="1:25" hidden="1" x14ac:dyDescent="0.25">
      <c r="A4900" t="s">
        <v>2118</v>
      </c>
      <c r="B4900" t="s">
        <v>2119</v>
      </c>
      <c r="C4900" t="s">
        <v>27</v>
      </c>
      <c r="D4900" t="s">
        <v>27</v>
      </c>
      <c r="E4900" s="2">
        <v>46122</v>
      </c>
      <c r="F4900" s="2">
        <v>46122</v>
      </c>
      <c r="G4900" s="3">
        <v>31</v>
      </c>
      <c r="H4900" t="s">
        <v>28</v>
      </c>
      <c r="I4900">
        <v>40</v>
      </c>
      <c r="J4900">
        <v>0</v>
      </c>
      <c r="K4900">
        <v>0</v>
      </c>
      <c r="L4900" s="3">
        <v>1</v>
      </c>
      <c r="M4900" s="3">
        <v>0</v>
      </c>
      <c r="N4900">
        <v>0</v>
      </c>
      <c r="O4900">
        <v>0</v>
      </c>
      <c r="P4900">
        <v>0</v>
      </c>
      <c r="Q4900">
        <v>40</v>
      </c>
      <c r="R4900" s="3">
        <v>0</v>
      </c>
      <c r="S4900" s="3">
        <v>0</v>
      </c>
      <c r="T4900">
        <v>0</v>
      </c>
      <c r="U4900">
        <v>0</v>
      </c>
      <c r="V4900" s="3">
        <v>0</v>
      </c>
      <c r="W4900" s="3">
        <v>0</v>
      </c>
      <c r="X4900">
        <v>0</v>
      </c>
      <c r="Y4900" t="s">
        <v>3724</v>
      </c>
    </row>
    <row r="4901" spans="1:25" hidden="1" x14ac:dyDescent="0.25">
      <c r="A4901" t="s">
        <v>49</v>
      </c>
      <c r="B4901" t="s">
        <v>118</v>
      </c>
      <c r="C4901" t="s">
        <v>50</v>
      </c>
      <c r="D4901" t="s">
        <v>27</v>
      </c>
      <c r="E4901" s="2">
        <v>46122</v>
      </c>
      <c r="F4901" s="2">
        <v>46122</v>
      </c>
      <c r="G4901" s="3">
        <v>28</v>
      </c>
      <c r="H4901" t="s">
        <v>28</v>
      </c>
      <c r="I4901">
        <v>29</v>
      </c>
      <c r="J4901">
        <v>0</v>
      </c>
      <c r="K4901">
        <v>0</v>
      </c>
      <c r="L4901" s="3">
        <v>1</v>
      </c>
      <c r="M4901" s="3">
        <v>1</v>
      </c>
      <c r="N4901">
        <v>0</v>
      </c>
      <c r="O4901">
        <v>0</v>
      </c>
      <c r="P4901">
        <v>0</v>
      </c>
      <c r="Q4901">
        <v>29</v>
      </c>
      <c r="R4901" s="3">
        <v>0</v>
      </c>
      <c r="S4901" s="3">
        <v>0</v>
      </c>
      <c r="T4901">
        <v>0</v>
      </c>
      <c r="U4901">
        <v>0</v>
      </c>
      <c r="V4901" s="3">
        <v>0</v>
      </c>
      <c r="W4901" s="3">
        <v>0</v>
      </c>
      <c r="X4901">
        <v>0</v>
      </c>
      <c r="Y4901" t="s">
        <v>3725</v>
      </c>
    </row>
    <row r="4902" spans="1:25" hidden="1" x14ac:dyDescent="0.25">
      <c r="A4902" t="s">
        <v>54</v>
      </c>
      <c r="B4902" t="s">
        <v>122</v>
      </c>
      <c r="C4902" t="s">
        <v>2271</v>
      </c>
      <c r="D4902" t="s">
        <v>27</v>
      </c>
      <c r="E4902" s="2">
        <v>46122</v>
      </c>
      <c r="F4902" s="2">
        <v>46122</v>
      </c>
      <c r="G4902" s="3">
        <v>39</v>
      </c>
      <c r="H4902" t="s">
        <v>28</v>
      </c>
      <c r="I4902">
        <v>54</v>
      </c>
      <c r="J4902">
        <v>0</v>
      </c>
      <c r="K4902">
        <v>0</v>
      </c>
      <c r="L4902" s="3">
        <v>0</v>
      </c>
      <c r="M4902" s="3">
        <v>0</v>
      </c>
      <c r="N4902">
        <v>0</v>
      </c>
      <c r="O4902">
        <v>0</v>
      </c>
      <c r="P4902">
        <v>0</v>
      </c>
      <c r="Q4902">
        <v>2</v>
      </c>
      <c r="R4902" s="3">
        <v>0</v>
      </c>
      <c r="S4902" s="3">
        <v>0</v>
      </c>
      <c r="T4902">
        <v>0</v>
      </c>
      <c r="U4902">
        <v>0</v>
      </c>
      <c r="V4902" s="3">
        <v>0</v>
      </c>
      <c r="W4902" s="3">
        <v>0</v>
      </c>
      <c r="X4902">
        <v>0</v>
      </c>
      <c r="Y4902" t="s">
        <v>3726</v>
      </c>
    </row>
    <row r="4903" spans="1:25" hidden="1" x14ac:dyDescent="0.25">
      <c r="A4903" t="s">
        <v>51</v>
      </c>
      <c r="B4903" t="s">
        <v>120</v>
      </c>
      <c r="C4903" t="s">
        <v>2310</v>
      </c>
      <c r="D4903" t="s">
        <v>27</v>
      </c>
      <c r="E4903" s="2">
        <v>46122</v>
      </c>
      <c r="F4903" s="2">
        <v>46122</v>
      </c>
      <c r="G4903" s="3">
        <v>437</v>
      </c>
      <c r="H4903" t="s">
        <v>28</v>
      </c>
      <c r="I4903">
        <v>69</v>
      </c>
      <c r="J4903">
        <v>0</v>
      </c>
      <c r="K4903">
        <v>0</v>
      </c>
      <c r="L4903" s="3">
        <v>1</v>
      </c>
      <c r="M4903" s="3">
        <v>0</v>
      </c>
      <c r="N4903">
        <v>1</v>
      </c>
      <c r="O4903">
        <v>0</v>
      </c>
      <c r="P4903">
        <v>0</v>
      </c>
      <c r="Q4903">
        <v>15</v>
      </c>
      <c r="R4903" s="3">
        <v>0</v>
      </c>
      <c r="S4903" s="3">
        <v>0</v>
      </c>
      <c r="T4903">
        <v>0</v>
      </c>
      <c r="U4903">
        <v>0</v>
      </c>
      <c r="V4903" s="3">
        <v>0</v>
      </c>
      <c r="W4903" s="3">
        <v>0</v>
      </c>
      <c r="X4903">
        <v>0</v>
      </c>
      <c r="Y4903" t="s">
        <v>3727</v>
      </c>
    </row>
    <row r="4904" spans="1:25" hidden="1" x14ac:dyDescent="0.25">
      <c r="A4904" t="s">
        <v>48</v>
      </c>
      <c r="B4904" t="s">
        <v>149</v>
      </c>
      <c r="C4904" t="s">
        <v>37</v>
      </c>
      <c r="D4904" t="s">
        <v>27</v>
      </c>
      <c r="E4904" s="2">
        <v>46122</v>
      </c>
      <c r="F4904" s="2">
        <v>46122</v>
      </c>
      <c r="G4904" s="3">
        <v>24</v>
      </c>
      <c r="H4904" t="s">
        <v>28</v>
      </c>
      <c r="I4904">
        <v>83</v>
      </c>
      <c r="J4904">
        <v>0</v>
      </c>
      <c r="K4904">
        <v>0</v>
      </c>
      <c r="L4904" s="3">
        <v>1</v>
      </c>
      <c r="M4904" s="3">
        <v>0</v>
      </c>
      <c r="N4904">
        <v>0</v>
      </c>
      <c r="O4904">
        <v>0</v>
      </c>
      <c r="P4904">
        <v>0</v>
      </c>
      <c r="Q4904">
        <v>0</v>
      </c>
      <c r="R4904" s="3">
        <v>0</v>
      </c>
      <c r="S4904" s="3">
        <v>0</v>
      </c>
      <c r="T4904">
        <v>0</v>
      </c>
      <c r="U4904">
        <v>0</v>
      </c>
      <c r="V4904" s="3">
        <v>0</v>
      </c>
      <c r="W4904" s="3">
        <v>0</v>
      </c>
      <c r="X4904">
        <v>0</v>
      </c>
      <c r="Y4904" t="s">
        <v>3728</v>
      </c>
    </row>
    <row r="4905" spans="1:25" hidden="1" x14ac:dyDescent="0.25">
      <c r="A4905" t="s">
        <v>2899</v>
      </c>
      <c r="B4905" t="s">
        <v>739</v>
      </c>
      <c r="C4905" t="s">
        <v>27</v>
      </c>
      <c r="D4905" t="s">
        <v>27</v>
      </c>
      <c r="E4905" s="2">
        <v>46122</v>
      </c>
      <c r="F4905" s="2">
        <v>46122</v>
      </c>
      <c r="G4905" s="3">
        <v>25</v>
      </c>
      <c r="H4905" t="s">
        <v>1448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3728</v>
      </c>
    </row>
    <row r="4906" spans="1:25" hidden="1" x14ac:dyDescent="0.25">
      <c r="A4906" t="s">
        <v>27</v>
      </c>
      <c r="B4906" t="s">
        <v>755</v>
      </c>
      <c r="C4906" t="s">
        <v>95</v>
      </c>
      <c r="D4906" t="s">
        <v>27</v>
      </c>
      <c r="E4906" s="2">
        <v>46122</v>
      </c>
      <c r="F4906" s="2">
        <v>46122</v>
      </c>
      <c r="G4906" s="3">
        <v>26</v>
      </c>
      <c r="H4906" t="s">
        <v>1448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 t="s">
        <v>3728</v>
      </c>
    </row>
    <row r="4907" spans="1:25" hidden="1" x14ac:dyDescent="0.25">
      <c r="A4907" t="s">
        <v>47</v>
      </c>
      <c r="B4907" t="s">
        <v>2762</v>
      </c>
      <c r="C4907" t="s">
        <v>27</v>
      </c>
      <c r="D4907" t="s">
        <v>27</v>
      </c>
      <c r="E4907" s="2">
        <v>46122</v>
      </c>
      <c r="F4907" s="2">
        <v>46122</v>
      </c>
      <c r="G4907" s="3">
        <v>49</v>
      </c>
      <c r="H4907" t="s">
        <v>763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t="s">
        <v>3711</v>
      </c>
    </row>
    <row r="4908" spans="1:25" hidden="1" x14ac:dyDescent="0.25">
      <c r="A4908" t="s">
        <v>27</v>
      </c>
      <c r="B4908" t="s">
        <v>2764</v>
      </c>
      <c r="C4908" t="s">
        <v>52</v>
      </c>
      <c r="D4908" t="s">
        <v>27</v>
      </c>
      <c r="E4908" s="2">
        <v>46122</v>
      </c>
      <c r="F4908" s="2">
        <v>46122</v>
      </c>
      <c r="G4908" s="3">
        <v>50</v>
      </c>
      <c r="H4908" t="s">
        <v>763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3711</v>
      </c>
    </row>
    <row r="4909" spans="1:25" hidden="1" x14ac:dyDescent="0.25">
      <c r="A4909" t="s">
        <v>41</v>
      </c>
      <c r="B4909" t="s">
        <v>112</v>
      </c>
      <c r="C4909" t="s">
        <v>42</v>
      </c>
      <c r="D4909" t="s">
        <v>27</v>
      </c>
      <c r="E4909" s="2">
        <v>46123</v>
      </c>
      <c r="F4909" s="2">
        <v>46123</v>
      </c>
      <c r="G4909" s="3">
        <v>90</v>
      </c>
      <c r="H4909" t="s">
        <v>28</v>
      </c>
      <c r="I4909">
        <v>0</v>
      </c>
      <c r="J4909">
        <v>0</v>
      </c>
      <c r="K4909">
        <v>0</v>
      </c>
      <c r="L4909" s="3">
        <v>0</v>
      </c>
      <c r="M4909" s="3">
        <v>0</v>
      </c>
      <c r="N4909">
        <v>0</v>
      </c>
      <c r="O4909">
        <v>0</v>
      </c>
      <c r="P4909">
        <v>0</v>
      </c>
      <c r="Q4909">
        <v>20</v>
      </c>
      <c r="R4909" s="3">
        <v>1</v>
      </c>
      <c r="S4909" s="3">
        <v>0</v>
      </c>
      <c r="T4909">
        <v>20</v>
      </c>
      <c r="U4909">
        <v>59</v>
      </c>
      <c r="V4909" s="3">
        <v>1</v>
      </c>
      <c r="W4909" s="3">
        <v>0</v>
      </c>
      <c r="X4909">
        <v>16</v>
      </c>
      <c r="Y4909" t="s">
        <v>3729</v>
      </c>
    </row>
    <row r="4910" spans="1:25" hidden="1" x14ac:dyDescent="0.25">
      <c r="A4910" t="s">
        <v>54</v>
      </c>
      <c r="B4910" t="s">
        <v>122</v>
      </c>
      <c r="C4910" t="s">
        <v>55</v>
      </c>
      <c r="D4910" t="s">
        <v>27</v>
      </c>
      <c r="E4910" s="2">
        <v>46123</v>
      </c>
      <c r="F4910" s="2">
        <v>46123</v>
      </c>
      <c r="G4910" s="3">
        <v>52</v>
      </c>
      <c r="H4910" t="s">
        <v>28</v>
      </c>
      <c r="I4910">
        <v>0</v>
      </c>
      <c r="J4910">
        <v>0</v>
      </c>
      <c r="K4910">
        <v>0</v>
      </c>
      <c r="L4910" s="3">
        <v>0</v>
      </c>
      <c r="M4910" s="3">
        <v>0</v>
      </c>
      <c r="N4910">
        <v>0</v>
      </c>
      <c r="O4910">
        <v>0</v>
      </c>
      <c r="P4910">
        <v>0</v>
      </c>
      <c r="Q4910">
        <v>0</v>
      </c>
      <c r="R4910" s="3">
        <v>1</v>
      </c>
      <c r="S4910" s="3">
        <v>0</v>
      </c>
      <c r="T4910">
        <v>9</v>
      </c>
      <c r="U4910">
        <v>78</v>
      </c>
      <c r="V4910" s="3">
        <v>1</v>
      </c>
      <c r="W4910" s="3">
        <v>0</v>
      </c>
      <c r="X4910">
        <v>0</v>
      </c>
      <c r="Y4910" t="s">
        <v>3730</v>
      </c>
    </row>
    <row r="4911" spans="1:25" hidden="1" x14ac:dyDescent="0.25">
      <c r="A4911" t="s">
        <v>344</v>
      </c>
      <c r="B4911" t="s">
        <v>123</v>
      </c>
      <c r="C4911" t="s">
        <v>37</v>
      </c>
      <c r="D4911" t="s">
        <v>27</v>
      </c>
      <c r="E4911" s="2">
        <v>46123</v>
      </c>
      <c r="F4911" s="2">
        <v>46123</v>
      </c>
      <c r="G4911" s="3">
        <v>61</v>
      </c>
      <c r="H4911" t="s">
        <v>28</v>
      </c>
      <c r="I4911">
        <v>0</v>
      </c>
      <c r="J4911">
        <v>0</v>
      </c>
      <c r="K4911">
        <v>0</v>
      </c>
      <c r="L4911" s="3">
        <v>0</v>
      </c>
      <c r="M4911" s="3">
        <v>0</v>
      </c>
      <c r="N4911">
        <v>0</v>
      </c>
      <c r="O4911">
        <v>0</v>
      </c>
      <c r="P4911">
        <v>0</v>
      </c>
      <c r="Q4911">
        <v>0</v>
      </c>
      <c r="R4911" s="3">
        <v>1</v>
      </c>
      <c r="S4911" s="3">
        <v>0</v>
      </c>
      <c r="T4911">
        <v>0</v>
      </c>
      <c r="U4911">
        <v>50</v>
      </c>
      <c r="V4911" s="3">
        <v>1</v>
      </c>
      <c r="W4911" s="3">
        <v>0</v>
      </c>
      <c r="X4911" s="3">
        <v>0</v>
      </c>
      <c r="Y4911" t="s">
        <v>3731</v>
      </c>
    </row>
    <row r="4912" spans="1:25" hidden="1" x14ac:dyDescent="0.25">
      <c r="A4912" t="s">
        <v>33</v>
      </c>
      <c r="B4912" t="s">
        <v>106</v>
      </c>
      <c r="C4912" t="s">
        <v>55</v>
      </c>
      <c r="D4912" t="s">
        <v>27</v>
      </c>
      <c r="E4912" s="2">
        <v>46124</v>
      </c>
      <c r="F4912" s="2">
        <v>46124</v>
      </c>
      <c r="G4912" s="3">
        <v>58</v>
      </c>
      <c r="H4912" t="s">
        <v>28</v>
      </c>
      <c r="I4912">
        <v>0</v>
      </c>
      <c r="J4912">
        <v>0</v>
      </c>
      <c r="K4912">
        <v>0</v>
      </c>
      <c r="L4912" s="3">
        <v>0</v>
      </c>
      <c r="M4912" s="3">
        <v>0</v>
      </c>
      <c r="N4912">
        <v>0</v>
      </c>
      <c r="O4912">
        <v>0</v>
      </c>
      <c r="P4912">
        <v>0</v>
      </c>
      <c r="Q4912">
        <v>0</v>
      </c>
      <c r="R4912" s="3">
        <v>0</v>
      </c>
      <c r="S4912" s="3">
        <v>1</v>
      </c>
      <c r="T4912">
        <v>12</v>
      </c>
      <c r="U4912">
        <v>48</v>
      </c>
      <c r="V4912" s="3">
        <v>0</v>
      </c>
      <c r="W4912" s="3">
        <v>1</v>
      </c>
      <c r="X4912">
        <v>0</v>
      </c>
      <c r="Y4912" t="s">
        <v>3732</v>
      </c>
    </row>
    <row r="4913" spans="1:25" hidden="1" x14ac:dyDescent="0.25">
      <c r="A4913" t="s">
        <v>41</v>
      </c>
      <c r="B4913" t="s">
        <v>112</v>
      </c>
      <c r="C4913" t="s">
        <v>42</v>
      </c>
      <c r="D4913" t="s">
        <v>27</v>
      </c>
      <c r="E4913" s="2">
        <v>46124</v>
      </c>
      <c r="F4913" s="2">
        <v>46124</v>
      </c>
      <c r="G4913" s="3">
        <v>50</v>
      </c>
      <c r="H4913" t="s">
        <v>28</v>
      </c>
      <c r="I4913">
        <v>0</v>
      </c>
      <c r="J4913">
        <v>0</v>
      </c>
      <c r="K4913">
        <v>0</v>
      </c>
      <c r="L4913" s="3">
        <v>0</v>
      </c>
      <c r="M4913" s="3">
        <v>0</v>
      </c>
      <c r="N4913">
        <v>0</v>
      </c>
      <c r="O4913">
        <v>0</v>
      </c>
      <c r="P4913">
        <v>0</v>
      </c>
      <c r="Q4913">
        <v>20</v>
      </c>
      <c r="R4913" s="3">
        <v>0</v>
      </c>
      <c r="S4913" s="3">
        <v>1</v>
      </c>
      <c r="T4913">
        <v>20</v>
      </c>
      <c r="U4913">
        <v>0</v>
      </c>
      <c r="V4913" s="3">
        <v>0</v>
      </c>
      <c r="W4913" s="3">
        <v>1</v>
      </c>
      <c r="X4913">
        <v>0</v>
      </c>
      <c r="Y4913" t="s">
        <v>3733</v>
      </c>
    </row>
    <row r="4914" spans="1:25" hidden="1" x14ac:dyDescent="0.25">
      <c r="A4914" t="s">
        <v>48</v>
      </c>
      <c r="B4914" t="s">
        <v>149</v>
      </c>
      <c r="C4914" t="s">
        <v>44</v>
      </c>
      <c r="D4914" t="s">
        <v>27</v>
      </c>
      <c r="E4914" s="2">
        <v>46124</v>
      </c>
      <c r="F4914" s="2">
        <v>46124</v>
      </c>
      <c r="G4914" s="3">
        <v>599</v>
      </c>
      <c r="H4914" t="s">
        <v>28</v>
      </c>
      <c r="I4914">
        <v>0</v>
      </c>
      <c r="J4914">
        <v>0</v>
      </c>
      <c r="K4914">
        <v>0</v>
      </c>
      <c r="L4914" s="3">
        <v>1</v>
      </c>
      <c r="M4914" s="3">
        <v>0</v>
      </c>
      <c r="N4914">
        <v>0</v>
      </c>
      <c r="O4914">
        <v>0</v>
      </c>
      <c r="P4914">
        <v>0</v>
      </c>
      <c r="Q4914">
        <v>0</v>
      </c>
      <c r="R4914" s="3">
        <v>0</v>
      </c>
      <c r="S4914" s="3">
        <v>1</v>
      </c>
      <c r="T4914">
        <v>0</v>
      </c>
      <c r="U4914">
        <v>40</v>
      </c>
      <c r="V4914" s="3">
        <v>0</v>
      </c>
      <c r="W4914" s="3">
        <v>1</v>
      </c>
      <c r="X4914">
        <v>0</v>
      </c>
      <c r="Y4914" t="s">
        <v>3734</v>
      </c>
    </row>
    <row r="4915" spans="1:25" hidden="1" x14ac:dyDescent="0.25">
      <c r="A4915" t="s">
        <v>29</v>
      </c>
      <c r="B4915" t="s">
        <v>100</v>
      </c>
      <c r="C4915" t="s">
        <v>2835</v>
      </c>
      <c r="D4915" t="s">
        <v>27</v>
      </c>
      <c r="E4915" s="2">
        <v>46123</v>
      </c>
      <c r="F4915" s="2">
        <v>46123</v>
      </c>
      <c r="G4915" s="3">
        <v>50</v>
      </c>
      <c r="H4915" t="s">
        <v>28</v>
      </c>
      <c r="I4915">
        <v>0</v>
      </c>
      <c r="J4915">
        <v>0</v>
      </c>
      <c r="K4915">
        <v>0</v>
      </c>
      <c r="L4915" s="3">
        <v>0</v>
      </c>
      <c r="M4915" s="3">
        <v>0</v>
      </c>
      <c r="N4915">
        <v>0</v>
      </c>
      <c r="O4915">
        <v>0</v>
      </c>
      <c r="P4915">
        <v>0</v>
      </c>
      <c r="Q4915">
        <v>0</v>
      </c>
      <c r="R4915" s="3">
        <v>1</v>
      </c>
      <c r="S4915" s="3">
        <v>0</v>
      </c>
      <c r="T4915">
        <v>0</v>
      </c>
      <c r="U4915">
        <v>70</v>
      </c>
      <c r="V4915" s="3">
        <v>1</v>
      </c>
      <c r="W4915" s="3">
        <v>0</v>
      </c>
      <c r="X4915">
        <v>0</v>
      </c>
      <c r="Y4915" t="s">
        <v>3714</v>
      </c>
    </row>
    <row r="4916" spans="1:25" hidden="1" x14ac:dyDescent="0.25">
      <c r="A4916" t="s">
        <v>29</v>
      </c>
      <c r="B4916" t="s">
        <v>739</v>
      </c>
      <c r="C4916" t="s">
        <v>2835</v>
      </c>
      <c r="D4916" t="s">
        <v>27</v>
      </c>
      <c r="E4916" s="2">
        <v>46124</v>
      </c>
      <c r="F4916" s="2">
        <v>46124</v>
      </c>
      <c r="G4916" s="3">
        <v>600</v>
      </c>
      <c r="H4916" t="s">
        <v>28</v>
      </c>
      <c r="I4916">
        <v>0</v>
      </c>
      <c r="J4916">
        <v>0</v>
      </c>
      <c r="K4916">
        <v>0</v>
      </c>
      <c r="L4916" s="3">
        <v>0</v>
      </c>
      <c r="M4916" s="3">
        <v>0</v>
      </c>
      <c r="N4916">
        <v>0</v>
      </c>
      <c r="O4916">
        <v>0</v>
      </c>
      <c r="P4916">
        <v>0</v>
      </c>
      <c r="Q4916">
        <v>0</v>
      </c>
      <c r="R4916" s="3">
        <v>0</v>
      </c>
      <c r="S4916" s="3">
        <v>1</v>
      </c>
      <c r="T4916">
        <v>0</v>
      </c>
      <c r="U4916">
        <v>16</v>
      </c>
      <c r="V4916" s="3">
        <v>0</v>
      </c>
      <c r="W4916" s="3">
        <v>1</v>
      </c>
      <c r="X4916" s="3">
        <v>0</v>
      </c>
      <c r="Y4916" t="s">
        <v>3734</v>
      </c>
    </row>
    <row r="4917" spans="1:25" hidden="1" x14ac:dyDescent="0.25">
      <c r="A4917" t="s">
        <v>344</v>
      </c>
      <c r="B4917" t="s">
        <v>755</v>
      </c>
      <c r="C4917" t="s">
        <v>37</v>
      </c>
      <c r="D4917" t="s">
        <v>27</v>
      </c>
      <c r="E4917" s="2">
        <v>46124</v>
      </c>
      <c r="F4917" s="2">
        <v>46124</v>
      </c>
      <c r="G4917" s="3">
        <v>601</v>
      </c>
      <c r="H4917" t="s">
        <v>28</v>
      </c>
      <c r="I4917">
        <v>0</v>
      </c>
      <c r="J4917">
        <v>0</v>
      </c>
      <c r="K4917">
        <v>0</v>
      </c>
      <c r="L4917" s="3">
        <v>0</v>
      </c>
      <c r="M4917" s="3">
        <v>0</v>
      </c>
      <c r="N4917">
        <v>0</v>
      </c>
      <c r="O4917">
        <v>0</v>
      </c>
      <c r="P4917">
        <v>0</v>
      </c>
      <c r="Q4917">
        <v>0</v>
      </c>
      <c r="R4917" s="3">
        <v>0</v>
      </c>
      <c r="S4917" s="3">
        <v>1</v>
      </c>
      <c r="T4917">
        <v>16</v>
      </c>
      <c r="U4917">
        <v>0</v>
      </c>
      <c r="V4917" s="3">
        <v>0</v>
      </c>
      <c r="W4917" s="3">
        <v>1</v>
      </c>
      <c r="X4917" s="3">
        <v>0</v>
      </c>
      <c r="Y4917" t="s">
        <v>3734</v>
      </c>
    </row>
    <row r="4918" spans="1:25" hidden="1" x14ac:dyDescent="0.25">
      <c r="A4918" t="s">
        <v>25</v>
      </c>
      <c r="B4918" t="s">
        <v>96</v>
      </c>
      <c r="C4918" t="s">
        <v>26</v>
      </c>
      <c r="D4918" t="s">
        <v>27</v>
      </c>
      <c r="E4918" s="2">
        <v>46125</v>
      </c>
      <c r="F4918" s="2">
        <v>46125</v>
      </c>
      <c r="G4918" s="3">
        <v>53</v>
      </c>
      <c r="H4918" t="s">
        <v>28</v>
      </c>
      <c r="I4918">
        <v>52</v>
      </c>
      <c r="J4918">
        <v>0</v>
      </c>
      <c r="K4918">
        <v>0</v>
      </c>
      <c r="L4918" s="3">
        <v>0</v>
      </c>
      <c r="M4918" s="3">
        <v>1</v>
      </c>
      <c r="N4918">
        <v>1</v>
      </c>
      <c r="O4918">
        <v>0</v>
      </c>
      <c r="P4918">
        <v>0</v>
      </c>
      <c r="Q4918">
        <v>0</v>
      </c>
      <c r="R4918" s="3">
        <v>0</v>
      </c>
      <c r="S4918" s="3">
        <v>0</v>
      </c>
      <c r="T4918">
        <v>0</v>
      </c>
      <c r="U4918">
        <v>0</v>
      </c>
      <c r="V4918" s="3">
        <v>0</v>
      </c>
      <c r="W4918" s="3">
        <v>0</v>
      </c>
      <c r="X4918">
        <v>0</v>
      </c>
      <c r="Y4918" t="s">
        <v>3735</v>
      </c>
    </row>
    <row r="4919" spans="1:25" hidden="1" x14ac:dyDescent="0.25">
      <c r="A4919" t="s">
        <v>55</v>
      </c>
      <c r="B4919" t="s">
        <v>2072</v>
      </c>
      <c r="C4919" t="s">
        <v>3736</v>
      </c>
      <c r="D4919" t="s">
        <v>27</v>
      </c>
      <c r="E4919" s="2">
        <v>46125</v>
      </c>
      <c r="F4919" s="2">
        <v>46125</v>
      </c>
      <c r="G4919" s="3">
        <v>34</v>
      </c>
      <c r="H4919" t="s">
        <v>28</v>
      </c>
      <c r="I4919">
        <v>35</v>
      </c>
      <c r="J4919">
        <v>0</v>
      </c>
      <c r="K4919">
        <v>0</v>
      </c>
      <c r="L4919" s="3">
        <v>0</v>
      </c>
      <c r="M4919" s="3">
        <v>0</v>
      </c>
      <c r="N4919">
        <v>1</v>
      </c>
      <c r="O4919">
        <v>0</v>
      </c>
      <c r="P4919">
        <v>0</v>
      </c>
      <c r="Q4919">
        <v>0</v>
      </c>
      <c r="R4919" s="3">
        <v>0</v>
      </c>
      <c r="S4919" s="3">
        <v>0</v>
      </c>
      <c r="T4919">
        <v>0</v>
      </c>
      <c r="U4919">
        <v>0</v>
      </c>
      <c r="V4919" s="3">
        <v>0</v>
      </c>
      <c r="W4919" s="3">
        <v>0</v>
      </c>
      <c r="X4919">
        <v>0</v>
      </c>
      <c r="Y4919" t="s">
        <v>3737</v>
      </c>
    </row>
    <row r="4920" spans="1:25" hidden="1" x14ac:dyDescent="0.25">
      <c r="A4920" t="s">
        <v>29</v>
      </c>
      <c r="B4920" t="s">
        <v>100</v>
      </c>
      <c r="C4920" t="s">
        <v>95</v>
      </c>
      <c r="D4920" t="s">
        <v>27</v>
      </c>
      <c r="E4920" s="2">
        <v>46125</v>
      </c>
      <c r="F4920" s="2">
        <v>46125</v>
      </c>
      <c r="G4920" s="3">
        <v>50</v>
      </c>
      <c r="H4920" t="s">
        <v>28</v>
      </c>
      <c r="I4920">
        <v>43</v>
      </c>
      <c r="J4920">
        <v>0</v>
      </c>
      <c r="K4920">
        <v>0</v>
      </c>
      <c r="L4920" s="3">
        <v>0</v>
      </c>
      <c r="M4920" s="3">
        <v>0</v>
      </c>
      <c r="N4920">
        <v>0</v>
      </c>
      <c r="O4920">
        <v>0</v>
      </c>
      <c r="P4920">
        <v>0</v>
      </c>
      <c r="Q4920">
        <v>0</v>
      </c>
      <c r="R4920" s="3">
        <v>0</v>
      </c>
      <c r="S4920" s="3">
        <v>0</v>
      </c>
      <c r="T4920">
        <v>0</v>
      </c>
      <c r="U4920">
        <v>0</v>
      </c>
      <c r="V4920" s="3">
        <v>0</v>
      </c>
      <c r="W4920" s="3">
        <v>0</v>
      </c>
      <c r="X4920">
        <v>0</v>
      </c>
      <c r="Y4920" t="s">
        <v>3714</v>
      </c>
    </row>
    <row r="4921" spans="1:25" hidden="1" x14ac:dyDescent="0.25">
      <c r="A4921" t="s">
        <v>31</v>
      </c>
      <c r="B4921" t="s">
        <v>104</v>
      </c>
      <c r="C4921" t="s">
        <v>32</v>
      </c>
      <c r="D4921" t="s">
        <v>27</v>
      </c>
      <c r="E4921" s="2">
        <v>46125</v>
      </c>
      <c r="F4921" s="2">
        <v>46125</v>
      </c>
      <c r="G4921" s="3">
        <v>69</v>
      </c>
      <c r="H4921" t="s">
        <v>28</v>
      </c>
      <c r="I4921">
        <v>60</v>
      </c>
      <c r="J4921">
        <v>75</v>
      </c>
      <c r="K4921">
        <v>0</v>
      </c>
      <c r="L4921" s="3">
        <v>1</v>
      </c>
      <c r="M4921" s="3">
        <v>0</v>
      </c>
      <c r="N4921">
        <v>0</v>
      </c>
      <c r="O4921">
        <v>0</v>
      </c>
      <c r="P4921">
        <v>0</v>
      </c>
      <c r="Q4921">
        <v>35</v>
      </c>
      <c r="R4921" s="3">
        <v>0</v>
      </c>
      <c r="S4921" s="3">
        <v>0</v>
      </c>
      <c r="T4921">
        <v>0</v>
      </c>
      <c r="U4921">
        <v>0</v>
      </c>
      <c r="V4921" s="3">
        <v>0</v>
      </c>
      <c r="W4921" s="3">
        <v>0</v>
      </c>
      <c r="X4921">
        <v>6</v>
      </c>
      <c r="Y4921" t="s">
        <v>3738</v>
      </c>
    </row>
    <row r="4922" spans="1:25" hidden="1" x14ac:dyDescent="0.25">
      <c r="A4922" t="s">
        <v>2899</v>
      </c>
      <c r="B4922" t="s">
        <v>106</v>
      </c>
      <c r="C4922" t="s">
        <v>57</v>
      </c>
      <c r="D4922" t="s">
        <v>27</v>
      </c>
      <c r="E4922" s="2">
        <v>46125</v>
      </c>
      <c r="F4922" s="2">
        <v>46125</v>
      </c>
      <c r="G4922" s="3">
        <v>74</v>
      </c>
      <c r="H4922" t="s">
        <v>28</v>
      </c>
      <c r="I4922">
        <v>57</v>
      </c>
      <c r="J4922">
        <v>0</v>
      </c>
      <c r="K4922">
        <v>0</v>
      </c>
      <c r="L4922" s="3">
        <v>0</v>
      </c>
      <c r="M4922" s="3">
        <v>0</v>
      </c>
      <c r="N4922">
        <v>0</v>
      </c>
      <c r="O4922">
        <v>0</v>
      </c>
      <c r="P4922">
        <v>0</v>
      </c>
      <c r="Q4922">
        <v>0</v>
      </c>
      <c r="R4922" s="3">
        <v>0</v>
      </c>
      <c r="S4922" s="3">
        <v>0</v>
      </c>
      <c r="T4922">
        <v>0</v>
      </c>
      <c r="U4922">
        <v>0</v>
      </c>
      <c r="V4922" s="3">
        <v>0</v>
      </c>
      <c r="W4922" s="3">
        <v>0</v>
      </c>
      <c r="X4922">
        <v>0</v>
      </c>
      <c r="Y4922" t="s">
        <v>3739</v>
      </c>
    </row>
    <row r="4923" spans="1:25" hidden="1" x14ac:dyDescent="0.25">
      <c r="A4923" t="s">
        <v>344</v>
      </c>
      <c r="B4923" t="s">
        <v>598</v>
      </c>
      <c r="C4923" t="s">
        <v>46</v>
      </c>
      <c r="D4923" t="s">
        <v>27</v>
      </c>
      <c r="E4923" s="2">
        <v>46125</v>
      </c>
      <c r="F4923" s="2">
        <v>46125</v>
      </c>
      <c r="G4923" s="3">
        <v>129</v>
      </c>
      <c r="H4923" t="s">
        <v>28</v>
      </c>
      <c r="I4923">
        <v>60</v>
      </c>
      <c r="J4923">
        <v>0</v>
      </c>
      <c r="K4923">
        <v>0</v>
      </c>
      <c r="L4923" s="3">
        <v>1</v>
      </c>
      <c r="M4923" s="3">
        <v>0</v>
      </c>
      <c r="N4923">
        <v>0</v>
      </c>
      <c r="O4923">
        <v>0</v>
      </c>
      <c r="P4923">
        <v>0</v>
      </c>
      <c r="Q4923">
        <v>0</v>
      </c>
      <c r="R4923" s="3">
        <v>0</v>
      </c>
      <c r="S4923" s="3">
        <v>0</v>
      </c>
      <c r="T4923">
        <v>0</v>
      </c>
      <c r="U4923">
        <v>0</v>
      </c>
      <c r="V4923" s="3">
        <v>0</v>
      </c>
      <c r="W4923" s="3">
        <v>0</v>
      </c>
      <c r="X4923">
        <v>0</v>
      </c>
      <c r="Y4923" t="s">
        <v>3740</v>
      </c>
    </row>
    <row r="4924" spans="1:25" hidden="1" x14ac:dyDescent="0.25">
      <c r="A4924" t="s">
        <v>36</v>
      </c>
      <c r="B4924" t="s">
        <v>249</v>
      </c>
      <c r="C4924" t="s">
        <v>2514</v>
      </c>
      <c r="D4924" t="s">
        <v>95</v>
      </c>
      <c r="E4924" s="2">
        <v>46125</v>
      </c>
      <c r="F4924" s="2">
        <v>46125</v>
      </c>
      <c r="G4924" s="3">
        <v>211</v>
      </c>
      <c r="H4924" t="s">
        <v>28</v>
      </c>
      <c r="I4924">
        <v>64</v>
      </c>
      <c r="J4924">
        <v>8</v>
      </c>
      <c r="K4924">
        <v>0</v>
      </c>
      <c r="L4924" s="3">
        <v>1</v>
      </c>
      <c r="M4924" s="3">
        <v>0</v>
      </c>
      <c r="N4924">
        <v>0</v>
      </c>
      <c r="O4924">
        <v>0</v>
      </c>
      <c r="P4924">
        <v>0</v>
      </c>
      <c r="Q4924">
        <v>25</v>
      </c>
      <c r="R4924" s="3">
        <v>0</v>
      </c>
      <c r="S4924" s="3">
        <v>0</v>
      </c>
      <c r="T4924">
        <v>0</v>
      </c>
      <c r="U4924">
        <v>0</v>
      </c>
      <c r="V4924" s="3">
        <v>0</v>
      </c>
      <c r="W4924" s="3">
        <v>0</v>
      </c>
      <c r="X4924">
        <v>0</v>
      </c>
      <c r="Y4924" t="s">
        <v>3741</v>
      </c>
    </row>
    <row r="4925" spans="1:25" hidden="1" x14ac:dyDescent="0.25">
      <c r="A4925" t="s">
        <v>38</v>
      </c>
      <c r="B4925" t="s">
        <v>108</v>
      </c>
      <c r="C4925" t="s">
        <v>27</v>
      </c>
      <c r="D4925" t="s">
        <v>27</v>
      </c>
      <c r="E4925" s="2">
        <v>46125</v>
      </c>
      <c r="F4925" s="2">
        <v>46125</v>
      </c>
      <c r="G4925" s="3">
        <v>29</v>
      </c>
      <c r="H4925" t="s">
        <v>28</v>
      </c>
      <c r="I4925">
        <v>33</v>
      </c>
      <c r="J4925">
        <v>0</v>
      </c>
      <c r="K4925">
        <v>0</v>
      </c>
      <c r="L4925" s="3">
        <v>1</v>
      </c>
      <c r="M4925" s="3">
        <v>0</v>
      </c>
      <c r="N4925">
        <v>0</v>
      </c>
      <c r="O4925">
        <v>0</v>
      </c>
      <c r="P4925">
        <v>0</v>
      </c>
      <c r="Q4925">
        <v>33</v>
      </c>
      <c r="R4925" s="3">
        <v>0</v>
      </c>
      <c r="S4925" s="3">
        <v>0</v>
      </c>
      <c r="T4925">
        <v>0</v>
      </c>
      <c r="U4925">
        <v>0</v>
      </c>
      <c r="V4925" s="3">
        <v>0</v>
      </c>
      <c r="W4925" s="3">
        <v>0</v>
      </c>
      <c r="X4925">
        <v>0</v>
      </c>
      <c r="Y4925" t="s">
        <v>3742</v>
      </c>
    </row>
    <row r="4926" spans="1:25" hidden="1" x14ac:dyDescent="0.25">
      <c r="A4926" t="s">
        <v>2679</v>
      </c>
      <c r="B4926" t="s">
        <v>2680</v>
      </c>
      <c r="C4926" t="s">
        <v>39</v>
      </c>
      <c r="D4926" t="s">
        <v>27</v>
      </c>
      <c r="E4926" s="2">
        <v>46125</v>
      </c>
      <c r="F4926" s="2">
        <v>46125</v>
      </c>
      <c r="G4926" s="3">
        <v>39</v>
      </c>
      <c r="H4926" t="s">
        <v>28</v>
      </c>
      <c r="I4926">
        <v>43</v>
      </c>
      <c r="J4926">
        <v>0</v>
      </c>
      <c r="K4926">
        <v>0</v>
      </c>
      <c r="L4926" s="3">
        <v>0</v>
      </c>
      <c r="M4926" s="3">
        <v>0</v>
      </c>
      <c r="N4926">
        <v>0</v>
      </c>
      <c r="O4926">
        <v>0</v>
      </c>
      <c r="P4926">
        <v>0</v>
      </c>
      <c r="Q4926">
        <v>43</v>
      </c>
      <c r="R4926" s="3">
        <v>0</v>
      </c>
      <c r="S4926" s="3">
        <v>0</v>
      </c>
      <c r="T4926">
        <v>0</v>
      </c>
      <c r="U4926">
        <v>0</v>
      </c>
      <c r="V4926" s="3">
        <v>0</v>
      </c>
      <c r="W4926" s="3">
        <v>0</v>
      </c>
      <c r="X4926">
        <v>0</v>
      </c>
      <c r="Y4926" t="s">
        <v>3743</v>
      </c>
    </row>
    <row r="4927" spans="1:25" hidden="1" x14ac:dyDescent="0.25">
      <c r="A4927" t="s">
        <v>40</v>
      </c>
      <c r="B4927" t="s">
        <v>110</v>
      </c>
      <c r="C4927" t="s">
        <v>2534</v>
      </c>
      <c r="D4927" t="s">
        <v>27</v>
      </c>
      <c r="E4927" s="2">
        <v>46125</v>
      </c>
      <c r="F4927" s="2">
        <v>46125</v>
      </c>
      <c r="G4927" s="3">
        <v>39</v>
      </c>
      <c r="H4927" t="s">
        <v>28</v>
      </c>
      <c r="I4927">
        <v>63</v>
      </c>
      <c r="J4927">
        <v>0</v>
      </c>
      <c r="K4927">
        <v>0</v>
      </c>
      <c r="L4927" s="3">
        <v>1</v>
      </c>
      <c r="M4927" s="3">
        <v>0</v>
      </c>
      <c r="N4927">
        <v>1</v>
      </c>
      <c r="O4927">
        <v>0</v>
      </c>
      <c r="P4927">
        <v>0</v>
      </c>
      <c r="Q4927">
        <v>42</v>
      </c>
      <c r="R4927" s="3">
        <v>0</v>
      </c>
      <c r="S4927" s="3">
        <v>0</v>
      </c>
      <c r="T4927">
        <v>0</v>
      </c>
      <c r="U4927">
        <v>0</v>
      </c>
      <c r="V4927" s="3">
        <v>0</v>
      </c>
      <c r="W4927" s="3">
        <v>0</v>
      </c>
      <c r="X4927">
        <v>0</v>
      </c>
      <c r="Y4927" t="s">
        <v>3744</v>
      </c>
    </row>
    <row r="4928" spans="1:25" hidden="1" x14ac:dyDescent="0.25">
      <c r="A4928" t="s">
        <v>41</v>
      </c>
      <c r="B4928" t="s">
        <v>112</v>
      </c>
      <c r="C4928" t="s">
        <v>42</v>
      </c>
      <c r="D4928" t="s">
        <v>27</v>
      </c>
      <c r="E4928" s="2">
        <v>46125</v>
      </c>
      <c r="F4928" s="2">
        <v>46125</v>
      </c>
      <c r="G4928" s="3">
        <v>29</v>
      </c>
      <c r="H4928" t="s">
        <v>28</v>
      </c>
      <c r="I4928">
        <v>50</v>
      </c>
      <c r="J4928">
        <v>0</v>
      </c>
      <c r="K4928">
        <v>0</v>
      </c>
      <c r="L4928" s="3">
        <v>1</v>
      </c>
      <c r="M4928" s="3">
        <v>0</v>
      </c>
      <c r="N4928">
        <v>0</v>
      </c>
      <c r="O4928">
        <v>0</v>
      </c>
      <c r="P4928">
        <v>0</v>
      </c>
      <c r="Q4928">
        <v>4</v>
      </c>
      <c r="R4928" s="3">
        <v>0</v>
      </c>
      <c r="S4928" s="3">
        <v>0</v>
      </c>
      <c r="T4928">
        <v>0</v>
      </c>
      <c r="U4928">
        <v>0</v>
      </c>
      <c r="V4928" s="3">
        <v>0</v>
      </c>
      <c r="W4928" s="3">
        <v>0</v>
      </c>
      <c r="X4928">
        <v>0</v>
      </c>
      <c r="Y4928" t="s">
        <v>3745</v>
      </c>
    </row>
    <row r="4929" spans="1:25" hidden="1" x14ac:dyDescent="0.25">
      <c r="A4929" t="s">
        <v>43</v>
      </c>
      <c r="B4929" t="s">
        <v>114</v>
      </c>
      <c r="C4929" t="s">
        <v>44</v>
      </c>
      <c r="D4929" t="s">
        <v>27</v>
      </c>
      <c r="E4929" s="2">
        <v>46125</v>
      </c>
      <c r="F4929" s="2">
        <v>46125</v>
      </c>
      <c r="G4929" s="3">
        <v>28</v>
      </c>
      <c r="H4929" t="s">
        <v>28</v>
      </c>
      <c r="I4929">
        <v>38</v>
      </c>
      <c r="J4929">
        <v>0</v>
      </c>
      <c r="K4929">
        <v>0</v>
      </c>
      <c r="L4929" s="3">
        <v>0</v>
      </c>
      <c r="M4929" s="3">
        <v>0</v>
      </c>
      <c r="N4929">
        <v>0</v>
      </c>
      <c r="O4929">
        <v>0</v>
      </c>
      <c r="P4929">
        <v>0</v>
      </c>
      <c r="Q4929">
        <v>0</v>
      </c>
      <c r="R4929" s="3">
        <v>0</v>
      </c>
      <c r="S4929" s="3">
        <v>0</v>
      </c>
      <c r="T4929">
        <v>0</v>
      </c>
      <c r="U4929">
        <v>0</v>
      </c>
      <c r="V4929" s="3">
        <v>0</v>
      </c>
      <c r="W4929" s="3">
        <v>0</v>
      </c>
      <c r="X4929">
        <v>0</v>
      </c>
      <c r="Y4929" t="s">
        <v>3746</v>
      </c>
    </row>
    <row r="4930" spans="1:25" hidden="1" x14ac:dyDescent="0.25">
      <c r="A4930" t="s">
        <v>2118</v>
      </c>
      <c r="B4930" t="s">
        <v>2119</v>
      </c>
      <c r="C4930" t="s">
        <v>27</v>
      </c>
      <c r="D4930" t="s">
        <v>27</v>
      </c>
      <c r="E4930" s="2">
        <v>46125</v>
      </c>
      <c r="F4930" s="2">
        <v>46125</v>
      </c>
      <c r="G4930" s="3">
        <v>43</v>
      </c>
      <c r="H4930" t="s">
        <v>28</v>
      </c>
      <c r="I4930">
        <v>37</v>
      </c>
      <c r="J4930">
        <v>0</v>
      </c>
      <c r="K4930">
        <v>0</v>
      </c>
      <c r="L4930" s="3">
        <v>1</v>
      </c>
      <c r="M4930" s="3">
        <v>0</v>
      </c>
      <c r="N4930">
        <v>0</v>
      </c>
      <c r="O4930">
        <v>0</v>
      </c>
      <c r="P4930">
        <v>0</v>
      </c>
      <c r="Q4930">
        <v>37</v>
      </c>
      <c r="R4930" s="3">
        <v>0</v>
      </c>
      <c r="S4930" s="3">
        <v>0</v>
      </c>
      <c r="T4930">
        <v>0</v>
      </c>
      <c r="U4930">
        <v>0</v>
      </c>
      <c r="V4930" s="3">
        <v>0</v>
      </c>
      <c r="W4930" s="3">
        <v>0</v>
      </c>
      <c r="X4930">
        <v>0</v>
      </c>
      <c r="Y4930" t="s">
        <v>3747</v>
      </c>
    </row>
    <row r="4931" spans="1:25" hidden="1" x14ac:dyDescent="0.25">
      <c r="A4931" t="s">
        <v>49</v>
      </c>
      <c r="B4931" t="s">
        <v>118</v>
      </c>
      <c r="C4931" t="s">
        <v>50</v>
      </c>
      <c r="D4931" t="s">
        <v>27</v>
      </c>
      <c r="E4931" s="2">
        <v>46125</v>
      </c>
      <c r="F4931" s="2">
        <v>46125</v>
      </c>
      <c r="G4931" s="3">
        <v>21</v>
      </c>
      <c r="H4931" t="s">
        <v>28</v>
      </c>
      <c r="I4931">
        <v>25</v>
      </c>
      <c r="J4931">
        <v>0</v>
      </c>
      <c r="K4931">
        <v>0</v>
      </c>
      <c r="L4931" s="3">
        <v>1</v>
      </c>
      <c r="M4931" s="3">
        <v>0</v>
      </c>
      <c r="N4931">
        <v>0</v>
      </c>
      <c r="O4931">
        <v>1</v>
      </c>
      <c r="P4931">
        <v>0</v>
      </c>
      <c r="Q4931">
        <v>25</v>
      </c>
      <c r="R4931" s="3">
        <v>0</v>
      </c>
      <c r="S4931" s="3">
        <v>0</v>
      </c>
      <c r="T4931">
        <v>0</v>
      </c>
      <c r="U4931">
        <v>0</v>
      </c>
      <c r="V4931" s="3">
        <v>0</v>
      </c>
      <c r="W4931" s="3">
        <v>0</v>
      </c>
      <c r="X4931">
        <v>0</v>
      </c>
      <c r="Y4931" t="s">
        <v>3748</v>
      </c>
    </row>
    <row r="4932" spans="1:25" hidden="1" x14ac:dyDescent="0.25">
      <c r="A4932" t="s">
        <v>51</v>
      </c>
      <c r="B4932" t="s">
        <v>120</v>
      </c>
      <c r="C4932" t="s">
        <v>2310</v>
      </c>
      <c r="D4932" t="s">
        <v>27</v>
      </c>
      <c r="E4932" s="2">
        <v>46125</v>
      </c>
      <c r="F4932" s="2">
        <v>46125</v>
      </c>
      <c r="G4932" s="3">
        <v>141</v>
      </c>
      <c r="H4932" t="s">
        <v>28</v>
      </c>
      <c r="I4932">
        <v>50</v>
      </c>
      <c r="J4932">
        <v>0</v>
      </c>
      <c r="K4932">
        <v>0</v>
      </c>
      <c r="L4932" s="3">
        <v>1</v>
      </c>
      <c r="M4932" s="3">
        <v>0</v>
      </c>
      <c r="N4932">
        <v>1</v>
      </c>
      <c r="O4932">
        <v>0</v>
      </c>
      <c r="P4932">
        <v>0</v>
      </c>
      <c r="Q4932">
        <v>15</v>
      </c>
      <c r="R4932" s="3">
        <v>0</v>
      </c>
      <c r="S4932" s="3">
        <v>0</v>
      </c>
      <c r="T4932">
        <v>0</v>
      </c>
      <c r="U4932">
        <v>0</v>
      </c>
      <c r="V4932" s="3">
        <v>0</v>
      </c>
      <c r="W4932" s="3">
        <v>0</v>
      </c>
      <c r="X4932">
        <v>0</v>
      </c>
      <c r="Y4932" t="s">
        <v>3749</v>
      </c>
    </row>
    <row r="4933" spans="1:25" hidden="1" x14ac:dyDescent="0.25">
      <c r="A4933" t="s">
        <v>54</v>
      </c>
      <c r="B4933" t="s">
        <v>122</v>
      </c>
      <c r="C4933" t="s">
        <v>2271</v>
      </c>
      <c r="D4933" t="s">
        <v>27</v>
      </c>
      <c r="E4933" s="2">
        <v>46125</v>
      </c>
      <c r="F4933" s="2">
        <v>46125</v>
      </c>
      <c r="G4933" s="3">
        <v>39</v>
      </c>
      <c r="H4933" t="s">
        <v>28</v>
      </c>
      <c r="I4933">
        <v>54</v>
      </c>
      <c r="J4933">
        <v>0</v>
      </c>
      <c r="K4933">
        <v>0</v>
      </c>
      <c r="L4933" s="3">
        <v>0</v>
      </c>
      <c r="M4933" s="3">
        <v>0</v>
      </c>
      <c r="N4933">
        <v>0</v>
      </c>
      <c r="O4933">
        <v>0</v>
      </c>
      <c r="P4933">
        <v>0</v>
      </c>
      <c r="Q4933">
        <v>2</v>
      </c>
      <c r="R4933" s="3">
        <v>0</v>
      </c>
      <c r="S4933" s="3">
        <v>0</v>
      </c>
      <c r="T4933">
        <v>0</v>
      </c>
      <c r="U4933">
        <v>0</v>
      </c>
      <c r="V4933" s="3">
        <v>0</v>
      </c>
      <c r="W4933" s="3">
        <v>0</v>
      </c>
      <c r="X4933">
        <v>0</v>
      </c>
      <c r="Y4933" t="s">
        <v>3726</v>
      </c>
    </row>
    <row r="4934" spans="1:25" hidden="1" x14ac:dyDescent="0.25">
      <c r="A4934" t="s">
        <v>48</v>
      </c>
      <c r="B4934" t="s">
        <v>149</v>
      </c>
      <c r="C4934" t="s">
        <v>37</v>
      </c>
      <c r="D4934" t="s">
        <v>27</v>
      </c>
      <c r="E4934" s="2">
        <v>46125</v>
      </c>
      <c r="F4934" s="2">
        <v>46125</v>
      </c>
      <c r="G4934" s="3">
        <v>55</v>
      </c>
      <c r="H4934" t="s">
        <v>28</v>
      </c>
      <c r="I4934">
        <v>80</v>
      </c>
      <c r="J4934">
        <v>0</v>
      </c>
      <c r="K4934">
        <v>0</v>
      </c>
      <c r="L4934" s="3">
        <v>1</v>
      </c>
      <c r="M4934" s="3">
        <v>0</v>
      </c>
      <c r="N4934">
        <v>0</v>
      </c>
      <c r="O4934">
        <v>0</v>
      </c>
      <c r="P4934">
        <v>0</v>
      </c>
      <c r="Q4934">
        <v>0</v>
      </c>
      <c r="R4934" s="3">
        <v>0</v>
      </c>
      <c r="S4934" s="3">
        <v>0</v>
      </c>
      <c r="T4934">
        <v>0</v>
      </c>
      <c r="U4934">
        <v>0</v>
      </c>
      <c r="V4934" s="3">
        <v>0</v>
      </c>
      <c r="W4934" s="3">
        <v>0</v>
      </c>
      <c r="X4934">
        <v>0</v>
      </c>
      <c r="Y4934" t="s">
        <v>3750</v>
      </c>
    </row>
    <row r="4935" spans="1:25" hidden="1" x14ac:dyDescent="0.25">
      <c r="A4935" t="s">
        <v>27</v>
      </c>
      <c r="B4935" t="s">
        <v>739</v>
      </c>
      <c r="C4935" t="s">
        <v>2835</v>
      </c>
      <c r="D4935" t="s">
        <v>27</v>
      </c>
      <c r="E4935" s="2">
        <v>46125</v>
      </c>
      <c r="F4935" s="2">
        <v>46125</v>
      </c>
      <c r="G4935" s="3">
        <v>55</v>
      </c>
      <c r="H4935" t="s">
        <v>2143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3711</v>
      </c>
    </row>
    <row r="4936" spans="1:25" hidden="1" x14ac:dyDescent="0.25">
      <c r="A4936" t="s">
        <v>45</v>
      </c>
      <c r="B4936" t="s">
        <v>755</v>
      </c>
      <c r="C4936" t="s">
        <v>27</v>
      </c>
      <c r="D4936" t="s">
        <v>27</v>
      </c>
      <c r="E4936" s="2">
        <v>46125</v>
      </c>
      <c r="F4936" s="2">
        <v>46125</v>
      </c>
      <c r="G4936" s="3">
        <v>55</v>
      </c>
      <c r="H4936" t="s">
        <v>2143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3711</v>
      </c>
    </row>
    <row r="4937" spans="1:25" hidden="1" x14ac:dyDescent="0.25">
      <c r="A4937" t="s">
        <v>33</v>
      </c>
      <c r="B4937" t="s">
        <v>758</v>
      </c>
      <c r="C4937" t="s">
        <v>27</v>
      </c>
      <c r="D4937" t="s">
        <v>27</v>
      </c>
      <c r="E4937" s="2">
        <v>46125</v>
      </c>
      <c r="F4937" s="2">
        <v>46125</v>
      </c>
      <c r="G4937" s="3">
        <v>55</v>
      </c>
      <c r="H4937" t="s">
        <v>2143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3711</v>
      </c>
    </row>
    <row r="4938" spans="1:25" hidden="1" x14ac:dyDescent="0.25">
      <c r="A4938" t="s">
        <v>47</v>
      </c>
      <c r="B4938" t="s">
        <v>2762</v>
      </c>
      <c r="C4938" t="s">
        <v>27</v>
      </c>
      <c r="D4938" t="s">
        <v>27</v>
      </c>
      <c r="E4938" s="2">
        <v>46125</v>
      </c>
      <c r="F4938" s="2">
        <v>46125</v>
      </c>
      <c r="G4938" s="3">
        <v>49</v>
      </c>
      <c r="H4938" t="s">
        <v>763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t="s">
        <v>3711</v>
      </c>
    </row>
    <row r="4939" spans="1:25" hidden="1" x14ac:dyDescent="0.25">
      <c r="A4939" t="s">
        <v>27</v>
      </c>
      <c r="B4939" t="s">
        <v>2764</v>
      </c>
      <c r="C4939" t="s">
        <v>52</v>
      </c>
      <c r="D4939" t="s">
        <v>27</v>
      </c>
      <c r="E4939" s="2">
        <v>46125</v>
      </c>
      <c r="F4939" s="2">
        <v>46125</v>
      </c>
      <c r="G4939" s="3">
        <v>50</v>
      </c>
      <c r="H4939" t="s">
        <v>763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3711</v>
      </c>
    </row>
    <row r="4940" spans="1:25" hidden="1" x14ac:dyDescent="0.25">
      <c r="A4940" t="s">
        <v>25</v>
      </c>
      <c r="B4940" t="s">
        <v>96</v>
      </c>
      <c r="C4940" t="s">
        <v>26</v>
      </c>
      <c r="D4940" t="s">
        <v>27</v>
      </c>
      <c r="E4940" s="2">
        <v>46126</v>
      </c>
      <c r="F4940" s="2">
        <v>46126</v>
      </c>
      <c r="G4940" s="3">
        <v>53</v>
      </c>
      <c r="H4940" t="s">
        <v>28</v>
      </c>
      <c r="I4940">
        <v>52</v>
      </c>
      <c r="J4940">
        <v>0</v>
      </c>
      <c r="K4940">
        <v>0</v>
      </c>
      <c r="L4940" s="3">
        <v>0</v>
      </c>
      <c r="M4940" s="3">
        <v>1</v>
      </c>
      <c r="N4940">
        <v>1</v>
      </c>
      <c r="O4940">
        <v>0</v>
      </c>
      <c r="P4940">
        <v>0</v>
      </c>
      <c r="Q4940">
        <v>0</v>
      </c>
      <c r="R4940" s="3">
        <v>0</v>
      </c>
      <c r="S4940" s="3">
        <v>0</v>
      </c>
      <c r="T4940">
        <v>0</v>
      </c>
      <c r="U4940">
        <v>0</v>
      </c>
      <c r="V4940" s="3">
        <v>0</v>
      </c>
      <c r="W4940" s="3">
        <v>0</v>
      </c>
      <c r="X4940">
        <v>0</v>
      </c>
      <c r="Y4940" t="s">
        <v>3735</v>
      </c>
    </row>
    <row r="4941" spans="1:25" hidden="1" x14ac:dyDescent="0.25">
      <c r="A4941" t="s">
        <v>344</v>
      </c>
      <c r="B4941" t="s">
        <v>100</v>
      </c>
      <c r="C4941" t="s">
        <v>35</v>
      </c>
      <c r="D4941" t="s">
        <v>27</v>
      </c>
      <c r="E4941" s="2">
        <v>46126</v>
      </c>
      <c r="F4941" s="2">
        <v>46126</v>
      </c>
      <c r="G4941" s="3">
        <v>34</v>
      </c>
      <c r="H4941" t="s">
        <v>28</v>
      </c>
      <c r="I4941">
        <v>30</v>
      </c>
      <c r="J4941">
        <v>0</v>
      </c>
      <c r="K4941">
        <v>0</v>
      </c>
      <c r="L4941" s="3">
        <v>1</v>
      </c>
      <c r="M4941" s="3">
        <v>0</v>
      </c>
      <c r="N4941">
        <v>0</v>
      </c>
      <c r="O4941">
        <v>0</v>
      </c>
      <c r="P4941">
        <v>15</v>
      </c>
      <c r="Q4941">
        <v>13</v>
      </c>
      <c r="R4941" s="3">
        <v>0</v>
      </c>
      <c r="S4941" s="3">
        <v>0</v>
      </c>
      <c r="T4941">
        <v>0</v>
      </c>
      <c r="U4941">
        <v>0</v>
      </c>
      <c r="V4941" s="3">
        <v>0</v>
      </c>
      <c r="W4941" s="3">
        <v>0</v>
      </c>
      <c r="X4941">
        <v>0</v>
      </c>
      <c r="Y4941" t="s">
        <v>3751</v>
      </c>
    </row>
    <row r="4942" spans="1:25" hidden="1" x14ac:dyDescent="0.25">
      <c r="A4942" t="s">
        <v>31</v>
      </c>
      <c r="B4942" t="s">
        <v>104</v>
      </c>
      <c r="C4942" t="s">
        <v>32</v>
      </c>
      <c r="D4942" t="s">
        <v>27</v>
      </c>
      <c r="E4942" s="2">
        <v>46126</v>
      </c>
      <c r="F4942" s="2">
        <v>46126</v>
      </c>
      <c r="G4942" s="3">
        <v>81</v>
      </c>
      <c r="H4942" t="s">
        <v>28</v>
      </c>
      <c r="I4942">
        <v>54</v>
      </c>
      <c r="J4942">
        <v>28</v>
      </c>
      <c r="K4942">
        <v>0</v>
      </c>
      <c r="L4942" s="3">
        <v>1</v>
      </c>
      <c r="M4942" s="3">
        <v>0</v>
      </c>
      <c r="N4942">
        <v>0</v>
      </c>
      <c r="O4942">
        <v>0</v>
      </c>
      <c r="P4942">
        <v>0</v>
      </c>
      <c r="Q4942">
        <v>35</v>
      </c>
      <c r="R4942" s="3">
        <v>0</v>
      </c>
      <c r="S4942" s="3">
        <v>0</v>
      </c>
      <c r="T4942">
        <v>0</v>
      </c>
      <c r="U4942">
        <v>0</v>
      </c>
      <c r="V4942" s="3">
        <v>0</v>
      </c>
      <c r="W4942" s="3">
        <v>0</v>
      </c>
      <c r="X4942">
        <v>0</v>
      </c>
      <c r="Y4942" t="s">
        <v>3752</v>
      </c>
    </row>
    <row r="4943" spans="1:25" hidden="1" x14ac:dyDescent="0.25">
      <c r="A4943" t="s">
        <v>33</v>
      </c>
      <c r="B4943" t="s">
        <v>106</v>
      </c>
      <c r="C4943" t="s">
        <v>2310</v>
      </c>
      <c r="D4943" t="s">
        <v>27</v>
      </c>
      <c r="E4943" s="2">
        <v>46126</v>
      </c>
      <c r="F4943" s="2">
        <v>46126</v>
      </c>
      <c r="G4943" s="3">
        <v>133</v>
      </c>
      <c r="H4943" t="s">
        <v>28</v>
      </c>
      <c r="I4943">
        <v>48</v>
      </c>
      <c r="J4943">
        <v>0</v>
      </c>
      <c r="K4943">
        <v>0</v>
      </c>
      <c r="L4943" s="3">
        <v>1</v>
      </c>
      <c r="M4943" s="3">
        <v>0</v>
      </c>
      <c r="N4943">
        <v>0</v>
      </c>
      <c r="O4943">
        <v>0</v>
      </c>
      <c r="P4943">
        <v>0</v>
      </c>
      <c r="Q4943">
        <v>10</v>
      </c>
      <c r="R4943" s="3">
        <v>0</v>
      </c>
      <c r="S4943" s="3">
        <v>0</v>
      </c>
      <c r="T4943">
        <v>0</v>
      </c>
      <c r="U4943">
        <v>0</v>
      </c>
      <c r="V4943" s="3">
        <v>0</v>
      </c>
      <c r="W4943" s="3">
        <v>0</v>
      </c>
      <c r="X4943">
        <v>0</v>
      </c>
      <c r="Y4943" t="s">
        <v>3753</v>
      </c>
    </row>
    <row r="4944" spans="1:25" hidden="1" x14ac:dyDescent="0.25">
      <c r="A4944" t="s">
        <v>597</v>
      </c>
      <c r="B4944" t="s">
        <v>598</v>
      </c>
      <c r="C4944" t="s">
        <v>46</v>
      </c>
      <c r="D4944" t="s">
        <v>27</v>
      </c>
      <c r="E4944" s="2">
        <v>46126</v>
      </c>
      <c r="F4944" s="2">
        <v>46126</v>
      </c>
      <c r="G4944" s="3">
        <v>58</v>
      </c>
      <c r="H4944" t="s">
        <v>28</v>
      </c>
      <c r="I4944">
        <v>47</v>
      </c>
      <c r="J4944">
        <v>0</v>
      </c>
      <c r="K4944">
        <v>0</v>
      </c>
      <c r="L4944" s="3">
        <v>0</v>
      </c>
      <c r="M4944" s="3">
        <v>0</v>
      </c>
      <c r="N4944">
        <v>0</v>
      </c>
      <c r="O4944">
        <v>0</v>
      </c>
      <c r="P4944">
        <v>0</v>
      </c>
      <c r="Q4944">
        <v>6</v>
      </c>
      <c r="R4944" s="3">
        <v>0</v>
      </c>
      <c r="S4944" s="3">
        <v>0</v>
      </c>
      <c r="T4944">
        <v>0</v>
      </c>
      <c r="U4944">
        <v>0</v>
      </c>
      <c r="V4944" s="3">
        <v>0</v>
      </c>
      <c r="W4944" s="3">
        <v>0</v>
      </c>
      <c r="X4944">
        <v>0</v>
      </c>
      <c r="Y4944" t="s">
        <v>3754</v>
      </c>
    </row>
    <row r="4945" spans="1:25" hidden="1" x14ac:dyDescent="0.25">
      <c r="A4945" t="s">
        <v>2899</v>
      </c>
      <c r="B4945" t="s">
        <v>2998</v>
      </c>
      <c r="C4945" t="s">
        <v>37</v>
      </c>
      <c r="D4945" t="s">
        <v>27</v>
      </c>
      <c r="E4945" s="2">
        <v>46126</v>
      </c>
      <c r="F4945" s="2">
        <v>46126</v>
      </c>
      <c r="G4945" s="3">
        <v>27</v>
      </c>
      <c r="H4945" t="s">
        <v>28</v>
      </c>
      <c r="I4945">
        <v>25</v>
      </c>
      <c r="J4945">
        <v>0</v>
      </c>
      <c r="K4945">
        <v>0</v>
      </c>
      <c r="L4945" s="3">
        <v>1</v>
      </c>
      <c r="M4945" s="3">
        <v>0</v>
      </c>
      <c r="N4945">
        <v>0</v>
      </c>
      <c r="O4945">
        <v>0</v>
      </c>
      <c r="P4945">
        <v>0</v>
      </c>
      <c r="Q4945">
        <v>0</v>
      </c>
      <c r="R4945" s="3">
        <v>0</v>
      </c>
      <c r="S4945" s="3">
        <v>0</v>
      </c>
      <c r="T4945">
        <v>0</v>
      </c>
      <c r="U4945">
        <v>0</v>
      </c>
      <c r="V4945" s="3">
        <v>0</v>
      </c>
      <c r="W4945" s="3">
        <v>0</v>
      </c>
      <c r="X4945">
        <v>0</v>
      </c>
      <c r="Y4945" t="s">
        <v>3755</v>
      </c>
    </row>
    <row r="4946" spans="1:25" hidden="1" x14ac:dyDescent="0.25">
      <c r="A4946" t="s">
        <v>36</v>
      </c>
      <c r="B4946" t="s">
        <v>249</v>
      </c>
      <c r="C4946" t="s">
        <v>2514</v>
      </c>
      <c r="D4946" t="s">
        <v>27</v>
      </c>
      <c r="E4946" s="2">
        <v>46126</v>
      </c>
      <c r="F4946" s="2">
        <v>46126</v>
      </c>
      <c r="G4946" s="3">
        <v>84</v>
      </c>
      <c r="H4946" t="s">
        <v>28</v>
      </c>
      <c r="I4946">
        <v>36</v>
      </c>
      <c r="J4946">
        <v>0</v>
      </c>
      <c r="K4946">
        <v>0</v>
      </c>
      <c r="L4946" s="3">
        <v>1</v>
      </c>
      <c r="M4946" s="3">
        <v>0</v>
      </c>
      <c r="N4946">
        <v>0</v>
      </c>
      <c r="O4946">
        <v>0</v>
      </c>
      <c r="P4946">
        <v>0</v>
      </c>
      <c r="Q4946">
        <v>10</v>
      </c>
      <c r="R4946" s="3">
        <v>0</v>
      </c>
      <c r="S4946" s="3">
        <v>0</v>
      </c>
      <c r="T4946">
        <v>0</v>
      </c>
      <c r="U4946">
        <v>0</v>
      </c>
      <c r="V4946" s="3">
        <v>0</v>
      </c>
      <c r="W4946" s="3">
        <v>0</v>
      </c>
      <c r="X4946">
        <v>0</v>
      </c>
      <c r="Y4946" t="s">
        <v>3756</v>
      </c>
    </row>
    <row r="4947" spans="1:25" hidden="1" x14ac:dyDescent="0.25">
      <c r="A4947" t="s">
        <v>38</v>
      </c>
      <c r="B4947" t="s">
        <v>108</v>
      </c>
      <c r="C4947" t="s">
        <v>27</v>
      </c>
      <c r="D4947" t="s">
        <v>27</v>
      </c>
      <c r="E4947" s="2">
        <v>46126</v>
      </c>
      <c r="F4947" s="2">
        <v>46126</v>
      </c>
      <c r="G4947" s="3">
        <v>38</v>
      </c>
      <c r="H4947" t="s">
        <v>28</v>
      </c>
      <c r="I4947">
        <v>22</v>
      </c>
      <c r="J4947">
        <v>0</v>
      </c>
      <c r="K4947">
        <v>0</v>
      </c>
      <c r="L4947" s="3">
        <v>1</v>
      </c>
      <c r="M4947" s="3">
        <v>0</v>
      </c>
      <c r="N4947">
        <v>0</v>
      </c>
      <c r="O4947">
        <v>0</v>
      </c>
      <c r="P4947">
        <v>0</v>
      </c>
      <c r="Q4947">
        <v>22</v>
      </c>
      <c r="R4947" s="3">
        <v>0</v>
      </c>
      <c r="S4947" s="3">
        <v>0</v>
      </c>
      <c r="T4947">
        <v>0</v>
      </c>
      <c r="U4947">
        <v>0</v>
      </c>
      <c r="V4947" s="3">
        <v>0</v>
      </c>
      <c r="W4947" s="3">
        <v>0</v>
      </c>
      <c r="X4947">
        <v>0</v>
      </c>
      <c r="Y4947" t="s">
        <v>3757</v>
      </c>
    </row>
    <row r="4948" spans="1:25" hidden="1" x14ac:dyDescent="0.25">
      <c r="A4948" t="s">
        <v>2679</v>
      </c>
      <c r="B4948" t="s">
        <v>2680</v>
      </c>
      <c r="C4948" t="s">
        <v>39</v>
      </c>
      <c r="D4948" t="s">
        <v>27</v>
      </c>
      <c r="E4948" s="2">
        <v>46126</v>
      </c>
      <c r="F4948" s="2">
        <v>46126</v>
      </c>
      <c r="G4948" s="3">
        <v>34</v>
      </c>
      <c r="H4948" t="s">
        <v>28</v>
      </c>
      <c r="I4948">
        <v>20</v>
      </c>
      <c r="J4948">
        <v>0</v>
      </c>
      <c r="K4948">
        <v>0</v>
      </c>
      <c r="L4948" s="3">
        <v>0</v>
      </c>
      <c r="M4948" s="3">
        <v>0</v>
      </c>
      <c r="N4948">
        <v>0</v>
      </c>
      <c r="O4948">
        <v>0</v>
      </c>
      <c r="P4948">
        <v>0</v>
      </c>
      <c r="Q4948">
        <v>20</v>
      </c>
      <c r="R4948" s="3">
        <v>0</v>
      </c>
      <c r="S4948" s="3">
        <v>0</v>
      </c>
      <c r="T4948">
        <v>0</v>
      </c>
      <c r="U4948">
        <v>0</v>
      </c>
      <c r="V4948" s="3">
        <v>0</v>
      </c>
      <c r="W4948" s="3">
        <v>0</v>
      </c>
      <c r="X4948">
        <v>0</v>
      </c>
      <c r="Y4948" t="s">
        <v>3758</v>
      </c>
    </row>
    <row r="4949" spans="1:25" hidden="1" x14ac:dyDescent="0.25">
      <c r="A4949" t="s">
        <v>40</v>
      </c>
      <c r="B4949" t="s">
        <v>110</v>
      </c>
      <c r="C4949" t="s">
        <v>2534</v>
      </c>
      <c r="D4949" t="s">
        <v>27</v>
      </c>
      <c r="E4949" s="2">
        <v>46126</v>
      </c>
      <c r="F4949" s="2">
        <v>46126</v>
      </c>
      <c r="G4949" s="3">
        <v>73</v>
      </c>
      <c r="H4949" t="s">
        <v>28</v>
      </c>
      <c r="I4949">
        <v>46</v>
      </c>
      <c r="J4949">
        <v>0</v>
      </c>
      <c r="K4949">
        <v>0</v>
      </c>
      <c r="L4949" s="3">
        <v>1</v>
      </c>
      <c r="M4949" s="3">
        <v>0</v>
      </c>
      <c r="N4949">
        <v>0</v>
      </c>
      <c r="O4949">
        <v>0</v>
      </c>
      <c r="P4949">
        <v>0</v>
      </c>
      <c r="Q4949">
        <v>0</v>
      </c>
      <c r="R4949" s="3">
        <v>0</v>
      </c>
      <c r="S4949" s="3">
        <v>0</v>
      </c>
      <c r="T4949">
        <v>0</v>
      </c>
      <c r="U4949">
        <v>0</v>
      </c>
      <c r="V4949" s="3">
        <v>0</v>
      </c>
      <c r="W4949" s="3">
        <v>0</v>
      </c>
      <c r="X4949">
        <v>0</v>
      </c>
      <c r="Y4949" t="s">
        <v>3759</v>
      </c>
    </row>
    <row r="4950" spans="1:25" hidden="1" x14ac:dyDescent="0.25">
      <c r="A4950" t="s">
        <v>41</v>
      </c>
      <c r="B4950" t="s">
        <v>112</v>
      </c>
      <c r="C4950" t="s">
        <v>42</v>
      </c>
      <c r="D4950" t="s">
        <v>27</v>
      </c>
      <c r="E4950" s="2">
        <v>46126</v>
      </c>
      <c r="F4950" s="2">
        <v>46126</v>
      </c>
      <c r="G4950" s="3">
        <v>33</v>
      </c>
      <c r="H4950" t="s">
        <v>28</v>
      </c>
      <c r="I4950">
        <v>43</v>
      </c>
      <c r="J4950">
        <v>0</v>
      </c>
      <c r="K4950">
        <v>0</v>
      </c>
      <c r="L4950" s="3">
        <v>1</v>
      </c>
      <c r="M4950" s="3">
        <v>0</v>
      </c>
      <c r="N4950">
        <v>0</v>
      </c>
      <c r="O4950">
        <v>0</v>
      </c>
      <c r="P4950">
        <v>0</v>
      </c>
      <c r="Q4950">
        <v>1</v>
      </c>
      <c r="R4950" s="3">
        <v>0</v>
      </c>
      <c r="S4950" s="3">
        <v>0</v>
      </c>
      <c r="T4950">
        <v>0</v>
      </c>
      <c r="U4950">
        <v>0</v>
      </c>
      <c r="V4950" s="3">
        <v>0</v>
      </c>
      <c r="W4950" s="3">
        <v>0</v>
      </c>
      <c r="X4950">
        <v>0</v>
      </c>
      <c r="Y4950" t="s">
        <v>3760</v>
      </c>
    </row>
    <row r="4951" spans="1:25" hidden="1" x14ac:dyDescent="0.25">
      <c r="A4951" t="s">
        <v>43</v>
      </c>
      <c r="B4951" t="s">
        <v>114</v>
      </c>
      <c r="C4951" t="s">
        <v>44</v>
      </c>
      <c r="D4951" t="s">
        <v>27</v>
      </c>
      <c r="E4951" s="2">
        <v>46126</v>
      </c>
      <c r="F4951" s="2">
        <v>46126</v>
      </c>
      <c r="G4951" s="3">
        <v>25</v>
      </c>
      <c r="H4951" t="s">
        <v>28</v>
      </c>
      <c r="I4951">
        <v>86</v>
      </c>
      <c r="J4951">
        <v>0</v>
      </c>
      <c r="K4951">
        <v>0</v>
      </c>
      <c r="L4951" s="3">
        <v>1</v>
      </c>
      <c r="M4951" s="3">
        <v>0</v>
      </c>
      <c r="N4951">
        <v>0</v>
      </c>
      <c r="O4951">
        <v>0</v>
      </c>
      <c r="P4951">
        <v>0</v>
      </c>
      <c r="Q4951">
        <v>0</v>
      </c>
      <c r="R4951" s="3">
        <v>0</v>
      </c>
      <c r="S4951" s="3">
        <v>0</v>
      </c>
      <c r="T4951">
        <v>0</v>
      </c>
      <c r="U4951">
        <v>0</v>
      </c>
      <c r="V4951" s="3">
        <v>0</v>
      </c>
      <c r="W4951" s="3">
        <v>0</v>
      </c>
      <c r="X4951">
        <v>0</v>
      </c>
      <c r="Y4951" t="s">
        <v>3761</v>
      </c>
    </row>
    <row r="4952" spans="1:25" hidden="1" x14ac:dyDescent="0.25">
      <c r="A4952" t="s">
        <v>45</v>
      </c>
      <c r="B4952" t="s">
        <v>116</v>
      </c>
      <c r="C4952" t="s">
        <v>46</v>
      </c>
      <c r="D4952" t="s">
        <v>27</v>
      </c>
      <c r="E4952" s="2">
        <v>46126</v>
      </c>
      <c r="F4952" s="2">
        <v>46126</v>
      </c>
      <c r="G4952" s="3">
        <v>44</v>
      </c>
      <c r="H4952" t="s">
        <v>28</v>
      </c>
      <c r="I4952">
        <v>68</v>
      </c>
      <c r="J4952">
        <v>0</v>
      </c>
      <c r="K4952">
        <v>0</v>
      </c>
      <c r="L4952" s="3">
        <v>1</v>
      </c>
      <c r="M4952" s="3">
        <v>0</v>
      </c>
      <c r="N4952">
        <v>0</v>
      </c>
      <c r="O4952">
        <v>0</v>
      </c>
      <c r="P4952">
        <v>0</v>
      </c>
      <c r="Q4952">
        <v>11</v>
      </c>
      <c r="R4952" s="3">
        <v>0</v>
      </c>
      <c r="S4952" s="3">
        <v>0</v>
      </c>
      <c r="T4952">
        <v>0</v>
      </c>
      <c r="U4952">
        <v>0</v>
      </c>
      <c r="V4952" s="3">
        <v>0</v>
      </c>
      <c r="W4952" s="3">
        <v>0</v>
      </c>
      <c r="X4952">
        <v>0</v>
      </c>
      <c r="Y4952" t="s">
        <v>3762</v>
      </c>
    </row>
    <row r="4953" spans="1:25" hidden="1" x14ac:dyDescent="0.25">
      <c r="A4953" t="s">
        <v>49</v>
      </c>
      <c r="B4953" t="s">
        <v>118</v>
      </c>
      <c r="C4953" t="s">
        <v>50</v>
      </c>
      <c r="D4953" t="s">
        <v>27</v>
      </c>
      <c r="E4953" s="2">
        <v>46126</v>
      </c>
      <c r="F4953" s="2">
        <v>46126</v>
      </c>
      <c r="G4953" s="3">
        <v>30</v>
      </c>
      <c r="H4953" t="s">
        <v>28</v>
      </c>
      <c r="I4953">
        <v>40</v>
      </c>
      <c r="J4953">
        <v>0</v>
      </c>
      <c r="K4953">
        <v>0</v>
      </c>
      <c r="L4953" s="3">
        <v>1</v>
      </c>
      <c r="M4953" s="3">
        <v>1</v>
      </c>
      <c r="N4953">
        <v>0</v>
      </c>
      <c r="O4953">
        <v>1</v>
      </c>
      <c r="P4953">
        <v>0</v>
      </c>
      <c r="Q4953">
        <v>40</v>
      </c>
      <c r="R4953" s="3">
        <v>0</v>
      </c>
      <c r="S4953" s="3">
        <v>0</v>
      </c>
      <c r="T4953">
        <v>0</v>
      </c>
      <c r="U4953">
        <v>0</v>
      </c>
      <c r="V4953" s="3">
        <v>0</v>
      </c>
      <c r="W4953" s="3">
        <v>0</v>
      </c>
      <c r="X4953">
        <v>0</v>
      </c>
      <c r="Y4953" t="s">
        <v>3763</v>
      </c>
    </row>
    <row r="4954" spans="1:25" hidden="1" x14ac:dyDescent="0.25">
      <c r="A4954" t="s">
        <v>54</v>
      </c>
      <c r="B4954" t="s">
        <v>122</v>
      </c>
      <c r="C4954" t="s">
        <v>2271</v>
      </c>
      <c r="D4954" t="s">
        <v>27</v>
      </c>
      <c r="E4954" s="2">
        <v>46126</v>
      </c>
      <c r="F4954" s="2">
        <v>46126</v>
      </c>
      <c r="G4954" s="3">
        <v>41</v>
      </c>
      <c r="H4954" t="s">
        <v>28</v>
      </c>
      <c r="I4954">
        <v>47</v>
      </c>
      <c r="J4954">
        <v>0</v>
      </c>
      <c r="K4954">
        <v>0</v>
      </c>
      <c r="L4954" s="3">
        <v>0</v>
      </c>
      <c r="M4954" s="3">
        <v>0</v>
      </c>
      <c r="N4954">
        <v>0</v>
      </c>
      <c r="O4954">
        <v>0</v>
      </c>
      <c r="P4954">
        <v>0</v>
      </c>
      <c r="Q4954">
        <v>2</v>
      </c>
      <c r="R4954" s="3">
        <v>0</v>
      </c>
      <c r="S4954" s="3">
        <v>0</v>
      </c>
      <c r="T4954">
        <v>0</v>
      </c>
      <c r="U4954">
        <v>0</v>
      </c>
      <c r="V4954" s="3">
        <v>0</v>
      </c>
      <c r="W4954" s="3">
        <v>0</v>
      </c>
      <c r="X4954">
        <v>0</v>
      </c>
      <c r="Y4954" t="s">
        <v>3764</v>
      </c>
    </row>
    <row r="4955" spans="1:25" hidden="1" x14ac:dyDescent="0.25">
      <c r="A4955" t="s">
        <v>27</v>
      </c>
      <c r="B4955" t="s">
        <v>123</v>
      </c>
      <c r="C4955" t="s">
        <v>55</v>
      </c>
      <c r="D4955" t="s">
        <v>27</v>
      </c>
      <c r="E4955" s="2">
        <v>46126</v>
      </c>
      <c r="F4955" s="2">
        <v>46126</v>
      </c>
      <c r="G4955" s="3">
        <v>42</v>
      </c>
      <c r="H4955" t="s">
        <v>2143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t="s">
        <v>3764</v>
      </c>
    </row>
    <row r="4956" spans="1:25" hidden="1" x14ac:dyDescent="0.25">
      <c r="A4956" t="s">
        <v>27</v>
      </c>
      <c r="B4956" t="s">
        <v>98</v>
      </c>
      <c r="C4956" t="s">
        <v>2835</v>
      </c>
      <c r="D4956" t="s">
        <v>27</v>
      </c>
      <c r="E4956" s="2">
        <v>46126</v>
      </c>
      <c r="F4956" s="2">
        <v>46126</v>
      </c>
      <c r="G4956" s="3">
        <v>43</v>
      </c>
      <c r="H4956" t="s">
        <v>2143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t="s">
        <v>3764</v>
      </c>
    </row>
    <row r="4957" spans="1:25" hidden="1" x14ac:dyDescent="0.25">
      <c r="A4957" t="s">
        <v>51</v>
      </c>
      <c r="B4957" t="s">
        <v>125</v>
      </c>
      <c r="C4957" t="s">
        <v>27</v>
      </c>
      <c r="D4957" t="s">
        <v>27</v>
      </c>
      <c r="E4957" s="2">
        <v>46126</v>
      </c>
      <c r="F4957" s="2">
        <v>46126</v>
      </c>
      <c r="G4957" s="3">
        <v>44</v>
      </c>
      <c r="H4957" t="s">
        <v>28</v>
      </c>
      <c r="I4957">
        <v>58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3764</v>
      </c>
    </row>
    <row r="4958" spans="1:25" hidden="1" x14ac:dyDescent="0.25">
      <c r="A4958" t="s">
        <v>27</v>
      </c>
      <c r="B4958" t="s">
        <v>3765</v>
      </c>
      <c r="C4958" t="s">
        <v>57</v>
      </c>
      <c r="D4958" t="s">
        <v>27</v>
      </c>
      <c r="E4958" s="2">
        <v>46126</v>
      </c>
      <c r="F4958" s="2">
        <v>46126</v>
      </c>
      <c r="G4958" s="3">
        <v>45</v>
      </c>
      <c r="H4958" t="s">
        <v>1448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3764</v>
      </c>
    </row>
    <row r="4959" spans="1:25" hidden="1" x14ac:dyDescent="0.25">
      <c r="A4959" t="s">
        <v>48</v>
      </c>
      <c r="B4959" t="s">
        <v>3766</v>
      </c>
      <c r="C4959" t="s">
        <v>27</v>
      </c>
      <c r="D4959" t="s">
        <v>27</v>
      </c>
      <c r="E4959" s="2">
        <v>46126</v>
      </c>
      <c r="F4959" s="2">
        <v>46126</v>
      </c>
      <c r="G4959" s="3">
        <v>46</v>
      </c>
      <c r="H4959" t="s">
        <v>28</v>
      </c>
      <c r="I4959">
        <v>23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t="s">
        <v>3764</v>
      </c>
    </row>
    <row r="4960" spans="1:25" hidden="1" x14ac:dyDescent="0.25">
      <c r="A4960" t="s">
        <v>29</v>
      </c>
      <c r="B4960" t="s">
        <v>116</v>
      </c>
      <c r="C4960" t="s">
        <v>27</v>
      </c>
      <c r="D4960" t="s">
        <v>27</v>
      </c>
      <c r="E4960" s="2">
        <v>46126</v>
      </c>
      <c r="F4960" s="2">
        <v>46126</v>
      </c>
      <c r="G4960" s="3">
        <v>47</v>
      </c>
      <c r="H4960" t="s">
        <v>2143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3764</v>
      </c>
    </row>
    <row r="4961" spans="1:25" hidden="1" x14ac:dyDescent="0.25">
      <c r="A4961" t="s">
        <v>27</v>
      </c>
      <c r="B4961" t="s">
        <v>104</v>
      </c>
      <c r="C4961" t="s">
        <v>95</v>
      </c>
      <c r="D4961" t="s">
        <v>27</v>
      </c>
      <c r="E4961" s="2">
        <v>46126</v>
      </c>
      <c r="F4961" s="2">
        <v>46126</v>
      </c>
      <c r="G4961" s="3">
        <v>48</v>
      </c>
      <c r="H4961" t="s">
        <v>1448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3764</v>
      </c>
    </row>
    <row r="4962" spans="1:25" hidden="1" x14ac:dyDescent="0.25">
      <c r="A4962" t="s">
        <v>47</v>
      </c>
      <c r="B4962" t="s">
        <v>2762</v>
      </c>
      <c r="C4962" t="s">
        <v>27</v>
      </c>
      <c r="D4962" t="s">
        <v>27</v>
      </c>
      <c r="E4962" s="2">
        <v>46127</v>
      </c>
      <c r="F4962" s="2">
        <v>46127</v>
      </c>
      <c r="G4962" s="3">
        <v>49</v>
      </c>
      <c r="H4962" t="s">
        <v>763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t="s">
        <v>3711</v>
      </c>
    </row>
    <row r="4963" spans="1:25" hidden="1" x14ac:dyDescent="0.25">
      <c r="A4963" t="s">
        <v>27</v>
      </c>
      <c r="B4963" t="s">
        <v>2764</v>
      </c>
      <c r="C4963" t="s">
        <v>52</v>
      </c>
      <c r="D4963" t="s">
        <v>27</v>
      </c>
      <c r="E4963" s="2">
        <v>46127</v>
      </c>
      <c r="F4963" s="2">
        <v>46127</v>
      </c>
      <c r="G4963" s="3">
        <v>50</v>
      </c>
      <c r="H4963" t="s">
        <v>763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3711</v>
      </c>
    </row>
    <row r="4964" spans="1:25" hidden="1" x14ac:dyDescent="0.25">
      <c r="A4964" t="s">
        <v>55</v>
      </c>
      <c r="B4964" t="s">
        <v>2072</v>
      </c>
      <c r="C4964" t="s">
        <v>2835</v>
      </c>
      <c r="D4964" t="s">
        <v>27</v>
      </c>
      <c r="E4964" s="2">
        <v>46127</v>
      </c>
      <c r="F4964" s="2">
        <v>46127</v>
      </c>
      <c r="G4964" s="3">
        <v>45</v>
      </c>
      <c r="H4964" t="s">
        <v>28</v>
      </c>
      <c r="I4964">
        <v>32</v>
      </c>
      <c r="J4964">
        <v>0</v>
      </c>
      <c r="K4964">
        <v>0</v>
      </c>
      <c r="L4964" s="3">
        <v>1</v>
      </c>
      <c r="M4964" s="3">
        <v>0</v>
      </c>
      <c r="N4964">
        <v>1</v>
      </c>
      <c r="O4964">
        <v>0</v>
      </c>
      <c r="P4964">
        <v>0</v>
      </c>
      <c r="Q4964">
        <v>0</v>
      </c>
      <c r="R4964" s="3">
        <v>0</v>
      </c>
      <c r="S4964" s="3">
        <v>0</v>
      </c>
      <c r="T4964">
        <v>0</v>
      </c>
      <c r="U4964">
        <v>0</v>
      </c>
      <c r="V4964" s="3">
        <v>0</v>
      </c>
      <c r="W4964" s="3">
        <v>0</v>
      </c>
      <c r="X4964">
        <v>0</v>
      </c>
      <c r="Y4964" t="s">
        <v>3767</v>
      </c>
    </row>
    <row r="4965" spans="1:25" hidden="1" x14ac:dyDescent="0.25">
      <c r="A4965" t="s">
        <v>25</v>
      </c>
      <c r="B4965" t="s">
        <v>96</v>
      </c>
      <c r="C4965" t="s">
        <v>26</v>
      </c>
      <c r="D4965" t="s">
        <v>27</v>
      </c>
      <c r="E4965" s="2">
        <v>46127</v>
      </c>
      <c r="F4965" s="2">
        <v>46127</v>
      </c>
      <c r="G4965" s="3">
        <v>46</v>
      </c>
      <c r="H4965" t="s">
        <v>28</v>
      </c>
      <c r="I4965">
        <v>89</v>
      </c>
      <c r="J4965">
        <v>0</v>
      </c>
      <c r="K4965">
        <v>0</v>
      </c>
      <c r="L4965" s="3">
        <v>0</v>
      </c>
      <c r="M4965" s="3">
        <v>1</v>
      </c>
      <c r="N4965">
        <v>1</v>
      </c>
      <c r="O4965">
        <v>0</v>
      </c>
      <c r="P4965">
        <v>0</v>
      </c>
      <c r="Q4965">
        <v>0</v>
      </c>
      <c r="R4965" s="3">
        <v>0</v>
      </c>
      <c r="S4965" s="3">
        <v>0</v>
      </c>
      <c r="T4965">
        <v>0</v>
      </c>
      <c r="U4965">
        <v>0</v>
      </c>
      <c r="V4965" s="3">
        <v>0</v>
      </c>
      <c r="W4965" s="3">
        <v>0</v>
      </c>
      <c r="X4965">
        <v>0</v>
      </c>
      <c r="Y4965" t="s">
        <v>3768</v>
      </c>
    </row>
    <row r="4966" spans="1:25" hidden="1" x14ac:dyDescent="0.25">
      <c r="A4966" t="s">
        <v>29</v>
      </c>
      <c r="B4966" t="s">
        <v>100</v>
      </c>
      <c r="C4966" t="s">
        <v>2310</v>
      </c>
      <c r="D4966" t="s">
        <v>27</v>
      </c>
      <c r="E4966" s="2">
        <v>46127</v>
      </c>
      <c r="F4966" s="2">
        <v>46127</v>
      </c>
      <c r="G4966" s="3">
        <v>75</v>
      </c>
      <c r="H4966" t="s">
        <v>28</v>
      </c>
      <c r="I4966">
        <v>65</v>
      </c>
      <c r="J4966">
        <v>0</v>
      </c>
      <c r="K4966">
        <v>0</v>
      </c>
      <c r="L4966" s="3">
        <v>1</v>
      </c>
      <c r="M4966" s="3">
        <v>0</v>
      </c>
      <c r="N4966">
        <v>0</v>
      </c>
      <c r="O4966">
        <v>0</v>
      </c>
      <c r="P4966">
        <v>0</v>
      </c>
      <c r="Q4966">
        <v>15</v>
      </c>
      <c r="R4966" s="3">
        <v>0</v>
      </c>
      <c r="S4966" s="3">
        <v>0</v>
      </c>
      <c r="T4966">
        <v>0</v>
      </c>
      <c r="U4966">
        <v>0</v>
      </c>
      <c r="V4966" s="3">
        <v>0</v>
      </c>
      <c r="W4966" s="3">
        <v>0</v>
      </c>
      <c r="X4966">
        <v>0</v>
      </c>
      <c r="Y4966" t="s">
        <v>3769</v>
      </c>
    </row>
    <row r="4967" spans="1:25" hidden="1" x14ac:dyDescent="0.25">
      <c r="A4967" t="s">
        <v>344</v>
      </c>
      <c r="B4967" t="s">
        <v>100</v>
      </c>
      <c r="C4967" t="s">
        <v>35</v>
      </c>
      <c r="D4967" t="s">
        <v>27</v>
      </c>
      <c r="E4967" s="2">
        <v>46127</v>
      </c>
      <c r="F4967" s="2">
        <v>46127</v>
      </c>
      <c r="G4967" s="3">
        <v>34</v>
      </c>
      <c r="H4967" t="s">
        <v>28</v>
      </c>
      <c r="I4967">
        <v>30</v>
      </c>
      <c r="J4967">
        <v>0</v>
      </c>
      <c r="K4967">
        <v>0</v>
      </c>
      <c r="L4967" s="3">
        <v>1</v>
      </c>
      <c r="M4967" s="3">
        <v>0</v>
      </c>
      <c r="N4967">
        <v>0</v>
      </c>
      <c r="O4967">
        <v>0</v>
      </c>
      <c r="P4967">
        <v>15</v>
      </c>
      <c r="Q4967">
        <v>13</v>
      </c>
      <c r="R4967" s="3">
        <v>0</v>
      </c>
      <c r="S4967" s="3">
        <v>0</v>
      </c>
      <c r="T4967">
        <v>0</v>
      </c>
      <c r="U4967">
        <v>0</v>
      </c>
      <c r="V4967" s="3">
        <v>0</v>
      </c>
      <c r="W4967" s="3">
        <v>0</v>
      </c>
      <c r="X4967">
        <v>0</v>
      </c>
      <c r="Y4967" t="s">
        <v>3751</v>
      </c>
    </row>
    <row r="4968" spans="1:25" hidden="1" x14ac:dyDescent="0.25">
      <c r="A4968" t="s">
        <v>31</v>
      </c>
      <c r="B4968" t="s">
        <v>104</v>
      </c>
      <c r="C4968" t="s">
        <v>32</v>
      </c>
      <c r="D4968" t="s">
        <v>27</v>
      </c>
      <c r="E4968" s="2">
        <v>46127</v>
      </c>
      <c r="F4968" s="2">
        <v>46127</v>
      </c>
      <c r="G4968" s="3">
        <v>110</v>
      </c>
      <c r="H4968" t="s">
        <v>28</v>
      </c>
      <c r="I4968">
        <v>90</v>
      </c>
      <c r="J4968">
        <v>0</v>
      </c>
      <c r="K4968">
        <v>0</v>
      </c>
      <c r="L4968" s="3">
        <v>1</v>
      </c>
      <c r="M4968" s="3">
        <v>0</v>
      </c>
      <c r="N4968">
        <v>0</v>
      </c>
      <c r="O4968">
        <v>0</v>
      </c>
      <c r="P4968">
        <v>0</v>
      </c>
      <c r="Q4968">
        <v>35</v>
      </c>
      <c r="R4968" s="3">
        <v>0</v>
      </c>
      <c r="S4968" s="3">
        <v>0</v>
      </c>
      <c r="T4968">
        <v>0</v>
      </c>
      <c r="U4968">
        <v>0</v>
      </c>
      <c r="V4968" s="3">
        <v>0</v>
      </c>
      <c r="W4968" s="3">
        <v>0</v>
      </c>
      <c r="X4968">
        <v>0</v>
      </c>
      <c r="Y4968" t="s">
        <v>3770</v>
      </c>
    </row>
    <row r="4969" spans="1:25" hidden="1" x14ac:dyDescent="0.25">
      <c r="A4969" t="s">
        <v>33</v>
      </c>
      <c r="B4969" t="s">
        <v>106</v>
      </c>
      <c r="C4969" t="s">
        <v>57</v>
      </c>
      <c r="D4969" t="s">
        <v>27</v>
      </c>
      <c r="E4969" s="2">
        <v>46127</v>
      </c>
      <c r="F4969" s="2">
        <v>46127</v>
      </c>
      <c r="G4969" s="3">
        <v>28</v>
      </c>
      <c r="H4969" t="s">
        <v>28</v>
      </c>
      <c r="I4969">
        <v>42</v>
      </c>
      <c r="J4969">
        <v>0</v>
      </c>
      <c r="K4969">
        <v>0</v>
      </c>
      <c r="L4969" s="3">
        <v>0</v>
      </c>
      <c r="M4969" s="3">
        <v>0</v>
      </c>
      <c r="N4969">
        <v>0</v>
      </c>
      <c r="O4969">
        <v>0</v>
      </c>
      <c r="P4969">
        <v>0</v>
      </c>
      <c r="Q4969">
        <v>21</v>
      </c>
      <c r="R4969" s="3">
        <v>0</v>
      </c>
      <c r="S4969" s="3">
        <v>0</v>
      </c>
      <c r="T4969">
        <v>0</v>
      </c>
      <c r="U4969">
        <v>0</v>
      </c>
      <c r="V4969" s="3">
        <v>0</v>
      </c>
      <c r="W4969" s="3">
        <v>0</v>
      </c>
      <c r="X4969">
        <v>0</v>
      </c>
      <c r="Y4969" t="s">
        <v>3771</v>
      </c>
    </row>
    <row r="4970" spans="1:25" hidden="1" x14ac:dyDescent="0.25">
      <c r="A4970" t="s">
        <v>36</v>
      </c>
      <c r="B4970" t="s">
        <v>249</v>
      </c>
      <c r="C4970" t="s">
        <v>2514</v>
      </c>
      <c r="D4970" t="s">
        <v>27</v>
      </c>
      <c r="E4970" s="2">
        <v>46127</v>
      </c>
      <c r="F4970" s="2">
        <v>46127</v>
      </c>
      <c r="G4970" s="3">
        <v>69</v>
      </c>
      <c r="H4970" t="s">
        <v>28</v>
      </c>
      <c r="I4970">
        <v>75</v>
      </c>
      <c r="J4970">
        <v>0</v>
      </c>
      <c r="K4970">
        <v>0</v>
      </c>
      <c r="L4970" s="3">
        <v>1</v>
      </c>
      <c r="M4970" s="3">
        <v>0</v>
      </c>
      <c r="N4970">
        <v>0</v>
      </c>
      <c r="O4970">
        <v>0</v>
      </c>
      <c r="P4970">
        <v>0</v>
      </c>
      <c r="Q4970">
        <v>30</v>
      </c>
      <c r="R4970" s="3">
        <v>0</v>
      </c>
      <c r="S4970" s="3">
        <v>0</v>
      </c>
      <c r="T4970">
        <v>0</v>
      </c>
      <c r="U4970">
        <v>0</v>
      </c>
      <c r="V4970" s="3">
        <v>0</v>
      </c>
      <c r="W4970" s="3">
        <v>0</v>
      </c>
      <c r="X4970">
        <v>0</v>
      </c>
      <c r="Y4970" t="s">
        <v>3772</v>
      </c>
    </row>
    <row r="4971" spans="1:25" hidden="1" x14ac:dyDescent="0.25">
      <c r="A4971" t="s">
        <v>38</v>
      </c>
      <c r="B4971" t="s">
        <v>108</v>
      </c>
      <c r="C4971" t="s">
        <v>27</v>
      </c>
      <c r="D4971" t="s">
        <v>27</v>
      </c>
      <c r="E4971" s="2">
        <v>46127</v>
      </c>
      <c r="F4971" s="2">
        <v>46127</v>
      </c>
      <c r="G4971" s="3">
        <v>83</v>
      </c>
      <c r="H4971" t="s">
        <v>28</v>
      </c>
      <c r="I4971">
        <v>33</v>
      </c>
      <c r="J4971">
        <v>0</v>
      </c>
      <c r="K4971">
        <v>0</v>
      </c>
      <c r="L4971" s="3">
        <v>1</v>
      </c>
      <c r="M4971" s="3">
        <v>0</v>
      </c>
      <c r="N4971">
        <v>0</v>
      </c>
      <c r="O4971">
        <v>0</v>
      </c>
      <c r="P4971">
        <v>0</v>
      </c>
      <c r="Q4971">
        <v>33</v>
      </c>
      <c r="R4971" s="3">
        <v>0</v>
      </c>
      <c r="S4971" s="3">
        <v>0</v>
      </c>
      <c r="T4971">
        <v>0</v>
      </c>
      <c r="U4971">
        <v>0</v>
      </c>
      <c r="V4971" s="3">
        <v>0</v>
      </c>
      <c r="W4971" s="3">
        <v>0</v>
      </c>
      <c r="X4971">
        <v>0</v>
      </c>
      <c r="Y4971" t="s">
        <v>3773</v>
      </c>
    </row>
    <row r="4972" spans="1:25" hidden="1" x14ac:dyDescent="0.25">
      <c r="A4972" t="s">
        <v>2679</v>
      </c>
      <c r="B4972" t="s">
        <v>2680</v>
      </c>
      <c r="C4972" t="s">
        <v>39</v>
      </c>
      <c r="D4972" t="s">
        <v>27</v>
      </c>
      <c r="E4972" s="2">
        <v>46127</v>
      </c>
      <c r="F4972" s="2">
        <v>46127</v>
      </c>
      <c r="G4972" s="3">
        <v>31</v>
      </c>
      <c r="H4972" t="s">
        <v>28</v>
      </c>
      <c r="I4972">
        <v>42</v>
      </c>
      <c r="J4972">
        <v>0</v>
      </c>
      <c r="K4972">
        <v>0</v>
      </c>
      <c r="L4972" s="3">
        <v>0</v>
      </c>
      <c r="M4972" s="3">
        <v>0</v>
      </c>
      <c r="N4972">
        <v>0</v>
      </c>
      <c r="O4972">
        <v>0</v>
      </c>
      <c r="P4972">
        <v>0</v>
      </c>
      <c r="Q4972">
        <v>42</v>
      </c>
      <c r="R4972" s="3">
        <v>0</v>
      </c>
      <c r="S4972" s="3">
        <v>0</v>
      </c>
      <c r="T4972">
        <v>0</v>
      </c>
      <c r="U4972">
        <v>0</v>
      </c>
      <c r="V4972" s="3">
        <v>0</v>
      </c>
      <c r="W4972" s="3">
        <v>0</v>
      </c>
      <c r="X4972">
        <v>0</v>
      </c>
      <c r="Y4972" t="s">
        <v>3774</v>
      </c>
    </row>
    <row r="4973" spans="1:25" hidden="1" x14ac:dyDescent="0.25">
      <c r="A4973" t="s">
        <v>40</v>
      </c>
      <c r="B4973" t="s">
        <v>110</v>
      </c>
      <c r="C4973" t="s">
        <v>2534</v>
      </c>
      <c r="D4973" t="s">
        <v>27</v>
      </c>
      <c r="E4973" s="2">
        <v>46127</v>
      </c>
      <c r="F4973" s="2">
        <v>46127</v>
      </c>
      <c r="G4973" s="3">
        <v>37</v>
      </c>
      <c r="H4973" t="s">
        <v>28</v>
      </c>
      <c r="I4973">
        <v>58</v>
      </c>
      <c r="J4973">
        <v>0</v>
      </c>
      <c r="K4973">
        <v>0</v>
      </c>
      <c r="L4973" s="3">
        <v>1</v>
      </c>
      <c r="M4973" s="3">
        <v>0</v>
      </c>
      <c r="N4973">
        <v>1</v>
      </c>
      <c r="O4973">
        <v>0</v>
      </c>
      <c r="P4973">
        <v>0</v>
      </c>
      <c r="Q4973">
        <v>42</v>
      </c>
      <c r="R4973" s="3">
        <v>0</v>
      </c>
      <c r="S4973" s="3">
        <v>0</v>
      </c>
      <c r="T4973">
        <v>0</v>
      </c>
      <c r="U4973">
        <v>0</v>
      </c>
      <c r="V4973" s="3">
        <v>0</v>
      </c>
      <c r="W4973" s="3">
        <v>0</v>
      </c>
      <c r="X4973">
        <v>0</v>
      </c>
      <c r="Y4973" t="s">
        <v>3775</v>
      </c>
    </row>
    <row r="4974" spans="1:25" hidden="1" x14ac:dyDescent="0.25">
      <c r="A4974" t="s">
        <v>41</v>
      </c>
      <c r="B4974" t="s">
        <v>112</v>
      </c>
      <c r="C4974" t="s">
        <v>42</v>
      </c>
      <c r="D4974" t="s">
        <v>27</v>
      </c>
      <c r="E4974" s="2">
        <v>46127</v>
      </c>
      <c r="F4974" s="2">
        <v>46127</v>
      </c>
      <c r="G4974" s="3">
        <v>54</v>
      </c>
      <c r="H4974" t="s">
        <v>28</v>
      </c>
      <c r="I4974">
        <v>51</v>
      </c>
      <c r="J4974">
        <v>0</v>
      </c>
      <c r="K4974">
        <v>0</v>
      </c>
      <c r="L4974" s="3">
        <v>1</v>
      </c>
      <c r="M4974" s="3">
        <v>0</v>
      </c>
      <c r="N4974">
        <v>0</v>
      </c>
      <c r="O4974">
        <v>1</v>
      </c>
      <c r="P4974">
        <v>0</v>
      </c>
      <c r="Q4974">
        <v>15</v>
      </c>
      <c r="R4974" s="3">
        <v>0</v>
      </c>
      <c r="S4974" s="3">
        <v>0</v>
      </c>
      <c r="T4974">
        <v>0</v>
      </c>
      <c r="U4974">
        <v>0</v>
      </c>
      <c r="V4974" s="3">
        <v>0</v>
      </c>
      <c r="W4974" s="3">
        <v>0</v>
      </c>
      <c r="X4974">
        <v>0</v>
      </c>
      <c r="Y4974" t="s">
        <v>3776</v>
      </c>
    </row>
    <row r="4975" spans="1:25" hidden="1" x14ac:dyDescent="0.25">
      <c r="A4975" t="s">
        <v>43</v>
      </c>
      <c r="B4975" t="s">
        <v>114</v>
      </c>
      <c r="C4975" t="s">
        <v>44</v>
      </c>
      <c r="D4975" t="s">
        <v>27</v>
      </c>
      <c r="E4975" s="2">
        <v>46127</v>
      </c>
      <c r="F4975" s="2">
        <v>46127</v>
      </c>
      <c r="G4975" s="3">
        <v>26</v>
      </c>
      <c r="H4975" t="s">
        <v>28</v>
      </c>
      <c r="I4975">
        <v>69</v>
      </c>
      <c r="J4975">
        <v>0</v>
      </c>
      <c r="K4975">
        <v>0</v>
      </c>
      <c r="L4975" s="3">
        <v>1</v>
      </c>
      <c r="M4975" s="3">
        <v>0</v>
      </c>
      <c r="N4975">
        <v>0</v>
      </c>
      <c r="O4975">
        <v>0</v>
      </c>
      <c r="P4975">
        <v>0</v>
      </c>
      <c r="Q4975">
        <v>32</v>
      </c>
      <c r="R4975" s="3">
        <v>0</v>
      </c>
      <c r="S4975" s="3">
        <v>0</v>
      </c>
      <c r="T4975">
        <v>0</v>
      </c>
      <c r="U4975">
        <v>0</v>
      </c>
      <c r="V4975" s="3">
        <v>0</v>
      </c>
      <c r="W4975" s="3">
        <v>0</v>
      </c>
      <c r="X4975">
        <v>0</v>
      </c>
      <c r="Y4975" t="s">
        <v>3777</v>
      </c>
    </row>
    <row r="4976" spans="1:25" hidden="1" x14ac:dyDescent="0.25">
      <c r="A4976" t="s">
        <v>2118</v>
      </c>
      <c r="B4976" t="s">
        <v>2119</v>
      </c>
      <c r="C4976" t="s">
        <v>27</v>
      </c>
      <c r="D4976" t="s">
        <v>27</v>
      </c>
      <c r="E4976" s="2">
        <v>46127</v>
      </c>
      <c r="F4976" s="2">
        <v>46127</v>
      </c>
      <c r="G4976" s="3">
        <v>32</v>
      </c>
      <c r="H4976" t="s">
        <v>28</v>
      </c>
      <c r="I4976">
        <v>37</v>
      </c>
      <c r="J4976">
        <v>0</v>
      </c>
      <c r="K4976">
        <v>0</v>
      </c>
      <c r="L4976" s="3">
        <v>1</v>
      </c>
      <c r="M4976" s="3">
        <v>0</v>
      </c>
      <c r="N4976">
        <v>0</v>
      </c>
      <c r="O4976">
        <v>0</v>
      </c>
      <c r="P4976">
        <v>0</v>
      </c>
      <c r="Q4976">
        <v>37</v>
      </c>
      <c r="R4976" s="3">
        <v>0</v>
      </c>
      <c r="S4976" s="3">
        <v>0</v>
      </c>
      <c r="T4976">
        <v>0</v>
      </c>
      <c r="U4976">
        <v>0</v>
      </c>
      <c r="V4976" s="3">
        <v>0</v>
      </c>
      <c r="W4976" s="3">
        <v>0</v>
      </c>
      <c r="X4976">
        <v>0</v>
      </c>
      <c r="Y4976" t="s">
        <v>3778</v>
      </c>
    </row>
    <row r="4977" spans="1:25" hidden="1" x14ac:dyDescent="0.25">
      <c r="A4977" t="s">
        <v>45</v>
      </c>
      <c r="B4977" t="s">
        <v>116</v>
      </c>
      <c r="C4977" t="s">
        <v>46</v>
      </c>
      <c r="D4977" t="s">
        <v>27</v>
      </c>
      <c r="E4977" s="2">
        <v>46127</v>
      </c>
      <c r="F4977" s="2">
        <v>46127</v>
      </c>
      <c r="G4977" s="3">
        <v>44</v>
      </c>
      <c r="H4977" t="s">
        <v>28</v>
      </c>
      <c r="I4977">
        <v>68</v>
      </c>
      <c r="J4977">
        <v>0</v>
      </c>
      <c r="K4977">
        <v>0</v>
      </c>
      <c r="L4977" s="3">
        <v>1</v>
      </c>
      <c r="M4977" s="3">
        <v>0</v>
      </c>
      <c r="N4977">
        <v>0</v>
      </c>
      <c r="O4977">
        <v>0</v>
      </c>
      <c r="P4977">
        <v>0</v>
      </c>
      <c r="Q4977">
        <v>11</v>
      </c>
      <c r="R4977" s="3">
        <v>0</v>
      </c>
      <c r="S4977" s="3">
        <v>0</v>
      </c>
      <c r="T4977">
        <v>0</v>
      </c>
      <c r="U4977">
        <v>0</v>
      </c>
      <c r="V4977" s="3">
        <v>0</v>
      </c>
      <c r="W4977" s="3">
        <v>0</v>
      </c>
      <c r="X4977">
        <v>0</v>
      </c>
      <c r="Y4977" t="s">
        <v>3762</v>
      </c>
    </row>
    <row r="4978" spans="1:25" hidden="1" x14ac:dyDescent="0.25">
      <c r="A4978" t="s">
        <v>49</v>
      </c>
      <c r="B4978" t="s">
        <v>118</v>
      </c>
      <c r="C4978" t="s">
        <v>50</v>
      </c>
      <c r="D4978" t="s">
        <v>27</v>
      </c>
      <c r="E4978" s="2">
        <v>46127</v>
      </c>
      <c r="F4978" s="2">
        <v>46127</v>
      </c>
      <c r="G4978" s="3">
        <v>36</v>
      </c>
      <c r="H4978" t="s">
        <v>28</v>
      </c>
      <c r="I4978">
        <v>29</v>
      </c>
      <c r="J4978">
        <v>0</v>
      </c>
      <c r="K4978">
        <v>0</v>
      </c>
      <c r="L4978" s="3">
        <v>1</v>
      </c>
      <c r="M4978" s="3">
        <v>1</v>
      </c>
      <c r="N4978">
        <v>0</v>
      </c>
      <c r="O4978">
        <v>0</v>
      </c>
      <c r="P4978">
        <v>0</v>
      </c>
      <c r="Q4978">
        <v>29</v>
      </c>
      <c r="R4978" s="3">
        <v>0</v>
      </c>
      <c r="S4978" s="3">
        <v>0</v>
      </c>
      <c r="T4978">
        <v>0</v>
      </c>
      <c r="U4978">
        <v>0</v>
      </c>
      <c r="V4978" s="3">
        <v>0</v>
      </c>
      <c r="W4978" s="3">
        <v>0</v>
      </c>
      <c r="X4978">
        <v>0</v>
      </c>
      <c r="Y4978" t="s">
        <v>3779</v>
      </c>
    </row>
    <row r="4979" spans="1:25" hidden="1" x14ac:dyDescent="0.25">
      <c r="A4979" t="s">
        <v>54</v>
      </c>
      <c r="B4979" t="s">
        <v>122</v>
      </c>
      <c r="C4979" t="s">
        <v>2271</v>
      </c>
      <c r="D4979" t="s">
        <v>27</v>
      </c>
      <c r="E4979" s="2">
        <v>46127</v>
      </c>
      <c r="F4979" s="2">
        <v>46127</v>
      </c>
      <c r="G4979" s="3">
        <v>41</v>
      </c>
      <c r="H4979" t="s">
        <v>28</v>
      </c>
      <c r="I4979">
        <v>34</v>
      </c>
      <c r="J4979">
        <v>0</v>
      </c>
      <c r="K4979">
        <v>0</v>
      </c>
      <c r="L4979" s="3">
        <v>0</v>
      </c>
      <c r="M4979" s="3">
        <v>0</v>
      </c>
      <c r="N4979">
        <v>0</v>
      </c>
      <c r="O4979">
        <v>0</v>
      </c>
      <c r="P4979">
        <v>0</v>
      </c>
      <c r="Q4979">
        <v>2</v>
      </c>
      <c r="R4979" s="3">
        <v>0</v>
      </c>
      <c r="S4979" s="3">
        <v>0</v>
      </c>
      <c r="T4979">
        <v>0</v>
      </c>
      <c r="U4979">
        <v>0</v>
      </c>
      <c r="V4979" s="3">
        <v>0</v>
      </c>
      <c r="W4979" s="3">
        <v>0</v>
      </c>
      <c r="X4979">
        <v>0</v>
      </c>
      <c r="Y4979" t="s">
        <v>3780</v>
      </c>
    </row>
    <row r="4980" spans="1:25" hidden="1" x14ac:dyDescent="0.25">
      <c r="A4980" t="s">
        <v>48</v>
      </c>
      <c r="B4980" t="s">
        <v>149</v>
      </c>
      <c r="C4980" t="s">
        <v>37</v>
      </c>
      <c r="D4980" t="s">
        <v>27</v>
      </c>
      <c r="E4980" s="2">
        <v>46127</v>
      </c>
      <c r="F4980" s="2">
        <v>46127</v>
      </c>
      <c r="G4980" s="3">
        <v>39</v>
      </c>
      <c r="H4980" t="s">
        <v>28</v>
      </c>
      <c r="I4980">
        <v>65</v>
      </c>
      <c r="J4980">
        <v>0</v>
      </c>
      <c r="K4980">
        <v>0</v>
      </c>
      <c r="L4980" s="3">
        <v>1</v>
      </c>
      <c r="M4980" s="3">
        <v>0</v>
      </c>
      <c r="N4980">
        <v>0</v>
      </c>
      <c r="O4980">
        <v>0</v>
      </c>
      <c r="P4980">
        <v>0</v>
      </c>
      <c r="Q4980">
        <v>0</v>
      </c>
      <c r="R4980" s="3">
        <v>0</v>
      </c>
      <c r="S4980" s="3">
        <v>0</v>
      </c>
      <c r="T4980">
        <v>0</v>
      </c>
      <c r="U4980">
        <v>0</v>
      </c>
      <c r="V4980" s="3">
        <v>0</v>
      </c>
      <c r="W4980" s="3">
        <v>0</v>
      </c>
      <c r="X4980">
        <v>0</v>
      </c>
      <c r="Y4980" t="s">
        <v>3781</v>
      </c>
    </row>
    <row r="4981" spans="1:25" hidden="1" x14ac:dyDescent="0.25">
      <c r="A4981" t="s">
        <v>27</v>
      </c>
      <c r="B4981" t="s">
        <v>739</v>
      </c>
      <c r="C4981" t="s">
        <v>95</v>
      </c>
      <c r="D4981" t="s">
        <v>27</v>
      </c>
      <c r="E4981" s="2">
        <v>46127</v>
      </c>
      <c r="F4981" s="2">
        <v>46127</v>
      </c>
      <c r="G4981" s="3">
        <v>39</v>
      </c>
      <c r="H4981" t="s">
        <v>959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 t="s">
        <v>3781</v>
      </c>
    </row>
    <row r="4982" spans="1:25" hidden="1" x14ac:dyDescent="0.25">
      <c r="A4982" t="s">
        <v>51</v>
      </c>
      <c r="B4982" t="s">
        <v>755</v>
      </c>
      <c r="C4982" t="s">
        <v>27</v>
      </c>
      <c r="D4982" t="s">
        <v>27</v>
      </c>
      <c r="E4982" s="2">
        <v>46127</v>
      </c>
      <c r="F4982" s="2">
        <v>46127</v>
      </c>
      <c r="G4982" s="3">
        <v>39</v>
      </c>
      <c r="H4982" s="1" t="s">
        <v>3838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 t="s">
        <v>3781</v>
      </c>
    </row>
    <row r="4983" spans="1:25" hidden="1" x14ac:dyDescent="0.25">
      <c r="A4983" t="s">
        <v>2899</v>
      </c>
      <c r="B4983" t="s">
        <v>755</v>
      </c>
      <c r="C4983" t="s">
        <v>27</v>
      </c>
      <c r="D4983" t="s">
        <v>27</v>
      </c>
      <c r="E4983" s="2">
        <v>46127</v>
      </c>
      <c r="F4983" s="2">
        <v>46127</v>
      </c>
      <c r="G4983" s="3">
        <v>21</v>
      </c>
      <c r="H4983" t="s">
        <v>959</v>
      </c>
      <c r="I4983">
        <v>0</v>
      </c>
      <c r="J4983">
        <v>0</v>
      </c>
      <c r="K4983">
        <v>0</v>
      </c>
      <c r="L4983" s="3">
        <v>0</v>
      </c>
      <c r="M4983" s="3">
        <v>0</v>
      </c>
      <c r="N4983">
        <v>0</v>
      </c>
      <c r="O4983">
        <v>0</v>
      </c>
      <c r="P4983">
        <v>0</v>
      </c>
      <c r="Q4983">
        <v>0</v>
      </c>
      <c r="R4983" s="3">
        <v>0</v>
      </c>
      <c r="S4983" s="3">
        <v>0</v>
      </c>
      <c r="T4983">
        <v>0</v>
      </c>
      <c r="U4983">
        <v>0</v>
      </c>
      <c r="V4983" s="3">
        <v>0</v>
      </c>
      <c r="W4983" s="3">
        <v>0</v>
      </c>
      <c r="X4983" s="3">
        <v>0</v>
      </c>
      <c r="Y4983" t="s">
        <v>3782</v>
      </c>
    </row>
    <row r="4984" spans="1:25" hidden="1" x14ac:dyDescent="0.25">
      <c r="A4984" t="s">
        <v>47</v>
      </c>
      <c r="B4984" t="s">
        <v>2762</v>
      </c>
      <c r="C4984" t="s">
        <v>27</v>
      </c>
      <c r="D4984" t="s">
        <v>27</v>
      </c>
      <c r="E4984" s="2">
        <v>46127</v>
      </c>
      <c r="F4984" s="2">
        <v>46127</v>
      </c>
      <c r="G4984" s="3">
        <v>49</v>
      </c>
      <c r="H4984" t="s">
        <v>763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t="s">
        <v>3711</v>
      </c>
    </row>
    <row r="4985" spans="1:25" hidden="1" x14ac:dyDescent="0.25">
      <c r="A4985" t="s">
        <v>27</v>
      </c>
      <c r="B4985" t="s">
        <v>2764</v>
      </c>
      <c r="C4985" t="s">
        <v>52</v>
      </c>
      <c r="D4985" t="s">
        <v>27</v>
      </c>
      <c r="E4985" s="2">
        <v>46127</v>
      </c>
      <c r="F4985" s="2">
        <v>46127</v>
      </c>
      <c r="G4985" s="3">
        <v>50</v>
      </c>
      <c r="H4985" t="s">
        <v>763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3711</v>
      </c>
    </row>
    <row r="4986" spans="1:25" hidden="1" x14ac:dyDescent="0.25">
      <c r="A4986" t="s">
        <v>55</v>
      </c>
      <c r="B4986" t="s">
        <v>2072</v>
      </c>
      <c r="C4986" t="s">
        <v>2835</v>
      </c>
      <c r="D4986" t="s">
        <v>27</v>
      </c>
      <c r="E4986" s="2">
        <v>46128</v>
      </c>
      <c r="F4986" s="2">
        <v>46128</v>
      </c>
      <c r="G4986" s="3">
        <v>54</v>
      </c>
      <c r="H4986" t="s">
        <v>28</v>
      </c>
      <c r="I4986">
        <v>30</v>
      </c>
      <c r="J4986">
        <v>0</v>
      </c>
      <c r="K4986">
        <v>0</v>
      </c>
      <c r="L4986" s="3">
        <v>0</v>
      </c>
      <c r="M4986" s="3">
        <v>0</v>
      </c>
      <c r="N4986">
        <v>1</v>
      </c>
      <c r="O4986">
        <v>0</v>
      </c>
      <c r="P4986">
        <v>0</v>
      </c>
      <c r="Q4986">
        <v>0</v>
      </c>
      <c r="R4986" s="3">
        <v>0</v>
      </c>
      <c r="S4986" s="3">
        <v>0</v>
      </c>
      <c r="T4986">
        <v>0</v>
      </c>
      <c r="U4986">
        <v>0</v>
      </c>
      <c r="V4986" s="3">
        <v>0</v>
      </c>
      <c r="W4986" s="3">
        <v>0</v>
      </c>
      <c r="X4986">
        <v>0</v>
      </c>
      <c r="Y4986" t="s">
        <v>3783</v>
      </c>
    </row>
    <row r="4987" spans="1:25" hidden="1" x14ac:dyDescent="0.25">
      <c r="A4987" t="s">
        <v>25</v>
      </c>
      <c r="B4987" t="s">
        <v>96</v>
      </c>
      <c r="C4987" t="s">
        <v>26</v>
      </c>
      <c r="D4987" t="s">
        <v>27</v>
      </c>
      <c r="E4987" s="2">
        <v>46128</v>
      </c>
      <c r="F4987" s="2">
        <v>46128</v>
      </c>
      <c r="G4987" s="3">
        <v>38</v>
      </c>
      <c r="H4987" t="s">
        <v>28</v>
      </c>
      <c r="I4987">
        <v>38</v>
      </c>
      <c r="J4987">
        <v>0</v>
      </c>
      <c r="K4987">
        <v>0</v>
      </c>
      <c r="L4987" s="3">
        <v>0</v>
      </c>
      <c r="M4987" s="3">
        <v>1</v>
      </c>
      <c r="N4987">
        <v>1</v>
      </c>
      <c r="O4987">
        <v>0</v>
      </c>
      <c r="P4987">
        <v>0</v>
      </c>
      <c r="Q4987">
        <v>0</v>
      </c>
      <c r="R4987" s="3">
        <v>0</v>
      </c>
      <c r="S4987" s="3">
        <v>0</v>
      </c>
      <c r="T4987">
        <v>0</v>
      </c>
      <c r="U4987">
        <v>0</v>
      </c>
      <c r="V4987" s="3">
        <v>0</v>
      </c>
      <c r="W4987" s="3">
        <v>0</v>
      </c>
      <c r="X4987">
        <v>0</v>
      </c>
      <c r="Y4987" t="s">
        <v>3784</v>
      </c>
    </row>
    <row r="4988" spans="1:25" hidden="1" x14ac:dyDescent="0.25">
      <c r="A4988" t="s">
        <v>344</v>
      </c>
      <c r="B4988" t="s">
        <v>100</v>
      </c>
      <c r="C4988" t="s">
        <v>35</v>
      </c>
      <c r="D4988" t="s">
        <v>27</v>
      </c>
      <c r="E4988" s="2">
        <v>46128</v>
      </c>
      <c r="F4988" s="2">
        <v>46128</v>
      </c>
      <c r="G4988" s="3">
        <v>34</v>
      </c>
      <c r="H4988" t="s">
        <v>28</v>
      </c>
      <c r="I4988">
        <v>63</v>
      </c>
      <c r="J4988">
        <v>0</v>
      </c>
      <c r="K4988">
        <v>0</v>
      </c>
      <c r="L4988" s="3">
        <v>1</v>
      </c>
      <c r="M4988" s="3">
        <v>0</v>
      </c>
      <c r="N4988">
        <v>0</v>
      </c>
      <c r="O4988">
        <v>0</v>
      </c>
      <c r="P4988">
        <v>15</v>
      </c>
      <c r="Q4988">
        <v>13</v>
      </c>
      <c r="R4988" s="3">
        <v>0</v>
      </c>
      <c r="S4988" s="3">
        <v>0</v>
      </c>
      <c r="T4988">
        <v>0</v>
      </c>
      <c r="U4988">
        <v>0</v>
      </c>
      <c r="V4988" s="3">
        <v>0</v>
      </c>
      <c r="W4988" s="3">
        <v>0</v>
      </c>
      <c r="X4988">
        <v>0</v>
      </c>
      <c r="Y4988" t="s">
        <v>3751</v>
      </c>
    </row>
    <row r="4989" spans="1:25" hidden="1" x14ac:dyDescent="0.25">
      <c r="A4989" t="s">
        <v>29</v>
      </c>
      <c r="B4989" t="s">
        <v>100</v>
      </c>
      <c r="C4989" t="s">
        <v>95</v>
      </c>
      <c r="D4989" t="s">
        <v>27</v>
      </c>
      <c r="E4989" s="2">
        <v>46128</v>
      </c>
      <c r="F4989" s="2">
        <v>46128</v>
      </c>
      <c r="G4989" s="3">
        <v>25</v>
      </c>
      <c r="H4989" t="s">
        <v>28</v>
      </c>
      <c r="I4989">
        <v>43</v>
      </c>
      <c r="J4989">
        <v>0</v>
      </c>
      <c r="K4989">
        <v>0</v>
      </c>
      <c r="L4989" s="3">
        <v>1</v>
      </c>
      <c r="M4989" s="3">
        <v>0</v>
      </c>
      <c r="N4989">
        <v>0</v>
      </c>
      <c r="O4989">
        <v>0</v>
      </c>
      <c r="P4989">
        <v>12</v>
      </c>
      <c r="Q4989">
        <v>15</v>
      </c>
      <c r="R4989" s="3">
        <v>0</v>
      </c>
      <c r="S4989" s="3">
        <v>0</v>
      </c>
      <c r="T4989">
        <v>0</v>
      </c>
      <c r="U4989">
        <v>0</v>
      </c>
      <c r="V4989" s="3">
        <v>0</v>
      </c>
      <c r="W4989" s="3">
        <v>0</v>
      </c>
      <c r="X4989">
        <v>0</v>
      </c>
      <c r="Y4989" t="s">
        <v>3785</v>
      </c>
    </row>
    <row r="4990" spans="1:25" hidden="1" x14ac:dyDescent="0.25">
      <c r="A4990" t="s">
        <v>31</v>
      </c>
      <c r="B4990" t="s">
        <v>104</v>
      </c>
      <c r="C4990" t="s">
        <v>32</v>
      </c>
      <c r="D4990" t="s">
        <v>27</v>
      </c>
      <c r="E4990" s="2">
        <v>46128</v>
      </c>
      <c r="F4990" s="2">
        <v>46128</v>
      </c>
      <c r="G4990" s="3">
        <v>46</v>
      </c>
      <c r="H4990" t="s">
        <v>28</v>
      </c>
      <c r="I4990">
        <v>67</v>
      </c>
      <c r="J4990">
        <v>0</v>
      </c>
      <c r="K4990">
        <v>0</v>
      </c>
      <c r="L4990" s="3">
        <v>1</v>
      </c>
      <c r="M4990" s="3">
        <v>0</v>
      </c>
      <c r="N4990">
        <v>0</v>
      </c>
      <c r="O4990">
        <v>0</v>
      </c>
      <c r="P4990">
        <v>0</v>
      </c>
      <c r="Q4990">
        <v>35</v>
      </c>
      <c r="R4990" s="3">
        <v>0</v>
      </c>
      <c r="S4990" s="3">
        <v>0</v>
      </c>
      <c r="T4990">
        <v>0</v>
      </c>
      <c r="U4990">
        <v>0</v>
      </c>
      <c r="V4990" s="3">
        <v>0</v>
      </c>
      <c r="W4990" s="3">
        <v>0</v>
      </c>
      <c r="X4990">
        <v>0</v>
      </c>
      <c r="Y4990" t="s">
        <v>3786</v>
      </c>
    </row>
    <row r="4991" spans="1:25" hidden="1" x14ac:dyDescent="0.25">
      <c r="A4991" t="s">
        <v>33</v>
      </c>
      <c r="B4991" t="s">
        <v>106</v>
      </c>
      <c r="C4991" t="s">
        <v>57</v>
      </c>
      <c r="D4991" t="s">
        <v>27</v>
      </c>
      <c r="E4991" s="2">
        <v>46128</v>
      </c>
      <c r="F4991" s="2">
        <v>46128</v>
      </c>
      <c r="G4991" s="3">
        <v>32</v>
      </c>
      <c r="H4991" t="s">
        <v>28</v>
      </c>
      <c r="I4991">
        <v>42</v>
      </c>
      <c r="J4991">
        <v>0</v>
      </c>
      <c r="K4991">
        <v>0</v>
      </c>
      <c r="L4991" s="3">
        <v>0</v>
      </c>
      <c r="M4991" s="3">
        <v>0</v>
      </c>
      <c r="N4991">
        <v>0</v>
      </c>
      <c r="O4991">
        <v>0</v>
      </c>
      <c r="P4991">
        <v>0</v>
      </c>
      <c r="Q4991">
        <v>0</v>
      </c>
      <c r="R4991" s="3">
        <v>0</v>
      </c>
      <c r="S4991" s="3">
        <v>0</v>
      </c>
      <c r="T4991">
        <v>0</v>
      </c>
      <c r="U4991">
        <v>0</v>
      </c>
      <c r="V4991" s="3">
        <v>0</v>
      </c>
      <c r="W4991" s="3">
        <v>0</v>
      </c>
      <c r="X4991">
        <v>0</v>
      </c>
      <c r="Y4991" t="s">
        <v>3787</v>
      </c>
    </row>
    <row r="4992" spans="1:25" hidden="1" x14ac:dyDescent="0.25">
      <c r="A4992" t="s">
        <v>36</v>
      </c>
      <c r="B4992" t="s">
        <v>249</v>
      </c>
      <c r="C4992" t="s">
        <v>2310</v>
      </c>
      <c r="D4992" t="s">
        <v>27</v>
      </c>
      <c r="E4992" s="2">
        <v>46128</v>
      </c>
      <c r="F4992" s="2">
        <v>46128</v>
      </c>
      <c r="G4992" s="3">
        <v>40</v>
      </c>
      <c r="H4992" t="s">
        <v>28</v>
      </c>
      <c r="I4992">
        <v>19</v>
      </c>
      <c r="J4992">
        <v>0</v>
      </c>
      <c r="K4992">
        <v>0</v>
      </c>
      <c r="L4992" s="3">
        <v>1</v>
      </c>
      <c r="M4992" s="3">
        <v>0</v>
      </c>
      <c r="N4992">
        <v>0</v>
      </c>
      <c r="O4992">
        <v>0</v>
      </c>
      <c r="P4992">
        <v>0</v>
      </c>
      <c r="Q4992">
        <v>2</v>
      </c>
      <c r="R4992" s="3">
        <v>0</v>
      </c>
      <c r="S4992" s="3">
        <v>0</v>
      </c>
      <c r="T4992">
        <v>0</v>
      </c>
      <c r="U4992">
        <v>0</v>
      </c>
      <c r="V4992" s="3">
        <v>0</v>
      </c>
      <c r="W4992" s="3">
        <v>0</v>
      </c>
      <c r="X4992">
        <v>0</v>
      </c>
      <c r="Y4992" t="s">
        <v>3788</v>
      </c>
    </row>
    <row r="4993" spans="1:25" hidden="1" x14ac:dyDescent="0.25">
      <c r="A4993" t="s">
        <v>38</v>
      </c>
      <c r="B4993" t="s">
        <v>108</v>
      </c>
      <c r="C4993" t="s">
        <v>27</v>
      </c>
      <c r="D4993" t="s">
        <v>27</v>
      </c>
      <c r="E4993" s="2">
        <v>46128</v>
      </c>
      <c r="F4993" s="2">
        <v>46128</v>
      </c>
      <c r="G4993" s="3">
        <v>33</v>
      </c>
      <c r="H4993" t="s">
        <v>28</v>
      </c>
      <c r="I4993">
        <v>22</v>
      </c>
      <c r="J4993">
        <v>0</v>
      </c>
      <c r="K4993">
        <v>0</v>
      </c>
      <c r="L4993" s="3">
        <v>1</v>
      </c>
      <c r="M4993" s="3">
        <v>0</v>
      </c>
      <c r="N4993">
        <v>0</v>
      </c>
      <c r="O4993">
        <v>0</v>
      </c>
      <c r="P4993">
        <v>0</v>
      </c>
      <c r="Q4993">
        <v>22</v>
      </c>
      <c r="R4993" s="3">
        <v>0</v>
      </c>
      <c r="S4993" s="3">
        <v>0</v>
      </c>
      <c r="T4993">
        <v>0</v>
      </c>
      <c r="U4993">
        <v>0</v>
      </c>
      <c r="V4993" s="3">
        <v>0</v>
      </c>
      <c r="W4993" s="3">
        <v>0</v>
      </c>
      <c r="X4993">
        <v>0</v>
      </c>
      <c r="Y4993" t="s">
        <v>3789</v>
      </c>
    </row>
    <row r="4994" spans="1:25" hidden="1" x14ac:dyDescent="0.25">
      <c r="A4994" t="s">
        <v>2679</v>
      </c>
      <c r="B4994" t="s">
        <v>2680</v>
      </c>
      <c r="C4994" t="s">
        <v>39</v>
      </c>
      <c r="D4994" t="s">
        <v>27</v>
      </c>
      <c r="E4994" s="2">
        <v>46128</v>
      </c>
      <c r="F4994" s="2">
        <v>46128</v>
      </c>
      <c r="G4994" s="3">
        <v>34</v>
      </c>
      <c r="H4994" t="s">
        <v>28</v>
      </c>
      <c r="I4994">
        <v>20</v>
      </c>
      <c r="J4994">
        <v>0</v>
      </c>
      <c r="K4994">
        <v>0</v>
      </c>
      <c r="L4994" s="3">
        <v>0</v>
      </c>
      <c r="M4994" s="3">
        <v>0</v>
      </c>
      <c r="N4994">
        <v>0</v>
      </c>
      <c r="O4994">
        <v>0</v>
      </c>
      <c r="P4994">
        <v>0</v>
      </c>
      <c r="Q4994">
        <v>20</v>
      </c>
      <c r="R4994" s="3">
        <v>0</v>
      </c>
      <c r="S4994" s="3">
        <v>0</v>
      </c>
      <c r="T4994">
        <v>0</v>
      </c>
      <c r="U4994">
        <v>0</v>
      </c>
      <c r="V4994" s="3">
        <v>0</v>
      </c>
      <c r="W4994" s="3">
        <v>0</v>
      </c>
      <c r="X4994">
        <v>0</v>
      </c>
      <c r="Y4994" t="s">
        <v>3790</v>
      </c>
    </row>
    <row r="4995" spans="1:25" hidden="1" x14ac:dyDescent="0.25">
      <c r="A4995" t="s">
        <v>40</v>
      </c>
      <c r="B4995" t="s">
        <v>110</v>
      </c>
      <c r="C4995" t="s">
        <v>2514</v>
      </c>
      <c r="D4995" t="s">
        <v>27</v>
      </c>
      <c r="E4995" s="2">
        <v>46128</v>
      </c>
      <c r="F4995" s="2">
        <v>46128</v>
      </c>
      <c r="G4995" s="3">
        <v>55</v>
      </c>
      <c r="H4995" t="s">
        <v>28</v>
      </c>
      <c r="I4995">
        <v>36</v>
      </c>
      <c r="J4995">
        <v>0</v>
      </c>
      <c r="K4995">
        <v>0</v>
      </c>
      <c r="L4995" s="3">
        <v>1</v>
      </c>
      <c r="M4995" s="3">
        <v>0</v>
      </c>
      <c r="N4995">
        <v>1</v>
      </c>
      <c r="O4995">
        <v>0</v>
      </c>
      <c r="P4995">
        <v>0</v>
      </c>
      <c r="Q4995">
        <v>42</v>
      </c>
      <c r="R4995" s="3">
        <v>0</v>
      </c>
      <c r="S4995" s="3">
        <v>0</v>
      </c>
      <c r="T4995">
        <v>0</v>
      </c>
      <c r="U4995">
        <v>0</v>
      </c>
      <c r="V4995" s="3">
        <v>0</v>
      </c>
      <c r="W4995" s="3">
        <v>0</v>
      </c>
      <c r="X4995">
        <v>0</v>
      </c>
      <c r="Y4995" t="s">
        <v>3791</v>
      </c>
    </row>
    <row r="4996" spans="1:25" hidden="1" x14ac:dyDescent="0.25">
      <c r="A4996" t="s">
        <v>41</v>
      </c>
      <c r="B4996" t="s">
        <v>112</v>
      </c>
      <c r="C4996" t="s">
        <v>42</v>
      </c>
      <c r="D4996" t="s">
        <v>27</v>
      </c>
      <c r="E4996" s="2">
        <v>46128</v>
      </c>
      <c r="F4996" s="2">
        <v>46128</v>
      </c>
      <c r="G4996" s="3">
        <v>28</v>
      </c>
      <c r="H4996" t="s">
        <v>28</v>
      </c>
      <c r="I4996">
        <v>48</v>
      </c>
      <c r="J4996">
        <v>0</v>
      </c>
      <c r="K4996">
        <v>0</v>
      </c>
      <c r="L4996" s="3">
        <v>1</v>
      </c>
      <c r="M4996" s="3">
        <v>0</v>
      </c>
      <c r="N4996">
        <v>0</v>
      </c>
      <c r="O4996">
        <v>0</v>
      </c>
      <c r="P4996">
        <v>0</v>
      </c>
      <c r="Q4996">
        <v>4</v>
      </c>
      <c r="R4996" s="3">
        <v>0</v>
      </c>
      <c r="S4996" s="3">
        <v>0</v>
      </c>
      <c r="T4996">
        <v>0</v>
      </c>
      <c r="U4996">
        <v>0</v>
      </c>
      <c r="V4996" s="3">
        <v>0</v>
      </c>
      <c r="W4996" s="3">
        <v>0</v>
      </c>
      <c r="X4996">
        <v>0</v>
      </c>
      <c r="Y4996" t="s">
        <v>3792</v>
      </c>
    </row>
    <row r="4997" spans="1:25" hidden="1" x14ac:dyDescent="0.25">
      <c r="A4997" t="s">
        <v>43</v>
      </c>
      <c r="B4997" t="s">
        <v>114</v>
      </c>
      <c r="C4997" t="s">
        <v>44</v>
      </c>
      <c r="D4997" t="s">
        <v>27</v>
      </c>
      <c r="E4997" s="2">
        <v>46128</v>
      </c>
      <c r="F4997" s="2">
        <v>46128</v>
      </c>
      <c r="G4997" s="3">
        <v>35</v>
      </c>
      <c r="H4997" t="s">
        <v>28</v>
      </c>
      <c r="I4997">
        <v>86</v>
      </c>
      <c r="J4997">
        <v>0</v>
      </c>
      <c r="K4997">
        <v>0</v>
      </c>
      <c r="L4997" s="3">
        <v>1</v>
      </c>
      <c r="M4997" s="3">
        <v>0</v>
      </c>
      <c r="N4997">
        <v>0</v>
      </c>
      <c r="O4997">
        <v>0</v>
      </c>
      <c r="P4997">
        <v>0</v>
      </c>
      <c r="Q4997">
        <v>32</v>
      </c>
      <c r="R4997" s="3">
        <v>0</v>
      </c>
      <c r="S4997" s="3">
        <v>0</v>
      </c>
      <c r="T4997">
        <v>0</v>
      </c>
      <c r="U4997">
        <v>0</v>
      </c>
      <c r="V4997" s="3">
        <v>0</v>
      </c>
      <c r="W4997" s="3">
        <v>0</v>
      </c>
      <c r="X4997">
        <v>0</v>
      </c>
      <c r="Y4997" t="s">
        <v>3793</v>
      </c>
    </row>
    <row r="4998" spans="1:25" hidden="1" x14ac:dyDescent="0.25">
      <c r="A4998" t="s">
        <v>45</v>
      </c>
      <c r="B4998" t="s">
        <v>116</v>
      </c>
      <c r="C4998" t="s">
        <v>46</v>
      </c>
      <c r="D4998" t="s">
        <v>27</v>
      </c>
      <c r="E4998" s="2">
        <v>46128</v>
      </c>
      <c r="F4998" s="2">
        <v>46128</v>
      </c>
      <c r="G4998" s="3">
        <v>65</v>
      </c>
      <c r="H4998" t="s">
        <v>28</v>
      </c>
      <c r="I4998">
        <v>31</v>
      </c>
      <c r="J4998">
        <v>0</v>
      </c>
      <c r="K4998">
        <v>0</v>
      </c>
      <c r="L4998" s="3">
        <v>0</v>
      </c>
      <c r="M4998" s="3">
        <v>0</v>
      </c>
      <c r="N4998">
        <v>0</v>
      </c>
      <c r="O4998">
        <v>0</v>
      </c>
      <c r="P4998">
        <v>0</v>
      </c>
      <c r="Q4998">
        <v>0</v>
      </c>
      <c r="R4998" s="3">
        <v>0</v>
      </c>
      <c r="S4998" s="3">
        <v>0</v>
      </c>
      <c r="T4998">
        <v>0</v>
      </c>
      <c r="U4998">
        <v>0</v>
      </c>
      <c r="V4998" s="3">
        <v>0</v>
      </c>
      <c r="W4998" s="3">
        <v>0</v>
      </c>
      <c r="X4998">
        <v>0</v>
      </c>
      <c r="Y4998" t="s">
        <v>3794</v>
      </c>
    </row>
    <row r="4999" spans="1:25" hidden="1" x14ac:dyDescent="0.25">
      <c r="A4999" t="s">
        <v>49</v>
      </c>
      <c r="B4999" t="s">
        <v>118</v>
      </c>
      <c r="C4999" t="s">
        <v>50</v>
      </c>
      <c r="D4999" t="s">
        <v>27</v>
      </c>
      <c r="E4999" s="2">
        <v>46128</v>
      </c>
      <c r="F4999" s="2">
        <v>46128</v>
      </c>
      <c r="G4999" s="3">
        <v>24</v>
      </c>
      <c r="H4999" t="s">
        <v>28</v>
      </c>
      <c r="I4999">
        <v>45</v>
      </c>
      <c r="J4999">
        <v>0</v>
      </c>
      <c r="K4999">
        <v>0</v>
      </c>
      <c r="L4999" s="3">
        <v>1</v>
      </c>
      <c r="M4999" s="3">
        <v>1</v>
      </c>
      <c r="N4999">
        <v>0</v>
      </c>
      <c r="O4999">
        <v>1</v>
      </c>
      <c r="P4999">
        <v>0</v>
      </c>
      <c r="Q4999">
        <v>45</v>
      </c>
      <c r="R4999" s="3">
        <v>0</v>
      </c>
      <c r="S4999" s="3">
        <v>0</v>
      </c>
      <c r="T4999">
        <v>0</v>
      </c>
      <c r="U4999">
        <v>0</v>
      </c>
      <c r="V4999" s="3">
        <v>0</v>
      </c>
      <c r="W4999" s="3">
        <v>0</v>
      </c>
      <c r="X4999">
        <v>0</v>
      </c>
      <c r="Y4999" t="s">
        <v>3795</v>
      </c>
    </row>
    <row r="5000" spans="1:25" hidden="1" x14ac:dyDescent="0.25">
      <c r="A5000" t="s">
        <v>54</v>
      </c>
      <c r="B5000" t="s">
        <v>122</v>
      </c>
      <c r="C5000" t="s">
        <v>2271</v>
      </c>
      <c r="D5000" t="s">
        <v>27</v>
      </c>
      <c r="E5000" s="2">
        <v>46128</v>
      </c>
      <c r="F5000" s="2">
        <v>46128</v>
      </c>
      <c r="G5000" s="3">
        <v>52</v>
      </c>
      <c r="H5000" t="s">
        <v>28</v>
      </c>
      <c r="I5000">
        <v>35</v>
      </c>
      <c r="J5000">
        <v>0</v>
      </c>
      <c r="K5000">
        <v>0</v>
      </c>
      <c r="L5000" s="3">
        <v>0</v>
      </c>
      <c r="M5000" s="3">
        <v>0</v>
      </c>
      <c r="N5000">
        <v>0</v>
      </c>
      <c r="O5000">
        <v>0</v>
      </c>
      <c r="P5000">
        <v>0</v>
      </c>
      <c r="Q5000">
        <v>2</v>
      </c>
      <c r="R5000" s="3">
        <v>0</v>
      </c>
      <c r="S5000" s="3">
        <v>0</v>
      </c>
      <c r="T5000">
        <v>0</v>
      </c>
      <c r="U5000">
        <v>0</v>
      </c>
      <c r="V5000" s="3">
        <v>0</v>
      </c>
      <c r="W5000" s="3">
        <v>0</v>
      </c>
      <c r="X5000">
        <v>0</v>
      </c>
      <c r="Y5000" t="s">
        <v>3796</v>
      </c>
    </row>
    <row r="5001" spans="1:25" hidden="1" x14ac:dyDescent="0.25">
      <c r="A5001" t="s">
        <v>48</v>
      </c>
      <c r="B5001" t="s">
        <v>149</v>
      </c>
      <c r="C5001" t="s">
        <v>37</v>
      </c>
      <c r="D5001" t="s">
        <v>27</v>
      </c>
      <c r="E5001" s="2">
        <v>46128</v>
      </c>
      <c r="F5001" s="2">
        <v>46128</v>
      </c>
      <c r="G5001" s="3">
        <v>46</v>
      </c>
      <c r="H5001" t="s">
        <v>28</v>
      </c>
      <c r="I5001">
        <v>27</v>
      </c>
      <c r="J5001">
        <v>0</v>
      </c>
      <c r="K5001">
        <v>0</v>
      </c>
      <c r="L5001" s="3">
        <v>0</v>
      </c>
      <c r="M5001" s="3">
        <v>0</v>
      </c>
      <c r="N5001">
        <v>0</v>
      </c>
      <c r="O5001">
        <v>0</v>
      </c>
      <c r="P5001">
        <v>0</v>
      </c>
      <c r="Q5001">
        <v>0</v>
      </c>
      <c r="R5001" s="3">
        <v>0</v>
      </c>
      <c r="S5001" s="3">
        <v>0</v>
      </c>
      <c r="T5001">
        <v>0</v>
      </c>
      <c r="U5001">
        <v>0</v>
      </c>
      <c r="V5001" s="3">
        <v>0</v>
      </c>
      <c r="W5001" s="3">
        <v>0</v>
      </c>
      <c r="X5001">
        <v>0</v>
      </c>
      <c r="Y5001" t="s">
        <v>3797</v>
      </c>
    </row>
    <row r="5002" spans="1:25" hidden="1" x14ac:dyDescent="0.25">
      <c r="A5002" t="s">
        <v>27</v>
      </c>
      <c r="B5002" t="s">
        <v>739</v>
      </c>
      <c r="C5002" t="s">
        <v>2534</v>
      </c>
      <c r="D5002" t="s">
        <v>27</v>
      </c>
      <c r="E5002" s="2">
        <v>46128</v>
      </c>
      <c r="F5002" s="2">
        <v>46128</v>
      </c>
      <c r="G5002" s="3">
        <v>46</v>
      </c>
      <c r="H5002" t="s">
        <v>28</v>
      </c>
      <c r="I5002">
        <v>0</v>
      </c>
      <c r="J5002">
        <v>0</v>
      </c>
      <c r="K5002">
        <v>0</v>
      </c>
      <c r="L5002" s="3">
        <v>0</v>
      </c>
      <c r="M5002" s="3">
        <v>0</v>
      </c>
      <c r="N5002">
        <v>0</v>
      </c>
      <c r="O5002">
        <v>0</v>
      </c>
      <c r="P5002">
        <v>0</v>
      </c>
      <c r="Q5002">
        <v>0</v>
      </c>
      <c r="R5002" s="3">
        <v>0</v>
      </c>
      <c r="S5002" s="3">
        <v>0</v>
      </c>
      <c r="T5002">
        <v>0</v>
      </c>
      <c r="U5002">
        <v>0</v>
      </c>
      <c r="V5002" s="3">
        <v>0</v>
      </c>
      <c r="W5002" s="3">
        <v>0</v>
      </c>
      <c r="X5002" s="3">
        <v>0</v>
      </c>
      <c r="Y5002" t="s">
        <v>3797</v>
      </c>
    </row>
    <row r="5003" spans="1:25" hidden="1" x14ac:dyDescent="0.25">
      <c r="A5003" t="s">
        <v>2899</v>
      </c>
      <c r="B5003" t="s">
        <v>755</v>
      </c>
      <c r="C5003" t="s">
        <v>27</v>
      </c>
      <c r="D5003" t="s">
        <v>27</v>
      </c>
      <c r="E5003" s="2">
        <v>46128</v>
      </c>
      <c r="F5003" s="2">
        <v>46128</v>
      </c>
      <c r="G5003" s="3">
        <v>21</v>
      </c>
      <c r="H5003" t="s">
        <v>959</v>
      </c>
      <c r="I5003">
        <v>0</v>
      </c>
      <c r="J5003">
        <v>0</v>
      </c>
      <c r="K5003">
        <v>0</v>
      </c>
      <c r="L5003" s="3">
        <v>0</v>
      </c>
      <c r="M5003" s="3">
        <v>0</v>
      </c>
      <c r="N5003">
        <v>0</v>
      </c>
      <c r="O5003">
        <v>0</v>
      </c>
      <c r="P5003">
        <v>0</v>
      </c>
      <c r="Q5003">
        <v>0</v>
      </c>
      <c r="R5003" s="3">
        <v>0</v>
      </c>
      <c r="S5003" s="3">
        <v>0</v>
      </c>
      <c r="T5003">
        <v>0</v>
      </c>
      <c r="U5003">
        <v>0</v>
      </c>
      <c r="V5003" s="3">
        <v>0</v>
      </c>
      <c r="W5003" s="3">
        <v>0</v>
      </c>
      <c r="X5003" s="3">
        <v>0</v>
      </c>
      <c r="Y5003" t="s">
        <v>3782</v>
      </c>
    </row>
    <row r="5004" spans="1:25" hidden="1" x14ac:dyDescent="0.25">
      <c r="A5004" t="s">
        <v>47</v>
      </c>
      <c r="B5004" t="s">
        <v>2762</v>
      </c>
      <c r="C5004" t="s">
        <v>27</v>
      </c>
      <c r="D5004" t="s">
        <v>27</v>
      </c>
      <c r="E5004" s="2">
        <v>46128</v>
      </c>
      <c r="F5004" s="2">
        <v>46128</v>
      </c>
      <c r="G5004" s="3">
        <v>49</v>
      </c>
      <c r="H5004" t="s">
        <v>763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t="s">
        <v>3711</v>
      </c>
    </row>
    <row r="5005" spans="1:25" hidden="1" x14ac:dyDescent="0.25">
      <c r="A5005" t="s">
        <v>27</v>
      </c>
      <c r="B5005" t="s">
        <v>2764</v>
      </c>
      <c r="C5005" t="s">
        <v>52</v>
      </c>
      <c r="D5005" t="s">
        <v>27</v>
      </c>
      <c r="E5005" s="2">
        <v>46128</v>
      </c>
      <c r="F5005" s="2">
        <v>46128</v>
      </c>
      <c r="G5005" s="3">
        <v>50</v>
      </c>
      <c r="H5005" t="s">
        <v>763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3711</v>
      </c>
    </row>
    <row r="5006" spans="1:25" hidden="1" x14ac:dyDescent="0.25">
      <c r="A5006" t="s">
        <v>55</v>
      </c>
      <c r="B5006" t="s">
        <v>2072</v>
      </c>
      <c r="C5006" t="s">
        <v>2835</v>
      </c>
      <c r="D5006" t="s">
        <v>27</v>
      </c>
      <c r="E5006" s="2">
        <v>46129</v>
      </c>
      <c r="F5006" s="2">
        <v>46129</v>
      </c>
      <c r="G5006" s="3">
        <v>35</v>
      </c>
      <c r="H5006" t="s">
        <v>28</v>
      </c>
      <c r="I5006">
        <v>42</v>
      </c>
      <c r="J5006">
        <v>0</v>
      </c>
      <c r="K5006">
        <v>0</v>
      </c>
      <c r="L5006" s="3">
        <v>1</v>
      </c>
      <c r="M5006" s="3">
        <v>0</v>
      </c>
      <c r="N5006">
        <v>1</v>
      </c>
      <c r="O5006">
        <v>0</v>
      </c>
      <c r="P5006">
        <v>0</v>
      </c>
      <c r="Q5006">
        <v>0</v>
      </c>
      <c r="R5006" s="3">
        <v>0</v>
      </c>
      <c r="S5006" s="3">
        <v>0</v>
      </c>
      <c r="T5006">
        <v>0</v>
      </c>
      <c r="U5006">
        <v>0</v>
      </c>
      <c r="V5006" s="3">
        <v>0</v>
      </c>
      <c r="W5006" s="3">
        <v>0</v>
      </c>
      <c r="X5006">
        <v>0</v>
      </c>
      <c r="Y5006" t="s">
        <v>3798</v>
      </c>
    </row>
    <row r="5007" spans="1:25" hidden="1" x14ac:dyDescent="0.25">
      <c r="A5007" t="s">
        <v>25</v>
      </c>
      <c r="B5007" t="s">
        <v>96</v>
      </c>
      <c r="C5007" t="s">
        <v>26</v>
      </c>
      <c r="D5007" t="s">
        <v>27</v>
      </c>
      <c r="E5007" s="2">
        <v>46129</v>
      </c>
      <c r="F5007" s="2">
        <v>46129</v>
      </c>
      <c r="G5007" s="3">
        <v>34</v>
      </c>
      <c r="H5007" t="s">
        <v>28</v>
      </c>
      <c r="I5007">
        <v>102</v>
      </c>
      <c r="J5007">
        <v>0</v>
      </c>
      <c r="K5007">
        <v>0</v>
      </c>
      <c r="L5007" s="3">
        <v>0</v>
      </c>
      <c r="M5007" s="3">
        <v>1</v>
      </c>
      <c r="N5007">
        <v>1</v>
      </c>
      <c r="O5007">
        <v>0</v>
      </c>
      <c r="P5007">
        <v>0</v>
      </c>
      <c r="Q5007">
        <v>0</v>
      </c>
      <c r="R5007" s="3">
        <v>0</v>
      </c>
      <c r="S5007" s="3">
        <v>0</v>
      </c>
      <c r="T5007">
        <v>0</v>
      </c>
      <c r="U5007">
        <v>0</v>
      </c>
      <c r="V5007" s="3">
        <v>0</v>
      </c>
      <c r="W5007" s="3">
        <v>0</v>
      </c>
      <c r="X5007">
        <v>0</v>
      </c>
      <c r="Y5007" t="s">
        <v>3799</v>
      </c>
    </row>
    <row r="5008" spans="1:25" hidden="1" x14ac:dyDescent="0.25">
      <c r="A5008" t="s">
        <v>29</v>
      </c>
      <c r="B5008" t="s">
        <v>100</v>
      </c>
      <c r="C5008" t="s">
        <v>44</v>
      </c>
      <c r="D5008" t="s">
        <v>27</v>
      </c>
      <c r="E5008" s="2">
        <v>46129</v>
      </c>
      <c r="F5008" s="2">
        <v>46129</v>
      </c>
      <c r="G5008" s="3">
        <v>39</v>
      </c>
      <c r="H5008" t="s">
        <v>28</v>
      </c>
      <c r="I5008">
        <v>72</v>
      </c>
      <c r="J5008">
        <v>0</v>
      </c>
      <c r="K5008">
        <v>0</v>
      </c>
      <c r="L5008" s="3">
        <v>1</v>
      </c>
      <c r="M5008" s="3">
        <v>0</v>
      </c>
      <c r="N5008">
        <v>8</v>
      </c>
      <c r="O5008">
        <v>0</v>
      </c>
      <c r="P5008">
        <v>0</v>
      </c>
      <c r="Q5008">
        <v>0</v>
      </c>
      <c r="R5008" s="3">
        <v>0</v>
      </c>
      <c r="S5008" s="3">
        <v>0</v>
      </c>
      <c r="T5008">
        <v>0</v>
      </c>
      <c r="U5008">
        <v>0</v>
      </c>
      <c r="V5008" s="3">
        <v>0</v>
      </c>
      <c r="W5008" s="3">
        <v>0</v>
      </c>
      <c r="X5008">
        <v>0</v>
      </c>
      <c r="Y5008" t="s">
        <v>3800</v>
      </c>
    </row>
    <row r="5009" spans="1:25" hidden="1" x14ac:dyDescent="0.25">
      <c r="A5009" t="s">
        <v>344</v>
      </c>
      <c r="B5009" t="s">
        <v>100</v>
      </c>
      <c r="C5009" t="s">
        <v>35</v>
      </c>
      <c r="D5009" t="s">
        <v>95</v>
      </c>
      <c r="E5009" s="2">
        <v>46129</v>
      </c>
      <c r="F5009" s="2">
        <v>46129</v>
      </c>
      <c r="G5009" s="3">
        <v>34</v>
      </c>
      <c r="H5009" t="s">
        <v>28</v>
      </c>
      <c r="I5009">
        <v>52</v>
      </c>
      <c r="J5009">
        <v>0</v>
      </c>
      <c r="K5009">
        <v>0</v>
      </c>
      <c r="L5009" s="3">
        <v>1</v>
      </c>
      <c r="M5009" s="3">
        <v>0</v>
      </c>
      <c r="N5009">
        <v>0</v>
      </c>
      <c r="O5009">
        <v>0</v>
      </c>
      <c r="P5009">
        <v>15</v>
      </c>
      <c r="Q5009">
        <v>13</v>
      </c>
      <c r="R5009" s="3">
        <v>0</v>
      </c>
      <c r="S5009" s="3">
        <v>0</v>
      </c>
      <c r="T5009">
        <v>0</v>
      </c>
      <c r="U5009">
        <v>0</v>
      </c>
      <c r="V5009" s="3">
        <v>0</v>
      </c>
      <c r="W5009" s="3">
        <v>0</v>
      </c>
      <c r="X5009">
        <v>0</v>
      </c>
      <c r="Y5009" t="s">
        <v>3751</v>
      </c>
    </row>
    <row r="5010" spans="1:25" hidden="1" x14ac:dyDescent="0.25">
      <c r="A5010" t="s">
        <v>31</v>
      </c>
      <c r="B5010" t="s">
        <v>104</v>
      </c>
      <c r="C5010" t="s">
        <v>32</v>
      </c>
      <c r="D5010" t="s">
        <v>27</v>
      </c>
      <c r="E5010" s="2">
        <v>46129</v>
      </c>
      <c r="F5010" s="2">
        <v>46129</v>
      </c>
      <c r="G5010" s="3">
        <v>46</v>
      </c>
      <c r="H5010" t="s">
        <v>28</v>
      </c>
      <c r="I5010">
        <v>81</v>
      </c>
      <c r="J5010">
        <v>0</v>
      </c>
      <c r="K5010">
        <v>0</v>
      </c>
      <c r="L5010" s="3">
        <v>1</v>
      </c>
      <c r="M5010" s="3">
        <v>0</v>
      </c>
      <c r="N5010">
        <v>0</v>
      </c>
      <c r="O5010">
        <v>0</v>
      </c>
      <c r="P5010">
        <v>0</v>
      </c>
      <c r="Q5010">
        <v>35</v>
      </c>
      <c r="R5010" s="3">
        <v>0</v>
      </c>
      <c r="S5010" s="3">
        <v>0</v>
      </c>
      <c r="T5010">
        <v>0</v>
      </c>
      <c r="U5010">
        <v>0</v>
      </c>
      <c r="V5010" s="3">
        <v>0</v>
      </c>
      <c r="W5010" s="3">
        <v>0</v>
      </c>
      <c r="X5010">
        <v>0</v>
      </c>
      <c r="Y5010" t="s">
        <v>3786</v>
      </c>
    </row>
    <row r="5011" spans="1:25" hidden="1" x14ac:dyDescent="0.25">
      <c r="A5011" t="s">
        <v>33</v>
      </c>
      <c r="B5011" t="s">
        <v>106</v>
      </c>
      <c r="C5011" t="s">
        <v>57</v>
      </c>
      <c r="D5011" t="s">
        <v>27</v>
      </c>
      <c r="E5011" s="2">
        <v>46129</v>
      </c>
      <c r="F5011" s="2">
        <v>46129</v>
      </c>
      <c r="G5011" s="3">
        <v>134</v>
      </c>
      <c r="H5011" t="s">
        <v>28</v>
      </c>
      <c r="I5011">
        <v>39</v>
      </c>
      <c r="J5011">
        <v>0</v>
      </c>
      <c r="K5011">
        <v>0</v>
      </c>
      <c r="L5011" s="3">
        <v>0</v>
      </c>
      <c r="M5011" s="3">
        <v>0</v>
      </c>
      <c r="N5011">
        <v>0</v>
      </c>
      <c r="O5011">
        <v>0</v>
      </c>
      <c r="P5011">
        <v>0</v>
      </c>
      <c r="Q5011">
        <v>0</v>
      </c>
      <c r="R5011" s="3">
        <v>0</v>
      </c>
      <c r="S5011" s="3">
        <v>1</v>
      </c>
      <c r="T5011">
        <v>3</v>
      </c>
      <c r="U5011">
        <v>186</v>
      </c>
      <c r="V5011" s="3">
        <v>0</v>
      </c>
      <c r="W5011" s="3">
        <v>1</v>
      </c>
      <c r="X5011">
        <v>1</v>
      </c>
      <c r="Y5011" t="s">
        <v>3801</v>
      </c>
    </row>
    <row r="5012" spans="1:25" hidden="1" x14ac:dyDescent="0.25">
      <c r="A5012" t="s">
        <v>36</v>
      </c>
      <c r="B5012" t="s">
        <v>249</v>
      </c>
      <c r="C5012" t="s">
        <v>2514</v>
      </c>
      <c r="D5012" t="s">
        <v>27</v>
      </c>
      <c r="E5012" s="2">
        <v>46129</v>
      </c>
      <c r="F5012" s="2">
        <v>46129</v>
      </c>
      <c r="G5012" s="3">
        <v>139</v>
      </c>
      <c r="H5012" t="s">
        <v>28</v>
      </c>
      <c r="I5012">
        <v>60</v>
      </c>
      <c r="J5012">
        <v>0</v>
      </c>
      <c r="K5012">
        <v>0</v>
      </c>
      <c r="L5012" s="3">
        <v>1</v>
      </c>
      <c r="M5012" s="3">
        <v>0</v>
      </c>
      <c r="N5012">
        <v>0</v>
      </c>
      <c r="O5012">
        <v>0</v>
      </c>
      <c r="P5012">
        <v>0</v>
      </c>
      <c r="Q5012">
        <v>30</v>
      </c>
      <c r="R5012" s="3">
        <v>0</v>
      </c>
      <c r="S5012" s="3">
        <v>0</v>
      </c>
      <c r="T5012">
        <v>0</v>
      </c>
      <c r="U5012">
        <v>0</v>
      </c>
      <c r="V5012" s="3">
        <v>0</v>
      </c>
      <c r="W5012" s="3">
        <v>0</v>
      </c>
      <c r="X5012">
        <v>0</v>
      </c>
      <c r="Y5012" t="s">
        <v>3802</v>
      </c>
    </row>
    <row r="5013" spans="1:25" hidden="1" x14ac:dyDescent="0.25">
      <c r="A5013" t="s">
        <v>38</v>
      </c>
      <c r="B5013" t="s">
        <v>108</v>
      </c>
      <c r="C5013" t="s">
        <v>27</v>
      </c>
      <c r="D5013" t="s">
        <v>27</v>
      </c>
      <c r="E5013" s="2">
        <v>46129</v>
      </c>
      <c r="F5013" s="2">
        <v>46129</v>
      </c>
      <c r="G5013" s="3">
        <v>38</v>
      </c>
      <c r="H5013" t="s">
        <v>28</v>
      </c>
      <c r="I5013">
        <v>48</v>
      </c>
      <c r="J5013">
        <v>0</v>
      </c>
      <c r="K5013">
        <v>0</v>
      </c>
      <c r="L5013" s="3">
        <v>1</v>
      </c>
      <c r="M5013" s="3">
        <v>0</v>
      </c>
      <c r="N5013">
        <v>0</v>
      </c>
      <c r="O5013">
        <v>0</v>
      </c>
      <c r="P5013">
        <v>0</v>
      </c>
      <c r="Q5013">
        <v>48</v>
      </c>
      <c r="R5013" s="3">
        <v>0</v>
      </c>
      <c r="S5013" s="3">
        <v>0</v>
      </c>
      <c r="T5013">
        <v>0</v>
      </c>
      <c r="U5013">
        <v>0</v>
      </c>
      <c r="V5013" s="3">
        <v>0</v>
      </c>
      <c r="W5013" s="3">
        <v>0</v>
      </c>
      <c r="X5013">
        <v>0</v>
      </c>
      <c r="Y5013" t="s">
        <v>3803</v>
      </c>
    </row>
    <row r="5014" spans="1:25" hidden="1" x14ac:dyDescent="0.25">
      <c r="A5014" t="s">
        <v>2679</v>
      </c>
      <c r="B5014" t="s">
        <v>2680</v>
      </c>
      <c r="C5014" t="s">
        <v>39</v>
      </c>
      <c r="D5014" t="s">
        <v>27</v>
      </c>
      <c r="E5014" s="2">
        <v>46129</v>
      </c>
      <c r="F5014" s="2">
        <v>46129</v>
      </c>
      <c r="G5014" s="3">
        <v>32</v>
      </c>
      <c r="H5014" t="s">
        <v>28</v>
      </c>
      <c r="I5014">
        <v>48</v>
      </c>
      <c r="J5014">
        <v>0</v>
      </c>
      <c r="K5014">
        <v>0</v>
      </c>
      <c r="L5014" s="3">
        <v>0</v>
      </c>
      <c r="M5014" s="3">
        <v>0</v>
      </c>
      <c r="N5014">
        <v>0</v>
      </c>
      <c r="O5014">
        <v>0</v>
      </c>
      <c r="P5014">
        <v>0</v>
      </c>
      <c r="Q5014">
        <v>48</v>
      </c>
      <c r="R5014" s="3">
        <v>0</v>
      </c>
      <c r="S5014" s="3">
        <v>0</v>
      </c>
      <c r="T5014">
        <v>0</v>
      </c>
      <c r="U5014">
        <v>0</v>
      </c>
      <c r="V5014" s="3">
        <v>0</v>
      </c>
      <c r="W5014" s="3">
        <v>0</v>
      </c>
      <c r="X5014">
        <v>0</v>
      </c>
      <c r="Y5014" t="s">
        <v>3804</v>
      </c>
    </row>
    <row r="5015" spans="1:25" hidden="1" x14ac:dyDescent="0.25">
      <c r="A5015" t="s">
        <v>40</v>
      </c>
      <c r="B5015" t="s">
        <v>110</v>
      </c>
      <c r="C5015" t="s">
        <v>2534</v>
      </c>
      <c r="D5015" t="s">
        <v>27</v>
      </c>
      <c r="E5015" s="2">
        <v>46129</v>
      </c>
      <c r="F5015" s="2">
        <v>46129</v>
      </c>
      <c r="G5015" s="3">
        <v>55</v>
      </c>
      <c r="H5015" t="s">
        <v>28</v>
      </c>
      <c r="I5015">
        <v>54</v>
      </c>
      <c r="J5015">
        <v>0</v>
      </c>
      <c r="K5015">
        <v>0</v>
      </c>
      <c r="L5015" s="3">
        <v>1</v>
      </c>
      <c r="M5015" s="3">
        <v>0</v>
      </c>
      <c r="N5015">
        <v>1</v>
      </c>
      <c r="O5015">
        <v>0</v>
      </c>
      <c r="P5015">
        <v>0</v>
      </c>
      <c r="Q5015">
        <v>42</v>
      </c>
      <c r="R5015" s="3">
        <v>0</v>
      </c>
      <c r="S5015" s="3">
        <v>0</v>
      </c>
      <c r="T5015">
        <v>0</v>
      </c>
      <c r="U5015">
        <v>0</v>
      </c>
      <c r="V5015" s="3">
        <v>0</v>
      </c>
      <c r="W5015" s="3">
        <v>0</v>
      </c>
      <c r="X5015">
        <v>0</v>
      </c>
      <c r="Y5015" t="s">
        <v>3791</v>
      </c>
    </row>
    <row r="5016" spans="1:25" hidden="1" x14ac:dyDescent="0.25">
      <c r="A5016" t="s">
        <v>41</v>
      </c>
      <c r="B5016" t="s">
        <v>112</v>
      </c>
      <c r="C5016" t="s">
        <v>42</v>
      </c>
      <c r="D5016" t="s">
        <v>27</v>
      </c>
      <c r="E5016" s="2">
        <v>46129</v>
      </c>
      <c r="F5016" s="2">
        <v>46129</v>
      </c>
      <c r="G5016" s="3">
        <v>32</v>
      </c>
      <c r="H5016" t="s">
        <v>28</v>
      </c>
      <c r="I5016">
        <v>40</v>
      </c>
      <c r="J5016">
        <v>5</v>
      </c>
      <c r="K5016">
        <v>0</v>
      </c>
      <c r="L5016" s="3">
        <v>1</v>
      </c>
      <c r="M5016" s="3">
        <v>0</v>
      </c>
      <c r="N5016">
        <v>0</v>
      </c>
      <c r="O5016">
        <v>0</v>
      </c>
      <c r="P5016">
        <v>0</v>
      </c>
      <c r="Q5016">
        <v>2</v>
      </c>
      <c r="R5016" s="3">
        <v>0</v>
      </c>
      <c r="S5016" s="3">
        <v>0</v>
      </c>
      <c r="T5016">
        <v>0</v>
      </c>
      <c r="U5016">
        <v>0</v>
      </c>
      <c r="V5016" s="3">
        <v>0</v>
      </c>
      <c r="W5016" s="3">
        <v>0</v>
      </c>
      <c r="X5016">
        <v>0</v>
      </c>
      <c r="Y5016" t="s">
        <v>3805</v>
      </c>
    </row>
    <row r="5017" spans="1:25" hidden="1" x14ac:dyDescent="0.25">
      <c r="A5017" t="s">
        <v>45</v>
      </c>
      <c r="B5017" t="s">
        <v>116</v>
      </c>
      <c r="C5017" t="s">
        <v>46</v>
      </c>
      <c r="D5017" t="s">
        <v>27</v>
      </c>
      <c r="E5017" s="2">
        <v>46129</v>
      </c>
      <c r="F5017" s="2">
        <v>46129</v>
      </c>
      <c r="G5017" s="3">
        <v>51</v>
      </c>
      <c r="H5017" t="s">
        <v>28</v>
      </c>
      <c r="I5017">
        <v>64</v>
      </c>
      <c r="J5017">
        <v>0</v>
      </c>
      <c r="K5017">
        <v>0</v>
      </c>
      <c r="L5017" s="3">
        <v>1</v>
      </c>
      <c r="M5017" s="3">
        <v>0</v>
      </c>
      <c r="N5017">
        <v>0</v>
      </c>
      <c r="O5017">
        <v>0</v>
      </c>
      <c r="P5017">
        <v>0</v>
      </c>
      <c r="Q5017">
        <v>10</v>
      </c>
      <c r="R5017" s="3">
        <v>0</v>
      </c>
      <c r="S5017" s="3">
        <v>0</v>
      </c>
      <c r="T5017">
        <v>0</v>
      </c>
      <c r="U5017">
        <v>0</v>
      </c>
      <c r="V5017" s="3">
        <v>0</v>
      </c>
      <c r="W5017" s="3">
        <v>0</v>
      </c>
      <c r="X5017">
        <v>0</v>
      </c>
      <c r="Y5017" t="s">
        <v>3806</v>
      </c>
    </row>
    <row r="5018" spans="1:25" hidden="1" x14ac:dyDescent="0.25">
      <c r="A5018" t="s">
        <v>49</v>
      </c>
      <c r="B5018" t="s">
        <v>118</v>
      </c>
      <c r="C5018" t="s">
        <v>50</v>
      </c>
      <c r="D5018" t="s">
        <v>27</v>
      </c>
      <c r="E5018" s="2">
        <v>46129</v>
      </c>
      <c r="F5018" s="2">
        <v>46129</v>
      </c>
      <c r="G5018" s="3">
        <v>33</v>
      </c>
      <c r="H5018" t="s">
        <v>28</v>
      </c>
      <c r="I5018">
        <v>28</v>
      </c>
      <c r="J5018">
        <v>0</v>
      </c>
      <c r="K5018">
        <v>0</v>
      </c>
      <c r="L5018" s="3">
        <v>1</v>
      </c>
      <c r="M5018" s="3">
        <v>1</v>
      </c>
      <c r="N5018">
        <v>0</v>
      </c>
      <c r="O5018">
        <v>1</v>
      </c>
      <c r="P5018">
        <v>0</v>
      </c>
      <c r="Q5018">
        <v>28</v>
      </c>
      <c r="R5018" s="3">
        <v>0</v>
      </c>
      <c r="S5018" s="3">
        <v>0</v>
      </c>
      <c r="T5018">
        <v>0</v>
      </c>
      <c r="U5018">
        <v>0</v>
      </c>
      <c r="V5018" s="3">
        <v>0</v>
      </c>
      <c r="W5018" s="3">
        <v>0</v>
      </c>
      <c r="X5018">
        <v>0</v>
      </c>
      <c r="Y5018" t="s">
        <v>3807</v>
      </c>
    </row>
    <row r="5019" spans="1:25" hidden="1" x14ac:dyDescent="0.25">
      <c r="A5019" t="s">
        <v>51</v>
      </c>
      <c r="B5019" t="s">
        <v>755</v>
      </c>
      <c r="C5019" t="s">
        <v>27</v>
      </c>
      <c r="D5019" t="s">
        <v>27</v>
      </c>
      <c r="E5019" s="2">
        <v>46128</v>
      </c>
      <c r="F5019" s="2">
        <v>46128</v>
      </c>
      <c r="G5019" s="3">
        <v>39</v>
      </c>
      <c r="H5019" s="1" t="s">
        <v>3838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3781</v>
      </c>
    </row>
    <row r="5020" spans="1:25" hidden="1" x14ac:dyDescent="0.25">
      <c r="A5020" t="s">
        <v>51</v>
      </c>
      <c r="B5020" t="s">
        <v>120</v>
      </c>
      <c r="C5020" t="s">
        <v>2310</v>
      </c>
      <c r="D5020" t="s">
        <v>27</v>
      </c>
      <c r="E5020" s="2">
        <v>46129</v>
      </c>
      <c r="F5020" s="2">
        <v>46129</v>
      </c>
      <c r="G5020" s="3">
        <v>160</v>
      </c>
      <c r="H5020" t="s">
        <v>28</v>
      </c>
      <c r="I5020">
        <v>74</v>
      </c>
      <c r="J5020">
        <v>0</v>
      </c>
      <c r="K5020">
        <v>0</v>
      </c>
      <c r="L5020" s="3">
        <v>1</v>
      </c>
      <c r="M5020" s="3">
        <v>0</v>
      </c>
      <c r="N5020">
        <v>1</v>
      </c>
      <c r="O5020">
        <v>0</v>
      </c>
      <c r="P5020">
        <v>0</v>
      </c>
      <c r="Q5020">
        <v>15</v>
      </c>
      <c r="R5020" s="3">
        <v>0</v>
      </c>
      <c r="S5020" s="3">
        <v>0</v>
      </c>
      <c r="T5020">
        <v>0</v>
      </c>
      <c r="U5020">
        <v>0</v>
      </c>
      <c r="V5020" s="3">
        <v>0</v>
      </c>
      <c r="W5020" s="3">
        <v>0</v>
      </c>
      <c r="X5020">
        <v>1</v>
      </c>
      <c r="Y5020" t="s">
        <v>3808</v>
      </c>
    </row>
    <row r="5021" spans="1:25" hidden="1" x14ac:dyDescent="0.25">
      <c r="A5021" t="s">
        <v>54</v>
      </c>
      <c r="B5021" t="s">
        <v>122</v>
      </c>
      <c r="C5021" t="s">
        <v>2271</v>
      </c>
      <c r="D5021" t="s">
        <v>27</v>
      </c>
      <c r="E5021" s="2">
        <v>46129</v>
      </c>
      <c r="F5021" s="2">
        <v>46129</v>
      </c>
      <c r="G5021" s="3">
        <v>57</v>
      </c>
      <c r="H5021" t="s">
        <v>28</v>
      </c>
      <c r="I5021">
        <v>62</v>
      </c>
      <c r="J5021">
        <v>0</v>
      </c>
      <c r="K5021">
        <v>0</v>
      </c>
      <c r="L5021" s="3">
        <v>0</v>
      </c>
      <c r="M5021" s="3">
        <v>0</v>
      </c>
      <c r="N5021">
        <v>0</v>
      </c>
      <c r="O5021">
        <v>0</v>
      </c>
      <c r="P5021">
        <v>0</v>
      </c>
      <c r="Q5021">
        <v>2</v>
      </c>
      <c r="R5021" s="3">
        <v>0</v>
      </c>
      <c r="S5021" s="3">
        <v>0</v>
      </c>
      <c r="T5021">
        <v>0</v>
      </c>
      <c r="U5021">
        <v>0</v>
      </c>
      <c r="V5021" s="3">
        <v>0</v>
      </c>
      <c r="W5021" s="3">
        <v>0</v>
      </c>
      <c r="X5021">
        <v>1</v>
      </c>
      <c r="Y5021" t="s">
        <v>3809</v>
      </c>
    </row>
    <row r="5022" spans="1:25" hidden="1" x14ac:dyDescent="0.25">
      <c r="A5022" t="s">
        <v>48</v>
      </c>
      <c r="B5022" t="s">
        <v>149</v>
      </c>
      <c r="C5022" t="s">
        <v>37</v>
      </c>
      <c r="D5022" t="s">
        <v>27</v>
      </c>
      <c r="E5022" s="2">
        <v>46129</v>
      </c>
      <c r="F5022" s="2">
        <v>46129</v>
      </c>
      <c r="G5022" s="3">
        <v>19</v>
      </c>
      <c r="H5022" t="s">
        <v>28</v>
      </c>
      <c r="I5022">
        <v>85</v>
      </c>
      <c r="J5022">
        <v>0</v>
      </c>
      <c r="K5022">
        <v>0</v>
      </c>
      <c r="L5022" s="3">
        <v>1</v>
      </c>
      <c r="M5022" s="3">
        <v>0</v>
      </c>
      <c r="N5022">
        <v>0</v>
      </c>
      <c r="O5022">
        <v>0</v>
      </c>
      <c r="P5022">
        <v>0</v>
      </c>
      <c r="Q5022">
        <v>0</v>
      </c>
      <c r="R5022" s="3">
        <v>0</v>
      </c>
      <c r="S5022" s="3">
        <v>0</v>
      </c>
      <c r="T5022">
        <v>0</v>
      </c>
      <c r="U5022">
        <v>0</v>
      </c>
      <c r="V5022" s="3">
        <v>0</v>
      </c>
      <c r="W5022" s="3">
        <v>0</v>
      </c>
      <c r="X5022">
        <v>0</v>
      </c>
      <c r="Y5022" t="s">
        <v>3782</v>
      </c>
    </row>
    <row r="5023" spans="1:25" hidden="1" x14ac:dyDescent="0.25">
      <c r="A5023" t="s">
        <v>43</v>
      </c>
      <c r="B5023" t="s">
        <v>739</v>
      </c>
      <c r="C5023" t="s">
        <v>27</v>
      </c>
      <c r="D5023" t="s">
        <v>27</v>
      </c>
      <c r="E5023" s="2">
        <v>46129</v>
      </c>
      <c r="F5023" s="2">
        <v>46129</v>
      </c>
      <c r="G5023" s="3">
        <v>20</v>
      </c>
      <c r="H5023" t="s">
        <v>2055</v>
      </c>
      <c r="I5023">
        <v>0</v>
      </c>
      <c r="J5023">
        <v>0</v>
      </c>
      <c r="K5023">
        <v>0</v>
      </c>
      <c r="L5023" s="3">
        <v>0</v>
      </c>
      <c r="M5023" s="3">
        <v>0</v>
      </c>
      <c r="N5023">
        <v>0</v>
      </c>
      <c r="O5023">
        <v>0</v>
      </c>
      <c r="P5023">
        <v>0</v>
      </c>
      <c r="Q5023">
        <v>0</v>
      </c>
      <c r="R5023" s="3">
        <v>0</v>
      </c>
      <c r="S5023" s="3">
        <v>0</v>
      </c>
      <c r="T5023">
        <v>0</v>
      </c>
      <c r="U5023">
        <v>0</v>
      </c>
      <c r="V5023" s="3">
        <v>0</v>
      </c>
      <c r="W5023" s="3">
        <v>0</v>
      </c>
      <c r="X5023" s="3">
        <v>0</v>
      </c>
      <c r="Y5023" t="s">
        <v>3782</v>
      </c>
    </row>
    <row r="5024" spans="1:25" hidden="1" x14ac:dyDescent="0.25">
      <c r="A5024" t="s">
        <v>2899</v>
      </c>
      <c r="B5024" t="s">
        <v>755</v>
      </c>
      <c r="C5024" t="s">
        <v>27</v>
      </c>
      <c r="D5024" t="s">
        <v>27</v>
      </c>
      <c r="E5024" s="2">
        <v>46129</v>
      </c>
      <c r="F5024" s="2">
        <v>46129</v>
      </c>
      <c r="G5024" s="3">
        <v>21</v>
      </c>
      <c r="H5024" t="s">
        <v>959</v>
      </c>
      <c r="I5024">
        <v>0</v>
      </c>
      <c r="J5024">
        <v>0</v>
      </c>
      <c r="K5024">
        <v>0</v>
      </c>
      <c r="L5024" s="3">
        <v>0</v>
      </c>
      <c r="M5024" s="3">
        <v>0</v>
      </c>
      <c r="N5024">
        <v>0</v>
      </c>
      <c r="O5024">
        <v>0</v>
      </c>
      <c r="P5024">
        <v>0</v>
      </c>
      <c r="Q5024">
        <v>0</v>
      </c>
      <c r="R5024" s="3">
        <v>0</v>
      </c>
      <c r="S5024" s="3">
        <v>0</v>
      </c>
      <c r="T5024">
        <v>0</v>
      </c>
      <c r="U5024">
        <v>0</v>
      </c>
      <c r="V5024" s="3">
        <v>0</v>
      </c>
      <c r="W5024" s="3">
        <v>0</v>
      </c>
      <c r="X5024" s="3">
        <v>0</v>
      </c>
      <c r="Y5024" t="s">
        <v>3782</v>
      </c>
    </row>
    <row r="5025" spans="1:25" hidden="1" x14ac:dyDescent="0.25">
      <c r="A5025" t="s">
        <v>47</v>
      </c>
      <c r="B5025" t="s">
        <v>2762</v>
      </c>
      <c r="C5025" t="s">
        <v>27</v>
      </c>
      <c r="D5025" t="s">
        <v>27</v>
      </c>
      <c r="E5025" s="2">
        <v>46129</v>
      </c>
      <c r="F5025" s="2">
        <v>46129</v>
      </c>
      <c r="G5025" s="3">
        <v>49</v>
      </c>
      <c r="H5025" t="s">
        <v>763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t="s">
        <v>3711</v>
      </c>
    </row>
    <row r="5026" spans="1:25" hidden="1" x14ac:dyDescent="0.25">
      <c r="A5026" t="s">
        <v>27</v>
      </c>
      <c r="B5026" t="s">
        <v>2764</v>
      </c>
      <c r="C5026" t="s">
        <v>52</v>
      </c>
      <c r="D5026" t="s">
        <v>27</v>
      </c>
      <c r="E5026" s="2">
        <v>46129</v>
      </c>
      <c r="F5026" s="2">
        <v>46129</v>
      </c>
      <c r="G5026" s="3">
        <v>50</v>
      </c>
      <c r="H5026" t="s">
        <v>763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t="s">
        <v>3711</v>
      </c>
    </row>
    <row r="5027" spans="1:25" hidden="1" x14ac:dyDescent="0.25">
      <c r="A5027" t="s">
        <v>41</v>
      </c>
      <c r="B5027" t="s">
        <v>112</v>
      </c>
      <c r="C5027" t="s">
        <v>42</v>
      </c>
      <c r="D5027" t="s">
        <v>27</v>
      </c>
      <c r="E5027" s="2">
        <v>46130</v>
      </c>
      <c r="F5027" s="2">
        <v>46130</v>
      </c>
      <c r="G5027" s="3">
        <v>195</v>
      </c>
      <c r="H5027" t="s">
        <v>28</v>
      </c>
      <c r="I5027">
        <v>0</v>
      </c>
      <c r="J5027">
        <v>0</v>
      </c>
      <c r="K5027">
        <v>0</v>
      </c>
      <c r="L5027" s="3">
        <v>0</v>
      </c>
      <c r="M5027" s="3">
        <v>0</v>
      </c>
      <c r="N5027">
        <v>0</v>
      </c>
      <c r="O5027">
        <v>0</v>
      </c>
      <c r="P5027">
        <v>0</v>
      </c>
      <c r="Q5027">
        <v>15</v>
      </c>
      <c r="R5027" s="3">
        <v>1</v>
      </c>
      <c r="S5027" s="3">
        <v>0</v>
      </c>
      <c r="T5027">
        <v>15</v>
      </c>
      <c r="U5027">
        <v>168</v>
      </c>
      <c r="V5027" s="3">
        <v>1</v>
      </c>
      <c r="W5027" s="3">
        <v>0</v>
      </c>
      <c r="X5027">
        <v>3</v>
      </c>
      <c r="Y5027" t="s">
        <v>3810</v>
      </c>
    </row>
    <row r="5028" spans="1:25" hidden="1" x14ac:dyDescent="0.25">
      <c r="A5028" t="s">
        <v>51</v>
      </c>
      <c r="B5028" t="s">
        <v>112</v>
      </c>
      <c r="C5028" t="s">
        <v>37</v>
      </c>
      <c r="D5028" t="s">
        <v>27</v>
      </c>
      <c r="E5028" s="2">
        <v>46130</v>
      </c>
      <c r="F5028" s="2">
        <v>46130</v>
      </c>
      <c r="G5028" s="3">
        <v>195</v>
      </c>
      <c r="H5028" t="s">
        <v>28</v>
      </c>
      <c r="I5028">
        <v>0</v>
      </c>
      <c r="J5028">
        <v>0</v>
      </c>
      <c r="K5028">
        <v>0</v>
      </c>
      <c r="L5028" s="3">
        <v>0</v>
      </c>
      <c r="M5028" s="3">
        <v>0</v>
      </c>
      <c r="N5028">
        <v>0</v>
      </c>
      <c r="O5028">
        <v>0</v>
      </c>
      <c r="P5028">
        <v>0</v>
      </c>
      <c r="Q5028">
        <v>0</v>
      </c>
      <c r="R5028" s="3">
        <v>1</v>
      </c>
      <c r="S5028" s="3">
        <v>0</v>
      </c>
      <c r="T5028">
        <v>5</v>
      </c>
      <c r="U5028">
        <v>111</v>
      </c>
      <c r="V5028" s="3">
        <v>1</v>
      </c>
      <c r="W5028" s="3">
        <v>0</v>
      </c>
      <c r="X5028">
        <v>2</v>
      </c>
      <c r="Y5028" t="s">
        <v>3810</v>
      </c>
    </row>
    <row r="5029" spans="1:25" hidden="1" x14ac:dyDescent="0.25">
      <c r="A5029" t="s">
        <v>40</v>
      </c>
      <c r="B5029" t="s">
        <v>112</v>
      </c>
      <c r="C5029" t="s">
        <v>2534</v>
      </c>
      <c r="D5029" t="s">
        <v>27</v>
      </c>
      <c r="E5029" s="2">
        <v>46130</v>
      </c>
      <c r="F5029" s="2">
        <v>46130</v>
      </c>
      <c r="G5029" s="3">
        <v>195</v>
      </c>
      <c r="H5029" t="s">
        <v>28</v>
      </c>
      <c r="I5029">
        <v>0</v>
      </c>
      <c r="J5029">
        <v>0</v>
      </c>
      <c r="K5029">
        <v>0</v>
      </c>
      <c r="L5029" s="3">
        <v>0</v>
      </c>
      <c r="M5029" s="3">
        <v>0</v>
      </c>
      <c r="N5029">
        <v>0</v>
      </c>
      <c r="O5029">
        <v>0</v>
      </c>
      <c r="P5029">
        <v>0</v>
      </c>
      <c r="Q5029">
        <v>0</v>
      </c>
      <c r="R5029" s="3">
        <v>1</v>
      </c>
      <c r="S5029" s="3">
        <v>0</v>
      </c>
      <c r="T5029">
        <v>4</v>
      </c>
      <c r="U5029">
        <v>81</v>
      </c>
      <c r="V5029" s="3">
        <v>1</v>
      </c>
      <c r="W5029" s="3">
        <v>0</v>
      </c>
      <c r="X5029">
        <v>0</v>
      </c>
      <c r="Y5029" t="s">
        <v>3810</v>
      </c>
    </row>
    <row r="5030" spans="1:25" hidden="1" x14ac:dyDescent="0.25">
      <c r="A5030" t="s">
        <v>25</v>
      </c>
      <c r="B5030" t="s">
        <v>112</v>
      </c>
      <c r="C5030" t="s">
        <v>26</v>
      </c>
      <c r="D5030" t="s">
        <v>27</v>
      </c>
      <c r="E5030" s="2">
        <v>46130</v>
      </c>
      <c r="F5030" s="2">
        <v>46130</v>
      </c>
      <c r="G5030" s="3">
        <v>195</v>
      </c>
      <c r="H5030" t="s">
        <v>28</v>
      </c>
      <c r="I5030">
        <v>0</v>
      </c>
      <c r="J5030">
        <v>0</v>
      </c>
      <c r="K5030">
        <v>0</v>
      </c>
      <c r="L5030" s="3">
        <v>0</v>
      </c>
      <c r="M5030" s="3">
        <v>0</v>
      </c>
      <c r="N5030">
        <v>0</v>
      </c>
      <c r="O5030">
        <v>0</v>
      </c>
      <c r="P5030">
        <v>0</v>
      </c>
      <c r="Q5030">
        <v>0</v>
      </c>
      <c r="R5030" s="3">
        <v>1</v>
      </c>
      <c r="S5030" s="3">
        <v>0</v>
      </c>
      <c r="T5030">
        <v>0</v>
      </c>
      <c r="U5030">
        <v>97</v>
      </c>
      <c r="V5030" s="3">
        <v>1</v>
      </c>
      <c r="W5030" s="3">
        <v>0</v>
      </c>
      <c r="X5030">
        <v>0</v>
      </c>
      <c r="Y5030" t="s">
        <v>3810</v>
      </c>
    </row>
    <row r="5031" spans="1:25" hidden="1" x14ac:dyDescent="0.25">
      <c r="A5031" t="s">
        <v>25</v>
      </c>
      <c r="B5031" t="s">
        <v>96</v>
      </c>
      <c r="C5031" t="s">
        <v>26</v>
      </c>
      <c r="D5031" t="s">
        <v>27</v>
      </c>
      <c r="E5031" s="2">
        <v>46131</v>
      </c>
      <c r="F5031" s="2">
        <v>46131</v>
      </c>
      <c r="G5031" s="3">
        <v>87</v>
      </c>
      <c r="H5031" t="s">
        <v>28</v>
      </c>
      <c r="I5031">
        <v>0</v>
      </c>
      <c r="J5031">
        <v>0</v>
      </c>
      <c r="K5031">
        <v>0</v>
      </c>
      <c r="L5031" s="3">
        <v>0</v>
      </c>
      <c r="M5031" s="3">
        <v>0</v>
      </c>
      <c r="N5031">
        <v>0</v>
      </c>
      <c r="O5031">
        <v>0</v>
      </c>
      <c r="P5031">
        <v>0</v>
      </c>
      <c r="Q5031">
        <v>0</v>
      </c>
      <c r="R5031" s="3">
        <v>0</v>
      </c>
      <c r="S5031" s="3">
        <v>1</v>
      </c>
      <c r="T5031">
        <v>1</v>
      </c>
      <c r="U5031">
        <v>104</v>
      </c>
      <c r="V5031" s="3">
        <v>0</v>
      </c>
      <c r="W5031" s="3">
        <v>1</v>
      </c>
      <c r="X5031">
        <v>0</v>
      </c>
      <c r="Y5031" t="s">
        <v>3811</v>
      </c>
    </row>
    <row r="5032" spans="1:25" hidden="1" x14ac:dyDescent="0.25">
      <c r="A5032" t="s">
        <v>48</v>
      </c>
      <c r="B5032" t="s">
        <v>149</v>
      </c>
      <c r="C5032" t="s">
        <v>37</v>
      </c>
      <c r="D5032" t="s">
        <v>27</v>
      </c>
      <c r="E5032" s="2">
        <v>46131</v>
      </c>
      <c r="F5032" s="2">
        <v>46131</v>
      </c>
      <c r="G5032" s="3">
        <v>230</v>
      </c>
      <c r="H5032" t="s">
        <v>28</v>
      </c>
      <c r="I5032">
        <v>0</v>
      </c>
      <c r="J5032">
        <v>0</v>
      </c>
      <c r="K5032">
        <v>0</v>
      </c>
      <c r="L5032" s="3">
        <v>0</v>
      </c>
      <c r="M5032" s="3">
        <v>0</v>
      </c>
      <c r="N5032">
        <v>0</v>
      </c>
      <c r="O5032">
        <v>0</v>
      </c>
      <c r="P5032">
        <v>0</v>
      </c>
      <c r="Q5032">
        <v>0</v>
      </c>
      <c r="R5032" s="3">
        <v>0</v>
      </c>
      <c r="S5032" s="3">
        <v>1</v>
      </c>
      <c r="T5032">
        <v>3</v>
      </c>
      <c r="U5032">
        <v>111</v>
      </c>
      <c r="V5032" s="3">
        <v>0</v>
      </c>
      <c r="W5032" s="3">
        <v>1</v>
      </c>
      <c r="X5032">
        <v>0</v>
      </c>
      <c r="Y5032" t="s">
        <v>3812</v>
      </c>
    </row>
    <row r="5033" spans="1:25" hidden="1" x14ac:dyDescent="0.25">
      <c r="A5033" t="s">
        <v>454</v>
      </c>
      <c r="B5033" t="s">
        <v>149</v>
      </c>
      <c r="C5033" t="s">
        <v>55</v>
      </c>
      <c r="D5033" t="s">
        <v>27</v>
      </c>
      <c r="E5033" s="2">
        <v>46131</v>
      </c>
      <c r="F5033" s="2">
        <v>46131</v>
      </c>
      <c r="G5033" s="3">
        <v>230</v>
      </c>
      <c r="H5033" t="s">
        <v>28</v>
      </c>
      <c r="I5033">
        <v>0</v>
      </c>
      <c r="J5033">
        <v>0</v>
      </c>
      <c r="K5033">
        <v>0</v>
      </c>
      <c r="L5033" s="3">
        <v>0</v>
      </c>
      <c r="M5033" s="3">
        <v>0</v>
      </c>
      <c r="N5033">
        <v>0</v>
      </c>
      <c r="O5033">
        <v>0</v>
      </c>
      <c r="P5033">
        <v>0</v>
      </c>
      <c r="Q5033">
        <v>0</v>
      </c>
      <c r="R5033" s="3">
        <v>0</v>
      </c>
      <c r="S5033" s="3">
        <v>1</v>
      </c>
      <c r="T5033">
        <v>0</v>
      </c>
      <c r="U5033">
        <v>111</v>
      </c>
      <c r="V5033" s="3">
        <v>0</v>
      </c>
      <c r="W5033" s="3">
        <v>1</v>
      </c>
      <c r="X5033">
        <v>0</v>
      </c>
      <c r="Y5033" t="s">
        <v>3812</v>
      </c>
    </row>
    <row r="5034" spans="1:25" hidden="1" x14ac:dyDescent="0.25">
      <c r="A5034" t="s">
        <v>40</v>
      </c>
      <c r="B5034" t="s">
        <v>149</v>
      </c>
      <c r="C5034" t="s">
        <v>2534</v>
      </c>
      <c r="D5034" t="s">
        <v>27</v>
      </c>
      <c r="E5034" s="2">
        <v>46131</v>
      </c>
      <c r="F5034" s="2">
        <v>46131</v>
      </c>
      <c r="G5034" s="3">
        <v>230</v>
      </c>
      <c r="H5034" t="s">
        <v>28</v>
      </c>
      <c r="I5034">
        <v>0</v>
      </c>
      <c r="J5034">
        <v>0</v>
      </c>
      <c r="K5034">
        <v>0</v>
      </c>
      <c r="L5034" s="3">
        <v>0</v>
      </c>
      <c r="M5034" s="3">
        <v>0</v>
      </c>
      <c r="N5034">
        <v>0</v>
      </c>
      <c r="O5034">
        <v>0</v>
      </c>
      <c r="P5034">
        <v>0</v>
      </c>
      <c r="Q5034">
        <v>0</v>
      </c>
      <c r="R5034" s="3">
        <v>0</v>
      </c>
      <c r="S5034" s="3">
        <v>1</v>
      </c>
      <c r="T5034">
        <v>6</v>
      </c>
      <c r="U5034">
        <v>100</v>
      </c>
      <c r="V5034" s="3">
        <v>0</v>
      </c>
      <c r="W5034" s="3">
        <v>1</v>
      </c>
      <c r="X5034">
        <v>0</v>
      </c>
      <c r="Y5034" t="s">
        <v>3812</v>
      </c>
    </row>
    <row r="5035" spans="1:25" hidden="1" x14ac:dyDescent="0.25">
      <c r="A5035" t="s">
        <v>55</v>
      </c>
      <c r="B5035" t="s">
        <v>2072</v>
      </c>
      <c r="C5035" t="s">
        <v>2835</v>
      </c>
      <c r="D5035" t="s">
        <v>27</v>
      </c>
      <c r="E5035" s="2">
        <v>46132</v>
      </c>
      <c r="F5035" s="2">
        <v>46132</v>
      </c>
      <c r="G5035" s="3">
        <v>66</v>
      </c>
      <c r="H5035" t="s">
        <v>28</v>
      </c>
      <c r="I5035">
        <v>45</v>
      </c>
      <c r="J5035">
        <v>0</v>
      </c>
      <c r="K5035">
        <v>0</v>
      </c>
      <c r="L5035" s="3">
        <v>1</v>
      </c>
      <c r="M5035" s="3">
        <v>0</v>
      </c>
      <c r="N5035">
        <v>1</v>
      </c>
      <c r="O5035">
        <v>0</v>
      </c>
      <c r="P5035">
        <v>0</v>
      </c>
      <c r="Q5035">
        <v>0</v>
      </c>
      <c r="R5035" s="3">
        <v>0</v>
      </c>
      <c r="S5035" s="3">
        <v>0</v>
      </c>
      <c r="T5035">
        <v>0</v>
      </c>
      <c r="U5035">
        <v>0</v>
      </c>
      <c r="V5035" s="3">
        <v>0</v>
      </c>
      <c r="W5035" s="3">
        <v>0</v>
      </c>
      <c r="X5035">
        <v>0</v>
      </c>
      <c r="Y5035" t="s">
        <v>3813</v>
      </c>
    </row>
    <row r="5036" spans="1:25" hidden="1" x14ac:dyDescent="0.25">
      <c r="A5036" t="s">
        <v>25</v>
      </c>
      <c r="B5036" t="s">
        <v>96</v>
      </c>
      <c r="C5036" t="s">
        <v>26</v>
      </c>
      <c r="D5036" t="s">
        <v>27</v>
      </c>
      <c r="E5036" s="2">
        <v>46132</v>
      </c>
      <c r="F5036" s="2">
        <v>46132</v>
      </c>
      <c r="G5036" s="3">
        <v>37</v>
      </c>
      <c r="H5036" t="s">
        <v>28</v>
      </c>
      <c r="I5036">
        <v>82</v>
      </c>
      <c r="J5036">
        <v>0</v>
      </c>
      <c r="K5036">
        <v>0</v>
      </c>
      <c r="L5036" s="3">
        <v>0</v>
      </c>
      <c r="M5036" s="3">
        <v>1</v>
      </c>
      <c r="N5036">
        <v>1</v>
      </c>
      <c r="O5036">
        <v>0</v>
      </c>
      <c r="P5036">
        <v>0</v>
      </c>
      <c r="Q5036">
        <v>0</v>
      </c>
      <c r="R5036" s="3">
        <v>0</v>
      </c>
      <c r="S5036" s="3">
        <v>0</v>
      </c>
      <c r="T5036">
        <v>0</v>
      </c>
      <c r="U5036">
        <v>0</v>
      </c>
      <c r="V5036" s="3">
        <v>0</v>
      </c>
      <c r="W5036" s="3">
        <v>0</v>
      </c>
      <c r="X5036">
        <v>0</v>
      </c>
      <c r="Y5036" t="s">
        <v>3814</v>
      </c>
    </row>
    <row r="5037" spans="1:25" hidden="1" x14ac:dyDescent="0.25">
      <c r="A5037" t="s">
        <v>27</v>
      </c>
      <c r="B5037" t="s">
        <v>100</v>
      </c>
      <c r="C5037" t="s">
        <v>95</v>
      </c>
      <c r="D5037" t="s">
        <v>27</v>
      </c>
      <c r="E5037" s="2">
        <v>46129</v>
      </c>
      <c r="F5037" s="2">
        <v>46129</v>
      </c>
      <c r="G5037" s="3">
        <v>25</v>
      </c>
      <c r="H5037" t="s">
        <v>959</v>
      </c>
      <c r="I5037">
        <v>0</v>
      </c>
      <c r="J5037">
        <v>0</v>
      </c>
      <c r="K5037">
        <v>0</v>
      </c>
      <c r="L5037" s="3">
        <v>1</v>
      </c>
      <c r="M5037" s="3">
        <v>0</v>
      </c>
      <c r="N5037">
        <v>0</v>
      </c>
      <c r="O5037">
        <v>0</v>
      </c>
      <c r="P5037">
        <v>12</v>
      </c>
      <c r="Q5037">
        <v>15</v>
      </c>
      <c r="R5037" s="3">
        <v>0</v>
      </c>
      <c r="S5037" s="3">
        <v>0</v>
      </c>
      <c r="T5037">
        <v>0</v>
      </c>
      <c r="U5037">
        <v>0</v>
      </c>
      <c r="V5037" s="3">
        <v>0</v>
      </c>
      <c r="W5037" s="3">
        <v>0</v>
      </c>
      <c r="X5037">
        <v>0</v>
      </c>
      <c r="Y5037" t="s">
        <v>3785</v>
      </c>
    </row>
    <row r="5038" spans="1:25" hidden="1" x14ac:dyDescent="0.25">
      <c r="A5038" t="s">
        <v>29</v>
      </c>
      <c r="B5038" t="s">
        <v>100</v>
      </c>
      <c r="C5038" t="s">
        <v>95</v>
      </c>
      <c r="D5038" t="s">
        <v>27</v>
      </c>
      <c r="E5038" s="2">
        <v>46132</v>
      </c>
      <c r="F5038" s="2">
        <v>46132</v>
      </c>
      <c r="G5038" s="3">
        <v>34</v>
      </c>
      <c r="H5038" t="s">
        <v>28</v>
      </c>
      <c r="I5038">
        <v>55</v>
      </c>
      <c r="J5038">
        <v>0</v>
      </c>
      <c r="K5038">
        <v>0</v>
      </c>
      <c r="L5038" s="3">
        <v>1</v>
      </c>
      <c r="M5038" s="3">
        <v>0</v>
      </c>
      <c r="N5038">
        <v>0</v>
      </c>
      <c r="O5038">
        <v>0</v>
      </c>
      <c r="P5038">
        <v>15</v>
      </c>
      <c r="Q5038">
        <v>13</v>
      </c>
      <c r="R5038" s="3">
        <v>0</v>
      </c>
      <c r="S5038" s="3">
        <v>0</v>
      </c>
      <c r="T5038">
        <v>0</v>
      </c>
      <c r="U5038">
        <v>0</v>
      </c>
      <c r="V5038" s="3">
        <v>0</v>
      </c>
      <c r="W5038" s="3">
        <v>0</v>
      </c>
      <c r="X5038">
        <v>0</v>
      </c>
      <c r="Y5038" t="s">
        <v>3751</v>
      </c>
    </row>
    <row r="5039" spans="1:25" hidden="1" x14ac:dyDescent="0.25">
      <c r="A5039" t="s">
        <v>344</v>
      </c>
      <c r="B5039" t="s">
        <v>100</v>
      </c>
      <c r="C5039" t="s">
        <v>35</v>
      </c>
      <c r="D5039" t="s">
        <v>27</v>
      </c>
      <c r="E5039" s="2">
        <v>46132</v>
      </c>
      <c r="F5039" s="2">
        <v>46132</v>
      </c>
      <c r="G5039" s="3">
        <v>34</v>
      </c>
      <c r="H5039" t="s">
        <v>28</v>
      </c>
      <c r="I5039">
        <v>34</v>
      </c>
      <c r="J5039">
        <v>0</v>
      </c>
      <c r="K5039">
        <v>0</v>
      </c>
      <c r="L5039" s="3">
        <v>1</v>
      </c>
      <c r="M5039" s="3">
        <v>0</v>
      </c>
      <c r="N5039">
        <v>0</v>
      </c>
      <c r="O5039">
        <v>0</v>
      </c>
      <c r="P5039">
        <v>15</v>
      </c>
      <c r="Q5039">
        <v>13</v>
      </c>
      <c r="R5039" s="3">
        <v>0</v>
      </c>
      <c r="S5039" s="3">
        <v>0</v>
      </c>
      <c r="T5039">
        <v>0</v>
      </c>
      <c r="U5039">
        <v>0</v>
      </c>
      <c r="V5039" s="3">
        <v>0</v>
      </c>
      <c r="W5039" s="3">
        <v>0</v>
      </c>
      <c r="X5039">
        <v>0</v>
      </c>
      <c r="Y5039" t="s">
        <v>3751</v>
      </c>
    </row>
    <row r="5040" spans="1:25" hidden="1" x14ac:dyDescent="0.25">
      <c r="A5040" t="s">
        <v>31</v>
      </c>
      <c r="B5040" t="s">
        <v>104</v>
      </c>
      <c r="C5040" t="s">
        <v>32</v>
      </c>
      <c r="D5040" t="s">
        <v>27</v>
      </c>
      <c r="E5040" s="2">
        <v>46132</v>
      </c>
      <c r="F5040" s="2">
        <v>46132</v>
      </c>
      <c r="G5040" s="3">
        <v>37</v>
      </c>
      <c r="H5040" t="s">
        <v>28</v>
      </c>
      <c r="I5040">
        <v>85</v>
      </c>
      <c r="J5040">
        <v>0</v>
      </c>
      <c r="K5040">
        <v>0</v>
      </c>
      <c r="L5040" s="3">
        <v>1</v>
      </c>
      <c r="M5040" s="3">
        <v>0</v>
      </c>
      <c r="N5040">
        <v>0</v>
      </c>
      <c r="O5040">
        <v>0</v>
      </c>
      <c r="P5040">
        <v>0</v>
      </c>
      <c r="Q5040">
        <v>30</v>
      </c>
      <c r="R5040" s="3">
        <v>0</v>
      </c>
      <c r="S5040" s="3">
        <v>0</v>
      </c>
      <c r="T5040">
        <v>0</v>
      </c>
      <c r="U5040">
        <v>0</v>
      </c>
      <c r="V5040" s="3">
        <v>0</v>
      </c>
      <c r="W5040" s="3">
        <v>0</v>
      </c>
      <c r="X5040">
        <v>0</v>
      </c>
      <c r="Y5040" t="s">
        <v>3815</v>
      </c>
    </row>
    <row r="5041" spans="1:25" hidden="1" x14ac:dyDescent="0.25">
      <c r="A5041" t="s">
        <v>33</v>
      </c>
      <c r="B5041" t="s">
        <v>106</v>
      </c>
      <c r="C5041" t="s">
        <v>57</v>
      </c>
      <c r="D5041" t="s">
        <v>27</v>
      </c>
      <c r="E5041" s="2">
        <v>46132</v>
      </c>
      <c r="F5041" s="2">
        <v>46132</v>
      </c>
      <c r="G5041" s="3">
        <v>31</v>
      </c>
      <c r="H5041" t="s">
        <v>28</v>
      </c>
      <c r="I5041">
        <v>55</v>
      </c>
      <c r="J5041">
        <v>0</v>
      </c>
      <c r="K5041">
        <v>0</v>
      </c>
      <c r="L5041" s="3">
        <v>0</v>
      </c>
      <c r="M5041" s="3">
        <v>0</v>
      </c>
      <c r="N5041">
        <v>0</v>
      </c>
      <c r="O5041">
        <v>0</v>
      </c>
      <c r="P5041">
        <v>0</v>
      </c>
      <c r="Q5041">
        <v>21</v>
      </c>
      <c r="R5041" s="3">
        <v>0</v>
      </c>
      <c r="S5041" s="3">
        <v>0</v>
      </c>
      <c r="T5041">
        <v>0</v>
      </c>
      <c r="U5041">
        <v>0</v>
      </c>
      <c r="V5041" s="3">
        <v>0</v>
      </c>
      <c r="W5041" s="3">
        <v>0</v>
      </c>
      <c r="X5041">
        <v>0</v>
      </c>
      <c r="Y5041" t="s">
        <v>3816</v>
      </c>
    </row>
    <row r="5042" spans="1:25" hidden="1" x14ac:dyDescent="0.25">
      <c r="A5042" t="s">
        <v>36</v>
      </c>
      <c r="B5042" t="s">
        <v>249</v>
      </c>
      <c r="C5042" t="s">
        <v>2514</v>
      </c>
      <c r="D5042" t="s">
        <v>27</v>
      </c>
      <c r="E5042" s="2">
        <v>46132</v>
      </c>
      <c r="F5042" s="2">
        <v>46132</v>
      </c>
      <c r="G5042" s="3">
        <v>41</v>
      </c>
      <c r="H5042" t="s">
        <v>28</v>
      </c>
      <c r="I5042">
        <v>61</v>
      </c>
      <c r="J5042">
        <v>0</v>
      </c>
      <c r="K5042">
        <v>0</v>
      </c>
      <c r="L5042" s="3">
        <v>1</v>
      </c>
      <c r="M5042" s="3">
        <v>0</v>
      </c>
      <c r="N5042">
        <v>0</v>
      </c>
      <c r="O5042">
        <v>0</v>
      </c>
      <c r="P5042">
        <v>0</v>
      </c>
      <c r="Q5042">
        <v>30</v>
      </c>
      <c r="R5042" s="3">
        <v>0</v>
      </c>
      <c r="S5042" s="3">
        <v>0</v>
      </c>
      <c r="T5042">
        <v>0</v>
      </c>
      <c r="U5042">
        <v>0</v>
      </c>
      <c r="V5042" s="3">
        <v>0</v>
      </c>
      <c r="W5042" s="3">
        <v>0</v>
      </c>
      <c r="X5042">
        <v>0</v>
      </c>
      <c r="Y5042" t="s">
        <v>3817</v>
      </c>
    </row>
    <row r="5043" spans="1:25" hidden="1" x14ac:dyDescent="0.25">
      <c r="A5043" t="s">
        <v>38</v>
      </c>
      <c r="B5043" t="s">
        <v>108</v>
      </c>
      <c r="C5043" t="s">
        <v>27</v>
      </c>
      <c r="D5043" t="s">
        <v>27</v>
      </c>
      <c r="E5043" s="2">
        <v>46132</v>
      </c>
      <c r="F5043" s="2">
        <v>46132</v>
      </c>
      <c r="G5043" s="3">
        <v>33</v>
      </c>
      <c r="H5043" t="s">
        <v>28</v>
      </c>
      <c r="I5043">
        <v>58</v>
      </c>
      <c r="J5043">
        <v>0</v>
      </c>
      <c r="K5043">
        <v>0</v>
      </c>
      <c r="L5043" s="3">
        <v>1</v>
      </c>
      <c r="M5043" s="3">
        <v>0</v>
      </c>
      <c r="N5043">
        <v>0</v>
      </c>
      <c r="O5043">
        <v>0</v>
      </c>
      <c r="P5043">
        <v>0</v>
      </c>
      <c r="Q5043">
        <v>58</v>
      </c>
      <c r="R5043" s="3">
        <v>0</v>
      </c>
      <c r="S5043" s="3">
        <v>0</v>
      </c>
      <c r="T5043">
        <v>0</v>
      </c>
      <c r="U5043">
        <v>0</v>
      </c>
      <c r="V5043" s="3">
        <v>0</v>
      </c>
      <c r="W5043" s="3">
        <v>0</v>
      </c>
      <c r="X5043">
        <v>0</v>
      </c>
      <c r="Y5043" t="s">
        <v>3818</v>
      </c>
    </row>
    <row r="5044" spans="1:25" hidden="1" x14ac:dyDescent="0.25">
      <c r="A5044" t="s">
        <v>2679</v>
      </c>
      <c r="B5044" t="s">
        <v>2680</v>
      </c>
      <c r="C5044" t="s">
        <v>39</v>
      </c>
      <c r="D5044" t="s">
        <v>27</v>
      </c>
      <c r="E5044" s="2">
        <v>46132</v>
      </c>
      <c r="F5044" s="2">
        <v>46132</v>
      </c>
      <c r="G5044" s="3">
        <v>33</v>
      </c>
      <c r="H5044" t="s">
        <v>28</v>
      </c>
      <c r="I5044">
        <v>48</v>
      </c>
      <c r="J5044">
        <v>0</v>
      </c>
      <c r="K5044">
        <v>0</v>
      </c>
      <c r="L5044" s="3">
        <v>0</v>
      </c>
      <c r="M5044" s="3">
        <v>0</v>
      </c>
      <c r="N5044">
        <v>0</v>
      </c>
      <c r="O5044">
        <v>0</v>
      </c>
      <c r="P5044">
        <v>0</v>
      </c>
      <c r="Q5044">
        <v>48</v>
      </c>
      <c r="R5044" s="3">
        <v>0</v>
      </c>
      <c r="S5044" s="3">
        <v>0</v>
      </c>
      <c r="T5044">
        <v>0</v>
      </c>
      <c r="U5044">
        <v>0</v>
      </c>
      <c r="V5044" s="3">
        <v>0</v>
      </c>
      <c r="W5044" s="3">
        <v>0</v>
      </c>
      <c r="X5044">
        <v>0</v>
      </c>
      <c r="Y5044" t="s">
        <v>3819</v>
      </c>
    </row>
    <row r="5045" spans="1:25" hidden="1" x14ac:dyDescent="0.25">
      <c r="A5045" t="s">
        <v>40</v>
      </c>
      <c r="B5045" t="s">
        <v>110</v>
      </c>
      <c r="C5045" t="s">
        <v>2534</v>
      </c>
      <c r="D5045" t="s">
        <v>27</v>
      </c>
      <c r="E5045" s="2">
        <v>46132</v>
      </c>
      <c r="F5045" s="2">
        <v>46132</v>
      </c>
      <c r="G5045" s="3">
        <v>59</v>
      </c>
      <c r="H5045" t="s">
        <v>28</v>
      </c>
      <c r="I5045">
        <v>62</v>
      </c>
      <c r="J5045">
        <v>0</v>
      </c>
      <c r="K5045">
        <v>0</v>
      </c>
      <c r="L5045" s="3">
        <v>1</v>
      </c>
      <c r="M5045" s="3">
        <v>0</v>
      </c>
      <c r="N5045">
        <v>1</v>
      </c>
      <c r="O5045">
        <v>0</v>
      </c>
      <c r="P5045">
        <v>0</v>
      </c>
      <c r="Q5045">
        <v>41</v>
      </c>
      <c r="R5045" s="3">
        <v>0</v>
      </c>
      <c r="S5045" s="3">
        <v>0</v>
      </c>
      <c r="T5045">
        <v>0</v>
      </c>
      <c r="U5045">
        <v>0</v>
      </c>
      <c r="V5045" s="3">
        <v>0</v>
      </c>
      <c r="W5045" s="3">
        <v>0</v>
      </c>
      <c r="X5045">
        <v>0</v>
      </c>
      <c r="Y5045" t="s">
        <v>3820</v>
      </c>
    </row>
    <row r="5046" spans="1:25" hidden="1" x14ac:dyDescent="0.25">
      <c r="A5046" t="s">
        <v>41</v>
      </c>
      <c r="B5046" t="s">
        <v>112</v>
      </c>
      <c r="C5046" t="s">
        <v>42</v>
      </c>
      <c r="D5046" t="s">
        <v>27</v>
      </c>
      <c r="E5046" s="2">
        <v>46132</v>
      </c>
      <c r="F5046" s="2">
        <v>46132</v>
      </c>
      <c r="G5046" s="3">
        <v>39</v>
      </c>
      <c r="H5046" t="s">
        <v>28</v>
      </c>
      <c r="I5046">
        <v>34</v>
      </c>
      <c r="J5046">
        <v>0</v>
      </c>
      <c r="K5046">
        <v>0</v>
      </c>
      <c r="L5046" s="3">
        <v>1</v>
      </c>
      <c r="M5046" s="3">
        <v>0</v>
      </c>
      <c r="N5046">
        <v>0</v>
      </c>
      <c r="O5046">
        <v>0</v>
      </c>
      <c r="P5046">
        <v>0</v>
      </c>
      <c r="Q5046">
        <v>4</v>
      </c>
      <c r="R5046" s="3">
        <v>0</v>
      </c>
      <c r="S5046" s="3">
        <v>0</v>
      </c>
      <c r="T5046">
        <v>0</v>
      </c>
      <c r="U5046">
        <v>0</v>
      </c>
      <c r="V5046" s="3">
        <v>0</v>
      </c>
      <c r="W5046" s="3">
        <v>0</v>
      </c>
      <c r="X5046">
        <v>0</v>
      </c>
      <c r="Y5046" t="s">
        <v>3821</v>
      </c>
    </row>
    <row r="5047" spans="1:25" hidden="1" x14ac:dyDescent="0.25">
      <c r="A5047" t="s">
        <v>43</v>
      </c>
      <c r="B5047" t="s">
        <v>114</v>
      </c>
      <c r="C5047" t="s">
        <v>44</v>
      </c>
      <c r="D5047" t="s">
        <v>27</v>
      </c>
      <c r="E5047" s="2">
        <v>46132</v>
      </c>
      <c r="F5047" s="2">
        <v>46132</v>
      </c>
      <c r="G5047" s="3">
        <v>27</v>
      </c>
      <c r="H5047" t="s">
        <v>28</v>
      </c>
      <c r="I5047">
        <v>57</v>
      </c>
      <c r="J5047">
        <v>0</v>
      </c>
      <c r="K5047">
        <v>0</v>
      </c>
      <c r="L5047" s="3">
        <v>1</v>
      </c>
      <c r="M5047" s="3">
        <v>0</v>
      </c>
      <c r="N5047">
        <v>0</v>
      </c>
      <c r="O5047">
        <v>0</v>
      </c>
      <c r="P5047">
        <v>0</v>
      </c>
      <c r="Q5047">
        <v>32</v>
      </c>
      <c r="R5047" s="3">
        <v>0</v>
      </c>
      <c r="S5047" s="3">
        <v>0</v>
      </c>
      <c r="T5047">
        <v>0</v>
      </c>
      <c r="U5047">
        <v>0</v>
      </c>
      <c r="V5047" s="3">
        <v>0</v>
      </c>
      <c r="W5047" s="3">
        <v>0</v>
      </c>
      <c r="X5047">
        <v>0</v>
      </c>
      <c r="Y5047" t="s">
        <v>3822</v>
      </c>
    </row>
    <row r="5048" spans="1:25" hidden="1" x14ac:dyDescent="0.25">
      <c r="A5048" t="s">
        <v>1316</v>
      </c>
      <c r="B5048" t="s">
        <v>116</v>
      </c>
      <c r="C5048" t="s">
        <v>46</v>
      </c>
      <c r="D5048" t="s">
        <v>27</v>
      </c>
      <c r="E5048" s="2">
        <v>46132</v>
      </c>
      <c r="F5048" s="2">
        <v>46132</v>
      </c>
      <c r="G5048" s="3">
        <v>60</v>
      </c>
      <c r="H5048" t="s">
        <v>28</v>
      </c>
      <c r="I5048">
        <v>50</v>
      </c>
      <c r="J5048">
        <v>0</v>
      </c>
      <c r="K5048">
        <v>0</v>
      </c>
      <c r="L5048" s="3">
        <v>0</v>
      </c>
      <c r="M5048" s="3">
        <v>0</v>
      </c>
      <c r="N5048">
        <v>0</v>
      </c>
      <c r="O5048">
        <v>0</v>
      </c>
      <c r="P5048">
        <v>0</v>
      </c>
      <c r="Q5048">
        <v>0</v>
      </c>
      <c r="R5048" s="3">
        <v>0</v>
      </c>
      <c r="S5048" s="3">
        <v>0</v>
      </c>
      <c r="T5048">
        <v>0</v>
      </c>
      <c r="U5048">
        <v>0</v>
      </c>
      <c r="V5048" s="3">
        <v>0</v>
      </c>
      <c r="W5048" s="3">
        <v>0</v>
      </c>
      <c r="X5048">
        <v>0</v>
      </c>
      <c r="Y5048" t="s">
        <v>3823</v>
      </c>
    </row>
    <row r="5049" spans="1:25" hidden="1" x14ac:dyDescent="0.25">
      <c r="A5049" t="s">
        <v>49</v>
      </c>
      <c r="B5049" t="s">
        <v>118</v>
      </c>
      <c r="C5049" t="s">
        <v>50</v>
      </c>
      <c r="D5049" t="s">
        <v>27</v>
      </c>
      <c r="E5049" s="2">
        <v>46132</v>
      </c>
      <c r="F5049" s="2">
        <v>46132</v>
      </c>
      <c r="G5049" s="3">
        <v>33</v>
      </c>
      <c r="H5049" t="s">
        <v>28</v>
      </c>
      <c r="I5049">
        <v>28</v>
      </c>
      <c r="J5049">
        <v>0</v>
      </c>
      <c r="K5049">
        <v>0</v>
      </c>
      <c r="L5049" s="3">
        <v>1</v>
      </c>
      <c r="M5049" s="3">
        <v>1</v>
      </c>
      <c r="N5049">
        <v>0</v>
      </c>
      <c r="O5049">
        <v>1</v>
      </c>
      <c r="P5049">
        <v>0</v>
      </c>
      <c r="Q5049">
        <v>28</v>
      </c>
      <c r="R5049" s="3">
        <v>0</v>
      </c>
      <c r="S5049" s="3">
        <v>0</v>
      </c>
      <c r="T5049">
        <v>0</v>
      </c>
      <c r="U5049">
        <v>0</v>
      </c>
      <c r="V5049" s="3">
        <v>0</v>
      </c>
      <c r="W5049" s="3">
        <v>0</v>
      </c>
      <c r="X5049">
        <v>0</v>
      </c>
      <c r="Y5049" t="s">
        <v>3807</v>
      </c>
    </row>
    <row r="5050" spans="1:25" hidden="1" x14ac:dyDescent="0.25">
      <c r="A5050" t="s">
        <v>51</v>
      </c>
      <c r="B5050" t="s">
        <v>120</v>
      </c>
      <c r="C5050" t="s">
        <v>2310</v>
      </c>
      <c r="D5050" t="s">
        <v>27</v>
      </c>
      <c r="E5050" s="2">
        <v>46132</v>
      </c>
      <c r="F5050" s="2">
        <v>46132</v>
      </c>
      <c r="G5050" s="3">
        <v>74</v>
      </c>
      <c r="H5050" t="s">
        <v>28</v>
      </c>
      <c r="I5050">
        <v>50</v>
      </c>
      <c r="J5050">
        <v>0</v>
      </c>
      <c r="K5050">
        <v>0</v>
      </c>
      <c r="L5050" s="3">
        <v>1</v>
      </c>
      <c r="M5050" s="3">
        <v>0</v>
      </c>
      <c r="N5050">
        <v>1</v>
      </c>
      <c r="O5050">
        <v>0</v>
      </c>
      <c r="P5050">
        <v>0</v>
      </c>
      <c r="Q5050">
        <v>13</v>
      </c>
      <c r="R5050" s="3">
        <v>0</v>
      </c>
      <c r="S5050" s="3">
        <v>0</v>
      </c>
      <c r="T5050">
        <v>0</v>
      </c>
      <c r="U5050">
        <v>0</v>
      </c>
      <c r="V5050" s="3">
        <v>0</v>
      </c>
      <c r="W5050" s="3">
        <v>0</v>
      </c>
      <c r="X5050">
        <v>0</v>
      </c>
      <c r="Y5050" t="s">
        <v>3824</v>
      </c>
    </row>
    <row r="5051" spans="1:25" hidden="1" x14ac:dyDescent="0.25">
      <c r="A5051" t="s">
        <v>54</v>
      </c>
      <c r="B5051" t="s">
        <v>122</v>
      </c>
      <c r="C5051" t="s">
        <v>2271</v>
      </c>
      <c r="D5051" t="s">
        <v>27</v>
      </c>
      <c r="E5051" s="2">
        <v>46132</v>
      </c>
      <c r="F5051" s="2">
        <v>46132</v>
      </c>
      <c r="G5051" s="3">
        <v>37</v>
      </c>
      <c r="H5051" t="s">
        <v>28</v>
      </c>
      <c r="I5051">
        <v>57</v>
      </c>
      <c r="J5051">
        <v>0</v>
      </c>
      <c r="K5051">
        <v>0</v>
      </c>
      <c r="L5051" s="3">
        <v>0</v>
      </c>
      <c r="M5051" s="3">
        <v>0</v>
      </c>
      <c r="N5051">
        <v>0</v>
      </c>
      <c r="O5051">
        <v>0</v>
      </c>
      <c r="P5051">
        <v>0</v>
      </c>
      <c r="Q5051">
        <v>2</v>
      </c>
      <c r="R5051" s="3">
        <v>0</v>
      </c>
      <c r="S5051" s="3">
        <v>0</v>
      </c>
      <c r="T5051">
        <v>0</v>
      </c>
      <c r="U5051">
        <v>0</v>
      </c>
      <c r="V5051" s="3">
        <v>0</v>
      </c>
      <c r="W5051" s="3">
        <v>0</v>
      </c>
      <c r="X5051">
        <v>0</v>
      </c>
      <c r="Y5051" t="s">
        <v>3825</v>
      </c>
    </row>
    <row r="5052" spans="1:25" hidden="1" x14ac:dyDescent="0.25">
      <c r="A5052" t="s">
        <v>48</v>
      </c>
      <c r="B5052" t="s">
        <v>149</v>
      </c>
      <c r="C5052" t="s">
        <v>37</v>
      </c>
      <c r="D5052" t="s">
        <v>27</v>
      </c>
      <c r="E5052" s="2">
        <v>46132</v>
      </c>
      <c r="F5052" s="2">
        <v>46132</v>
      </c>
      <c r="G5052" s="3">
        <v>51</v>
      </c>
      <c r="H5052" t="s">
        <v>28</v>
      </c>
      <c r="I5052">
        <v>80</v>
      </c>
      <c r="J5052">
        <v>0</v>
      </c>
      <c r="K5052">
        <v>0</v>
      </c>
      <c r="L5052" s="3">
        <v>1</v>
      </c>
      <c r="M5052" s="3">
        <v>0</v>
      </c>
      <c r="N5052">
        <v>0</v>
      </c>
      <c r="O5052">
        <v>0</v>
      </c>
      <c r="P5052">
        <v>0</v>
      </c>
      <c r="Q5052">
        <v>0</v>
      </c>
      <c r="R5052" s="3">
        <v>0</v>
      </c>
      <c r="S5052" s="3">
        <v>0</v>
      </c>
      <c r="T5052">
        <v>0</v>
      </c>
      <c r="U5052">
        <v>0</v>
      </c>
      <c r="V5052" s="3">
        <v>0</v>
      </c>
      <c r="W5052" s="3">
        <v>0</v>
      </c>
      <c r="X5052">
        <v>0</v>
      </c>
      <c r="Y5052" t="s">
        <v>3826</v>
      </c>
    </row>
    <row r="5053" spans="1:25" hidden="1" x14ac:dyDescent="0.25">
      <c r="A5053" t="s">
        <v>2899</v>
      </c>
      <c r="B5053" t="s">
        <v>739</v>
      </c>
      <c r="C5053" t="s">
        <v>27</v>
      </c>
      <c r="D5053" t="s">
        <v>27</v>
      </c>
      <c r="E5053" s="2">
        <v>46132</v>
      </c>
      <c r="F5053" s="2">
        <v>46132</v>
      </c>
      <c r="G5053" s="3">
        <v>231</v>
      </c>
      <c r="H5053" t="s">
        <v>1448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5" hidden="1" x14ac:dyDescent="0.25">
      <c r="A5054" t="s">
        <v>45</v>
      </c>
      <c r="B5054" t="s">
        <v>798</v>
      </c>
      <c r="C5054" t="s">
        <v>27</v>
      </c>
      <c r="D5054" t="s">
        <v>27</v>
      </c>
      <c r="E5054" s="2">
        <v>46132</v>
      </c>
      <c r="F5054" s="2">
        <v>46132</v>
      </c>
      <c r="G5054" s="3">
        <v>234</v>
      </c>
      <c r="H5054" t="s">
        <v>1256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</row>
    <row r="5055" spans="1:25" hidden="1" x14ac:dyDescent="0.25">
      <c r="A5055" t="s">
        <v>47</v>
      </c>
      <c r="B5055" t="s">
        <v>2762</v>
      </c>
      <c r="C5055" t="s">
        <v>27</v>
      </c>
      <c r="D5055" t="s">
        <v>27</v>
      </c>
      <c r="E5055" s="2">
        <v>46132</v>
      </c>
      <c r="F5055" s="2">
        <v>46132</v>
      </c>
      <c r="G5055" s="3">
        <v>49</v>
      </c>
      <c r="H5055" t="s">
        <v>763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t="s">
        <v>3711</v>
      </c>
    </row>
    <row r="5056" spans="1:25" hidden="1" x14ac:dyDescent="0.25">
      <c r="A5056" t="s">
        <v>27</v>
      </c>
      <c r="B5056" t="s">
        <v>2764</v>
      </c>
      <c r="C5056" t="s">
        <v>52</v>
      </c>
      <c r="D5056" t="s">
        <v>27</v>
      </c>
      <c r="E5056" s="2">
        <v>46132</v>
      </c>
      <c r="F5056" s="2">
        <v>46132</v>
      </c>
      <c r="G5056" s="3">
        <v>50</v>
      </c>
      <c r="H5056" t="s">
        <v>763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3711</v>
      </c>
    </row>
    <row r="5057" spans="1:25" hidden="1" x14ac:dyDescent="0.25">
      <c r="A5057" t="s">
        <v>55</v>
      </c>
      <c r="B5057" t="s">
        <v>2072</v>
      </c>
      <c r="C5057" t="s">
        <v>2310</v>
      </c>
      <c r="D5057" t="s">
        <v>27</v>
      </c>
      <c r="E5057" s="2">
        <v>46133</v>
      </c>
      <c r="F5057" s="2">
        <v>46133</v>
      </c>
      <c r="G5057" s="3">
        <v>237</v>
      </c>
      <c r="H5057" t="s">
        <v>28</v>
      </c>
      <c r="I5057">
        <v>55</v>
      </c>
      <c r="J5057">
        <v>0</v>
      </c>
      <c r="K5057">
        <v>0</v>
      </c>
      <c r="L5057" s="3">
        <v>1</v>
      </c>
      <c r="M5057" s="3">
        <v>0</v>
      </c>
      <c r="N5057">
        <v>0</v>
      </c>
      <c r="O5057">
        <v>0</v>
      </c>
      <c r="P5057">
        <v>0</v>
      </c>
      <c r="Q5057">
        <v>2</v>
      </c>
      <c r="R5057" s="3">
        <v>0</v>
      </c>
      <c r="S5057" s="3">
        <v>0</v>
      </c>
      <c r="T5057">
        <v>0</v>
      </c>
      <c r="U5057">
        <v>0</v>
      </c>
      <c r="V5057" s="3">
        <v>0</v>
      </c>
      <c r="W5057" s="3">
        <v>0</v>
      </c>
      <c r="X5057">
        <v>0</v>
      </c>
      <c r="Y5057" t="s">
        <v>3827</v>
      </c>
    </row>
    <row r="5058" spans="1:25" hidden="1" x14ac:dyDescent="0.25">
      <c r="A5058" s="1" t="s">
        <v>29</v>
      </c>
      <c r="B5058" t="s">
        <v>100</v>
      </c>
      <c r="C5058" t="s">
        <v>46</v>
      </c>
      <c r="D5058" t="s">
        <v>27</v>
      </c>
      <c r="E5058" s="2">
        <v>46133</v>
      </c>
      <c r="F5058" s="2">
        <v>46133</v>
      </c>
      <c r="G5058" s="3">
        <v>44</v>
      </c>
      <c r="H5058" t="s">
        <v>28</v>
      </c>
      <c r="I5058">
        <v>45</v>
      </c>
      <c r="J5058">
        <v>0</v>
      </c>
      <c r="K5058">
        <v>0</v>
      </c>
      <c r="L5058" s="3">
        <v>1</v>
      </c>
      <c r="M5058" s="3">
        <v>0</v>
      </c>
      <c r="N5058">
        <v>8</v>
      </c>
      <c r="O5058">
        <v>0</v>
      </c>
      <c r="P5058">
        <v>0</v>
      </c>
      <c r="Q5058">
        <v>10</v>
      </c>
      <c r="R5058" s="3">
        <v>0</v>
      </c>
      <c r="S5058" s="3">
        <v>0</v>
      </c>
      <c r="T5058">
        <v>0</v>
      </c>
      <c r="U5058">
        <v>0</v>
      </c>
      <c r="V5058" s="3">
        <v>0</v>
      </c>
      <c r="W5058" s="3">
        <v>0</v>
      </c>
      <c r="X5058">
        <v>0</v>
      </c>
      <c r="Y5058" t="s">
        <v>3828</v>
      </c>
    </row>
    <row r="5059" spans="1:25" hidden="1" x14ac:dyDescent="0.25">
      <c r="A5059" t="s">
        <v>344</v>
      </c>
      <c r="B5059" t="s">
        <v>100</v>
      </c>
      <c r="C5059" t="s">
        <v>35</v>
      </c>
      <c r="D5059" t="s">
        <v>27</v>
      </c>
      <c r="E5059" s="2">
        <v>46133</v>
      </c>
      <c r="F5059" s="2">
        <v>46133</v>
      </c>
      <c r="G5059" s="3">
        <v>34</v>
      </c>
      <c r="H5059" t="s">
        <v>28</v>
      </c>
      <c r="I5059">
        <v>58</v>
      </c>
      <c r="J5059">
        <v>0</v>
      </c>
      <c r="K5059">
        <v>0</v>
      </c>
      <c r="L5059" s="3">
        <v>1</v>
      </c>
      <c r="M5059" s="3">
        <v>0</v>
      </c>
      <c r="N5059">
        <v>0</v>
      </c>
      <c r="O5059">
        <v>0</v>
      </c>
      <c r="P5059">
        <v>15</v>
      </c>
      <c r="Q5059">
        <v>13</v>
      </c>
      <c r="R5059" s="3">
        <v>0</v>
      </c>
      <c r="S5059" s="3">
        <v>0</v>
      </c>
      <c r="T5059">
        <v>0</v>
      </c>
      <c r="U5059">
        <v>0</v>
      </c>
      <c r="V5059" s="3">
        <v>0</v>
      </c>
      <c r="W5059" s="3">
        <v>0</v>
      </c>
      <c r="X5059">
        <v>0</v>
      </c>
      <c r="Y5059" t="s">
        <v>3751</v>
      </c>
    </row>
    <row r="5060" spans="1:25" hidden="1" x14ac:dyDescent="0.25">
      <c r="A5060" t="s">
        <v>31</v>
      </c>
      <c r="B5060" t="s">
        <v>104</v>
      </c>
      <c r="C5060" t="s">
        <v>32</v>
      </c>
      <c r="D5060" t="s">
        <v>27</v>
      </c>
      <c r="E5060" s="2">
        <v>46133</v>
      </c>
      <c r="F5060" s="2">
        <v>46133</v>
      </c>
      <c r="G5060" s="3">
        <v>101</v>
      </c>
      <c r="H5060" t="s">
        <v>28</v>
      </c>
      <c r="I5060">
        <v>59</v>
      </c>
      <c r="J5060">
        <v>0</v>
      </c>
      <c r="K5060">
        <v>0</v>
      </c>
      <c r="L5060" s="3">
        <v>1</v>
      </c>
      <c r="M5060" s="3">
        <v>0</v>
      </c>
      <c r="N5060">
        <v>0</v>
      </c>
      <c r="O5060">
        <v>0</v>
      </c>
      <c r="P5060">
        <v>0</v>
      </c>
      <c r="Q5060">
        <v>30</v>
      </c>
      <c r="R5060" s="3">
        <v>0</v>
      </c>
      <c r="S5060" s="3">
        <v>0</v>
      </c>
      <c r="T5060">
        <v>0</v>
      </c>
      <c r="U5060">
        <v>0</v>
      </c>
      <c r="V5060" s="3">
        <v>0</v>
      </c>
      <c r="W5060" s="3">
        <v>0</v>
      </c>
      <c r="X5060">
        <v>0</v>
      </c>
      <c r="Y5060" t="s">
        <v>3829</v>
      </c>
    </row>
    <row r="5061" spans="1:25" hidden="1" x14ac:dyDescent="0.25">
      <c r="A5061" t="s">
        <v>33</v>
      </c>
      <c r="B5061" t="s">
        <v>106</v>
      </c>
      <c r="C5061" t="s">
        <v>26</v>
      </c>
      <c r="D5061" t="s">
        <v>27</v>
      </c>
      <c r="E5061" s="2">
        <v>46133</v>
      </c>
      <c r="F5061" s="2">
        <v>46133</v>
      </c>
      <c r="G5061" s="3">
        <v>37</v>
      </c>
      <c r="H5061" t="s">
        <v>28</v>
      </c>
      <c r="I5061">
        <v>27</v>
      </c>
      <c r="J5061">
        <v>0</v>
      </c>
      <c r="K5061">
        <v>0</v>
      </c>
      <c r="L5061" s="3">
        <v>0</v>
      </c>
      <c r="M5061" s="3">
        <v>0</v>
      </c>
      <c r="N5061">
        <v>1</v>
      </c>
      <c r="O5061">
        <v>0</v>
      </c>
      <c r="P5061">
        <v>0</v>
      </c>
      <c r="Q5061">
        <v>0</v>
      </c>
      <c r="R5061" s="3">
        <v>0</v>
      </c>
      <c r="S5061" s="3">
        <v>0</v>
      </c>
      <c r="T5061">
        <v>0</v>
      </c>
      <c r="U5061">
        <v>0</v>
      </c>
      <c r="V5061" s="3">
        <v>0</v>
      </c>
      <c r="W5061" s="3">
        <v>0</v>
      </c>
      <c r="X5061">
        <v>0</v>
      </c>
      <c r="Y5061" t="s">
        <v>3830</v>
      </c>
    </row>
    <row r="5062" spans="1:25" hidden="1" x14ac:dyDescent="0.25">
      <c r="A5062" t="s">
        <v>36</v>
      </c>
      <c r="B5062" t="s">
        <v>249</v>
      </c>
      <c r="C5062" t="s">
        <v>2514</v>
      </c>
      <c r="D5062" t="s">
        <v>27</v>
      </c>
      <c r="E5062" s="2">
        <v>46133</v>
      </c>
      <c r="F5062" s="2">
        <v>46133</v>
      </c>
      <c r="G5062" s="3">
        <v>49</v>
      </c>
      <c r="H5062" t="s">
        <v>28</v>
      </c>
      <c r="I5062">
        <v>21</v>
      </c>
      <c r="J5062">
        <v>0</v>
      </c>
      <c r="K5062">
        <v>0</v>
      </c>
      <c r="L5062" s="3">
        <v>1</v>
      </c>
      <c r="M5062" s="3">
        <v>0</v>
      </c>
      <c r="N5062">
        <v>0</v>
      </c>
      <c r="O5062">
        <v>0</v>
      </c>
      <c r="P5062">
        <v>0</v>
      </c>
      <c r="Q5062">
        <v>5</v>
      </c>
      <c r="R5062" s="3">
        <v>0</v>
      </c>
      <c r="S5062" s="3">
        <v>0</v>
      </c>
      <c r="T5062">
        <v>0</v>
      </c>
      <c r="U5062">
        <v>0</v>
      </c>
      <c r="V5062" s="3">
        <v>0</v>
      </c>
      <c r="W5062" s="3">
        <v>0</v>
      </c>
      <c r="X5062">
        <v>0</v>
      </c>
      <c r="Y5062" t="s">
        <v>3831</v>
      </c>
    </row>
    <row r="5063" spans="1:25" hidden="1" x14ac:dyDescent="0.25">
      <c r="A5063" t="s">
        <v>38</v>
      </c>
      <c r="B5063" t="s">
        <v>108</v>
      </c>
      <c r="C5063" t="s">
        <v>27</v>
      </c>
      <c r="D5063" t="s">
        <v>27</v>
      </c>
      <c r="E5063" s="2">
        <v>46133</v>
      </c>
      <c r="F5063" s="2">
        <v>46133</v>
      </c>
      <c r="G5063" s="3">
        <v>30</v>
      </c>
      <c r="H5063" t="s">
        <v>28</v>
      </c>
      <c r="I5063">
        <v>21</v>
      </c>
      <c r="J5063">
        <v>0</v>
      </c>
      <c r="K5063">
        <v>0</v>
      </c>
      <c r="L5063" s="3">
        <v>1</v>
      </c>
      <c r="M5063" s="3">
        <v>0</v>
      </c>
      <c r="N5063">
        <v>0</v>
      </c>
      <c r="O5063">
        <v>0</v>
      </c>
      <c r="P5063">
        <v>0</v>
      </c>
      <c r="Q5063">
        <v>21</v>
      </c>
      <c r="R5063" s="3">
        <v>0</v>
      </c>
      <c r="S5063" s="3">
        <v>0</v>
      </c>
      <c r="T5063">
        <v>0</v>
      </c>
      <c r="U5063">
        <v>0</v>
      </c>
      <c r="V5063" s="3">
        <v>0</v>
      </c>
      <c r="W5063" s="3">
        <v>0</v>
      </c>
      <c r="X5063">
        <v>0</v>
      </c>
      <c r="Y5063" t="s">
        <v>3832</v>
      </c>
    </row>
    <row r="5064" spans="1:25" hidden="1" x14ac:dyDescent="0.25">
      <c r="A5064" t="s">
        <v>2679</v>
      </c>
      <c r="B5064" t="s">
        <v>2680</v>
      </c>
      <c r="C5064" t="s">
        <v>39</v>
      </c>
      <c r="D5064" t="s">
        <v>27</v>
      </c>
      <c r="E5064" s="2">
        <v>46133</v>
      </c>
      <c r="F5064" s="2">
        <v>46133</v>
      </c>
      <c r="G5064" s="3">
        <v>35</v>
      </c>
      <c r="H5064" t="s">
        <v>28</v>
      </c>
      <c r="I5064">
        <v>19</v>
      </c>
      <c r="J5064">
        <v>0</v>
      </c>
      <c r="K5064">
        <v>0</v>
      </c>
      <c r="L5064" s="3">
        <v>0</v>
      </c>
      <c r="M5064" s="3">
        <v>0</v>
      </c>
      <c r="N5064">
        <v>0</v>
      </c>
      <c r="O5064">
        <v>0</v>
      </c>
      <c r="P5064">
        <v>0</v>
      </c>
      <c r="Q5064">
        <v>19</v>
      </c>
      <c r="R5064" s="3">
        <v>0</v>
      </c>
      <c r="S5064" s="3">
        <v>0</v>
      </c>
      <c r="T5064">
        <v>0</v>
      </c>
      <c r="U5064">
        <v>0</v>
      </c>
      <c r="V5064" s="3">
        <v>0</v>
      </c>
      <c r="W5064" s="3">
        <v>0</v>
      </c>
      <c r="X5064">
        <v>0</v>
      </c>
      <c r="Y5064" t="s">
        <v>3833</v>
      </c>
    </row>
    <row r="5065" spans="1:25" hidden="1" x14ac:dyDescent="0.25">
      <c r="A5065" t="s">
        <v>40</v>
      </c>
      <c r="B5065" t="s">
        <v>110</v>
      </c>
      <c r="C5065" t="s">
        <v>2534</v>
      </c>
      <c r="D5065" t="s">
        <v>27</v>
      </c>
      <c r="E5065" s="2">
        <v>46133</v>
      </c>
      <c r="F5065" s="2">
        <v>46133</v>
      </c>
      <c r="G5065" s="3">
        <v>46</v>
      </c>
      <c r="H5065" t="s">
        <v>28</v>
      </c>
      <c r="I5065">
        <v>48</v>
      </c>
      <c r="J5065">
        <v>0</v>
      </c>
      <c r="K5065">
        <v>0</v>
      </c>
      <c r="L5065" s="3">
        <v>1</v>
      </c>
      <c r="M5065" s="3">
        <v>0</v>
      </c>
      <c r="N5065">
        <v>1</v>
      </c>
      <c r="O5065">
        <v>1</v>
      </c>
      <c r="P5065">
        <v>0</v>
      </c>
      <c r="Q5065">
        <v>0</v>
      </c>
      <c r="R5065" s="3">
        <v>0</v>
      </c>
      <c r="S5065" s="3">
        <v>0</v>
      </c>
      <c r="T5065">
        <v>0</v>
      </c>
      <c r="U5065">
        <v>0</v>
      </c>
      <c r="V5065" s="3">
        <v>0</v>
      </c>
      <c r="W5065" s="3">
        <v>0</v>
      </c>
      <c r="X5065">
        <v>0</v>
      </c>
      <c r="Y5065" t="s">
        <v>3834</v>
      </c>
    </row>
    <row r="5066" spans="1:25" hidden="1" x14ac:dyDescent="0.25">
      <c r="A5066" t="s">
        <v>41</v>
      </c>
      <c r="B5066" t="s">
        <v>112</v>
      </c>
      <c r="C5066" t="s">
        <v>42</v>
      </c>
      <c r="D5066" t="s">
        <v>27</v>
      </c>
      <c r="E5066" s="2">
        <v>46133</v>
      </c>
      <c r="F5066" s="2">
        <v>46133</v>
      </c>
      <c r="G5066" s="3">
        <v>55</v>
      </c>
      <c r="H5066" t="s">
        <v>28</v>
      </c>
      <c r="I5066">
        <v>44</v>
      </c>
      <c r="J5066">
        <v>8</v>
      </c>
      <c r="K5066">
        <v>0</v>
      </c>
      <c r="L5066" s="3">
        <v>1</v>
      </c>
      <c r="M5066" s="3">
        <v>0</v>
      </c>
      <c r="N5066">
        <v>0</v>
      </c>
      <c r="O5066">
        <v>0</v>
      </c>
      <c r="P5066">
        <v>0</v>
      </c>
      <c r="Q5066">
        <v>0</v>
      </c>
      <c r="R5066" s="3">
        <v>0</v>
      </c>
      <c r="S5066" s="3">
        <v>0</v>
      </c>
      <c r="T5066">
        <v>0</v>
      </c>
      <c r="U5066">
        <v>0</v>
      </c>
      <c r="V5066" s="3">
        <v>0</v>
      </c>
      <c r="W5066" s="3">
        <v>0</v>
      </c>
      <c r="X5066">
        <v>0</v>
      </c>
      <c r="Y5066" t="s">
        <v>3835</v>
      </c>
    </row>
    <row r="5067" spans="1:25" hidden="1" x14ac:dyDescent="0.25">
      <c r="A5067" t="s">
        <v>43</v>
      </c>
      <c r="B5067" t="s">
        <v>114</v>
      </c>
      <c r="C5067" t="s">
        <v>241</v>
      </c>
      <c r="D5067" t="s">
        <v>27</v>
      </c>
      <c r="E5067" s="2">
        <v>46133</v>
      </c>
      <c r="F5067" s="2">
        <v>46133</v>
      </c>
      <c r="G5067" s="3">
        <v>27</v>
      </c>
      <c r="H5067" t="s">
        <v>28</v>
      </c>
      <c r="I5067">
        <v>91</v>
      </c>
      <c r="J5067">
        <v>0</v>
      </c>
      <c r="K5067">
        <v>0</v>
      </c>
      <c r="L5067" s="3">
        <v>1</v>
      </c>
      <c r="M5067" s="3">
        <v>0</v>
      </c>
      <c r="N5067">
        <v>0</v>
      </c>
      <c r="O5067">
        <v>0</v>
      </c>
      <c r="P5067">
        <v>0</v>
      </c>
      <c r="Q5067">
        <v>32</v>
      </c>
      <c r="R5067" s="3">
        <v>0</v>
      </c>
      <c r="S5067" s="3">
        <v>0</v>
      </c>
      <c r="T5067">
        <v>0</v>
      </c>
      <c r="U5067">
        <v>0</v>
      </c>
      <c r="V5067" s="3">
        <v>0</v>
      </c>
      <c r="W5067" s="3">
        <v>0</v>
      </c>
      <c r="X5067">
        <v>0</v>
      </c>
      <c r="Y5067" t="s">
        <v>3836</v>
      </c>
    </row>
    <row r="5068" spans="1:25" hidden="1" x14ac:dyDescent="0.25">
      <c r="A5068" t="s">
        <v>49</v>
      </c>
      <c r="B5068" t="s">
        <v>118</v>
      </c>
      <c r="C5068" t="s">
        <v>50</v>
      </c>
      <c r="D5068" t="s">
        <v>27</v>
      </c>
      <c r="E5068" s="2">
        <v>46133</v>
      </c>
      <c r="F5068" s="2">
        <v>46133</v>
      </c>
      <c r="G5068" s="3">
        <v>32</v>
      </c>
      <c r="H5068" t="s">
        <v>28</v>
      </c>
      <c r="I5068">
        <v>40</v>
      </c>
      <c r="J5068">
        <v>0</v>
      </c>
      <c r="K5068">
        <v>0</v>
      </c>
      <c r="L5068" s="3">
        <v>1</v>
      </c>
      <c r="M5068" s="3">
        <v>1</v>
      </c>
      <c r="N5068">
        <v>0</v>
      </c>
      <c r="O5068">
        <v>1</v>
      </c>
      <c r="P5068">
        <v>0</v>
      </c>
      <c r="Q5068">
        <v>40</v>
      </c>
      <c r="R5068" s="3">
        <v>0</v>
      </c>
      <c r="S5068" s="3">
        <v>0</v>
      </c>
      <c r="T5068">
        <v>0</v>
      </c>
      <c r="U5068">
        <v>0</v>
      </c>
      <c r="V5068" s="3">
        <v>0</v>
      </c>
      <c r="W5068" s="3">
        <v>0</v>
      </c>
      <c r="X5068">
        <v>0</v>
      </c>
      <c r="Y5068" t="s">
        <v>3837</v>
      </c>
    </row>
    <row r="5069" spans="1:25" hidden="1" x14ac:dyDescent="0.25">
      <c r="A5069" t="s">
        <v>54</v>
      </c>
      <c r="B5069" t="s">
        <v>122</v>
      </c>
      <c r="C5069" t="s">
        <v>2271</v>
      </c>
      <c r="D5069" t="s">
        <v>27</v>
      </c>
      <c r="E5069" s="2">
        <v>46133</v>
      </c>
      <c r="F5069" s="2">
        <v>46133</v>
      </c>
      <c r="G5069" s="3">
        <v>39</v>
      </c>
      <c r="H5069" t="s">
        <v>28</v>
      </c>
      <c r="I5069">
        <v>50</v>
      </c>
      <c r="J5069">
        <v>0</v>
      </c>
      <c r="K5069">
        <v>0</v>
      </c>
      <c r="L5069" s="3">
        <v>0</v>
      </c>
      <c r="M5069" s="3">
        <v>0</v>
      </c>
      <c r="N5069">
        <v>0</v>
      </c>
      <c r="O5069">
        <v>0</v>
      </c>
      <c r="P5069">
        <v>0</v>
      </c>
      <c r="Q5069">
        <v>2</v>
      </c>
      <c r="R5069" s="3">
        <v>0</v>
      </c>
      <c r="S5069" s="3">
        <v>0</v>
      </c>
      <c r="T5069">
        <v>0</v>
      </c>
      <c r="U5069">
        <v>0</v>
      </c>
      <c r="V5069" s="3">
        <v>0</v>
      </c>
      <c r="W5069" s="3">
        <v>0</v>
      </c>
      <c r="X5069">
        <v>0</v>
      </c>
      <c r="Y5069" t="s">
        <v>3711</v>
      </c>
    </row>
    <row r="5070" spans="1:25" hidden="1" x14ac:dyDescent="0.25">
      <c r="A5070" t="s">
        <v>48</v>
      </c>
      <c r="B5070" t="s">
        <v>123</v>
      </c>
      <c r="C5070" t="s">
        <v>2835</v>
      </c>
      <c r="D5070" t="s">
        <v>27</v>
      </c>
      <c r="E5070" s="2">
        <v>46133</v>
      </c>
      <c r="F5070" s="2">
        <v>46133</v>
      </c>
      <c r="G5070" s="3">
        <v>40</v>
      </c>
      <c r="H5070" t="s">
        <v>28</v>
      </c>
      <c r="I5070">
        <v>60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3711</v>
      </c>
    </row>
    <row r="5071" spans="1:25" hidden="1" x14ac:dyDescent="0.25">
      <c r="A5071" t="s">
        <v>51</v>
      </c>
      <c r="B5071" t="s">
        <v>98</v>
      </c>
      <c r="C5071" t="s">
        <v>27</v>
      </c>
      <c r="D5071" t="s">
        <v>27</v>
      </c>
      <c r="E5071" s="2">
        <v>46133</v>
      </c>
      <c r="F5071" s="2">
        <v>46133</v>
      </c>
      <c r="G5071" s="3">
        <v>41</v>
      </c>
      <c r="H5071" t="s">
        <v>2143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3711</v>
      </c>
    </row>
    <row r="5072" spans="1:25" hidden="1" x14ac:dyDescent="0.25">
      <c r="A5072" t="s">
        <v>27</v>
      </c>
      <c r="B5072" t="s">
        <v>125</v>
      </c>
      <c r="C5072" t="s">
        <v>44</v>
      </c>
      <c r="D5072" t="s">
        <v>27</v>
      </c>
      <c r="E5072" s="2">
        <v>46133</v>
      </c>
      <c r="F5072" s="2">
        <v>46133</v>
      </c>
      <c r="G5072" s="3">
        <v>42</v>
      </c>
      <c r="H5072" t="s">
        <v>2143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3711</v>
      </c>
    </row>
    <row r="5073" spans="1:25" hidden="1" x14ac:dyDescent="0.25">
      <c r="A5073" t="s">
        <v>27</v>
      </c>
      <c r="B5073" t="s">
        <v>3765</v>
      </c>
      <c r="C5073" t="s">
        <v>37</v>
      </c>
      <c r="D5073" t="s">
        <v>27</v>
      </c>
      <c r="E5073" s="2">
        <v>46133</v>
      </c>
      <c r="F5073" s="2">
        <v>46133</v>
      </c>
      <c r="G5073" s="3">
        <v>43</v>
      </c>
      <c r="H5073" t="s">
        <v>2143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3711</v>
      </c>
    </row>
    <row r="5074" spans="1:25" hidden="1" x14ac:dyDescent="0.25">
      <c r="A5074" t="s">
        <v>27</v>
      </c>
      <c r="B5074" t="s">
        <v>3766</v>
      </c>
      <c r="C5074" t="s">
        <v>57</v>
      </c>
      <c r="D5074" t="s">
        <v>27</v>
      </c>
      <c r="E5074" s="2">
        <v>46133</v>
      </c>
      <c r="F5074" s="2">
        <v>46133</v>
      </c>
      <c r="G5074" s="3">
        <v>44</v>
      </c>
      <c r="H5074" t="s">
        <v>1448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3711</v>
      </c>
    </row>
    <row r="5075" spans="1:25" hidden="1" x14ac:dyDescent="0.25">
      <c r="A5075" t="s">
        <v>45</v>
      </c>
      <c r="B5075" t="s">
        <v>116</v>
      </c>
      <c r="C5075" t="s">
        <v>27</v>
      </c>
      <c r="D5075" t="s">
        <v>27</v>
      </c>
      <c r="E5075" s="2">
        <v>46133</v>
      </c>
      <c r="F5075" s="2">
        <v>46133</v>
      </c>
      <c r="G5075" s="3">
        <v>45</v>
      </c>
      <c r="H5075" t="s">
        <v>1975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3711</v>
      </c>
    </row>
    <row r="5076" spans="1:25" hidden="1" x14ac:dyDescent="0.25">
      <c r="A5076" t="s">
        <v>27</v>
      </c>
      <c r="B5076" t="s">
        <v>104</v>
      </c>
      <c r="C5076" t="s">
        <v>95</v>
      </c>
      <c r="D5076" t="s">
        <v>27</v>
      </c>
      <c r="E5076" s="2">
        <v>46133</v>
      </c>
      <c r="F5076" s="2">
        <v>46133</v>
      </c>
      <c r="G5076" s="3">
        <v>46</v>
      </c>
      <c r="H5076" t="s">
        <v>1448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3711</v>
      </c>
    </row>
    <row r="5077" spans="1:25" hidden="1" x14ac:dyDescent="0.25">
      <c r="A5077" t="s">
        <v>25</v>
      </c>
      <c r="B5077" t="s">
        <v>2758</v>
      </c>
      <c r="C5077" t="s">
        <v>27</v>
      </c>
      <c r="D5077" t="s">
        <v>27</v>
      </c>
      <c r="E5077" s="2">
        <v>46133</v>
      </c>
      <c r="F5077" s="2">
        <v>46133</v>
      </c>
      <c r="G5077" s="3">
        <v>47</v>
      </c>
      <c r="H5077" t="s">
        <v>28</v>
      </c>
      <c r="I5077">
        <v>40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3711</v>
      </c>
    </row>
    <row r="5078" spans="1:25" hidden="1" x14ac:dyDescent="0.25">
      <c r="A5078" t="s">
        <v>2899</v>
      </c>
      <c r="B5078" t="s">
        <v>2760</v>
      </c>
      <c r="C5078" t="s">
        <v>27</v>
      </c>
      <c r="D5078" t="s">
        <v>27</v>
      </c>
      <c r="E5078" s="2">
        <v>46133</v>
      </c>
      <c r="F5078" s="2">
        <v>46133</v>
      </c>
      <c r="G5078" s="3">
        <v>48</v>
      </c>
      <c r="H5078" t="s">
        <v>28</v>
      </c>
      <c r="I5078">
        <v>50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3711</v>
      </c>
    </row>
    <row r="5079" spans="1:25" hidden="1" x14ac:dyDescent="0.25">
      <c r="A5079" t="s">
        <v>47</v>
      </c>
      <c r="B5079" t="s">
        <v>2762</v>
      </c>
      <c r="C5079" t="s">
        <v>27</v>
      </c>
      <c r="D5079" t="s">
        <v>27</v>
      </c>
      <c r="E5079" s="2">
        <v>46133</v>
      </c>
      <c r="F5079" s="2">
        <v>46133</v>
      </c>
      <c r="G5079" s="3">
        <v>49</v>
      </c>
      <c r="H5079" t="s">
        <v>763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t="s">
        <v>3711</v>
      </c>
    </row>
    <row r="5080" spans="1:25" hidden="1" x14ac:dyDescent="0.25">
      <c r="A5080" t="s">
        <v>27</v>
      </c>
      <c r="B5080" t="s">
        <v>2764</v>
      </c>
      <c r="C5080" t="s">
        <v>52</v>
      </c>
      <c r="D5080" t="s">
        <v>27</v>
      </c>
      <c r="E5080" s="2">
        <v>46133</v>
      </c>
      <c r="F5080" s="2">
        <v>46133</v>
      </c>
      <c r="G5080" s="3">
        <v>50</v>
      </c>
      <c r="H5080" t="s">
        <v>763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3711</v>
      </c>
    </row>
    <row r="5081" spans="1:25" hidden="1" x14ac:dyDescent="0.25">
      <c r="A5081" t="s">
        <v>54</v>
      </c>
      <c r="B5081" t="s">
        <v>122</v>
      </c>
      <c r="C5081" t="s">
        <v>55</v>
      </c>
      <c r="D5081" t="s">
        <v>27</v>
      </c>
      <c r="E5081" s="2">
        <v>46109</v>
      </c>
      <c r="F5081" s="2">
        <v>46109</v>
      </c>
      <c r="G5081" s="3">
        <v>39</v>
      </c>
      <c r="H5081" t="s">
        <v>28</v>
      </c>
      <c r="I5081">
        <v>0</v>
      </c>
      <c r="J5081">
        <v>0</v>
      </c>
      <c r="K5081">
        <v>0</v>
      </c>
      <c r="L5081" s="3">
        <v>0</v>
      </c>
      <c r="M5081" s="3">
        <v>0</v>
      </c>
      <c r="N5081">
        <v>0</v>
      </c>
      <c r="O5081">
        <v>0</v>
      </c>
      <c r="P5081">
        <v>0</v>
      </c>
      <c r="Q5081">
        <v>0</v>
      </c>
      <c r="R5081" s="3">
        <v>1</v>
      </c>
      <c r="S5081" s="3">
        <v>0</v>
      </c>
      <c r="T5081">
        <v>16</v>
      </c>
      <c r="U5081">
        <v>51</v>
      </c>
      <c r="V5081" s="3">
        <v>1</v>
      </c>
      <c r="W5081" s="3">
        <v>0</v>
      </c>
      <c r="X5081">
        <v>0</v>
      </c>
      <c r="Y5081" t="s">
        <v>3711</v>
      </c>
    </row>
    <row r="5082" spans="1:25" hidden="1" x14ac:dyDescent="0.25">
      <c r="A5082" t="s">
        <v>43</v>
      </c>
      <c r="B5082" t="s">
        <v>114</v>
      </c>
      <c r="C5082" t="s">
        <v>44</v>
      </c>
      <c r="D5082" t="s">
        <v>27</v>
      </c>
      <c r="E5082" s="2">
        <v>46111</v>
      </c>
      <c r="F5082" s="2">
        <v>46111</v>
      </c>
      <c r="G5082" s="3">
        <v>30</v>
      </c>
      <c r="H5082" t="s">
        <v>28</v>
      </c>
      <c r="I5082">
        <v>76</v>
      </c>
      <c r="J5082">
        <v>0</v>
      </c>
      <c r="K5082">
        <v>0</v>
      </c>
      <c r="L5082" s="3">
        <v>1</v>
      </c>
      <c r="M5082" s="3">
        <v>0</v>
      </c>
      <c r="N5082">
        <v>0</v>
      </c>
      <c r="O5082">
        <v>0</v>
      </c>
      <c r="P5082">
        <v>0</v>
      </c>
      <c r="Q5082">
        <v>21</v>
      </c>
      <c r="R5082" s="3">
        <v>0</v>
      </c>
      <c r="S5082" s="3">
        <v>0</v>
      </c>
      <c r="T5082">
        <v>0</v>
      </c>
      <c r="U5082">
        <v>0</v>
      </c>
      <c r="V5082" s="3">
        <v>0</v>
      </c>
      <c r="W5082" s="3">
        <v>0</v>
      </c>
      <c r="X5082">
        <v>0</v>
      </c>
      <c r="Y5082" t="s">
        <v>3503</v>
      </c>
    </row>
    <row r="5083" spans="1:25" hidden="1" x14ac:dyDescent="0.25">
      <c r="A5083" t="s">
        <v>25</v>
      </c>
      <c r="B5083" t="s">
        <v>96</v>
      </c>
      <c r="C5083" t="s">
        <v>26</v>
      </c>
      <c r="D5083" t="s">
        <v>27</v>
      </c>
      <c r="E5083" s="2">
        <v>46134</v>
      </c>
      <c r="F5083" s="2">
        <v>46134</v>
      </c>
      <c r="G5083" s="3">
        <v>50</v>
      </c>
      <c r="H5083" t="s">
        <v>28</v>
      </c>
      <c r="I5083">
        <v>101</v>
      </c>
      <c r="J5083">
        <v>0</v>
      </c>
      <c r="K5083">
        <v>0</v>
      </c>
      <c r="L5083" s="3">
        <v>0</v>
      </c>
      <c r="M5083" s="3">
        <v>1</v>
      </c>
      <c r="N5083">
        <v>1</v>
      </c>
      <c r="O5083">
        <v>0</v>
      </c>
      <c r="P5083">
        <v>0</v>
      </c>
      <c r="Q5083">
        <v>0</v>
      </c>
      <c r="R5083" s="3">
        <v>0</v>
      </c>
      <c r="S5083" s="3">
        <v>0</v>
      </c>
      <c r="T5083">
        <v>0</v>
      </c>
      <c r="U5083">
        <v>0</v>
      </c>
      <c r="V5083" s="3">
        <v>0</v>
      </c>
      <c r="W5083" s="3">
        <v>0</v>
      </c>
      <c r="X5083">
        <v>0</v>
      </c>
      <c r="Y5083" t="s">
        <v>3841</v>
      </c>
    </row>
    <row r="5084" spans="1:25" hidden="1" x14ac:dyDescent="0.25">
      <c r="A5084" t="s">
        <v>29</v>
      </c>
      <c r="B5084" t="s">
        <v>100</v>
      </c>
      <c r="C5084" t="s">
        <v>95</v>
      </c>
      <c r="D5084" t="s">
        <v>27</v>
      </c>
      <c r="E5084" s="2">
        <v>46134</v>
      </c>
      <c r="F5084" s="2">
        <v>46134</v>
      </c>
      <c r="G5084" s="3">
        <v>45</v>
      </c>
      <c r="H5084" t="s">
        <v>28</v>
      </c>
      <c r="I5084">
        <v>46</v>
      </c>
      <c r="J5084">
        <v>0</v>
      </c>
      <c r="K5084">
        <v>0</v>
      </c>
      <c r="L5084" s="3">
        <v>0</v>
      </c>
      <c r="M5084" s="3">
        <v>0</v>
      </c>
      <c r="N5084">
        <v>0</v>
      </c>
      <c r="O5084">
        <v>0</v>
      </c>
      <c r="P5084">
        <v>0</v>
      </c>
      <c r="Q5084">
        <v>12</v>
      </c>
      <c r="R5084" s="3">
        <v>0</v>
      </c>
      <c r="S5084" s="3">
        <v>0</v>
      </c>
      <c r="T5084">
        <v>0</v>
      </c>
      <c r="U5084">
        <v>0</v>
      </c>
      <c r="V5084" s="3">
        <v>0</v>
      </c>
      <c r="W5084" s="3">
        <v>0</v>
      </c>
      <c r="X5084">
        <v>0</v>
      </c>
      <c r="Y5084" t="s">
        <v>3842</v>
      </c>
    </row>
    <row r="5085" spans="1:25" hidden="1" x14ac:dyDescent="0.25">
      <c r="A5085" t="s">
        <v>344</v>
      </c>
      <c r="B5085" t="s">
        <v>100</v>
      </c>
      <c r="C5085" t="s">
        <v>35</v>
      </c>
      <c r="D5085" t="s">
        <v>27</v>
      </c>
      <c r="E5085" s="2">
        <v>46134</v>
      </c>
      <c r="F5085" s="2">
        <v>46134</v>
      </c>
      <c r="G5085" s="3">
        <v>45</v>
      </c>
      <c r="H5085" t="s">
        <v>28</v>
      </c>
      <c r="I5085">
        <v>46</v>
      </c>
      <c r="J5085">
        <v>0</v>
      </c>
      <c r="K5085">
        <v>0</v>
      </c>
      <c r="L5085" s="3">
        <v>0</v>
      </c>
      <c r="M5085" s="3">
        <v>0</v>
      </c>
      <c r="N5085">
        <v>0</v>
      </c>
      <c r="O5085">
        <v>0</v>
      </c>
      <c r="P5085">
        <v>0</v>
      </c>
      <c r="Q5085">
        <v>12</v>
      </c>
      <c r="R5085" s="3">
        <v>0</v>
      </c>
      <c r="S5085" s="3">
        <v>0</v>
      </c>
      <c r="T5085">
        <v>0</v>
      </c>
      <c r="U5085">
        <v>0</v>
      </c>
      <c r="V5085" s="3">
        <v>0</v>
      </c>
      <c r="W5085" s="3">
        <v>0</v>
      </c>
      <c r="X5085">
        <v>0</v>
      </c>
      <c r="Y5085" t="s">
        <v>3842</v>
      </c>
    </row>
    <row r="5086" spans="1:25" hidden="1" x14ac:dyDescent="0.25">
      <c r="A5086" t="s">
        <v>31</v>
      </c>
      <c r="B5086" t="s">
        <v>104</v>
      </c>
      <c r="C5086" t="s">
        <v>32</v>
      </c>
      <c r="D5086" t="s">
        <v>27</v>
      </c>
      <c r="E5086" s="2">
        <v>46134</v>
      </c>
      <c r="F5086" s="2">
        <v>46134</v>
      </c>
      <c r="G5086" s="3">
        <v>34</v>
      </c>
      <c r="H5086" t="s">
        <v>28</v>
      </c>
      <c r="I5086">
        <v>85</v>
      </c>
      <c r="J5086">
        <v>0</v>
      </c>
      <c r="K5086">
        <v>0</v>
      </c>
      <c r="L5086" s="3">
        <v>1</v>
      </c>
      <c r="M5086" s="3">
        <v>0</v>
      </c>
      <c r="N5086">
        <v>0</v>
      </c>
      <c r="O5086">
        <v>0</v>
      </c>
      <c r="P5086">
        <v>0</v>
      </c>
      <c r="Q5086">
        <v>30</v>
      </c>
      <c r="R5086" s="3">
        <v>0</v>
      </c>
      <c r="S5086" s="3">
        <v>0</v>
      </c>
      <c r="T5086">
        <v>0</v>
      </c>
      <c r="U5086">
        <v>0</v>
      </c>
      <c r="V5086" s="3">
        <v>0</v>
      </c>
      <c r="W5086" s="3">
        <v>0</v>
      </c>
      <c r="X5086">
        <v>0</v>
      </c>
      <c r="Y5086" t="s">
        <v>3843</v>
      </c>
    </row>
    <row r="5087" spans="1:25" hidden="1" x14ac:dyDescent="0.25">
      <c r="A5087" t="s">
        <v>33</v>
      </c>
      <c r="B5087" t="s">
        <v>106</v>
      </c>
      <c r="C5087" t="s">
        <v>57</v>
      </c>
      <c r="D5087" t="s">
        <v>27</v>
      </c>
      <c r="E5087" s="2">
        <v>46134</v>
      </c>
      <c r="F5087" s="2">
        <v>46134</v>
      </c>
      <c r="G5087" s="3">
        <v>33</v>
      </c>
      <c r="H5087" t="s">
        <v>28</v>
      </c>
      <c r="I5087">
        <v>33</v>
      </c>
      <c r="J5087">
        <v>0</v>
      </c>
      <c r="K5087">
        <v>0</v>
      </c>
      <c r="L5087" s="3">
        <v>0</v>
      </c>
      <c r="M5087" s="3">
        <v>0</v>
      </c>
      <c r="N5087">
        <v>0</v>
      </c>
      <c r="O5087">
        <v>0</v>
      </c>
      <c r="P5087">
        <v>0</v>
      </c>
      <c r="Q5087">
        <v>21</v>
      </c>
      <c r="R5087" s="3">
        <v>0</v>
      </c>
      <c r="S5087" s="3">
        <v>0</v>
      </c>
      <c r="T5087">
        <v>0</v>
      </c>
      <c r="U5087">
        <v>0</v>
      </c>
      <c r="V5087" s="3">
        <v>0</v>
      </c>
      <c r="W5087" s="3">
        <v>0</v>
      </c>
      <c r="X5087">
        <v>0</v>
      </c>
      <c r="Y5087" t="s">
        <v>3844</v>
      </c>
    </row>
    <row r="5088" spans="1:25" hidden="1" x14ac:dyDescent="0.25">
      <c r="A5088" t="s">
        <v>36</v>
      </c>
      <c r="B5088" t="s">
        <v>249</v>
      </c>
      <c r="C5088" t="s">
        <v>2514</v>
      </c>
      <c r="D5088" t="s">
        <v>27</v>
      </c>
      <c r="E5088" s="2">
        <v>46134</v>
      </c>
      <c r="F5088" s="2">
        <v>46134</v>
      </c>
      <c r="G5088" s="3">
        <v>48</v>
      </c>
      <c r="H5088" t="s">
        <v>28</v>
      </c>
      <c r="I5088">
        <v>56</v>
      </c>
      <c r="J5088">
        <v>0</v>
      </c>
      <c r="K5088">
        <v>0</v>
      </c>
      <c r="L5088" s="3">
        <v>1</v>
      </c>
      <c r="M5088" s="3">
        <v>0</v>
      </c>
      <c r="N5088">
        <v>0</v>
      </c>
      <c r="O5088">
        <v>0</v>
      </c>
      <c r="P5088">
        <v>0</v>
      </c>
      <c r="Q5088">
        <v>25</v>
      </c>
      <c r="R5088" s="3">
        <v>0</v>
      </c>
      <c r="S5088" s="3">
        <v>0</v>
      </c>
      <c r="T5088">
        <v>0</v>
      </c>
      <c r="U5088">
        <v>0</v>
      </c>
      <c r="V5088" s="3">
        <v>0</v>
      </c>
      <c r="W5088" s="3">
        <v>0</v>
      </c>
      <c r="X5088">
        <v>0</v>
      </c>
      <c r="Y5088" t="s">
        <v>3845</v>
      </c>
    </row>
    <row r="5089" spans="1:25" hidden="1" x14ac:dyDescent="0.25">
      <c r="A5089" t="s">
        <v>38</v>
      </c>
      <c r="B5089" t="s">
        <v>108</v>
      </c>
      <c r="C5089" t="s">
        <v>27</v>
      </c>
      <c r="D5089" t="s">
        <v>27</v>
      </c>
      <c r="E5089" s="2">
        <v>46134</v>
      </c>
      <c r="F5089" s="2">
        <v>46134</v>
      </c>
      <c r="G5089" s="3">
        <v>54</v>
      </c>
      <c r="H5089" t="s">
        <v>28</v>
      </c>
      <c r="I5089">
        <v>50</v>
      </c>
      <c r="J5089">
        <v>0</v>
      </c>
      <c r="K5089">
        <v>0</v>
      </c>
      <c r="L5089" s="3">
        <v>1</v>
      </c>
      <c r="M5089" s="3">
        <v>0</v>
      </c>
      <c r="N5089">
        <v>0</v>
      </c>
      <c r="O5089">
        <v>0</v>
      </c>
      <c r="P5089">
        <v>0</v>
      </c>
      <c r="Q5089">
        <v>50</v>
      </c>
      <c r="R5089" s="3">
        <v>0</v>
      </c>
      <c r="S5089" s="3">
        <v>0</v>
      </c>
      <c r="T5089">
        <v>1</v>
      </c>
      <c r="U5089">
        <v>1</v>
      </c>
      <c r="V5089" s="3">
        <v>0</v>
      </c>
      <c r="W5089" s="3">
        <v>0</v>
      </c>
      <c r="X5089">
        <v>0</v>
      </c>
      <c r="Y5089" t="s">
        <v>3846</v>
      </c>
    </row>
    <row r="5090" spans="1:25" hidden="1" x14ac:dyDescent="0.25">
      <c r="A5090" t="s">
        <v>2679</v>
      </c>
      <c r="B5090" t="s">
        <v>2680</v>
      </c>
      <c r="C5090" t="s">
        <v>39</v>
      </c>
      <c r="D5090" t="s">
        <v>27</v>
      </c>
      <c r="E5090" s="2">
        <v>46134</v>
      </c>
      <c r="F5090" s="2">
        <v>46134</v>
      </c>
      <c r="G5090" s="3">
        <v>35</v>
      </c>
      <c r="H5090" t="s">
        <v>28</v>
      </c>
      <c r="I5090">
        <v>48</v>
      </c>
      <c r="J5090">
        <v>0</v>
      </c>
      <c r="K5090">
        <v>0</v>
      </c>
      <c r="L5090" s="3">
        <v>0</v>
      </c>
      <c r="M5090" s="3">
        <v>0</v>
      </c>
      <c r="N5090">
        <v>0</v>
      </c>
      <c r="O5090">
        <v>0</v>
      </c>
      <c r="P5090">
        <v>0</v>
      </c>
      <c r="Q5090">
        <v>48</v>
      </c>
      <c r="R5090" s="3">
        <v>0</v>
      </c>
      <c r="S5090" s="3">
        <v>0</v>
      </c>
      <c r="T5090">
        <v>0</v>
      </c>
      <c r="U5090">
        <v>0</v>
      </c>
      <c r="V5090" s="3">
        <v>0</v>
      </c>
      <c r="W5090" s="3">
        <v>0</v>
      </c>
      <c r="X5090">
        <v>0</v>
      </c>
      <c r="Y5090" t="s">
        <v>3847</v>
      </c>
    </row>
    <row r="5091" spans="1:25" hidden="1" x14ac:dyDescent="0.25">
      <c r="A5091" t="s">
        <v>40</v>
      </c>
      <c r="B5091" t="s">
        <v>110</v>
      </c>
      <c r="C5091" t="s">
        <v>2534</v>
      </c>
      <c r="D5091" t="s">
        <v>27</v>
      </c>
      <c r="E5091" s="2">
        <v>46134</v>
      </c>
      <c r="F5091" s="2">
        <v>46134</v>
      </c>
      <c r="G5091" s="3">
        <v>38</v>
      </c>
      <c r="H5091" t="s">
        <v>28</v>
      </c>
      <c r="I5091">
        <v>46</v>
      </c>
      <c r="J5091">
        <v>0</v>
      </c>
      <c r="K5091">
        <v>0</v>
      </c>
      <c r="L5091" s="3">
        <v>1</v>
      </c>
      <c r="M5091" s="3">
        <v>0</v>
      </c>
      <c r="N5091">
        <v>1</v>
      </c>
      <c r="O5091">
        <v>0</v>
      </c>
      <c r="P5091">
        <v>0</v>
      </c>
      <c r="Q5091">
        <v>40</v>
      </c>
      <c r="R5091" s="3">
        <v>0</v>
      </c>
      <c r="S5091" s="3">
        <v>0</v>
      </c>
      <c r="T5091">
        <v>0</v>
      </c>
      <c r="U5091">
        <v>0</v>
      </c>
      <c r="V5091" s="3">
        <v>0</v>
      </c>
      <c r="W5091" s="3">
        <v>0</v>
      </c>
      <c r="X5091">
        <v>0</v>
      </c>
      <c r="Y5091" t="s">
        <v>3848</v>
      </c>
    </row>
    <row r="5092" spans="1:25" hidden="1" x14ac:dyDescent="0.25">
      <c r="A5092" t="s">
        <v>1316</v>
      </c>
      <c r="B5092" t="s">
        <v>1348</v>
      </c>
      <c r="C5092" t="s">
        <v>46</v>
      </c>
      <c r="D5092" t="s">
        <v>27</v>
      </c>
      <c r="E5092" s="2">
        <v>46134</v>
      </c>
      <c r="F5092" s="2">
        <v>46134</v>
      </c>
      <c r="G5092" s="3">
        <v>140</v>
      </c>
      <c r="H5092" t="s">
        <v>28</v>
      </c>
      <c r="I5092">
        <v>63</v>
      </c>
      <c r="J5092">
        <v>0</v>
      </c>
      <c r="K5092">
        <v>0</v>
      </c>
      <c r="L5092" s="3">
        <v>1</v>
      </c>
      <c r="M5092" s="3">
        <v>0</v>
      </c>
      <c r="N5092">
        <v>0</v>
      </c>
      <c r="O5092">
        <v>0</v>
      </c>
      <c r="P5092">
        <v>0</v>
      </c>
      <c r="Q5092">
        <v>20</v>
      </c>
      <c r="R5092" s="3">
        <v>0</v>
      </c>
      <c r="S5092" s="3">
        <v>0</v>
      </c>
      <c r="T5092">
        <v>0</v>
      </c>
      <c r="U5092">
        <v>0</v>
      </c>
      <c r="V5092" s="3">
        <v>0</v>
      </c>
      <c r="W5092" s="3">
        <v>0</v>
      </c>
      <c r="X5092">
        <v>0</v>
      </c>
      <c r="Y5092" t="s">
        <v>3849</v>
      </c>
    </row>
    <row r="5093" spans="1:25" hidden="1" x14ac:dyDescent="0.25">
      <c r="A5093" t="s">
        <v>41</v>
      </c>
      <c r="B5093" t="s">
        <v>112</v>
      </c>
      <c r="C5093" t="s">
        <v>42</v>
      </c>
      <c r="D5093" t="s">
        <v>27</v>
      </c>
      <c r="E5093" s="2">
        <v>46134</v>
      </c>
      <c r="F5093" s="2">
        <v>46134</v>
      </c>
      <c r="G5093" s="3">
        <v>37</v>
      </c>
      <c r="H5093" t="s">
        <v>28</v>
      </c>
      <c r="I5093">
        <v>29</v>
      </c>
      <c r="J5093">
        <v>0</v>
      </c>
      <c r="K5093">
        <v>0</v>
      </c>
      <c r="L5093" s="3">
        <v>1</v>
      </c>
      <c r="M5093" s="3">
        <v>0</v>
      </c>
      <c r="N5093">
        <v>0</v>
      </c>
      <c r="O5093">
        <v>0</v>
      </c>
      <c r="P5093">
        <v>0</v>
      </c>
      <c r="Q5093">
        <v>0</v>
      </c>
      <c r="R5093" s="3">
        <v>0</v>
      </c>
      <c r="S5093" s="3">
        <v>0</v>
      </c>
      <c r="T5093">
        <v>0</v>
      </c>
      <c r="U5093">
        <v>0</v>
      </c>
      <c r="V5093" s="3">
        <v>0</v>
      </c>
      <c r="W5093" s="3">
        <v>0</v>
      </c>
      <c r="X5093">
        <v>0</v>
      </c>
      <c r="Y5093" t="s">
        <v>3850</v>
      </c>
    </row>
    <row r="5094" spans="1:25" hidden="1" x14ac:dyDescent="0.25">
      <c r="A5094" t="s">
        <v>43</v>
      </c>
      <c r="B5094" t="s">
        <v>114</v>
      </c>
      <c r="C5094" t="s">
        <v>44</v>
      </c>
      <c r="D5094" t="s">
        <v>27</v>
      </c>
      <c r="E5094" s="2">
        <v>46134</v>
      </c>
      <c r="F5094" s="2">
        <v>46134</v>
      </c>
      <c r="G5094" s="3">
        <v>31</v>
      </c>
      <c r="H5094" t="s">
        <v>28</v>
      </c>
      <c r="I5094">
        <v>74</v>
      </c>
      <c r="J5094">
        <v>0</v>
      </c>
      <c r="K5094">
        <v>0</v>
      </c>
      <c r="L5094" s="3">
        <v>1</v>
      </c>
      <c r="M5094" s="3">
        <v>0</v>
      </c>
      <c r="N5094">
        <v>0</v>
      </c>
      <c r="O5094">
        <v>0</v>
      </c>
      <c r="P5094">
        <v>0</v>
      </c>
      <c r="Q5094">
        <v>32</v>
      </c>
      <c r="R5094" s="3">
        <v>0</v>
      </c>
      <c r="S5094" s="3">
        <v>0</v>
      </c>
      <c r="T5094">
        <v>0</v>
      </c>
      <c r="U5094">
        <v>0</v>
      </c>
      <c r="V5094" s="3">
        <v>0</v>
      </c>
      <c r="W5094" s="3">
        <v>0</v>
      </c>
      <c r="X5094">
        <v>0</v>
      </c>
      <c r="Y5094" t="s">
        <v>3851</v>
      </c>
    </row>
    <row r="5095" spans="1:25" hidden="1" x14ac:dyDescent="0.25">
      <c r="A5095" t="s">
        <v>49</v>
      </c>
      <c r="B5095" t="s">
        <v>118</v>
      </c>
      <c r="C5095" t="s">
        <v>50</v>
      </c>
      <c r="D5095" t="s">
        <v>27</v>
      </c>
      <c r="E5095" s="2">
        <v>46134</v>
      </c>
      <c r="F5095" s="2">
        <v>46134</v>
      </c>
      <c r="G5095" s="3">
        <v>36</v>
      </c>
      <c r="H5095" t="s">
        <v>28</v>
      </c>
      <c r="I5095">
        <v>26</v>
      </c>
      <c r="J5095">
        <v>0</v>
      </c>
      <c r="K5095">
        <v>0</v>
      </c>
      <c r="L5095" s="3">
        <v>1</v>
      </c>
      <c r="M5095" s="3">
        <v>1</v>
      </c>
      <c r="N5095">
        <v>0</v>
      </c>
      <c r="O5095">
        <v>0</v>
      </c>
      <c r="P5095">
        <v>0</v>
      </c>
      <c r="Q5095">
        <v>26</v>
      </c>
      <c r="R5095" s="3">
        <v>0</v>
      </c>
      <c r="S5095" s="3">
        <v>0</v>
      </c>
      <c r="T5095">
        <v>0</v>
      </c>
      <c r="U5095">
        <v>0</v>
      </c>
      <c r="V5095" s="3">
        <v>0</v>
      </c>
      <c r="W5095" s="3">
        <v>0</v>
      </c>
      <c r="X5095">
        <v>0</v>
      </c>
      <c r="Y5095" t="s">
        <v>3852</v>
      </c>
    </row>
    <row r="5096" spans="1:25" hidden="1" x14ac:dyDescent="0.25">
      <c r="A5096" t="s">
        <v>51</v>
      </c>
      <c r="B5096" t="s">
        <v>120</v>
      </c>
      <c r="C5096" t="s">
        <v>2310</v>
      </c>
      <c r="D5096" t="s">
        <v>27</v>
      </c>
      <c r="E5096" s="2">
        <v>46134</v>
      </c>
      <c r="F5096" s="2">
        <v>46134</v>
      </c>
      <c r="G5096" s="3">
        <v>100</v>
      </c>
      <c r="H5096" t="s">
        <v>28</v>
      </c>
      <c r="I5096">
        <v>57</v>
      </c>
      <c r="J5096">
        <v>0</v>
      </c>
      <c r="K5096">
        <v>0</v>
      </c>
      <c r="L5096" s="3">
        <v>1</v>
      </c>
      <c r="M5096" s="3">
        <v>0</v>
      </c>
      <c r="N5096">
        <v>0</v>
      </c>
      <c r="O5096">
        <v>0</v>
      </c>
      <c r="P5096">
        <v>0</v>
      </c>
      <c r="Q5096">
        <v>6</v>
      </c>
      <c r="R5096" s="3">
        <v>0</v>
      </c>
      <c r="S5096" s="3">
        <v>0</v>
      </c>
      <c r="T5096">
        <v>0</v>
      </c>
      <c r="U5096">
        <v>0</v>
      </c>
      <c r="V5096" s="3">
        <v>0</v>
      </c>
      <c r="W5096" s="3">
        <v>0</v>
      </c>
      <c r="X5096">
        <v>0</v>
      </c>
      <c r="Y5096" t="s">
        <v>3853</v>
      </c>
    </row>
    <row r="5097" spans="1:25" x14ac:dyDescent="0.25">
      <c r="A5097" t="s">
        <v>54</v>
      </c>
      <c r="B5097" t="s">
        <v>122</v>
      </c>
      <c r="C5097" t="s">
        <v>2271</v>
      </c>
      <c r="D5097" t="s">
        <v>27</v>
      </c>
      <c r="E5097" s="2">
        <v>46134</v>
      </c>
      <c r="F5097" s="2">
        <v>46134</v>
      </c>
      <c r="G5097" s="3">
        <v>37</v>
      </c>
      <c r="H5097" t="s">
        <v>28</v>
      </c>
      <c r="I5097">
        <v>33</v>
      </c>
      <c r="J5097">
        <v>0</v>
      </c>
      <c r="K5097">
        <v>0</v>
      </c>
      <c r="L5097" s="3">
        <v>0</v>
      </c>
      <c r="M5097" s="3">
        <v>0</v>
      </c>
      <c r="N5097">
        <v>0</v>
      </c>
      <c r="O5097">
        <v>0</v>
      </c>
      <c r="P5097">
        <v>0</v>
      </c>
      <c r="Q5097">
        <v>2</v>
      </c>
      <c r="R5097" s="3">
        <v>0</v>
      </c>
      <c r="S5097" s="3">
        <v>0</v>
      </c>
      <c r="T5097">
        <v>0</v>
      </c>
      <c r="U5097">
        <v>0</v>
      </c>
      <c r="V5097" s="3">
        <v>0</v>
      </c>
      <c r="W5097" s="3">
        <v>0</v>
      </c>
      <c r="X5097">
        <v>0</v>
      </c>
      <c r="Y5097" t="s">
        <v>3854</v>
      </c>
    </row>
    <row r="5098" spans="1:25" hidden="1" x14ac:dyDescent="0.25">
      <c r="A5098" t="s">
        <v>48</v>
      </c>
      <c r="B5098" t="s">
        <v>149</v>
      </c>
      <c r="C5098" t="s">
        <v>37</v>
      </c>
      <c r="D5098" t="s">
        <v>27</v>
      </c>
      <c r="E5098" s="2">
        <v>46134</v>
      </c>
      <c r="F5098" s="2">
        <v>46134</v>
      </c>
      <c r="G5098" s="3">
        <v>28</v>
      </c>
      <c r="H5098" t="s">
        <v>28</v>
      </c>
      <c r="I5098">
        <v>68</v>
      </c>
      <c r="J5098">
        <v>0</v>
      </c>
      <c r="K5098">
        <v>0</v>
      </c>
      <c r="L5098" s="3">
        <v>1</v>
      </c>
      <c r="M5098" s="3">
        <v>0</v>
      </c>
      <c r="N5098">
        <v>0</v>
      </c>
      <c r="O5098">
        <v>0</v>
      </c>
      <c r="P5098">
        <v>0</v>
      </c>
      <c r="Q5098">
        <v>0</v>
      </c>
      <c r="R5098" s="3">
        <v>0</v>
      </c>
      <c r="S5098" s="3">
        <v>0</v>
      </c>
      <c r="T5098">
        <v>0</v>
      </c>
      <c r="U5098">
        <v>0</v>
      </c>
      <c r="V5098" s="3">
        <v>0</v>
      </c>
      <c r="W5098" s="3">
        <v>0</v>
      </c>
      <c r="X5098">
        <v>0</v>
      </c>
      <c r="Y5098" t="s">
        <v>3855</v>
      </c>
    </row>
    <row r="5099" spans="1:25" hidden="1" x14ac:dyDescent="0.25">
      <c r="A5099" t="s">
        <v>45</v>
      </c>
      <c r="B5099" t="s">
        <v>149</v>
      </c>
      <c r="C5099" t="s">
        <v>27</v>
      </c>
      <c r="D5099" t="s">
        <v>27</v>
      </c>
      <c r="E5099" s="2">
        <v>46134</v>
      </c>
      <c r="F5099" s="2">
        <v>46134</v>
      </c>
      <c r="G5099" s="3">
        <v>53</v>
      </c>
      <c r="H5099" t="s">
        <v>1975</v>
      </c>
      <c r="I5099">
        <v>0</v>
      </c>
      <c r="J5099">
        <v>0</v>
      </c>
      <c r="K5099">
        <v>0</v>
      </c>
      <c r="L5099" s="3">
        <v>0</v>
      </c>
      <c r="M5099" s="3">
        <v>0</v>
      </c>
      <c r="N5099">
        <v>0</v>
      </c>
      <c r="O5099">
        <v>0</v>
      </c>
      <c r="P5099">
        <v>0</v>
      </c>
      <c r="Q5099">
        <v>0</v>
      </c>
      <c r="R5099" s="3">
        <v>0</v>
      </c>
      <c r="S5099" s="3">
        <v>0</v>
      </c>
      <c r="T5099">
        <v>0</v>
      </c>
      <c r="U5099">
        <v>0</v>
      </c>
      <c r="V5099" s="3">
        <v>0</v>
      </c>
      <c r="W5099" s="3">
        <v>0</v>
      </c>
      <c r="X5099">
        <v>0</v>
      </c>
      <c r="Y5099" t="s">
        <v>3856</v>
      </c>
    </row>
    <row r="5100" spans="1:25" hidden="1" x14ac:dyDescent="0.25">
      <c r="A5100" t="s">
        <v>27</v>
      </c>
      <c r="B5100" t="s">
        <v>739</v>
      </c>
      <c r="C5100" t="s">
        <v>52</v>
      </c>
      <c r="D5100" t="s">
        <v>27</v>
      </c>
      <c r="E5100" s="2">
        <v>46134</v>
      </c>
      <c r="F5100" s="2">
        <v>46134</v>
      </c>
      <c r="G5100" s="3">
        <v>54</v>
      </c>
      <c r="H5100" t="s">
        <v>180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 t="s">
        <v>3856</v>
      </c>
    </row>
    <row r="5101" spans="1:25" hidden="1" x14ac:dyDescent="0.25">
      <c r="A5101" t="s">
        <v>47</v>
      </c>
      <c r="B5101" t="s">
        <v>755</v>
      </c>
      <c r="C5101" t="s">
        <v>27</v>
      </c>
      <c r="D5101" t="s">
        <v>27</v>
      </c>
      <c r="E5101" s="2">
        <v>46134</v>
      </c>
      <c r="F5101" s="2">
        <v>46134</v>
      </c>
      <c r="G5101" s="3">
        <v>55</v>
      </c>
      <c r="H5101" t="s">
        <v>180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 t="s">
        <v>3856</v>
      </c>
    </row>
    <row r="5102" spans="1:25" hidden="1" x14ac:dyDescent="0.25">
      <c r="A5102" s="1" t="s">
        <v>2899</v>
      </c>
      <c r="B5102" t="s">
        <v>758</v>
      </c>
      <c r="C5102" t="s">
        <v>27</v>
      </c>
      <c r="D5102" t="s">
        <v>27</v>
      </c>
      <c r="E5102" s="2">
        <v>46134</v>
      </c>
      <c r="F5102" s="2">
        <v>46134</v>
      </c>
      <c r="G5102" s="3">
        <v>56</v>
      </c>
      <c r="H5102" t="s">
        <v>1448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 t="s">
        <v>3856</v>
      </c>
    </row>
    <row r="5103" spans="1:25" hidden="1" x14ac:dyDescent="0.25">
      <c r="A5103" t="s">
        <v>438</v>
      </c>
      <c r="B5103" t="s">
        <v>798</v>
      </c>
      <c r="C5103" t="s">
        <v>27</v>
      </c>
      <c r="D5103" t="s">
        <v>27</v>
      </c>
      <c r="E5103" s="2">
        <v>46134</v>
      </c>
      <c r="F5103" s="2">
        <v>46134</v>
      </c>
      <c r="G5103" s="3">
        <v>57</v>
      </c>
      <c r="H5103" t="s">
        <v>1256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t="s">
        <v>3856</v>
      </c>
    </row>
    <row r="5104" spans="1:25" hidden="1" x14ac:dyDescent="0.25">
      <c r="A5104" t="s">
        <v>55</v>
      </c>
      <c r="B5104" t="s">
        <v>2072</v>
      </c>
      <c r="C5104" s="1" t="s">
        <v>2835</v>
      </c>
      <c r="D5104" t="s">
        <v>27</v>
      </c>
      <c r="E5104" s="2">
        <v>46134</v>
      </c>
      <c r="F5104" s="2">
        <v>46134</v>
      </c>
      <c r="G5104" s="3">
        <v>28</v>
      </c>
      <c r="H5104" t="s">
        <v>28</v>
      </c>
      <c r="I5104">
        <v>29</v>
      </c>
      <c r="J5104">
        <v>0</v>
      </c>
      <c r="K5104">
        <v>0</v>
      </c>
      <c r="L5104" s="3">
        <v>1</v>
      </c>
      <c r="M5104" s="3">
        <v>0</v>
      </c>
      <c r="N5104">
        <v>1</v>
      </c>
      <c r="O5104">
        <v>0</v>
      </c>
      <c r="P5104">
        <v>0</v>
      </c>
      <c r="Q5104">
        <v>0</v>
      </c>
      <c r="R5104" s="3">
        <v>0</v>
      </c>
      <c r="S5104" s="3">
        <v>0</v>
      </c>
      <c r="T5104">
        <v>0</v>
      </c>
      <c r="U5104">
        <v>0</v>
      </c>
      <c r="V5104" s="3">
        <v>0</v>
      </c>
      <c r="W5104" s="3">
        <v>0</v>
      </c>
      <c r="X5104">
        <v>0</v>
      </c>
      <c r="Y5104" t="s">
        <v>3857</v>
      </c>
    </row>
    <row r="5105" spans="1:25" hidden="1" x14ac:dyDescent="0.25">
      <c r="A5105" t="s">
        <v>25</v>
      </c>
      <c r="B5105" t="s">
        <v>96</v>
      </c>
      <c r="C5105" t="s">
        <v>2514</v>
      </c>
      <c r="D5105" t="s">
        <v>27</v>
      </c>
      <c r="E5105" s="2">
        <v>46135</v>
      </c>
      <c r="F5105" s="2">
        <v>46135</v>
      </c>
      <c r="G5105" s="3">
        <v>38</v>
      </c>
      <c r="H5105" t="s">
        <v>28</v>
      </c>
      <c r="I5105">
        <v>42</v>
      </c>
      <c r="J5105">
        <v>0</v>
      </c>
      <c r="K5105">
        <v>0</v>
      </c>
      <c r="L5105" s="3">
        <v>1</v>
      </c>
      <c r="M5105" s="3">
        <v>0</v>
      </c>
      <c r="N5105">
        <v>0</v>
      </c>
      <c r="O5105">
        <v>0</v>
      </c>
      <c r="P5105">
        <v>0</v>
      </c>
      <c r="Q5105">
        <v>0</v>
      </c>
      <c r="R5105" s="3">
        <v>0</v>
      </c>
      <c r="S5105" s="3">
        <v>0</v>
      </c>
      <c r="T5105">
        <v>42</v>
      </c>
      <c r="U5105">
        <v>0</v>
      </c>
      <c r="V5105" s="3">
        <v>0</v>
      </c>
      <c r="W5105" s="3">
        <v>0</v>
      </c>
      <c r="X5105">
        <v>0</v>
      </c>
      <c r="Y5105" t="s">
        <v>3858</v>
      </c>
    </row>
    <row r="5106" spans="1:25" hidden="1" x14ac:dyDescent="0.25">
      <c r="A5106" t="s">
        <v>29</v>
      </c>
      <c r="B5106" t="s">
        <v>100</v>
      </c>
      <c r="C5106" t="s">
        <v>95</v>
      </c>
      <c r="D5106" t="s">
        <v>27</v>
      </c>
      <c r="E5106" s="2">
        <v>46135</v>
      </c>
      <c r="F5106" s="2">
        <v>46135</v>
      </c>
      <c r="G5106" s="3">
        <v>45</v>
      </c>
      <c r="H5106" t="s">
        <v>28</v>
      </c>
      <c r="I5106">
        <v>46</v>
      </c>
      <c r="J5106">
        <v>0</v>
      </c>
      <c r="K5106">
        <v>0</v>
      </c>
      <c r="L5106" s="3">
        <v>0</v>
      </c>
      <c r="M5106" s="3">
        <v>0</v>
      </c>
      <c r="N5106">
        <v>0</v>
      </c>
      <c r="O5106">
        <v>0</v>
      </c>
      <c r="P5106">
        <v>0</v>
      </c>
      <c r="Q5106">
        <v>12</v>
      </c>
      <c r="R5106" s="3">
        <v>0</v>
      </c>
      <c r="S5106" s="3">
        <v>0</v>
      </c>
      <c r="T5106">
        <v>0</v>
      </c>
      <c r="U5106">
        <v>0</v>
      </c>
      <c r="V5106" s="3">
        <v>0</v>
      </c>
      <c r="W5106" s="3">
        <v>0</v>
      </c>
      <c r="X5106">
        <v>0</v>
      </c>
      <c r="Y5106" t="s">
        <v>3842</v>
      </c>
    </row>
    <row r="5107" spans="1:25" hidden="1" x14ac:dyDescent="0.25">
      <c r="A5107" t="s">
        <v>344</v>
      </c>
      <c r="B5107" t="s">
        <v>100</v>
      </c>
      <c r="C5107" t="s">
        <v>35</v>
      </c>
      <c r="D5107" t="s">
        <v>27</v>
      </c>
      <c r="E5107" s="2">
        <v>46135</v>
      </c>
      <c r="F5107" s="2">
        <v>46135</v>
      </c>
      <c r="G5107" s="3">
        <v>45</v>
      </c>
      <c r="H5107" t="s">
        <v>28</v>
      </c>
      <c r="I5107">
        <v>64</v>
      </c>
      <c r="J5107">
        <v>0</v>
      </c>
      <c r="K5107">
        <v>0</v>
      </c>
      <c r="L5107" s="3">
        <v>0</v>
      </c>
      <c r="M5107" s="3">
        <v>0</v>
      </c>
      <c r="N5107">
        <v>0</v>
      </c>
      <c r="O5107">
        <v>0</v>
      </c>
      <c r="P5107">
        <v>0</v>
      </c>
      <c r="Q5107">
        <v>12</v>
      </c>
      <c r="R5107" s="3">
        <v>0</v>
      </c>
      <c r="S5107" s="3">
        <v>0</v>
      </c>
      <c r="T5107">
        <v>0</v>
      </c>
      <c r="U5107">
        <v>0</v>
      </c>
      <c r="V5107" s="3">
        <v>0</v>
      </c>
      <c r="W5107" s="3">
        <v>0</v>
      </c>
      <c r="X5107">
        <v>0</v>
      </c>
      <c r="Y5107" t="s">
        <v>3842</v>
      </c>
    </row>
    <row r="5108" spans="1:25" hidden="1" x14ac:dyDescent="0.25">
      <c r="A5108" t="s">
        <v>31</v>
      </c>
      <c r="B5108" t="s">
        <v>104</v>
      </c>
      <c r="C5108" t="s">
        <v>32</v>
      </c>
      <c r="D5108" t="s">
        <v>27</v>
      </c>
      <c r="E5108" s="2">
        <v>46135</v>
      </c>
      <c r="F5108" s="2">
        <v>46135</v>
      </c>
      <c r="G5108" s="3">
        <v>49</v>
      </c>
      <c r="H5108" t="s">
        <v>28</v>
      </c>
      <c r="I5108">
        <v>65</v>
      </c>
      <c r="J5108">
        <v>0</v>
      </c>
      <c r="K5108">
        <v>0</v>
      </c>
      <c r="L5108" s="3">
        <v>1</v>
      </c>
      <c r="M5108" s="3">
        <v>0</v>
      </c>
      <c r="N5108">
        <v>0</v>
      </c>
      <c r="O5108">
        <v>0</v>
      </c>
      <c r="P5108">
        <v>0</v>
      </c>
      <c r="Q5108">
        <v>30</v>
      </c>
      <c r="R5108" s="3">
        <v>0</v>
      </c>
      <c r="S5108" s="3">
        <v>0</v>
      </c>
      <c r="T5108">
        <v>0</v>
      </c>
      <c r="U5108">
        <v>0</v>
      </c>
      <c r="V5108" s="3">
        <v>0</v>
      </c>
      <c r="W5108" s="3">
        <v>0</v>
      </c>
      <c r="X5108">
        <v>0</v>
      </c>
      <c r="Y5108" t="s">
        <v>3859</v>
      </c>
    </row>
    <row r="5109" spans="1:25" hidden="1" x14ac:dyDescent="0.25">
      <c r="A5109" t="s">
        <v>33</v>
      </c>
      <c r="B5109" t="s">
        <v>106</v>
      </c>
      <c r="C5109" t="s">
        <v>57</v>
      </c>
      <c r="D5109" t="s">
        <v>27</v>
      </c>
      <c r="E5109" s="2">
        <v>46135</v>
      </c>
      <c r="F5109" s="2">
        <v>46135</v>
      </c>
      <c r="G5109" s="3">
        <v>29</v>
      </c>
      <c r="H5109" t="s">
        <v>28</v>
      </c>
      <c r="I5109">
        <v>46</v>
      </c>
      <c r="J5109">
        <v>0</v>
      </c>
      <c r="K5109">
        <v>0</v>
      </c>
      <c r="L5109" s="3">
        <v>0</v>
      </c>
      <c r="M5109" s="3">
        <v>0</v>
      </c>
      <c r="N5109">
        <v>0</v>
      </c>
      <c r="O5109">
        <v>0</v>
      </c>
      <c r="P5109">
        <v>0</v>
      </c>
      <c r="Q5109">
        <v>0</v>
      </c>
      <c r="R5109" s="3">
        <v>0</v>
      </c>
      <c r="S5109" s="3">
        <v>0</v>
      </c>
      <c r="T5109">
        <v>0</v>
      </c>
      <c r="U5109">
        <v>0</v>
      </c>
      <c r="V5109" s="3">
        <v>0</v>
      </c>
      <c r="W5109" s="3">
        <v>0</v>
      </c>
      <c r="X5109">
        <v>0</v>
      </c>
      <c r="Y5109" t="s">
        <v>3860</v>
      </c>
    </row>
    <row r="5110" spans="1:25" hidden="1" x14ac:dyDescent="0.25">
      <c r="A5110" t="s">
        <v>36</v>
      </c>
      <c r="B5110" t="s">
        <v>249</v>
      </c>
      <c r="C5110" t="s">
        <v>46</v>
      </c>
      <c r="D5110" t="s">
        <v>27</v>
      </c>
      <c r="E5110" s="2">
        <v>46135</v>
      </c>
      <c r="F5110" s="2">
        <v>46135</v>
      </c>
      <c r="G5110" s="3">
        <v>54</v>
      </c>
      <c r="H5110" t="s">
        <v>28</v>
      </c>
      <c r="I5110">
        <v>26</v>
      </c>
      <c r="J5110">
        <v>0</v>
      </c>
      <c r="K5110">
        <v>0</v>
      </c>
      <c r="L5110" s="3">
        <v>0</v>
      </c>
      <c r="M5110" s="3">
        <v>0</v>
      </c>
      <c r="N5110">
        <v>0</v>
      </c>
      <c r="O5110">
        <v>0</v>
      </c>
      <c r="P5110">
        <v>0</v>
      </c>
      <c r="Q5110">
        <v>0</v>
      </c>
      <c r="R5110" s="3">
        <v>0</v>
      </c>
      <c r="S5110" s="3">
        <v>0</v>
      </c>
      <c r="T5110">
        <v>0</v>
      </c>
      <c r="U5110">
        <v>0</v>
      </c>
      <c r="V5110" s="3">
        <v>0</v>
      </c>
      <c r="W5110" s="3">
        <v>0</v>
      </c>
      <c r="X5110">
        <v>0</v>
      </c>
      <c r="Y5110" t="s">
        <v>3861</v>
      </c>
    </row>
    <row r="5111" spans="1:25" hidden="1" x14ac:dyDescent="0.25">
      <c r="A5111" t="s">
        <v>38</v>
      </c>
      <c r="B5111" t="s">
        <v>108</v>
      </c>
      <c r="C5111" t="s">
        <v>27</v>
      </c>
      <c r="D5111" t="s">
        <v>27</v>
      </c>
      <c r="E5111" s="2">
        <v>46135</v>
      </c>
      <c r="F5111" s="2">
        <v>46135</v>
      </c>
      <c r="G5111" s="3">
        <v>32</v>
      </c>
      <c r="H5111" t="s">
        <v>28</v>
      </c>
      <c r="I5111">
        <v>20</v>
      </c>
      <c r="J5111">
        <v>0</v>
      </c>
      <c r="K5111">
        <v>0</v>
      </c>
      <c r="L5111" s="3">
        <v>1</v>
      </c>
      <c r="M5111" s="3">
        <v>0</v>
      </c>
      <c r="N5111">
        <v>0</v>
      </c>
      <c r="O5111">
        <v>0</v>
      </c>
      <c r="P5111">
        <v>0</v>
      </c>
      <c r="Q5111">
        <v>20</v>
      </c>
      <c r="R5111" s="3">
        <v>0</v>
      </c>
      <c r="S5111" s="3">
        <v>0</v>
      </c>
      <c r="T5111">
        <v>0</v>
      </c>
      <c r="U5111">
        <v>0</v>
      </c>
      <c r="V5111" s="3">
        <v>0</v>
      </c>
      <c r="W5111" s="3">
        <v>0</v>
      </c>
      <c r="X5111">
        <v>0</v>
      </c>
      <c r="Y5111" t="s">
        <v>3862</v>
      </c>
    </row>
    <row r="5112" spans="1:25" hidden="1" x14ac:dyDescent="0.25">
      <c r="A5112" t="s">
        <v>2679</v>
      </c>
      <c r="B5112" t="s">
        <v>2680</v>
      </c>
      <c r="C5112" t="s">
        <v>39</v>
      </c>
      <c r="D5112" t="s">
        <v>27</v>
      </c>
      <c r="E5112" s="2">
        <v>46135</v>
      </c>
      <c r="F5112" s="2">
        <v>46135</v>
      </c>
      <c r="G5112" s="3">
        <v>35</v>
      </c>
      <c r="H5112" t="s">
        <v>28</v>
      </c>
      <c r="I5112">
        <v>18</v>
      </c>
      <c r="J5112">
        <v>0</v>
      </c>
      <c r="K5112">
        <v>0</v>
      </c>
      <c r="L5112" s="3">
        <v>0</v>
      </c>
      <c r="M5112" s="3">
        <v>0</v>
      </c>
      <c r="N5112">
        <v>0</v>
      </c>
      <c r="O5112">
        <v>0</v>
      </c>
      <c r="P5112">
        <v>0</v>
      </c>
      <c r="Q5112">
        <v>18</v>
      </c>
      <c r="R5112" s="3">
        <v>0</v>
      </c>
      <c r="S5112" s="3">
        <v>0</v>
      </c>
      <c r="T5112">
        <v>0</v>
      </c>
      <c r="U5112">
        <v>0</v>
      </c>
      <c r="V5112" s="3">
        <v>0</v>
      </c>
      <c r="W5112" s="3">
        <v>0</v>
      </c>
      <c r="X5112">
        <v>0</v>
      </c>
      <c r="Y5112" t="s">
        <v>3863</v>
      </c>
    </row>
    <row r="5113" spans="1:25" ht="15.75" hidden="1" customHeight="1" x14ac:dyDescent="0.25">
      <c r="A5113" t="s">
        <v>40</v>
      </c>
      <c r="B5113" t="s">
        <v>110</v>
      </c>
      <c r="C5113" t="s">
        <v>2534</v>
      </c>
      <c r="D5113" t="s">
        <v>27</v>
      </c>
      <c r="E5113" s="2">
        <v>46135</v>
      </c>
      <c r="F5113" s="2">
        <v>46135</v>
      </c>
      <c r="G5113" s="3">
        <v>44</v>
      </c>
      <c r="H5113" t="s">
        <v>28</v>
      </c>
      <c r="I5113">
        <v>46</v>
      </c>
      <c r="J5113">
        <v>0</v>
      </c>
      <c r="K5113">
        <v>0</v>
      </c>
      <c r="L5113" s="3">
        <v>1</v>
      </c>
      <c r="M5113" s="3">
        <v>0</v>
      </c>
      <c r="N5113">
        <v>1</v>
      </c>
      <c r="O5113">
        <v>0</v>
      </c>
      <c r="P5113">
        <v>0</v>
      </c>
      <c r="Q5113">
        <v>0</v>
      </c>
      <c r="R5113" s="3">
        <v>0</v>
      </c>
      <c r="S5113" s="3">
        <v>0</v>
      </c>
      <c r="T5113">
        <v>0</v>
      </c>
      <c r="U5113">
        <v>0</v>
      </c>
      <c r="V5113" s="3">
        <v>0</v>
      </c>
      <c r="W5113" s="3">
        <v>0</v>
      </c>
      <c r="X5113">
        <v>0</v>
      </c>
      <c r="Y5113" t="s">
        <v>3864</v>
      </c>
    </row>
    <row r="5114" spans="1:25" hidden="1" x14ac:dyDescent="0.25">
      <c r="A5114" t="s">
        <v>41</v>
      </c>
      <c r="B5114" t="s">
        <v>112</v>
      </c>
      <c r="C5114" t="s">
        <v>42</v>
      </c>
      <c r="D5114" t="s">
        <v>27</v>
      </c>
      <c r="E5114" s="2">
        <v>46135</v>
      </c>
      <c r="F5114" s="2">
        <v>46135</v>
      </c>
      <c r="G5114" s="3">
        <v>33</v>
      </c>
      <c r="H5114" t="s">
        <v>28</v>
      </c>
      <c r="I5114">
        <v>41</v>
      </c>
      <c r="J5114">
        <v>0</v>
      </c>
      <c r="K5114">
        <v>0</v>
      </c>
      <c r="L5114" s="3">
        <v>1</v>
      </c>
      <c r="M5114" s="3">
        <v>0</v>
      </c>
      <c r="N5114">
        <v>0</v>
      </c>
      <c r="O5114">
        <v>0</v>
      </c>
      <c r="P5114">
        <v>0</v>
      </c>
      <c r="Q5114">
        <v>4</v>
      </c>
      <c r="R5114" s="3">
        <v>0</v>
      </c>
      <c r="S5114" s="3">
        <v>0</v>
      </c>
      <c r="T5114">
        <v>0</v>
      </c>
      <c r="U5114">
        <v>0</v>
      </c>
      <c r="V5114" s="3">
        <v>0</v>
      </c>
      <c r="W5114" s="3">
        <v>0</v>
      </c>
      <c r="X5114">
        <v>0</v>
      </c>
      <c r="Y5114" t="s">
        <v>3865</v>
      </c>
    </row>
    <row r="5115" spans="1:25" hidden="1" x14ac:dyDescent="0.25">
      <c r="A5115" t="s">
        <v>43</v>
      </c>
      <c r="B5115" t="s">
        <v>114</v>
      </c>
      <c r="C5115" t="s">
        <v>44</v>
      </c>
      <c r="D5115" t="s">
        <v>27</v>
      </c>
      <c r="E5115" s="2">
        <v>46135</v>
      </c>
      <c r="F5115" s="2">
        <v>46135</v>
      </c>
      <c r="G5115" s="3">
        <v>30</v>
      </c>
      <c r="H5115" t="s">
        <v>28</v>
      </c>
      <c r="I5115">
        <v>85</v>
      </c>
      <c r="J5115">
        <v>0</v>
      </c>
      <c r="K5115">
        <v>0</v>
      </c>
      <c r="L5115" s="3">
        <v>1</v>
      </c>
      <c r="M5115" s="3">
        <v>0</v>
      </c>
      <c r="N5115">
        <v>0</v>
      </c>
      <c r="O5115">
        <v>0</v>
      </c>
      <c r="P5115">
        <v>0</v>
      </c>
      <c r="Q5115">
        <v>32</v>
      </c>
      <c r="R5115" s="3">
        <v>0</v>
      </c>
      <c r="S5115" s="3">
        <v>0</v>
      </c>
      <c r="T5115">
        <v>0</v>
      </c>
      <c r="U5115">
        <v>0</v>
      </c>
      <c r="V5115" s="3">
        <v>0</v>
      </c>
      <c r="W5115" s="3">
        <v>0</v>
      </c>
      <c r="X5115">
        <v>0</v>
      </c>
      <c r="Y5115" t="s">
        <v>3866</v>
      </c>
    </row>
    <row r="5116" spans="1:25" hidden="1" x14ac:dyDescent="0.25">
      <c r="A5116" t="s">
        <v>49</v>
      </c>
      <c r="B5116" t="s">
        <v>118</v>
      </c>
      <c r="C5116" t="s">
        <v>50</v>
      </c>
      <c r="D5116" t="s">
        <v>27</v>
      </c>
      <c r="E5116" s="2">
        <v>46135</v>
      </c>
      <c r="F5116" s="2">
        <v>46135</v>
      </c>
      <c r="G5116" s="3">
        <v>28</v>
      </c>
      <c r="H5116" t="s">
        <v>28</v>
      </c>
      <c r="I5116">
        <v>45</v>
      </c>
      <c r="J5116">
        <v>0</v>
      </c>
      <c r="K5116">
        <v>0</v>
      </c>
      <c r="L5116" s="3">
        <v>1</v>
      </c>
      <c r="M5116" s="3">
        <v>1</v>
      </c>
      <c r="N5116">
        <v>0</v>
      </c>
      <c r="O5116">
        <v>1</v>
      </c>
      <c r="P5116">
        <v>0</v>
      </c>
      <c r="Q5116">
        <v>45</v>
      </c>
      <c r="R5116" s="3">
        <v>0</v>
      </c>
      <c r="S5116" s="3">
        <v>0</v>
      </c>
      <c r="T5116">
        <v>0</v>
      </c>
      <c r="U5116">
        <v>0</v>
      </c>
      <c r="V5116" s="3">
        <v>0</v>
      </c>
      <c r="W5116" s="3">
        <v>0</v>
      </c>
      <c r="X5116">
        <v>0</v>
      </c>
      <c r="Y5116" t="s">
        <v>3867</v>
      </c>
    </row>
    <row r="5117" spans="1:25" hidden="1" x14ac:dyDescent="0.25">
      <c r="A5117" t="s">
        <v>51</v>
      </c>
      <c r="B5117" t="s">
        <v>120</v>
      </c>
      <c r="C5117" t="s">
        <v>2310</v>
      </c>
      <c r="D5117" t="s">
        <v>27</v>
      </c>
      <c r="E5117" s="2">
        <v>46135</v>
      </c>
      <c r="F5117" s="2">
        <v>46135</v>
      </c>
      <c r="G5117" s="3">
        <v>133</v>
      </c>
      <c r="H5117" t="s">
        <v>28</v>
      </c>
      <c r="I5117">
        <v>54</v>
      </c>
      <c r="J5117">
        <v>0</v>
      </c>
      <c r="K5117">
        <v>0</v>
      </c>
      <c r="L5117" s="3">
        <v>1</v>
      </c>
      <c r="M5117" s="3">
        <v>0</v>
      </c>
      <c r="N5117">
        <v>0</v>
      </c>
      <c r="O5117">
        <v>0</v>
      </c>
      <c r="P5117">
        <v>0</v>
      </c>
      <c r="Q5117">
        <v>2</v>
      </c>
      <c r="R5117" s="3">
        <v>0</v>
      </c>
      <c r="S5117" s="3">
        <v>0</v>
      </c>
      <c r="T5117">
        <v>0</v>
      </c>
      <c r="U5117">
        <v>0</v>
      </c>
      <c r="V5117" s="3">
        <v>0</v>
      </c>
      <c r="W5117" s="3">
        <v>0</v>
      </c>
      <c r="X5117">
        <v>1</v>
      </c>
      <c r="Y5117" t="s">
        <v>3868</v>
      </c>
    </row>
    <row r="5118" spans="1:25" x14ac:dyDescent="0.25">
      <c r="A5118" t="s">
        <v>54</v>
      </c>
      <c r="B5118" t="s">
        <v>122</v>
      </c>
      <c r="C5118" t="s">
        <v>2271</v>
      </c>
      <c r="D5118" t="s">
        <v>27</v>
      </c>
      <c r="E5118" s="2">
        <v>46135</v>
      </c>
      <c r="F5118" s="2">
        <v>46135</v>
      </c>
      <c r="G5118" s="3">
        <v>46</v>
      </c>
      <c r="H5118" t="s">
        <v>28</v>
      </c>
      <c r="I5118">
        <v>33</v>
      </c>
      <c r="J5118">
        <v>0</v>
      </c>
      <c r="K5118">
        <v>0</v>
      </c>
      <c r="L5118" s="3">
        <v>0</v>
      </c>
      <c r="M5118" s="3">
        <v>0</v>
      </c>
      <c r="N5118">
        <v>0</v>
      </c>
      <c r="O5118">
        <v>0</v>
      </c>
      <c r="P5118">
        <v>0</v>
      </c>
      <c r="Q5118">
        <v>2</v>
      </c>
      <c r="R5118" s="3">
        <v>0</v>
      </c>
      <c r="S5118" s="3">
        <v>0</v>
      </c>
      <c r="T5118">
        <v>0</v>
      </c>
      <c r="U5118">
        <v>0</v>
      </c>
      <c r="V5118" s="3">
        <v>0</v>
      </c>
      <c r="W5118" s="3">
        <v>0</v>
      </c>
      <c r="X5118">
        <v>1</v>
      </c>
      <c r="Y5118" t="s">
        <v>3869</v>
      </c>
    </row>
    <row r="5119" spans="1:25" hidden="1" x14ac:dyDescent="0.25">
      <c r="A5119" t="s">
        <v>48</v>
      </c>
      <c r="B5119" t="s">
        <v>149</v>
      </c>
      <c r="C5119" t="s">
        <v>37</v>
      </c>
      <c r="D5119" t="s">
        <v>27</v>
      </c>
      <c r="E5119" s="2">
        <v>46135</v>
      </c>
      <c r="F5119" s="2">
        <v>46135</v>
      </c>
      <c r="G5119" s="3">
        <v>28</v>
      </c>
      <c r="H5119" t="s">
        <v>28</v>
      </c>
      <c r="I5119">
        <v>68</v>
      </c>
      <c r="J5119">
        <v>0</v>
      </c>
      <c r="K5119">
        <v>0</v>
      </c>
      <c r="L5119" s="3">
        <v>1</v>
      </c>
      <c r="M5119" s="3">
        <v>0</v>
      </c>
      <c r="N5119">
        <v>0</v>
      </c>
      <c r="O5119">
        <v>0</v>
      </c>
      <c r="P5119">
        <v>0</v>
      </c>
      <c r="Q5119">
        <v>0</v>
      </c>
      <c r="R5119" s="3">
        <v>0</v>
      </c>
      <c r="S5119" s="3">
        <v>0</v>
      </c>
      <c r="T5119">
        <v>0</v>
      </c>
      <c r="U5119">
        <v>0</v>
      </c>
      <c r="V5119" s="3">
        <v>0</v>
      </c>
      <c r="W5119" s="3">
        <v>0</v>
      </c>
      <c r="X5119">
        <v>0</v>
      </c>
      <c r="Y5119" t="s">
        <v>3855</v>
      </c>
    </row>
    <row r="5120" spans="1:25" hidden="1" x14ac:dyDescent="0.25">
      <c r="A5120" t="s">
        <v>27</v>
      </c>
      <c r="B5120" t="s">
        <v>739</v>
      </c>
      <c r="C5120" t="s">
        <v>26</v>
      </c>
      <c r="D5120" t="s">
        <v>27</v>
      </c>
      <c r="E5120" s="2">
        <v>46135</v>
      </c>
      <c r="F5120" s="2">
        <v>46135</v>
      </c>
      <c r="G5120" s="3">
        <v>29</v>
      </c>
      <c r="H5120" t="s">
        <v>28</v>
      </c>
      <c r="I5120">
        <v>0</v>
      </c>
      <c r="J5120">
        <v>0</v>
      </c>
      <c r="K5120">
        <v>0</v>
      </c>
      <c r="L5120" s="3">
        <v>0</v>
      </c>
      <c r="M5120" s="3">
        <v>0</v>
      </c>
      <c r="N5120">
        <v>0</v>
      </c>
      <c r="O5120">
        <v>0</v>
      </c>
      <c r="P5120">
        <v>0</v>
      </c>
      <c r="Q5120">
        <v>0</v>
      </c>
      <c r="R5120" s="3">
        <v>0</v>
      </c>
      <c r="S5120" s="3">
        <v>0</v>
      </c>
      <c r="T5120">
        <v>0</v>
      </c>
      <c r="U5120">
        <v>0</v>
      </c>
      <c r="V5120" s="3">
        <v>0</v>
      </c>
      <c r="W5120" s="3">
        <v>0</v>
      </c>
      <c r="X5120" s="3">
        <v>0</v>
      </c>
    </row>
    <row r="5121" spans="1:25" hidden="1" x14ac:dyDescent="0.25">
      <c r="A5121" t="s">
        <v>45</v>
      </c>
      <c r="B5121" t="s">
        <v>149</v>
      </c>
      <c r="C5121" t="s">
        <v>27</v>
      </c>
      <c r="D5121" t="s">
        <v>27</v>
      </c>
      <c r="E5121" s="2">
        <v>46135</v>
      </c>
      <c r="F5121" s="2">
        <v>46135</v>
      </c>
      <c r="G5121" s="3">
        <v>53</v>
      </c>
      <c r="H5121" t="s">
        <v>1975</v>
      </c>
      <c r="I5121">
        <v>0</v>
      </c>
      <c r="J5121">
        <v>0</v>
      </c>
      <c r="K5121">
        <v>0</v>
      </c>
      <c r="L5121" s="3">
        <v>0</v>
      </c>
      <c r="M5121" s="3">
        <v>0</v>
      </c>
      <c r="N5121">
        <v>0</v>
      </c>
      <c r="O5121">
        <v>0</v>
      </c>
      <c r="P5121">
        <v>0</v>
      </c>
      <c r="Q5121">
        <v>0</v>
      </c>
      <c r="R5121" s="3">
        <v>0</v>
      </c>
      <c r="S5121" s="3">
        <v>0</v>
      </c>
      <c r="T5121">
        <v>0</v>
      </c>
      <c r="U5121">
        <v>0</v>
      </c>
      <c r="V5121" s="3">
        <v>0</v>
      </c>
      <c r="W5121" s="3">
        <v>0</v>
      </c>
      <c r="X5121">
        <v>0</v>
      </c>
      <c r="Y5121" t="s">
        <v>3856</v>
      </c>
    </row>
    <row r="5122" spans="1:25" hidden="1" x14ac:dyDescent="0.25">
      <c r="A5122" t="s">
        <v>27</v>
      </c>
      <c r="B5122" t="s">
        <v>739</v>
      </c>
      <c r="C5122" t="s">
        <v>52</v>
      </c>
      <c r="D5122" t="s">
        <v>27</v>
      </c>
      <c r="E5122" s="2">
        <v>46135</v>
      </c>
      <c r="F5122" s="2">
        <v>46135</v>
      </c>
      <c r="G5122" s="3">
        <v>54</v>
      </c>
      <c r="H5122" t="s">
        <v>180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t="s">
        <v>3856</v>
      </c>
    </row>
    <row r="5123" spans="1:25" hidden="1" x14ac:dyDescent="0.25">
      <c r="A5123" t="s">
        <v>47</v>
      </c>
      <c r="B5123" t="s">
        <v>755</v>
      </c>
      <c r="C5123" t="s">
        <v>27</v>
      </c>
      <c r="D5123" t="s">
        <v>27</v>
      </c>
      <c r="E5123" s="2">
        <v>46135</v>
      </c>
      <c r="F5123" s="2">
        <v>46135</v>
      </c>
      <c r="G5123" s="3">
        <v>55</v>
      </c>
      <c r="H5123" t="s">
        <v>180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 t="s">
        <v>3856</v>
      </c>
    </row>
    <row r="5124" spans="1:25" hidden="1" x14ac:dyDescent="0.25">
      <c r="A5124" s="13" t="s">
        <v>2899</v>
      </c>
      <c r="B5124" t="s">
        <v>758</v>
      </c>
      <c r="C5124" t="s">
        <v>27</v>
      </c>
      <c r="D5124" t="s">
        <v>27</v>
      </c>
      <c r="E5124" s="2">
        <v>46135</v>
      </c>
      <c r="F5124" s="2">
        <v>46135</v>
      </c>
      <c r="G5124" s="3">
        <v>56</v>
      </c>
      <c r="H5124" t="s">
        <v>1448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 t="s">
        <v>3856</v>
      </c>
    </row>
    <row r="5125" spans="1:25" hidden="1" x14ac:dyDescent="0.25">
      <c r="A5125" t="s">
        <v>438</v>
      </c>
      <c r="B5125" t="s">
        <v>798</v>
      </c>
      <c r="C5125" t="s">
        <v>27</v>
      </c>
      <c r="D5125" t="s">
        <v>27</v>
      </c>
      <c r="E5125" s="2">
        <v>46135</v>
      </c>
      <c r="F5125" s="2">
        <v>46135</v>
      </c>
      <c r="G5125" s="3">
        <v>57</v>
      </c>
      <c r="H5125" t="s">
        <v>1256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 t="s">
        <v>3856</v>
      </c>
    </row>
    <row r="5126" spans="1:25" hidden="1" x14ac:dyDescent="0.25">
      <c r="A5126" t="s">
        <v>55</v>
      </c>
      <c r="B5126" t="s">
        <v>2072</v>
      </c>
      <c r="C5126" s="1" t="s">
        <v>2835</v>
      </c>
      <c r="D5126" t="s">
        <v>27</v>
      </c>
      <c r="E5126" s="2">
        <v>46135</v>
      </c>
      <c r="F5126" s="2">
        <v>46135</v>
      </c>
      <c r="G5126" s="3">
        <v>28</v>
      </c>
      <c r="H5126" t="s">
        <v>28</v>
      </c>
      <c r="I5126">
        <v>28</v>
      </c>
      <c r="J5126">
        <v>0</v>
      </c>
      <c r="K5126">
        <v>0</v>
      </c>
      <c r="L5126" s="3">
        <v>1</v>
      </c>
      <c r="M5126" s="3">
        <v>0</v>
      </c>
      <c r="N5126">
        <v>1</v>
      </c>
      <c r="O5126">
        <v>0</v>
      </c>
      <c r="P5126">
        <v>0</v>
      </c>
      <c r="Q5126">
        <v>0</v>
      </c>
      <c r="R5126" s="3">
        <v>0</v>
      </c>
      <c r="S5126" s="3">
        <v>0</v>
      </c>
      <c r="T5126">
        <v>0</v>
      </c>
      <c r="U5126">
        <v>0</v>
      </c>
      <c r="V5126" s="3">
        <v>0</v>
      </c>
      <c r="W5126" s="3">
        <v>0</v>
      </c>
      <c r="X5126">
        <v>0</v>
      </c>
      <c r="Y5126" t="s">
        <v>3857</v>
      </c>
    </row>
    <row r="5127" spans="1:25" hidden="1" x14ac:dyDescent="0.25">
      <c r="A5127" t="s">
        <v>55</v>
      </c>
      <c r="B5127" t="s">
        <v>2072</v>
      </c>
      <c r="C5127" s="1" t="s">
        <v>2835</v>
      </c>
      <c r="D5127" t="s">
        <v>27</v>
      </c>
      <c r="E5127" s="2">
        <v>46136</v>
      </c>
      <c r="F5127" s="2">
        <v>46136</v>
      </c>
      <c r="G5127" s="3">
        <v>64</v>
      </c>
      <c r="H5127" t="s">
        <v>28</v>
      </c>
      <c r="I5127">
        <v>45</v>
      </c>
      <c r="J5127">
        <v>0</v>
      </c>
      <c r="K5127">
        <v>0</v>
      </c>
      <c r="L5127" s="3">
        <v>1</v>
      </c>
      <c r="M5127" s="3">
        <v>0</v>
      </c>
      <c r="N5127">
        <v>1</v>
      </c>
      <c r="O5127">
        <v>0</v>
      </c>
      <c r="P5127">
        <v>0</v>
      </c>
      <c r="Q5127">
        <v>0</v>
      </c>
      <c r="R5127" s="3">
        <v>0</v>
      </c>
      <c r="S5127" s="3">
        <v>0</v>
      </c>
      <c r="T5127">
        <v>0</v>
      </c>
      <c r="U5127">
        <v>0</v>
      </c>
      <c r="V5127" s="3">
        <v>0</v>
      </c>
      <c r="W5127" s="3">
        <v>0</v>
      </c>
      <c r="X5127">
        <v>0</v>
      </c>
      <c r="Y5127" t="s">
        <v>3870</v>
      </c>
    </row>
    <row r="5128" spans="1:25" hidden="1" x14ac:dyDescent="0.25">
      <c r="A5128" t="s">
        <v>25</v>
      </c>
      <c r="B5128" t="s">
        <v>96</v>
      </c>
      <c r="C5128" t="s">
        <v>26</v>
      </c>
      <c r="D5128" t="s">
        <v>27</v>
      </c>
      <c r="E5128" s="2">
        <v>46136</v>
      </c>
      <c r="F5128" s="2">
        <v>46136</v>
      </c>
      <c r="G5128" s="3">
        <v>47</v>
      </c>
      <c r="H5128" t="s">
        <v>28</v>
      </c>
      <c r="I5128">
        <v>101</v>
      </c>
      <c r="J5128">
        <v>0</v>
      </c>
      <c r="K5128">
        <v>0</v>
      </c>
      <c r="L5128" s="3">
        <v>0</v>
      </c>
      <c r="M5128" s="3">
        <v>1</v>
      </c>
      <c r="N5128">
        <v>1</v>
      </c>
      <c r="O5128">
        <v>0</v>
      </c>
      <c r="P5128">
        <v>0</v>
      </c>
      <c r="Q5128">
        <v>0</v>
      </c>
      <c r="R5128" s="3">
        <v>0</v>
      </c>
      <c r="S5128" s="3">
        <v>0</v>
      </c>
      <c r="T5128">
        <v>0</v>
      </c>
      <c r="U5128">
        <v>0</v>
      </c>
      <c r="V5128" s="3">
        <v>0</v>
      </c>
      <c r="W5128" s="3">
        <v>0</v>
      </c>
      <c r="X5128">
        <v>0</v>
      </c>
      <c r="Y5128" t="s">
        <v>3871</v>
      </c>
    </row>
    <row r="5129" spans="1:25" hidden="1" x14ac:dyDescent="0.25">
      <c r="A5129" t="s">
        <v>29</v>
      </c>
      <c r="B5129" t="s">
        <v>100</v>
      </c>
      <c r="C5129" t="s">
        <v>95</v>
      </c>
      <c r="D5129" t="s">
        <v>27</v>
      </c>
      <c r="E5129" s="2">
        <v>46136</v>
      </c>
      <c r="F5129" s="2">
        <v>46136</v>
      </c>
      <c r="G5129" s="3">
        <v>34</v>
      </c>
      <c r="H5129" t="s">
        <v>28</v>
      </c>
      <c r="I5129">
        <v>30</v>
      </c>
      <c r="J5129">
        <v>0</v>
      </c>
      <c r="K5129">
        <v>0</v>
      </c>
      <c r="L5129" s="3">
        <v>1</v>
      </c>
      <c r="M5129" s="3">
        <v>0</v>
      </c>
      <c r="N5129">
        <v>0</v>
      </c>
      <c r="O5129">
        <v>0</v>
      </c>
      <c r="P5129">
        <v>8</v>
      </c>
      <c r="Q5129">
        <v>5</v>
      </c>
      <c r="R5129" s="3">
        <v>0</v>
      </c>
      <c r="S5129" s="3">
        <v>0</v>
      </c>
      <c r="T5129">
        <v>0</v>
      </c>
      <c r="U5129">
        <v>0</v>
      </c>
      <c r="V5129" s="3">
        <v>0</v>
      </c>
      <c r="W5129" s="3">
        <v>0</v>
      </c>
      <c r="X5129">
        <v>0</v>
      </c>
      <c r="Y5129" t="s">
        <v>3872</v>
      </c>
    </row>
    <row r="5130" spans="1:25" hidden="1" x14ac:dyDescent="0.25">
      <c r="A5130" t="s">
        <v>344</v>
      </c>
      <c r="B5130" t="s">
        <v>100</v>
      </c>
      <c r="C5130" t="s">
        <v>35</v>
      </c>
      <c r="D5130" t="s">
        <v>27</v>
      </c>
      <c r="E5130" s="2">
        <v>46136</v>
      </c>
      <c r="F5130" s="2">
        <v>46136</v>
      </c>
      <c r="G5130" s="3">
        <v>34</v>
      </c>
      <c r="H5130" t="s">
        <v>28</v>
      </c>
      <c r="I5130">
        <v>31</v>
      </c>
      <c r="J5130">
        <v>0</v>
      </c>
      <c r="K5130">
        <v>0</v>
      </c>
      <c r="L5130" s="3">
        <v>1</v>
      </c>
      <c r="M5130" s="3">
        <v>0</v>
      </c>
      <c r="N5130">
        <v>0</v>
      </c>
      <c r="O5130">
        <v>0</v>
      </c>
      <c r="P5130">
        <v>8</v>
      </c>
      <c r="Q5130">
        <v>5</v>
      </c>
      <c r="R5130" s="3">
        <v>0</v>
      </c>
      <c r="S5130" s="3">
        <v>0</v>
      </c>
      <c r="T5130">
        <v>0</v>
      </c>
      <c r="U5130">
        <v>0</v>
      </c>
      <c r="V5130" s="3">
        <v>0</v>
      </c>
      <c r="W5130" s="3">
        <v>0</v>
      </c>
      <c r="X5130">
        <v>0</v>
      </c>
      <c r="Y5130" t="s">
        <v>3872</v>
      </c>
    </row>
    <row r="5131" spans="1:25" hidden="1" x14ac:dyDescent="0.25">
      <c r="A5131" t="s">
        <v>31</v>
      </c>
      <c r="B5131" t="s">
        <v>104</v>
      </c>
      <c r="C5131" t="s">
        <v>32</v>
      </c>
      <c r="D5131" t="s">
        <v>27</v>
      </c>
      <c r="E5131" s="2">
        <v>46136</v>
      </c>
      <c r="F5131" s="2">
        <v>46136</v>
      </c>
      <c r="G5131" s="3">
        <v>48</v>
      </c>
      <c r="H5131" t="s">
        <v>28</v>
      </c>
      <c r="I5131">
        <v>78</v>
      </c>
      <c r="J5131">
        <v>0</v>
      </c>
      <c r="K5131">
        <v>0</v>
      </c>
      <c r="L5131" s="3">
        <v>1</v>
      </c>
      <c r="M5131" s="3">
        <v>0</v>
      </c>
      <c r="N5131">
        <v>0</v>
      </c>
      <c r="O5131">
        <v>0</v>
      </c>
      <c r="P5131">
        <v>0</v>
      </c>
      <c r="Q5131">
        <v>30</v>
      </c>
      <c r="R5131" s="3">
        <v>0</v>
      </c>
      <c r="S5131" s="3">
        <v>0</v>
      </c>
      <c r="T5131">
        <v>0</v>
      </c>
      <c r="U5131">
        <v>0</v>
      </c>
      <c r="V5131" s="3">
        <v>0</v>
      </c>
      <c r="W5131" s="3">
        <v>0</v>
      </c>
      <c r="X5131">
        <v>0</v>
      </c>
      <c r="Y5131" t="s">
        <v>3873</v>
      </c>
    </row>
    <row r="5132" spans="1:25" hidden="1" x14ac:dyDescent="0.25">
      <c r="A5132" t="s">
        <v>33</v>
      </c>
      <c r="B5132" t="s">
        <v>106</v>
      </c>
      <c r="C5132" t="s">
        <v>57</v>
      </c>
      <c r="D5132" t="s">
        <v>27</v>
      </c>
      <c r="E5132" s="2">
        <v>46136</v>
      </c>
      <c r="F5132" s="2">
        <v>46136</v>
      </c>
      <c r="G5132" s="3">
        <v>30</v>
      </c>
      <c r="H5132" t="s">
        <v>28</v>
      </c>
      <c r="I5132">
        <v>39</v>
      </c>
      <c r="J5132">
        <v>0</v>
      </c>
      <c r="K5132">
        <v>0</v>
      </c>
      <c r="L5132" s="3">
        <v>0</v>
      </c>
      <c r="M5132" s="3">
        <v>0</v>
      </c>
      <c r="N5132">
        <v>0</v>
      </c>
      <c r="O5132">
        <v>0</v>
      </c>
      <c r="P5132">
        <v>0</v>
      </c>
      <c r="Q5132">
        <v>21</v>
      </c>
      <c r="R5132" s="3">
        <v>0</v>
      </c>
      <c r="S5132" s="3">
        <v>0</v>
      </c>
      <c r="T5132">
        <v>0</v>
      </c>
      <c r="U5132">
        <v>0</v>
      </c>
      <c r="V5132" s="3">
        <v>0</v>
      </c>
      <c r="W5132" s="3">
        <v>0</v>
      </c>
      <c r="X5132">
        <v>0</v>
      </c>
      <c r="Y5132" t="s">
        <v>3874</v>
      </c>
    </row>
    <row r="5133" spans="1:25" hidden="1" x14ac:dyDescent="0.25">
      <c r="A5133" t="s">
        <v>36</v>
      </c>
      <c r="B5133" t="s">
        <v>249</v>
      </c>
      <c r="C5133" t="s">
        <v>2514</v>
      </c>
      <c r="D5133" t="s">
        <v>27</v>
      </c>
      <c r="E5133" s="2">
        <v>46136</v>
      </c>
      <c r="F5133" s="2">
        <v>46136</v>
      </c>
      <c r="G5133" s="3">
        <v>69</v>
      </c>
      <c r="H5133" t="s">
        <v>28</v>
      </c>
      <c r="I5133">
        <v>62</v>
      </c>
      <c r="J5133">
        <v>0</v>
      </c>
      <c r="K5133">
        <v>0</v>
      </c>
      <c r="L5133" s="3">
        <v>1</v>
      </c>
      <c r="M5133" s="3">
        <v>0</v>
      </c>
      <c r="N5133">
        <v>0</v>
      </c>
      <c r="O5133">
        <v>0</v>
      </c>
      <c r="P5133">
        <v>0</v>
      </c>
      <c r="Q5133">
        <v>30</v>
      </c>
      <c r="R5133" s="3">
        <v>0</v>
      </c>
      <c r="S5133" s="3">
        <v>0</v>
      </c>
      <c r="T5133">
        <v>0</v>
      </c>
      <c r="U5133">
        <v>0</v>
      </c>
      <c r="V5133" s="3">
        <v>0</v>
      </c>
      <c r="W5133" s="3">
        <v>0</v>
      </c>
      <c r="X5133">
        <v>0</v>
      </c>
      <c r="Y5133" t="s">
        <v>3875</v>
      </c>
    </row>
    <row r="5134" spans="1:25" hidden="1" x14ac:dyDescent="0.25">
      <c r="A5134" t="s">
        <v>38</v>
      </c>
      <c r="B5134" t="s">
        <v>108</v>
      </c>
      <c r="C5134" t="s">
        <v>27</v>
      </c>
      <c r="D5134" t="s">
        <v>27</v>
      </c>
      <c r="E5134" s="2">
        <v>46136</v>
      </c>
      <c r="F5134" s="2">
        <v>46136</v>
      </c>
      <c r="G5134" s="3">
        <v>42</v>
      </c>
      <c r="H5134" t="s">
        <v>28</v>
      </c>
      <c r="I5134">
        <v>41</v>
      </c>
      <c r="J5134">
        <v>0</v>
      </c>
      <c r="K5134">
        <v>0</v>
      </c>
      <c r="L5134" s="3">
        <v>1</v>
      </c>
      <c r="M5134" s="3">
        <v>0</v>
      </c>
      <c r="N5134">
        <v>0</v>
      </c>
      <c r="O5134">
        <v>0</v>
      </c>
      <c r="P5134">
        <v>0</v>
      </c>
      <c r="Q5134">
        <v>41</v>
      </c>
      <c r="R5134" s="3">
        <v>0</v>
      </c>
      <c r="S5134" s="3">
        <v>0</v>
      </c>
      <c r="T5134">
        <v>0</v>
      </c>
      <c r="U5134">
        <v>0</v>
      </c>
      <c r="V5134" s="3">
        <v>0</v>
      </c>
      <c r="W5134" s="3">
        <v>0</v>
      </c>
      <c r="X5134">
        <v>0</v>
      </c>
      <c r="Y5134" t="s">
        <v>3876</v>
      </c>
    </row>
    <row r="5135" spans="1:25" hidden="1" x14ac:dyDescent="0.25">
      <c r="A5135" t="s">
        <v>2679</v>
      </c>
      <c r="B5135" t="s">
        <v>2680</v>
      </c>
      <c r="C5135" t="s">
        <v>39</v>
      </c>
      <c r="D5135" t="s">
        <v>27</v>
      </c>
      <c r="E5135" s="2">
        <v>46136</v>
      </c>
      <c r="F5135" s="2">
        <v>46136</v>
      </c>
      <c r="G5135" s="3">
        <v>35</v>
      </c>
      <c r="H5135" t="s">
        <v>28</v>
      </c>
      <c r="I5135">
        <v>39</v>
      </c>
      <c r="J5135">
        <v>0</v>
      </c>
      <c r="K5135">
        <v>0</v>
      </c>
      <c r="L5135" s="3">
        <v>0</v>
      </c>
      <c r="M5135" s="3">
        <v>0</v>
      </c>
      <c r="N5135">
        <v>0</v>
      </c>
      <c r="O5135">
        <v>0</v>
      </c>
      <c r="P5135">
        <v>0</v>
      </c>
      <c r="Q5135">
        <v>39</v>
      </c>
      <c r="R5135" s="3">
        <v>0</v>
      </c>
      <c r="S5135" s="3">
        <v>0</v>
      </c>
      <c r="T5135">
        <v>0</v>
      </c>
      <c r="U5135">
        <v>0</v>
      </c>
      <c r="V5135" s="3">
        <v>0</v>
      </c>
      <c r="W5135" s="3">
        <v>0</v>
      </c>
      <c r="X5135">
        <v>0</v>
      </c>
      <c r="Y5135" t="s">
        <v>3877</v>
      </c>
    </row>
    <row r="5136" spans="1:25" hidden="1" x14ac:dyDescent="0.25">
      <c r="A5136" t="s">
        <v>40</v>
      </c>
      <c r="B5136" t="s">
        <v>110</v>
      </c>
      <c r="C5136" t="s">
        <v>2534</v>
      </c>
      <c r="D5136" t="s">
        <v>27</v>
      </c>
      <c r="E5136" s="2">
        <v>46136</v>
      </c>
      <c r="F5136" s="2">
        <v>46136</v>
      </c>
      <c r="G5136" s="3">
        <v>42</v>
      </c>
      <c r="H5136" t="s">
        <v>28</v>
      </c>
      <c r="I5136">
        <v>47</v>
      </c>
      <c r="J5136">
        <v>0</v>
      </c>
      <c r="K5136">
        <v>0</v>
      </c>
      <c r="L5136" s="3">
        <v>1</v>
      </c>
      <c r="M5136" s="3">
        <v>0</v>
      </c>
      <c r="N5136">
        <v>1</v>
      </c>
      <c r="O5136">
        <v>0</v>
      </c>
      <c r="P5136">
        <v>0</v>
      </c>
      <c r="Q5136">
        <v>41</v>
      </c>
      <c r="R5136" s="3">
        <v>0</v>
      </c>
      <c r="S5136" s="3">
        <v>0</v>
      </c>
      <c r="T5136">
        <v>0</v>
      </c>
      <c r="U5136">
        <v>0</v>
      </c>
      <c r="V5136" s="3">
        <v>0</v>
      </c>
      <c r="W5136" s="3">
        <v>0</v>
      </c>
      <c r="X5136">
        <v>0</v>
      </c>
      <c r="Y5136" t="s">
        <v>3878</v>
      </c>
    </row>
    <row r="5137" spans="1:25" hidden="1" x14ac:dyDescent="0.25">
      <c r="A5137" t="s">
        <v>1316</v>
      </c>
      <c r="B5137" t="s">
        <v>1348</v>
      </c>
      <c r="C5137" t="s">
        <v>46</v>
      </c>
      <c r="D5137" t="s">
        <v>27</v>
      </c>
      <c r="E5137" s="2">
        <v>46136</v>
      </c>
      <c r="F5137" s="2">
        <v>46136</v>
      </c>
      <c r="G5137" s="3">
        <v>88</v>
      </c>
      <c r="H5137" t="s">
        <v>28</v>
      </c>
      <c r="I5137">
        <v>65</v>
      </c>
      <c r="J5137">
        <v>0</v>
      </c>
      <c r="K5137">
        <v>0</v>
      </c>
      <c r="L5137" s="3">
        <v>0</v>
      </c>
      <c r="M5137" s="3">
        <v>0</v>
      </c>
      <c r="N5137">
        <v>0</v>
      </c>
      <c r="O5137">
        <v>0</v>
      </c>
      <c r="P5137">
        <v>0</v>
      </c>
      <c r="Q5137">
        <v>5</v>
      </c>
      <c r="R5137" s="3">
        <v>0</v>
      </c>
      <c r="S5137" s="3">
        <v>0</v>
      </c>
      <c r="T5137">
        <v>0</v>
      </c>
      <c r="U5137">
        <v>0</v>
      </c>
      <c r="V5137" s="3">
        <v>0</v>
      </c>
      <c r="W5137" s="3">
        <v>0</v>
      </c>
      <c r="X5137">
        <v>0</v>
      </c>
      <c r="Y5137" t="s">
        <v>3879</v>
      </c>
    </row>
    <row r="5138" spans="1:25" hidden="1" x14ac:dyDescent="0.25">
      <c r="A5138" t="s">
        <v>41</v>
      </c>
      <c r="B5138" t="s">
        <v>112</v>
      </c>
      <c r="C5138" t="s">
        <v>42</v>
      </c>
      <c r="D5138" t="s">
        <v>27</v>
      </c>
      <c r="E5138" s="2">
        <v>46136</v>
      </c>
      <c r="F5138" s="2">
        <v>46136</v>
      </c>
      <c r="G5138" s="3">
        <v>66</v>
      </c>
      <c r="H5138" t="s">
        <v>28</v>
      </c>
      <c r="I5138">
        <v>51</v>
      </c>
      <c r="J5138">
        <v>0</v>
      </c>
      <c r="K5138">
        <v>0</v>
      </c>
      <c r="L5138" s="3">
        <v>1</v>
      </c>
      <c r="M5138" s="3">
        <v>1</v>
      </c>
      <c r="N5138">
        <v>0</v>
      </c>
      <c r="O5138">
        <v>0</v>
      </c>
      <c r="P5138">
        <v>0</v>
      </c>
      <c r="Q5138">
        <v>0</v>
      </c>
      <c r="R5138" s="3">
        <v>0</v>
      </c>
      <c r="S5138" s="3">
        <v>0</v>
      </c>
      <c r="T5138">
        <v>0</v>
      </c>
      <c r="U5138">
        <v>0</v>
      </c>
      <c r="V5138" s="3">
        <v>0</v>
      </c>
      <c r="W5138" s="3">
        <v>0</v>
      </c>
      <c r="X5138">
        <v>0</v>
      </c>
      <c r="Y5138" t="s">
        <v>3880</v>
      </c>
    </row>
    <row r="5139" spans="1:25" hidden="1" x14ac:dyDescent="0.25">
      <c r="A5139" t="s">
        <v>43</v>
      </c>
      <c r="B5139" t="s">
        <v>114</v>
      </c>
      <c r="C5139" t="s">
        <v>44</v>
      </c>
      <c r="D5139" t="s">
        <v>27</v>
      </c>
      <c r="E5139" s="2">
        <v>46136</v>
      </c>
      <c r="F5139" s="2">
        <v>46136</v>
      </c>
      <c r="G5139" s="3">
        <v>27</v>
      </c>
      <c r="H5139" t="s">
        <v>28</v>
      </c>
      <c r="I5139">
        <v>68</v>
      </c>
      <c r="J5139">
        <v>0</v>
      </c>
      <c r="K5139">
        <v>0</v>
      </c>
      <c r="L5139" s="3">
        <v>1</v>
      </c>
      <c r="M5139" s="3">
        <v>0</v>
      </c>
      <c r="N5139">
        <v>0</v>
      </c>
      <c r="O5139">
        <v>0</v>
      </c>
      <c r="P5139">
        <v>0</v>
      </c>
      <c r="Q5139">
        <v>32</v>
      </c>
      <c r="R5139" s="3">
        <v>0</v>
      </c>
      <c r="S5139" s="3">
        <v>0</v>
      </c>
      <c r="T5139">
        <v>0</v>
      </c>
      <c r="U5139">
        <v>0</v>
      </c>
      <c r="V5139" s="3">
        <v>0</v>
      </c>
      <c r="W5139" s="3">
        <v>0</v>
      </c>
      <c r="X5139">
        <v>0</v>
      </c>
      <c r="Y5139" t="s">
        <v>3881</v>
      </c>
    </row>
    <row r="5140" spans="1:25" hidden="1" x14ac:dyDescent="0.25">
      <c r="A5140" t="s">
        <v>49</v>
      </c>
      <c r="B5140" t="s">
        <v>118</v>
      </c>
      <c r="C5140" t="s">
        <v>50</v>
      </c>
      <c r="D5140" t="s">
        <v>27</v>
      </c>
      <c r="E5140" s="2">
        <v>46136</v>
      </c>
      <c r="F5140" s="2">
        <v>46136</v>
      </c>
      <c r="G5140" s="3">
        <v>34</v>
      </c>
      <c r="H5140" t="s">
        <v>28</v>
      </c>
      <c r="I5140">
        <v>26</v>
      </c>
      <c r="J5140">
        <v>0</v>
      </c>
      <c r="K5140">
        <v>0</v>
      </c>
      <c r="L5140" s="3">
        <v>1</v>
      </c>
      <c r="M5140" s="3">
        <v>1</v>
      </c>
      <c r="N5140">
        <v>0</v>
      </c>
      <c r="O5140">
        <v>0</v>
      </c>
      <c r="P5140">
        <v>0</v>
      </c>
      <c r="Q5140">
        <v>25</v>
      </c>
      <c r="R5140" s="3">
        <v>0</v>
      </c>
      <c r="S5140" s="3">
        <v>0</v>
      </c>
      <c r="T5140">
        <v>0</v>
      </c>
      <c r="U5140">
        <v>0</v>
      </c>
      <c r="V5140" s="3">
        <v>0</v>
      </c>
      <c r="W5140" s="3">
        <v>0</v>
      </c>
      <c r="X5140">
        <v>0</v>
      </c>
      <c r="Y5140" t="s">
        <v>3882</v>
      </c>
    </row>
    <row r="5141" spans="1:25" hidden="1" x14ac:dyDescent="0.25">
      <c r="A5141" t="s">
        <v>51</v>
      </c>
      <c r="B5141" t="s">
        <v>120</v>
      </c>
      <c r="C5141" t="s">
        <v>2310</v>
      </c>
      <c r="D5141" t="s">
        <v>27</v>
      </c>
      <c r="E5141" s="2">
        <v>46136</v>
      </c>
      <c r="F5141" s="2">
        <v>46136</v>
      </c>
      <c r="G5141" s="3">
        <v>357</v>
      </c>
      <c r="H5141" t="s">
        <v>28</v>
      </c>
      <c r="I5141">
        <v>57</v>
      </c>
      <c r="J5141">
        <v>0</v>
      </c>
      <c r="K5141">
        <v>0</v>
      </c>
      <c r="L5141" s="3">
        <v>1</v>
      </c>
      <c r="M5141" s="3">
        <v>0</v>
      </c>
      <c r="N5141">
        <v>0</v>
      </c>
      <c r="O5141">
        <v>0</v>
      </c>
      <c r="P5141">
        <v>0</v>
      </c>
      <c r="Q5141">
        <v>10</v>
      </c>
      <c r="R5141" s="3">
        <v>0</v>
      </c>
      <c r="S5141" s="3">
        <v>0</v>
      </c>
      <c r="T5141">
        <v>0</v>
      </c>
      <c r="U5141">
        <v>0</v>
      </c>
      <c r="V5141" s="3">
        <v>0</v>
      </c>
      <c r="W5141" s="3">
        <v>0</v>
      </c>
      <c r="X5141">
        <v>1</v>
      </c>
      <c r="Y5141" t="s">
        <v>3883</v>
      </c>
    </row>
    <row r="5142" spans="1:25" x14ac:dyDescent="0.25">
      <c r="A5142" t="s">
        <v>54</v>
      </c>
      <c r="B5142" t="s">
        <v>122</v>
      </c>
      <c r="C5142" t="s">
        <v>2271</v>
      </c>
      <c r="D5142" t="s">
        <v>27</v>
      </c>
      <c r="E5142" s="2">
        <v>46136</v>
      </c>
      <c r="F5142" s="2">
        <v>46136</v>
      </c>
      <c r="G5142" s="3">
        <v>36</v>
      </c>
      <c r="H5142" t="s">
        <v>28</v>
      </c>
      <c r="I5142">
        <v>58</v>
      </c>
      <c r="J5142">
        <v>0</v>
      </c>
      <c r="K5142">
        <v>0</v>
      </c>
      <c r="L5142" s="3">
        <v>0</v>
      </c>
      <c r="M5142" s="3">
        <v>0</v>
      </c>
      <c r="N5142">
        <v>0</v>
      </c>
      <c r="O5142">
        <v>0</v>
      </c>
      <c r="P5142">
        <v>0</v>
      </c>
      <c r="Q5142">
        <v>2</v>
      </c>
      <c r="R5142" s="3">
        <v>0</v>
      </c>
      <c r="S5142" s="3">
        <v>0</v>
      </c>
      <c r="T5142">
        <v>0</v>
      </c>
      <c r="U5142">
        <v>0</v>
      </c>
      <c r="V5142" s="3">
        <v>0</v>
      </c>
      <c r="W5142" s="3">
        <v>0</v>
      </c>
      <c r="X5142">
        <v>0</v>
      </c>
      <c r="Y5142" t="s">
        <v>3884</v>
      </c>
    </row>
    <row r="5143" spans="1:25" hidden="1" x14ac:dyDescent="0.25">
      <c r="A5143" t="s">
        <v>48</v>
      </c>
      <c r="B5143" t="s">
        <v>149</v>
      </c>
      <c r="C5143" t="s">
        <v>37</v>
      </c>
      <c r="D5143" t="s">
        <v>27</v>
      </c>
      <c r="E5143" s="2">
        <v>46136</v>
      </c>
      <c r="F5143" s="2">
        <v>46136</v>
      </c>
      <c r="G5143" s="3">
        <v>26</v>
      </c>
      <c r="H5143" t="s">
        <v>28</v>
      </c>
      <c r="I5143">
        <v>86</v>
      </c>
      <c r="J5143">
        <v>0</v>
      </c>
      <c r="K5143">
        <v>0</v>
      </c>
      <c r="L5143" s="3">
        <v>1</v>
      </c>
      <c r="M5143" s="3">
        <v>0</v>
      </c>
      <c r="N5143">
        <v>0</v>
      </c>
      <c r="O5143">
        <v>0</v>
      </c>
      <c r="P5143">
        <v>0</v>
      </c>
      <c r="Q5143">
        <v>0</v>
      </c>
      <c r="R5143" s="3">
        <v>0</v>
      </c>
      <c r="S5143" s="3">
        <v>0</v>
      </c>
      <c r="T5143">
        <v>0</v>
      </c>
      <c r="U5143">
        <v>0</v>
      </c>
      <c r="V5143" s="3">
        <v>0</v>
      </c>
      <c r="W5143" s="3">
        <v>0</v>
      </c>
      <c r="X5143">
        <v>0</v>
      </c>
      <c r="Y5143" t="s">
        <v>3885</v>
      </c>
    </row>
    <row r="5144" spans="1:25" hidden="1" x14ac:dyDescent="0.25">
      <c r="A5144" t="s">
        <v>45</v>
      </c>
      <c r="B5144" t="s">
        <v>149</v>
      </c>
      <c r="C5144" t="s">
        <v>27</v>
      </c>
      <c r="D5144" t="s">
        <v>27</v>
      </c>
      <c r="E5144" s="2">
        <v>46136</v>
      </c>
      <c r="F5144" s="2">
        <v>46136</v>
      </c>
      <c r="G5144" s="3">
        <v>53</v>
      </c>
      <c r="H5144" t="s">
        <v>1975</v>
      </c>
      <c r="I5144">
        <v>0</v>
      </c>
      <c r="J5144">
        <v>0</v>
      </c>
      <c r="K5144">
        <v>0</v>
      </c>
      <c r="L5144" s="3">
        <v>0</v>
      </c>
      <c r="M5144" s="3">
        <v>0</v>
      </c>
      <c r="N5144">
        <v>0</v>
      </c>
      <c r="O5144">
        <v>0</v>
      </c>
      <c r="P5144">
        <v>0</v>
      </c>
      <c r="Q5144">
        <v>0</v>
      </c>
      <c r="R5144" s="3">
        <v>0</v>
      </c>
      <c r="S5144" s="3">
        <v>0</v>
      </c>
      <c r="T5144">
        <v>0</v>
      </c>
      <c r="U5144">
        <v>0</v>
      </c>
      <c r="V5144" s="3">
        <v>0</v>
      </c>
      <c r="W5144" s="3">
        <v>0</v>
      </c>
      <c r="X5144">
        <v>0</v>
      </c>
      <c r="Y5144" t="s">
        <v>3856</v>
      </c>
    </row>
    <row r="5145" spans="1:25" hidden="1" x14ac:dyDescent="0.25">
      <c r="A5145" t="s">
        <v>27</v>
      </c>
      <c r="B5145" t="s">
        <v>739</v>
      </c>
      <c r="C5145" t="s">
        <v>52</v>
      </c>
      <c r="D5145" t="s">
        <v>27</v>
      </c>
      <c r="E5145" s="2">
        <v>46136</v>
      </c>
      <c r="F5145" s="2">
        <v>46136</v>
      </c>
      <c r="G5145" s="3">
        <v>54</v>
      </c>
      <c r="H5145" t="s">
        <v>180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3856</v>
      </c>
    </row>
    <row r="5146" spans="1:25" hidden="1" x14ac:dyDescent="0.25">
      <c r="A5146" t="s">
        <v>47</v>
      </c>
      <c r="B5146" t="s">
        <v>755</v>
      </c>
      <c r="C5146" t="s">
        <v>27</v>
      </c>
      <c r="D5146" t="s">
        <v>27</v>
      </c>
      <c r="E5146" s="2">
        <v>46136</v>
      </c>
      <c r="F5146" s="2">
        <v>46136</v>
      </c>
      <c r="G5146" s="3">
        <v>55</v>
      </c>
      <c r="H5146" t="s">
        <v>180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t="s">
        <v>3856</v>
      </c>
    </row>
    <row r="5147" spans="1:25" hidden="1" x14ac:dyDescent="0.25">
      <c r="A5147" s="13" t="s">
        <v>2899</v>
      </c>
      <c r="B5147" t="s">
        <v>758</v>
      </c>
      <c r="C5147" t="s">
        <v>27</v>
      </c>
      <c r="D5147" t="s">
        <v>27</v>
      </c>
      <c r="E5147" s="2">
        <v>46136</v>
      </c>
      <c r="F5147" s="2">
        <v>46136</v>
      </c>
      <c r="G5147" s="3">
        <v>56</v>
      </c>
      <c r="H5147" t="s">
        <v>1448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 t="s">
        <v>3856</v>
      </c>
    </row>
    <row r="5148" spans="1:25" hidden="1" x14ac:dyDescent="0.25">
      <c r="A5148" t="s">
        <v>438</v>
      </c>
      <c r="B5148" t="s">
        <v>798</v>
      </c>
      <c r="C5148" t="s">
        <v>27</v>
      </c>
      <c r="D5148" t="s">
        <v>27</v>
      </c>
      <c r="E5148" s="2">
        <v>46136</v>
      </c>
      <c r="F5148" s="2">
        <v>46136</v>
      </c>
      <c r="G5148" s="3">
        <v>57</v>
      </c>
      <c r="H5148" t="s">
        <v>1256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 t="s">
        <v>3856</v>
      </c>
    </row>
    <row r="5149" spans="1:25" hidden="1" x14ac:dyDescent="0.25">
      <c r="A5149" t="s">
        <v>41</v>
      </c>
      <c r="B5149" t="s">
        <v>112</v>
      </c>
      <c r="C5149" t="s">
        <v>42</v>
      </c>
      <c r="D5149" t="s">
        <v>27</v>
      </c>
      <c r="E5149" s="2">
        <v>46137</v>
      </c>
      <c r="F5149" s="2">
        <v>46137</v>
      </c>
      <c r="G5149" s="3">
        <v>73</v>
      </c>
      <c r="H5149" t="s">
        <v>28</v>
      </c>
      <c r="I5149">
        <v>0</v>
      </c>
      <c r="J5149">
        <v>0</v>
      </c>
      <c r="K5149">
        <v>0</v>
      </c>
      <c r="L5149" s="3">
        <v>0</v>
      </c>
      <c r="M5149" s="3">
        <v>0</v>
      </c>
      <c r="N5149">
        <v>0</v>
      </c>
      <c r="O5149">
        <v>0</v>
      </c>
      <c r="P5149">
        <v>0</v>
      </c>
      <c r="Q5149">
        <v>42</v>
      </c>
      <c r="R5149" s="3">
        <v>1</v>
      </c>
      <c r="S5149" s="3">
        <v>0</v>
      </c>
      <c r="T5149">
        <v>42</v>
      </c>
      <c r="U5149">
        <v>64</v>
      </c>
      <c r="V5149" s="3">
        <v>1</v>
      </c>
      <c r="W5149" s="3">
        <v>0</v>
      </c>
      <c r="X5149">
        <v>4</v>
      </c>
      <c r="Y5149" t="s">
        <v>3886</v>
      </c>
    </row>
    <row r="5150" spans="1:25" x14ac:dyDescent="0.25">
      <c r="A5150" t="s">
        <v>54</v>
      </c>
      <c r="B5150" t="s">
        <v>122</v>
      </c>
      <c r="C5150" t="s">
        <v>2271</v>
      </c>
      <c r="D5150" t="s">
        <v>27</v>
      </c>
      <c r="E5150" s="2">
        <v>46137</v>
      </c>
      <c r="F5150" s="2">
        <v>46137</v>
      </c>
      <c r="G5150" s="3">
        <v>47</v>
      </c>
      <c r="H5150" t="s">
        <v>28</v>
      </c>
      <c r="I5150">
        <v>0</v>
      </c>
      <c r="J5150">
        <v>0</v>
      </c>
      <c r="K5150">
        <v>0</v>
      </c>
      <c r="L5150" s="3">
        <v>0</v>
      </c>
      <c r="M5150" s="3">
        <v>0</v>
      </c>
      <c r="N5150">
        <v>0</v>
      </c>
      <c r="O5150">
        <v>0</v>
      </c>
      <c r="P5150">
        <v>0</v>
      </c>
      <c r="Q5150">
        <v>0</v>
      </c>
      <c r="R5150" s="3">
        <v>1</v>
      </c>
      <c r="S5150" s="3">
        <v>0</v>
      </c>
      <c r="T5150">
        <v>0</v>
      </c>
      <c r="U5150">
        <v>41</v>
      </c>
      <c r="V5150" s="3">
        <v>1</v>
      </c>
      <c r="W5150" s="3">
        <v>0</v>
      </c>
      <c r="X5150">
        <v>0</v>
      </c>
      <c r="Y5150" t="s">
        <v>3887</v>
      </c>
    </row>
    <row r="5151" spans="1:25" hidden="1" x14ac:dyDescent="0.25">
      <c r="A5151" t="s">
        <v>51</v>
      </c>
      <c r="B5151" t="s">
        <v>123</v>
      </c>
      <c r="C5151" t="s">
        <v>2514</v>
      </c>
      <c r="D5151" t="s">
        <v>27</v>
      </c>
      <c r="E5151" s="2">
        <v>46137</v>
      </c>
      <c r="F5151" s="2">
        <v>46137</v>
      </c>
      <c r="G5151" s="3">
        <v>48</v>
      </c>
      <c r="H5151" t="s">
        <v>28</v>
      </c>
      <c r="I5151">
        <v>0</v>
      </c>
      <c r="J5151">
        <v>0</v>
      </c>
      <c r="K5151">
        <v>0</v>
      </c>
      <c r="L5151" s="3">
        <v>0</v>
      </c>
      <c r="M5151" s="3">
        <v>0</v>
      </c>
      <c r="N5151">
        <v>0</v>
      </c>
      <c r="O5151">
        <v>0</v>
      </c>
      <c r="P5151">
        <v>0</v>
      </c>
      <c r="Q5151">
        <v>0</v>
      </c>
      <c r="R5151" s="3">
        <v>1</v>
      </c>
      <c r="S5151" s="3">
        <v>0</v>
      </c>
      <c r="T5151">
        <v>0</v>
      </c>
      <c r="U5151">
        <v>37</v>
      </c>
      <c r="V5151" s="3">
        <v>1</v>
      </c>
      <c r="W5151" s="3">
        <v>0</v>
      </c>
      <c r="X5151" s="3">
        <v>0</v>
      </c>
      <c r="Y5151" t="s">
        <v>3887</v>
      </c>
    </row>
    <row r="5152" spans="1:25" hidden="1" x14ac:dyDescent="0.25">
      <c r="A5152" t="s">
        <v>344</v>
      </c>
      <c r="B5152" t="s">
        <v>98</v>
      </c>
      <c r="C5152" t="s">
        <v>44</v>
      </c>
      <c r="D5152" t="s">
        <v>27</v>
      </c>
      <c r="E5152" s="2">
        <v>46137</v>
      </c>
      <c r="F5152" s="2">
        <v>46137</v>
      </c>
      <c r="G5152" s="3">
        <v>49</v>
      </c>
      <c r="H5152" t="s">
        <v>28</v>
      </c>
      <c r="I5152">
        <v>0</v>
      </c>
      <c r="J5152">
        <v>0</v>
      </c>
      <c r="K5152">
        <v>0</v>
      </c>
      <c r="L5152" s="3">
        <v>0</v>
      </c>
      <c r="M5152" s="3">
        <v>0</v>
      </c>
      <c r="N5152">
        <v>0</v>
      </c>
      <c r="O5152">
        <v>0</v>
      </c>
      <c r="P5152">
        <v>0</v>
      </c>
      <c r="Q5152">
        <v>0</v>
      </c>
      <c r="R5152" s="3">
        <v>1</v>
      </c>
      <c r="S5152" s="3">
        <v>0</v>
      </c>
      <c r="T5152">
        <v>0</v>
      </c>
      <c r="U5152">
        <v>12</v>
      </c>
      <c r="V5152" s="3">
        <v>1</v>
      </c>
      <c r="W5152" s="3">
        <v>0</v>
      </c>
      <c r="X5152" s="3">
        <v>0</v>
      </c>
      <c r="Y5152" t="s">
        <v>3887</v>
      </c>
    </row>
    <row r="5153" spans="1:25" hidden="1" x14ac:dyDescent="0.25">
      <c r="A5153" t="s">
        <v>344</v>
      </c>
      <c r="B5153" t="s">
        <v>102</v>
      </c>
      <c r="C5153" t="s">
        <v>44</v>
      </c>
      <c r="D5153" t="s">
        <v>27</v>
      </c>
      <c r="E5153" s="2">
        <v>46138</v>
      </c>
      <c r="F5153" s="2">
        <v>46138</v>
      </c>
      <c r="G5153" s="3">
        <v>165</v>
      </c>
      <c r="H5153" t="s">
        <v>28</v>
      </c>
      <c r="I5153">
        <v>0</v>
      </c>
      <c r="J5153">
        <v>0</v>
      </c>
      <c r="K5153">
        <v>0</v>
      </c>
      <c r="L5153" s="3">
        <v>0</v>
      </c>
      <c r="M5153" s="3">
        <v>0</v>
      </c>
      <c r="N5153">
        <v>0</v>
      </c>
      <c r="O5153">
        <v>0</v>
      </c>
      <c r="P5153">
        <v>0</v>
      </c>
      <c r="Q5153">
        <v>0</v>
      </c>
      <c r="R5153" s="3">
        <v>0</v>
      </c>
      <c r="S5153" s="3">
        <v>1</v>
      </c>
      <c r="T5153">
        <v>0</v>
      </c>
      <c r="U5153">
        <v>145</v>
      </c>
      <c r="V5153" s="3">
        <v>0</v>
      </c>
      <c r="W5153" s="3">
        <v>1</v>
      </c>
      <c r="X5153">
        <v>1</v>
      </c>
      <c r="Y5153" t="s">
        <v>3888</v>
      </c>
    </row>
    <row r="5154" spans="1:25" hidden="1" x14ac:dyDescent="0.25">
      <c r="A5154" t="s">
        <v>54</v>
      </c>
      <c r="B5154" t="s">
        <v>106</v>
      </c>
      <c r="C5154" t="s">
        <v>55</v>
      </c>
      <c r="D5154" t="s">
        <v>27</v>
      </c>
      <c r="E5154" s="2">
        <v>46137</v>
      </c>
      <c r="F5154" s="2">
        <v>46137</v>
      </c>
      <c r="G5154" s="3">
        <v>142</v>
      </c>
      <c r="H5154" t="s">
        <v>28</v>
      </c>
      <c r="I5154">
        <v>0</v>
      </c>
      <c r="J5154">
        <v>0</v>
      </c>
      <c r="K5154">
        <v>0</v>
      </c>
      <c r="L5154" s="3">
        <v>0</v>
      </c>
      <c r="M5154" s="3">
        <v>0</v>
      </c>
      <c r="N5154">
        <v>0</v>
      </c>
      <c r="O5154">
        <v>0</v>
      </c>
      <c r="P5154">
        <v>0</v>
      </c>
      <c r="Q5154">
        <v>0</v>
      </c>
      <c r="R5154" s="3">
        <v>1</v>
      </c>
      <c r="S5154" s="3">
        <v>0</v>
      </c>
      <c r="T5154">
        <v>0</v>
      </c>
      <c r="U5154">
        <v>41</v>
      </c>
      <c r="V5154" s="3">
        <v>0</v>
      </c>
      <c r="W5154" s="3">
        <v>1</v>
      </c>
      <c r="X5154">
        <v>0</v>
      </c>
      <c r="Y5154" t="s">
        <v>3889</v>
      </c>
    </row>
    <row r="5155" spans="1:25" hidden="1" x14ac:dyDescent="0.25">
      <c r="A5155" t="s">
        <v>48</v>
      </c>
      <c r="B5155" t="s">
        <v>149</v>
      </c>
      <c r="C5155" t="s">
        <v>37</v>
      </c>
      <c r="D5155" t="s">
        <v>27</v>
      </c>
      <c r="E5155" s="2">
        <v>46138</v>
      </c>
      <c r="F5155" s="2">
        <v>46138</v>
      </c>
      <c r="G5155" s="3">
        <v>121</v>
      </c>
      <c r="H5155" t="s">
        <v>28</v>
      </c>
      <c r="I5155">
        <v>0</v>
      </c>
      <c r="J5155">
        <v>0</v>
      </c>
      <c r="K5155">
        <v>0</v>
      </c>
      <c r="L5155" s="3">
        <v>0</v>
      </c>
      <c r="M5155" s="3">
        <v>0</v>
      </c>
      <c r="N5155">
        <v>0</v>
      </c>
      <c r="O5155">
        <v>0</v>
      </c>
      <c r="P5155">
        <v>0</v>
      </c>
      <c r="Q5155">
        <v>0</v>
      </c>
      <c r="R5155" s="3">
        <v>0</v>
      </c>
      <c r="S5155" s="3">
        <v>1</v>
      </c>
      <c r="T5155">
        <v>30</v>
      </c>
      <c r="U5155">
        <v>146</v>
      </c>
      <c r="V5155" s="3">
        <v>0</v>
      </c>
      <c r="W5155" s="3">
        <v>1</v>
      </c>
      <c r="X5155">
        <v>1</v>
      </c>
      <c r="Y5155" t="s">
        <v>3890</v>
      </c>
    </row>
    <row r="5156" spans="1:25" hidden="1" x14ac:dyDescent="0.25">
      <c r="A5156" t="s">
        <v>29</v>
      </c>
      <c r="B5156" t="s">
        <v>739</v>
      </c>
      <c r="C5156" s="13" t="s">
        <v>2835</v>
      </c>
      <c r="D5156" t="s">
        <v>27</v>
      </c>
      <c r="E5156" s="2">
        <v>46138</v>
      </c>
      <c r="F5156" s="2">
        <v>46138</v>
      </c>
      <c r="G5156" s="3">
        <v>122</v>
      </c>
      <c r="H5156" t="s">
        <v>28</v>
      </c>
      <c r="I5156">
        <v>0</v>
      </c>
      <c r="J5156">
        <v>0</v>
      </c>
      <c r="K5156">
        <v>0</v>
      </c>
      <c r="L5156" s="3">
        <v>0</v>
      </c>
      <c r="M5156" s="3">
        <v>0</v>
      </c>
      <c r="N5156">
        <v>0</v>
      </c>
      <c r="O5156">
        <v>0</v>
      </c>
      <c r="P5156">
        <v>0</v>
      </c>
      <c r="Q5156">
        <v>0</v>
      </c>
      <c r="R5156" s="3">
        <v>0</v>
      </c>
      <c r="S5156" s="3">
        <v>1</v>
      </c>
      <c r="T5156">
        <v>0</v>
      </c>
      <c r="U5156">
        <v>164</v>
      </c>
      <c r="V5156" s="3">
        <v>0</v>
      </c>
      <c r="W5156" s="3">
        <v>1</v>
      </c>
      <c r="X5156" s="3">
        <v>1</v>
      </c>
      <c r="Y5156" t="s">
        <v>3890</v>
      </c>
    </row>
    <row r="5157" spans="1:25" hidden="1" x14ac:dyDescent="0.25">
      <c r="A5157" t="s">
        <v>55</v>
      </c>
      <c r="B5157" t="s">
        <v>2072</v>
      </c>
      <c r="C5157" t="s">
        <v>2835</v>
      </c>
      <c r="D5157" t="s">
        <v>27</v>
      </c>
      <c r="E5157" s="2">
        <v>46139</v>
      </c>
      <c r="F5157" s="2">
        <v>46139</v>
      </c>
      <c r="G5157" s="3">
        <v>63</v>
      </c>
      <c r="H5157" t="s">
        <v>28</v>
      </c>
      <c r="I5157">
        <v>40</v>
      </c>
      <c r="J5157">
        <v>0</v>
      </c>
      <c r="K5157">
        <v>0</v>
      </c>
      <c r="L5157" s="3">
        <v>1</v>
      </c>
      <c r="M5157" s="3">
        <v>0</v>
      </c>
      <c r="N5157">
        <v>1</v>
      </c>
      <c r="O5157">
        <v>0</v>
      </c>
      <c r="P5157">
        <v>0</v>
      </c>
      <c r="Q5157">
        <v>0</v>
      </c>
      <c r="R5157" s="3">
        <v>0</v>
      </c>
      <c r="S5157" s="3">
        <v>0</v>
      </c>
      <c r="T5157">
        <v>0</v>
      </c>
      <c r="U5157">
        <v>0</v>
      </c>
      <c r="V5157" s="3">
        <v>0</v>
      </c>
      <c r="W5157" s="3">
        <v>0</v>
      </c>
      <c r="X5157">
        <v>0</v>
      </c>
      <c r="Y5157" t="s">
        <v>3891</v>
      </c>
    </row>
    <row r="5158" spans="1:25" hidden="1" x14ac:dyDescent="0.25">
      <c r="A5158" t="s">
        <v>25</v>
      </c>
      <c r="B5158" t="s">
        <v>96</v>
      </c>
      <c r="C5158" t="s">
        <v>26</v>
      </c>
      <c r="D5158" t="s">
        <v>27</v>
      </c>
      <c r="E5158" s="2">
        <v>46139</v>
      </c>
      <c r="F5158" s="2">
        <v>46139</v>
      </c>
      <c r="G5158" s="3">
        <v>37</v>
      </c>
      <c r="H5158" t="s">
        <v>28</v>
      </c>
      <c r="I5158">
        <v>82</v>
      </c>
      <c r="J5158">
        <v>0</v>
      </c>
      <c r="K5158">
        <v>0</v>
      </c>
      <c r="L5158" s="3">
        <v>0</v>
      </c>
      <c r="M5158" s="3">
        <v>1</v>
      </c>
      <c r="N5158">
        <v>1</v>
      </c>
      <c r="O5158">
        <v>0</v>
      </c>
      <c r="P5158">
        <v>0</v>
      </c>
      <c r="Q5158">
        <v>0</v>
      </c>
      <c r="R5158" s="3">
        <v>0</v>
      </c>
      <c r="S5158" s="3">
        <v>0</v>
      </c>
      <c r="T5158">
        <v>0</v>
      </c>
      <c r="U5158">
        <v>0</v>
      </c>
      <c r="V5158" s="3">
        <v>0</v>
      </c>
      <c r="W5158" s="3">
        <v>0</v>
      </c>
      <c r="X5158">
        <v>0</v>
      </c>
      <c r="Y5158" t="s">
        <v>3892</v>
      </c>
    </row>
    <row r="5159" spans="1:25" hidden="1" x14ac:dyDescent="0.25">
      <c r="A5159" t="s">
        <v>29</v>
      </c>
      <c r="B5159" t="s">
        <v>100</v>
      </c>
      <c r="C5159" t="s">
        <v>95</v>
      </c>
      <c r="D5159" t="s">
        <v>27</v>
      </c>
      <c r="E5159" s="2">
        <v>46139</v>
      </c>
      <c r="F5159" s="2">
        <v>46139</v>
      </c>
      <c r="G5159" s="3">
        <v>42</v>
      </c>
      <c r="H5159" t="s">
        <v>28</v>
      </c>
      <c r="I5159">
        <v>53</v>
      </c>
      <c r="J5159">
        <v>0</v>
      </c>
      <c r="K5159">
        <v>0</v>
      </c>
      <c r="L5159" s="3">
        <v>1</v>
      </c>
      <c r="M5159" s="3">
        <v>0</v>
      </c>
      <c r="N5159">
        <v>0</v>
      </c>
      <c r="O5159">
        <v>0</v>
      </c>
      <c r="P5159">
        <v>15</v>
      </c>
      <c r="Q5159">
        <v>9</v>
      </c>
      <c r="R5159" s="3">
        <v>0</v>
      </c>
      <c r="S5159" s="3">
        <v>0</v>
      </c>
      <c r="T5159">
        <v>0</v>
      </c>
      <c r="U5159">
        <v>0</v>
      </c>
      <c r="V5159" s="3">
        <v>0</v>
      </c>
      <c r="W5159" s="3">
        <v>0</v>
      </c>
      <c r="X5159">
        <v>0</v>
      </c>
      <c r="Y5159" t="s">
        <v>3893</v>
      </c>
    </row>
    <row r="5160" spans="1:25" hidden="1" x14ac:dyDescent="0.25">
      <c r="A5160" t="s">
        <v>344</v>
      </c>
      <c r="B5160" t="s">
        <v>100</v>
      </c>
      <c r="C5160" t="s">
        <v>35</v>
      </c>
      <c r="D5160" t="s">
        <v>27</v>
      </c>
      <c r="E5160" s="2">
        <v>46139</v>
      </c>
      <c r="F5160" s="2">
        <v>46139</v>
      </c>
      <c r="G5160" s="3">
        <v>42</v>
      </c>
      <c r="H5160" t="s">
        <v>28</v>
      </c>
      <c r="I5160">
        <v>53</v>
      </c>
      <c r="J5160">
        <v>0</v>
      </c>
      <c r="K5160">
        <v>0</v>
      </c>
      <c r="L5160" s="3">
        <v>1</v>
      </c>
      <c r="M5160" s="3">
        <v>0</v>
      </c>
      <c r="N5160">
        <v>0</v>
      </c>
      <c r="O5160">
        <v>0</v>
      </c>
      <c r="P5160">
        <v>15</v>
      </c>
      <c r="Q5160">
        <v>9</v>
      </c>
      <c r="R5160" s="3">
        <v>0</v>
      </c>
      <c r="S5160" s="3">
        <v>0</v>
      </c>
      <c r="T5160">
        <v>0</v>
      </c>
      <c r="U5160">
        <v>0</v>
      </c>
      <c r="V5160" s="3">
        <v>0</v>
      </c>
      <c r="W5160" s="3">
        <v>0</v>
      </c>
      <c r="X5160">
        <v>0</v>
      </c>
      <c r="Y5160" t="s">
        <v>3893</v>
      </c>
    </row>
    <row r="5161" spans="1:25" hidden="1" x14ac:dyDescent="0.25">
      <c r="A5161" t="s">
        <v>31</v>
      </c>
      <c r="B5161" t="s">
        <v>104</v>
      </c>
      <c r="C5161" t="s">
        <v>32</v>
      </c>
      <c r="D5161" t="s">
        <v>27</v>
      </c>
      <c r="E5161" s="2">
        <v>46139</v>
      </c>
      <c r="F5161" s="2">
        <v>46139</v>
      </c>
      <c r="G5161" s="3">
        <v>56</v>
      </c>
      <c r="H5161" t="s">
        <v>28</v>
      </c>
      <c r="I5161">
        <v>87</v>
      </c>
      <c r="J5161">
        <v>0</v>
      </c>
      <c r="K5161">
        <v>0</v>
      </c>
      <c r="L5161" s="3">
        <v>1</v>
      </c>
      <c r="M5161" s="3">
        <v>0</v>
      </c>
      <c r="N5161">
        <v>0</v>
      </c>
      <c r="O5161">
        <v>0</v>
      </c>
      <c r="P5161">
        <v>0</v>
      </c>
      <c r="Q5161">
        <v>30</v>
      </c>
      <c r="R5161" s="3">
        <v>0</v>
      </c>
      <c r="S5161" s="3">
        <v>0</v>
      </c>
      <c r="T5161">
        <v>0</v>
      </c>
      <c r="U5161">
        <v>0</v>
      </c>
      <c r="V5161" s="3">
        <v>0</v>
      </c>
      <c r="W5161" s="3">
        <v>0</v>
      </c>
      <c r="X5161">
        <v>0</v>
      </c>
      <c r="Y5161" t="s">
        <v>3894</v>
      </c>
    </row>
    <row r="5162" spans="1:25" hidden="1" x14ac:dyDescent="0.25">
      <c r="A5162" t="s">
        <v>36</v>
      </c>
      <c r="B5162" t="s">
        <v>249</v>
      </c>
      <c r="C5162" t="s">
        <v>2514</v>
      </c>
      <c r="D5162" t="s">
        <v>27</v>
      </c>
      <c r="E5162" s="2">
        <v>46139</v>
      </c>
      <c r="F5162" s="2">
        <v>46139</v>
      </c>
      <c r="G5162" s="3">
        <v>43</v>
      </c>
      <c r="H5162" t="s">
        <v>28</v>
      </c>
      <c r="I5162">
        <v>81</v>
      </c>
      <c r="J5162">
        <v>0</v>
      </c>
      <c r="K5162">
        <v>0</v>
      </c>
      <c r="L5162" s="3">
        <v>1</v>
      </c>
      <c r="M5162" s="3">
        <v>0</v>
      </c>
      <c r="N5162">
        <v>0</v>
      </c>
      <c r="O5162">
        <v>0</v>
      </c>
      <c r="P5162">
        <v>0</v>
      </c>
      <c r="Q5162">
        <v>30</v>
      </c>
      <c r="R5162" s="3">
        <v>0</v>
      </c>
      <c r="S5162" s="3">
        <v>0</v>
      </c>
      <c r="T5162">
        <v>0</v>
      </c>
      <c r="U5162">
        <v>0</v>
      </c>
      <c r="V5162" s="3">
        <v>0</v>
      </c>
      <c r="W5162" s="3">
        <v>0</v>
      </c>
      <c r="X5162">
        <v>0</v>
      </c>
      <c r="Y5162" t="s">
        <v>3895</v>
      </c>
    </row>
    <row r="5163" spans="1:25" hidden="1" x14ac:dyDescent="0.25">
      <c r="A5163" t="s">
        <v>38</v>
      </c>
      <c r="B5163" t="s">
        <v>108</v>
      </c>
      <c r="C5163" t="s">
        <v>27</v>
      </c>
      <c r="D5163" t="s">
        <v>27</v>
      </c>
      <c r="E5163" s="2">
        <v>46139</v>
      </c>
      <c r="F5163" s="2">
        <v>46139</v>
      </c>
      <c r="G5163" s="3">
        <v>39</v>
      </c>
      <c r="H5163" t="s">
        <v>28</v>
      </c>
      <c r="I5163">
        <v>45</v>
      </c>
      <c r="J5163">
        <v>0</v>
      </c>
      <c r="K5163">
        <v>0</v>
      </c>
      <c r="L5163" s="3">
        <v>1</v>
      </c>
      <c r="M5163" s="3">
        <v>0</v>
      </c>
      <c r="N5163">
        <v>0</v>
      </c>
      <c r="O5163">
        <v>0</v>
      </c>
      <c r="P5163">
        <v>0</v>
      </c>
      <c r="Q5163">
        <v>45</v>
      </c>
      <c r="R5163" s="3">
        <v>0</v>
      </c>
      <c r="S5163" s="3">
        <v>0</v>
      </c>
      <c r="T5163">
        <v>0</v>
      </c>
      <c r="U5163">
        <v>0</v>
      </c>
      <c r="V5163" s="3">
        <v>0</v>
      </c>
      <c r="W5163" s="3">
        <v>0</v>
      </c>
      <c r="X5163">
        <v>0</v>
      </c>
      <c r="Y5163" t="s">
        <v>3896</v>
      </c>
    </row>
    <row r="5164" spans="1:25" hidden="1" x14ac:dyDescent="0.25">
      <c r="A5164" t="s">
        <v>2679</v>
      </c>
      <c r="B5164" t="s">
        <v>2680</v>
      </c>
      <c r="C5164" t="s">
        <v>39</v>
      </c>
      <c r="D5164" t="s">
        <v>27</v>
      </c>
      <c r="E5164" s="2">
        <v>46139</v>
      </c>
      <c r="F5164" s="2">
        <v>46139</v>
      </c>
      <c r="G5164" s="3">
        <v>30</v>
      </c>
      <c r="H5164" t="s">
        <v>28</v>
      </c>
      <c r="I5164">
        <v>39</v>
      </c>
      <c r="J5164">
        <v>0</v>
      </c>
      <c r="K5164">
        <v>0</v>
      </c>
      <c r="L5164" s="3">
        <v>0</v>
      </c>
      <c r="M5164" s="3">
        <v>0</v>
      </c>
      <c r="N5164">
        <v>0</v>
      </c>
      <c r="O5164">
        <v>0</v>
      </c>
      <c r="P5164">
        <v>0</v>
      </c>
      <c r="Q5164">
        <v>39</v>
      </c>
      <c r="R5164" s="3">
        <v>0</v>
      </c>
      <c r="S5164" s="3">
        <v>0</v>
      </c>
      <c r="T5164">
        <v>0</v>
      </c>
      <c r="U5164">
        <v>0</v>
      </c>
      <c r="V5164" s="3">
        <v>0</v>
      </c>
      <c r="W5164" s="3">
        <v>0</v>
      </c>
      <c r="X5164">
        <v>0</v>
      </c>
      <c r="Y5164" t="s">
        <v>3897</v>
      </c>
    </row>
    <row r="5165" spans="1:25" hidden="1" x14ac:dyDescent="0.25">
      <c r="A5165" t="s">
        <v>40</v>
      </c>
      <c r="B5165" t="s">
        <v>110</v>
      </c>
      <c r="C5165" t="s">
        <v>2534</v>
      </c>
      <c r="D5165" t="s">
        <v>27</v>
      </c>
      <c r="E5165" s="2">
        <v>46139</v>
      </c>
      <c r="F5165" s="2">
        <v>46139</v>
      </c>
      <c r="G5165" s="3">
        <v>44</v>
      </c>
      <c r="H5165" t="s">
        <v>28</v>
      </c>
      <c r="I5165">
        <v>56</v>
      </c>
      <c r="J5165">
        <v>0</v>
      </c>
      <c r="K5165">
        <v>0</v>
      </c>
      <c r="L5165" s="3">
        <v>1</v>
      </c>
      <c r="M5165" s="3">
        <v>0</v>
      </c>
      <c r="N5165">
        <v>1</v>
      </c>
      <c r="O5165">
        <v>0</v>
      </c>
      <c r="P5165">
        <v>0</v>
      </c>
      <c r="Q5165">
        <v>41</v>
      </c>
      <c r="R5165" s="3">
        <v>0</v>
      </c>
      <c r="S5165" s="3">
        <v>0</v>
      </c>
      <c r="T5165">
        <v>0</v>
      </c>
      <c r="U5165">
        <v>0</v>
      </c>
      <c r="V5165" s="3">
        <v>0</v>
      </c>
      <c r="W5165" s="3">
        <v>0</v>
      </c>
      <c r="X5165">
        <v>0</v>
      </c>
      <c r="Y5165" t="s">
        <v>3898</v>
      </c>
    </row>
    <row r="5166" spans="1:25" hidden="1" x14ac:dyDescent="0.25">
      <c r="A5166" t="s">
        <v>41</v>
      </c>
      <c r="B5166" t="s">
        <v>112</v>
      </c>
      <c r="C5166" t="s">
        <v>42</v>
      </c>
      <c r="D5166" t="s">
        <v>27</v>
      </c>
      <c r="E5166" s="2">
        <v>46139</v>
      </c>
      <c r="F5166" s="2">
        <v>46139</v>
      </c>
      <c r="G5166" s="3">
        <v>41</v>
      </c>
      <c r="H5166" t="s">
        <v>28</v>
      </c>
      <c r="I5166">
        <v>32</v>
      </c>
      <c r="J5166">
        <v>40</v>
      </c>
      <c r="K5166">
        <v>0</v>
      </c>
      <c r="L5166" s="3">
        <v>1</v>
      </c>
      <c r="M5166" s="3">
        <v>0</v>
      </c>
      <c r="N5166">
        <v>0</v>
      </c>
      <c r="O5166">
        <v>0</v>
      </c>
      <c r="P5166">
        <v>0</v>
      </c>
      <c r="Q5166">
        <v>4</v>
      </c>
      <c r="R5166" s="3">
        <v>0</v>
      </c>
      <c r="S5166" s="3">
        <v>0</v>
      </c>
      <c r="T5166">
        <v>0</v>
      </c>
      <c r="U5166">
        <v>0</v>
      </c>
      <c r="V5166" s="3">
        <v>0</v>
      </c>
      <c r="W5166" s="3">
        <v>0</v>
      </c>
      <c r="X5166">
        <v>1</v>
      </c>
      <c r="Y5166" t="s">
        <v>3899</v>
      </c>
    </row>
    <row r="5167" spans="1:25" hidden="1" x14ac:dyDescent="0.25">
      <c r="A5167" t="s">
        <v>43</v>
      </c>
      <c r="B5167" t="s">
        <v>114</v>
      </c>
      <c r="C5167" t="s">
        <v>241</v>
      </c>
      <c r="D5167" t="s">
        <v>27</v>
      </c>
      <c r="E5167" s="2">
        <v>46139</v>
      </c>
      <c r="F5167" s="2">
        <v>46139</v>
      </c>
      <c r="G5167" s="3">
        <v>29</v>
      </c>
      <c r="H5167" t="s">
        <v>28</v>
      </c>
      <c r="I5167">
        <v>69</v>
      </c>
      <c r="J5167">
        <v>0</v>
      </c>
      <c r="K5167">
        <v>0</v>
      </c>
      <c r="L5167" s="3">
        <v>1</v>
      </c>
      <c r="M5167" s="3">
        <v>0</v>
      </c>
      <c r="N5167">
        <v>0</v>
      </c>
      <c r="O5167">
        <v>0</v>
      </c>
      <c r="P5167">
        <v>0</v>
      </c>
      <c r="Q5167">
        <v>32</v>
      </c>
      <c r="R5167" s="3">
        <v>0</v>
      </c>
      <c r="S5167" s="3">
        <v>0</v>
      </c>
      <c r="T5167">
        <v>0</v>
      </c>
      <c r="U5167">
        <v>0</v>
      </c>
      <c r="V5167" s="3">
        <v>0</v>
      </c>
      <c r="W5167" s="3">
        <v>0</v>
      </c>
      <c r="X5167">
        <v>0</v>
      </c>
      <c r="Y5167" t="s">
        <v>3900</v>
      </c>
    </row>
    <row r="5168" spans="1:25" hidden="1" x14ac:dyDescent="0.25">
      <c r="A5168" t="s">
        <v>45</v>
      </c>
      <c r="B5168" t="s">
        <v>116</v>
      </c>
      <c r="C5168" t="s">
        <v>46</v>
      </c>
      <c r="D5168" t="s">
        <v>27</v>
      </c>
      <c r="E5168" s="2">
        <v>46139</v>
      </c>
      <c r="F5168" s="2">
        <v>46139</v>
      </c>
      <c r="G5168" s="3">
        <v>49</v>
      </c>
      <c r="H5168" t="s">
        <v>28</v>
      </c>
      <c r="I5168">
        <v>61</v>
      </c>
      <c r="J5168">
        <v>0</v>
      </c>
      <c r="K5168">
        <v>0</v>
      </c>
      <c r="L5168" s="3">
        <v>1</v>
      </c>
      <c r="M5168" s="3">
        <v>0</v>
      </c>
      <c r="N5168">
        <v>0</v>
      </c>
      <c r="O5168">
        <v>0</v>
      </c>
      <c r="P5168">
        <v>0</v>
      </c>
      <c r="Q5168">
        <v>8</v>
      </c>
      <c r="R5168" s="3">
        <v>0</v>
      </c>
      <c r="S5168" s="3">
        <v>0</v>
      </c>
      <c r="T5168">
        <v>0</v>
      </c>
      <c r="U5168">
        <v>0</v>
      </c>
      <c r="V5168" s="3">
        <v>0</v>
      </c>
      <c r="W5168" s="3">
        <v>0</v>
      </c>
      <c r="X5168">
        <v>0</v>
      </c>
      <c r="Y5168" t="s">
        <v>3901</v>
      </c>
    </row>
    <row r="5169" spans="1:25" hidden="1" x14ac:dyDescent="0.25">
      <c r="A5169" t="s">
        <v>49</v>
      </c>
      <c r="B5169" t="s">
        <v>118</v>
      </c>
      <c r="C5169" t="s">
        <v>50</v>
      </c>
      <c r="D5169" t="s">
        <v>27</v>
      </c>
      <c r="E5169" s="2">
        <v>46139</v>
      </c>
      <c r="F5169" s="2">
        <v>46139</v>
      </c>
      <c r="G5169" s="3">
        <v>36</v>
      </c>
      <c r="H5169" t="s">
        <v>28</v>
      </c>
      <c r="I5169">
        <v>25</v>
      </c>
      <c r="J5169">
        <v>0</v>
      </c>
      <c r="K5169">
        <v>0</v>
      </c>
      <c r="L5169" s="3">
        <v>1</v>
      </c>
      <c r="M5169" s="3">
        <v>1</v>
      </c>
      <c r="N5169">
        <v>0</v>
      </c>
      <c r="O5169">
        <v>1</v>
      </c>
      <c r="P5169">
        <v>0</v>
      </c>
      <c r="Q5169">
        <v>25</v>
      </c>
      <c r="R5169" s="3">
        <v>0</v>
      </c>
      <c r="S5169" s="3">
        <v>0</v>
      </c>
      <c r="T5169">
        <v>0</v>
      </c>
      <c r="U5169">
        <v>0</v>
      </c>
      <c r="V5169" s="3">
        <v>0</v>
      </c>
      <c r="W5169" s="3">
        <v>0</v>
      </c>
      <c r="X5169">
        <v>0</v>
      </c>
      <c r="Y5169" t="s">
        <v>3902</v>
      </c>
    </row>
    <row r="5170" spans="1:25" hidden="1" x14ac:dyDescent="0.25">
      <c r="A5170" t="s">
        <v>51</v>
      </c>
      <c r="B5170" t="s">
        <v>120</v>
      </c>
      <c r="C5170" t="s">
        <v>2310</v>
      </c>
      <c r="D5170" t="s">
        <v>27</v>
      </c>
      <c r="E5170" s="2">
        <v>46139</v>
      </c>
      <c r="F5170" s="2">
        <v>46139</v>
      </c>
      <c r="G5170" s="3">
        <v>984</v>
      </c>
      <c r="H5170" t="s">
        <v>28</v>
      </c>
      <c r="I5170">
        <v>46</v>
      </c>
      <c r="J5170">
        <v>0</v>
      </c>
      <c r="K5170">
        <v>0</v>
      </c>
      <c r="L5170" s="3">
        <v>1</v>
      </c>
      <c r="M5170" s="3">
        <v>0</v>
      </c>
      <c r="N5170">
        <v>0</v>
      </c>
      <c r="O5170">
        <v>0</v>
      </c>
      <c r="P5170">
        <v>0</v>
      </c>
      <c r="Q5170">
        <v>6</v>
      </c>
      <c r="R5170" s="3">
        <v>0</v>
      </c>
      <c r="S5170" s="3">
        <v>0</v>
      </c>
      <c r="T5170">
        <v>0</v>
      </c>
      <c r="U5170">
        <v>0</v>
      </c>
      <c r="V5170" s="3">
        <v>0</v>
      </c>
      <c r="W5170" s="3">
        <v>0</v>
      </c>
      <c r="X5170">
        <v>0</v>
      </c>
      <c r="Y5170" t="s">
        <v>3903</v>
      </c>
    </row>
    <row r="5171" spans="1:25" x14ac:dyDescent="0.25">
      <c r="A5171" t="s">
        <v>54</v>
      </c>
      <c r="B5171" t="s">
        <v>122</v>
      </c>
      <c r="C5171" t="s">
        <v>2271</v>
      </c>
      <c r="D5171" t="s">
        <v>27</v>
      </c>
      <c r="E5171" s="2">
        <v>46139</v>
      </c>
      <c r="F5171" s="2">
        <v>46139</v>
      </c>
      <c r="G5171" s="3">
        <v>42</v>
      </c>
      <c r="H5171" t="s">
        <v>28</v>
      </c>
      <c r="I5171">
        <v>50</v>
      </c>
      <c r="J5171">
        <v>0</v>
      </c>
      <c r="K5171">
        <v>0</v>
      </c>
      <c r="L5171" s="3">
        <v>0</v>
      </c>
      <c r="M5171" s="3">
        <v>0</v>
      </c>
      <c r="N5171">
        <v>0</v>
      </c>
      <c r="O5171">
        <v>0</v>
      </c>
      <c r="P5171">
        <v>0</v>
      </c>
      <c r="Q5171">
        <v>2</v>
      </c>
      <c r="R5171" s="3">
        <v>0</v>
      </c>
      <c r="S5171" s="3">
        <v>0</v>
      </c>
      <c r="T5171">
        <v>0</v>
      </c>
      <c r="U5171">
        <v>0</v>
      </c>
      <c r="V5171" s="3">
        <v>0</v>
      </c>
      <c r="W5171" s="3">
        <v>0</v>
      </c>
      <c r="X5171">
        <v>1</v>
      </c>
      <c r="Y5171" t="s">
        <v>3904</v>
      </c>
    </row>
    <row r="5172" spans="1:25" hidden="1" x14ac:dyDescent="0.25">
      <c r="A5172" t="s">
        <v>48</v>
      </c>
      <c r="B5172" t="s">
        <v>149</v>
      </c>
      <c r="C5172" t="s">
        <v>37</v>
      </c>
      <c r="D5172" t="s">
        <v>27</v>
      </c>
      <c r="E5172" s="2">
        <v>46139</v>
      </c>
      <c r="F5172" s="2">
        <v>46139</v>
      </c>
      <c r="G5172" s="3">
        <v>26</v>
      </c>
      <c r="H5172" t="s">
        <v>28</v>
      </c>
      <c r="I5172">
        <v>79</v>
      </c>
      <c r="J5172">
        <v>0</v>
      </c>
      <c r="K5172">
        <v>0</v>
      </c>
      <c r="L5172" s="3">
        <v>1</v>
      </c>
      <c r="M5172" s="3">
        <v>0</v>
      </c>
      <c r="N5172">
        <v>0</v>
      </c>
      <c r="O5172">
        <v>0</v>
      </c>
      <c r="P5172">
        <v>0</v>
      </c>
      <c r="Q5172">
        <v>0</v>
      </c>
      <c r="R5172" s="3">
        <v>0</v>
      </c>
      <c r="S5172" s="3">
        <v>0</v>
      </c>
      <c r="T5172">
        <v>0</v>
      </c>
      <c r="U5172">
        <v>0</v>
      </c>
      <c r="V5172" s="3">
        <v>0</v>
      </c>
      <c r="W5172" s="3">
        <v>0</v>
      </c>
      <c r="X5172">
        <v>0</v>
      </c>
      <c r="Y5172" t="s">
        <v>3905</v>
      </c>
    </row>
    <row r="5173" spans="1:25" hidden="1" x14ac:dyDescent="0.25">
      <c r="A5173" t="s">
        <v>33</v>
      </c>
      <c r="B5173" t="s">
        <v>149</v>
      </c>
      <c r="C5173" t="s">
        <v>57</v>
      </c>
      <c r="D5173" t="s">
        <v>27</v>
      </c>
      <c r="E5173" s="2">
        <v>46139</v>
      </c>
      <c r="F5173" s="2">
        <v>46139</v>
      </c>
      <c r="G5173" s="3">
        <v>26</v>
      </c>
      <c r="H5173" t="s">
        <v>1448</v>
      </c>
      <c r="I5173">
        <v>0</v>
      </c>
      <c r="J5173">
        <v>0</v>
      </c>
      <c r="K5173">
        <v>0</v>
      </c>
      <c r="L5173" s="3">
        <v>0</v>
      </c>
      <c r="M5173" s="3">
        <v>0</v>
      </c>
      <c r="N5173">
        <v>0</v>
      </c>
      <c r="O5173">
        <v>0</v>
      </c>
      <c r="P5173">
        <v>0</v>
      </c>
      <c r="Q5173">
        <v>0</v>
      </c>
      <c r="R5173" s="3">
        <v>0</v>
      </c>
      <c r="S5173" s="3">
        <v>0</v>
      </c>
      <c r="T5173">
        <v>0</v>
      </c>
      <c r="U5173">
        <v>0</v>
      </c>
      <c r="V5173" s="3">
        <v>0</v>
      </c>
      <c r="W5173" s="3">
        <v>0</v>
      </c>
      <c r="X5173">
        <v>0</v>
      </c>
      <c r="Y5173" t="s">
        <v>3905</v>
      </c>
    </row>
    <row r="5174" spans="1:25" hidden="1" x14ac:dyDescent="0.25">
      <c r="A5174" t="s">
        <v>27</v>
      </c>
      <c r="B5174" t="s">
        <v>739</v>
      </c>
      <c r="C5174" t="s">
        <v>52</v>
      </c>
      <c r="D5174" t="s">
        <v>27</v>
      </c>
      <c r="E5174" s="2">
        <v>46139</v>
      </c>
      <c r="F5174" s="2">
        <v>46139</v>
      </c>
      <c r="G5174" s="3">
        <v>54</v>
      </c>
      <c r="H5174" t="s">
        <v>180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 t="s">
        <v>3856</v>
      </c>
    </row>
    <row r="5175" spans="1:25" hidden="1" x14ac:dyDescent="0.25">
      <c r="A5175" t="s">
        <v>47</v>
      </c>
      <c r="B5175" t="s">
        <v>755</v>
      </c>
      <c r="C5175" t="s">
        <v>27</v>
      </c>
      <c r="D5175" t="s">
        <v>27</v>
      </c>
      <c r="E5175" s="2">
        <v>46139</v>
      </c>
      <c r="F5175" s="2">
        <v>46139</v>
      </c>
      <c r="G5175" s="3">
        <v>55</v>
      </c>
      <c r="H5175" t="s">
        <v>1256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 t="s">
        <v>3856</v>
      </c>
    </row>
    <row r="5176" spans="1:25" hidden="1" x14ac:dyDescent="0.25">
      <c r="A5176" s="13" t="s">
        <v>2899</v>
      </c>
      <c r="B5176" t="s">
        <v>758</v>
      </c>
      <c r="C5176" t="s">
        <v>27</v>
      </c>
      <c r="D5176" t="s">
        <v>27</v>
      </c>
      <c r="E5176" s="2">
        <v>46139</v>
      </c>
      <c r="F5176" s="2">
        <v>46139</v>
      </c>
      <c r="G5176" s="3">
        <v>56</v>
      </c>
      <c r="H5176" t="s">
        <v>1448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 t="s">
        <v>3856</v>
      </c>
    </row>
    <row r="5177" spans="1:25" hidden="1" x14ac:dyDescent="0.25">
      <c r="A5177" t="s">
        <v>438</v>
      </c>
      <c r="B5177" t="s">
        <v>798</v>
      </c>
      <c r="C5177" t="s">
        <v>27</v>
      </c>
      <c r="D5177" t="s">
        <v>27</v>
      </c>
      <c r="E5177" s="2">
        <v>46139</v>
      </c>
      <c r="F5177" s="2">
        <v>46139</v>
      </c>
      <c r="G5177" s="3">
        <v>57</v>
      </c>
      <c r="H5177" t="s">
        <v>1256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 t="s">
        <v>3856</v>
      </c>
    </row>
    <row r="5178" spans="1:25" hidden="1" x14ac:dyDescent="0.25">
      <c r="A5178" t="s">
        <v>55</v>
      </c>
      <c r="B5178" t="s">
        <v>2072</v>
      </c>
      <c r="C5178" t="s">
        <v>2310</v>
      </c>
      <c r="D5178" t="s">
        <v>27</v>
      </c>
      <c r="E5178" s="2">
        <v>46140</v>
      </c>
      <c r="F5178" s="2">
        <v>46140</v>
      </c>
      <c r="G5178" s="3">
        <v>219</v>
      </c>
      <c r="H5178" t="s">
        <v>28</v>
      </c>
      <c r="I5178">
        <v>47</v>
      </c>
      <c r="J5178">
        <v>0</v>
      </c>
      <c r="K5178">
        <v>0</v>
      </c>
      <c r="L5178" s="3">
        <v>1</v>
      </c>
      <c r="M5178" s="3">
        <v>0</v>
      </c>
      <c r="N5178">
        <v>0</v>
      </c>
      <c r="O5178">
        <v>0</v>
      </c>
      <c r="P5178">
        <v>0</v>
      </c>
      <c r="Q5178">
        <v>2</v>
      </c>
      <c r="R5178" s="3">
        <v>0</v>
      </c>
      <c r="S5178" s="3">
        <v>0</v>
      </c>
      <c r="T5178">
        <v>0</v>
      </c>
      <c r="U5178">
        <v>0</v>
      </c>
      <c r="V5178" s="3">
        <v>0</v>
      </c>
      <c r="W5178" s="3">
        <v>0</v>
      </c>
      <c r="X5178">
        <v>3</v>
      </c>
      <c r="Y5178" t="s">
        <v>3906</v>
      </c>
    </row>
    <row r="5179" spans="1:25" hidden="1" x14ac:dyDescent="0.25">
      <c r="A5179" t="s">
        <v>25</v>
      </c>
      <c r="B5179" t="s">
        <v>96</v>
      </c>
      <c r="C5179" t="s">
        <v>26</v>
      </c>
      <c r="D5179" t="s">
        <v>27</v>
      </c>
      <c r="E5179" s="2">
        <v>46140</v>
      </c>
      <c r="F5179" s="2">
        <v>46140</v>
      </c>
      <c r="G5179" s="3">
        <v>40</v>
      </c>
      <c r="H5179" t="s">
        <v>28</v>
      </c>
      <c r="I5179">
        <v>44</v>
      </c>
      <c r="J5179">
        <v>0</v>
      </c>
      <c r="K5179">
        <v>0</v>
      </c>
      <c r="L5179" s="3">
        <v>0</v>
      </c>
      <c r="M5179" s="3">
        <v>1</v>
      </c>
      <c r="N5179">
        <v>2</v>
      </c>
      <c r="O5179">
        <v>0</v>
      </c>
      <c r="P5179">
        <v>0</v>
      </c>
      <c r="Q5179">
        <v>0</v>
      </c>
      <c r="R5179" s="3">
        <v>0</v>
      </c>
      <c r="S5179" s="3">
        <v>0</v>
      </c>
      <c r="T5179">
        <v>0</v>
      </c>
      <c r="U5179">
        <v>0</v>
      </c>
      <c r="V5179" s="3">
        <v>0</v>
      </c>
      <c r="W5179" s="3">
        <v>0</v>
      </c>
      <c r="X5179">
        <v>0</v>
      </c>
      <c r="Y5179" t="s">
        <v>3907</v>
      </c>
    </row>
    <row r="5180" spans="1:25" hidden="1" x14ac:dyDescent="0.25">
      <c r="A5180" t="s">
        <v>29</v>
      </c>
      <c r="B5180" t="s">
        <v>100</v>
      </c>
      <c r="C5180" t="s">
        <v>95</v>
      </c>
      <c r="D5180" t="s">
        <v>27</v>
      </c>
      <c r="E5180" s="2">
        <v>46140</v>
      </c>
      <c r="F5180" s="2">
        <v>46140</v>
      </c>
      <c r="G5180" s="3">
        <v>48</v>
      </c>
      <c r="H5180" t="s">
        <v>28</v>
      </c>
      <c r="I5180">
        <v>16</v>
      </c>
      <c r="J5180">
        <v>0</v>
      </c>
      <c r="K5180">
        <v>0</v>
      </c>
      <c r="L5180" s="3">
        <v>1</v>
      </c>
      <c r="M5180" s="3">
        <v>0</v>
      </c>
      <c r="N5180">
        <v>0</v>
      </c>
      <c r="O5180">
        <v>0</v>
      </c>
      <c r="P5180">
        <v>3</v>
      </c>
      <c r="Q5180">
        <v>2</v>
      </c>
      <c r="R5180" s="3">
        <v>0</v>
      </c>
      <c r="S5180" s="3">
        <v>0</v>
      </c>
      <c r="T5180">
        <v>0</v>
      </c>
      <c r="U5180">
        <v>0</v>
      </c>
      <c r="V5180" s="3">
        <v>0</v>
      </c>
      <c r="W5180" s="3">
        <v>0</v>
      </c>
      <c r="X5180">
        <v>2</v>
      </c>
      <c r="Y5180" t="s">
        <v>3908</v>
      </c>
    </row>
    <row r="5181" spans="1:25" hidden="1" x14ac:dyDescent="0.25">
      <c r="A5181" t="s">
        <v>344</v>
      </c>
      <c r="B5181" t="s">
        <v>100</v>
      </c>
      <c r="C5181" t="s">
        <v>3909</v>
      </c>
      <c r="D5181" t="s">
        <v>27</v>
      </c>
      <c r="E5181" s="2">
        <v>46140</v>
      </c>
      <c r="F5181" s="2">
        <v>46140</v>
      </c>
      <c r="G5181" s="3">
        <v>48</v>
      </c>
      <c r="H5181" t="s">
        <v>28</v>
      </c>
      <c r="I5181">
        <v>16</v>
      </c>
      <c r="J5181">
        <v>0</v>
      </c>
      <c r="K5181">
        <v>0</v>
      </c>
      <c r="L5181" s="3">
        <v>1</v>
      </c>
      <c r="M5181" s="3">
        <v>0</v>
      </c>
      <c r="N5181">
        <v>0</v>
      </c>
      <c r="O5181">
        <v>0</v>
      </c>
      <c r="P5181">
        <v>3</v>
      </c>
      <c r="Q5181">
        <v>2</v>
      </c>
      <c r="R5181" s="3">
        <v>0</v>
      </c>
      <c r="S5181" s="3">
        <v>0</v>
      </c>
      <c r="T5181">
        <v>0</v>
      </c>
      <c r="U5181">
        <v>0</v>
      </c>
      <c r="V5181" s="3">
        <v>0</v>
      </c>
      <c r="W5181" s="3">
        <v>0</v>
      </c>
      <c r="X5181">
        <v>2</v>
      </c>
      <c r="Y5181" t="s">
        <v>3908</v>
      </c>
    </row>
    <row r="5182" spans="1:25" hidden="1" x14ac:dyDescent="0.25">
      <c r="A5182" t="s">
        <v>31</v>
      </c>
      <c r="B5182" t="s">
        <v>104</v>
      </c>
      <c r="C5182" t="s">
        <v>32</v>
      </c>
      <c r="D5182" t="s">
        <v>27</v>
      </c>
      <c r="E5182" s="2">
        <v>46140</v>
      </c>
      <c r="F5182" s="2">
        <v>46140</v>
      </c>
      <c r="G5182" s="3">
        <v>115</v>
      </c>
      <c r="H5182" t="s">
        <v>28</v>
      </c>
      <c r="I5182">
        <v>63</v>
      </c>
      <c r="J5182">
        <v>0</v>
      </c>
      <c r="K5182">
        <v>0</v>
      </c>
      <c r="L5182" s="3">
        <v>1</v>
      </c>
      <c r="M5182" s="3">
        <v>0</v>
      </c>
      <c r="N5182">
        <v>0</v>
      </c>
      <c r="O5182">
        <v>0</v>
      </c>
      <c r="P5182">
        <v>0</v>
      </c>
      <c r="Q5182">
        <v>38</v>
      </c>
      <c r="R5182" s="3">
        <v>0</v>
      </c>
      <c r="S5182" s="3">
        <v>0</v>
      </c>
      <c r="T5182">
        <v>0</v>
      </c>
      <c r="U5182">
        <v>0</v>
      </c>
      <c r="V5182" s="3">
        <v>0</v>
      </c>
      <c r="W5182" s="3">
        <v>0</v>
      </c>
      <c r="X5182">
        <v>0</v>
      </c>
      <c r="Y5182" t="s">
        <v>3910</v>
      </c>
    </row>
    <row r="5183" spans="1:25" hidden="1" x14ac:dyDescent="0.25">
      <c r="A5183" t="s">
        <v>33</v>
      </c>
      <c r="B5183" t="s">
        <v>106</v>
      </c>
      <c r="C5183" t="s">
        <v>57</v>
      </c>
      <c r="D5183" t="s">
        <v>27</v>
      </c>
      <c r="E5183" s="2">
        <v>46140</v>
      </c>
      <c r="F5183" s="2">
        <v>46140</v>
      </c>
      <c r="G5183" s="3">
        <v>29</v>
      </c>
      <c r="H5183" t="s">
        <v>28</v>
      </c>
      <c r="I5183">
        <v>37</v>
      </c>
      <c r="J5183">
        <v>0</v>
      </c>
      <c r="K5183">
        <v>0</v>
      </c>
      <c r="L5183" s="3">
        <v>0</v>
      </c>
      <c r="M5183" s="3">
        <v>0</v>
      </c>
      <c r="N5183">
        <v>0</v>
      </c>
      <c r="O5183">
        <v>0</v>
      </c>
      <c r="P5183">
        <v>0</v>
      </c>
      <c r="Q5183">
        <v>0</v>
      </c>
      <c r="R5183" s="3">
        <v>0</v>
      </c>
      <c r="S5183" s="3">
        <v>0</v>
      </c>
      <c r="T5183">
        <v>0</v>
      </c>
      <c r="U5183">
        <v>0</v>
      </c>
      <c r="V5183" s="3">
        <v>0</v>
      </c>
      <c r="W5183" s="3">
        <v>0</v>
      </c>
      <c r="X5183">
        <v>0</v>
      </c>
      <c r="Y5183" t="s">
        <v>3911</v>
      </c>
    </row>
    <row r="5184" spans="1:25" hidden="1" x14ac:dyDescent="0.25">
      <c r="A5184" t="s">
        <v>36</v>
      </c>
      <c r="B5184" t="s">
        <v>249</v>
      </c>
      <c r="C5184" t="s">
        <v>2514</v>
      </c>
      <c r="D5184" t="s">
        <v>27</v>
      </c>
      <c r="E5184" s="2">
        <v>46140</v>
      </c>
      <c r="F5184" s="2">
        <v>46140</v>
      </c>
      <c r="G5184" s="3">
        <v>48</v>
      </c>
      <c r="H5184" t="s">
        <v>28</v>
      </c>
      <c r="I5184">
        <v>22</v>
      </c>
      <c r="J5184">
        <v>0</v>
      </c>
      <c r="K5184">
        <v>0</v>
      </c>
      <c r="L5184" s="3">
        <v>1</v>
      </c>
      <c r="M5184" s="3">
        <v>0</v>
      </c>
      <c r="N5184">
        <v>0</v>
      </c>
      <c r="O5184">
        <v>0</v>
      </c>
      <c r="P5184">
        <v>0</v>
      </c>
      <c r="Q5184">
        <v>10</v>
      </c>
      <c r="R5184" s="3">
        <v>0</v>
      </c>
      <c r="S5184" s="3">
        <v>0</v>
      </c>
      <c r="T5184">
        <v>0</v>
      </c>
      <c r="U5184">
        <v>0</v>
      </c>
      <c r="V5184" s="3">
        <v>0</v>
      </c>
      <c r="W5184" s="3">
        <v>0</v>
      </c>
      <c r="X5184">
        <v>0</v>
      </c>
      <c r="Y5184" t="s">
        <v>3912</v>
      </c>
    </row>
    <row r="5185" spans="1:25" hidden="1" x14ac:dyDescent="0.25">
      <c r="A5185" t="s">
        <v>38</v>
      </c>
      <c r="B5185" t="s">
        <v>108</v>
      </c>
      <c r="C5185" t="s">
        <v>27</v>
      </c>
      <c r="D5185" t="s">
        <v>27</v>
      </c>
      <c r="E5185" s="2">
        <v>46140</v>
      </c>
      <c r="F5185" s="2">
        <v>46140</v>
      </c>
      <c r="G5185" s="3">
        <v>40</v>
      </c>
      <c r="H5185" t="s">
        <v>28</v>
      </c>
      <c r="I5185">
        <v>21</v>
      </c>
      <c r="J5185">
        <v>0</v>
      </c>
      <c r="K5185">
        <v>0</v>
      </c>
      <c r="L5185" s="3">
        <v>1</v>
      </c>
      <c r="M5185" s="3">
        <v>0</v>
      </c>
      <c r="N5185">
        <v>0</v>
      </c>
      <c r="O5185">
        <v>0</v>
      </c>
      <c r="P5185">
        <v>0</v>
      </c>
      <c r="Q5185">
        <v>21</v>
      </c>
      <c r="R5185" s="3">
        <v>0</v>
      </c>
      <c r="S5185" s="3">
        <v>0</v>
      </c>
      <c r="T5185">
        <v>0</v>
      </c>
      <c r="U5185">
        <v>0</v>
      </c>
      <c r="V5185" s="3">
        <v>0</v>
      </c>
      <c r="W5185" s="3">
        <v>0</v>
      </c>
      <c r="X5185">
        <v>0</v>
      </c>
      <c r="Y5185" t="s">
        <v>3913</v>
      </c>
    </row>
    <row r="5186" spans="1:25" hidden="1" x14ac:dyDescent="0.25">
      <c r="A5186" t="s">
        <v>2679</v>
      </c>
      <c r="B5186" t="s">
        <v>2680</v>
      </c>
      <c r="C5186" t="s">
        <v>39</v>
      </c>
      <c r="D5186" t="s">
        <v>27</v>
      </c>
      <c r="E5186" s="2">
        <v>46140</v>
      </c>
      <c r="F5186" s="2">
        <v>46140</v>
      </c>
      <c r="G5186" s="3">
        <v>32</v>
      </c>
      <c r="H5186" t="s">
        <v>28</v>
      </c>
      <c r="I5186">
        <v>18</v>
      </c>
      <c r="J5186">
        <v>0</v>
      </c>
      <c r="K5186">
        <v>0</v>
      </c>
      <c r="L5186" s="3">
        <v>0</v>
      </c>
      <c r="M5186" s="3">
        <v>0</v>
      </c>
      <c r="N5186">
        <v>0</v>
      </c>
      <c r="O5186">
        <v>0</v>
      </c>
      <c r="P5186">
        <v>0</v>
      </c>
      <c r="Q5186">
        <v>18</v>
      </c>
      <c r="R5186" s="3">
        <v>0</v>
      </c>
      <c r="S5186" s="3">
        <v>0</v>
      </c>
      <c r="T5186">
        <v>0</v>
      </c>
      <c r="U5186">
        <v>0</v>
      </c>
      <c r="V5186" s="3">
        <v>0</v>
      </c>
      <c r="W5186" s="3">
        <v>0</v>
      </c>
      <c r="X5186">
        <v>0</v>
      </c>
      <c r="Y5186" t="s">
        <v>3914</v>
      </c>
    </row>
    <row r="5187" spans="1:25" hidden="1" x14ac:dyDescent="0.25">
      <c r="A5187" t="s">
        <v>40</v>
      </c>
      <c r="B5187" t="s">
        <v>110</v>
      </c>
      <c r="C5187" t="s">
        <v>2534</v>
      </c>
      <c r="D5187" t="s">
        <v>27</v>
      </c>
      <c r="E5187" s="2">
        <v>46140</v>
      </c>
      <c r="F5187" s="2">
        <v>46140</v>
      </c>
      <c r="G5187" s="3">
        <v>43</v>
      </c>
      <c r="H5187" t="s">
        <v>28</v>
      </c>
      <c r="I5187">
        <v>47</v>
      </c>
      <c r="J5187">
        <v>0</v>
      </c>
      <c r="K5187">
        <v>0</v>
      </c>
      <c r="L5187" s="3">
        <v>1</v>
      </c>
      <c r="M5187" s="3">
        <v>0</v>
      </c>
      <c r="N5187">
        <v>1</v>
      </c>
      <c r="O5187">
        <v>0</v>
      </c>
      <c r="P5187">
        <v>0</v>
      </c>
      <c r="Q5187">
        <v>0</v>
      </c>
      <c r="R5187" s="3">
        <v>0</v>
      </c>
      <c r="S5187" s="3">
        <v>0</v>
      </c>
      <c r="T5187">
        <v>0</v>
      </c>
      <c r="U5187">
        <v>0</v>
      </c>
      <c r="V5187" s="3">
        <v>0</v>
      </c>
      <c r="W5187" s="3">
        <v>0</v>
      </c>
      <c r="X5187">
        <v>0</v>
      </c>
      <c r="Y5187" t="s">
        <v>3915</v>
      </c>
    </row>
    <row r="5188" spans="1:25" hidden="1" x14ac:dyDescent="0.25">
      <c r="A5188" t="s">
        <v>41</v>
      </c>
      <c r="B5188" t="s">
        <v>112</v>
      </c>
      <c r="C5188" t="s">
        <v>42</v>
      </c>
      <c r="D5188" t="s">
        <v>27</v>
      </c>
      <c r="E5188" s="2">
        <v>46140</v>
      </c>
      <c r="F5188" s="2">
        <v>46140</v>
      </c>
      <c r="G5188" s="3">
        <v>39</v>
      </c>
      <c r="H5188" t="s">
        <v>28</v>
      </c>
      <c r="I5188">
        <v>41</v>
      </c>
      <c r="J5188">
        <v>0</v>
      </c>
      <c r="K5188">
        <v>0</v>
      </c>
      <c r="L5188" s="3">
        <v>1</v>
      </c>
      <c r="M5188" s="3">
        <v>0</v>
      </c>
      <c r="N5188">
        <v>0</v>
      </c>
      <c r="O5188">
        <v>0</v>
      </c>
      <c r="P5188">
        <v>0</v>
      </c>
      <c r="Q5188">
        <v>1</v>
      </c>
      <c r="R5188" s="3">
        <v>0</v>
      </c>
      <c r="S5188" s="3">
        <v>0</v>
      </c>
      <c r="T5188">
        <v>0</v>
      </c>
      <c r="U5188">
        <v>0</v>
      </c>
      <c r="V5188" s="3">
        <v>0</v>
      </c>
      <c r="W5188" s="3">
        <v>0</v>
      </c>
      <c r="X5188">
        <v>0</v>
      </c>
      <c r="Y5188" t="s">
        <v>3916</v>
      </c>
    </row>
    <row r="5189" spans="1:25" hidden="1" x14ac:dyDescent="0.25">
      <c r="A5189" t="s">
        <v>27</v>
      </c>
      <c r="B5189" t="s">
        <v>114</v>
      </c>
      <c r="C5189" t="s">
        <v>44</v>
      </c>
      <c r="D5189" t="s">
        <v>27</v>
      </c>
      <c r="E5189" s="2">
        <v>46139</v>
      </c>
      <c r="F5189" s="2">
        <v>46139</v>
      </c>
      <c r="G5189" s="3">
        <v>30</v>
      </c>
      <c r="H5189" t="s">
        <v>2143</v>
      </c>
      <c r="I5189">
        <v>0</v>
      </c>
      <c r="J5189">
        <v>0</v>
      </c>
      <c r="K5189">
        <v>0</v>
      </c>
      <c r="L5189" s="3">
        <v>0</v>
      </c>
      <c r="M5189" s="3">
        <v>0</v>
      </c>
      <c r="N5189">
        <v>0</v>
      </c>
      <c r="O5189">
        <v>0</v>
      </c>
      <c r="P5189">
        <v>0</v>
      </c>
      <c r="Q5189">
        <v>0</v>
      </c>
      <c r="R5189" s="3">
        <v>0</v>
      </c>
      <c r="S5189" s="3">
        <v>0</v>
      </c>
      <c r="T5189">
        <v>0</v>
      </c>
      <c r="U5189">
        <v>0</v>
      </c>
      <c r="V5189" s="3">
        <v>0</v>
      </c>
      <c r="W5189" s="3">
        <v>0</v>
      </c>
      <c r="X5189">
        <v>0</v>
      </c>
      <c r="Y5189" t="s">
        <v>3917</v>
      </c>
    </row>
    <row r="5190" spans="1:25" hidden="1" x14ac:dyDescent="0.25">
      <c r="A5190" t="s">
        <v>45</v>
      </c>
      <c r="B5190" t="s">
        <v>116</v>
      </c>
      <c r="C5190" t="s">
        <v>46</v>
      </c>
      <c r="D5190" t="s">
        <v>27</v>
      </c>
      <c r="E5190" s="2">
        <v>46140</v>
      </c>
      <c r="F5190" s="2">
        <v>46140</v>
      </c>
      <c r="G5190" s="3">
        <v>63</v>
      </c>
      <c r="H5190" t="s">
        <v>28</v>
      </c>
      <c r="I5190">
        <v>34</v>
      </c>
      <c r="J5190">
        <v>0</v>
      </c>
      <c r="K5190">
        <v>0</v>
      </c>
      <c r="L5190" s="3">
        <v>1</v>
      </c>
      <c r="M5190" s="3">
        <v>0</v>
      </c>
      <c r="N5190">
        <v>0</v>
      </c>
      <c r="O5190">
        <v>0</v>
      </c>
      <c r="P5190">
        <v>0</v>
      </c>
      <c r="Q5190">
        <v>0</v>
      </c>
      <c r="R5190" s="3">
        <v>0</v>
      </c>
      <c r="S5190" s="3">
        <v>0</v>
      </c>
      <c r="T5190">
        <v>0</v>
      </c>
      <c r="U5190">
        <v>0</v>
      </c>
      <c r="V5190" s="3">
        <v>0</v>
      </c>
      <c r="W5190" s="3">
        <v>0</v>
      </c>
      <c r="X5190">
        <v>0</v>
      </c>
      <c r="Y5190" t="s">
        <v>3918</v>
      </c>
    </row>
    <row r="5191" spans="1:25" hidden="1" x14ac:dyDescent="0.25">
      <c r="A5191" t="s">
        <v>49</v>
      </c>
      <c r="B5191" t="s">
        <v>118</v>
      </c>
      <c r="C5191" t="s">
        <v>50</v>
      </c>
      <c r="D5191" t="s">
        <v>27</v>
      </c>
      <c r="E5191" s="2">
        <v>46140</v>
      </c>
      <c r="F5191" s="2">
        <v>46140</v>
      </c>
      <c r="G5191" s="3">
        <v>27</v>
      </c>
      <c r="H5191" t="s">
        <v>28</v>
      </c>
      <c r="I5191">
        <v>41</v>
      </c>
      <c r="J5191">
        <v>0</v>
      </c>
      <c r="K5191">
        <v>0</v>
      </c>
      <c r="L5191" s="3">
        <v>1</v>
      </c>
      <c r="M5191" s="3">
        <v>1</v>
      </c>
      <c r="N5191">
        <v>0</v>
      </c>
      <c r="O5191">
        <v>1</v>
      </c>
      <c r="P5191">
        <v>0</v>
      </c>
      <c r="Q5191">
        <v>41</v>
      </c>
      <c r="R5191" s="3">
        <v>0</v>
      </c>
      <c r="S5191" s="3">
        <v>0</v>
      </c>
      <c r="T5191">
        <v>0</v>
      </c>
      <c r="U5191">
        <v>0</v>
      </c>
      <c r="V5191" s="3">
        <v>0</v>
      </c>
      <c r="W5191" s="3">
        <v>0</v>
      </c>
      <c r="X5191">
        <v>0</v>
      </c>
      <c r="Y5191" t="s">
        <v>3919</v>
      </c>
    </row>
    <row r="5192" spans="1:25" x14ac:dyDescent="0.25">
      <c r="A5192" t="s">
        <v>54</v>
      </c>
      <c r="B5192" t="s">
        <v>122</v>
      </c>
      <c r="C5192" t="s">
        <v>2271</v>
      </c>
      <c r="D5192" t="s">
        <v>27</v>
      </c>
      <c r="E5192" s="2">
        <v>46140</v>
      </c>
      <c r="F5192" s="2">
        <v>46140</v>
      </c>
      <c r="G5192" s="3">
        <v>35</v>
      </c>
      <c r="H5192" t="s">
        <v>28</v>
      </c>
      <c r="I5192">
        <v>52</v>
      </c>
      <c r="J5192">
        <v>0</v>
      </c>
      <c r="K5192">
        <v>0</v>
      </c>
      <c r="L5192" s="3">
        <v>0</v>
      </c>
      <c r="M5192" s="3">
        <v>0</v>
      </c>
      <c r="N5192">
        <v>0</v>
      </c>
      <c r="O5192">
        <v>0</v>
      </c>
      <c r="P5192">
        <v>0</v>
      </c>
      <c r="Q5192">
        <v>2</v>
      </c>
      <c r="R5192" s="3">
        <v>0</v>
      </c>
      <c r="S5192" s="3">
        <v>0</v>
      </c>
      <c r="T5192">
        <v>0</v>
      </c>
      <c r="U5192">
        <v>0</v>
      </c>
      <c r="V5192" s="3">
        <v>0</v>
      </c>
      <c r="W5192" s="3">
        <v>0</v>
      </c>
      <c r="X5192">
        <v>0</v>
      </c>
      <c r="Y5192" t="s">
        <v>3920</v>
      </c>
    </row>
    <row r="5193" spans="1:25" hidden="1" x14ac:dyDescent="0.25">
      <c r="A5193" t="s">
        <v>48</v>
      </c>
      <c r="B5193" t="s">
        <v>149</v>
      </c>
      <c r="C5193" t="s">
        <v>37</v>
      </c>
      <c r="D5193" t="s">
        <v>27</v>
      </c>
      <c r="E5193" s="2">
        <v>46140</v>
      </c>
      <c r="F5193" s="2">
        <v>46140</v>
      </c>
      <c r="G5193" s="3">
        <v>97</v>
      </c>
      <c r="H5193" t="s">
        <v>28</v>
      </c>
      <c r="I5193">
        <v>56</v>
      </c>
      <c r="J5193">
        <v>0</v>
      </c>
      <c r="K5193">
        <v>0</v>
      </c>
      <c r="L5193" s="3">
        <v>0</v>
      </c>
      <c r="M5193" s="3">
        <v>0</v>
      </c>
      <c r="N5193">
        <v>0</v>
      </c>
      <c r="O5193">
        <v>0</v>
      </c>
      <c r="P5193">
        <v>0</v>
      </c>
      <c r="Q5193">
        <v>0</v>
      </c>
      <c r="R5193" s="3">
        <v>0</v>
      </c>
      <c r="S5193" s="3">
        <v>0</v>
      </c>
      <c r="T5193">
        <v>0</v>
      </c>
      <c r="U5193">
        <v>0</v>
      </c>
      <c r="V5193" s="3">
        <v>0</v>
      </c>
      <c r="W5193" s="3">
        <v>0</v>
      </c>
      <c r="X5193">
        <v>0</v>
      </c>
      <c r="Y5193" t="s">
        <v>3921</v>
      </c>
    </row>
    <row r="5194" spans="1:25" hidden="1" x14ac:dyDescent="0.25">
      <c r="A5194" t="s">
        <v>27</v>
      </c>
      <c r="B5194" t="s">
        <v>739</v>
      </c>
      <c r="C5194" t="s">
        <v>52</v>
      </c>
      <c r="D5194" t="s">
        <v>27</v>
      </c>
      <c r="E5194" s="2">
        <v>46140</v>
      </c>
      <c r="F5194" s="2">
        <v>46140</v>
      </c>
      <c r="G5194" s="3">
        <v>54</v>
      </c>
      <c r="H5194" t="s">
        <v>180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 t="s">
        <v>3856</v>
      </c>
    </row>
    <row r="5195" spans="1:25" hidden="1" x14ac:dyDescent="0.25">
      <c r="A5195" t="s">
        <v>47</v>
      </c>
      <c r="B5195" t="s">
        <v>755</v>
      </c>
      <c r="C5195" t="s">
        <v>27</v>
      </c>
      <c r="D5195" t="s">
        <v>27</v>
      </c>
      <c r="E5195" s="2">
        <v>46140</v>
      </c>
      <c r="F5195" s="2">
        <v>46140</v>
      </c>
      <c r="G5195" s="3">
        <v>55</v>
      </c>
      <c r="H5195" t="s">
        <v>1256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 t="s">
        <v>3856</v>
      </c>
    </row>
    <row r="5196" spans="1:25" hidden="1" x14ac:dyDescent="0.25">
      <c r="A5196" s="13" t="s">
        <v>2899</v>
      </c>
      <c r="B5196" t="s">
        <v>758</v>
      </c>
      <c r="C5196" t="s">
        <v>27</v>
      </c>
      <c r="D5196" t="s">
        <v>27</v>
      </c>
      <c r="E5196" s="2">
        <v>46140</v>
      </c>
      <c r="F5196" s="2">
        <v>46140</v>
      </c>
      <c r="G5196" s="3">
        <v>56</v>
      </c>
      <c r="H5196" t="s">
        <v>1448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 t="s">
        <v>3856</v>
      </c>
    </row>
    <row r="5197" spans="1:25" hidden="1" x14ac:dyDescent="0.25">
      <c r="A5197" t="s">
        <v>438</v>
      </c>
      <c r="B5197" t="s">
        <v>798</v>
      </c>
      <c r="C5197" t="s">
        <v>27</v>
      </c>
      <c r="D5197" t="s">
        <v>27</v>
      </c>
      <c r="E5197" s="2">
        <v>46140</v>
      </c>
      <c r="F5197" s="2">
        <v>46140</v>
      </c>
      <c r="G5197" s="3">
        <v>57</v>
      </c>
      <c r="H5197" t="s">
        <v>1256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 t="s">
        <v>3856</v>
      </c>
    </row>
    <row r="5198" spans="1:25" hidden="1" x14ac:dyDescent="0.25">
      <c r="A5198" t="s">
        <v>51</v>
      </c>
      <c r="B5198" t="s">
        <v>799</v>
      </c>
      <c r="C5198" t="s">
        <v>27</v>
      </c>
      <c r="D5198" t="s">
        <v>27</v>
      </c>
      <c r="E5198" s="2">
        <v>46140</v>
      </c>
      <c r="F5198" s="2">
        <v>46140</v>
      </c>
      <c r="G5198" s="3">
        <v>58</v>
      </c>
      <c r="H5198" t="s">
        <v>1120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 t="s">
        <v>3856</v>
      </c>
    </row>
    <row r="5199" spans="1:25" hidden="1" x14ac:dyDescent="0.25">
      <c r="A5199" t="s">
        <v>27</v>
      </c>
      <c r="B5199" t="s">
        <v>3524</v>
      </c>
      <c r="C5199" t="s">
        <v>2835</v>
      </c>
      <c r="D5199" t="s">
        <v>27</v>
      </c>
      <c r="E5199" s="2">
        <v>46140</v>
      </c>
      <c r="F5199" s="2">
        <v>46140</v>
      </c>
      <c r="G5199" s="3">
        <v>59</v>
      </c>
      <c r="H5199" t="s">
        <v>1448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 t="s">
        <v>3856</v>
      </c>
    </row>
    <row r="5200" spans="1:25" hidden="1" x14ac:dyDescent="0.25">
      <c r="A5200" t="s">
        <v>55</v>
      </c>
      <c r="B5200" t="s">
        <v>2072</v>
      </c>
      <c r="C5200" t="s">
        <v>2835</v>
      </c>
      <c r="D5200" t="s">
        <v>27</v>
      </c>
      <c r="E5200" s="2">
        <v>46141</v>
      </c>
      <c r="F5200" s="2">
        <v>46141</v>
      </c>
      <c r="G5200" s="3">
        <v>33</v>
      </c>
      <c r="H5200" t="s">
        <v>28</v>
      </c>
      <c r="I5200">
        <v>35</v>
      </c>
      <c r="J5200">
        <v>0</v>
      </c>
      <c r="K5200">
        <v>0</v>
      </c>
      <c r="L5200" s="3">
        <v>1</v>
      </c>
      <c r="M5200" s="3">
        <v>0</v>
      </c>
      <c r="N5200">
        <v>1</v>
      </c>
      <c r="O5200">
        <v>0</v>
      </c>
      <c r="P5200">
        <v>0</v>
      </c>
      <c r="Q5200">
        <v>0</v>
      </c>
      <c r="R5200" s="3">
        <v>0</v>
      </c>
      <c r="S5200" s="3">
        <v>0</v>
      </c>
      <c r="T5200">
        <v>0</v>
      </c>
      <c r="U5200">
        <v>0</v>
      </c>
      <c r="V5200" s="3">
        <v>0</v>
      </c>
      <c r="W5200" s="3">
        <v>0</v>
      </c>
      <c r="X5200">
        <v>0</v>
      </c>
      <c r="Y5200" t="s">
        <v>3922</v>
      </c>
    </row>
    <row r="5201" spans="1:25" hidden="1" x14ac:dyDescent="0.25">
      <c r="A5201" t="s">
        <v>25</v>
      </c>
      <c r="B5201" t="s">
        <v>96</v>
      </c>
      <c r="C5201" t="s">
        <v>26</v>
      </c>
      <c r="D5201" t="s">
        <v>27</v>
      </c>
      <c r="E5201" s="2">
        <v>46141</v>
      </c>
      <c r="F5201" s="2">
        <v>46141</v>
      </c>
      <c r="G5201" s="3">
        <v>129</v>
      </c>
      <c r="H5201" t="s">
        <v>28</v>
      </c>
      <c r="I5201">
        <v>98</v>
      </c>
      <c r="J5201">
        <v>0</v>
      </c>
      <c r="K5201">
        <v>0</v>
      </c>
      <c r="L5201" s="3">
        <v>0</v>
      </c>
      <c r="M5201" s="3">
        <v>1</v>
      </c>
      <c r="N5201">
        <v>1</v>
      </c>
      <c r="O5201">
        <v>0</v>
      </c>
      <c r="P5201">
        <v>0</v>
      </c>
      <c r="Q5201">
        <v>0</v>
      </c>
      <c r="R5201" s="3">
        <v>0</v>
      </c>
      <c r="S5201" s="3">
        <v>0</v>
      </c>
      <c r="T5201">
        <v>0</v>
      </c>
      <c r="U5201">
        <v>0</v>
      </c>
      <c r="V5201" s="3">
        <v>0</v>
      </c>
      <c r="W5201" s="3">
        <v>0</v>
      </c>
      <c r="X5201">
        <v>0</v>
      </c>
      <c r="Y5201" t="s">
        <v>3923</v>
      </c>
    </row>
    <row r="5202" spans="1:25" hidden="1" x14ac:dyDescent="0.25">
      <c r="A5202" t="s">
        <v>29</v>
      </c>
      <c r="B5202" t="s">
        <v>100</v>
      </c>
      <c r="C5202" t="s">
        <v>95</v>
      </c>
      <c r="D5202" t="s">
        <v>27</v>
      </c>
      <c r="E5202" s="2">
        <v>46141</v>
      </c>
      <c r="F5202" s="2">
        <v>46141</v>
      </c>
      <c r="G5202" s="3">
        <v>92</v>
      </c>
      <c r="H5202" t="s">
        <v>28</v>
      </c>
      <c r="I5202">
        <v>31</v>
      </c>
      <c r="J5202">
        <v>0</v>
      </c>
      <c r="K5202">
        <v>0</v>
      </c>
      <c r="L5202" s="3">
        <v>1</v>
      </c>
      <c r="M5202" s="3">
        <v>0</v>
      </c>
      <c r="N5202">
        <v>0</v>
      </c>
      <c r="O5202">
        <v>0</v>
      </c>
      <c r="P5202">
        <v>8</v>
      </c>
      <c r="Q5202">
        <v>5</v>
      </c>
      <c r="R5202" s="3">
        <v>0</v>
      </c>
      <c r="S5202" s="3">
        <v>0</v>
      </c>
      <c r="T5202">
        <v>0</v>
      </c>
      <c r="U5202">
        <v>0</v>
      </c>
      <c r="V5202" s="3">
        <v>0</v>
      </c>
      <c r="W5202" s="3">
        <v>0</v>
      </c>
      <c r="X5202">
        <v>0</v>
      </c>
      <c r="Y5202" t="s">
        <v>3924</v>
      </c>
    </row>
    <row r="5203" spans="1:25" hidden="1" x14ac:dyDescent="0.25">
      <c r="A5203" t="s">
        <v>344</v>
      </c>
      <c r="B5203" t="s">
        <v>100</v>
      </c>
      <c r="C5203" t="s">
        <v>3909</v>
      </c>
      <c r="D5203" t="s">
        <v>27</v>
      </c>
      <c r="E5203" s="2">
        <v>46141</v>
      </c>
      <c r="F5203" s="2">
        <v>46141</v>
      </c>
      <c r="G5203" s="3">
        <v>48</v>
      </c>
      <c r="H5203" t="s">
        <v>28</v>
      </c>
      <c r="I5203">
        <v>16</v>
      </c>
      <c r="J5203">
        <v>0</v>
      </c>
      <c r="K5203">
        <v>0</v>
      </c>
      <c r="L5203" s="3">
        <v>1</v>
      </c>
      <c r="M5203" s="3">
        <v>0</v>
      </c>
      <c r="N5203">
        <v>0</v>
      </c>
      <c r="O5203">
        <v>0</v>
      </c>
      <c r="P5203">
        <v>3</v>
      </c>
      <c r="Q5203">
        <v>2</v>
      </c>
      <c r="R5203" s="3">
        <v>0</v>
      </c>
      <c r="S5203" s="3">
        <v>0</v>
      </c>
      <c r="T5203">
        <v>0</v>
      </c>
      <c r="U5203">
        <v>0</v>
      </c>
      <c r="V5203" s="3">
        <v>0</v>
      </c>
      <c r="W5203" s="3">
        <v>0</v>
      </c>
      <c r="X5203">
        <v>2</v>
      </c>
      <c r="Y5203" t="s">
        <v>3908</v>
      </c>
    </row>
    <row r="5204" spans="1:25" hidden="1" x14ac:dyDescent="0.25">
      <c r="A5204" t="s">
        <v>31</v>
      </c>
      <c r="B5204" t="s">
        <v>104</v>
      </c>
      <c r="C5204" t="s">
        <v>32</v>
      </c>
      <c r="D5204" t="s">
        <v>27</v>
      </c>
      <c r="E5204" s="2">
        <v>46141</v>
      </c>
      <c r="F5204" s="2">
        <v>46141</v>
      </c>
      <c r="G5204" s="3">
        <v>57</v>
      </c>
      <c r="H5204" t="s">
        <v>28</v>
      </c>
      <c r="I5204">
        <v>86</v>
      </c>
      <c r="J5204">
        <v>0</v>
      </c>
      <c r="K5204">
        <v>0</v>
      </c>
      <c r="L5204" s="3">
        <v>1</v>
      </c>
      <c r="M5204" s="3">
        <v>0</v>
      </c>
      <c r="N5204">
        <v>0</v>
      </c>
      <c r="O5204">
        <v>0</v>
      </c>
      <c r="P5204">
        <v>0</v>
      </c>
      <c r="Q5204">
        <v>38</v>
      </c>
      <c r="R5204" s="3">
        <v>0</v>
      </c>
      <c r="S5204" s="3">
        <v>0</v>
      </c>
      <c r="T5204">
        <v>0</v>
      </c>
      <c r="U5204">
        <v>0</v>
      </c>
      <c r="V5204" s="3">
        <v>0</v>
      </c>
      <c r="W5204" s="3">
        <v>0</v>
      </c>
      <c r="X5204">
        <v>0</v>
      </c>
      <c r="Y5204" t="s">
        <v>3925</v>
      </c>
    </row>
    <row r="5205" spans="1:25" hidden="1" x14ac:dyDescent="0.25">
      <c r="A5205" t="s">
        <v>33</v>
      </c>
      <c r="B5205" t="s">
        <v>106</v>
      </c>
      <c r="C5205" t="s">
        <v>57</v>
      </c>
      <c r="D5205" t="s">
        <v>27</v>
      </c>
      <c r="E5205" s="2">
        <v>46141</v>
      </c>
      <c r="F5205" s="2">
        <v>46141</v>
      </c>
      <c r="G5205" s="3">
        <v>33</v>
      </c>
      <c r="H5205" t="s">
        <v>28</v>
      </c>
      <c r="I5205">
        <v>43</v>
      </c>
      <c r="J5205">
        <v>0</v>
      </c>
      <c r="K5205">
        <v>0</v>
      </c>
      <c r="L5205" s="3">
        <v>0</v>
      </c>
      <c r="M5205" s="3">
        <v>0</v>
      </c>
      <c r="N5205">
        <v>0</v>
      </c>
      <c r="O5205">
        <v>0</v>
      </c>
      <c r="P5205">
        <v>0</v>
      </c>
      <c r="Q5205">
        <v>21</v>
      </c>
      <c r="R5205" s="3">
        <v>0</v>
      </c>
      <c r="S5205" s="3">
        <v>0</v>
      </c>
      <c r="T5205">
        <v>0</v>
      </c>
      <c r="U5205">
        <v>0</v>
      </c>
      <c r="V5205" s="3">
        <v>0</v>
      </c>
      <c r="W5205" s="3">
        <v>0</v>
      </c>
      <c r="X5205">
        <v>0</v>
      </c>
      <c r="Y5205" t="s">
        <v>3926</v>
      </c>
    </row>
    <row r="5206" spans="1:25" hidden="1" x14ac:dyDescent="0.25">
      <c r="A5206" t="s">
        <v>36</v>
      </c>
      <c r="B5206" t="s">
        <v>249</v>
      </c>
      <c r="C5206" t="s">
        <v>2514</v>
      </c>
      <c r="D5206" t="s">
        <v>27</v>
      </c>
      <c r="E5206" s="2">
        <v>46141</v>
      </c>
      <c r="F5206" s="2">
        <v>46141</v>
      </c>
      <c r="G5206" s="3">
        <v>69</v>
      </c>
      <c r="H5206" t="s">
        <v>28</v>
      </c>
      <c r="I5206">
        <v>97</v>
      </c>
      <c r="J5206">
        <v>0</v>
      </c>
      <c r="K5206">
        <v>0</v>
      </c>
      <c r="L5206" s="3">
        <v>1</v>
      </c>
      <c r="M5206" s="3">
        <v>0</v>
      </c>
      <c r="N5206">
        <v>0</v>
      </c>
      <c r="O5206">
        <v>0</v>
      </c>
      <c r="P5206">
        <v>0</v>
      </c>
      <c r="Q5206">
        <v>30</v>
      </c>
      <c r="R5206" s="3">
        <v>0</v>
      </c>
      <c r="S5206" s="3">
        <v>0</v>
      </c>
      <c r="T5206">
        <v>0</v>
      </c>
      <c r="U5206">
        <v>0</v>
      </c>
      <c r="V5206" s="3">
        <v>0</v>
      </c>
      <c r="W5206" s="3">
        <v>0</v>
      </c>
      <c r="X5206">
        <v>0</v>
      </c>
      <c r="Y5206" t="s">
        <v>3927</v>
      </c>
    </row>
    <row r="5207" spans="1:25" hidden="1" x14ac:dyDescent="0.25">
      <c r="A5207" t="s">
        <v>38</v>
      </c>
      <c r="B5207" t="s">
        <v>108</v>
      </c>
      <c r="C5207" t="s">
        <v>27</v>
      </c>
      <c r="D5207" t="s">
        <v>27</v>
      </c>
      <c r="E5207" s="2">
        <v>46141</v>
      </c>
      <c r="F5207" s="2">
        <v>46141</v>
      </c>
      <c r="G5207" s="3">
        <v>37</v>
      </c>
      <c r="H5207" t="s">
        <v>28</v>
      </c>
      <c r="I5207">
        <v>46</v>
      </c>
      <c r="J5207">
        <v>0</v>
      </c>
      <c r="K5207">
        <v>0</v>
      </c>
      <c r="L5207" s="3">
        <v>1</v>
      </c>
      <c r="M5207" s="3">
        <v>0</v>
      </c>
      <c r="N5207">
        <v>0</v>
      </c>
      <c r="O5207">
        <v>0</v>
      </c>
      <c r="P5207">
        <v>0</v>
      </c>
      <c r="Q5207">
        <v>46</v>
      </c>
      <c r="R5207" s="3">
        <v>0</v>
      </c>
      <c r="S5207" s="3">
        <v>0</v>
      </c>
      <c r="T5207">
        <v>0</v>
      </c>
      <c r="U5207">
        <v>0</v>
      </c>
      <c r="V5207" s="3">
        <v>0</v>
      </c>
      <c r="W5207" s="3">
        <v>0</v>
      </c>
      <c r="X5207">
        <v>0</v>
      </c>
      <c r="Y5207" t="s">
        <v>3928</v>
      </c>
    </row>
    <row r="5208" spans="1:25" hidden="1" x14ac:dyDescent="0.25">
      <c r="A5208" t="s">
        <v>3929</v>
      </c>
      <c r="B5208" t="s">
        <v>2680</v>
      </c>
      <c r="C5208" t="s">
        <v>39</v>
      </c>
      <c r="D5208" t="s">
        <v>27</v>
      </c>
      <c r="E5208" s="2">
        <v>46141</v>
      </c>
      <c r="F5208" s="2">
        <v>46141</v>
      </c>
      <c r="G5208" s="3">
        <v>35</v>
      </c>
      <c r="H5208" t="s">
        <v>28</v>
      </c>
      <c r="I5208">
        <v>39</v>
      </c>
      <c r="J5208">
        <v>0</v>
      </c>
      <c r="K5208">
        <v>0</v>
      </c>
      <c r="L5208" s="3">
        <v>0</v>
      </c>
      <c r="M5208" s="3">
        <v>0</v>
      </c>
      <c r="N5208">
        <v>0</v>
      </c>
      <c r="O5208">
        <v>0</v>
      </c>
      <c r="P5208">
        <v>0</v>
      </c>
      <c r="Q5208">
        <v>39</v>
      </c>
      <c r="R5208" s="3">
        <v>0</v>
      </c>
      <c r="S5208" s="3">
        <v>0</v>
      </c>
      <c r="T5208">
        <v>0</v>
      </c>
      <c r="U5208">
        <v>0</v>
      </c>
      <c r="V5208" s="3">
        <v>0</v>
      </c>
      <c r="W5208" s="3">
        <v>0</v>
      </c>
      <c r="X5208">
        <v>0</v>
      </c>
      <c r="Y5208" t="s">
        <v>3930</v>
      </c>
    </row>
    <row r="5209" spans="1:25" hidden="1" x14ac:dyDescent="0.25">
      <c r="A5209" t="s">
        <v>40</v>
      </c>
      <c r="B5209" t="s">
        <v>110</v>
      </c>
      <c r="C5209" t="s">
        <v>2534</v>
      </c>
      <c r="D5209" t="s">
        <v>27</v>
      </c>
      <c r="E5209" s="2">
        <v>46141</v>
      </c>
      <c r="F5209" s="2">
        <v>46141</v>
      </c>
      <c r="G5209" s="3">
        <v>38</v>
      </c>
      <c r="H5209" t="s">
        <v>28</v>
      </c>
      <c r="I5209">
        <v>47</v>
      </c>
      <c r="J5209">
        <v>0</v>
      </c>
      <c r="K5209">
        <v>0</v>
      </c>
      <c r="L5209" s="3">
        <v>1</v>
      </c>
      <c r="M5209" s="3">
        <v>0</v>
      </c>
      <c r="N5209">
        <v>1</v>
      </c>
      <c r="O5209">
        <v>0</v>
      </c>
      <c r="P5209">
        <v>0</v>
      </c>
      <c r="Q5209">
        <v>41</v>
      </c>
      <c r="R5209" s="3">
        <v>0</v>
      </c>
      <c r="S5209" s="3">
        <v>0</v>
      </c>
      <c r="T5209">
        <v>0</v>
      </c>
      <c r="U5209">
        <v>0</v>
      </c>
      <c r="V5209" s="3">
        <v>0</v>
      </c>
      <c r="W5209" s="3">
        <v>0</v>
      </c>
      <c r="X5209">
        <v>0</v>
      </c>
      <c r="Y5209" t="s">
        <v>3931</v>
      </c>
    </row>
    <row r="5210" spans="1:25" hidden="1" x14ac:dyDescent="0.25">
      <c r="A5210" t="s">
        <v>41</v>
      </c>
      <c r="B5210" t="s">
        <v>112</v>
      </c>
      <c r="C5210" t="s">
        <v>42</v>
      </c>
      <c r="D5210" t="s">
        <v>27</v>
      </c>
      <c r="E5210" s="2">
        <v>46141</v>
      </c>
      <c r="F5210" s="2">
        <v>46141</v>
      </c>
      <c r="G5210" s="3">
        <v>39</v>
      </c>
      <c r="H5210" t="s">
        <v>28</v>
      </c>
      <c r="I5210">
        <v>41</v>
      </c>
      <c r="J5210">
        <v>0</v>
      </c>
      <c r="K5210">
        <v>0</v>
      </c>
      <c r="L5210" s="3">
        <v>1</v>
      </c>
      <c r="M5210" s="3">
        <v>0</v>
      </c>
      <c r="N5210">
        <v>0</v>
      </c>
      <c r="O5210">
        <v>0</v>
      </c>
      <c r="P5210">
        <v>0</v>
      </c>
      <c r="Q5210">
        <v>1</v>
      </c>
      <c r="R5210" s="3">
        <v>0</v>
      </c>
      <c r="S5210" s="3">
        <v>0</v>
      </c>
      <c r="T5210">
        <v>0</v>
      </c>
      <c r="U5210">
        <v>0</v>
      </c>
      <c r="V5210" s="3">
        <v>0</v>
      </c>
      <c r="W5210" s="3">
        <v>0</v>
      </c>
      <c r="X5210">
        <v>0</v>
      </c>
      <c r="Y5210" t="s">
        <v>3916</v>
      </c>
    </row>
    <row r="5211" spans="1:25" hidden="1" x14ac:dyDescent="0.25">
      <c r="A5211" t="s">
        <v>43</v>
      </c>
      <c r="B5211" t="s">
        <v>114</v>
      </c>
      <c r="C5211" t="s">
        <v>44</v>
      </c>
      <c r="D5211" t="s">
        <v>27</v>
      </c>
      <c r="E5211" s="2">
        <v>46140</v>
      </c>
      <c r="F5211" s="2">
        <v>46140</v>
      </c>
      <c r="G5211" s="3">
        <v>30</v>
      </c>
      <c r="H5211" t="s">
        <v>28</v>
      </c>
      <c r="I5211">
        <v>92</v>
      </c>
      <c r="J5211">
        <v>0</v>
      </c>
      <c r="K5211">
        <v>0</v>
      </c>
      <c r="L5211" s="3">
        <v>1</v>
      </c>
      <c r="M5211" s="3">
        <v>0</v>
      </c>
      <c r="N5211">
        <v>0</v>
      </c>
      <c r="O5211">
        <v>0</v>
      </c>
      <c r="P5211">
        <v>0</v>
      </c>
      <c r="Q5211">
        <v>32</v>
      </c>
      <c r="R5211" s="3">
        <v>0</v>
      </c>
      <c r="S5211" s="3">
        <v>0</v>
      </c>
      <c r="T5211">
        <v>0</v>
      </c>
      <c r="U5211">
        <v>0</v>
      </c>
      <c r="V5211" s="3">
        <v>0</v>
      </c>
      <c r="W5211" s="3">
        <v>0</v>
      </c>
      <c r="X5211">
        <v>0</v>
      </c>
      <c r="Y5211" t="s">
        <v>3917</v>
      </c>
    </row>
    <row r="5212" spans="1:25" hidden="1" x14ac:dyDescent="0.25">
      <c r="A5212" t="s">
        <v>43</v>
      </c>
      <c r="B5212" t="s">
        <v>114</v>
      </c>
      <c r="C5212" t="s">
        <v>44</v>
      </c>
      <c r="D5212" t="s">
        <v>27</v>
      </c>
      <c r="E5212" s="2">
        <v>46141</v>
      </c>
      <c r="F5212" s="2">
        <v>46141</v>
      </c>
      <c r="G5212" s="3">
        <v>22</v>
      </c>
      <c r="H5212" t="s">
        <v>28</v>
      </c>
      <c r="I5212">
        <v>77</v>
      </c>
      <c r="J5212">
        <v>0</v>
      </c>
      <c r="K5212">
        <v>0</v>
      </c>
      <c r="L5212" s="3">
        <v>1</v>
      </c>
      <c r="M5212" s="3">
        <v>0</v>
      </c>
      <c r="N5212">
        <v>0</v>
      </c>
      <c r="O5212">
        <v>0</v>
      </c>
      <c r="P5212">
        <v>0</v>
      </c>
      <c r="Q5212">
        <v>32</v>
      </c>
      <c r="R5212" s="3">
        <v>0</v>
      </c>
      <c r="S5212" s="3">
        <v>0</v>
      </c>
      <c r="T5212">
        <v>0</v>
      </c>
      <c r="U5212">
        <v>0</v>
      </c>
      <c r="V5212" s="3">
        <v>0</v>
      </c>
      <c r="W5212" s="3">
        <v>0</v>
      </c>
      <c r="X5212">
        <v>0</v>
      </c>
      <c r="Y5212" t="s">
        <v>3932</v>
      </c>
    </row>
    <row r="5213" spans="1:25" hidden="1" x14ac:dyDescent="0.25">
      <c r="A5213" t="s">
        <v>45</v>
      </c>
      <c r="B5213" t="s">
        <v>116</v>
      </c>
      <c r="C5213" t="s">
        <v>46</v>
      </c>
      <c r="D5213" t="s">
        <v>27</v>
      </c>
      <c r="E5213" s="2">
        <v>46141</v>
      </c>
      <c r="F5213" s="2">
        <v>46141</v>
      </c>
      <c r="G5213" s="3">
        <v>46</v>
      </c>
      <c r="H5213" t="s">
        <v>28</v>
      </c>
      <c r="I5213">
        <v>71</v>
      </c>
      <c r="J5213">
        <v>0</v>
      </c>
      <c r="K5213">
        <v>0</v>
      </c>
      <c r="L5213" s="3">
        <v>1</v>
      </c>
      <c r="M5213" s="3">
        <v>0</v>
      </c>
      <c r="N5213">
        <v>0</v>
      </c>
      <c r="O5213">
        <v>0</v>
      </c>
      <c r="P5213">
        <v>0</v>
      </c>
      <c r="Q5213">
        <v>9</v>
      </c>
      <c r="R5213" s="3">
        <v>0</v>
      </c>
      <c r="S5213" s="3">
        <v>0</v>
      </c>
      <c r="T5213">
        <v>0</v>
      </c>
      <c r="U5213">
        <v>0</v>
      </c>
      <c r="V5213" s="3">
        <v>0</v>
      </c>
      <c r="W5213" s="3">
        <v>0</v>
      </c>
      <c r="X5213">
        <v>0</v>
      </c>
      <c r="Y5213" t="s">
        <v>3933</v>
      </c>
    </row>
    <row r="5214" spans="1:25" hidden="1" x14ac:dyDescent="0.25">
      <c r="A5214" t="s">
        <v>49</v>
      </c>
      <c r="B5214" t="s">
        <v>118</v>
      </c>
      <c r="C5214" t="s">
        <v>50</v>
      </c>
      <c r="D5214" t="s">
        <v>27</v>
      </c>
      <c r="E5214" s="2">
        <v>46141</v>
      </c>
      <c r="F5214" s="2">
        <v>46141</v>
      </c>
      <c r="G5214" s="3">
        <v>25</v>
      </c>
      <c r="H5214" t="s">
        <v>28</v>
      </c>
      <c r="I5214">
        <v>50</v>
      </c>
      <c r="J5214">
        <v>0</v>
      </c>
      <c r="K5214">
        <v>0</v>
      </c>
      <c r="L5214" s="3">
        <v>1</v>
      </c>
      <c r="M5214" s="3">
        <v>1</v>
      </c>
      <c r="N5214">
        <v>0</v>
      </c>
      <c r="O5214">
        <v>0</v>
      </c>
      <c r="P5214">
        <v>0</v>
      </c>
      <c r="Q5214">
        <v>50</v>
      </c>
      <c r="R5214" s="3">
        <v>0</v>
      </c>
      <c r="S5214" s="3">
        <v>0</v>
      </c>
      <c r="T5214">
        <v>0</v>
      </c>
      <c r="U5214">
        <v>0</v>
      </c>
      <c r="V5214" s="3">
        <v>0</v>
      </c>
      <c r="W5214" s="3">
        <v>0</v>
      </c>
      <c r="X5214">
        <v>0</v>
      </c>
      <c r="Y5214" t="s">
        <v>3934</v>
      </c>
    </row>
    <row r="5215" spans="1:25" hidden="1" x14ac:dyDescent="0.25">
      <c r="A5215" t="s">
        <v>51</v>
      </c>
      <c r="B5215" t="s">
        <v>120</v>
      </c>
      <c r="C5215" t="s">
        <v>2310</v>
      </c>
      <c r="D5215" t="s">
        <v>27</v>
      </c>
      <c r="E5215" s="2">
        <v>46141</v>
      </c>
      <c r="F5215" s="2">
        <v>46141</v>
      </c>
      <c r="G5215" s="3">
        <v>148</v>
      </c>
      <c r="H5215" t="s">
        <v>28</v>
      </c>
      <c r="I5215">
        <v>65</v>
      </c>
      <c r="J5215">
        <v>0</v>
      </c>
      <c r="K5215">
        <v>0</v>
      </c>
      <c r="L5215" s="3">
        <v>1</v>
      </c>
      <c r="M5215" s="3">
        <v>0</v>
      </c>
      <c r="N5215">
        <v>0</v>
      </c>
      <c r="O5215">
        <v>0</v>
      </c>
      <c r="P5215">
        <v>0</v>
      </c>
      <c r="Q5215">
        <v>6</v>
      </c>
      <c r="R5215" s="3">
        <v>0</v>
      </c>
      <c r="S5215" s="3">
        <v>0</v>
      </c>
      <c r="T5215">
        <v>0</v>
      </c>
      <c r="U5215">
        <v>0</v>
      </c>
      <c r="V5215" s="3">
        <v>0</v>
      </c>
      <c r="W5215" s="3">
        <v>0</v>
      </c>
      <c r="X5215">
        <v>0</v>
      </c>
      <c r="Y5215" t="s">
        <v>3935</v>
      </c>
    </row>
    <row r="5216" spans="1:25" x14ac:dyDescent="0.25">
      <c r="A5216" t="s">
        <v>54</v>
      </c>
      <c r="B5216" t="s">
        <v>122</v>
      </c>
      <c r="C5216" t="s">
        <v>2271</v>
      </c>
      <c r="D5216" t="s">
        <v>27</v>
      </c>
      <c r="E5216" s="2">
        <v>46141</v>
      </c>
      <c r="F5216" s="2">
        <v>46141</v>
      </c>
      <c r="G5216" s="3">
        <v>39</v>
      </c>
      <c r="H5216" t="s">
        <v>28</v>
      </c>
      <c r="I5216">
        <v>32</v>
      </c>
      <c r="J5216">
        <v>0</v>
      </c>
      <c r="K5216">
        <v>0</v>
      </c>
      <c r="L5216" s="3">
        <v>0</v>
      </c>
      <c r="M5216" s="3">
        <v>0</v>
      </c>
      <c r="N5216">
        <v>0</v>
      </c>
      <c r="O5216">
        <v>0</v>
      </c>
      <c r="P5216">
        <v>0</v>
      </c>
      <c r="Q5216">
        <v>2</v>
      </c>
      <c r="R5216" s="3">
        <v>0</v>
      </c>
      <c r="S5216" s="3">
        <v>0</v>
      </c>
      <c r="T5216">
        <v>0</v>
      </c>
      <c r="U5216">
        <v>0</v>
      </c>
      <c r="V5216" s="3">
        <v>0</v>
      </c>
      <c r="W5216" s="3">
        <v>0</v>
      </c>
      <c r="X5216">
        <v>1</v>
      </c>
      <c r="Y5216" t="s">
        <v>3936</v>
      </c>
    </row>
    <row r="5217" spans="1:25" hidden="1" x14ac:dyDescent="0.25">
      <c r="A5217" t="s">
        <v>48</v>
      </c>
      <c r="B5217" t="s">
        <v>149</v>
      </c>
      <c r="C5217" t="s">
        <v>37</v>
      </c>
      <c r="D5217" t="s">
        <v>27</v>
      </c>
      <c r="E5217" s="2">
        <v>46141</v>
      </c>
      <c r="F5217" s="2">
        <v>46141</v>
      </c>
      <c r="G5217" s="3">
        <v>46</v>
      </c>
      <c r="H5217" t="s">
        <v>28</v>
      </c>
      <c r="I5217">
        <v>68</v>
      </c>
      <c r="J5217">
        <v>0</v>
      </c>
      <c r="K5217">
        <v>0</v>
      </c>
      <c r="L5217" s="3">
        <v>1</v>
      </c>
      <c r="M5217" s="3">
        <v>0</v>
      </c>
      <c r="N5217">
        <v>0</v>
      </c>
      <c r="O5217">
        <v>0</v>
      </c>
      <c r="P5217">
        <v>0</v>
      </c>
      <c r="Q5217">
        <v>0</v>
      </c>
      <c r="R5217" s="3">
        <v>0</v>
      </c>
      <c r="S5217" s="3">
        <v>0</v>
      </c>
      <c r="T5217">
        <v>0</v>
      </c>
      <c r="U5217">
        <v>0</v>
      </c>
      <c r="V5217" s="3">
        <v>0</v>
      </c>
      <c r="W5217" s="3">
        <v>0</v>
      </c>
      <c r="X5217">
        <v>0</v>
      </c>
      <c r="Y5217" t="s">
        <v>3937</v>
      </c>
    </row>
    <row r="5218" spans="1:25" hidden="1" x14ac:dyDescent="0.25">
      <c r="A5218" t="s">
        <v>27</v>
      </c>
      <c r="B5218" t="s">
        <v>739</v>
      </c>
      <c r="C5218" t="s">
        <v>52</v>
      </c>
      <c r="D5218" t="s">
        <v>27</v>
      </c>
      <c r="E5218" s="2">
        <v>46141</v>
      </c>
      <c r="F5218" s="2">
        <v>46141</v>
      </c>
      <c r="G5218" s="3">
        <v>54</v>
      </c>
      <c r="H5218" t="s">
        <v>180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 t="s">
        <v>3856</v>
      </c>
    </row>
    <row r="5219" spans="1:25" hidden="1" x14ac:dyDescent="0.25">
      <c r="A5219" t="s">
        <v>47</v>
      </c>
      <c r="B5219" t="s">
        <v>755</v>
      </c>
      <c r="C5219" t="s">
        <v>27</v>
      </c>
      <c r="D5219" t="s">
        <v>27</v>
      </c>
      <c r="E5219" s="2">
        <v>46141</v>
      </c>
      <c r="F5219" s="2">
        <v>46141</v>
      </c>
      <c r="G5219" s="3">
        <v>55</v>
      </c>
      <c r="H5219" t="s">
        <v>1256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 t="s">
        <v>3856</v>
      </c>
    </row>
    <row r="5220" spans="1:25" hidden="1" x14ac:dyDescent="0.25">
      <c r="A5220" s="13" t="s">
        <v>2899</v>
      </c>
      <c r="B5220" t="s">
        <v>758</v>
      </c>
      <c r="C5220" t="s">
        <v>27</v>
      </c>
      <c r="D5220" t="s">
        <v>27</v>
      </c>
      <c r="E5220" s="2">
        <v>46141</v>
      </c>
      <c r="F5220" s="2">
        <v>46141</v>
      </c>
      <c r="G5220" s="3">
        <v>56</v>
      </c>
      <c r="H5220" t="s">
        <v>1448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 t="s">
        <v>3856</v>
      </c>
    </row>
    <row r="5221" spans="1:25" hidden="1" x14ac:dyDescent="0.25">
      <c r="A5221" t="s">
        <v>438</v>
      </c>
      <c r="B5221" t="s">
        <v>798</v>
      </c>
      <c r="C5221" t="s">
        <v>27</v>
      </c>
      <c r="D5221" t="s">
        <v>27</v>
      </c>
      <c r="E5221" s="2">
        <v>46141</v>
      </c>
      <c r="F5221" s="2">
        <v>46141</v>
      </c>
      <c r="G5221" s="3">
        <v>57</v>
      </c>
      <c r="H5221" t="s">
        <v>1256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3856</v>
      </c>
    </row>
    <row r="5222" spans="1:25" hidden="1" x14ac:dyDescent="0.25">
      <c r="A5222" t="s">
        <v>27</v>
      </c>
      <c r="B5222" t="s">
        <v>3524</v>
      </c>
      <c r="C5222" t="s">
        <v>2835</v>
      </c>
      <c r="D5222" t="s">
        <v>27</v>
      </c>
      <c r="E5222" s="2">
        <v>46141</v>
      </c>
      <c r="F5222" s="2">
        <v>46141</v>
      </c>
      <c r="G5222" s="3">
        <v>59</v>
      </c>
      <c r="H5222" t="s">
        <v>1448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t="s">
        <v>3856</v>
      </c>
    </row>
    <row r="5223" spans="1:25" hidden="1" x14ac:dyDescent="0.25">
      <c r="A5223" t="s">
        <v>55</v>
      </c>
      <c r="B5223" t="s">
        <v>2072</v>
      </c>
      <c r="C5223" t="s">
        <v>2835</v>
      </c>
      <c r="D5223" t="s">
        <v>27</v>
      </c>
      <c r="E5223" s="2">
        <v>46142</v>
      </c>
      <c r="F5223" s="2">
        <v>46142</v>
      </c>
      <c r="G5223" s="3">
        <v>37</v>
      </c>
      <c r="H5223" t="s">
        <v>28</v>
      </c>
      <c r="I5223">
        <v>29</v>
      </c>
      <c r="J5223">
        <v>0</v>
      </c>
      <c r="K5223">
        <v>0</v>
      </c>
      <c r="L5223" s="3">
        <v>1</v>
      </c>
      <c r="M5223" s="3">
        <v>0</v>
      </c>
      <c r="N5223">
        <v>1</v>
      </c>
      <c r="O5223">
        <v>0</v>
      </c>
      <c r="P5223">
        <v>0</v>
      </c>
      <c r="Q5223">
        <v>0</v>
      </c>
      <c r="R5223" s="3">
        <v>0</v>
      </c>
      <c r="S5223" s="3">
        <v>0</v>
      </c>
      <c r="T5223">
        <v>0</v>
      </c>
      <c r="U5223">
        <v>0</v>
      </c>
      <c r="V5223" s="3">
        <v>0</v>
      </c>
      <c r="W5223" s="3">
        <v>0</v>
      </c>
      <c r="X5223">
        <v>0</v>
      </c>
      <c r="Y5223" t="s">
        <v>3938</v>
      </c>
    </row>
    <row r="5224" spans="1:25" hidden="1" x14ac:dyDescent="0.25">
      <c r="A5224" t="s">
        <v>25</v>
      </c>
      <c r="B5224" t="s">
        <v>96</v>
      </c>
      <c r="C5224" t="s">
        <v>26</v>
      </c>
      <c r="D5224" t="s">
        <v>27</v>
      </c>
      <c r="E5224" s="2">
        <v>46142</v>
      </c>
      <c r="F5224" s="2">
        <v>46142</v>
      </c>
      <c r="G5224" s="3">
        <v>60</v>
      </c>
      <c r="H5224" t="s">
        <v>28</v>
      </c>
      <c r="I5224">
        <v>43</v>
      </c>
      <c r="J5224">
        <v>0</v>
      </c>
      <c r="K5224">
        <v>0</v>
      </c>
      <c r="L5224" s="3">
        <v>1</v>
      </c>
      <c r="M5224" s="3">
        <v>0</v>
      </c>
      <c r="N5224">
        <v>1</v>
      </c>
      <c r="O5224">
        <v>0</v>
      </c>
      <c r="P5224">
        <v>0</v>
      </c>
      <c r="Q5224">
        <v>0</v>
      </c>
      <c r="R5224" s="3">
        <v>0</v>
      </c>
      <c r="S5224" s="3">
        <v>0</v>
      </c>
      <c r="T5224">
        <v>0</v>
      </c>
      <c r="U5224">
        <v>0</v>
      </c>
      <c r="V5224" s="3">
        <v>0</v>
      </c>
      <c r="W5224" s="3">
        <v>0</v>
      </c>
      <c r="X5224">
        <v>0</v>
      </c>
      <c r="Y5224" t="s">
        <v>3939</v>
      </c>
    </row>
    <row r="5225" spans="1:25" hidden="1" x14ac:dyDescent="0.25">
      <c r="A5225" t="s">
        <v>29</v>
      </c>
      <c r="B5225" t="s">
        <v>100</v>
      </c>
      <c r="C5225" t="s">
        <v>241</v>
      </c>
      <c r="D5225" t="s">
        <v>27</v>
      </c>
      <c r="E5225" s="2">
        <v>46142</v>
      </c>
      <c r="F5225" s="2">
        <v>46142</v>
      </c>
      <c r="G5225" s="3">
        <v>48</v>
      </c>
      <c r="H5225" t="s">
        <v>28</v>
      </c>
      <c r="I5225">
        <v>42</v>
      </c>
      <c r="J5225">
        <v>0</v>
      </c>
      <c r="K5225">
        <v>0</v>
      </c>
      <c r="L5225" s="3">
        <v>0</v>
      </c>
      <c r="M5225" s="3">
        <v>0</v>
      </c>
      <c r="N5225">
        <v>0</v>
      </c>
      <c r="O5225">
        <v>0</v>
      </c>
      <c r="P5225">
        <v>0</v>
      </c>
      <c r="Q5225">
        <v>10</v>
      </c>
      <c r="R5225" s="3">
        <v>0</v>
      </c>
      <c r="S5225" s="3">
        <v>0</v>
      </c>
      <c r="T5225">
        <v>0</v>
      </c>
      <c r="U5225">
        <v>0</v>
      </c>
      <c r="V5225" s="3">
        <v>0</v>
      </c>
      <c r="W5225" s="3">
        <v>0</v>
      </c>
      <c r="X5225">
        <v>2</v>
      </c>
      <c r="Y5225" t="s">
        <v>3940</v>
      </c>
    </row>
    <row r="5226" spans="1:25" hidden="1" x14ac:dyDescent="0.25">
      <c r="A5226" t="s">
        <v>344</v>
      </c>
      <c r="B5226" t="s">
        <v>100</v>
      </c>
      <c r="C5226" t="s">
        <v>3909</v>
      </c>
      <c r="D5226" t="s">
        <v>27</v>
      </c>
      <c r="E5226" s="2">
        <v>46142</v>
      </c>
      <c r="F5226" s="2">
        <v>46142</v>
      </c>
      <c r="G5226" s="3">
        <v>48</v>
      </c>
      <c r="H5226" t="s">
        <v>28</v>
      </c>
      <c r="I5226">
        <v>16</v>
      </c>
      <c r="J5226">
        <v>0</v>
      </c>
      <c r="K5226">
        <v>0</v>
      </c>
      <c r="L5226" s="3">
        <v>1</v>
      </c>
      <c r="M5226" s="3">
        <v>0</v>
      </c>
      <c r="N5226">
        <v>0</v>
      </c>
      <c r="O5226">
        <v>0</v>
      </c>
      <c r="P5226">
        <v>3</v>
      </c>
      <c r="Q5226">
        <v>2</v>
      </c>
      <c r="R5226" s="3">
        <v>0</v>
      </c>
      <c r="S5226" s="3">
        <v>0</v>
      </c>
      <c r="T5226">
        <v>0</v>
      </c>
      <c r="U5226">
        <v>0</v>
      </c>
      <c r="V5226" s="3">
        <v>0</v>
      </c>
      <c r="W5226" s="3">
        <v>0</v>
      </c>
      <c r="X5226">
        <v>2</v>
      </c>
      <c r="Y5226" t="s">
        <v>3908</v>
      </c>
    </row>
    <row r="5227" spans="1:25" hidden="1" x14ac:dyDescent="0.25">
      <c r="A5227" t="s">
        <v>31</v>
      </c>
      <c r="B5227" t="s">
        <v>104</v>
      </c>
      <c r="C5227" t="s">
        <v>32</v>
      </c>
      <c r="D5227" t="s">
        <v>27</v>
      </c>
      <c r="E5227" s="2">
        <v>46142</v>
      </c>
      <c r="F5227" s="2">
        <v>46142</v>
      </c>
      <c r="G5227" s="3">
        <v>60</v>
      </c>
      <c r="H5227" t="s">
        <v>28</v>
      </c>
      <c r="I5227">
        <v>72</v>
      </c>
      <c r="J5227">
        <v>0</v>
      </c>
      <c r="K5227">
        <v>0</v>
      </c>
      <c r="L5227" s="3">
        <v>1</v>
      </c>
      <c r="M5227" s="3">
        <v>0</v>
      </c>
      <c r="N5227">
        <v>0</v>
      </c>
      <c r="O5227">
        <v>0</v>
      </c>
      <c r="P5227">
        <v>0</v>
      </c>
      <c r="Q5227">
        <v>38</v>
      </c>
      <c r="R5227" s="3">
        <v>0</v>
      </c>
      <c r="S5227" s="3">
        <v>0</v>
      </c>
      <c r="T5227">
        <v>0</v>
      </c>
      <c r="U5227">
        <v>0</v>
      </c>
      <c r="V5227" s="3">
        <v>0</v>
      </c>
      <c r="W5227" s="3">
        <v>0</v>
      </c>
      <c r="X5227">
        <v>0</v>
      </c>
      <c r="Y5227" t="s">
        <v>3941</v>
      </c>
    </row>
    <row r="5228" spans="1:25" hidden="1" x14ac:dyDescent="0.25">
      <c r="A5228" t="s">
        <v>33</v>
      </c>
      <c r="B5228" t="s">
        <v>106</v>
      </c>
      <c r="C5228" t="s">
        <v>57</v>
      </c>
      <c r="D5228" t="s">
        <v>27</v>
      </c>
      <c r="E5228" s="2">
        <v>46142</v>
      </c>
      <c r="F5228" s="2">
        <v>46142</v>
      </c>
      <c r="G5228" s="3">
        <v>25</v>
      </c>
      <c r="H5228" t="s">
        <v>28</v>
      </c>
      <c r="I5228">
        <v>38</v>
      </c>
      <c r="J5228">
        <v>0</v>
      </c>
      <c r="K5228">
        <v>0</v>
      </c>
      <c r="L5228" s="3">
        <v>0</v>
      </c>
      <c r="M5228" s="3">
        <v>0</v>
      </c>
      <c r="N5228">
        <v>0</v>
      </c>
      <c r="O5228">
        <v>0</v>
      </c>
      <c r="P5228">
        <v>0</v>
      </c>
      <c r="Q5228">
        <v>0</v>
      </c>
      <c r="R5228" s="3">
        <v>0</v>
      </c>
      <c r="S5228" s="3">
        <v>0</v>
      </c>
      <c r="T5228">
        <v>0</v>
      </c>
      <c r="U5228">
        <v>0</v>
      </c>
      <c r="V5228" s="3">
        <v>0</v>
      </c>
      <c r="W5228" s="3">
        <v>0</v>
      </c>
      <c r="X5228">
        <v>0</v>
      </c>
      <c r="Y5228" t="s">
        <v>3942</v>
      </c>
    </row>
    <row r="5229" spans="1:25" hidden="1" x14ac:dyDescent="0.25">
      <c r="A5229" t="s">
        <v>36</v>
      </c>
      <c r="B5229" t="s">
        <v>249</v>
      </c>
      <c r="C5229" t="s">
        <v>42</v>
      </c>
      <c r="D5229" t="s">
        <v>27</v>
      </c>
      <c r="E5229" s="2">
        <v>46142</v>
      </c>
      <c r="F5229" s="2">
        <v>46142</v>
      </c>
      <c r="G5229" s="3">
        <v>41</v>
      </c>
      <c r="H5229" t="s">
        <v>28</v>
      </c>
      <c r="I5229">
        <v>38</v>
      </c>
      <c r="J5229">
        <v>0</v>
      </c>
      <c r="K5229">
        <v>0</v>
      </c>
      <c r="L5229" s="3">
        <v>1</v>
      </c>
      <c r="M5229" s="3">
        <v>1</v>
      </c>
      <c r="N5229">
        <v>0</v>
      </c>
      <c r="O5229">
        <v>0</v>
      </c>
      <c r="P5229">
        <v>0</v>
      </c>
      <c r="Q5229">
        <v>4</v>
      </c>
      <c r="R5229" s="3">
        <v>0</v>
      </c>
      <c r="S5229" s="3">
        <v>0</v>
      </c>
      <c r="T5229">
        <v>0</v>
      </c>
      <c r="U5229">
        <v>0</v>
      </c>
      <c r="V5229" s="3">
        <v>0</v>
      </c>
      <c r="W5229" s="3">
        <v>0</v>
      </c>
      <c r="X5229">
        <v>0</v>
      </c>
      <c r="Y5229" t="s">
        <v>3943</v>
      </c>
    </row>
    <row r="5230" spans="1:25" hidden="1" x14ac:dyDescent="0.25">
      <c r="A5230" t="s">
        <v>38</v>
      </c>
      <c r="B5230" t="s">
        <v>108</v>
      </c>
      <c r="C5230" t="s">
        <v>27</v>
      </c>
      <c r="D5230" t="s">
        <v>27</v>
      </c>
      <c r="E5230" s="2">
        <v>46142</v>
      </c>
      <c r="F5230" s="2">
        <v>46142</v>
      </c>
      <c r="G5230" s="3">
        <v>33</v>
      </c>
      <c r="H5230" t="s">
        <v>28</v>
      </c>
      <c r="I5230">
        <v>21</v>
      </c>
      <c r="J5230">
        <v>0</v>
      </c>
      <c r="K5230">
        <v>0</v>
      </c>
      <c r="L5230" s="3">
        <v>1</v>
      </c>
      <c r="M5230" s="3">
        <v>0</v>
      </c>
      <c r="N5230">
        <v>0</v>
      </c>
      <c r="O5230">
        <v>0</v>
      </c>
      <c r="P5230">
        <v>0</v>
      </c>
      <c r="Q5230">
        <v>21</v>
      </c>
      <c r="R5230" s="3">
        <v>0</v>
      </c>
      <c r="S5230" s="3">
        <v>0</v>
      </c>
      <c r="T5230">
        <v>0</v>
      </c>
      <c r="U5230">
        <v>0</v>
      </c>
      <c r="V5230" s="3">
        <v>0</v>
      </c>
      <c r="W5230" s="3">
        <v>0</v>
      </c>
      <c r="X5230">
        <v>0</v>
      </c>
      <c r="Y5230" t="s">
        <v>3944</v>
      </c>
    </row>
    <row r="5231" spans="1:25" hidden="1" x14ac:dyDescent="0.25">
      <c r="A5231" t="s">
        <v>3929</v>
      </c>
      <c r="B5231" t="s">
        <v>2680</v>
      </c>
      <c r="C5231" t="s">
        <v>39</v>
      </c>
      <c r="D5231" t="s">
        <v>27</v>
      </c>
      <c r="E5231" s="2">
        <v>46142</v>
      </c>
      <c r="F5231" s="2">
        <v>46142</v>
      </c>
      <c r="G5231" s="3">
        <v>33</v>
      </c>
      <c r="H5231" t="s">
        <v>28</v>
      </c>
      <c r="I5231">
        <v>25</v>
      </c>
      <c r="J5231">
        <v>0</v>
      </c>
      <c r="K5231">
        <v>0</v>
      </c>
      <c r="L5231" s="3">
        <v>0</v>
      </c>
      <c r="M5231" s="3">
        <v>0</v>
      </c>
      <c r="N5231">
        <v>0</v>
      </c>
      <c r="O5231">
        <v>0</v>
      </c>
      <c r="P5231">
        <v>0</v>
      </c>
      <c r="Q5231">
        <v>25</v>
      </c>
      <c r="R5231" s="3">
        <v>0</v>
      </c>
      <c r="S5231" s="3">
        <v>0</v>
      </c>
      <c r="T5231">
        <v>0</v>
      </c>
      <c r="U5231">
        <v>0</v>
      </c>
      <c r="V5231" s="3">
        <v>0</v>
      </c>
      <c r="W5231" s="3">
        <v>0</v>
      </c>
      <c r="X5231">
        <v>0</v>
      </c>
      <c r="Y5231" t="s">
        <v>3945</v>
      </c>
    </row>
    <row r="5232" spans="1:25" hidden="1" x14ac:dyDescent="0.25">
      <c r="A5232" t="s">
        <v>40</v>
      </c>
      <c r="B5232" t="s">
        <v>110</v>
      </c>
      <c r="C5232" t="s">
        <v>2534</v>
      </c>
      <c r="D5232" t="s">
        <v>27</v>
      </c>
      <c r="E5232" s="2">
        <v>46142</v>
      </c>
      <c r="F5232" s="2">
        <v>46142</v>
      </c>
      <c r="G5232" s="3">
        <v>60</v>
      </c>
      <c r="H5232" t="s">
        <v>28</v>
      </c>
      <c r="I5232">
        <v>38</v>
      </c>
      <c r="J5232">
        <v>0</v>
      </c>
      <c r="K5232">
        <v>0</v>
      </c>
      <c r="L5232" s="3">
        <v>1</v>
      </c>
      <c r="M5232" s="3">
        <v>0</v>
      </c>
      <c r="N5232">
        <v>1</v>
      </c>
      <c r="O5232">
        <v>0</v>
      </c>
      <c r="P5232">
        <v>0</v>
      </c>
      <c r="Q5232">
        <v>41</v>
      </c>
      <c r="R5232" s="3">
        <v>0</v>
      </c>
      <c r="S5232" s="3">
        <v>0</v>
      </c>
      <c r="T5232">
        <v>0</v>
      </c>
      <c r="U5232">
        <v>0</v>
      </c>
      <c r="V5232" s="3">
        <v>0</v>
      </c>
      <c r="W5232" s="3">
        <v>0</v>
      </c>
      <c r="X5232">
        <v>0</v>
      </c>
      <c r="Y5232" t="s">
        <v>3946</v>
      </c>
    </row>
    <row r="5233" spans="1:25" hidden="1" x14ac:dyDescent="0.25">
      <c r="A5233" t="s">
        <v>43</v>
      </c>
      <c r="B5233" t="s">
        <v>114</v>
      </c>
      <c r="C5233" t="s">
        <v>44</v>
      </c>
      <c r="D5233" t="s">
        <v>27</v>
      </c>
      <c r="E5233" s="2">
        <v>46142</v>
      </c>
      <c r="F5233" s="2">
        <v>46142</v>
      </c>
      <c r="G5233" s="3">
        <v>31</v>
      </c>
      <c r="H5233" t="s">
        <v>28</v>
      </c>
      <c r="I5233">
        <v>73</v>
      </c>
      <c r="J5233">
        <v>0</v>
      </c>
      <c r="K5233">
        <v>0</v>
      </c>
      <c r="L5233" s="3">
        <v>1</v>
      </c>
      <c r="M5233" s="3">
        <v>0</v>
      </c>
      <c r="N5233">
        <v>0</v>
      </c>
      <c r="O5233">
        <v>0</v>
      </c>
      <c r="P5233">
        <v>0</v>
      </c>
      <c r="Q5233">
        <v>0</v>
      </c>
      <c r="R5233" s="3">
        <v>0</v>
      </c>
      <c r="S5233" s="3">
        <v>0</v>
      </c>
      <c r="T5233">
        <v>0</v>
      </c>
      <c r="U5233">
        <v>0</v>
      </c>
      <c r="V5233" s="3">
        <v>0</v>
      </c>
      <c r="W5233" s="3">
        <v>0</v>
      </c>
      <c r="X5233">
        <v>0</v>
      </c>
      <c r="Y5233" t="s">
        <v>3947</v>
      </c>
    </row>
    <row r="5234" spans="1:25" hidden="1" x14ac:dyDescent="0.25">
      <c r="A5234" t="s">
        <v>45</v>
      </c>
      <c r="B5234" t="s">
        <v>116</v>
      </c>
      <c r="C5234" t="s">
        <v>46</v>
      </c>
      <c r="D5234" t="s">
        <v>27</v>
      </c>
      <c r="E5234" s="2">
        <v>46142</v>
      </c>
      <c r="F5234" s="2">
        <v>46142</v>
      </c>
      <c r="G5234" s="3">
        <v>46</v>
      </c>
      <c r="H5234" t="s">
        <v>28</v>
      </c>
      <c r="I5234">
        <v>71</v>
      </c>
      <c r="J5234">
        <v>0</v>
      </c>
      <c r="K5234">
        <v>0</v>
      </c>
      <c r="L5234" s="3">
        <v>1</v>
      </c>
      <c r="M5234" s="3">
        <v>0</v>
      </c>
      <c r="N5234">
        <v>0</v>
      </c>
      <c r="O5234">
        <v>0</v>
      </c>
      <c r="P5234">
        <v>0</v>
      </c>
      <c r="Q5234">
        <v>9</v>
      </c>
      <c r="R5234" s="3">
        <v>0</v>
      </c>
      <c r="S5234" s="3">
        <v>0</v>
      </c>
      <c r="T5234">
        <v>0</v>
      </c>
      <c r="U5234">
        <v>0</v>
      </c>
      <c r="V5234" s="3">
        <v>0</v>
      </c>
      <c r="W5234" s="3">
        <v>0</v>
      </c>
      <c r="X5234">
        <v>0</v>
      </c>
      <c r="Y5234" t="s">
        <v>3933</v>
      </c>
    </row>
    <row r="5235" spans="1:25" hidden="1" x14ac:dyDescent="0.25">
      <c r="A5235" t="s">
        <v>49</v>
      </c>
      <c r="B5235" t="s">
        <v>118</v>
      </c>
      <c r="C5235" t="s">
        <v>50</v>
      </c>
      <c r="D5235" t="s">
        <v>27</v>
      </c>
      <c r="E5235" s="2">
        <v>46142</v>
      </c>
      <c r="F5235" s="2">
        <v>46142</v>
      </c>
      <c r="G5235" s="3">
        <v>74</v>
      </c>
      <c r="H5235" t="s">
        <v>28</v>
      </c>
      <c r="I5235">
        <v>38</v>
      </c>
      <c r="J5235">
        <v>0</v>
      </c>
      <c r="K5235">
        <v>0</v>
      </c>
      <c r="L5235" s="3">
        <v>1</v>
      </c>
      <c r="M5235" s="3">
        <v>1</v>
      </c>
      <c r="N5235">
        <v>0</v>
      </c>
      <c r="O5235">
        <v>1</v>
      </c>
      <c r="P5235">
        <v>0</v>
      </c>
      <c r="Q5235">
        <v>38</v>
      </c>
      <c r="R5235" s="3">
        <v>0</v>
      </c>
      <c r="S5235" s="3">
        <v>0</v>
      </c>
      <c r="T5235">
        <v>0</v>
      </c>
      <c r="U5235">
        <v>0</v>
      </c>
      <c r="V5235" s="3">
        <v>0</v>
      </c>
      <c r="W5235" s="3">
        <v>0</v>
      </c>
      <c r="X5235">
        <v>0</v>
      </c>
      <c r="Y5235" t="s">
        <v>3948</v>
      </c>
    </row>
    <row r="5236" spans="1:25" hidden="1" x14ac:dyDescent="0.25">
      <c r="A5236" t="s">
        <v>51</v>
      </c>
      <c r="B5236" t="s">
        <v>120</v>
      </c>
      <c r="C5236" t="s">
        <v>2310</v>
      </c>
      <c r="D5236" t="s">
        <v>27</v>
      </c>
      <c r="E5236" s="2">
        <v>46142</v>
      </c>
      <c r="F5236" s="2">
        <v>46142</v>
      </c>
      <c r="G5236" s="3">
        <v>262</v>
      </c>
      <c r="H5236" t="s">
        <v>28</v>
      </c>
      <c r="I5236">
        <v>45</v>
      </c>
      <c r="J5236">
        <v>0</v>
      </c>
      <c r="K5236">
        <v>0</v>
      </c>
      <c r="L5236" s="3">
        <v>1</v>
      </c>
      <c r="M5236" s="3">
        <v>0</v>
      </c>
      <c r="N5236">
        <v>0</v>
      </c>
      <c r="O5236">
        <v>0</v>
      </c>
      <c r="P5236">
        <v>0</v>
      </c>
      <c r="Q5236">
        <v>2</v>
      </c>
      <c r="R5236" s="3">
        <v>0</v>
      </c>
      <c r="S5236" s="3">
        <v>0</v>
      </c>
      <c r="T5236">
        <v>0</v>
      </c>
      <c r="U5236">
        <v>0</v>
      </c>
      <c r="V5236" s="3">
        <v>0</v>
      </c>
      <c r="W5236" s="3">
        <v>0</v>
      </c>
      <c r="X5236">
        <v>0</v>
      </c>
      <c r="Y5236" t="s">
        <v>3949</v>
      </c>
    </row>
    <row r="5237" spans="1:25" x14ac:dyDescent="0.25">
      <c r="A5237" t="s">
        <v>54</v>
      </c>
      <c r="B5237" t="s">
        <v>122</v>
      </c>
      <c r="C5237" t="s">
        <v>2271</v>
      </c>
      <c r="D5237" t="s">
        <v>27</v>
      </c>
      <c r="E5237" s="2">
        <v>46142</v>
      </c>
      <c r="F5237" s="2">
        <v>46142</v>
      </c>
      <c r="G5237" s="3">
        <v>34</v>
      </c>
      <c r="H5237" t="s">
        <v>28</v>
      </c>
      <c r="I5237">
        <v>40</v>
      </c>
      <c r="J5237">
        <v>0</v>
      </c>
      <c r="K5237">
        <v>0</v>
      </c>
      <c r="L5237" s="3">
        <v>0</v>
      </c>
      <c r="M5237" s="3">
        <v>0</v>
      </c>
      <c r="N5237">
        <v>0</v>
      </c>
      <c r="O5237">
        <v>0</v>
      </c>
      <c r="P5237">
        <v>0</v>
      </c>
      <c r="Q5237">
        <v>2</v>
      </c>
      <c r="R5237" s="3">
        <v>0</v>
      </c>
      <c r="S5237" s="3">
        <v>0</v>
      </c>
      <c r="T5237">
        <v>0</v>
      </c>
      <c r="U5237">
        <v>0</v>
      </c>
      <c r="V5237" s="3">
        <v>0</v>
      </c>
      <c r="W5237" s="3">
        <v>0</v>
      </c>
      <c r="X5237">
        <v>0</v>
      </c>
      <c r="Y5237" t="s">
        <v>3950</v>
      </c>
    </row>
    <row r="5238" spans="1:25" hidden="1" x14ac:dyDescent="0.25">
      <c r="A5238" t="s">
        <v>48</v>
      </c>
      <c r="B5238" t="s">
        <v>149</v>
      </c>
      <c r="C5238" t="s">
        <v>37</v>
      </c>
      <c r="D5238" t="s">
        <v>27</v>
      </c>
      <c r="E5238" s="2">
        <v>46142</v>
      </c>
      <c r="F5238" s="2">
        <v>46142</v>
      </c>
      <c r="G5238" s="3">
        <v>19</v>
      </c>
      <c r="H5238" t="s">
        <v>28</v>
      </c>
      <c r="I5238">
        <v>30</v>
      </c>
      <c r="J5238">
        <v>0</v>
      </c>
      <c r="K5238">
        <v>0</v>
      </c>
      <c r="L5238" s="3">
        <v>1</v>
      </c>
      <c r="M5238" s="3">
        <v>0</v>
      </c>
      <c r="N5238">
        <v>0</v>
      </c>
      <c r="O5238">
        <v>0</v>
      </c>
      <c r="P5238">
        <v>0</v>
      </c>
      <c r="Q5238">
        <v>0</v>
      </c>
      <c r="R5238" s="3">
        <v>0</v>
      </c>
      <c r="S5238" s="3">
        <v>0</v>
      </c>
      <c r="T5238">
        <v>0</v>
      </c>
      <c r="U5238">
        <v>0</v>
      </c>
      <c r="V5238" s="3">
        <v>0</v>
      </c>
      <c r="W5238" s="3">
        <v>0</v>
      </c>
      <c r="X5238">
        <v>0</v>
      </c>
      <c r="Y5238" t="s">
        <v>3951</v>
      </c>
    </row>
    <row r="5239" spans="1:25" hidden="1" x14ac:dyDescent="0.25">
      <c r="A5239" t="s">
        <v>27</v>
      </c>
      <c r="B5239" t="s">
        <v>739</v>
      </c>
      <c r="C5239" t="s">
        <v>52</v>
      </c>
      <c r="D5239" t="s">
        <v>27</v>
      </c>
      <c r="E5239" s="2">
        <v>46142</v>
      </c>
      <c r="F5239" s="2">
        <v>46142</v>
      </c>
      <c r="G5239" s="3">
        <v>54</v>
      </c>
      <c r="H5239" t="s">
        <v>180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 t="s">
        <v>3856</v>
      </c>
    </row>
    <row r="5240" spans="1:25" hidden="1" x14ac:dyDescent="0.25">
      <c r="A5240" t="s">
        <v>47</v>
      </c>
      <c r="B5240" t="s">
        <v>755</v>
      </c>
      <c r="C5240" t="s">
        <v>27</v>
      </c>
      <c r="D5240" t="s">
        <v>27</v>
      </c>
      <c r="E5240" s="2">
        <v>46142</v>
      </c>
      <c r="F5240" s="2">
        <v>46142</v>
      </c>
      <c r="G5240" s="3">
        <v>55</v>
      </c>
      <c r="H5240" t="s">
        <v>1256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 t="s">
        <v>3856</v>
      </c>
    </row>
    <row r="5241" spans="1:25" hidden="1" x14ac:dyDescent="0.25">
      <c r="A5241" s="13" t="s">
        <v>2899</v>
      </c>
      <c r="B5241" t="s">
        <v>758</v>
      </c>
      <c r="C5241" t="s">
        <v>27</v>
      </c>
      <c r="D5241" t="s">
        <v>27</v>
      </c>
      <c r="E5241" s="2">
        <v>46142</v>
      </c>
      <c r="F5241" s="2">
        <v>46142</v>
      </c>
      <c r="G5241" s="3">
        <v>56</v>
      </c>
      <c r="H5241" t="s">
        <v>1448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 t="s">
        <v>3856</v>
      </c>
    </row>
    <row r="5242" spans="1:25" hidden="1" x14ac:dyDescent="0.25">
      <c r="A5242" t="s">
        <v>438</v>
      </c>
      <c r="B5242" t="s">
        <v>798</v>
      </c>
      <c r="C5242" t="s">
        <v>27</v>
      </c>
      <c r="D5242" t="s">
        <v>27</v>
      </c>
      <c r="E5242" s="2">
        <v>46142</v>
      </c>
      <c r="F5242" s="2">
        <v>46142</v>
      </c>
      <c r="G5242" s="3">
        <v>57</v>
      </c>
      <c r="H5242" t="s">
        <v>1256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 t="s">
        <v>3856</v>
      </c>
    </row>
    <row r="5243" spans="1:25" hidden="1" x14ac:dyDescent="0.25">
      <c r="A5243" t="s">
        <v>27</v>
      </c>
      <c r="B5243" t="s">
        <v>3524</v>
      </c>
      <c r="C5243" t="s">
        <v>2514</v>
      </c>
      <c r="D5243" t="s">
        <v>27</v>
      </c>
      <c r="E5243" s="2">
        <v>46142</v>
      </c>
      <c r="F5243" s="2">
        <v>46142</v>
      </c>
      <c r="G5243" s="3">
        <v>59</v>
      </c>
      <c r="H5243" t="s">
        <v>2143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 t="s">
        <v>3856</v>
      </c>
    </row>
    <row r="5244" spans="1:25" hidden="1" x14ac:dyDescent="0.25">
      <c r="A5244" t="s">
        <v>27</v>
      </c>
      <c r="B5244" t="s">
        <v>3525</v>
      </c>
      <c r="C5244" t="s">
        <v>95</v>
      </c>
      <c r="D5244" t="s">
        <v>27</v>
      </c>
      <c r="E5244" s="2">
        <v>46142</v>
      </c>
      <c r="F5244" s="2">
        <v>46142</v>
      </c>
      <c r="G5244" s="3">
        <v>60</v>
      </c>
      <c r="H5244" t="s">
        <v>180</v>
      </c>
      <c r="I5244">
        <v>0</v>
      </c>
      <c r="J5244">
        <v>0</v>
      </c>
      <c r="K5244">
        <v>0</v>
      </c>
      <c r="L5244" s="3">
        <v>0</v>
      </c>
      <c r="M5244" s="3">
        <v>0</v>
      </c>
      <c r="N5244">
        <v>0</v>
      </c>
      <c r="O5244">
        <v>0</v>
      </c>
      <c r="P5244">
        <v>0</v>
      </c>
      <c r="Q5244">
        <v>0</v>
      </c>
      <c r="R5244" s="3">
        <v>0</v>
      </c>
      <c r="S5244" s="3">
        <v>0</v>
      </c>
      <c r="T5244">
        <v>0</v>
      </c>
      <c r="U5244">
        <v>0</v>
      </c>
      <c r="V5244" s="3">
        <v>0</v>
      </c>
      <c r="W5244" s="3">
        <v>0</v>
      </c>
      <c r="X5244" s="3">
        <v>0</v>
      </c>
      <c r="Y5244" t="s">
        <v>3856</v>
      </c>
    </row>
    <row r="5245" spans="1:25" hidden="1" x14ac:dyDescent="0.25">
      <c r="A5245" t="s">
        <v>41</v>
      </c>
      <c r="B5245" t="s">
        <v>3558</v>
      </c>
      <c r="C5245" t="s">
        <v>27</v>
      </c>
      <c r="D5245" t="s">
        <v>27</v>
      </c>
      <c r="E5245" s="2">
        <v>46142</v>
      </c>
      <c r="F5245" s="2">
        <v>46142</v>
      </c>
      <c r="G5245" s="3">
        <v>61</v>
      </c>
      <c r="H5245" t="s">
        <v>28</v>
      </c>
      <c r="I5245">
        <v>34</v>
      </c>
      <c r="J5245">
        <v>0</v>
      </c>
      <c r="K5245">
        <v>0</v>
      </c>
      <c r="L5245" s="3">
        <v>0</v>
      </c>
      <c r="M5245" s="3">
        <v>0</v>
      </c>
      <c r="N5245">
        <v>0</v>
      </c>
      <c r="O5245">
        <v>0</v>
      </c>
      <c r="P5245">
        <v>0</v>
      </c>
      <c r="Q5245">
        <v>0</v>
      </c>
      <c r="R5245" s="3">
        <v>0</v>
      </c>
      <c r="S5245" s="3">
        <v>0</v>
      </c>
      <c r="T5245">
        <v>0</v>
      </c>
      <c r="U5245">
        <v>0</v>
      </c>
      <c r="V5245" s="3">
        <v>0</v>
      </c>
      <c r="W5245" s="3">
        <v>0</v>
      </c>
      <c r="X5245" s="3">
        <v>0</v>
      </c>
      <c r="Y5245" t="s">
        <v>3856</v>
      </c>
    </row>
    <row r="5246" spans="1:25" hidden="1" x14ac:dyDescent="0.25">
      <c r="A5246" t="s">
        <v>41</v>
      </c>
      <c r="B5246" t="s">
        <v>112</v>
      </c>
      <c r="C5246" t="s">
        <v>42</v>
      </c>
      <c r="D5246" t="s">
        <v>27</v>
      </c>
      <c r="E5246" s="2">
        <v>46143</v>
      </c>
      <c r="F5246" s="2">
        <v>46143</v>
      </c>
      <c r="G5246" s="3">
        <v>57</v>
      </c>
      <c r="H5246" t="s">
        <v>28</v>
      </c>
      <c r="I5246">
        <v>0</v>
      </c>
      <c r="J5246">
        <v>0</v>
      </c>
      <c r="K5246">
        <v>0</v>
      </c>
      <c r="L5246" s="3">
        <v>0</v>
      </c>
      <c r="M5246" s="3">
        <v>0</v>
      </c>
      <c r="N5246">
        <v>1</v>
      </c>
      <c r="O5246">
        <v>0</v>
      </c>
      <c r="P5246">
        <v>0</v>
      </c>
      <c r="Q5246">
        <v>63</v>
      </c>
      <c r="R5246" s="3">
        <v>0</v>
      </c>
      <c r="S5246" s="3">
        <v>1</v>
      </c>
      <c r="T5246">
        <v>63</v>
      </c>
      <c r="U5246">
        <v>50</v>
      </c>
      <c r="V5246" s="3">
        <v>0</v>
      </c>
      <c r="W5246" s="3">
        <v>1</v>
      </c>
      <c r="X5246">
        <v>0</v>
      </c>
      <c r="Y5246" t="s">
        <v>3953</v>
      </c>
    </row>
    <row r="5247" spans="1:25" hidden="1" x14ac:dyDescent="0.25">
      <c r="A5247" t="s">
        <v>54</v>
      </c>
      <c r="B5247" t="s">
        <v>122</v>
      </c>
      <c r="C5247" t="s">
        <v>2514</v>
      </c>
      <c r="D5247" t="s">
        <v>27</v>
      </c>
      <c r="E5247" s="2">
        <v>46143</v>
      </c>
      <c r="F5247" s="2">
        <v>46143</v>
      </c>
      <c r="G5247" s="3">
        <v>44</v>
      </c>
      <c r="H5247" t="s">
        <v>28</v>
      </c>
      <c r="I5247">
        <v>0</v>
      </c>
      <c r="J5247">
        <v>0</v>
      </c>
      <c r="K5247">
        <v>0</v>
      </c>
      <c r="L5247" s="3">
        <v>0</v>
      </c>
      <c r="M5247" s="3">
        <v>0</v>
      </c>
      <c r="N5247">
        <v>0</v>
      </c>
      <c r="O5247">
        <v>0</v>
      </c>
      <c r="P5247">
        <v>0</v>
      </c>
      <c r="Q5247">
        <v>0</v>
      </c>
      <c r="R5247" s="3">
        <v>0</v>
      </c>
      <c r="S5247" s="3">
        <v>1</v>
      </c>
      <c r="T5247">
        <v>30</v>
      </c>
      <c r="U5247">
        <v>0</v>
      </c>
      <c r="V5247" s="3">
        <v>0</v>
      </c>
      <c r="W5247" s="3">
        <v>1</v>
      </c>
      <c r="X5247">
        <v>0</v>
      </c>
      <c r="Y5247" t="s">
        <v>3954</v>
      </c>
    </row>
    <row r="5248" spans="1:25" hidden="1" x14ac:dyDescent="0.25">
      <c r="A5248" t="s">
        <v>344</v>
      </c>
      <c r="B5248" t="s">
        <v>122</v>
      </c>
      <c r="C5248" t="s">
        <v>2022</v>
      </c>
      <c r="D5248" t="s">
        <v>27</v>
      </c>
      <c r="E5248" s="2">
        <v>46143</v>
      </c>
      <c r="F5248" s="2">
        <v>46143</v>
      </c>
      <c r="G5248" s="3">
        <v>44</v>
      </c>
      <c r="H5248" t="s">
        <v>28</v>
      </c>
      <c r="I5248">
        <v>0</v>
      </c>
      <c r="J5248">
        <v>0</v>
      </c>
      <c r="K5248">
        <v>0</v>
      </c>
      <c r="L5248" s="3">
        <v>0</v>
      </c>
      <c r="M5248" s="3">
        <v>0</v>
      </c>
      <c r="N5248">
        <v>0</v>
      </c>
      <c r="O5248">
        <v>0</v>
      </c>
      <c r="P5248">
        <v>0</v>
      </c>
      <c r="Q5248">
        <v>0</v>
      </c>
      <c r="R5248" s="3">
        <v>0</v>
      </c>
      <c r="S5248" s="3">
        <v>1</v>
      </c>
      <c r="T5248">
        <v>0</v>
      </c>
      <c r="U5248">
        <v>32</v>
      </c>
      <c r="V5248" s="3">
        <v>0</v>
      </c>
      <c r="W5248" s="3">
        <v>1</v>
      </c>
      <c r="X5248">
        <v>0</v>
      </c>
      <c r="Y5248" t="s">
        <v>3954</v>
      </c>
    </row>
    <row r="5249" spans="1:25" hidden="1" x14ac:dyDescent="0.25">
      <c r="A5249" t="s">
        <v>33</v>
      </c>
      <c r="B5249" t="s">
        <v>106</v>
      </c>
      <c r="C5249" t="s">
        <v>55</v>
      </c>
      <c r="D5249" t="s">
        <v>27</v>
      </c>
      <c r="E5249" s="2">
        <v>46138</v>
      </c>
      <c r="F5249" s="2">
        <v>46138</v>
      </c>
      <c r="G5249" s="3">
        <v>142</v>
      </c>
      <c r="H5249" t="s">
        <v>28</v>
      </c>
      <c r="I5249">
        <v>0</v>
      </c>
      <c r="J5249">
        <v>0</v>
      </c>
      <c r="K5249">
        <v>0</v>
      </c>
      <c r="L5249" s="3">
        <v>0</v>
      </c>
      <c r="M5249" s="3">
        <v>0</v>
      </c>
      <c r="N5249">
        <v>0</v>
      </c>
      <c r="O5249">
        <v>0</v>
      </c>
      <c r="P5249">
        <v>0</v>
      </c>
      <c r="Q5249">
        <v>0</v>
      </c>
      <c r="R5249" s="3">
        <v>0</v>
      </c>
      <c r="S5249" s="3">
        <v>1</v>
      </c>
      <c r="T5249">
        <v>3</v>
      </c>
      <c r="U5249">
        <v>142</v>
      </c>
      <c r="V5249" s="3">
        <v>0</v>
      </c>
      <c r="W5249" s="3">
        <v>1</v>
      </c>
      <c r="X5249">
        <v>3</v>
      </c>
      <c r="Y5249" t="s">
        <v>3889</v>
      </c>
    </row>
    <row r="5250" spans="1:25" hidden="1" x14ac:dyDescent="0.25">
      <c r="A5250" t="s">
        <v>51</v>
      </c>
      <c r="B5250" t="s">
        <v>122</v>
      </c>
      <c r="C5250" t="s">
        <v>55</v>
      </c>
      <c r="D5250" t="s">
        <v>27</v>
      </c>
      <c r="E5250" s="2">
        <v>46143</v>
      </c>
      <c r="F5250" s="2">
        <v>46143</v>
      </c>
      <c r="G5250" s="3">
        <v>44</v>
      </c>
      <c r="H5250" t="s">
        <v>28</v>
      </c>
      <c r="I5250">
        <v>0</v>
      </c>
      <c r="J5250">
        <v>0</v>
      </c>
      <c r="K5250">
        <v>0</v>
      </c>
      <c r="L5250" s="3">
        <v>0</v>
      </c>
      <c r="M5250" s="3">
        <v>0</v>
      </c>
      <c r="N5250">
        <v>0</v>
      </c>
      <c r="O5250">
        <v>0</v>
      </c>
      <c r="P5250">
        <v>0</v>
      </c>
      <c r="Q5250">
        <v>0</v>
      </c>
      <c r="R5250" s="3">
        <v>0</v>
      </c>
      <c r="S5250" s="3">
        <v>0</v>
      </c>
      <c r="T5250">
        <v>0</v>
      </c>
      <c r="U5250">
        <v>12</v>
      </c>
      <c r="V5250" s="3">
        <v>0</v>
      </c>
      <c r="W5250" s="3">
        <v>1</v>
      </c>
      <c r="X5250">
        <v>0</v>
      </c>
      <c r="Y5250" t="s">
        <v>3954</v>
      </c>
    </row>
    <row r="5251" spans="1:25" hidden="1" x14ac:dyDescent="0.25">
      <c r="A5251" t="s">
        <v>41</v>
      </c>
      <c r="B5251" t="s">
        <v>112</v>
      </c>
      <c r="C5251" t="s">
        <v>42</v>
      </c>
      <c r="D5251" t="s">
        <v>27</v>
      </c>
      <c r="E5251" s="2">
        <v>46144</v>
      </c>
      <c r="F5251" s="2">
        <v>46144</v>
      </c>
      <c r="G5251" s="3">
        <v>116</v>
      </c>
      <c r="H5251" t="s">
        <v>28</v>
      </c>
      <c r="I5251">
        <v>12</v>
      </c>
      <c r="J5251">
        <v>19</v>
      </c>
      <c r="K5251">
        <v>0</v>
      </c>
      <c r="L5251" s="3">
        <v>0</v>
      </c>
      <c r="M5251" s="3">
        <v>0</v>
      </c>
      <c r="N5251">
        <v>1</v>
      </c>
      <c r="O5251">
        <v>0</v>
      </c>
      <c r="P5251">
        <v>0</v>
      </c>
      <c r="Q5251">
        <v>12</v>
      </c>
      <c r="R5251" s="3">
        <v>1</v>
      </c>
      <c r="S5251" s="3">
        <v>0</v>
      </c>
      <c r="T5251">
        <v>12</v>
      </c>
      <c r="U5251">
        <v>19</v>
      </c>
      <c r="V5251" s="3">
        <v>1</v>
      </c>
      <c r="W5251" s="3">
        <v>0</v>
      </c>
      <c r="X5251">
        <v>0</v>
      </c>
      <c r="Y5251" t="s">
        <v>3955</v>
      </c>
    </row>
    <row r="5252" spans="1:25" hidden="1" x14ac:dyDescent="0.25">
      <c r="A5252" t="s">
        <v>51</v>
      </c>
      <c r="B5252" t="s">
        <v>120</v>
      </c>
      <c r="C5252" t="s">
        <v>55</v>
      </c>
      <c r="D5252" t="s">
        <v>27</v>
      </c>
      <c r="E5252" s="2">
        <v>46144</v>
      </c>
      <c r="F5252" s="2">
        <v>46144</v>
      </c>
      <c r="G5252" s="3">
        <v>190</v>
      </c>
      <c r="H5252" t="s">
        <v>28</v>
      </c>
      <c r="I5252">
        <v>0</v>
      </c>
      <c r="J5252">
        <v>0</v>
      </c>
      <c r="K5252">
        <v>0</v>
      </c>
      <c r="L5252" s="3">
        <v>0</v>
      </c>
      <c r="M5252" s="3">
        <v>0</v>
      </c>
      <c r="N5252">
        <v>0</v>
      </c>
      <c r="O5252">
        <v>0</v>
      </c>
      <c r="P5252">
        <v>0</v>
      </c>
      <c r="Q5252">
        <v>0</v>
      </c>
      <c r="R5252" s="3">
        <v>1</v>
      </c>
      <c r="S5252" s="3">
        <v>0</v>
      </c>
      <c r="T5252">
        <v>0</v>
      </c>
      <c r="U5252">
        <v>12</v>
      </c>
      <c r="V5252" s="3">
        <v>1</v>
      </c>
      <c r="W5252" s="3">
        <v>0</v>
      </c>
      <c r="X5252">
        <v>0</v>
      </c>
      <c r="Y5252" t="s">
        <v>3956</v>
      </c>
    </row>
    <row r="5253" spans="1:25" hidden="1" x14ac:dyDescent="0.25">
      <c r="A5253" t="s">
        <v>54</v>
      </c>
      <c r="B5253" t="s">
        <v>122</v>
      </c>
      <c r="C5253" t="s">
        <v>2514</v>
      </c>
      <c r="D5253" t="s">
        <v>27</v>
      </c>
      <c r="E5253" s="2">
        <v>46144</v>
      </c>
      <c r="F5253" s="2">
        <v>46144</v>
      </c>
      <c r="G5253" s="3">
        <v>60</v>
      </c>
      <c r="H5253" t="s">
        <v>28</v>
      </c>
      <c r="I5253">
        <v>0</v>
      </c>
      <c r="J5253">
        <v>0</v>
      </c>
      <c r="K5253">
        <v>0</v>
      </c>
      <c r="L5253" s="3">
        <v>0</v>
      </c>
      <c r="M5253" s="3">
        <v>0</v>
      </c>
      <c r="N5253">
        <v>0</v>
      </c>
      <c r="O5253">
        <v>0</v>
      </c>
      <c r="P5253">
        <v>0</v>
      </c>
      <c r="Q5253">
        <v>0</v>
      </c>
      <c r="R5253" s="3">
        <v>1</v>
      </c>
      <c r="S5253" s="3">
        <v>0</v>
      </c>
      <c r="T5253">
        <v>3</v>
      </c>
      <c r="U5253">
        <v>45</v>
      </c>
      <c r="V5253" s="3">
        <v>1</v>
      </c>
      <c r="W5253" s="3">
        <v>0</v>
      </c>
      <c r="X5253">
        <v>1</v>
      </c>
      <c r="Y5253" t="s">
        <v>3957</v>
      </c>
    </row>
    <row r="5254" spans="1:25" hidden="1" x14ac:dyDescent="0.25">
      <c r="A5254" t="s">
        <v>344</v>
      </c>
      <c r="B5254" t="s">
        <v>122</v>
      </c>
      <c r="C5254" t="s">
        <v>2022</v>
      </c>
      <c r="D5254" t="s">
        <v>27</v>
      </c>
      <c r="E5254" s="2">
        <v>46144</v>
      </c>
      <c r="F5254" s="2">
        <v>46144</v>
      </c>
      <c r="G5254" s="3">
        <v>44</v>
      </c>
      <c r="H5254" t="s">
        <v>28</v>
      </c>
      <c r="I5254">
        <v>0</v>
      </c>
      <c r="J5254">
        <v>0</v>
      </c>
      <c r="K5254">
        <v>0</v>
      </c>
      <c r="L5254" s="3">
        <v>0</v>
      </c>
      <c r="M5254" s="3">
        <v>0</v>
      </c>
      <c r="N5254">
        <v>0</v>
      </c>
      <c r="O5254">
        <v>0</v>
      </c>
      <c r="P5254">
        <v>0</v>
      </c>
      <c r="Q5254">
        <v>0</v>
      </c>
      <c r="R5254" s="3">
        <v>1</v>
      </c>
      <c r="S5254" s="3">
        <v>0</v>
      </c>
      <c r="T5254">
        <v>0</v>
      </c>
      <c r="U5254">
        <v>32</v>
      </c>
      <c r="V5254" s="3">
        <v>1</v>
      </c>
      <c r="W5254" s="3">
        <v>0</v>
      </c>
      <c r="X5254">
        <v>0</v>
      </c>
      <c r="Y5254" t="s">
        <v>3954</v>
      </c>
    </row>
    <row r="5255" spans="1:25" hidden="1" x14ac:dyDescent="0.25">
      <c r="A5255" t="s">
        <v>55</v>
      </c>
      <c r="B5255" t="s">
        <v>2072</v>
      </c>
      <c r="C5255" t="s">
        <v>2514</v>
      </c>
      <c r="D5255" t="s">
        <v>27</v>
      </c>
      <c r="E5255" s="2">
        <v>46145</v>
      </c>
      <c r="F5255" s="2">
        <v>46145</v>
      </c>
      <c r="G5255" s="3">
        <v>141</v>
      </c>
      <c r="H5255" t="s">
        <v>28</v>
      </c>
      <c r="I5255">
        <v>0</v>
      </c>
      <c r="J5255">
        <v>0</v>
      </c>
      <c r="K5255">
        <v>0</v>
      </c>
      <c r="L5255" s="3">
        <v>1</v>
      </c>
      <c r="M5255" s="3">
        <v>0</v>
      </c>
      <c r="N5255">
        <v>0</v>
      </c>
      <c r="O5255">
        <v>0</v>
      </c>
      <c r="P5255">
        <v>0</v>
      </c>
      <c r="Q5255">
        <v>0</v>
      </c>
      <c r="R5255" s="3">
        <v>0</v>
      </c>
      <c r="S5255" s="3">
        <v>1</v>
      </c>
      <c r="T5255">
        <v>3</v>
      </c>
      <c r="U5255">
        <v>30</v>
      </c>
      <c r="V5255" s="3">
        <v>0</v>
      </c>
      <c r="W5255" s="3">
        <v>1</v>
      </c>
      <c r="X5255">
        <v>1</v>
      </c>
      <c r="Y5255" t="s">
        <v>3958</v>
      </c>
    </row>
    <row r="5256" spans="1:25" hidden="1" x14ac:dyDescent="0.25">
      <c r="A5256" t="s">
        <v>25</v>
      </c>
      <c r="B5256" t="s">
        <v>96</v>
      </c>
      <c r="C5256" t="s">
        <v>26</v>
      </c>
      <c r="D5256" t="s">
        <v>27</v>
      </c>
      <c r="E5256" s="2">
        <v>46145</v>
      </c>
      <c r="F5256" s="2">
        <v>46145</v>
      </c>
      <c r="G5256" s="3">
        <v>156</v>
      </c>
      <c r="H5256" t="s">
        <v>28</v>
      </c>
      <c r="I5256">
        <v>0</v>
      </c>
      <c r="J5256">
        <v>0</v>
      </c>
      <c r="K5256">
        <v>0</v>
      </c>
      <c r="L5256" s="3">
        <v>1</v>
      </c>
      <c r="M5256" s="3">
        <v>1</v>
      </c>
      <c r="N5256">
        <v>0</v>
      </c>
      <c r="O5256">
        <v>0</v>
      </c>
      <c r="P5256">
        <v>0</v>
      </c>
      <c r="Q5256">
        <v>0</v>
      </c>
      <c r="R5256" s="3">
        <v>0</v>
      </c>
      <c r="S5256" s="3">
        <v>1</v>
      </c>
      <c r="T5256">
        <v>0</v>
      </c>
      <c r="U5256">
        <v>58</v>
      </c>
      <c r="V5256" s="3">
        <v>0</v>
      </c>
      <c r="W5256" s="3">
        <v>1</v>
      </c>
      <c r="X5256">
        <v>1</v>
      </c>
      <c r="Y5256" t="s">
        <v>3959</v>
      </c>
    </row>
    <row r="5257" spans="1:25" hidden="1" x14ac:dyDescent="0.25">
      <c r="A5257" t="s">
        <v>344</v>
      </c>
      <c r="B5257" t="s">
        <v>122</v>
      </c>
      <c r="C5257" t="s">
        <v>2022</v>
      </c>
      <c r="D5257" t="s">
        <v>27</v>
      </c>
      <c r="E5257" s="2">
        <v>46145</v>
      </c>
      <c r="F5257" s="2">
        <v>46145</v>
      </c>
      <c r="G5257" s="3">
        <v>44</v>
      </c>
      <c r="H5257" t="s">
        <v>28</v>
      </c>
      <c r="I5257">
        <v>0</v>
      </c>
      <c r="J5257">
        <v>0</v>
      </c>
      <c r="K5257">
        <v>0</v>
      </c>
      <c r="L5257" s="3">
        <v>0</v>
      </c>
      <c r="M5257" s="3">
        <v>0</v>
      </c>
      <c r="N5257">
        <v>0</v>
      </c>
      <c r="O5257">
        <v>0</v>
      </c>
      <c r="P5257">
        <v>0</v>
      </c>
      <c r="Q5257">
        <v>0</v>
      </c>
      <c r="R5257" s="3">
        <v>0</v>
      </c>
      <c r="S5257" s="3">
        <v>1</v>
      </c>
      <c r="T5257">
        <v>14</v>
      </c>
      <c r="U5257">
        <v>33</v>
      </c>
      <c r="V5257" s="3">
        <v>0</v>
      </c>
      <c r="W5257" s="3">
        <v>1</v>
      </c>
      <c r="X5257">
        <v>0</v>
      </c>
      <c r="Y5257" t="s">
        <v>3954</v>
      </c>
    </row>
    <row r="5258" spans="1:25" hidden="1" x14ac:dyDescent="0.25">
      <c r="A5258" t="s">
        <v>55</v>
      </c>
      <c r="B5258" t="s">
        <v>2072</v>
      </c>
      <c r="C5258" t="s">
        <v>27</v>
      </c>
      <c r="D5258" t="s">
        <v>27</v>
      </c>
      <c r="E5258" s="2">
        <v>46146</v>
      </c>
      <c r="F5258" s="2">
        <v>46146</v>
      </c>
      <c r="G5258" s="3">
        <v>30</v>
      </c>
      <c r="H5258" t="s">
        <v>28</v>
      </c>
      <c r="I5258">
        <v>35</v>
      </c>
      <c r="J5258">
        <v>0</v>
      </c>
      <c r="K5258">
        <v>0</v>
      </c>
      <c r="L5258" s="3">
        <v>1</v>
      </c>
      <c r="M5258" s="3">
        <v>0</v>
      </c>
      <c r="N5258">
        <v>1</v>
      </c>
      <c r="O5258">
        <v>0</v>
      </c>
      <c r="P5258">
        <v>0</v>
      </c>
      <c r="Q5258">
        <v>0</v>
      </c>
      <c r="R5258" s="3">
        <v>0</v>
      </c>
      <c r="S5258" s="3">
        <v>0</v>
      </c>
      <c r="T5258">
        <v>0</v>
      </c>
      <c r="U5258">
        <v>0</v>
      </c>
      <c r="V5258" s="3">
        <v>0</v>
      </c>
      <c r="W5258" s="3">
        <v>0</v>
      </c>
      <c r="X5258">
        <v>0</v>
      </c>
      <c r="Y5258" t="s">
        <v>3961</v>
      </c>
    </row>
    <row r="5259" spans="1:25" hidden="1" x14ac:dyDescent="0.25">
      <c r="A5259" t="s">
        <v>25</v>
      </c>
      <c r="B5259" t="s">
        <v>96</v>
      </c>
      <c r="C5259" t="s">
        <v>26</v>
      </c>
      <c r="D5259" t="s">
        <v>27</v>
      </c>
      <c r="E5259" s="2">
        <v>46146</v>
      </c>
      <c r="F5259" s="2">
        <v>46146</v>
      </c>
      <c r="G5259" s="3">
        <v>62</v>
      </c>
      <c r="H5259" t="s">
        <v>28</v>
      </c>
      <c r="I5259">
        <v>80</v>
      </c>
      <c r="J5259">
        <v>0</v>
      </c>
      <c r="K5259">
        <v>0</v>
      </c>
      <c r="L5259" s="3">
        <v>1</v>
      </c>
      <c r="M5259" s="3">
        <v>0</v>
      </c>
      <c r="N5259">
        <v>1</v>
      </c>
      <c r="O5259">
        <v>0</v>
      </c>
      <c r="P5259">
        <v>0</v>
      </c>
      <c r="Q5259">
        <v>0</v>
      </c>
      <c r="R5259" s="3">
        <v>0</v>
      </c>
      <c r="S5259" s="3">
        <v>0</v>
      </c>
      <c r="T5259">
        <v>0</v>
      </c>
      <c r="U5259">
        <v>0</v>
      </c>
      <c r="V5259" s="3">
        <v>0</v>
      </c>
      <c r="W5259" s="3">
        <v>0</v>
      </c>
      <c r="X5259">
        <v>0</v>
      </c>
      <c r="Y5259" t="s">
        <v>3962</v>
      </c>
    </row>
    <row r="5260" spans="1:25" hidden="1" x14ac:dyDescent="0.25">
      <c r="A5260" t="s">
        <v>29</v>
      </c>
      <c r="B5260" t="s">
        <v>100</v>
      </c>
      <c r="C5260" t="s">
        <v>95</v>
      </c>
      <c r="D5260" t="s">
        <v>27</v>
      </c>
      <c r="E5260" s="2">
        <v>46146</v>
      </c>
      <c r="F5260" s="2">
        <v>46146</v>
      </c>
      <c r="G5260" s="3">
        <v>30</v>
      </c>
      <c r="H5260" t="s">
        <v>28</v>
      </c>
      <c r="I5260">
        <v>53</v>
      </c>
      <c r="J5260">
        <v>0</v>
      </c>
      <c r="K5260">
        <v>0</v>
      </c>
      <c r="L5260" s="3">
        <v>1</v>
      </c>
      <c r="M5260" s="3">
        <v>0</v>
      </c>
      <c r="N5260">
        <v>0</v>
      </c>
      <c r="O5260">
        <v>0</v>
      </c>
      <c r="P5260">
        <v>20</v>
      </c>
      <c r="Q5260">
        <v>8</v>
      </c>
      <c r="R5260" s="3">
        <v>0</v>
      </c>
      <c r="S5260" s="3">
        <v>0</v>
      </c>
      <c r="T5260">
        <v>0</v>
      </c>
      <c r="U5260">
        <v>0</v>
      </c>
      <c r="V5260" s="3">
        <v>0</v>
      </c>
      <c r="W5260" s="3">
        <v>0</v>
      </c>
      <c r="X5260">
        <v>0</v>
      </c>
      <c r="Y5260" t="s">
        <v>3963</v>
      </c>
    </row>
    <row r="5261" spans="1:25" hidden="1" x14ac:dyDescent="0.25">
      <c r="A5261" t="s">
        <v>344</v>
      </c>
      <c r="B5261" t="s">
        <v>100</v>
      </c>
      <c r="C5261" t="s">
        <v>3909</v>
      </c>
      <c r="D5261" t="s">
        <v>27</v>
      </c>
      <c r="E5261" s="2">
        <v>46146</v>
      </c>
      <c r="F5261" s="2">
        <v>46146</v>
      </c>
      <c r="G5261" s="3">
        <v>48</v>
      </c>
      <c r="H5261" t="s">
        <v>28</v>
      </c>
      <c r="I5261">
        <v>16</v>
      </c>
      <c r="J5261">
        <v>0</v>
      </c>
      <c r="K5261">
        <v>0</v>
      </c>
      <c r="L5261" s="3">
        <v>1</v>
      </c>
      <c r="M5261" s="3">
        <v>0</v>
      </c>
      <c r="N5261">
        <v>0</v>
      </c>
      <c r="O5261">
        <v>0</v>
      </c>
      <c r="P5261">
        <v>3</v>
      </c>
      <c r="Q5261">
        <v>2</v>
      </c>
      <c r="R5261" s="3">
        <v>0</v>
      </c>
      <c r="S5261" s="3">
        <v>0</v>
      </c>
      <c r="T5261">
        <v>0</v>
      </c>
      <c r="U5261">
        <v>0</v>
      </c>
      <c r="V5261" s="3">
        <v>0</v>
      </c>
      <c r="W5261" s="3">
        <v>0</v>
      </c>
      <c r="X5261">
        <v>2</v>
      </c>
      <c r="Y5261" t="s">
        <v>3908</v>
      </c>
    </row>
    <row r="5262" spans="1:25" hidden="1" x14ac:dyDescent="0.25">
      <c r="A5262" t="s">
        <v>31</v>
      </c>
      <c r="B5262" t="s">
        <v>104</v>
      </c>
      <c r="C5262" t="s">
        <v>32</v>
      </c>
      <c r="D5262" t="s">
        <v>27</v>
      </c>
      <c r="E5262" s="2">
        <v>46146</v>
      </c>
      <c r="F5262" s="2">
        <v>46146</v>
      </c>
      <c r="G5262" s="3">
        <v>50</v>
      </c>
      <c r="H5262" t="s">
        <v>28</v>
      </c>
      <c r="I5262">
        <v>90</v>
      </c>
      <c r="J5262">
        <v>0</v>
      </c>
      <c r="K5262">
        <v>0</v>
      </c>
      <c r="L5262" s="3">
        <v>1</v>
      </c>
      <c r="M5262" s="3">
        <v>0</v>
      </c>
      <c r="N5262">
        <v>0</v>
      </c>
      <c r="O5262">
        <v>0</v>
      </c>
      <c r="P5262">
        <v>0</v>
      </c>
      <c r="Q5262">
        <v>38</v>
      </c>
      <c r="R5262" s="3">
        <v>0</v>
      </c>
      <c r="S5262" s="3">
        <v>0</v>
      </c>
      <c r="T5262">
        <v>0</v>
      </c>
      <c r="U5262">
        <v>0</v>
      </c>
      <c r="V5262" s="3">
        <v>0</v>
      </c>
      <c r="W5262" s="3">
        <v>0</v>
      </c>
      <c r="X5262">
        <v>0</v>
      </c>
      <c r="Y5262" t="s">
        <v>3964</v>
      </c>
    </row>
    <row r="5263" spans="1:25" hidden="1" x14ac:dyDescent="0.25">
      <c r="A5263" t="s">
        <v>33</v>
      </c>
      <c r="B5263" t="s">
        <v>106</v>
      </c>
      <c r="C5263" t="s">
        <v>57</v>
      </c>
      <c r="D5263" t="s">
        <v>27</v>
      </c>
      <c r="E5263" s="2">
        <v>46146</v>
      </c>
      <c r="F5263" s="2">
        <v>46146</v>
      </c>
      <c r="G5263" s="3">
        <v>29</v>
      </c>
      <c r="H5263" t="s">
        <v>28</v>
      </c>
      <c r="I5263">
        <v>52</v>
      </c>
      <c r="J5263">
        <v>0</v>
      </c>
      <c r="K5263">
        <v>0</v>
      </c>
      <c r="L5263" s="3">
        <v>0</v>
      </c>
      <c r="M5263" s="3">
        <v>0</v>
      </c>
      <c r="N5263">
        <v>0</v>
      </c>
      <c r="O5263">
        <v>0</v>
      </c>
      <c r="P5263">
        <v>0</v>
      </c>
      <c r="Q5263">
        <v>21</v>
      </c>
      <c r="R5263" s="3">
        <v>0</v>
      </c>
      <c r="S5263" s="3">
        <v>0</v>
      </c>
      <c r="T5263">
        <v>0</v>
      </c>
      <c r="U5263">
        <v>0</v>
      </c>
      <c r="V5263" s="3">
        <v>0</v>
      </c>
      <c r="W5263" s="3">
        <v>0</v>
      </c>
      <c r="X5263">
        <v>0</v>
      </c>
      <c r="Y5263" t="s">
        <v>3965</v>
      </c>
    </row>
    <row r="5264" spans="1:25" hidden="1" x14ac:dyDescent="0.25">
      <c r="A5264" t="s">
        <v>36</v>
      </c>
      <c r="B5264" t="s">
        <v>249</v>
      </c>
      <c r="C5264" t="s">
        <v>2514</v>
      </c>
      <c r="D5264" t="s">
        <v>27</v>
      </c>
      <c r="E5264" s="2">
        <v>46146</v>
      </c>
      <c r="F5264" s="2">
        <v>46146</v>
      </c>
      <c r="G5264" s="3">
        <v>82</v>
      </c>
      <c r="H5264" t="s">
        <v>28</v>
      </c>
      <c r="I5264">
        <v>57</v>
      </c>
      <c r="J5264">
        <v>0</v>
      </c>
      <c r="K5264">
        <v>0</v>
      </c>
      <c r="L5264" s="3">
        <v>1</v>
      </c>
      <c r="M5264" s="3">
        <v>0</v>
      </c>
      <c r="N5264">
        <v>0</v>
      </c>
      <c r="O5264">
        <v>0</v>
      </c>
      <c r="P5264">
        <v>0</v>
      </c>
      <c r="Q5264">
        <v>25</v>
      </c>
      <c r="R5264" s="3">
        <v>0</v>
      </c>
      <c r="S5264" s="3">
        <v>0</v>
      </c>
      <c r="T5264">
        <v>0</v>
      </c>
      <c r="U5264">
        <v>0</v>
      </c>
      <c r="V5264" s="3">
        <v>0</v>
      </c>
      <c r="W5264" s="3">
        <v>0</v>
      </c>
      <c r="X5264">
        <v>0</v>
      </c>
      <c r="Y5264" t="s">
        <v>3966</v>
      </c>
    </row>
    <row r="5265" spans="1:25" hidden="1" x14ac:dyDescent="0.25">
      <c r="A5265" t="s">
        <v>38</v>
      </c>
      <c r="B5265" t="s">
        <v>108</v>
      </c>
      <c r="C5265" t="s">
        <v>27</v>
      </c>
      <c r="D5265" t="s">
        <v>27</v>
      </c>
      <c r="E5265" s="2">
        <v>46146</v>
      </c>
      <c r="F5265" s="2">
        <v>46146</v>
      </c>
      <c r="G5265" s="3">
        <v>40</v>
      </c>
      <c r="H5265" t="s">
        <v>28</v>
      </c>
      <c r="I5265">
        <v>45</v>
      </c>
      <c r="J5265">
        <v>0</v>
      </c>
      <c r="K5265">
        <v>0</v>
      </c>
      <c r="L5265" s="3">
        <v>1</v>
      </c>
      <c r="M5265" s="3">
        <v>0</v>
      </c>
      <c r="N5265">
        <v>0</v>
      </c>
      <c r="O5265">
        <v>0</v>
      </c>
      <c r="P5265">
        <v>0</v>
      </c>
      <c r="Q5265">
        <v>45</v>
      </c>
      <c r="R5265" s="3">
        <v>0</v>
      </c>
      <c r="S5265" s="3">
        <v>0</v>
      </c>
      <c r="T5265">
        <v>0</v>
      </c>
      <c r="U5265">
        <v>0</v>
      </c>
      <c r="V5265" s="3">
        <v>0</v>
      </c>
      <c r="W5265" s="3">
        <v>0</v>
      </c>
      <c r="X5265">
        <v>0</v>
      </c>
      <c r="Y5265" t="s">
        <v>3967</v>
      </c>
    </row>
    <row r="5266" spans="1:25" hidden="1" x14ac:dyDescent="0.25">
      <c r="A5266" t="s">
        <v>3929</v>
      </c>
      <c r="B5266" t="s">
        <v>2680</v>
      </c>
      <c r="C5266" t="s">
        <v>39</v>
      </c>
      <c r="D5266" t="s">
        <v>27</v>
      </c>
      <c r="E5266" s="2">
        <v>46146</v>
      </c>
      <c r="F5266" s="2">
        <v>46146</v>
      </c>
      <c r="G5266" s="3">
        <v>33</v>
      </c>
      <c r="H5266" t="s">
        <v>28</v>
      </c>
      <c r="I5266">
        <v>37</v>
      </c>
      <c r="J5266">
        <v>0</v>
      </c>
      <c r="K5266">
        <v>0</v>
      </c>
      <c r="L5266" s="3">
        <v>0</v>
      </c>
      <c r="M5266" s="3">
        <v>0</v>
      </c>
      <c r="N5266">
        <v>0</v>
      </c>
      <c r="O5266">
        <v>0</v>
      </c>
      <c r="P5266">
        <v>0</v>
      </c>
      <c r="Q5266">
        <v>37</v>
      </c>
      <c r="R5266" s="3">
        <v>0</v>
      </c>
      <c r="S5266" s="3">
        <v>0</v>
      </c>
      <c r="T5266">
        <v>0</v>
      </c>
      <c r="U5266">
        <v>0</v>
      </c>
      <c r="V5266" s="3">
        <v>0</v>
      </c>
      <c r="W5266" s="3">
        <v>0</v>
      </c>
      <c r="X5266">
        <v>0</v>
      </c>
      <c r="Y5266" t="s">
        <v>3968</v>
      </c>
    </row>
    <row r="5267" spans="1:25" hidden="1" x14ac:dyDescent="0.25">
      <c r="A5267" t="s">
        <v>40</v>
      </c>
      <c r="B5267" t="s">
        <v>110</v>
      </c>
      <c r="C5267" t="s">
        <v>2534</v>
      </c>
      <c r="D5267" t="s">
        <v>27</v>
      </c>
      <c r="E5267" s="2">
        <v>46146</v>
      </c>
      <c r="F5267" s="2">
        <v>46146</v>
      </c>
      <c r="G5267" s="3">
        <v>68</v>
      </c>
      <c r="H5267" t="s">
        <v>28</v>
      </c>
      <c r="I5267">
        <v>48</v>
      </c>
      <c r="J5267">
        <v>0</v>
      </c>
      <c r="K5267">
        <v>0</v>
      </c>
      <c r="L5267" s="3">
        <v>1</v>
      </c>
      <c r="M5267" s="3">
        <v>0</v>
      </c>
      <c r="N5267">
        <v>1</v>
      </c>
      <c r="O5267">
        <v>0</v>
      </c>
      <c r="P5267">
        <v>0</v>
      </c>
      <c r="Q5267">
        <v>29</v>
      </c>
      <c r="R5267" s="3">
        <v>0</v>
      </c>
      <c r="S5267" s="3">
        <v>0</v>
      </c>
      <c r="T5267">
        <v>0</v>
      </c>
      <c r="U5267">
        <v>0</v>
      </c>
      <c r="V5267" s="3">
        <v>0</v>
      </c>
      <c r="W5267" s="3">
        <v>0</v>
      </c>
      <c r="X5267">
        <v>0</v>
      </c>
      <c r="Y5267" t="s">
        <v>3969</v>
      </c>
    </row>
    <row r="5268" spans="1:25" hidden="1" x14ac:dyDescent="0.25">
      <c r="A5268" t="s">
        <v>41</v>
      </c>
      <c r="B5268" t="s">
        <v>112</v>
      </c>
      <c r="C5268" t="s">
        <v>42</v>
      </c>
      <c r="D5268" t="s">
        <v>27</v>
      </c>
      <c r="E5268" s="2">
        <v>46146</v>
      </c>
      <c r="F5268" s="2">
        <v>46146</v>
      </c>
      <c r="G5268" s="3">
        <v>47</v>
      </c>
      <c r="H5268" t="s">
        <v>28</v>
      </c>
      <c r="I5268">
        <v>51</v>
      </c>
      <c r="J5268">
        <v>2</v>
      </c>
      <c r="K5268">
        <v>0</v>
      </c>
      <c r="L5268" s="3">
        <v>1</v>
      </c>
      <c r="M5268" s="3">
        <v>1</v>
      </c>
      <c r="N5268">
        <v>0</v>
      </c>
      <c r="O5268">
        <v>0</v>
      </c>
      <c r="P5268">
        <v>0</v>
      </c>
      <c r="Q5268">
        <v>4</v>
      </c>
      <c r="R5268" s="3">
        <v>0</v>
      </c>
      <c r="S5268" s="3">
        <v>0</v>
      </c>
      <c r="T5268">
        <v>0</v>
      </c>
      <c r="U5268">
        <v>0</v>
      </c>
      <c r="V5268" s="3">
        <v>0</v>
      </c>
      <c r="W5268" s="3">
        <v>0</v>
      </c>
      <c r="X5268">
        <v>0</v>
      </c>
      <c r="Y5268" t="s">
        <v>3970</v>
      </c>
    </row>
    <row r="5269" spans="1:25" hidden="1" x14ac:dyDescent="0.25">
      <c r="A5269" t="s">
        <v>43</v>
      </c>
      <c r="B5269" t="s">
        <v>114</v>
      </c>
      <c r="C5269" t="s">
        <v>44</v>
      </c>
      <c r="D5269" t="s">
        <v>27</v>
      </c>
      <c r="E5269" s="2">
        <v>46146</v>
      </c>
      <c r="F5269" s="2">
        <v>46146</v>
      </c>
      <c r="G5269" s="3">
        <v>28</v>
      </c>
      <c r="H5269" t="s">
        <v>28</v>
      </c>
      <c r="I5269">
        <v>45</v>
      </c>
      <c r="J5269">
        <v>0</v>
      </c>
      <c r="K5269">
        <v>0</v>
      </c>
      <c r="L5269" s="3">
        <v>1</v>
      </c>
      <c r="M5269" s="3">
        <v>0</v>
      </c>
      <c r="N5269">
        <v>0</v>
      </c>
      <c r="O5269">
        <v>0</v>
      </c>
      <c r="P5269">
        <v>0</v>
      </c>
      <c r="Q5269">
        <v>0</v>
      </c>
      <c r="R5269" s="3">
        <v>0</v>
      </c>
      <c r="S5269" s="3">
        <v>0</v>
      </c>
      <c r="T5269">
        <v>0</v>
      </c>
      <c r="U5269">
        <v>0</v>
      </c>
      <c r="V5269" s="3">
        <v>0</v>
      </c>
      <c r="W5269" s="3">
        <v>0</v>
      </c>
      <c r="X5269">
        <v>0</v>
      </c>
      <c r="Y5269" t="s">
        <v>3971</v>
      </c>
    </row>
    <row r="5270" spans="1:25" hidden="1" x14ac:dyDescent="0.25">
      <c r="A5270" t="s">
        <v>45</v>
      </c>
      <c r="B5270" t="s">
        <v>116</v>
      </c>
      <c r="C5270" t="s">
        <v>46</v>
      </c>
      <c r="D5270" t="s">
        <v>27</v>
      </c>
      <c r="E5270" s="2">
        <v>46146</v>
      </c>
      <c r="F5270" s="2">
        <v>46146</v>
      </c>
      <c r="G5270" s="3">
        <v>164</v>
      </c>
      <c r="H5270" t="s">
        <v>28</v>
      </c>
      <c r="I5270">
        <v>63</v>
      </c>
      <c r="J5270">
        <v>0</v>
      </c>
      <c r="K5270">
        <v>0</v>
      </c>
      <c r="L5270" s="3">
        <v>1</v>
      </c>
      <c r="M5270" s="3">
        <v>0</v>
      </c>
      <c r="N5270">
        <v>0</v>
      </c>
      <c r="O5270">
        <v>0</v>
      </c>
      <c r="P5270">
        <v>0</v>
      </c>
      <c r="Q5270">
        <v>8</v>
      </c>
      <c r="R5270" s="3">
        <v>0</v>
      </c>
      <c r="S5270" s="3">
        <v>0</v>
      </c>
      <c r="T5270">
        <v>0</v>
      </c>
      <c r="U5270">
        <v>0</v>
      </c>
      <c r="V5270" s="3">
        <v>0</v>
      </c>
      <c r="W5270" s="3">
        <v>0</v>
      </c>
      <c r="X5270">
        <v>0</v>
      </c>
      <c r="Y5270" t="s">
        <v>3972</v>
      </c>
    </row>
    <row r="5271" spans="1:25" hidden="1" x14ac:dyDescent="0.25">
      <c r="A5271" t="s">
        <v>49</v>
      </c>
      <c r="B5271" t="s">
        <v>118</v>
      </c>
      <c r="C5271" t="s">
        <v>50</v>
      </c>
      <c r="D5271" t="s">
        <v>27</v>
      </c>
      <c r="E5271" s="2">
        <v>46146</v>
      </c>
      <c r="F5271" s="2">
        <v>46146</v>
      </c>
      <c r="G5271" s="3">
        <v>91</v>
      </c>
      <c r="H5271" t="s">
        <v>28</v>
      </c>
      <c r="I5271">
        <v>25</v>
      </c>
      <c r="J5271">
        <v>0</v>
      </c>
      <c r="K5271">
        <v>0</v>
      </c>
      <c r="L5271" s="3">
        <v>1</v>
      </c>
      <c r="M5271" s="3">
        <v>1</v>
      </c>
      <c r="N5271">
        <v>0</v>
      </c>
      <c r="O5271">
        <v>1</v>
      </c>
      <c r="P5271">
        <v>0</v>
      </c>
      <c r="Q5271">
        <v>25</v>
      </c>
      <c r="R5271" s="3">
        <v>0</v>
      </c>
      <c r="S5271" s="3">
        <v>0</v>
      </c>
      <c r="T5271">
        <v>0</v>
      </c>
      <c r="U5271">
        <v>0</v>
      </c>
      <c r="V5271" s="3">
        <v>0</v>
      </c>
      <c r="W5271" s="3">
        <v>0</v>
      </c>
      <c r="X5271">
        <v>0</v>
      </c>
      <c r="Y5271" t="s">
        <v>3973</v>
      </c>
    </row>
    <row r="5272" spans="1:25" hidden="1" x14ac:dyDescent="0.25">
      <c r="A5272" t="s">
        <v>51</v>
      </c>
      <c r="B5272" t="s">
        <v>120</v>
      </c>
      <c r="C5272" t="s">
        <v>2310</v>
      </c>
      <c r="D5272" t="s">
        <v>27</v>
      </c>
      <c r="E5272" s="2">
        <v>46146</v>
      </c>
      <c r="F5272" s="2">
        <v>46146</v>
      </c>
      <c r="G5272" s="3">
        <v>317</v>
      </c>
      <c r="H5272" t="s">
        <v>28</v>
      </c>
      <c r="I5272">
        <v>52</v>
      </c>
      <c r="J5272">
        <v>0</v>
      </c>
      <c r="K5272">
        <v>0</v>
      </c>
      <c r="L5272" s="3">
        <v>1</v>
      </c>
      <c r="M5272" s="3">
        <v>0</v>
      </c>
      <c r="N5272">
        <v>0</v>
      </c>
      <c r="O5272">
        <v>0</v>
      </c>
      <c r="P5272">
        <v>0</v>
      </c>
      <c r="Q5272">
        <v>6</v>
      </c>
      <c r="R5272" s="3">
        <v>0</v>
      </c>
      <c r="S5272" s="3">
        <v>0</v>
      </c>
      <c r="T5272">
        <v>0</v>
      </c>
      <c r="U5272">
        <v>0</v>
      </c>
      <c r="V5272" s="3">
        <v>0</v>
      </c>
      <c r="W5272" s="3">
        <v>0</v>
      </c>
      <c r="X5272">
        <v>0</v>
      </c>
      <c r="Y5272" t="s">
        <v>3974</v>
      </c>
    </row>
    <row r="5273" spans="1:25" x14ac:dyDescent="0.25">
      <c r="A5273" t="s">
        <v>54</v>
      </c>
      <c r="B5273" t="s">
        <v>122</v>
      </c>
      <c r="C5273" t="s">
        <v>2271</v>
      </c>
      <c r="D5273" t="s">
        <v>27</v>
      </c>
      <c r="E5273" s="2">
        <v>46143</v>
      </c>
      <c r="F5273" s="2">
        <v>46143</v>
      </c>
      <c r="G5273" s="3">
        <v>36</v>
      </c>
      <c r="H5273" t="s">
        <v>28</v>
      </c>
      <c r="I5273">
        <v>0</v>
      </c>
      <c r="J5273">
        <v>0</v>
      </c>
      <c r="K5273">
        <v>0</v>
      </c>
      <c r="L5273" s="3">
        <v>0</v>
      </c>
      <c r="M5273" s="3">
        <v>0</v>
      </c>
      <c r="N5273">
        <v>0</v>
      </c>
      <c r="O5273">
        <v>0</v>
      </c>
      <c r="P5273">
        <v>0</v>
      </c>
      <c r="Q5273">
        <v>0</v>
      </c>
      <c r="R5273" s="3">
        <v>0</v>
      </c>
      <c r="S5273" s="3">
        <v>1</v>
      </c>
      <c r="T5273">
        <v>30</v>
      </c>
      <c r="U5273">
        <v>0</v>
      </c>
      <c r="V5273" s="3">
        <v>0</v>
      </c>
      <c r="W5273" s="3">
        <v>0</v>
      </c>
      <c r="X5273">
        <v>0</v>
      </c>
      <c r="Y5273" t="s">
        <v>3975</v>
      </c>
    </row>
    <row r="5274" spans="1:25" hidden="1" x14ac:dyDescent="0.25">
      <c r="A5274" t="s">
        <v>48</v>
      </c>
      <c r="B5274" t="s">
        <v>149</v>
      </c>
      <c r="C5274" t="s">
        <v>37</v>
      </c>
      <c r="D5274" t="s">
        <v>27</v>
      </c>
      <c r="E5274" s="2">
        <v>46146</v>
      </c>
      <c r="F5274" s="2">
        <v>46146</v>
      </c>
      <c r="G5274" s="3">
        <v>26</v>
      </c>
      <c r="H5274" t="s">
        <v>28</v>
      </c>
      <c r="I5274">
        <v>80</v>
      </c>
      <c r="J5274">
        <v>0</v>
      </c>
      <c r="K5274">
        <v>0</v>
      </c>
      <c r="L5274" s="3">
        <v>1</v>
      </c>
      <c r="M5274" s="3">
        <v>0</v>
      </c>
      <c r="N5274">
        <v>0</v>
      </c>
      <c r="O5274">
        <v>0</v>
      </c>
      <c r="P5274">
        <v>0</v>
      </c>
      <c r="Q5274">
        <v>0</v>
      </c>
      <c r="R5274" s="3">
        <v>0</v>
      </c>
      <c r="S5274" s="3">
        <v>0</v>
      </c>
      <c r="T5274">
        <v>0</v>
      </c>
      <c r="U5274">
        <v>0</v>
      </c>
      <c r="V5274" s="3">
        <v>0</v>
      </c>
      <c r="W5274" s="3">
        <v>0</v>
      </c>
      <c r="X5274">
        <v>0</v>
      </c>
      <c r="Y5274" t="s">
        <v>3976</v>
      </c>
    </row>
    <row r="5275" spans="1:25" hidden="1" x14ac:dyDescent="0.25">
      <c r="A5275" t="s">
        <v>47</v>
      </c>
      <c r="B5275" t="s">
        <v>755</v>
      </c>
      <c r="C5275" t="s">
        <v>27</v>
      </c>
      <c r="D5275" t="s">
        <v>27</v>
      </c>
      <c r="E5275" s="2">
        <v>46146</v>
      </c>
      <c r="F5275" s="2">
        <v>46146</v>
      </c>
      <c r="G5275" s="3">
        <v>55</v>
      </c>
      <c r="H5275" t="s">
        <v>1256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 t="s">
        <v>3856</v>
      </c>
    </row>
    <row r="5276" spans="1:25" hidden="1" x14ac:dyDescent="0.25">
      <c r="A5276" t="s">
        <v>438</v>
      </c>
      <c r="B5276" t="s">
        <v>798</v>
      </c>
      <c r="C5276" t="s">
        <v>27</v>
      </c>
      <c r="D5276" t="s">
        <v>27</v>
      </c>
      <c r="E5276" s="2">
        <v>46146</v>
      </c>
      <c r="F5276" s="2">
        <v>46146</v>
      </c>
      <c r="G5276" s="3">
        <v>57</v>
      </c>
      <c r="H5276" t="s">
        <v>1256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 t="s">
        <v>3856</v>
      </c>
    </row>
    <row r="5277" spans="1:25" hidden="1" x14ac:dyDescent="0.25">
      <c r="A5277" t="s">
        <v>27</v>
      </c>
      <c r="B5277" t="s">
        <v>3525</v>
      </c>
      <c r="C5277" t="s">
        <v>52</v>
      </c>
      <c r="D5277" t="s">
        <v>27</v>
      </c>
      <c r="E5277" s="2">
        <v>46146</v>
      </c>
      <c r="F5277" s="2">
        <v>46146</v>
      </c>
      <c r="G5277" s="3">
        <v>60</v>
      </c>
      <c r="H5277" t="s">
        <v>180</v>
      </c>
      <c r="I5277">
        <v>0</v>
      </c>
      <c r="J5277">
        <v>0</v>
      </c>
      <c r="K5277">
        <v>0</v>
      </c>
      <c r="L5277" s="3">
        <v>0</v>
      </c>
      <c r="M5277" s="3">
        <v>0</v>
      </c>
      <c r="N5277">
        <v>0</v>
      </c>
      <c r="O5277">
        <v>0</v>
      </c>
      <c r="P5277">
        <v>0</v>
      </c>
      <c r="Q5277">
        <v>0</v>
      </c>
      <c r="R5277" s="3">
        <v>0</v>
      </c>
      <c r="S5277" s="3">
        <v>0</v>
      </c>
      <c r="T5277">
        <v>0</v>
      </c>
      <c r="U5277">
        <v>0</v>
      </c>
      <c r="V5277" s="3">
        <v>0</v>
      </c>
      <c r="W5277" s="3">
        <v>0</v>
      </c>
      <c r="X5277" s="3">
        <v>0</v>
      </c>
      <c r="Y5277" t="s">
        <v>3856</v>
      </c>
    </row>
    <row r="5278" spans="1:25" hidden="1" x14ac:dyDescent="0.25">
      <c r="A5278" t="s">
        <v>25</v>
      </c>
      <c r="B5278" t="s">
        <v>96</v>
      </c>
      <c r="C5278" t="s">
        <v>26</v>
      </c>
      <c r="D5278" t="s">
        <v>27</v>
      </c>
      <c r="E5278" s="2">
        <v>46147</v>
      </c>
      <c r="F5278" s="2">
        <v>46147</v>
      </c>
      <c r="G5278" s="3">
        <v>56</v>
      </c>
      <c r="H5278" t="s">
        <v>28</v>
      </c>
      <c r="I5278">
        <v>34</v>
      </c>
      <c r="J5278">
        <v>0</v>
      </c>
      <c r="K5278">
        <v>0</v>
      </c>
      <c r="L5278" s="3">
        <v>1</v>
      </c>
      <c r="M5278" s="3">
        <v>0</v>
      </c>
      <c r="N5278">
        <v>1</v>
      </c>
      <c r="O5278">
        <v>0</v>
      </c>
      <c r="P5278">
        <v>0</v>
      </c>
      <c r="Q5278">
        <v>0</v>
      </c>
      <c r="R5278" s="3">
        <v>0</v>
      </c>
      <c r="S5278" s="3">
        <v>0</v>
      </c>
      <c r="T5278">
        <v>0</v>
      </c>
      <c r="U5278">
        <v>0</v>
      </c>
      <c r="V5278" s="3">
        <v>0</v>
      </c>
      <c r="W5278" s="3">
        <v>0</v>
      </c>
      <c r="X5278">
        <v>0</v>
      </c>
      <c r="Y5278" t="s">
        <v>3977</v>
      </c>
    </row>
    <row r="5279" spans="1:25" hidden="1" x14ac:dyDescent="0.25">
      <c r="A5279" t="s">
        <v>29</v>
      </c>
      <c r="B5279" t="s">
        <v>100</v>
      </c>
      <c r="C5279" t="s">
        <v>44</v>
      </c>
      <c r="D5279" t="s">
        <v>27</v>
      </c>
      <c r="E5279" s="2">
        <v>46147</v>
      </c>
      <c r="F5279" s="2">
        <v>46147</v>
      </c>
      <c r="G5279" s="3">
        <v>81</v>
      </c>
      <c r="H5279" t="s">
        <v>28</v>
      </c>
      <c r="I5279">
        <v>65</v>
      </c>
      <c r="J5279">
        <v>0</v>
      </c>
      <c r="K5279">
        <v>8</v>
      </c>
      <c r="L5279" s="3">
        <v>1</v>
      </c>
      <c r="M5279" s="3">
        <v>0</v>
      </c>
      <c r="N5279">
        <v>0</v>
      </c>
      <c r="O5279">
        <v>0</v>
      </c>
      <c r="P5279">
        <v>0</v>
      </c>
      <c r="Q5279">
        <v>0</v>
      </c>
      <c r="R5279" s="3">
        <v>0</v>
      </c>
      <c r="S5279" s="3">
        <v>0</v>
      </c>
      <c r="T5279">
        <v>0</v>
      </c>
      <c r="U5279">
        <v>0</v>
      </c>
      <c r="V5279" s="3">
        <v>0</v>
      </c>
      <c r="W5279" s="3">
        <v>0</v>
      </c>
      <c r="X5279">
        <v>0</v>
      </c>
      <c r="Y5279" t="s">
        <v>3978</v>
      </c>
    </row>
    <row r="5280" spans="1:25" hidden="1" x14ac:dyDescent="0.25">
      <c r="A5280" t="s">
        <v>344</v>
      </c>
      <c r="B5280" t="s">
        <v>100</v>
      </c>
      <c r="C5280" t="s">
        <v>3909</v>
      </c>
      <c r="D5280" t="s">
        <v>27</v>
      </c>
      <c r="E5280" s="2">
        <v>46147</v>
      </c>
      <c r="F5280" s="2">
        <v>46147</v>
      </c>
      <c r="G5280" s="3">
        <v>48</v>
      </c>
      <c r="H5280" t="s">
        <v>28</v>
      </c>
      <c r="I5280">
        <v>16</v>
      </c>
      <c r="J5280">
        <v>0</v>
      </c>
      <c r="K5280">
        <v>0</v>
      </c>
      <c r="L5280" s="3">
        <v>1</v>
      </c>
      <c r="M5280" s="3">
        <v>0</v>
      </c>
      <c r="N5280">
        <v>0</v>
      </c>
      <c r="O5280">
        <v>0</v>
      </c>
      <c r="P5280">
        <v>3</v>
      </c>
      <c r="Q5280">
        <v>2</v>
      </c>
      <c r="R5280" s="3">
        <v>0</v>
      </c>
      <c r="S5280" s="3">
        <v>0</v>
      </c>
      <c r="T5280">
        <v>0</v>
      </c>
      <c r="U5280">
        <v>0</v>
      </c>
      <c r="V5280" s="3">
        <v>0</v>
      </c>
      <c r="W5280" s="3">
        <v>0</v>
      </c>
      <c r="X5280">
        <v>2</v>
      </c>
      <c r="Y5280" t="s">
        <v>3908</v>
      </c>
    </row>
    <row r="5281" spans="1:25" hidden="1" x14ac:dyDescent="0.25">
      <c r="A5281" t="s">
        <v>31</v>
      </c>
      <c r="B5281" t="s">
        <v>104</v>
      </c>
      <c r="C5281" t="s">
        <v>32</v>
      </c>
      <c r="D5281" t="s">
        <v>27</v>
      </c>
      <c r="E5281" s="2">
        <v>46147</v>
      </c>
      <c r="F5281" s="2">
        <v>46147</v>
      </c>
      <c r="G5281" s="3">
        <v>81</v>
      </c>
      <c r="H5281" t="s">
        <v>28</v>
      </c>
      <c r="I5281">
        <v>55</v>
      </c>
      <c r="J5281">
        <v>0</v>
      </c>
      <c r="K5281">
        <v>0</v>
      </c>
      <c r="L5281" s="3">
        <v>1</v>
      </c>
      <c r="M5281" s="3">
        <v>0</v>
      </c>
      <c r="N5281">
        <v>0</v>
      </c>
      <c r="O5281">
        <v>0</v>
      </c>
      <c r="P5281">
        <v>0</v>
      </c>
      <c r="Q5281">
        <v>38</v>
      </c>
      <c r="R5281" s="3">
        <v>0</v>
      </c>
      <c r="S5281" s="3">
        <v>0</v>
      </c>
      <c r="T5281">
        <v>0</v>
      </c>
      <c r="U5281">
        <v>0</v>
      </c>
      <c r="V5281" s="3">
        <v>0</v>
      </c>
      <c r="W5281" s="3">
        <v>0</v>
      </c>
      <c r="X5281">
        <v>0</v>
      </c>
      <c r="Y5281" t="s">
        <v>3979</v>
      </c>
    </row>
    <row r="5282" spans="1:25" hidden="1" x14ac:dyDescent="0.25">
      <c r="A5282" t="s">
        <v>33</v>
      </c>
      <c r="B5282" t="s">
        <v>106</v>
      </c>
      <c r="C5282" t="s">
        <v>37</v>
      </c>
      <c r="D5282" t="s">
        <v>27</v>
      </c>
      <c r="E5282" s="2">
        <v>46147</v>
      </c>
      <c r="F5282" s="2">
        <v>46147</v>
      </c>
      <c r="G5282" s="3">
        <v>25</v>
      </c>
      <c r="H5282" t="s">
        <v>28</v>
      </c>
      <c r="I5282">
        <v>28</v>
      </c>
      <c r="J5282">
        <v>0</v>
      </c>
      <c r="K5282">
        <v>0</v>
      </c>
      <c r="L5282" s="3">
        <v>1</v>
      </c>
      <c r="M5282" s="3">
        <v>0</v>
      </c>
      <c r="N5282">
        <v>0</v>
      </c>
      <c r="O5282">
        <v>0</v>
      </c>
      <c r="P5282">
        <v>0</v>
      </c>
      <c r="Q5282">
        <v>0</v>
      </c>
      <c r="R5282" s="3">
        <v>0</v>
      </c>
      <c r="S5282" s="3">
        <v>0</v>
      </c>
      <c r="T5282">
        <v>0</v>
      </c>
      <c r="U5282">
        <v>0</v>
      </c>
      <c r="V5282" s="3">
        <v>0</v>
      </c>
      <c r="W5282" s="3">
        <v>0</v>
      </c>
      <c r="X5282">
        <v>0</v>
      </c>
      <c r="Y5282" t="s">
        <v>3980</v>
      </c>
    </row>
    <row r="5283" spans="1:25" hidden="1" x14ac:dyDescent="0.25">
      <c r="A5283" t="s">
        <v>36</v>
      </c>
      <c r="B5283" t="s">
        <v>249</v>
      </c>
      <c r="C5283" t="s">
        <v>57</v>
      </c>
      <c r="D5283" t="s">
        <v>27</v>
      </c>
      <c r="E5283" s="2">
        <v>46147</v>
      </c>
      <c r="F5283" s="2">
        <v>46147</v>
      </c>
      <c r="G5283" s="3">
        <v>55</v>
      </c>
      <c r="H5283" t="s">
        <v>28</v>
      </c>
      <c r="I5283">
        <v>30</v>
      </c>
      <c r="J5283">
        <v>0</v>
      </c>
      <c r="K5283">
        <v>0</v>
      </c>
      <c r="L5283" s="3">
        <v>1</v>
      </c>
      <c r="M5283" s="3">
        <v>0</v>
      </c>
      <c r="N5283">
        <v>0</v>
      </c>
      <c r="O5283">
        <v>0</v>
      </c>
      <c r="P5283">
        <v>0</v>
      </c>
      <c r="Q5283">
        <v>0</v>
      </c>
      <c r="R5283" s="3">
        <v>0</v>
      </c>
      <c r="S5283" s="3">
        <v>0</v>
      </c>
      <c r="T5283">
        <v>0</v>
      </c>
      <c r="U5283">
        <v>0</v>
      </c>
      <c r="V5283" s="3">
        <v>0</v>
      </c>
      <c r="W5283" s="3">
        <v>0</v>
      </c>
      <c r="X5283">
        <v>0</v>
      </c>
      <c r="Y5283" t="s">
        <v>3981</v>
      </c>
    </row>
    <row r="5284" spans="1:25" hidden="1" x14ac:dyDescent="0.25">
      <c r="A5284" t="s">
        <v>38</v>
      </c>
      <c r="B5284" t="s">
        <v>108</v>
      </c>
      <c r="C5284" t="s">
        <v>27</v>
      </c>
      <c r="D5284" t="s">
        <v>27</v>
      </c>
      <c r="E5284" s="2">
        <v>46147</v>
      </c>
      <c r="F5284" s="2">
        <v>46147</v>
      </c>
      <c r="G5284" s="3">
        <v>37</v>
      </c>
      <c r="H5284" t="s">
        <v>28</v>
      </c>
      <c r="I5284">
        <v>24</v>
      </c>
      <c r="J5284">
        <v>0</v>
      </c>
      <c r="K5284">
        <v>0</v>
      </c>
      <c r="L5284" s="3">
        <v>1</v>
      </c>
      <c r="M5284" s="3">
        <v>0</v>
      </c>
      <c r="N5284">
        <v>0</v>
      </c>
      <c r="O5284">
        <v>0</v>
      </c>
      <c r="P5284">
        <v>0</v>
      </c>
      <c r="Q5284">
        <v>24</v>
      </c>
      <c r="R5284" s="3">
        <v>0</v>
      </c>
      <c r="S5284" s="3">
        <v>0</v>
      </c>
      <c r="T5284">
        <v>0</v>
      </c>
      <c r="U5284">
        <v>0</v>
      </c>
      <c r="V5284" s="3">
        <v>0</v>
      </c>
      <c r="W5284" s="3">
        <v>0</v>
      </c>
      <c r="X5284">
        <v>0</v>
      </c>
      <c r="Y5284" t="s">
        <v>3982</v>
      </c>
    </row>
    <row r="5285" spans="1:25" hidden="1" x14ac:dyDescent="0.25">
      <c r="A5285" t="s">
        <v>3929</v>
      </c>
      <c r="B5285" t="s">
        <v>2680</v>
      </c>
      <c r="C5285" t="s">
        <v>39</v>
      </c>
      <c r="D5285" t="s">
        <v>27</v>
      </c>
      <c r="E5285" s="2">
        <v>46147</v>
      </c>
      <c r="F5285" s="2">
        <v>46147</v>
      </c>
      <c r="G5285" s="3">
        <v>29</v>
      </c>
      <c r="H5285" t="s">
        <v>28</v>
      </c>
      <c r="I5285">
        <v>18</v>
      </c>
      <c r="J5285">
        <v>0</v>
      </c>
      <c r="K5285">
        <v>0</v>
      </c>
      <c r="L5285" s="3">
        <v>0</v>
      </c>
      <c r="M5285" s="3">
        <v>0</v>
      </c>
      <c r="N5285">
        <v>0</v>
      </c>
      <c r="O5285">
        <v>0</v>
      </c>
      <c r="P5285">
        <v>0</v>
      </c>
      <c r="Q5285">
        <v>18</v>
      </c>
      <c r="R5285" s="3">
        <v>0</v>
      </c>
      <c r="S5285" s="3">
        <v>0</v>
      </c>
      <c r="T5285">
        <v>0</v>
      </c>
      <c r="U5285">
        <v>0</v>
      </c>
      <c r="V5285" s="3">
        <v>0</v>
      </c>
      <c r="W5285" s="3">
        <v>0</v>
      </c>
      <c r="X5285">
        <v>0</v>
      </c>
      <c r="Y5285" t="s">
        <v>3983</v>
      </c>
    </row>
    <row r="5286" spans="1:25" hidden="1" x14ac:dyDescent="0.25">
      <c r="A5286" t="s">
        <v>40</v>
      </c>
      <c r="B5286" t="s">
        <v>110</v>
      </c>
      <c r="C5286" t="s">
        <v>2534</v>
      </c>
      <c r="D5286" t="s">
        <v>27</v>
      </c>
      <c r="E5286" s="2">
        <v>46147</v>
      </c>
      <c r="F5286" s="2">
        <v>46147</v>
      </c>
      <c r="G5286" s="3">
        <v>37</v>
      </c>
      <c r="H5286" t="s">
        <v>28</v>
      </c>
      <c r="I5286">
        <v>39</v>
      </c>
      <c r="J5286">
        <v>0</v>
      </c>
      <c r="K5286">
        <v>0</v>
      </c>
      <c r="L5286" s="3">
        <v>1</v>
      </c>
      <c r="M5286" s="3">
        <v>0</v>
      </c>
      <c r="N5286">
        <v>0</v>
      </c>
      <c r="O5286">
        <v>1</v>
      </c>
      <c r="P5286">
        <v>0</v>
      </c>
      <c r="Q5286">
        <v>0</v>
      </c>
      <c r="R5286" s="3">
        <v>0</v>
      </c>
      <c r="S5286" s="3">
        <v>0</v>
      </c>
      <c r="T5286">
        <v>0</v>
      </c>
      <c r="U5286">
        <v>0</v>
      </c>
      <c r="V5286" s="3">
        <v>0</v>
      </c>
      <c r="W5286" s="3">
        <v>0</v>
      </c>
      <c r="X5286">
        <v>0</v>
      </c>
      <c r="Y5286" t="s">
        <v>3984</v>
      </c>
    </row>
    <row r="5287" spans="1:25" hidden="1" x14ac:dyDescent="0.25">
      <c r="A5287" t="s">
        <v>41</v>
      </c>
      <c r="B5287" t="s">
        <v>112</v>
      </c>
      <c r="C5287" t="s">
        <v>27</v>
      </c>
      <c r="D5287" t="s">
        <v>27</v>
      </c>
      <c r="E5287" s="2">
        <v>46147</v>
      </c>
      <c r="F5287" s="2">
        <v>46147</v>
      </c>
      <c r="G5287" s="3">
        <v>47</v>
      </c>
      <c r="H5287" t="s">
        <v>28</v>
      </c>
      <c r="I5287">
        <v>34</v>
      </c>
      <c r="J5287">
        <v>2</v>
      </c>
      <c r="K5287">
        <v>0</v>
      </c>
      <c r="L5287" s="3">
        <v>1</v>
      </c>
      <c r="M5287" s="3">
        <v>1</v>
      </c>
      <c r="N5287">
        <v>0</v>
      </c>
      <c r="O5287">
        <v>0</v>
      </c>
      <c r="P5287">
        <v>0</v>
      </c>
      <c r="Q5287">
        <v>4</v>
      </c>
      <c r="R5287" s="3">
        <v>0</v>
      </c>
      <c r="S5287" s="3">
        <v>0</v>
      </c>
      <c r="T5287">
        <v>0</v>
      </c>
      <c r="U5287">
        <v>0</v>
      </c>
      <c r="V5287" s="3">
        <v>0</v>
      </c>
      <c r="W5287" s="3">
        <v>0</v>
      </c>
      <c r="X5287">
        <v>0</v>
      </c>
      <c r="Y5287" t="s">
        <v>3970</v>
      </c>
    </row>
    <row r="5288" spans="1:25" hidden="1" x14ac:dyDescent="0.25">
      <c r="A5288" t="s">
        <v>27</v>
      </c>
      <c r="B5288" t="s">
        <v>112</v>
      </c>
      <c r="C5288" t="s">
        <v>41</v>
      </c>
      <c r="D5288" t="s">
        <v>27</v>
      </c>
      <c r="E5288" s="2">
        <v>46147</v>
      </c>
      <c r="F5288" s="2">
        <v>46147</v>
      </c>
      <c r="G5288" s="3">
        <v>47</v>
      </c>
      <c r="H5288" t="s">
        <v>28</v>
      </c>
      <c r="I5288">
        <v>34</v>
      </c>
      <c r="J5288">
        <v>2</v>
      </c>
      <c r="K5288">
        <v>0</v>
      </c>
      <c r="L5288" s="3">
        <v>1</v>
      </c>
      <c r="M5288" s="3">
        <v>1</v>
      </c>
      <c r="N5288">
        <v>0</v>
      </c>
      <c r="O5288">
        <v>0</v>
      </c>
      <c r="P5288">
        <v>0</v>
      </c>
      <c r="Q5288">
        <v>4</v>
      </c>
      <c r="R5288" s="3">
        <v>0</v>
      </c>
      <c r="S5288" s="3">
        <v>0</v>
      </c>
      <c r="T5288">
        <v>0</v>
      </c>
      <c r="U5288">
        <v>0</v>
      </c>
      <c r="V5288" s="3">
        <v>0</v>
      </c>
      <c r="W5288" s="3">
        <v>0</v>
      </c>
      <c r="X5288">
        <v>0</v>
      </c>
      <c r="Y5288" t="s">
        <v>3970</v>
      </c>
    </row>
    <row r="5289" spans="1:25" hidden="1" x14ac:dyDescent="0.25">
      <c r="A5289" t="s">
        <v>45</v>
      </c>
      <c r="B5289" t="s">
        <v>116</v>
      </c>
      <c r="C5289" t="s">
        <v>46</v>
      </c>
      <c r="D5289" t="s">
        <v>27</v>
      </c>
      <c r="E5289" s="2">
        <v>46147</v>
      </c>
      <c r="F5289" s="2">
        <v>46147</v>
      </c>
      <c r="G5289" s="3">
        <v>53</v>
      </c>
      <c r="H5289" t="s">
        <v>28</v>
      </c>
      <c r="I5289">
        <v>36</v>
      </c>
      <c r="J5289">
        <v>0</v>
      </c>
      <c r="K5289">
        <v>0</v>
      </c>
      <c r="L5289" s="3">
        <v>0</v>
      </c>
      <c r="M5289" s="3">
        <v>0</v>
      </c>
      <c r="N5289">
        <v>0</v>
      </c>
      <c r="O5289">
        <v>0</v>
      </c>
      <c r="P5289">
        <v>0</v>
      </c>
      <c r="Q5289">
        <v>0</v>
      </c>
      <c r="R5289" s="3">
        <v>0</v>
      </c>
      <c r="S5289" s="3">
        <v>0</v>
      </c>
      <c r="T5289">
        <v>0</v>
      </c>
      <c r="U5289">
        <v>0</v>
      </c>
      <c r="V5289" s="3">
        <v>0</v>
      </c>
      <c r="W5289" s="3">
        <v>0</v>
      </c>
      <c r="X5289">
        <v>0</v>
      </c>
      <c r="Y5289" t="s">
        <v>3985</v>
      </c>
    </row>
    <row r="5290" spans="1:25" hidden="1" x14ac:dyDescent="0.25">
      <c r="A5290" t="s">
        <v>49</v>
      </c>
      <c r="B5290" t="s">
        <v>118</v>
      </c>
      <c r="C5290" t="s">
        <v>50</v>
      </c>
      <c r="D5290" t="s">
        <v>27</v>
      </c>
      <c r="E5290" s="2">
        <v>46147</v>
      </c>
      <c r="F5290" s="2">
        <v>46147</v>
      </c>
      <c r="G5290" s="3">
        <v>28</v>
      </c>
      <c r="H5290" t="s">
        <v>28</v>
      </c>
      <c r="I5290">
        <v>34</v>
      </c>
      <c r="J5290">
        <v>0</v>
      </c>
      <c r="K5290">
        <v>0</v>
      </c>
      <c r="L5290" s="3">
        <v>1</v>
      </c>
      <c r="M5290" s="3">
        <v>1</v>
      </c>
      <c r="N5290">
        <v>0</v>
      </c>
      <c r="O5290">
        <v>1</v>
      </c>
      <c r="P5290">
        <v>0</v>
      </c>
      <c r="Q5290">
        <v>34</v>
      </c>
      <c r="R5290" s="3">
        <v>0</v>
      </c>
      <c r="S5290" s="3">
        <v>0</v>
      </c>
      <c r="T5290">
        <v>0</v>
      </c>
      <c r="U5290">
        <v>0</v>
      </c>
      <c r="V5290" s="3">
        <v>0</v>
      </c>
      <c r="W5290" s="3">
        <v>0</v>
      </c>
      <c r="X5290">
        <v>0</v>
      </c>
      <c r="Y5290" t="s">
        <v>3986</v>
      </c>
    </row>
    <row r="5291" spans="1:25" hidden="1" x14ac:dyDescent="0.25">
      <c r="A5291" t="s">
        <v>51</v>
      </c>
      <c r="B5291" t="s">
        <v>120</v>
      </c>
      <c r="C5291" t="s">
        <v>2310</v>
      </c>
      <c r="D5291" t="s">
        <v>27</v>
      </c>
      <c r="E5291" s="2">
        <v>46147</v>
      </c>
      <c r="F5291" s="2">
        <v>46147</v>
      </c>
      <c r="G5291" s="3">
        <v>145</v>
      </c>
      <c r="H5291" t="s">
        <v>28</v>
      </c>
      <c r="I5291">
        <v>46</v>
      </c>
      <c r="J5291">
        <v>0</v>
      </c>
      <c r="K5291">
        <v>0</v>
      </c>
      <c r="L5291" s="3">
        <v>1</v>
      </c>
      <c r="M5291" s="3">
        <v>0</v>
      </c>
      <c r="N5291">
        <v>0</v>
      </c>
      <c r="O5291">
        <v>0</v>
      </c>
      <c r="P5291">
        <v>0</v>
      </c>
      <c r="Q5291">
        <v>2</v>
      </c>
      <c r="R5291" s="3">
        <v>0</v>
      </c>
      <c r="S5291" s="3">
        <v>0</v>
      </c>
      <c r="T5291">
        <v>0</v>
      </c>
      <c r="U5291">
        <v>0</v>
      </c>
      <c r="V5291" s="3">
        <v>0</v>
      </c>
      <c r="W5291" s="3">
        <v>0</v>
      </c>
      <c r="X5291">
        <v>0</v>
      </c>
      <c r="Y5291" t="s">
        <v>3987</v>
      </c>
    </row>
    <row r="5292" spans="1:25" x14ac:dyDescent="0.25">
      <c r="A5292" t="s">
        <v>54</v>
      </c>
      <c r="B5292" t="s">
        <v>122</v>
      </c>
      <c r="C5292" t="s">
        <v>2271</v>
      </c>
      <c r="D5292" t="s">
        <v>27</v>
      </c>
      <c r="E5292" s="2">
        <v>46146</v>
      </c>
      <c r="F5292" s="2">
        <v>46146</v>
      </c>
      <c r="G5292" s="3">
        <v>36</v>
      </c>
      <c r="H5292" t="s">
        <v>28</v>
      </c>
      <c r="I5292">
        <v>28</v>
      </c>
      <c r="J5292">
        <v>0</v>
      </c>
      <c r="K5292">
        <v>0</v>
      </c>
      <c r="L5292" s="3">
        <v>0</v>
      </c>
      <c r="M5292" s="3">
        <v>0</v>
      </c>
      <c r="N5292">
        <v>0</v>
      </c>
      <c r="O5292">
        <v>0</v>
      </c>
      <c r="P5292">
        <v>0</v>
      </c>
      <c r="Q5292">
        <v>2</v>
      </c>
      <c r="R5292" s="3">
        <v>0</v>
      </c>
      <c r="S5292" s="3">
        <v>0</v>
      </c>
      <c r="T5292">
        <v>0</v>
      </c>
      <c r="U5292">
        <v>0</v>
      </c>
      <c r="V5292" s="3">
        <v>0</v>
      </c>
      <c r="W5292" s="3">
        <v>0</v>
      </c>
      <c r="X5292">
        <v>0</v>
      </c>
      <c r="Y5292" t="s">
        <v>3975</v>
      </c>
    </row>
    <row r="5293" spans="1:25" x14ac:dyDescent="0.25">
      <c r="A5293" t="s">
        <v>54</v>
      </c>
      <c r="B5293" t="s">
        <v>122</v>
      </c>
      <c r="C5293" t="s">
        <v>2271</v>
      </c>
      <c r="D5293" t="s">
        <v>27</v>
      </c>
      <c r="E5293" s="2">
        <v>46147</v>
      </c>
      <c r="F5293" s="2">
        <v>46147</v>
      </c>
      <c r="G5293" s="3">
        <v>59</v>
      </c>
      <c r="H5293" t="s">
        <v>28</v>
      </c>
      <c r="I5293">
        <v>45</v>
      </c>
      <c r="J5293">
        <v>0</v>
      </c>
      <c r="K5293">
        <v>0</v>
      </c>
      <c r="L5293" s="3">
        <v>0</v>
      </c>
      <c r="M5293" s="3">
        <v>0</v>
      </c>
      <c r="N5293">
        <v>0</v>
      </c>
      <c r="O5293">
        <v>0</v>
      </c>
      <c r="P5293">
        <v>0</v>
      </c>
      <c r="Q5293">
        <v>2</v>
      </c>
      <c r="R5293" s="3">
        <v>0</v>
      </c>
      <c r="S5293" s="3">
        <v>0</v>
      </c>
      <c r="T5293">
        <v>0</v>
      </c>
      <c r="U5293">
        <v>0</v>
      </c>
      <c r="V5293" s="3">
        <v>0</v>
      </c>
      <c r="W5293" s="3">
        <v>0</v>
      </c>
      <c r="X5293">
        <v>1</v>
      </c>
      <c r="Y5293" t="s">
        <v>3988</v>
      </c>
    </row>
    <row r="5294" spans="1:25" hidden="1" x14ac:dyDescent="0.25">
      <c r="A5294" t="s">
        <v>43</v>
      </c>
      <c r="B5294" t="s">
        <v>123</v>
      </c>
      <c r="C5294" t="s">
        <v>27</v>
      </c>
      <c r="D5294" t="s">
        <v>27</v>
      </c>
      <c r="E5294" s="2">
        <v>46147</v>
      </c>
      <c r="F5294" s="2">
        <v>46147</v>
      </c>
      <c r="G5294" s="3">
        <v>59</v>
      </c>
      <c r="H5294" t="s">
        <v>28</v>
      </c>
      <c r="I5294">
        <v>61</v>
      </c>
      <c r="J5294">
        <v>0</v>
      </c>
      <c r="K5294">
        <v>0</v>
      </c>
      <c r="L5294" s="3">
        <v>0</v>
      </c>
      <c r="M5294" s="3">
        <v>0</v>
      </c>
      <c r="N5294">
        <v>0</v>
      </c>
      <c r="O5294">
        <v>0</v>
      </c>
      <c r="P5294">
        <v>0</v>
      </c>
      <c r="Q5294">
        <v>0</v>
      </c>
      <c r="R5294" s="3">
        <v>0</v>
      </c>
      <c r="S5294" s="3">
        <v>0</v>
      </c>
      <c r="T5294">
        <v>0</v>
      </c>
      <c r="U5294">
        <v>0</v>
      </c>
      <c r="V5294" s="3">
        <v>0</v>
      </c>
      <c r="W5294" s="3">
        <v>0</v>
      </c>
      <c r="X5294" s="3">
        <v>0</v>
      </c>
      <c r="Y5294" t="s">
        <v>3988</v>
      </c>
    </row>
    <row r="5295" spans="1:25" hidden="1" x14ac:dyDescent="0.25">
      <c r="A5295" t="s">
        <v>48</v>
      </c>
      <c r="B5295" t="s">
        <v>98</v>
      </c>
      <c r="C5295" t="s">
        <v>27</v>
      </c>
      <c r="D5295" t="s">
        <v>27</v>
      </c>
      <c r="E5295" s="2">
        <v>46147</v>
      </c>
      <c r="F5295" s="2">
        <v>46147</v>
      </c>
      <c r="G5295" s="3">
        <v>59</v>
      </c>
      <c r="H5295" t="s">
        <v>28</v>
      </c>
      <c r="I5295" t="s">
        <v>2143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3988</v>
      </c>
    </row>
    <row r="5296" spans="1:25" hidden="1" x14ac:dyDescent="0.25">
      <c r="A5296" t="s">
        <v>3960</v>
      </c>
      <c r="B5296" t="s">
        <v>125</v>
      </c>
      <c r="C5296" t="s">
        <v>27</v>
      </c>
      <c r="D5296" t="s">
        <v>27</v>
      </c>
      <c r="E5296" s="2">
        <v>46147</v>
      </c>
      <c r="F5296" s="2">
        <v>46147</v>
      </c>
      <c r="G5296" s="3">
        <v>59</v>
      </c>
      <c r="H5296" t="s">
        <v>28</v>
      </c>
      <c r="I5296" t="s">
        <v>1448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3988</v>
      </c>
    </row>
    <row r="5297" spans="1:25" hidden="1" x14ac:dyDescent="0.25">
      <c r="A5297" t="s">
        <v>27</v>
      </c>
      <c r="B5297" t="s">
        <v>3765</v>
      </c>
      <c r="C5297" t="s">
        <v>42</v>
      </c>
      <c r="D5297" t="s">
        <v>27</v>
      </c>
      <c r="E5297" s="2">
        <v>46147</v>
      </c>
      <c r="F5297" s="2">
        <v>46147</v>
      </c>
      <c r="G5297" s="3">
        <v>59</v>
      </c>
      <c r="H5297" t="s">
        <v>28</v>
      </c>
      <c r="I5297">
        <v>34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3988</v>
      </c>
    </row>
    <row r="5298" spans="1:25" hidden="1" x14ac:dyDescent="0.25">
      <c r="A5298" t="s">
        <v>27</v>
      </c>
      <c r="B5298" t="s">
        <v>3766</v>
      </c>
      <c r="C5298" t="s">
        <v>55</v>
      </c>
      <c r="D5298" t="s">
        <v>27</v>
      </c>
      <c r="E5298" s="2">
        <v>46147</v>
      </c>
      <c r="F5298" s="2">
        <v>46147</v>
      </c>
      <c r="G5298" s="3">
        <v>59</v>
      </c>
      <c r="H5298" t="s">
        <v>28</v>
      </c>
      <c r="I5298" t="s">
        <v>2143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3988</v>
      </c>
    </row>
    <row r="5299" spans="1:25" hidden="1" x14ac:dyDescent="0.25">
      <c r="A5299" t="s">
        <v>27</v>
      </c>
      <c r="B5299" t="s">
        <v>116</v>
      </c>
      <c r="C5299" t="s">
        <v>2514</v>
      </c>
      <c r="D5299" t="s">
        <v>27</v>
      </c>
      <c r="E5299" s="2">
        <v>46147</v>
      </c>
      <c r="F5299" s="2">
        <v>46147</v>
      </c>
      <c r="G5299" s="3">
        <v>59</v>
      </c>
      <c r="H5299" t="s">
        <v>28</v>
      </c>
      <c r="I5299" t="s">
        <v>2143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3988</v>
      </c>
    </row>
    <row r="5300" spans="1:25" hidden="1" x14ac:dyDescent="0.25">
      <c r="A5300" t="s">
        <v>47</v>
      </c>
      <c r="B5300" t="s">
        <v>755</v>
      </c>
      <c r="C5300" t="s">
        <v>27</v>
      </c>
      <c r="D5300" t="s">
        <v>27</v>
      </c>
      <c r="E5300" s="2">
        <v>46147</v>
      </c>
      <c r="F5300" s="2">
        <v>46147</v>
      </c>
      <c r="G5300" s="3">
        <v>55</v>
      </c>
      <c r="H5300" t="s">
        <v>1256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t="s">
        <v>3856</v>
      </c>
    </row>
    <row r="5301" spans="1:25" hidden="1" x14ac:dyDescent="0.25">
      <c r="A5301" t="s">
        <v>438</v>
      </c>
      <c r="B5301" t="s">
        <v>798</v>
      </c>
      <c r="C5301" t="s">
        <v>27</v>
      </c>
      <c r="D5301" t="s">
        <v>27</v>
      </c>
      <c r="E5301" s="2">
        <v>46147</v>
      </c>
      <c r="F5301" s="2">
        <v>46147</v>
      </c>
      <c r="G5301" s="3">
        <v>57</v>
      </c>
      <c r="H5301" t="s">
        <v>1256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3856</v>
      </c>
    </row>
    <row r="5302" spans="1:25" hidden="1" x14ac:dyDescent="0.25">
      <c r="A5302" t="s">
        <v>27</v>
      </c>
      <c r="B5302" t="s">
        <v>3525</v>
      </c>
      <c r="C5302" t="s">
        <v>52</v>
      </c>
      <c r="D5302" t="s">
        <v>27</v>
      </c>
      <c r="E5302" s="2">
        <v>46147</v>
      </c>
      <c r="F5302" s="2">
        <v>46147</v>
      </c>
      <c r="G5302" s="3">
        <v>60</v>
      </c>
      <c r="H5302" t="s">
        <v>180</v>
      </c>
      <c r="I5302">
        <v>0</v>
      </c>
      <c r="J5302">
        <v>0</v>
      </c>
      <c r="K5302">
        <v>0</v>
      </c>
      <c r="L5302" s="3">
        <v>0</v>
      </c>
      <c r="M5302" s="3">
        <v>0</v>
      </c>
      <c r="N5302">
        <v>0</v>
      </c>
      <c r="O5302">
        <v>0</v>
      </c>
      <c r="P5302">
        <v>0</v>
      </c>
      <c r="Q5302">
        <v>0</v>
      </c>
      <c r="R5302" s="3">
        <v>0</v>
      </c>
      <c r="S5302" s="3">
        <v>0</v>
      </c>
      <c r="T5302">
        <v>0</v>
      </c>
      <c r="U5302">
        <v>0</v>
      </c>
      <c r="V5302" s="3">
        <v>0</v>
      </c>
      <c r="W5302" s="3">
        <v>0</v>
      </c>
      <c r="X5302" s="3">
        <v>0</v>
      </c>
      <c r="Y5302" t="s">
        <v>3856</v>
      </c>
    </row>
    <row r="5303" spans="1:25" hidden="1" x14ac:dyDescent="0.25">
      <c r="A5303" t="s">
        <v>3960</v>
      </c>
      <c r="B5303" t="s">
        <v>2072</v>
      </c>
      <c r="C5303" t="s">
        <v>27</v>
      </c>
      <c r="D5303" t="s">
        <v>27</v>
      </c>
      <c r="E5303" s="2">
        <v>46146</v>
      </c>
      <c r="F5303" s="2">
        <v>46146</v>
      </c>
      <c r="G5303" s="3">
        <v>30</v>
      </c>
      <c r="H5303" t="s">
        <v>28</v>
      </c>
      <c r="I5303">
        <v>35</v>
      </c>
      <c r="J5303">
        <v>0</v>
      </c>
      <c r="K5303">
        <v>0</v>
      </c>
      <c r="L5303" s="3">
        <v>1</v>
      </c>
      <c r="M5303" s="3">
        <v>0</v>
      </c>
      <c r="N5303">
        <v>1</v>
      </c>
      <c r="O5303">
        <v>0</v>
      </c>
      <c r="P5303">
        <v>0</v>
      </c>
      <c r="Q5303">
        <v>0</v>
      </c>
      <c r="R5303" s="3">
        <v>0</v>
      </c>
      <c r="S5303" s="3">
        <v>0</v>
      </c>
      <c r="T5303">
        <v>0</v>
      </c>
      <c r="U5303">
        <v>0</v>
      </c>
      <c r="V5303" s="3">
        <v>0</v>
      </c>
      <c r="W5303" s="3">
        <v>0</v>
      </c>
      <c r="X5303">
        <v>0</v>
      </c>
      <c r="Y5303" t="s">
        <v>3961</v>
      </c>
    </row>
    <row r="5304" spans="1:25" hidden="1" x14ac:dyDescent="0.25">
      <c r="A5304" t="s">
        <v>55</v>
      </c>
      <c r="B5304" t="s">
        <v>2072</v>
      </c>
      <c r="C5304" t="s">
        <v>27</v>
      </c>
      <c r="D5304" t="s">
        <v>27</v>
      </c>
      <c r="E5304" s="2">
        <v>46148</v>
      </c>
      <c r="F5304" s="2">
        <v>46148</v>
      </c>
      <c r="G5304" s="3">
        <v>24</v>
      </c>
      <c r="H5304" t="s">
        <v>28</v>
      </c>
      <c r="I5304">
        <v>35</v>
      </c>
      <c r="J5304">
        <v>0</v>
      </c>
      <c r="K5304">
        <v>0</v>
      </c>
      <c r="L5304" s="3">
        <v>1</v>
      </c>
      <c r="M5304" s="3">
        <v>0</v>
      </c>
      <c r="N5304">
        <v>1</v>
      </c>
      <c r="O5304">
        <v>0</v>
      </c>
      <c r="P5304">
        <v>0</v>
      </c>
      <c r="Q5304">
        <v>0</v>
      </c>
      <c r="R5304" s="3">
        <v>0</v>
      </c>
      <c r="S5304" s="3">
        <v>0</v>
      </c>
      <c r="T5304">
        <v>0</v>
      </c>
      <c r="U5304">
        <v>0</v>
      </c>
      <c r="V5304" s="3">
        <v>0</v>
      </c>
      <c r="W5304" s="3">
        <v>0</v>
      </c>
      <c r="X5304">
        <v>0</v>
      </c>
      <c r="Y5304" t="s">
        <v>3989</v>
      </c>
    </row>
    <row r="5305" spans="1:25" hidden="1" x14ac:dyDescent="0.25">
      <c r="A5305" t="s">
        <v>25</v>
      </c>
      <c r="B5305" t="s">
        <v>96</v>
      </c>
      <c r="C5305" t="s">
        <v>26</v>
      </c>
      <c r="D5305" t="s">
        <v>27</v>
      </c>
      <c r="E5305" s="2">
        <v>46148</v>
      </c>
      <c r="F5305" s="2">
        <v>46148</v>
      </c>
      <c r="G5305" s="3">
        <v>51</v>
      </c>
      <c r="H5305" t="s">
        <v>28</v>
      </c>
      <c r="I5305">
        <v>97</v>
      </c>
      <c r="J5305">
        <v>0</v>
      </c>
      <c r="K5305">
        <v>0</v>
      </c>
      <c r="L5305" s="3">
        <v>1</v>
      </c>
      <c r="M5305" s="3">
        <v>1</v>
      </c>
      <c r="N5305">
        <v>1</v>
      </c>
      <c r="O5305">
        <v>0</v>
      </c>
      <c r="P5305">
        <v>0</v>
      </c>
      <c r="Q5305">
        <v>0</v>
      </c>
      <c r="R5305" s="3">
        <v>0</v>
      </c>
      <c r="S5305" s="3">
        <v>0</v>
      </c>
      <c r="T5305">
        <v>0</v>
      </c>
      <c r="U5305">
        <v>0</v>
      </c>
      <c r="V5305" s="3">
        <v>0</v>
      </c>
      <c r="W5305" s="3">
        <v>0</v>
      </c>
      <c r="X5305">
        <v>0</v>
      </c>
      <c r="Y5305" t="s">
        <v>3990</v>
      </c>
    </row>
    <row r="5306" spans="1:25" hidden="1" x14ac:dyDescent="0.25">
      <c r="A5306" t="s">
        <v>27</v>
      </c>
      <c r="B5306" t="s">
        <v>100</v>
      </c>
      <c r="C5306" t="s">
        <v>95</v>
      </c>
      <c r="D5306" t="s">
        <v>27</v>
      </c>
      <c r="E5306" s="2">
        <v>46147</v>
      </c>
      <c r="F5306" s="2">
        <v>46147</v>
      </c>
      <c r="G5306" s="3">
        <v>32</v>
      </c>
      <c r="H5306" t="s">
        <v>1448</v>
      </c>
      <c r="I5306">
        <v>0</v>
      </c>
      <c r="J5306">
        <v>0</v>
      </c>
      <c r="K5306">
        <v>0</v>
      </c>
      <c r="L5306" s="3">
        <v>0</v>
      </c>
      <c r="M5306" s="3">
        <v>0</v>
      </c>
      <c r="N5306">
        <v>0</v>
      </c>
      <c r="O5306">
        <v>0</v>
      </c>
      <c r="P5306">
        <v>0</v>
      </c>
      <c r="Q5306">
        <v>0</v>
      </c>
      <c r="R5306" s="3">
        <v>0</v>
      </c>
      <c r="S5306" s="3">
        <v>0</v>
      </c>
      <c r="T5306">
        <v>0</v>
      </c>
      <c r="U5306">
        <v>0</v>
      </c>
      <c r="V5306" s="3">
        <v>0</v>
      </c>
      <c r="W5306" s="3">
        <v>0</v>
      </c>
      <c r="X5306">
        <v>0</v>
      </c>
      <c r="Y5306" t="s">
        <v>3991</v>
      </c>
    </row>
    <row r="5307" spans="1:25" hidden="1" x14ac:dyDescent="0.25">
      <c r="A5307" t="s">
        <v>344</v>
      </c>
      <c r="B5307" t="s">
        <v>100</v>
      </c>
      <c r="C5307" t="s">
        <v>3909</v>
      </c>
      <c r="D5307" t="s">
        <v>27</v>
      </c>
      <c r="E5307" s="2">
        <v>46148</v>
      </c>
      <c r="F5307" s="2">
        <v>46148</v>
      </c>
      <c r="G5307" s="3">
        <v>48</v>
      </c>
      <c r="H5307" t="s">
        <v>28</v>
      </c>
      <c r="I5307">
        <v>16</v>
      </c>
      <c r="J5307">
        <v>0</v>
      </c>
      <c r="K5307">
        <v>0</v>
      </c>
      <c r="L5307" s="3">
        <v>1</v>
      </c>
      <c r="M5307" s="3">
        <v>0</v>
      </c>
      <c r="N5307">
        <v>0</v>
      </c>
      <c r="O5307">
        <v>0</v>
      </c>
      <c r="P5307">
        <v>3</v>
      </c>
      <c r="Q5307">
        <v>2</v>
      </c>
      <c r="R5307" s="3">
        <v>0</v>
      </c>
      <c r="S5307" s="3">
        <v>0</v>
      </c>
      <c r="T5307">
        <v>0</v>
      </c>
      <c r="U5307">
        <v>0</v>
      </c>
      <c r="V5307" s="3">
        <v>0</v>
      </c>
      <c r="W5307" s="3">
        <v>0</v>
      </c>
      <c r="X5307">
        <v>2</v>
      </c>
      <c r="Y5307" t="s">
        <v>3908</v>
      </c>
    </row>
    <row r="5308" spans="1:25" hidden="1" x14ac:dyDescent="0.25">
      <c r="A5308" t="s">
        <v>31</v>
      </c>
      <c r="B5308" t="s">
        <v>104</v>
      </c>
      <c r="C5308" t="s">
        <v>32</v>
      </c>
      <c r="D5308" t="s">
        <v>27</v>
      </c>
      <c r="E5308" s="2">
        <v>46148</v>
      </c>
      <c r="F5308" s="2">
        <v>46148</v>
      </c>
      <c r="G5308" s="3">
        <v>40</v>
      </c>
      <c r="H5308" t="s">
        <v>28</v>
      </c>
      <c r="I5308">
        <v>86</v>
      </c>
      <c r="J5308">
        <v>0</v>
      </c>
      <c r="K5308">
        <v>0</v>
      </c>
      <c r="L5308" s="3">
        <v>1</v>
      </c>
      <c r="M5308" s="3">
        <v>0</v>
      </c>
      <c r="N5308">
        <v>0</v>
      </c>
      <c r="O5308">
        <v>0</v>
      </c>
      <c r="P5308">
        <v>0</v>
      </c>
      <c r="Q5308">
        <v>38</v>
      </c>
      <c r="R5308" s="3">
        <v>0</v>
      </c>
      <c r="S5308" s="3">
        <v>0</v>
      </c>
      <c r="T5308">
        <v>0</v>
      </c>
      <c r="U5308">
        <v>0</v>
      </c>
      <c r="V5308" s="3">
        <v>0</v>
      </c>
      <c r="W5308" s="3">
        <v>0</v>
      </c>
      <c r="X5308">
        <v>0</v>
      </c>
      <c r="Y5308" t="s">
        <v>3992</v>
      </c>
    </row>
    <row r="5309" spans="1:25" hidden="1" x14ac:dyDescent="0.25">
      <c r="A5309" t="s">
        <v>33</v>
      </c>
      <c r="B5309" t="s">
        <v>106</v>
      </c>
      <c r="C5309" t="s">
        <v>57</v>
      </c>
      <c r="D5309" t="s">
        <v>27</v>
      </c>
      <c r="E5309" s="2">
        <v>46148</v>
      </c>
      <c r="F5309" s="2">
        <v>46148</v>
      </c>
      <c r="G5309" s="3">
        <v>32</v>
      </c>
      <c r="H5309" t="s">
        <v>28</v>
      </c>
      <c r="I5309">
        <v>44</v>
      </c>
      <c r="J5309">
        <v>0</v>
      </c>
      <c r="K5309">
        <v>0</v>
      </c>
      <c r="L5309" s="3">
        <v>0</v>
      </c>
      <c r="M5309" s="3">
        <v>0</v>
      </c>
      <c r="N5309">
        <v>0</v>
      </c>
      <c r="O5309">
        <v>0</v>
      </c>
      <c r="P5309">
        <v>0</v>
      </c>
      <c r="Q5309">
        <v>21</v>
      </c>
      <c r="R5309" s="3">
        <v>0</v>
      </c>
      <c r="S5309" s="3">
        <v>0</v>
      </c>
      <c r="T5309">
        <v>0</v>
      </c>
      <c r="U5309">
        <v>0</v>
      </c>
      <c r="V5309" s="3">
        <v>0</v>
      </c>
      <c r="W5309" s="3">
        <v>0</v>
      </c>
      <c r="X5309">
        <v>0</v>
      </c>
      <c r="Y5309" t="s">
        <v>3993</v>
      </c>
    </row>
    <row r="5310" spans="1:25" hidden="1" x14ac:dyDescent="0.25">
      <c r="A5310" t="s">
        <v>36</v>
      </c>
      <c r="B5310" t="s">
        <v>249</v>
      </c>
      <c r="C5310" t="s">
        <v>2514</v>
      </c>
      <c r="D5310" t="s">
        <v>27</v>
      </c>
      <c r="E5310" s="2">
        <v>46148</v>
      </c>
      <c r="F5310" s="2">
        <v>46148</v>
      </c>
      <c r="G5310" s="3">
        <v>45</v>
      </c>
      <c r="H5310" t="s">
        <v>28</v>
      </c>
      <c r="I5310">
        <v>60</v>
      </c>
      <c r="J5310">
        <v>0</v>
      </c>
      <c r="K5310">
        <v>0</v>
      </c>
      <c r="L5310" s="3">
        <v>1</v>
      </c>
      <c r="M5310" s="3">
        <v>0</v>
      </c>
      <c r="N5310">
        <v>0</v>
      </c>
      <c r="O5310">
        <v>0</v>
      </c>
      <c r="P5310">
        <v>0</v>
      </c>
      <c r="Q5310">
        <v>30</v>
      </c>
      <c r="R5310" s="3">
        <v>0</v>
      </c>
      <c r="S5310" s="3">
        <v>0</v>
      </c>
      <c r="T5310">
        <v>0</v>
      </c>
      <c r="U5310">
        <v>0</v>
      </c>
      <c r="V5310" s="3">
        <v>0</v>
      </c>
      <c r="W5310" s="3">
        <v>0</v>
      </c>
      <c r="X5310">
        <v>0</v>
      </c>
      <c r="Y5310" t="s">
        <v>3994</v>
      </c>
    </row>
    <row r="5311" spans="1:25" hidden="1" x14ac:dyDescent="0.25">
      <c r="A5311" t="s">
        <v>38</v>
      </c>
      <c r="B5311" t="s">
        <v>108</v>
      </c>
      <c r="C5311" t="s">
        <v>27</v>
      </c>
      <c r="D5311" t="s">
        <v>27</v>
      </c>
      <c r="E5311" s="2">
        <v>46148</v>
      </c>
      <c r="F5311" s="2">
        <v>46148</v>
      </c>
      <c r="G5311" s="3">
        <v>28</v>
      </c>
      <c r="H5311" t="s">
        <v>28</v>
      </c>
      <c r="I5311">
        <v>46</v>
      </c>
      <c r="J5311">
        <v>0</v>
      </c>
      <c r="K5311">
        <v>0</v>
      </c>
      <c r="L5311" s="3">
        <v>1</v>
      </c>
      <c r="M5311" s="3">
        <v>0</v>
      </c>
      <c r="N5311">
        <v>0</v>
      </c>
      <c r="O5311">
        <v>0</v>
      </c>
      <c r="P5311">
        <v>0</v>
      </c>
      <c r="Q5311">
        <v>46</v>
      </c>
      <c r="R5311" s="3">
        <v>0</v>
      </c>
      <c r="S5311" s="3">
        <v>0</v>
      </c>
      <c r="T5311">
        <v>0</v>
      </c>
      <c r="U5311">
        <v>0</v>
      </c>
      <c r="V5311" s="3">
        <v>0</v>
      </c>
      <c r="W5311" s="3">
        <v>0</v>
      </c>
      <c r="X5311">
        <v>0</v>
      </c>
      <c r="Y5311" t="s">
        <v>3995</v>
      </c>
    </row>
    <row r="5312" spans="1:25" hidden="1" x14ac:dyDescent="0.25">
      <c r="A5312" t="s">
        <v>3929</v>
      </c>
      <c r="B5312" t="s">
        <v>2680</v>
      </c>
      <c r="C5312" t="s">
        <v>39</v>
      </c>
      <c r="D5312" t="s">
        <v>27</v>
      </c>
      <c r="E5312" s="2">
        <v>46148</v>
      </c>
      <c r="F5312" s="2">
        <v>46148</v>
      </c>
      <c r="G5312" s="3">
        <v>44</v>
      </c>
      <c r="H5312" t="s">
        <v>28</v>
      </c>
      <c r="I5312">
        <v>36</v>
      </c>
      <c r="J5312">
        <v>0</v>
      </c>
      <c r="K5312">
        <v>0</v>
      </c>
      <c r="L5312" s="3">
        <v>0</v>
      </c>
      <c r="M5312" s="3">
        <v>0</v>
      </c>
      <c r="N5312">
        <v>0</v>
      </c>
      <c r="O5312">
        <v>0</v>
      </c>
      <c r="P5312">
        <v>0</v>
      </c>
      <c r="Q5312">
        <v>36</v>
      </c>
      <c r="R5312" s="3">
        <v>0</v>
      </c>
      <c r="S5312" s="3">
        <v>0</v>
      </c>
      <c r="T5312">
        <v>0</v>
      </c>
      <c r="U5312">
        <v>0</v>
      </c>
      <c r="V5312" s="3">
        <v>0</v>
      </c>
      <c r="W5312" s="3">
        <v>0</v>
      </c>
      <c r="X5312">
        <v>0</v>
      </c>
      <c r="Y5312" t="s">
        <v>3996</v>
      </c>
    </row>
    <row r="5313" spans="1:25" hidden="1" x14ac:dyDescent="0.25">
      <c r="A5313" t="s">
        <v>40</v>
      </c>
      <c r="B5313" t="s">
        <v>110</v>
      </c>
      <c r="C5313" t="s">
        <v>2534</v>
      </c>
      <c r="D5313" t="s">
        <v>27</v>
      </c>
      <c r="E5313" s="2">
        <v>46148</v>
      </c>
      <c r="F5313" s="2">
        <v>46148</v>
      </c>
      <c r="G5313" s="3">
        <v>40</v>
      </c>
      <c r="H5313" t="s">
        <v>28</v>
      </c>
      <c r="I5313">
        <v>40</v>
      </c>
      <c r="J5313">
        <v>0</v>
      </c>
      <c r="K5313">
        <v>0</v>
      </c>
      <c r="L5313" s="3">
        <v>1</v>
      </c>
      <c r="M5313" s="3">
        <v>0</v>
      </c>
      <c r="N5313">
        <v>1</v>
      </c>
      <c r="O5313">
        <v>0</v>
      </c>
      <c r="P5313">
        <v>0</v>
      </c>
      <c r="Q5313">
        <v>28</v>
      </c>
      <c r="R5313" s="3">
        <v>0</v>
      </c>
      <c r="S5313" s="3">
        <v>0</v>
      </c>
      <c r="T5313">
        <v>0</v>
      </c>
      <c r="U5313">
        <v>0</v>
      </c>
      <c r="V5313" s="3">
        <v>0</v>
      </c>
      <c r="W5313" s="3">
        <v>0</v>
      </c>
      <c r="X5313">
        <v>0</v>
      </c>
      <c r="Y5313" t="s">
        <v>3997</v>
      </c>
    </row>
    <row r="5314" spans="1:25" hidden="1" x14ac:dyDescent="0.25">
      <c r="A5314" t="s">
        <v>41</v>
      </c>
      <c r="B5314" t="s">
        <v>112</v>
      </c>
      <c r="C5314" t="s">
        <v>42</v>
      </c>
      <c r="D5314" t="s">
        <v>27</v>
      </c>
      <c r="E5314" s="2">
        <v>46148</v>
      </c>
      <c r="F5314" s="2">
        <v>46148</v>
      </c>
      <c r="G5314" s="3">
        <v>41</v>
      </c>
      <c r="H5314" t="s">
        <v>28</v>
      </c>
      <c r="I5314">
        <v>26</v>
      </c>
      <c r="J5314">
        <v>0</v>
      </c>
      <c r="K5314">
        <v>0</v>
      </c>
      <c r="L5314" s="3">
        <v>1</v>
      </c>
      <c r="M5314" s="3">
        <v>0</v>
      </c>
      <c r="N5314">
        <v>0</v>
      </c>
      <c r="O5314">
        <v>0</v>
      </c>
      <c r="P5314">
        <v>0</v>
      </c>
      <c r="Q5314">
        <v>0</v>
      </c>
      <c r="R5314" s="3">
        <v>0</v>
      </c>
      <c r="S5314" s="3">
        <v>0</v>
      </c>
      <c r="T5314">
        <v>0</v>
      </c>
      <c r="U5314">
        <v>0</v>
      </c>
      <c r="V5314" s="3">
        <v>0</v>
      </c>
      <c r="W5314" s="3">
        <v>0</v>
      </c>
      <c r="X5314">
        <v>0</v>
      </c>
      <c r="Y5314" t="s">
        <v>3998</v>
      </c>
    </row>
    <row r="5315" spans="1:25" hidden="1" x14ac:dyDescent="0.25">
      <c r="A5315" t="s">
        <v>43</v>
      </c>
      <c r="B5315" t="s">
        <v>114</v>
      </c>
      <c r="C5315" t="s">
        <v>44</v>
      </c>
      <c r="D5315" t="s">
        <v>27</v>
      </c>
      <c r="E5315" s="2">
        <v>46148</v>
      </c>
      <c r="F5315" s="2">
        <v>46148</v>
      </c>
      <c r="G5315" s="3">
        <v>24</v>
      </c>
      <c r="H5315" t="s">
        <v>28</v>
      </c>
      <c r="I5315">
        <v>45</v>
      </c>
      <c r="J5315">
        <v>0</v>
      </c>
      <c r="K5315">
        <v>0</v>
      </c>
      <c r="L5315" s="3">
        <v>1</v>
      </c>
      <c r="M5315" s="3">
        <v>0</v>
      </c>
      <c r="N5315">
        <v>0</v>
      </c>
      <c r="O5315">
        <v>0</v>
      </c>
      <c r="P5315">
        <v>0</v>
      </c>
      <c r="Q5315">
        <v>0</v>
      </c>
      <c r="R5315" s="3">
        <v>0</v>
      </c>
      <c r="S5315" s="3">
        <v>0</v>
      </c>
      <c r="T5315">
        <v>0</v>
      </c>
      <c r="U5315">
        <v>0</v>
      </c>
      <c r="V5315" s="3">
        <v>0</v>
      </c>
      <c r="W5315" s="3">
        <v>0</v>
      </c>
      <c r="X5315">
        <v>0</v>
      </c>
      <c r="Y5315" t="s">
        <v>3999</v>
      </c>
    </row>
    <row r="5316" spans="1:25" hidden="1" x14ac:dyDescent="0.25">
      <c r="A5316" t="s">
        <v>45</v>
      </c>
      <c r="B5316" t="s">
        <v>116</v>
      </c>
      <c r="C5316" t="s">
        <v>46</v>
      </c>
      <c r="D5316" t="s">
        <v>27</v>
      </c>
      <c r="E5316" s="2">
        <v>46148</v>
      </c>
      <c r="F5316" s="2">
        <v>46148</v>
      </c>
      <c r="G5316" s="3">
        <v>46</v>
      </c>
      <c r="H5316" t="s">
        <v>28</v>
      </c>
      <c r="I5316">
        <v>74</v>
      </c>
      <c r="J5316">
        <v>0</v>
      </c>
      <c r="K5316">
        <v>0</v>
      </c>
      <c r="L5316" s="3">
        <v>1</v>
      </c>
      <c r="M5316" s="3">
        <v>0</v>
      </c>
      <c r="N5316">
        <v>0</v>
      </c>
      <c r="O5316">
        <v>0</v>
      </c>
      <c r="P5316">
        <v>0</v>
      </c>
      <c r="Q5316">
        <v>12</v>
      </c>
      <c r="R5316" s="3">
        <v>0</v>
      </c>
      <c r="S5316" s="3">
        <v>0</v>
      </c>
      <c r="T5316">
        <v>0</v>
      </c>
      <c r="U5316">
        <v>0</v>
      </c>
      <c r="V5316" s="3">
        <v>0</v>
      </c>
      <c r="W5316" s="3">
        <v>0</v>
      </c>
      <c r="X5316">
        <v>0</v>
      </c>
      <c r="Y5316" t="s">
        <v>4000</v>
      </c>
    </row>
    <row r="5317" spans="1:25" hidden="1" x14ac:dyDescent="0.25">
      <c r="A5317" t="s">
        <v>49</v>
      </c>
      <c r="B5317" t="s">
        <v>118</v>
      </c>
      <c r="C5317" t="s">
        <v>50</v>
      </c>
      <c r="D5317" t="s">
        <v>27</v>
      </c>
      <c r="E5317" s="2">
        <v>46148</v>
      </c>
      <c r="F5317" s="2">
        <v>46148</v>
      </c>
      <c r="G5317" s="3">
        <v>51</v>
      </c>
      <c r="H5317" t="s">
        <v>28</v>
      </c>
      <c r="I5317">
        <v>26</v>
      </c>
      <c r="J5317">
        <v>0</v>
      </c>
      <c r="K5317">
        <v>0</v>
      </c>
      <c r="L5317" s="3">
        <v>1</v>
      </c>
      <c r="M5317" s="3">
        <v>1</v>
      </c>
      <c r="N5317">
        <v>0</v>
      </c>
      <c r="O5317">
        <v>0</v>
      </c>
      <c r="P5317">
        <v>0</v>
      </c>
      <c r="Q5317">
        <v>26</v>
      </c>
      <c r="R5317" s="3">
        <v>0</v>
      </c>
      <c r="S5317" s="3">
        <v>0</v>
      </c>
      <c r="T5317">
        <v>0</v>
      </c>
      <c r="U5317">
        <v>0</v>
      </c>
      <c r="V5317" s="3">
        <v>0</v>
      </c>
      <c r="W5317" s="3">
        <v>0</v>
      </c>
      <c r="X5317">
        <v>0</v>
      </c>
      <c r="Y5317" t="s">
        <v>4001</v>
      </c>
    </row>
    <row r="5318" spans="1:25" hidden="1" x14ac:dyDescent="0.25">
      <c r="A5318" t="s">
        <v>51</v>
      </c>
      <c r="B5318" t="s">
        <v>120</v>
      </c>
      <c r="C5318" t="s">
        <v>2310</v>
      </c>
      <c r="D5318" t="s">
        <v>27</v>
      </c>
      <c r="E5318" s="2">
        <v>46148</v>
      </c>
      <c r="F5318" s="2">
        <v>46148</v>
      </c>
      <c r="G5318" s="3">
        <v>327</v>
      </c>
      <c r="H5318" t="s">
        <v>28</v>
      </c>
      <c r="I5318">
        <v>62</v>
      </c>
      <c r="J5318">
        <v>0</v>
      </c>
      <c r="K5318">
        <v>0</v>
      </c>
      <c r="L5318" s="3">
        <v>1</v>
      </c>
      <c r="M5318" s="3">
        <v>0</v>
      </c>
      <c r="N5318">
        <v>0</v>
      </c>
      <c r="O5318">
        <v>0</v>
      </c>
      <c r="P5318">
        <v>0</v>
      </c>
      <c r="Q5318">
        <v>11</v>
      </c>
      <c r="R5318" s="3">
        <v>0</v>
      </c>
      <c r="S5318" s="3">
        <v>0</v>
      </c>
      <c r="T5318">
        <v>0</v>
      </c>
      <c r="U5318">
        <v>0</v>
      </c>
      <c r="V5318" s="3">
        <v>0</v>
      </c>
      <c r="W5318" s="3">
        <v>0</v>
      </c>
      <c r="X5318">
        <v>0</v>
      </c>
      <c r="Y5318" t="s">
        <v>4002</v>
      </c>
    </row>
    <row r="5319" spans="1:25" x14ac:dyDescent="0.25">
      <c r="A5319" t="s">
        <v>54</v>
      </c>
      <c r="B5319" t="s">
        <v>122</v>
      </c>
      <c r="C5319" t="s">
        <v>2271</v>
      </c>
      <c r="D5319" t="s">
        <v>27</v>
      </c>
      <c r="E5319" s="2">
        <v>46148</v>
      </c>
      <c r="F5319" s="2">
        <v>46148</v>
      </c>
      <c r="G5319" s="3">
        <v>34</v>
      </c>
      <c r="H5319" t="s">
        <v>28</v>
      </c>
      <c r="I5319">
        <v>39</v>
      </c>
      <c r="J5319">
        <v>0</v>
      </c>
      <c r="K5319">
        <v>0</v>
      </c>
      <c r="L5319" s="3">
        <v>0</v>
      </c>
      <c r="M5319" s="3">
        <v>0</v>
      </c>
      <c r="N5319">
        <v>0</v>
      </c>
      <c r="O5319">
        <v>0</v>
      </c>
      <c r="P5319">
        <v>0</v>
      </c>
      <c r="Q5319">
        <v>2</v>
      </c>
      <c r="R5319" s="3">
        <v>0</v>
      </c>
      <c r="S5319" s="3">
        <v>0</v>
      </c>
      <c r="T5319">
        <v>0</v>
      </c>
      <c r="U5319">
        <v>0</v>
      </c>
      <c r="V5319" s="3">
        <v>0</v>
      </c>
      <c r="W5319" s="3">
        <v>0</v>
      </c>
      <c r="X5319">
        <v>1</v>
      </c>
      <c r="Y5319" t="s">
        <v>4003</v>
      </c>
    </row>
    <row r="5320" spans="1:25" hidden="1" x14ac:dyDescent="0.25">
      <c r="A5320" t="s">
        <v>48</v>
      </c>
      <c r="B5320" t="s">
        <v>149</v>
      </c>
      <c r="C5320" t="s">
        <v>37</v>
      </c>
      <c r="D5320" t="s">
        <v>27</v>
      </c>
      <c r="E5320" s="2">
        <v>46148</v>
      </c>
      <c r="F5320" s="2">
        <v>46148</v>
      </c>
      <c r="G5320" s="3">
        <v>21</v>
      </c>
      <c r="H5320" t="s">
        <v>28</v>
      </c>
      <c r="I5320">
        <v>68</v>
      </c>
      <c r="J5320">
        <v>0</v>
      </c>
      <c r="K5320">
        <v>0</v>
      </c>
      <c r="L5320" s="3">
        <v>1</v>
      </c>
      <c r="M5320" s="3">
        <v>0</v>
      </c>
      <c r="N5320">
        <v>0</v>
      </c>
      <c r="O5320">
        <v>0</v>
      </c>
      <c r="P5320">
        <v>0</v>
      </c>
      <c r="Q5320">
        <v>0</v>
      </c>
      <c r="R5320" s="3">
        <v>0</v>
      </c>
      <c r="S5320" s="3">
        <v>0</v>
      </c>
      <c r="T5320">
        <v>0</v>
      </c>
      <c r="U5320">
        <v>0</v>
      </c>
      <c r="V5320" s="3">
        <v>0</v>
      </c>
      <c r="W5320" s="3">
        <v>0</v>
      </c>
      <c r="X5320">
        <v>0</v>
      </c>
      <c r="Y5320" t="s">
        <v>4004</v>
      </c>
    </row>
    <row r="5321" spans="1:25" hidden="1" x14ac:dyDescent="0.25">
      <c r="A5321" t="s">
        <v>47</v>
      </c>
      <c r="B5321" t="s">
        <v>755</v>
      </c>
      <c r="C5321" t="s">
        <v>27</v>
      </c>
      <c r="D5321" t="s">
        <v>27</v>
      </c>
      <c r="E5321" s="2">
        <v>46148</v>
      </c>
      <c r="F5321" s="2">
        <v>46148</v>
      </c>
      <c r="G5321" s="3">
        <v>55</v>
      </c>
      <c r="H5321" t="s">
        <v>1256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 t="s">
        <v>3856</v>
      </c>
    </row>
    <row r="5322" spans="1:25" hidden="1" x14ac:dyDescent="0.25">
      <c r="A5322" t="s">
        <v>438</v>
      </c>
      <c r="B5322" t="s">
        <v>798</v>
      </c>
      <c r="C5322" t="s">
        <v>27</v>
      </c>
      <c r="D5322" t="s">
        <v>27</v>
      </c>
      <c r="E5322" s="2">
        <v>46148</v>
      </c>
      <c r="F5322" s="2">
        <v>46148</v>
      </c>
      <c r="G5322" s="3">
        <v>57</v>
      </c>
      <c r="H5322" t="s">
        <v>1256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 t="s">
        <v>3856</v>
      </c>
    </row>
    <row r="5323" spans="1:25" hidden="1" x14ac:dyDescent="0.25">
      <c r="A5323" t="s">
        <v>27</v>
      </c>
      <c r="B5323" t="s">
        <v>3525</v>
      </c>
      <c r="C5323" t="s">
        <v>52</v>
      </c>
      <c r="D5323" t="s">
        <v>27</v>
      </c>
      <c r="E5323" s="2">
        <v>46148</v>
      </c>
      <c r="F5323" s="2">
        <v>46148</v>
      </c>
      <c r="G5323" s="3">
        <v>60</v>
      </c>
      <c r="H5323" t="s">
        <v>180</v>
      </c>
      <c r="I5323">
        <v>0</v>
      </c>
      <c r="J5323">
        <v>0</v>
      </c>
      <c r="K5323">
        <v>0</v>
      </c>
      <c r="L5323" s="3">
        <v>0</v>
      </c>
      <c r="M5323" s="3">
        <v>0</v>
      </c>
      <c r="N5323">
        <v>0</v>
      </c>
      <c r="O5323">
        <v>0</v>
      </c>
      <c r="P5323">
        <v>0</v>
      </c>
      <c r="Q5323">
        <v>0</v>
      </c>
      <c r="R5323" s="3">
        <v>0</v>
      </c>
      <c r="S5323" s="3">
        <v>0</v>
      </c>
      <c r="T5323">
        <v>0</v>
      </c>
      <c r="U5323">
        <v>0</v>
      </c>
      <c r="V5323" s="3">
        <v>0</v>
      </c>
      <c r="W5323" s="3">
        <v>0</v>
      </c>
      <c r="X5323" s="3">
        <v>0</v>
      </c>
      <c r="Y5323" t="s">
        <v>3856</v>
      </c>
    </row>
    <row r="5324" spans="1:25" hidden="1" x14ac:dyDescent="0.25">
      <c r="A5324" t="s">
        <v>3960</v>
      </c>
      <c r="B5324" t="s">
        <v>2072</v>
      </c>
      <c r="C5324" t="s">
        <v>27</v>
      </c>
      <c r="D5324" t="s">
        <v>27</v>
      </c>
      <c r="E5324" s="2">
        <v>46148</v>
      </c>
      <c r="F5324" s="2">
        <v>46148</v>
      </c>
      <c r="G5324" s="3">
        <v>24</v>
      </c>
      <c r="H5324" t="s">
        <v>28</v>
      </c>
      <c r="I5324">
        <v>35</v>
      </c>
      <c r="J5324">
        <v>0</v>
      </c>
      <c r="K5324">
        <v>0</v>
      </c>
      <c r="L5324" s="3">
        <v>1</v>
      </c>
      <c r="M5324" s="3">
        <v>0</v>
      </c>
      <c r="N5324">
        <v>1</v>
      </c>
      <c r="O5324">
        <v>0</v>
      </c>
      <c r="P5324">
        <v>0</v>
      </c>
      <c r="Q5324">
        <v>0</v>
      </c>
      <c r="R5324" s="3">
        <v>0</v>
      </c>
      <c r="S5324" s="3">
        <v>0</v>
      </c>
      <c r="T5324">
        <v>0</v>
      </c>
      <c r="U5324">
        <v>0</v>
      </c>
      <c r="V5324" s="3">
        <v>0</v>
      </c>
      <c r="W5324" s="3">
        <v>0</v>
      </c>
      <c r="X5324">
        <v>0</v>
      </c>
      <c r="Y5324" t="s">
        <v>3989</v>
      </c>
    </row>
    <row r="5325" spans="1:25" hidden="1" x14ac:dyDescent="0.25">
      <c r="A5325" t="s">
        <v>55</v>
      </c>
      <c r="B5325" t="s">
        <v>2072</v>
      </c>
      <c r="C5325" t="s">
        <v>27</v>
      </c>
      <c r="D5325" t="s">
        <v>27</v>
      </c>
      <c r="E5325" s="2">
        <v>46149</v>
      </c>
      <c r="F5325" s="2">
        <v>46149</v>
      </c>
      <c r="G5325" s="3">
        <v>37</v>
      </c>
      <c r="H5325" t="s">
        <v>28</v>
      </c>
      <c r="I5325">
        <v>25</v>
      </c>
      <c r="J5325">
        <v>0</v>
      </c>
      <c r="K5325">
        <v>0</v>
      </c>
      <c r="L5325" s="3">
        <v>1</v>
      </c>
      <c r="M5325" s="3">
        <v>0</v>
      </c>
      <c r="N5325">
        <v>1</v>
      </c>
      <c r="O5325">
        <v>0</v>
      </c>
      <c r="P5325">
        <v>0</v>
      </c>
      <c r="Q5325">
        <v>0</v>
      </c>
      <c r="R5325" s="3">
        <v>0</v>
      </c>
      <c r="S5325" s="3">
        <v>0</v>
      </c>
      <c r="T5325">
        <v>0</v>
      </c>
      <c r="U5325">
        <v>0</v>
      </c>
      <c r="V5325" s="3">
        <v>0</v>
      </c>
      <c r="W5325" s="3">
        <v>0</v>
      </c>
      <c r="X5325">
        <v>0</v>
      </c>
      <c r="Y5325" t="s">
        <v>4005</v>
      </c>
    </row>
    <row r="5326" spans="1:25" hidden="1" x14ac:dyDescent="0.25">
      <c r="A5326" t="s">
        <v>29</v>
      </c>
      <c r="B5326" t="s">
        <v>100</v>
      </c>
      <c r="C5326" t="s">
        <v>95</v>
      </c>
      <c r="D5326" t="s">
        <v>27</v>
      </c>
      <c r="E5326" s="2">
        <v>46148</v>
      </c>
      <c r="F5326" s="2">
        <v>46148</v>
      </c>
      <c r="G5326" s="3">
        <v>32</v>
      </c>
      <c r="H5326" t="s">
        <v>28</v>
      </c>
      <c r="I5326">
        <v>30</v>
      </c>
      <c r="J5326">
        <v>0</v>
      </c>
      <c r="K5326">
        <v>0</v>
      </c>
      <c r="L5326" s="3">
        <v>1</v>
      </c>
      <c r="M5326" s="3">
        <v>0</v>
      </c>
      <c r="N5326">
        <v>0</v>
      </c>
      <c r="O5326">
        <v>0</v>
      </c>
      <c r="P5326">
        <v>8</v>
      </c>
      <c r="Q5326">
        <v>5</v>
      </c>
      <c r="R5326" s="3">
        <v>0</v>
      </c>
      <c r="S5326" s="3">
        <v>0</v>
      </c>
      <c r="T5326">
        <v>0</v>
      </c>
      <c r="U5326">
        <v>0</v>
      </c>
      <c r="V5326" s="3">
        <v>0</v>
      </c>
      <c r="W5326" s="3">
        <v>0</v>
      </c>
      <c r="X5326">
        <v>0</v>
      </c>
      <c r="Y5326" t="s">
        <v>3991</v>
      </c>
    </row>
    <row r="5327" spans="1:25" hidden="1" x14ac:dyDescent="0.25">
      <c r="A5327" t="s">
        <v>29</v>
      </c>
      <c r="B5327" t="s">
        <v>100</v>
      </c>
      <c r="C5327" t="s">
        <v>95</v>
      </c>
      <c r="D5327" t="s">
        <v>27</v>
      </c>
      <c r="E5327" s="2">
        <v>46149</v>
      </c>
      <c r="F5327" s="2">
        <v>46149</v>
      </c>
      <c r="G5327" s="3">
        <v>34</v>
      </c>
      <c r="H5327" t="s">
        <v>28</v>
      </c>
      <c r="I5327">
        <v>41</v>
      </c>
      <c r="J5327">
        <v>0</v>
      </c>
      <c r="K5327">
        <v>0</v>
      </c>
      <c r="L5327" s="3">
        <v>1</v>
      </c>
      <c r="M5327" s="3">
        <v>0</v>
      </c>
      <c r="N5327">
        <v>0</v>
      </c>
      <c r="O5327">
        <v>0</v>
      </c>
      <c r="P5327">
        <v>15</v>
      </c>
      <c r="Q5327">
        <v>11</v>
      </c>
      <c r="R5327" s="3">
        <v>0</v>
      </c>
      <c r="S5327" s="3">
        <v>0</v>
      </c>
      <c r="T5327">
        <v>0</v>
      </c>
      <c r="U5327">
        <v>0</v>
      </c>
      <c r="V5327" s="3">
        <v>0</v>
      </c>
      <c r="W5327" s="3">
        <v>0</v>
      </c>
      <c r="X5327">
        <v>0</v>
      </c>
      <c r="Y5327" t="s">
        <v>4006</v>
      </c>
    </row>
    <row r="5328" spans="1:25" hidden="1" x14ac:dyDescent="0.25">
      <c r="A5328" t="s">
        <v>344</v>
      </c>
      <c r="B5328" t="s">
        <v>100</v>
      </c>
      <c r="C5328" t="s">
        <v>3909</v>
      </c>
      <c r="D5328" t="s">
        <v>27</v>
      </c>
      <c r="E5328" s="2">
        <v>46149</v>
      </c>
      <c r="F5328" s="2">
        <v>46149</v>
      </c>
      <c r="G5328" s="3">
        <v>48</v>
      </c>
      <c r="H5328" t="s">
        <v>28</v>
      </c>
      <c r="I5328">
        <v>60</v>
      </c>
      <c r="J5328">
        <v>0</v>
      </c>
      <c r="K5328">
        <v>0</v>
      </c>
      <c r="L5328" s="3">
        <v>1</v>
      </c>
      <c r="M5328" s="3">
        <v>0</v>
      </c>
      <c r="N5328">
        <v>0</v>
      </c>
      <c r="O5328">
        <v>0</v>
      </c>
      <c r="P5328">
        <v>3</v>
      </c>
      <c r="Q5328">
        <v>2</v>
      </c>
      <c r="R5328" s="3">
        <v>0</v>
      </c>
      <c r="S5328" s="3">
        <v>0</v>
      </c>
      <c r="T5328">
        <v>0</v>
      </c>
      <c r="U5328">
        <v>0</v>
      </c>
      <c r="V5328" s="3">
        <v>0</v>
      </c>
      <c r="W5328" s="3">
        <v>0</v>
      </c>
      <c r="X5328">
        <v>2</v>
      </c>
      <c r="Y5328" t="s">
        <v>3908</v>
      </c>
    </row>
    <row r="5329" spans="1:25" hidden="1" x14ac:dyDescent="0.25">
      <c r="A5329" t="s">
        <v>31</v>
      </c>
      <c r="B5329" t="s">
        <v>104</v>
      </c>
      <c r="C5329" t="s">
        <v>32</v>
      </c>
      <c r="D5329" t="s">
        <v>27</v>
      </c>
      <c r="E5329" s="2">
        <v>46149</v>
      </c>
      <c r="F5329" s="2">
        <v>46149</v>
      </c>
      <c r="G5329" s="3">
        <v>82</v>
      </c>
      <c r="H5329" t="s">
        <v>28</v>
      </c>
      <c r="I5329">
        <v>88</v>
      </c>
      <c r="J5329">
        <v>0</v>
      </c>
      <c r="K5329">
        <v>0</v>
      </c>
      <c r="L5329" s="3">
        <v>1</v>
      </c>
      <c r="M5329" s="3">
        <v>0</v>
      </c>
      <c r="N5329">
        <v>0</v>
      </c>
      <c r="O5329">
        <v>0</v>
      </c>
      <c r="P5329">
        <v>0</v>
      </c>
      <c r="Q5329">
        <v>38</v>
      </c>
      <c r="R5329" s="3">
        <v>0</v>
      </c>
      <c r="S5329" s="3">
        <v>0</v>
      </c>
      <c r="T5329">
        <v>0</v>
      </c>
      <c r="U5329">
        <v>0</v>
      </c>
      <c r="V5329" s="3">
        <v>0</v>
      </c>
      <c r="W5329" s="3">
        <v>0</v>
      </c>
      <c r="X5329">
        <v>0</v>
      </c>
      <c r="Y5329" t="s">
        <v>4007</v>
      </c>
    </row>
    <row r="5330" spans="1:25" hidden="1" x14ac:dyDescent="0.25">
      <c r="A5330" t="s">
        <v>33</v>
      </c>
      <c r="B5330" t="s">
        <v>106</v>
      </c>
      <c r="C5330" t="s">
        <v>57</v>
      </c>
      <c r="D5330" t="s">
        <v>27</v>
      </c>
      <c r="E5330" s="2">
        <v>46149</v>
      </c>
      <c r="F5330" s="2">
        <v>46149</v>
      </c>
      <c r="G5330" s="3">
        <v>69</v>
      </c>
      <c r="H5330" t="s">
        <v>28</v>
      </c>
      <c r="I5330">
        <v>36</v>
      </c>
      <c r="J5330">
        <v>0</v>
      </c>
      <c r="K5330">
        <v>0</v>
      </c>
      <c r="L5330" s="3">
        <v>0</v>
      </c>
      <c r="M5330" s="3">
        <v>0</v>
      </c>
      <c r="N5330">
        <v>0</v>
      </c>
      <c r="O5330">
        <v>0</v>
      </c>
      <c r="P5330">
        <v>0</v>
      </c>
      <c r="Q5330">
        <v>0</v>
      </c>
      <c r="R5330" s="3">
        <v>0</v>
      </c>
      <c r="S5330" s="3">
        <v>0</v>
      </c>
      <c r="T5330">
        <v>0</v>
      </c>
      <c r="U5330">
        <v>0</v>
      </c>
      <c r="V5330" s="3">
        <v>0</v>
      </c>
      <c r="W5330" s="3">
        <v>0</v>
      </c>
      <c r="X5330">
        <v>0</v>
      </c>
      <c r="Y5330" t="s">
        <v>4008</v>
      </c>
    </row>
    <row r="5331" spans="1:25" hidden="1" x14ac:dyDescent="0.25">
      <c r="A5331" t="s">
        <v>36</v>
      </c>
      <c r="B5331" t="s">
        <v>249</v>
      </c>
      <c r="C5331" t="s">
        <v>26</v>
      </c>
      <c r="D5331" t="s">
        <v>27</v>
      </c>
      <c r="E5331" s="2">
        <v>46149</v>
      </c>
      <c r="F5331" s="2">
        <v>46149</v>
      </c>
      <c r="G5331" s="3">
        <v>53</v>
      </c>
      <c r="H5331" t="s">
        <v>28</v>
      </c>
      <c r="I5331">
        <v>38</v>
      </c>
      <c r="J5331">
        <v>0</v>
      </c>
      <c r="K5331">
        <v>0</v>
      </c>
      <c r="L5331" s="3">
        <v>1</v>
      </c>
      <c r="M5331" s="3">
        <v>0</v>
      </c>
      <c r="N5331">
        <v>2</v>
      </c>
      <c r="O5331">
        <v>0</v>
      </c>
      <c r="P5331">
        <v>0</v>
      </c>
      <c r="Q5331">
        <v>0</v>
      </c>
      <c r="R5331" s="3">
        <v>0</v>
      </c>
      <c r="S5331" s="3">
        <v>0</v>
      </c>
      <c r="T5331">
        <v>0</v>
      </c>
      <c r="U5331">
        <v>0</v>
      </c>
      <c r="V5331" s="3">
        <v>0</v>
      </c>
      <c r="W5331" s="3">
        <v>0</v>
      </c>
      <c r="X5331">
        <v>0</v>
      </c>
      <c r="Y5331" t="s">
        <v>4009</v>
      </c>
    </row>
    <row r="5332" spans="1:25" hidden="1" x14ac:dyDescent="0.25">
      <c r="A5332" t="s">
        <v>38</v>
      </c>
      <c r="B5332" t="s">
        <v>108</v>
      </c>
      <c r="C5332" t="s">
        <v>27</v>
      </c>
      <c r="D5332" t="s">
        <v>27</v>
      </c>
      <c r="E5332" s="2">
        <v>46149</v>
      </c>
      <c r="F5332" s="2">
        <v>46149</v>
      </c>
      <c r="G5332" s="3">
        <v>32</v>
      </c>
      <c r="H5332" t="s">
        <v>28</v>
      </c>
      <c r="I5332">
        <v>22</v>
      </c>
      <c r="J5332">
        <v>0</v>
      </c>
      <c r="K5332">
        <v>0</v>
      </c>
      <c r="L5332" s="3">
        <v>1</v>
      </c>
      <c r="M5332" s="3">
        <v>0</v>
      </c>
      <c r="N5332">
        <v>0</v>
      </c>
      <c r="O5332">
        <v>0</v>
      </c>
      <c r="P5332">
        <v>0</v>
      </c>
      <c r="Q5332">
        <v>22</v>
      </c>
      <c r="R5332" s="3">
        <v>0</v>
      </c>
      <c r="S5332" s="3">
        <v>0</v>
      </c>
      <c r="T5332">
        <v>0</v>
      </c>
      <c r="U5332">
        <v>0</v>
      </c>
      <c r="V5332" s="3">
        <v>0</v>
      </c>
      <c r="W5332" s="3">
        <v>0</v>
      </c>
      <c r="X5332">
        <v>0</v>
      </c>
      <c r="Y5332" t="s">
        <v>4010</v>
      </c>
    </row>
    <row r="5333" spans="1:25" hidden="1" x14ac:dyDescent="0.25">
      <c r="A5333" t="s">
        <v>3929</v>
      </c>
      <c r="B5333" t="s">
        <v>2680</v>
      </c>
      <c r="C5333" t="s">
        <v>39</v>
      </c>
      <c r="D5333" t="s">
        <v>27</v>
      </c>
      <c r="E5333" s="2">
        <v>46149</v>
      </c>
      <c r="F5333" s="2">
        <v>46149</v>
      </c>
      <c r="G5333" s="3">
        <v>33</v>
      </c>
      <c r="H5333" t="s">
        <v>28</v>
      </c>
      <c r="I5333">
        <v>19</v>
      </c>
      <c r="J5333">
        <v>0</v>
      </c>
      <c r="K5333">
        <v>0</v>
      </c>
      <c r="L5333" s="3">
        <v>0</v>
      </c>
      <c r="M5333" s="3">
        <v>0</v>
      </c>
      <c r="N5333">
        <v>0</v>
      </c>
      <c r="O5333">
        <v>0</v>
      </c>
      <c r="P5333">
        <v>0</v>
      </c>
      <c r="Q5333">
        <v>19</v>
      </c>
      <c r="R5333" s="3">
        <v>0</v>
      </c>
      <c r="S5333" s="3">
        <v>0</v>
      </c>
      <c r="T5333">
        <v>0</v>
      </c>
      <c r="U5333">
        <v>0</v>
      </c>
      <c r="V5333" s="3">
        <v>0</v>
      </c>
      <c r="W5333" s="3">
        <v>0</v>
      </c>
      <c r="X5333">
        <v>0</v>
      </c>
      <c r="Y5333" t="s">
        <v>4011</v>
      </c>
    </row>
    <row r="5334" spans="1:25" hidden="1" x14ac:dyDescent="0.25">
      <c r="A5334" t="s">
        <v>40</v>
      </c>
      <c r="B5334" t="s">
        <v>110</v>
      </c>
      <c r="C5334" t="s">
        <v>2534</v>
      </c>
      <c r="D5334" t="s">
        <v>27</v>
      </c>
      <c r="E5334" s="2">
        <v>46149</v>
      </c>
      <c r="F5334" s="2">
        <v>46149</v>
      </c>
      <c r="G5334" s="3">
        <v>66</v>
      </c>
      <c r="H5334" t="s">
        <v>28</v>
      </c>
      <c r="I5334">
        <v>35</v>
      </c>
      <c r="J5334">
        <v>0</v>
      </c>
      <c r="K5334">
        <v>0</v>
      </c>
      <c r="L5334" s="3">
        <v>1</v>
      </c>
      <c r="M5334" s="3">
        <v>0</v>
      </c>
      <c r="N5334">
        <v>1</v>
      </c>
      <c r="O5334">
        <v>0</v>
      </c>
      <c r="P5334">
        <v>0</v>
      </c>
      <c r="Q5334">
        <v>0</v>
      </c>
      <c r="R5334" s="3">
        <v>0</v>
      </c>
      <c r="S5334" s="3">
        <v>0</v>
      </c>
      <c r="T5334">
        <v>0</v>
      </c>
      <c r="U5334">
        <v>0</v>
      </c>
      <c r="V5334" s="3">
        <v>0</v>
      </c>
      <c r="W5334" s="3">
        <v>0</v>
      </c>
      <c r="X5334">
        <v>0</v>
      </c>
      <c r="Y5334" t="s">
        <v>4012</v>
      </c>
    </row>
    <row r="5335" spans="1:25" hidden="1" x14ac:dyDescent="0.25">
      <c r="A5335" t="s">
        <v>41</v>
      </c>
      <c r="B5335" t="s">
        <v>112</v>
      </c>
      <c r="C5335" t="s">
        <v>42</v>
      </c>
      <c r="D5335" t="s">
        <v>27</v>
      </c>
      <c r="E5335" s="2">
        <v>46149</v>
      </c>
      <c r="F5335" s="2">
        <v>46149</v>
      </c>
      <c r="G5335" s="3">
        <v>58</v>
      </c>
      <c r="H5335" t="s">
        <v>28</v>
      </c>
      <c r="I5335">
        <v>42</v>
      </c>
      <c r="J5335">
        <v>0</v>
      </c>
      <c r="K5335">
        <v>0</v>
      </c>
      <c r="L5335" s="3">
        <v>1</v>
      </c>
      <c r="M5335" s="3">
        <v>0</v>
      </c>
      <c r="N5335">
        <v>0</v>
      </c>
      <c r="O5335">
        <v>0</v>
      </c>
      <c r="P5335">
        <v>0</v>
      </c>
      <c r="Q5335">
        <v>4</v>
      </c>
      <c r="R5335" s="3">
        <v>0</v>
      </c>
      <c r="S5335" s="3">
        <v>0</v>
      </c>
      <c r="T5335">
        <v>0</v>
      </c>
      <c r="U5335">
        <v>0</v>
      </c>
      <c r="V5335" s="3">
        <v>0</v>
      </c>
      <c r="W5335" s="3">
        <v>0</v>
      </c>
      <c r="X5335">
        <v>0</v>
      </c>
      <c r="Y5335" t="s">
        <v>4013</v>
      </c>
    </row>
    <row r="5336" spans="1:25" hidden="1" x14ac:dyDescent="0.25">
      <c r="A5336" t="s">
        <v>43</v>
      </c>
      <c r="B5336" t="s">
        <v>114</v>
      </c>
      <c r="C5336" t="s">
        <v>2514</v>
      </c>
      <c r="D5336" t="s">
        <v>27</v>
      </c>
      <c r="E5336" s="2">
        <v>46149</v>
      </c>
      <c r="F5336" s="2">
        <v>46149</v>
      </c>
      <c r="G5336" s="3">
        <v>35</v>
      </c>
      <c r="H5336" t="s">
        <v>28</v>
      </c>
      <c r="I5336">
        <v>53</v>
      </c>
      <c r="J5336">
        <v>0</v>
      </c>
      <c r="K5336">
        <v>0</v>
      </c>
      <c r="L5336" s="3">
        <v>1</v>
      </c>
      <c r="M5336" s="3">
        <v>0</v>
      </c>
      <c r="N5336">
        <v>0</v>
      </c>
      <c r="O5336">
        <v>0</v>
      </c>
      <c r="P5336">
        <v>0</v>
      </c>
      <c r="Q5336">
        <v>0</v>
      </c>
      <c r="R5336" s="3">
        <v>0</v>
      </c>
      <c r="S5336" s="3">
        <v>0</v>
      </c>
      <c r="T5336">
        <v>0</v>
      </c>
      <c r="U5336">
        <v>0</v>
      </c>
      <c r="V5336" s="3">
        <v>0</v>
      </c>
      <c r="W5336" s="3">
        <v>0</v>
      </c>
      <c r="X5336">
        <v>0</v>
      </c>
      <c r="Y5336" t="s">
        <v>4014</v>
      </c>
    </row>
    <row r="5337" spans="1:25" hidden="1" x14ac:dyDescent="0.25">
      <c r="A5337" t="s">
        <v>45</v>
      </c>
      <c r="B5337" t="s">
        <v>116</v>
      </c>
      <c r="C5337" t="s">
        <v>46</v>
      </c>
      <c r="D5337" t="s">
        <v>27</v>
      </c>
      <c r="E5337" s="2">
        <v>46149</v>
      </c>
      <c r="F5337" s="2">
        <v>46149</v>
      </c>
      <c r="G5337" s="3">
        <v>102</v>
      </c>
      <c r="H5337" t="s">
        <v>28</v>
      </c>
      <c r="I5337">
        <v>32</v>
      </c>
      <c r="J5337">
        <v>0</v>
      </c>
      <c r="K5337">
        <v>0</v>
      </c>
      <c r="L5337" s="3">
        <v>0</v>
      </c>
      <c r="M5337" s="3">
        <v>0</v>
      </c>
      <c r="N5337">
        <v>0</v>
      </c>
      <c r="O5337">
        <v>0</v>
      </c>
      <c r="P5337">
        <v>0</v>
      </c>
      <c r="Q5337">
        <v>6</v>
      </c>
      <c r="R5337" s="3">
        <v>0</v>
      </c>
      <c r="S5337" s="3">
        <v>0</v>
      </c>
      <c r="T5337">
        <v>0</v>
      </c>
      <c r="U5337">
        <v>0</v>
      </c>
      <c r="V5337" s="3">
        <v>0</v>
      </c>
      <c r="W5337" s="3">
        <v>0</v>
      </c>
      <c r="X5337">
        <v>0</v>
      </c>
      <c r="Y5337" t="s">
        <v>4015</v>
      </c>
    </row>
    <row r="5338" spans="1:25" hidden="1" x14ac:dyDescent="0.25">
      <c r="A5338" t="s">
        <v>49</v>
      </c>
      <c r="B5338" t="s">
        <v>118</v>
      </c>
      <c r="C5338" t="s">
        <v>50</v>
      </c>
      <c r="D5338" t="s">
        <v>27</v>
      </c>
      <c r="E5338" s="2">
        <v>46149</v>
      </c>
      <c r="F5338" s="2">
        <v>46149</v>
      </c>
      <c r="G5338" s="3">
        <v>35</v>
      </c>
      <c r="H5338" t="s">
        <v>28</v>
      </c>
      <c r="I5338">
        <v>38</v>
      </c>
      <c r="J5338">
        <v>0</v>
      </c>
      <c r="K5338">
        <v>0</v>
      </c>
      <c r="L5338" s="3">
        <v>1</v>
      </c>
      <c r="M5338" s="3">
        <v>1</v>
      </c>
      <c r="N5338">
        <v>0</v>
      </c>
      <c r="O5338">
        <v>1</v>
      </c>
      <c r="P5338">
        <v>0</v>
      </c>
      <c r="Q5338">
        <v>38</v>
      </c>
      <c r="R5338" s="3">
        <v>0</v>
      </c>
      <c r="S5338" s="3">
        <v>0</v>
      </c>
      <c r="T5338">
        <v>0</v>
      </c>
      <c r="U5338">
        <v>0</v>
      </c>
      <c r="V5338" s="3">
        <v>0</v>
      </c>
      <c r="W5338" s="3">
        <v>0</v>
      </c>
      <c r="X5338">
        <v>0</v>
      </c>
      <c r="Y5338" t="s">
        <v>4016</v>
      </c>
    </row>
    <row r="5339" spans="1:25" hidden="1" x14ac:dyDescent="0.25">
      <c r="A5339" t="s">
        <v>51</v>
      </c>
      <c r="B5339" t="s">
        <v>120</v>
      </c>
      <c r="C5339" t="s">
        <v>2310</v>
      </c>
      <c r="D5339" t="s">
        <v>27</v>
      </c>
      <c r="E5339" s="2">
        <v>46149</v>
      </c>
      <c r="F5339" s="2">
        <v>46149</v>
      </c>
      <c r="G5339" s="3">
        <v>120</v>
      </c>
      <c r="H5339" t="s">
        <v>28</v>
      </c>
      <c r="I5339">
        <v>45</v>
      </c>
      <c r="J5339">
        <v>0</v>
      </c>
      <c r="K5339">
        <v>0</v>
      </c>
      <c r="L5339" s="3">
        <v>1</v>
      </c>
      <c r="M5339" s="3">
        <v>0</v>
      </c>
      <c r="N5339">
        <v>0</v>
      </c>
      <c r="O5339">
        <v>0</v>
      </c>
      <c r="P5339">
        <v>0</v>
      </c>
      <c r="Q5339">
        <v>7</v>
      </c>
      <c r="R5339" s="3">
        <v>0</v>
      </c>
      <c r="S5339" s="3">
        <v>0</v>
      </c>
      <c r="T5339">
        <v>0</v>
      </c>
      <c r="U5339">
        <v>0</v>
      </c>
      <c r="V5339" s="3">
        <v>0</v>
      </c>
      <c r="W5339" s="3">
        <v>0</v>
      </c>
      <c r="X5339">
        <v>0</v>
      </c>
      <c r="Y5339" t="s">
        <v>4017</v>
      </c>
    </row>
    <row r="5340" spans="1:25" x14ac:dyDescent="0.25">
      <c r="A5340" t="s">
        <v>54</v>
      </c>
      <c r="B5340" t="s">
        <v>122</v>
      </c>
      <c r="C5340" t="s">
        <v>2271</v>
      </c>
      <c r="D5340" t="s">
        <v>27</v>
      </c>
      <c r="E5340" s="2">
        <v>46149</v>
      </c>
      <c r="F5340" s="2">
        <v>46149</v>
      </c>
      <c r="G5340" s="3">
        <v>35</v>
      </c>
      <c r="H5340" t="s">
        <v>28</v>
      </c>
      <c r="I5340">
        <v>30</v>
      </c>
      <c r="J5340">
        <v>0</v>
      </c>
      <c r="K5340">
        <v>0</v>
      </c>
      <c r="L5340" s="3">
        <v>0</v>
      </c>
      <c r="M5340" s="3">
        <v>0</v>
      </c>
      <c r="N5340">
        <v>0</v>
      </c>
      <c r="O5340">
        <v>0</v>
      </c>
      <c r="P5340">
        <v>0</v>
      </c>
      <c r="Q5340">
        <v>2</v>
      </c>
      <c r="R5340" s="3">
        <v>0</v>
      </c>
      <c r="S5340" s="3">
        <v>0</v>
      </c>
      <c r="T5340">
        <v>0</v>
      </c>
      <c r="U5340">
        <v>0</v>
      </c>
      <c r="V5340" s="3">
        <v>0</v>
      </c>
      <c r="W5340" s="3">
        <v>0</v>
      </c>
      <c r="X5340">
        <v>0</v>
      </c>
      <c r="Y5340" t="s">
        <v>4018</v>
      </c>
    </row>
    <row r="5341" spans="1:25" hidden="1" x14ac:dyDescent="0.25">
      <c r="A5341" t="s">
        <v>48</v>
      </c>
      <c r="B5341" t="s">
        <v>149</v>
      </c>
      <c r="C5341" t="s">
        <v>37</v>
      </c>
      <c r="D5341" t="s">
        <v>27</v>
      </c>
      <c r="E5341" s="2">
        <v>46149</v>
      </c>
      <c r="F5341" s="2">
        <v>46149</v>
      </c>
      <c r="G5341" s="3">
        <v>44</v>
      </c>
      <c r="H5341" t="s">
        <v>28</v>
      </c>
      <c r="I5341">
        <v>27</v>
      </c>
      <c r="J5341">
        <v>0</v>
      </c>
      <c r="K5341">
        <v>0</v>
      </c>
      <c r="L5341" s="3">
        <v>0</v>
      </c>
      <c r="M5341" s="3">
        <v>0</v>
      </c>
      <c r="N5341">
        <v>0</v>
      </c>
      <c r="O5341">
        <v>0</v>
      </c>
      <c r="P5341">
        <v>0</v>
      </c>
      <c r="Q5341">
        <v>10</v>
      </c>
      <c r="R5341" s="3">
        <v>0</v>
      </c>
      <c r="S5341" s="3">
        <v>0</v>
      </c>
      <c r="T5341">
        <v>0</v>
      </c>
      <c r="U5341">
        <v>0</v>
      </c>
      <c r="V5341" s="3">
        <v>0</v>
      </c>
      <c r="W5341" s="3">
        <v>0</v>
      </c>
      <c r="X5341">
        <v>0</v>
      </c>
      <c r="Y5341" t="s">
        <v>4019</v>
      </c>
    </row>
    <row r="5342" spans="1:25" hidden="1" x14ac:dyDescent="0.25">
      <c r="A5342" t="s">
        <v>27</v>
      </c>
      <c r="B5342" t="s">
        <v>739</v>
      </c>
      <c r="C5342" t="s">
        <v>44</v>
      </c>
      <c r="D5342" t="s">
        <v>27</v>
      </c>
      <c r="E5342" s="2">
        <v>46149</v>
      </c>
      <c r="F5342" s="2">
        <v>46149</v>
      </c>
      <c r="G5342" s="3">
        <v>45</v>
      </c>
      <c r="H5342" t="s">
        <v>3952</v>
      </c>
      <c r="I5342">
        <v>53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</row>
    <row r="5343" spans="1:25" hidden="1" x14ac:dyDescent="0.25">
      <c r="A5343" t="s">
        <v>25</v>
      </c>
      <c r="B5343" t="s">
        <v>755</v>
      </c>
      <c r="C5343" t="s">
        <v>27</v>
      </c>
      <c r="D5343" t="s">
        <v>27</v>
      </c>
      <c r="E5343" s="2">
        <v>46149</v>
      </c>
      <c r="F5343" s="2">
        <v>46149</v>
      </c>
      <c r="G5343" s="3">
        <v>46</v>
      </c>
      <c r="H5343" t="s">
        <v>4020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</row>
    <row r="5344" spans="1:25" hidden="1" x14ac:dyDescent="0.25">
      <c r="A5344" t="s">
        <v>47</v>
      </c>
      <c r="B5344" t="s">
        <v>755</v>
      </c>
      <c r="C5344" t="s">
        <v>27</v>
      </c>
      <c r="D5344" t="s">
        <v>27</v>
      </c>
      <c r="E5344" s="2">
        <v>46149</v>
      </c>
      <c r="F5344" s="2">
        <v>46149</v>
      </c>
      <c r="G5344" s="3">
        <v>55</v>
      </c>
      <c r="H5344" t="s">
        <v>1256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t="s">
        <v>3856</v>
      </c>
    </row>
    <row r="5345" spans="1:25" hidden="1" x14ac:dyDescent="0.25">
      <c r="A5345" t="s">
        <v>438</v>
      </c>
      <c r="B5345" t="s">
        <v>798</v>
      </c>
      <c r="C5345" t="s">
        <v>27</v>
      </c>
      <c r="D5345" t="s">
        <v>27</v>
      </c>
      <c r="E5345" s="2">
        <v>46149</v>
      </c>
      <c r="F5345" s="2">
        <v>46149</v>
      </c>
      <c r="G5345" s="3">
        <v>57</v>
      </c>
      <c r="H5345" t="s">
        <v>1256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 t="s">
        <v>3856</v>
      </c>
    </row>
    <row r="5346" spans="1:25" hidden="1" x14ac:dyDescent="0.25">
      <c r="A5346" t="s">
        <v>27</v>
      </c>
      <c r="B5346" t="s">
        <v>3525</v>
      </c>
      <c r="C5346" t="s">
        <v>52</v>
      </c>
      <c r="D5346" t="s">
        <v>27</v>
      </c>
      <c r="E5346" s="2">
        <v>46149</v>
      </c>
      <c r="F5346" s="2">
        <v>46149</v>
      </c>
      <c r="G5346" s="3">
        <v>60</v>
      </c>
      <c r="H5346" t="s">
        <v>180</v>
      </c>
      <c r="I5346">
        <v>0</v>
      </c>
      <c r="J5346">
        <v>0</v>
      </c>
      <c r="K5346">
        <v>0</v>
      </c>
      <c r="L5346" s="3">
        <v>0</v>
      </c>
      <c r="M5346" s="3">
        <v>0</v>
      </c>
      <c r="N5346">
        <v>0</v>
      </c>
      <c r="O5346">
        <v>0</v>
      </c>
      <c r="P5346">
        <v>0</v>
      </c>
      <c r="Q5346">
        <v>0</v>
      </c>
      <c r="R5346" s="3">
        <v>0</v>
      </c>
      <c r="S5346" s="3">
        <v>0</v>
      </c>
      <c r="T5346">
        <v>0</v>
      </c>
      <c r="U5346">
        <v>0</v>
      </c>
      <c r="V5346" s="3">
        <v>0</v>
      </c>
      <c r="W5346" s="3">
        <v>0</v>
      </c>
      <c r="X5346" s="3">
        <v>0</v>
      </c>
      <c r="Y5346" t="s">
        <v>3856</v>
      </c>
    </row>
    <row r="5347" spans="1:25" hidden="1" x14ac:dyDescent="0.25">
      <c r="A5347" t="s">
        <v>3960</v>
      </c>
      <c r="B5347" t="s">
        <v>2072</v>
      </c>
      <c r="C5347" t="s">
        <v>27</v>
      </c>
      <c r="D5347" t="s">
        <v>27</v>
      </c>
      <c r="E5347" s="2">
        <v>46149</v>
      </c>
      <c r="F5347" s="2">
        <v>46149</v>
      </c>
      <c r="G5347" s="3">
        <v>37</v>
      </c>
      <c r="H5347" t="s">
        <v>28</v>
      </c>
      <c r="I5347">
        <v>25</v>
      </c>
      <c r="J5347">
        <v>0</v>
      </c>
      <c r="K5347">
        <v>0</v>
      </c>
      <c r="L5347" s="3">
        <v>1</v>
      </c>
      <c r="M5347" s="3">
        <v>0</v>
      </c>
      <c r="N5347">
        <v>1</v>
      </c>
      <c r="O5347">
        <v>0</v>
      </c>
      <c r="P5347">
        <v>0</v>
      </c>
      <c r="Q5347">
        <v>0</v>
      </c>
      <c r="R5347" s="3">
        <v>0</v>
      </c>
      <c r="S5347" s="3">
        <v>0</v>
      </c>
      <c r="T5347">
        <v>0</v>
      </c>
      <c r="U5347">
        <v>0</v>
      </c>
      <c r="V5347" s="3">
        <v>0</v>
      </c>
      <c r="W5347" s="3">
        <v>0</v>
      </c>
      <c r="X5347">
        <v>0</v>
      </c>
      <c r="Y5347" t="s">
        <v>4005</v>
      </c>
    </row>
    <row r="5348" spans="1:25" hidden="1" x14ac:dyDescent="0.25">
      <c r="A5348" t="s">
        <v>55</v>
      </c>
      <c r="B5348" t="s">
        <v>2072</v>
      </c>
      <c r="C5348" t="s">
        <v>27</v>
      </c>
      <c r="D5348" t="s">
        <v>27</v>
      </c>
      <c r="E5348" s="2">
        <v>46150</v>
      </c>
      <c r="F5348" s="2">
        <v>46150</v>
      </c>
      <c r="G5348" s="3">
        <v>29</v>
      </c>
      <c r="H5348" t="s">
        <v>28</v>
      </c>
      <c r="I5348">
        <v>45</v>
      </c>
      <c r="J5348">
        <v>0</v>
      </c>
      <c r="K5348">
        <v>0</v>
      </c>
      <c r="L5348" s="3">
        <v>1</v>
      </c>
      <c r="M5348" s="3">
        <v>0</v>
      </c>
      <c r="N5348">
        <v>1</v>
      </c>
      <c r="O5348">
        <v>0</v>
      </c>
      <c r="P5348">
        <v>0</v>
      </c>
      <c r="Q5348">
        <v>0</v>
      </c>
      <c r="R5348" s="3">
        <v>0</v>
      </c>
      <c r="S5348" s="3">
        <v>0</v>
      </c>
      <c r="T5348">
        <v>0</v>
      </c>
      <c r="U5348">
        <v>0</v>
      </c>
      <c r="V5348" s="3">
        <v>0</v>
      </c>
      <c r="W5348" s="3">
        <v>0</v>
      </c>
      <c r="X5348">
        <v>0</v>
      </c>
      <c r="Y5348" t="s">
        <v>4021</v>
      </c>
    </row>
    <row r="5349" spans="1:25" hidden="1" x14ac:dyDescent="0.25">
      <c r="A5349" t="s">
        <v>25</v>
      </c>
      <c r="B5349" t="s">
        <v>96</v>
      </c>
      <c r="C5349" t="s">
        <v>26</v>
      </c>
      <c r="D5349" t="s">
        <v>27</v>
      </c>
      <c r="E5349" s="2">
        <v>46150</v>
      </c>
      <c r="F5349" s="2">
        <v>46150</v>
      </c>
      <c r="G5349" s="3">
        <v>51</v>
      </c>
      <c r="H5349" t="s">
        <v>28</v>
      </c>
      <c r="I5349">
        <v>86</v>
      </c>
      <c r="J5349">
        <v>0</v>
      </c>
      <c r="K5349">
        <v>0</v>
      </c>
      <c r="L5349" s="3">
        <v>1</v>
      </c>
      <c r="M5349" s="3">
        <v>1</v>
      </c>
      <c r="N5349">
        <v>1</v>
      </c>
      <c r="O5349">
        <v>0</v>
      </c>
      <c r="P5349">
        <v>0</v>
      </c>
      <c r="Q5349">
        <v>0</v>
      </c>
      <c r="R5349" s="3">
        <v>0</v>
      </c>
      <c r="S5349" s="3">
        <v>0</v>
      </c>
      <c r="T5349">
        <v>0</v>
      </c>
      <c r="U5349">
        <v>0</v>
      </c>
      <c r="V5349" s="3">
        <v>0</v>
      </c>
      <c r="W5349" s="3">
        <v>0</v>
      </c>
      <c r="X5349">
        <v>0</v>
      </c>
      <c r="Y5349" t="s">
        <v>3990</v>
      </c>
    </row>
    <row r="5350" spans="1:25" hidden="1" x14ac:dyDescent="0.25">
      <c r="A5350" t="s">
        <v>29</v>
      </c>
      <c r="B5350" t="s">
        <v>100</v>
      </c>
      <c r="C5350" t="s">
        <v>95</v>
      </c>
      <c r="D5350" t="s">
        <v>27</v>
      </c>
      <c r="E5350" s="2">
        <v>46150</v>
      </c>
      <c r="F5350" s="2">
        <v>46150</v>
      </c>
      <c r="G5350" s="3">
        <v>131</v>
      </c>
      <c r="H5350" t="s">
        <v>28</v>
      </c>
      <c r="I5350">
        <v>29</v>
      </c>
      <c r="J5350">
        <v>0</v>
      </c>
      <c r="K5350">
        <v>0</v>
      </c>
      <c r="L5350" s="3">
        <v>1</v>
      </c>
      <c r="M5350" s="3">
        <v>0</v>
      </c>
      <c r="N5350">
        <v>0</v>
      </c>
      <c r="O5350">
        <v>0</v>
      </c>
      <c r="P5350">
        <v>12</v>
      </c>
      <c r="Q5350">
        <v>12</v>
      </c>
      <c r="R5350" s="3">
        <v>0</v>
      </c>
      <c r="S5350" s="3">
        <v>0</v>
      </c>
      <c r="T5350">
        <v>0</v>
      </c>
      <c r="U5350">
        <v>0</v>
      </c>
      <c r="V5350" s="3">
        <v>0</v>
      </c>
      <c r="W5350" s="3">
        <v>0</v>
      </c>
      <c r="X5350">
        <v>3</v>
      </c>
      <c r="Y5350" t="s">
        <v>4022</v>
      </c>
    </row>
    <row r="5351" spans="1:25" hidden="1" x14ac:dyDescent="0.25">
      <c r="A5351" t="s">
        <v>344</v>
      </c>
      <c r="B5351" t="s">
        <v>100</v>
      </c>
      <c r="C5351" t="s">
        <v>3909</v>
      </c>
      <c r="D5351" t="s">
        <v>27</v>
      </c>
      <c r="E5351" s="2">
        <v>46150</v>
      </c>
      <c r="F5351" s="2">
        <v>46150</v>
      </c>
      <c r="G5351" s="3">
        <v>48</v>
      </c>
      <c r="H5351" t="s">
        <v>28</v>
      </c>
      <c r="I5351">
        <v>60</v>
      </c>
      <c r="J5351">
        <v>0</v>
      </c>
      <c r="K5351">
        <v>0</v>
      </c>
      <c r="L5351" s="3">
        <v>1</v>
      </c>
      <c r="M5351" s="3">
        <v>0</v>
      </c>
      <c r="N5351">
        <v>0</v>
      </c>
      <c r="O5351">
        <v>0</v>
      </c>
      <c r="P5351">
        <v>3</v>
      </c>
      <c r="Q5351">
        <v>2</v>
      </c>
      <c r="R5351" s="3">
        <v>0</v>
      </c>
      <c r="S5351" s="3">
        <v>0</v>
      </c>
      <c r="T5351">
        <v>0</v>
      </c>
      <c r="U5351">
        <v>0</v>
      </c>
      <c r="V5351" s="3">
        <v>0</v>
      </c>
      <c r="W5351" s="3">
        <v>0</v>
      </c>
      <c r="X5351">
        <v>2</v>
      </c>
      <c r="Y5351" t="s">
        <v>3908</v>
      </c>
    </row>
    <row r="5352" spans="1:25" hidden="1" x14ac:dyDescent="0.25">
      <c r="A5352" t="s">
        <v>31</v>
      </c>
      <c r="B5352" t="s">
        <v>104</v>
      </c>
      <c r="C5352" t="s">
        <v>32</v>
      </c>
      <c r="D5352" t="s">
        <v>27</v>
      </c>
      <c r="E5352" s="2">
        <v>46150</v>
      </c>
      <c r="F5352" s="2">
        <v>46150</v>
      </c>
      <c r="G5352" s="3">
        <v>42</v>
      </c>
      <c r="H5352" t="s">
        <v>28</v>
      </c>
      <c r="I5352">
        <v>81</v>
      </c>
      <c r="J5352">
        <v>0</v>
      </c>
      <c r="K5352">
        <v>0</v>
      </c>
      <c r="L5352" s="3">
        <v>1</v>
      </c>
      <c r="M5352" s="3">
        <v>0</v>
      </c>
      <c r="N5352">
        <v>0</v>
      </c>
      <c r="O5352">
        <v>0</v>
      </c>
      <c r="P5352">
        <v>0</v>
      </c>
      <c r="Q5352">
        <v>43</v>
      </c>
      <c r="R5352" s="3">
        <v>0</v>
      </c>
      <c r="S5352" s="3">
        <v>0</v>
      </c>
      <c r="T5352">
        <v>0</v>
      </c>
      <c r="U5352">
        <v>0</v>
      </c>
      <c r="V5352" s="3">
        <v>0</v>
      </c>
      <c r="W5352" s="3">
        <v>0</v>
      </c>
      <c r="X5352">
        <v>0</v>
      </c>
      <c r="Y5352" t="s">
        <v>4023</v>
      </c>
    </row>
    <row r="5353" spans="1:25" hidden="1" x14ac:dyDescent="0.25">
      <c r="A5353" t="s">
        <v>33</v>
      </c>
      <c r="B5353" t="s">
        <v>106</v>
      </c>
      <c r="C5353" t="s">
        <v>57</v>
      </c>
      <c r="D5353" t="s">
        <v>27</v>
      </c>
      <c r="E5353" s="2">
        <v>46150</v>
      </c>
      <c r="F5353" s="2">
        <v>46150</v>
      </c>
      <c r="G5353" s="3">
        <v>24</v>
      </c>
      <c r="H5353" t="s">
        <v>28</v>
      </c>
      <c r="I5353">
        <v>40</v>
      </c>
      <c r="J5353">
        <v>0</v>
      </c>
      <c r="K5353">
        <v>0</v>
      </c>
      <c r="L5353" s="3">
        <v>0</v>
      </c>
      <c r="M5353" s="3">
        <v>0</v>
      </c>
      <c r="N5353">
        <v>0</v>
      </c>
      <c r="O5353">
        <v>0</v>
      </c>
      <c r="P5353">
        <v>0</v>
      </c>
      <c r="Q5353">
        <v>21</v>
      </c>
      <c r="R5353" s="3">
        <v>0</v>
      </c>
      <c r="S5353" s="3">
        <v>0</v>
      </c>
      <c r="T5353">
        <v>0</v>
      </c>
      <c r="U5353">
        <v>0</v>
      </c>
      <c r="V5353" s="3">
        <v>0</v>
      </c>
      <c r="W5353" s="3">
        <v>0</v>
      </c>
      <c r="X5353">
        <v>0</v>
      </c>
      <c r="Y5353" t="s">
        <v>4024</v>
      </c>
    </row>
    <row r="5354" spans="1:25" hidden="1" x14ac:dyDescent="0.25">
      <c r="A5354" t="s">
        <v>36</v>
      </c>
      <c r="B5354" t="s">
        <v>249</v>
      </c>
      <c r="C5354" t="s">
        <v>2514</v>
      </c>
      <c r="D5354" t="s">
        <v>27</v>
      </c>
      <c r="E5354" s="2">
        <v>46150</v>
      </c>
      <c r="F5354" s="2">
        <v>46150</v>
      </c>
      <c r="G5354" s="3">
        <v>51</v>
      </c>
      <c r="H5354" t="s">
        <v>28</v>
      </c>
      <c r="I5354">
        <v>57</v>
      </c>
      <c r="J5354">
        <v>0</v>
      </c>
      <c r="K5354">
        <v>0</v>
      </c>
      <c r="L5354" s="3">
        <v>1</v>
      </c>
      <c r="M5354" s="3">
        <v>0</v>
      </c>
      <c r="N5354">
        <v>0</v>
      </c>
      <c r="O5354">
        <v>0</v>
      </c>
      <c r="P5354">
        <v>0</v>
      </c>
      <c r="Q5354">
        <v>25</v>
      </c>
      <c r="R5354" s="3">
        <v>0</v>
      </c>
      <c r="S5354" s="3">
        <v>0</v>
      </c>
      <c r="T5354">
        <v>0</v>
      </c>
      <c r="U5354">
        <v>0</v>
      </c>
      <c r="V5354" s="3">
        <v>0</v>
      </c>
      <c r="W5354" s="3">
        <v>0</v>
      </c>
      <c r="X5354">
        <v>0</v>
      </c>
      <c r="Y5354" t="s">
        <v>4025</v>
      </c>
    </row>
    <row r="5355" spans="1:25" hidden="1" x14ac:dyDescent="0.25">
      <c r="A5355" t="s">
        <v>38</v>
      </c>
      <c r="B5355" t="s">
        <v>108</v>
      </c>
      <c r="C5355" t="s">
        <v>27</v>
      </c>
      <c r="D5355" t="s">
        <v>27</v>
      </c>
      <c r="E5355" s="2">
        <v>46150</v>
      </c>
      <c r="F5355" s="2">
        <v>46150</v>
      </c>
      <c r="G5355" s="3">
        <v>32</v>
      </c>
      <c r="H5355" t="s">
        <v>28</v>
      </c>
      <c r="I5355">
        <v>45</v>
      </c>
      <c r="J5355">
        <v>0</v>
      </c>
      <c r="K5355">
        <v>0</v>
      </c>
      <c r="L5355" s="3">
        <v>1</v>
      </c>
      <c r="M5355" s="3">
        <v>0</v>
      </c>
      <c r="N5355">
        <v>0</v>
      </c>
      <c r="O5355">
        <v>0</v>
      </c>
      <c r="P5355">
        <v>0</v>
      </c>
      <c r="Q5355">
        <v>45</v>
      </c>
      <c r="R5355" s="3">
        <v>0</v>
      </c>
      <c r="S5355" s="3">
        <v>0</v>
      </c>
      <c r="T5355">
        <v>0</v>
      </c>
      <c r="U5355">
        <v>0</v>
      </c>
      <c r="V5355" s="3">
        <v>0</v>
      </c>
      <c r="W5355" s="3">
        <v>0</v>
      </c>
      <c r="X5355">
        <v>0</v>
      </c>
      <c r="Y5355" t="s">
        <v>4026</v>
      </c>
    </row>
    <row r="5356" spans="1:25" hidden="1" x14ac:dyDescent="0.25">
      <c r="A5356" t="s">
        <v>3929</v>
      </c>
      <c r="B5356" t="s">
        <v>2680</v>
      </c>
      <c r="C5356" t="s">
        <v>39</v>
      </c>
      <c r="D5356" t="s">
        <v>27</v>
      </c>
      <c r="E5356" s="2">
        <v>46150</v>
      </c>
      <c r="F5356" s="2">
        <v>46150</v>
      </c>
      <c r="G5356" s="3">
        <v>34</v>
      </c>
      <c r="H5356" t="s">
        <v>28</v>
      </c>
      <c r="I5356">
        <v>37</v>
      </c>
      <c r="J5356">
        <v>0</v>
      </c>
      <c r="K5356">
        <v>0</v>
      </c>
      <c r="L5356" s="3">
        <v>0</v>
      </c>
      <c r="M5356" s="3">
        <v>0</v>
      </c>
      <c r="N5356">
        <v>0</v>
      </c>
      <c r="O5356">
        <v>0</v>
      </c>
      <c r="P5356">
        <v>0</v>
      </c>
      <c r="Q5356">
        <v>37</v>
      </c>
      <c r="R5356" s="3">
        <v>0</v>
      </c>
      <c r="S5356" s="3">
        <v>0</v>
      </c>
      <c r="T5356">
        <v>0</v>
      </c>
      <c r="U5356">
        <v>0</v>
      </c>
      <c r="V5356" s="3">
        <v>0</v>
      </c>
      <c r="W5356" s="3">
        <v>0</v>
      </c>
      <c r="X5356">
        <v>0</v>
      </c>
      <c r="Y5356" t="s">
        <v>4027</v>
      </c>
    </row>
    <row r="5357" spans="1:25" hidden="1" x14ac:dyDescent="0.25">
      <c r="A5357" t="s">
        <v>40</v>
      </c>
      <c r="B5357" t="s">
        <v>110</v>
      </c>
      <c r="C5357" t="s">
        <v>2534</v>
      </c>
      <c r="D5357" t="s">
        <v>27</v>
      </c>
      <c r="E5357" s="2">
        <v>46150</v>
      </c>
      <c r="F5357" s="2">
        <v>46150</v>
      </c>
      <c r="G5357" s="3">
        <v>62</v>
      </c>
      <c r="H5357" t="s">
        <v>28</v>
      </c>
      <c r="I5357">
        <v>36</v>
      </c>
      <c r="J5357">
        <v>0</v>
      </c>
      <c r="K5357">
        <v>0</v>
      </c>
      <c r="L5357" s="3">
        <v>1</v>
      </c>
      <c r="M5357" s="3">
        <v>0</v>
      </c>
      <c r="N5357">
        <v>1</v>
      </c>
      <c r="O5357">
        <v>0</v>
      </c>
      <c r="P5357">
        <v>0</v>
      </c>
      <c r="Q5357">
        <v>21</v>
      </c>
      <c r="R5357" s="3">
        <v>0</v>
      </c>
      <c r="S5357" s="3">
        <v>0</v>
      </c>
      <c r="T5357">
        <v>0</v>
      </c>
      <c r="U5357">
        <v>0</v>
      </c>
      <c r="V5357" s="3">
        <v>0</v>
      </c>
      <c r="W5357" s="3">
        <v>0</v>
      </c>
      <c r="X5357">
        <v>0</v>
      </c>
      <c r="Y5357" t="s">
        <v>4028</v>
      </c>
    </row>
    <row r="5358" spans="1:25" hidden="1" x14ac:dyDescent="0.25">
      <c r="A5358" t="s">
        <v>41</v>
      </c>
      <c r="B5358" t="s">
        <v>112</v>
      </c>
      <c r="C5358" t="s">
        <v>42</v>
      </c>
      <c r="D5358" t="s">
        <v>27</v>
      </c>
      <c r="E5358" s="2">
        <v>46150</v>
      </c>
      <c r="F5358" s="2">
        <v>46150</v>
      </c>
      <c r="G5358" s="3">
        <v>41</v>
      </c>
      <c r="H5358" t="s">
        <v>28</v>
      </c>
      <c r="I5358">
        <v>40</v>
      </c>
      <c r="J5358">
        <v>0</v>
      </c>
      <c r="K5358">
        <v>0</v>
      </c>
      <c r="L5358" s="3">
        <v>1</v>
      </c>
      <c r="M5358" s="3">
        <v>0</v>
      </c>
      <c r="N5358">
        <v>0</v>
      </c>
      <c r="O5358">
        <v>0</v>
      </c>
      <c r="P5358">
        <v>0</v>
      </c>
      <c r="Q5358">
        <v>1</v>
      </c>
      <c r="R5358" s="3">
        <v>0</v>
      </c>
      <c r="S5358" s="3">
        <v>0</v>
      </c>
      <c r="T5358">
        <v>0</v>
      </c>
      <c r="U5358">
        <v>0</v>
      </c>
      <c r="V5358" s="3">
        <v>0</v>
      </c>
      <c r="W5358" s="3">
        <v>0</v>
      </c>
      <c r="X5358">
        <v>0</v>
      </c>
      <c r="Y5358" t="s">
        <v>4029</v>
      </c>
    </row>
    <row r="5359" spans="1:25" hidden="1" x14ac:dyDescent="0.25">
      <c r="A5359" t="s">
        <v>43</v>
      </c>
      <c r="B5359" t="s">
        <v>114</v>
      </c>
      <c r="C5359" t="s">
        <v>2778</v>
      </c>
      <c r="D5359" t="s">
        <v>27</v>
      </c>
      <c r="E5359" s="2">
        <v>46150</v>
      </c>
      <c r="F5359" s="2">
        <v>46150</v>
      </c>
      <c r="G5359" s="3">
        <v>34</v>
      </c>
      <c r="H5359" t="s">
        <v>28</v>
      </c>
      <c r="I5359">
        <v>42</v>
      </c>
      <c r="J5359">
        <v>0</v>
      </c>
      <c r="K5359">
        <v>0</v>
      </c>
      <c r="L5359" s="3">
        <v>1</v>
      </c>
      <c r="M5359" s="3">
        <v>0</v>
      </c>
      <c r="N5359">
        <v>0</v>
      </c>
      <c r="O5359">
        <v>0</v>
      </c>
      <c r="P5359">
        <v>0</v>
      </c>
      <c r="Q5359">
        <v>0</v>
      </c>
      <c r="R5359" s="3">
        <v>0</v>
      </c>
      <c r="S5359" s="3">
        <v>0</v>
      </c>
      <c r="T5359">
        <v>0</v>
      </c>
      <c r="U5359">
        <v>0</v>
      </c>
      <c r="V5359" s="3">
        <v>0</v>
      </c>
      <c r="W5359" s="3">
        <v>0</v>
      </c>
      <c r="X5359">
        <v>0</v>
      </c>
      <c r="Y5359" t="s">
        <v>4030</v>
      </c>
    </row>
    <row r="5360" spans="1:25" hidden="1" x14ac:dyDescent="0.25">
      <c r="A5360" t="s">
        <v>45</v>
      </c>
      <c r="B5360" t="s">
        <v>116</v>
      </c>
      <c r="C5360" t="s">
        <v>46</v>
      </c>
      <c r="D5360" t="s">
        <v>27</v>
      </c>
      <c r="E5360" s="2">
        <v>46150</v>
      </c>
      <c r="F5360" s="2">
        <v>46150</v>
      </c>
      <c r="G5360" s="3">
        <v>65</v>
      </c>
      <c r="H5360" t="s">
        <v>28</v>
      </c>
      <c r="I5360">
        <v>67</v>
      </c>
      <c r="J5360">
        <v>2</v>
      </c>
      <c r="K5360">
        <v>0</v>
      </c>
      <c r="L5360" s="3">
        <v>1</v>
      </c>
      <c r="M5360" s="3">
        <v>0</v>
      </c>
      <c r="N5360">
        <v>0</v>
      </c>
      <c r="O5360">
        <v>0</v>
      </c>
      <c r="P5360">
        <v>0</v>
      </c>
      <c r="Q5360">
        <v>10</v>
      </c>
      <c r="R5360" s="3">
        <v>0</v>
      </c>
      <c r="S5360" s="3">
        <v>0</v>
      </c>
      <c r="T5360">
        <v>0</v>
      </c>
      <c r="U5360">
        <v>0</v>
      </c>
      <c r="V5360" s="3">
        <v>0</v>
      </c>
      <c r="W5360" s="3">
        <v>0</v>
      </c>
      <c r="X5360">
        <v>0</v>
      </c>
      <c r="Y5360" t="s">
        <v>4031</v>
      </c>
    </row>
    <row r="5361" spans="1:25" hidden="1" x14ac:dyDescent="0.25">
      <c r="A5361" t="s">
        <v>49</v>
      </c>
      <c r="B5361" t="s">
        <v>118</v>
      </c>
      <c r="C5361" t="s">
        <v>50</v>
      </c>
      <c r="D5361" t="s">
        <v>27</v>
      </c>
      <c r="E5361" s="2">
        <v>46150</v>
      </c>
      <c r="F5361" s="2">
        <v>46150</v>
      </c>
      <c r="G5361" s="3">
        <v>44</v>
      </c>
      <c r="H5361" t="s">
        <v>28</v>
      </c>
      <c r="I5361">
        <v>28</v>
      </c>
      <c r="J5361">
        <v>0</v>
      </c>
      <c r="K5361">
        <v>0</v>
      </c>
      <c r="L5361" s="3">
        <v>1</v>
      </c>
      <c r="M5361" s="3">
        <v>1</v>
      </c>
      <c r="N5361">
        <v>0</v>
      </c>
      <c r="O5361">
        <v>0</v>
      </c>
      <c r="P5361">
        <v>0</v>
      </c>
      <c r="Q5361">
        <v>28</v>
      </c>
      <c r="R5361" s="3">
        <v>0</v>
      </c>
      <c r="S5361" s="3">
        <v>0</v>
      </c>
      <c r="T5361">
        <v>0</v>
      </c>
      <c r="U5361">
        <v>0</v>
      </c>
      <c r="V5361" s="3">
        <v>0</v>
      </c>
      <c r="W5361" s="3">
        <v>0</v>
      </c>
      <c r="X5361">
        <v>0</v>
      </c>
      <c r="Y5361" t="s">
        <v>4032</v>
      </c>
    </row>
    <row r="5362" spans="1:25" hidden="1" x14ac:dyDescent="0.25">
      <c r="A5362" t="s">
        <v>51</v>
      </c>
      <c r="B5362" t="s">
        <v>120</v>
      </c>
      <c r="C5362" t="s">
        <v>2310</v>
      </c>
      <c r="D5362" t="s">
        <v>27</v>
      </c>
      <c r="E5362" s="2">
        <v>46150</v>
      </c>
      <c r="F5362" s="2">
        <v>46150</v>
      </c>
      <c r="G5362" s="3">
        <v>258</v>
      </c>
      <c r="H5362" t="s">
        <v>28</v>
      </c>
      <c r="I5362">
        <v>58</v>
      </c>
      <c r="J5362">
        <v>0</v>
      </c>
      <c r="K5362">
        <v>0</v>
      </c>
      <c r="L5362" s="3">
        <v>1</v>
      </c>
      <c r="M5362" s="3">
        <v>0</v>
      </c>
      <c r="N5362">
        <v>0</v>
      </c>
      <c r="O5362">
        <v>0</v>
      </c>
      <c r="P5362">
        <v>0</v>
      </c>
      <c r="Q5362">
        <v>6</v>
      </c>
      <c r="R5362" s="3">
        <v>0</v>
      </c>
      <c r="S5362" s="3">
        <v>0</v>
      </c>
      <c r="T5362">
        <v>0</v>
      </c>
      <c r="U5362">
        <v>0</v>
      </c>
      <c r="V5362" s="3">
        <v>0</v>
      </c>
      <c r="W5362" s="3">
        <v>0</v>
      </c>
      <c r="X5362">
        <v>0</v>
      </c>
      <c r="Y5362" t="s">
        <v>4033</v>
      </c>
    </row>
    <row r="5363" spans="1:25" x14ac:dyDescent="0.25">
      <c r="A5363" t="s">
        <v>54</v>
      </c>
      <c r="B5363" t="s">
        <v>122</v>
      </c>
      <c r="C5363" t="s">
        <v>2271</v>
      </c>
      <c r="D5363" t="s">
        <v>27</v>
      </c>
      <c r="E5363" s="2">
        <v>46150</v>
      </c>
      <c r="F5363" s="2">
        <v>46150</v>
      </c>
      <c r="G5363" s="3">
        <v>38</v>
      </c>
      <c r="H5363" t="s">
        <v>28</v>
      </c>
      <c r="I5363">
        <v>58</v>
      </c>
      <c r="J5363">
        <v>0</v>
      </c>
      <c r="K5363">
        <v>0</v>
      </c>
      <c r="L5363" s="3">
        <v>0</v>
      </c>
      <c r="M5363" s="3">
        <v>0</v>
      </c>
      <c r="N5363">
        <v>0</v>
      </c>
      <c r="O5363">
        <v>0</v>
      </c>
      <c r="P5363">
        <v>0</v>
      </c>
      <c r="Q5363">
        <v>2</v>
      </c>
      <c r="R5363" s="3">
        <v>0</v>
      </c>
      <c r="S5363" s="3">
        <v>0</v>
      </c>
      <c r="T5363">
        <v>0</v>
      </c>
      <c r="U5363">
        <v>0</v>
      </c>
      <c r="V5363" s="3">
        <v>0</v>
      </c>
      <c r="W5363" s="3">
        <v>0</v>
      </c>
      <c r="X5363">
        <v>1</v>
      </c>
      <c r="Y5363" t="s">
        <v>4034</v>
      </c>
    </row>
    <row r="5364" spans="1:25" hidden="1" x14ac:dyDescent="0.25">
      <c r="A5364" t="s">
        <v>48</v>
      </c>
      <c r="B5364" t="s">
        <v>149</v>
      </c>
      <c r="C5364" t="s">
        <v>37</v>
      </c>
      <c r="D5364" t="s">
        <v>27</v>
      </c>
      <c r="E5364" s="2">
        <v>46150</v>
      </c>
      <c r="F5364" s="2">
        <v>46150</v>
      </c>
      <c r="G5364" s="3">
        <v>44</v>
      </c>
      <c r="H5364" t="s">
        <v>28</v>
      </c>
      <c r="I5364">
        <v>27</v>
      </c>
      <c r="J5364">
        <v>0</v>
      </c>
      <c r="K5364">
        <v>0</v>
      </c>
      <c r="L5364" s="3">
        <v>0</v>
      </c>
      <c r="M5364" s="3">
        <v>0</v>
      </c>
      <c r="N5364">
        <v>0</v>
      </c>
      <c r="O5364">
        <v>0</v>
      </c>
      <c r="P5364">
        <v>0</v>
      </c>
      <c r="Q5364">
        <v>10</v>
      </c>
      <c r="R5364" s="3">
        <v>0</v>
      </c>
      <c r="S5364" s="3">
        <v>0</v>
      </c>
      <c r="T5364">
        <v>0</v>
      </c>
      <c r="U5364">
        <v>0</v>
      </c>
      <c r="V5364" s="3">
        <v>0</v>
      </c>
      <c r="W5364" s="3">
        <v>0</v>
      </c>
      <c r="X5364">
        <v>0</v>
      </c>
      <c r="Y5364" t="s">
        <v>4019</v>
      </c>
    </row>
    <row r="5365" spans="1:25" hidden="1" x14ac:dyDescent="0.25">
      <c r="A5365" t="s">
        <v>27</v>
      </c>
      <c r="B5365" t="s">
        <v>739</v>
      </c>
      <c r="C5365" t="s">
        <v>44</v>
      </c>
      <c r="D5365" t="s">
        <v>27</v>
      </c>
      <c r="E5365" s="2">
        <v>46150</v>
      </c>
      <c r="F5365" s="2">
        <v>46150</v>
      </c>
      <c r="G5365" s="3">
        <v>45</v>
      </c>
      <c r="H5365" t="s">
        <v>2659</v>
      </c>
      <c r="I5365">
        <v>0</v>
      </c>
      <c r="J5365">
        <v>0</v>
      </c>
      <c r="K5365">
        <v>0</v>
      </c>
      <c r="L5365" s="3">
        <v>0</v>
      </c>
      <c r="M5365" s="3">
        <v>0</v>
      </c>
      <c r="N5365">
        <v>0</v>
      </c>
      <c r="O5365">
        <v>0</v>
      </c>
      <c r="P5365">
        <v>0</v>
      </c>
      <c r="Q5365">
        <v>0</v>
      </c>
      <c r="R5365" s="3">
        <v>0</v>
      </c>
      <c r="S5365" s="3">
        <v>0</v>
      </c>
      <c r="T5365">
        <v>0</v>
      </c>
      <c r="U5365">
        <v>0</v>
      </c>
      <c r="V5365" s="3">
        <v>0</v>
      </c>
      <c r="W5365" s="3">
        <v>0</v>
      </c>
      <c r="X5365" s="3">
        <v>0</v>
      </c>
      <c r="Y5365" t="s">
        <v>4019</v>
      </c>
    </row>
    <row r="5366" spans="1:25" hidden="1" x14ac:dyDescent="0.25">
      <c r="A5366" t="s">
        <v>47</v>
      </c>
      <c r="B5366" t="s">
        <v>755</v>
      </c>
      <c r="C5366" t="s">
        <v>27</v>
      </c>
      <c r="D5366" t="s">
        <v>27</v>
      </c>
      <c r="E5366" s="2">
        <v>46149</v>
      </c>
      <c r="F5366" s="2">
        <v>46149</v>
      </c>
      <c r="G5366" s="3">
        <v>55</v>
      </c>
      <c r="H5366" t="s">
        <v>1256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t="s">
        <v>3856</v>
      </c>
    </row>
    <row r="5367" spans="1:25" hidden="1" x14ac:dyDescent="0.25">
      <c r="A5367" t="s">
        <v>438</v>
      </c>
      <c r="B5367" t="s">
        <v>798</v>
      </c>
      <c r="C5367" t="s">
        <v>27</v>
      </c>
      <c r="D5367" t="s">
        <v>27</v>
      </c>
      <c r="E5367" s="2">
        <v>46149</v>
      </c>
      <c r="F5367" s="2">
        <v>46149</v>
      </c>
      <c r="G5367" s="3">
        <v>57</v>
      </c>
      <c r="H5367" t="s">
        <v>1256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 t="s">
        <v>3856</v>
      </c>
    </row>
    <row r="5368" spans="1:25" hidden="1" x14ac:dyDescent="0.25">
      <c r="A5368" t="s">
        <v>27</v>
      </c>
      <c r="B5368" t="s">
        <v>3525</v>
      </c>
      <c r="C5368" t="s">
        <v>52</v>
      </c>
      <c r="D5368" t="s">
        <v>27</v>
      </c>
      <c r="E5368" s="2">
        <v>46149</v>
      </c>
      <c r="F5368" s="2">
        <v>46149</v>
      </c>
      <c r="G5368" s="3">
        <v>60</v>
      </c>
      <c r="H5368" t="s">
        <v>180</v>
      </c>
      <c r="I5368">
        <v>0</v>
      </c>
      <c r="J5368">
        <v>0</v>
      </c>
      <c r="K5368">
        <v>0</v>
      </c>
      <c r="L5368" s="3">
        <v>0</v>
      </c>
      <c r="M5368" s="3">
        <v>0</v>
      </c>
      <c r="N5368">
        <v>0</v>
      </c>
      <c r="O5368">
        <v>0</v>
      </c>
      <c r="P5368">
        <v>0</v>
      </c>
      <c r="Q5368">
        <v>0</v>
      </c>
      <c r="R5368" s="3">
        <v>0</v>
      </c>
      <c r="S5368" s="3">
        <v>0</v>
      </c>
      <c r="T5368">
        <v>0</v>
      </c>
      <c r="U5368">
        <v>0</v>
      </c>
      <c r="V5368" s="3">
        <v>0</v>
      </c>
      <c r="W5368" s="3">
        <v>0</v>
      </c>
      <c r="X5368" s="3">
        <v>0</v>
      </c>
      <c r="Y5368" t="s">
        <v>3856</v>
      </c>
    </row>
    <row r="5369" spans="1:25" hidden="1" x14ac:dyDescent="0.25">
      <c r="A5369" t="s">
        <v>3960</v>
      </c>
      <c r="B5369" t="s">
        <v>2072</v>
      </c>
      <c r="C5369" t="s">
        <v>27</v>
      </c>
      <c r="D5369" t="s">
        <v>27</v>
      </c>
      <c r="E5369" s="2">
        <v>46150</v>
      </c>
      <c r="F5369" s="2">
        <v>46150</v>
      </c>
      <c r="G5369" s="3">
        <v>29</v>
      </c>
      <c r="H5369" t="s">
        <v>28</v>
      </c>
      <c r="I5369">
        <v>45</v>
      </c>
      <c r="J5369">
        <v>0</v>
      </c>
      <c r="K5369">
        <v>0</v>
      </c>
      <c r="L5369" s="3">
        <v>1</v>
      </c>
      <c r="M5369" s="3">
        <v>0</v>
      </c>
      <c r="N5369">
        <v>1</v>
      </c>
      <c r="O5369">
        <v>0</v>
      </c>
      <c r="P5369">
        <v>0</v>
      </c>
      <c r="Q5369">
        <v>0</v>
      </c>
      <c r="R5369" s="3">
        <v>0</v>
      </c>
      <c r="S5369" s="3">
        <v>0</v>
      </c>
      <c r="T5369">
        <v>0</v>
      </c>
      <c r="U5369">
        <v>0</v>
      </c>
      <c r="V5369" s="3">
        <v>0</v>
      </c>
      <c r="W5369" s="3">
        <v>0</v>
      </c>
      <c r="X5369">
        <v>0</v>
      </c>
      <c r="Y5369" t="s">
        <v>4021</v>
      </c>
    </row>
    <row r="5370" spans="1:25" hidden="1" x14ac:dyDescent="0.25">
      <c r="A5370" t="s">
        <v>25</v>
      </c>
      <c r="B5370" t="s">
        <v>96</v>
      </c>
      <c r="C5370" t="s">
        <v>26</v>
      </c>
      <c r="D5370" t="s">
        <v>27</v>
      </c>
      <c r="E5370" s="2">
        <v>46150</v>
      </c>
      <c r="F5370" s="2">
        <v>46150</v>
      </c>
      <c r="G5370" s="3">
        <v>51</v>
      </c>
      <c r="H5370" t="s">
        <v>28</v>
      </c>
      <c r="I5370">
        <v>86</v>
      </c>
      <c r="J5370">
        <v>0</v>
      </c>
      <c r="K5370">
        <v>0</v>
      </c>
      <c r="L5370" s="3">
        <v>1</v>
      </c>
      <c r="M5370" s="3">
        <v>1</v>
      </c>
      <c r="N5370">
        <v>1</v>
      </c>
      <c r="O5370">
        <v>0</v>
      </c>
      <c r="P5370">
        <v>0</v>
      </c>
      <c r="Q5370">
        <v>0</v>
      </c>
      <c r="R5370" s="3">
        <v>0</v>
      </c>
      <c r="S5370" s="3">
        <v>0</v>
      </c>
      <c r="T5370">
        <v>0</v>
      </c>
      <c r="U5370">
        <v>0</v>
      </c>
      <c r="V5370" s="3">
        <v>0</v>
      </c>
      <c r="W5370" s="3">
        <v>0</v>
      </c>
      <c r="X5370">
        <v>0</v>
      </c>
      <c r="Y5370" t="s">
        <v>3990</v>
      </c>
    </row>
    <row r="5371" spans="1:25" hidden="1" x14ac:dyDescent="0.25">
      <c r="A5371" t="s">
        <v>29</v>
      </c>
      <c r="B5371" t="s">
        <v>100</v>
      </c>
      <c r="C5371" t="s">
        <v>95</v>
      </c>
      <c r="D5371" t="s">
        <v>27</v>
      </c>
      <c r="E5371" s="2">
        <v>46150</v>
      </c>
      <c r="F5371" s="2">
        <v>46150</v>
      </c>
      <c r="G5371" s="3">
        <v>131</v>
      </c>
      <c r="H5371" t="s">
        <v>28</v>
      </c>
      <c r="I5371">
        <v>29</v>
      </c>
      <c r="J5371">
        <v>0</v>
      </c>
      <c r="K5371">
        <v>0</v>
      </c>
      <c r="L5371" s="3">
        <v>1</v>
      </c>
      <c r="M5371" s="3">
        <v>0</v>
      </c>
      <c r="N5371">
        <v>0</v>
      </c>
      <c r="O5371">
        <v>0</v>
      </c>
      <c r="P5371">
        <v>12</v>
      </c>
      <c r="Q5371">
        <v>12</v>
      </c>
      <c r="R5371" s="3">
        <v>0</v>
      </c>
      <c r="S5371" s="3">
        <v>0</v>
      </c>
      <c r="T5371">
        <v>0</v>
      </c>
      <c r="U5371">
        <v>0</v>
      </c>
      <c r="V5371" s="3">
        <v>0</v>
      </c>
      <c r="W5371" s="3">
        <v>0</v>
      </c>
      <c r="X5371">
        <v>3</v>
      </c>
      <c r="Y5371" t="s">
        <v>4022</v>
      </c>
    </row>
    <row r="5372" spans="1:25" hidden="1" x14ac:dyDescent="0.25">
      <c r="A5372" t="s">
        <v>344</v>
      </c>
      <c r="B5372" t="s">
        <v>100</v>
      </c>
      <c r="C5372" t="s">
        <v>3909</v>
      </c>
      <c r="D5372" t="s">
        <v>27</v>
      </c>
      <c r="E5372" s="2">
        <v>46150</v>
      </c>
      <c r="F5372" s="2">
        <v>46150</v>
      </c>
      <c r="G5372" s="3">
        <v>48</v>
      </c>
      <c r="H5372" t="s">
        <v>28</v>
      </c>
      <c r="I5372">
        <v>60</v>
      </c>
      <c r="J5372">
        <v>0</v>
      </c>
      <c r="K5372">
        <v>0</v>
      </c>
      <c r="L5372" s="3">
        <v>1</v>
      </c>
      <c r="M5372" s="3">
        <v>0</v>
      </c>
      <c r="N5372">
        <v>0</v>
      </c>
      <c r="O5372">
        <v>0</v>
      </c>
      <c r="P5372">
        <v>3</v>
      </c>
      <c r="Q5372">
        <v>2</v>
      </c>
      <c r="R5372" s="3">
        <v>0</v>
      </c>
      <c r="S5372" s="3">
        <v>0</v>
      </c>
      <c r="T5372">
        <v>0</v>
      </c>
      <c r="U5372">
        <v>0</v>
      </c>
      <c r="V5372" s="3">
        <v>0</v>
      </c>
      <c r="W5372" s="3">
        <v>0</v>
      </c>
      <c r="X5372">
        <v>2</v>
      </c>
      <c r="Y5372" t="s">
        <v>3908</v>
      </c>
    </row>
    <row r="5373" spans="1:25" hidden="1" x14ac:dyDescent="0.25">
      <c r="A5373" t="s">
        <v>31</v>
      </c>
      <c r="B5373" t="s">
        <v>104</v>
      </c>
      <c r="C5373" t="s">
        <v>32</v>
      </c>
      <c r="D5373" t="s">
        <v>27</v>
      </c>
      <c r="E5373" s="2">
        <v>46150</v>
      </c>
      <c r="F5373" s="2">
        <v>46150</v>
      </c>
      <c r="G5373" s="3">
        <v>42</v>
      </c>
      <c r="H5373" t="s">
        <v>28</v>
      </c>
      <c r="I5373">
        <v>81</v>
      </c>
      <c r="J5373">
        <v>0</v>
      </c>
      <c r="K5373">
        <v>0</v>
      </c>
      <c r="L5373" s="3">
        <v>1</v>
      </c>
      <c r="M5373" s="3">
        <v>0</v>
      </c>
      <c r="N5373">
        <v>0</v>
      </c>
      <c r="O5373">
        <v>0</v>
      </c>
      <c r="P5373">
        <v>0</v>
      </c>
      <c r="Q5373">
        <v>43</v>
      </c>
      <c r="R5373" s="3">
        <v>0</v>
      </c>
      <c r="S5373" s="3">
        <v>0</v>
      </c>
      <c r="T5373">
        <v>0</v>
      </c>
      <c r="U5373">
        <v>0</v>
      </c>
      <c r="V5373" s="3">
        <v>0</v>
      </c>
      <c r="W5373" s="3">
        <v>0</v>
      </c>
      <c r="X5373">
        <v>0</v>
      </c>
      <c r="Y5373" t="s">
        <v>4023</v>
      </c>
    </row>
    <row r="5374" spans="1:25" hidden="1" x14ac:dyDescent="0.25">
      <c r="A5374" t="s">
        <v>33</v>
      </c>
      <c r="B5374" t="s">
        <v>106</v>
      </c>
      <c r="C5374" t="s">
        <v>57</v>
      </c>
      <c r="D5374" t="s">
        <v>27</v>
      </c>
      <c r="E5374" s="2">
        <v>46150</v>
      </c>
      <c r="F5374" s="2">
        <v>46150</v>
      </c>
      <c r="G5374" s="3">
        <v>24</v>
      </c>
      <c r="H5374" t="s">
        <v>28</v>
      </c>
      <c r="I5374">
        <v>40</v>
      </c>
      <c r="J5374">
        <v>0</v>
      </c>
      <c r="K5374">
        <v>0</v>
      </c>
      <c r="L5374" s="3">
        <v>0</v>
      </c>
      <c r="M5374" s="3">
        <v>0</v>
      </c>
      <c r="N5374">
        <v>0</v>
      </c>
      <c r="O5374">
        <v>0</v>
      </c>
      <c r="P5374">
        <v>0</v>
      </c>
      <c r="Q5374">
        <v>21</v>
      </c>
      <c r="R5374" s="3">
        <v>0</v>
      </c>
      <c r="S5374" s="3">
        <v>0</v>
      </c>
      <c r="T5374">
        <v>0</v>
      </c>
      <c r="U5374">
        <v>0</v>
      </c>
      <c r="V5374" s="3">
        <v>0</v>
      </c>
      <c r="W5374" s="3">
        <v>0</v>
      </c>
      <c r="X5374">
        <v>0</v>
      </c>
      <c r="Y5374" t="s">
        <v>4024</v>
      </c>
    </row>
    <row r="5375" spans="1:25" hidden="1" x14ac:dyDescent="0.25">
      <c r="A5375" t="s">
        <v>36</v>
      </c>
      <c r="B5375" t="s">
        <v>249</v>
      </c>
      <c r="C5375" t="s">
        <v>2514</v>
      </c>
      <c r="D5375" t="s">
        <v>27</v>
      </c>
      <c r="E5375" s="2">
        <v>46150</v>
      </c>
      <c r="F5375" s="2">
        <v>46150</v>
      </c>
      <c r="G5375" s="3">
        <v>51</v>
      </c>
      <c r="H5375" t="s">
        <v>28</v>
      </c>
      <c r="I5375">
        <v>57</v>
      </c>
      <c r="J5375">
        <v>0</v>
      </c>
      <c r="K5375">
        <v>0</v>
      </c>
      <c r="L5375" s="3">
        <v>1</v>
      </c>
      <c r="M5375" s="3">
        <v>0</v>
      </c>
      <c r="N5375">
        <v>0</v>
      </c>
      <c r="O5375">
        <v>0</v>
      </c>
      <c r="P5375">
        <v>0</v>
      </c>
      <c r="Q5375">
        <v>25</v>
      </c>
      <c r="R5375" s="3">
        <v>0</v>
      </c>
      <c r="S5375" s="3">
        <v>0</v>
      </c>
      <c r="T5375">
        <v>0</v>
      </c>
      <c r="U5375">
        <v>0</v>
      </c>
      <c r="V5375" s="3">
        <v>0</v>
      </c>
      <c r="W5375" s="3">
        <v>0</v>
      </c>
      <c r="X5375">
        <v>0</v>
      </c>
      <c r="Y5375" t="s">
        <v>4025</v>
      </c>
    </row>
    <row r="5376" spans="1:25" hidden="1" x14ac:dyDescent="0.25">
      <c r="A5376" t="s">
        <v>38</v>
      </c>
      <c r="B5376" t="s">
        <v>108</v>
      </c>
      <c r="C5376" t="s">
        <v>27</v>
      </c>
      <c r="D5376" t="s">
        <v>27</v>
      </c>
      <c r="E5376" s="2">
        <v>46150</v>
      </c>
      <c r="F5376" s="2">
        <v>46150</v>
      </c>
      <c r="G5376" s="3">
        <v>32</v>
      </c>
      <c r="H5376" t="s">
        <v>28</v>
      </c>
      <c r="I5376">
        <v>45</v>
      </c>
      <c r="J5376">
        <v>0</v>
      </c>
      <c r="K5376">
        <v>0</v>
      </c>
      <c r="L5376" s="3">
        <v>1</v>
      </c>
      <c r="M5376" s="3">
        <v>0</v>
      </c>
      <c r="N5376">
        <v>0</v>
      </c>
      <c r="O5376">
        <v>0</v>
      </c>
      <c r="P5376">
        <v>0</v>
      </c>
      <c r="Q5376">
        <v>45</v>
      </c>
      <c r="R5376" s="3">
        <v>0</v>
      </c>
      <c r="S5376" s="3">
        <v>0</v>
      </c>
      <c r="T5376">
        <v>0</v>
      </c>
      <c r="U5376">
        <v>0</v>
      </c>
      <c r="V5376" s="3">
        <v>0</v>
      </c>
      <c r="W5376" s="3">
        <v>0</v>
      </c>
      <c r="X5376">
        <v>0</v>
      </c>
      <c r="Y5376" t="s">
        <v>4026</v>
      </c>
    </row>
    <row r="5377" spans="1:25" hidden="1" x14ac:dyDescent="0.25">
      <c r="A5377" t="s">
        <v>3929</v>
      </c>
      <c r="B5377" t="s">
        <v>2680</v>
      </c>
      <c r="C5377" t="s">
        <v>39</v>
      </c>
      <c r="D5377" t="s">
        <v>27</v>
      </c>
      <c r="E5377" s="2">
        <v>46150</v>
      </c>
      <c r="F5377" s="2">
        <v>46150</v>
      </c>
      <c r="G5377" s="3">
        <v>34</v>
      </c>
      <c r="H5377" t="s">
        <v>28</v>
      </c>
      <c r="I5377">
        <v>37</v>
      </c>
      <c r="J5377">
        <v>0</v>
      </c>
      <c r="K5377">
        <v>0</v>
      </c>
      <c r="L5377" s="3">
        <v>0</v>
      </c>
      <c r="M5377" s="3">
        <v>0</v>
      </c>
      <c r="N5377">
        <v>0</v>
      </c>
      <c r="O5377">
        <v>0</v>
      </c>
      <c r="P5377">
        <v>0</v>
      </c>
      <c r="Q5377">
        <v>37</v>
      </c>
      <c r="R5377" s="3">
        <v>0</v>
      </c>
      <c r="S5377" s="3">
        <v>0</v>
      </c>
      <c r="T5377">
        <v>0</v>
      </c>
      <c r="U5377">
        <v>0</v>
      </c>
      <c r="V5377" s="3">
        <v>0</v>
      </c>
      <c r="W5377" s="3">
        <v>0</v>
      </c>
      <c r="X5377">
        <v>0</v>
      </c>
      <c r="Y5377" t="s">
        <v>4027</v>
      </c>
    </row>
    <row r="5378" spans="1:25" hidden="1" x14ac:dyDescent="0.25">
      <c r="A5378" t="s">
        <v>40</v>
      </c>
      <c r="B5378" t="s">
        <v>110</v>
      </c>
      <c r="C5378" t="s">
        <v>2534</v>
      </c>
      <c r="D5378" t="s">
        <v>27</v>
      </c>
      <c r="E5378" s="2">
        <v>46150</v>
      </c>
      <c r="F5378" s="2">
        <v>46150</v>
      </c>
      <c r="G5378" s="3">
        <v>62</v>
      </c>
      <c r="H5378" t="s">
        <v>28</v>
      </c>
      <c r="I5378">
        <v>36</v>
      </c>
      <c r="J5378">
        <v>0</v>
      </c>
      <c r="K5378">
        <v>0</v>
      </c>
      <c r="L5378" s="3">
        <v>1</v>
      </c>
      <c r="M5378" s="3">
        <v>0</v>
      </c>
      <c r="N5378">
        <v>1</v>
      </c>
      <c r="O5378">
        <v>0</v>
      </c>
      <c r="P5378">
        <v>0</v>
      </c>
      <c r="Q5378">
        <v>21</v>
      </c>
      <c r="R5378" s="3">
        <v>0</v>
      </c>
      <c r="S5378" s="3">
        <v>0</v>
      </c>
      <c r="T5378">
        <v>0</v>
      </c>
      <c r="U5378">
        <v>0</v>
      </c>
      <c r="V5378" s="3">
        <v>0</v>
      </c>
      <c r="W5378" s="3">
        <v>0</v>
      </c>
      <c r="X5378">
        <v>0</v>
      </c>
      <c r="Y5378" t="s">
        <v>4028</v>
      </c>
    </row>
    <row r="5379" spans="1:25" hidden="1" x14ac:dyDescent="0.25">
      <c r="A5379" t="s">
        <v>41</v>
      </c>
      <c r="B5379" t="s">
        <v>112</v>
      </c>
      <c r="C5379" t="s">
        <v>42</v>
      </c>
      <c r="D5379" t="s">
        <v>27</v>
      </c>
      <c r="E5379" s="2">
        <v>46150</v>
      </c>
      <c r="F5379" s="2">
        <v>46150</v>
      </c>
      <c r="G5379" s="3">
        <v>41</v>
      </c>
      <c r="H5379" t="s">
        <v>28</v>
      </c>
      <c r="I5379">
        <v>40</v>
      </c>
      <c r="J5379">
        <v>0</v>
      </c>
      <c r="K5379">
        <v>0</v>
      </c>
      <c r="L5379" s="3">
        <v>1</v>
      </c>
      <c r="M5379" s="3">
        <v>0</v>
      </c>
      <c r="N5379">
        <v>0</v>
      </c>
      <c r="O5379">
        <v>0</v>
      </c>
      <c r="P5379">
        <v>0</v>
      </c>
      <c r="Q5379">
        <v>1</v>
      </c>
      <c r="R5379" s="3">
        <v>0</v>
      </c>
      <c r="S5379" s="3">
        <v>0</v>
      </c>
      <c r="T5379">
        <v>0</v>
      </c>
      <c r="U5379">
        <v>0</v>
      </c>
      <c r="V5379" s="3">
        <v>0</v>
      </c>
      <c r="W5379" s="3">
        <v>0</v>
      </c>
      <c r="X5379">
        <v>0</v>
      </c>
      <c r="Y5379" t="s">
        <v>4029</v>
      </c>
    </row>
    <row r="5380" spans="1:25" hidden="1" x14ac:dyDescent="0.25">
      <c r="A5380" t="s">
        <v>43</v>
      </c>
      <c r="B5380" t="s">
        <v>114</v>
      </c>
      <c r="C5380" t="s">
        <v>2778</v>
      </c>
      <c r="D5380" t="s">
        <v>27</v>
      </c>
      <c r="E5380" s="2">
        <v>46150</v>
      </c>
      <c r="F5380" s="2">
        <v>46150</v>
      </c>
      <c r="G5380" s="3">
        <v>34</v>
      </c>
      <c r="H5380" t="s">
        <v>28</v>
      </c>
      <c r="I5380">
        <v>42</v>
      </c>
      <c r="J5380">
        <v>0</v>
      </c>
      <c r="K5380">
        <v>0</v>
      </c>
      <c r="L5380" s="3">
        <v>1</v>
      </c>
      <c r="M5380" s="3">
        <v>0</v>
      </c>
      <c r="N5380">
        <v>0</v>
      </c>
      <c r="O5380">
        <v>0</v>
      </c>
      <c r="P5380">
        <v>0</v>
      </c>
      <c r="Q5380">
        <v>0</v>
      </c>
      <c r="R5380" s="3">
        <v>0</v>
      </c>
      <c r="S5380" s="3">
        <v>0</v>
      </c>
      <c r="T5380">
        <v>0</v>
      </c>
      <c r="U5380">
        <v>0</v>
      </c>
      <c r="V5380" s="3">
        <v>0</v>
      </c>
      <c r="W5380" s="3">
        <v>0</v>
      </c>
      <c r="X5380">
        <v>0</v>
      </c>
      <c r="Y5380" t="s">
        <v>4030</v>
      </c>
    </row>
    <row r="5381" spans="1:25" hidden="1" x14ac:dyDescent="0.25">
      <c r="A5381" t="s">
        <v>49</v>
      </c>
      <c r="B5381" t="s">
        <v>118</v>
      </c>
      <c r="C5381" t="s">
        <v>50</v>
      </c>
      <c r="D5381" t="s">
        <v>27</v>
      </c>
      <c r="E5381" s="2">
        <v>46150</v>
      </c>
      <c r="F5381" s="2">
        <v>46150</v>
      </c>
      <c r="G5381" s="3">
        <v>44</v>
      </c>
      <c r="H5381" t="s">
        <v>28</v>
      </c>
      <c r="I5381">
        <v>28</v>
      </c>
      <c r="J5381">
        <v>0</v>
      </c>
      <c r="K5381">
        <v>0</v>
      </c>
      <c r="L5381" s="3">
        <v>1</v>
      </c>
      <c r="M5381" s="3">
        <v>1</v>
      </c>
      <c r="N5381">
        <v>0</v>
      </c>
      <c r="O5381">
        <v>0</v>
      </c>
      <c r="P5381">
        <v>0</v>
      </c>
      <c r="Q5381">
        <v>28</v>
      </c>
      <c r="R5381" s="3">
        <v>0</v>
      </c>
      <c r="S5381" s="3">
        <v>0</v>
      </c>
      <c r="T5381">
        <v>0</v>
      </c>
      <c r="U5381">
        <v>0</v>
      </c>
      <c r="V5381" s="3">
        <v>0</v>
      </c>
      <c r="W5381" s="3">
        <v>0</v>
      </c>
      <c r="X5381">
        <v>0</v>
      </c>
      <c r="Y5381" t="s">
        <v>4032</v>
      </c>
    </row>
    <row r="5382" spans="1:25" hidden="1" x14ac:dyDescent="0.25">
      <c r="A5382" t="s">
        <v>51</v>
      </c>
      <c r="B5382" t="s">
        <v>120</v>
      </c>
      <c r="C5382" t="s">
        <v>2310</v>
      </c>
      <c r="D5382" t="s">
        <v>27</v>
      </c>
      <c r="E5382" s="2">
        <v>46150</v>
      </c>
      <c r="F5382" s="2">
        <v>46150</v>
      </c>
      <c r="G5382" s="3">
        <v>258</v>
      </c>
      <c r="H5382" t="s">
        <v>28</v>
      </c>
      <c r="I5382">
        <v>58</v>
      </c>
      <c r="J5382">
        <v>0</v>
      </c>
      <c r="K5382">
        <v>0</v>
      </c>
      <c r="L5382" s="3">
        <v>1</v>
      </c>
      <c r="M5382" s="3">
        <v>0</v>
      </c>
      <c r="N5382">
        <v>0</v>
      </c>
      <c r="O5382">
        <v>0</v>
      </c>
      <c r="P5382">
        <v>0</v>
      </c>
      <c r="Q5382">
        <v>6</v>
      </c>
      <c r="R5382" s="3">
        <v>0</v>
      </c>
      <c r="S5382" s="3">
        <v>0</v>
      </c>
      <c r="T5382">
        <v>0</v>
      </c>
      <c r="U5382">
        <v>0</v>
      </c>
      <c r="V5382" s="3">
        <v>0</v>
      </c>
      <c r="W5382" s="3">
        <v>0</v>
      </c>
      <c r="X5382">
        <v>0</v>
      </c>
      <c r="Y5382" t="s">
        <v>4033</v>
      </c>
    </row>
    <row r="5383" spans="1:25" x14ac:dyDescent="0.25">
      <c r="A5383" t="s">
        <v>54</v>
      </c>
      <c r="B5383" t="s">
        <v>122</v>
      </c>
      <c r="C5383" t="s">
        <v>2271</v>
      </c>
      <c r="D5383" t="s">
        <v>27</v>
      </c>
      <c r="E5383" s="2">
        <v>46150</v>
      </c>
      <c r="F5383" s="2">
        <v>46150</v>
      </c>
      <c r="G5383" s="3">
        <v>38</v>
      </c>
      <c r="H5383" t="s">
        <v>28</v>
      </c>
      <c r="I5383">
        <v>58</v>
      </c>
      <c r="J5383">
        <v>0</v>
      </c>
      <c r="K5383">
        <v>0</v>
      </c>
      <c r="L5383" s="3">
        <v>0</v>
      </c>
      <c r="M5383" s="3">
        <v>0</v>
      </c>
      <c r="N5383">
        <v>0</v>
      </c>
      <c r="O5383">
        <v>0</v>
      </c>
      <c r="P5383">
        <v>0</v>
      </c>
      <c r="Q5383">
        <v>2</v>
      </c>
      <c r="R5383" s="3">
        <v>0</v>
      </c>
      <c r="S5383" s="3">
        <v>0</v>
      </c>
      <c r="T5383">
        <v>0</v>
      </c>
      <c r="U5383">
        <v>0</v>
      </c>
      <c r="V5383" s="3">
        <v>0</v>
      </c>
      <c r="W5383" s="3">
        <v>0</v>
      </c>
      <c r="X5383">
        <v>1</v>
      </c>
      <c r="Y5383" t="s">
        <v>4034</v>
      </c>
    </row>
    <row r="5384" spans="1:25" hidden="1" x14ac:dyDescent="0.25">
      <c r="A5384" t="s">
        <v>48</v>
      </c>
      <c r="B5384" t="s">
        <v>149</v>
      </c>
      <c r="C5384" t="s">
        <v>37</v>
      </c>
      <c r="D5384" t="s">
        <v>27</v>
      </c>
      <c r="E5384" s="2">
        <v>46150</v>
      </c>
      <c r="F5384" s="2">
        <v>46150</v>
      </c>
      <c r="G5384" s="3">
        <v>44</v>
      </c>
      <c r="H5384" t="s">
        <v>28</v>
      </c>
      <c r="I5384">
        <v>27</v>
      </c>
      <c r="J5384">
        <v>0</v>
      </c>
      <c r="K5384">
        <v>0</v>
      </c>
      <c r="L5384" s="3">
        <v>0</v>
      </c>
      <c r="M5384" s="3">
        <v>0</v>
      </c>
      <c r="N5384">
        <v>0</v>
      </c>
      <c r="O5384">
        <v>0</v>
      </c>
      <c r="P5384">
        <v>0</v>
      </c>
      <c r="Q5384">
        <v>10</v>
      </c>
      <c r="R5384" s="3">
        <v>0</v>
      </c>
      <c r="S5384" s="3">
        <v>0</v>
      </c>
      <c r="T5384">
        <v>0</v>
      </c>
      <c r="U5384">
        <v>0</v>
      </c>
      <c r="V5384" s="3">
        <v>0</v>
      </c>
      <c r="W5384" s="3">
        <v>0</v>
      </c>
      <c r="X5384">
        <v>0</v>
      </c>
      <c r="Y5384" t="s">
        <v>4019</v>
      </c>
    </row>
    <row r="5385" spans="1:25" hidden="1" x14ac:dyDescent="0.25">
      <c r="A5385" t="s">
        <v>27</v>
      </c>
      <c r="B5385" t="s">
        <v>739</v>
      </c>
      <c r="C5385" t="s">
        <v>44</v>
      </c>
      <c r="D5385" t="s">
        <v>27</v>
      </c>
      <c r="E5385" s="2">
        <v>46150</v>
      </c>
      <c r="F5385" s="2">
        <v>46150</v>
      </c>
      <c r="G5385" s="3">
        <v>45</v>
      </c>
      <c r="H5385" t="s">
        <v>2659</v>
      </c>
      <c r="I5385">
        <v>0</v>
      </c>
      <c r="J5385">
        <v>0</v>
      </c>
      <c r="K5385">
        <v>0</v>
      </c>
      <c r="L5385" s="3">
        <v>0</v>
      </c>
      <c r="M5385" s="3">
        <v>0</v>
      </c>
      <c r="N5385">
        <v>0</v>
      </c>
      <c r="O5385">
        <v>0</v>
      </c>
      <c r="P5385">
        <v>0</v>
      </c>
      <c r="Q5385">
        <v>0</v>
      </c>
      <c r="R5385" s="3">
        <v>0</v>
      </c>
      <c r="S5385" s="3">
        <v>0</v>
      </c>
      <c r="T5385">
        <v>0</v>
      </c>
      <c r="U5385">
        <v>0</v>
      </c>
      <c r="V5385" s="3">
        <v>0</v>
      </c>
      <c r="W5385" s="3">
        <v>0</v>
      </c>
      <c r="X5385" s="3">
        <v>0</v>
      </c>
      <c r="Y5385" t="s">
        <v>4019</v>
      </c>
    </row>
    <row r="5386" spans="1:25" hidden="1" x14ac:dyDescent="0.25">
      <c r="A5386" t="s">
        <v>47</v>
      </c>
      <c r="B5386" t="s">
        <v>755</v>
      </c>
      <c r="C5386" t="s">
        <v>27</v>
      </c>
      <c r="D5386" t="s">
        <v>27</v>
      </c>
      <c r="E5386" s="2">
        <v>46150</v>
      </c>
      <c r="F5386" s="2">
        <v>46150</v>
      </c>
      <c r="G5386" s="3">
        <v>55</v>
      </c>
      <c r="H5386" t="s">
        <v>1256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 t="s">
        <v>3856</v>
      </c>
    </row>
    <row r="5387" spans="1:25" hidden="1" x14ac:dyDescent="0.25">
      <c r="A5387" t="s">
        <v>438</v>
      </c>
      <c r="B5387" t="s">
        <v>798</v>
      </c>
      <c r="C5387" t="s">
        <v>27</v>
      </c>
      <c r="D5387" t="s">
        <v>27</v>
      </c>
      <c r="E5387" s="2">
        <v>46150</v>
      </c>
      <c r="F5387" s="2">
        <v>46150</v>
      </c>
      <c r="G5387" s="3">
        <v>57</v>
      </c>
      <c r="H5387" t="s">
        <v>1256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 t="s">
        <v>3856</v>
      </c>
    </row>
    <row r="5388" spans="1:25" hidden="1" x14ac:dyDescent="0.25">
      <c r="A5388" t="s">
        <v>27</v>
      </c>
      <c r="B5388" t="s">
        <v>3525</v>
      </c>
      <c r="C5388" t="s">
        <v>52</v>
      </c>
      <c r="D5388" t="s">
        <v>27</v>
      </c>
      <c r="E5388" s="2">
        <v>46150</v>
      </c>
      <c r="F5388" s="2">
        <v>46150</v>
      </c>
      <c r="G5388" s="3">
        <v>60</v>
      </c>
      <c r="H5388" t="s">
        <v>180</v>
      </c>
      <c r="I5388">
        <v>0</v>
      </c>
      <c r="J5388">
        <v>0</v>
      </c>
      <c r="K5388">
        <v>0</v>
      </c>
      <c r="L5388" s="3">
        <v>0</v>
      </c>
      <c r="M5388" s="3">
        <v>0</v>
      </c>
      <c r="N5388">
        <v>0</v>
      </c>
      <c r="O5388">
        <v>0</v>
      </c>
      <c r="P5388">
        <v>0</v>
      </c>
      <c r="Q5388">
        <v>0</v>
      </c>
      <c r="R5388" s="3">
        <v>0</v>
      </c>
      <c r="S5388" s="3">
        <v>0</v>
      </c>
      <c r="T5388">
        <v>0</v>
      </c>
      <c r="U5388">
        <v>0</v>
      </c>
      <c r="V5388" s="3">
        <v>0</v>
      </c>
      <c r="W5388" s="3">
        <v>0</v>
      </c>
      <c r="X5388" s="3">
        <v>0</v>
      </c>
      <c r="Y5388" t="s">
        <v>3856</v>
      </c>
    </row>
    <row r="5389" spans="1:25" hidden="1" x14ac:dyDescent="0.25">
      <c r="A5389" t="s">
        <v>41</v>
      </c>
      <c r="B5389" t="s">
        <v>112</v>
      </c>
      <c r="C5389" t="s">
        <v>42</v>
      </c>
      <c r="D5389" t="s">
        <v>27</v>
      </c>
      <c r="E5389" s="2">
        <v>46151</v>
      </c>
      <c r="F5389" s="2">
        <v>46151</v>
      </c>
      <c r="G5389" s="3">
        <v>124</v>
      </c>
      <c r="H5389" t="s">
        <v>28</v>
      </c>
      <c r="I5389">
        <v>0</v>
      </c>
      <c r="J5389">
        <v>0</v>
      </c>
      <c r="K5389">
        <v>0</v>
      </c>
      <c r="L5389" s="3">
        <v>0</v>
      </c>
      <c r="M5389" s="3">
        <v>0</v>
      </c>
      <c r="N5389">
        <v>1</v>
      </c>
      <c r="O5389">
        <v>0</v>
      </c>
      <c r="P5389">
        <v>0</v>
      </c>
      <c r="Q5389">
        <v>8</v>
      </c>
      <c r="R5389" s="3">
        <v>1</v>
      </c>
      <c r="S5389" s="3">
        <v>0</v>
      </c>
      <c r="T5389">
        <v>8</v>
      </c>
      <c r="U5389">
        <v>163</v>
      </c>
      <c r="V5389" s="3">
        <v>1</v>
      </c>
      <c r="W5389" s="3">
        <v>0</v>
      </c>
      <c r="X5389">
        <v>10</v>
      </c>
      <c r="Y5389" t="s">
        <v>4035</v>
      </c>
    </row>
    <row r="5390" spans="1:25" hidden="1" x14ac:dyDescent="0.25">
      <c r="A5390" t="s">
        <v>51</v>
      </c>
      <c r="B5390" t="s">
        <v>120</v>
      </c>
      <c r="C5390" t="s">
        <v>55</v>
      </c>
      <c r="D5390" t="s">
        <v>27</v>
      </c>
      <c r="E5390" s="2">
        <v>46151</v>
      </c>
      <c r="F5390" s="2">
        <v>46151</v>
      </c>
      <c r="G5390" s="3">
        <v>68</v>
      </c>
      <c r="H5390" t="s">
        <v>28</v>
      </c>
      <c r="I5390">
        <v>0</v>
      </c>
      <c r="J5390">
        <v>0</v>
      </c>
      <c r="K5390">
        <v>0</v>
      </c>
      <c r="L5390" s="3">
        <v>1</v>
      </c>
      <c r="M5390" s="3">
        <v>0</v>
      </c>
      <c r="N5390">
        <v>0</v>
      </c>
      <c r="O5390">
        <v>0</v>
      </c>
      <c r="P5390">
        <v>0</v>
      </c>
      <c r="Q5390">
        <v>0</v>
      </c>
      <c r="R5390" s="3">
        <v>1</v>
      </c>
      <c r="S5390" s="3">
        <v>0</v>
      </c>
      <c r="T5390">
        <v>0</v>
      </c>
      <c r="U5390">
        <v>113</v>
      </c>
      <c r="V5390" s="3">
        <v>1</v>
      </c>
      <c r="W5390" s="3">
        <v>0</v>
      </c>
      <c r="X5390">
        <v>6</v>
      </c>
      <c r="Y5390" t="s">
        <v>4036</v>
      </c>
    </row>
    <row r="5391" spans="1:25" hidden="1" x14ac:dyDescent="0.25">
      <c r="A5391" t="s">
        <v>40</v>
      </c>
      <c r="B5391" t="s">
        <v>120</v>
      </c>
      <c r="C5391" t="s">
        <v>2534</v>
      </c>
      <c r="D5391" t="s">
        <v>27</v>
      </c>
      <c r="E5391" s="2">
        <v>46151</v>
      </c>
      <c r="F5391" s="2">
        <v>46151</v>
      </c>
      <c r="G5391" s="3">
        <v>68</v>
      </c>
      <c r="H5391" t="s">
        <v>28</v>
      </c>
      <c r="I5391">
        <v>0</v>
      </c>
      <c r="J5391">
        <v>0</v>
      </c>
      <c r="K5391">
        <v>0</v>
      </c>
      <c r="L5391" s="3">
        <v>1</v>
      </c>
      <c r="M5391" s="3">
        <v>0</v>
      </c>
      <c r="N5391">
        <v>0</v>
      </c>
      <c r="O5391">
        <v>0</v>
      </c>
      <c r="P5391">
        <v>0</v>
      </c>
      <c r="Q5391">
        <v>0</v>
      </c>
      <c r="R5391" s="3">
        <v>1</v>
      </c>
      <c r="S5391" s="3">
        <v>0</v>
      </c>
      <c r="T5391">
        <v>0</v>
      </c>
      <c r="U5391">
        <v>127</v>
      </c>
      <c r="V5391" s="3">
        <v>1</v>
      </c>
      <c r="W5391" s="3">
        <v>0</v>
      </c>
      <c r="X5391">
        <v>6</v>
      </c>
      <c r="Y5391" t="s">
        <v>4036</v>
      </c>
    </row>
    <row r="5392" spans="1:25" hidden="1" x14ac:dyDescent="0.25">
      <c r="A5392" t="s">
        <v>25</v>
      </c>
      <c r="B5392" t="s">
        <v>120</v>
      </c>
      <c r="C5392" t="s">
        <v>26</v>
      </c>
      <c r="D5392" t="s">
        <v>27</v>
      </c>
      <c r="E5392" s="2">
        <v>46151</v>
      </c>
      <c r="F5392" s="2">
        <v>46151</v>
      </c>
      <c r="G5392" s="3">
        <v>68</v>
      </c>
      <c r="H5392" t="s">
        <v>28</v>
      </c>
      <c r="I5392">
        <v>0</v>
      </c>
      <c r="J5392">
        <v>0</v>
      </c>
      <c r="K5392">
        <v>0</v>
      </c>
      <c r="L5392" s="3">
        <v>1</v>
      </c>
      <c r="M5392" s="3">
        <v>0</v>
      </c>
      <c r="N5392">
        <v>0</v>
      </c>
      <c r="O5392">
        <v>0</v>
      </c>
      <c r="P5392">
        <v>0</v>
      </c>
      <c r="Q5392">
        <v>0</v>
      </c>
      <c r="R5392" s="3">
        <v>1</v>
      </c>
      <c r="S5392" s="3">
        <v>0</v>
      </c>
      <c r="T5392">
        <v>0</v>
      </c>
      <c r="U5392">
        <v>146</v>
      </c>
      <c r="V5392" s="3">
        <v>1</v>
      </c>
      <c r="W5392" s="3">
        <v>0</v>
      </c>
      <c r="X5392">
        <v>6</v>
      </c>
      <c r="Y5392" t="s">
        <v>4036</v>
      </c>
    </row>
    <row r="5393" spans="1:25" hidden="1" x14ac:dyDescent="0.25">
      <c r="A5393" t="s">
        <v>33</v>
      </c>
      <c r="B5393" t="s">
        <v>106</v>
      </c>
      <c r="C5393" t="s">
        <v>55</v>
      </c>
      <c r="D5393" t="s">
        <v>27</v>
      </c>
      <c r="E5393" s="2">
        <v>46152</v>
      </c>
      <c r="F5393" s="2">
        <v>46152</v>
      </c>
      <c r="G5393" s="3">
        <v>50</v>
      </c>
      <c r="H5393" t="s">
        <v>28</v>
      </c>
      <c r="I5393">
        <v>0</v>
      </c>
      <c r="J5393">
        <v>0</v>
      </c>
      <c r="K5393">
        <v>0</v>
      </c>
      <c r="L5393" s="3">
        <v>1</v>
      </c>
      <c r="M5393" s="3">
        <v>0</v>
      </c>
      <c r="N5393">
        <v>0</v>
      </c>
      <c r="O5393">
        <v>0</v>
      </c>
      <c r="P5393">
        <v>0</v>
      </c>
      <c r="Q5393">
        <v>0</v>
      </c>
      <c r="R5393" s="3">
        <v>0</v>
      </c>
      <c r="S5393" s="3">
        <v>1</v>
      </c>
      <c r="T5393">
        <v>4</v>
      </c>
      <c r="U5393">
        <v>33</v>
      </c>
      <c r="V5393" s="3">
        <v>0</v>
      </c>
      <c r="W5393" s="3">
        <v>1</v>
      </c>
      <c r="X5393">
        <v>0</v>
      </c>
      <c r="Y5393" t="s">
        <v>4037</v>
      </c>
    </row>
    <row r="5394" spans="1:25" hidden="1" x14ac:dyDescent="0.25">
      <c r="A5394" t="s">
        <v>48</v>
      </c>
      <c r="B5394" t="s">
        <v>149</v>
      </c>
      <c r="C5394" t="s">
        <v>26</v>
      </c>
      <c r="D5394" t="s">
        <v>27</v>
      </c>
      <c r="E5394" s="2">
        <v>46152</v>
      </c>
      <c r="F5394" s="2">
        <v>46152</v>
      </c>
      <c r="G5394" s="3">
        <v>91</v>
      </c>
      <c r="H5394" t="s">
        <v>28</v>
      </c>
      <c r="I5394">
        <v>0</v>
      </c>
      <c r="J5394">
        <v>0</v>
      </c>
      <c r="K5394">
        <v>0</v>
      </c>
      <c r="L5394" s="3">
        <v>1</v>
      </c>
      <c r="M5394" s="3">
        <v>1</v>
      </c>
      <c r="N5394">
        <v>1</v>
      </c>
      <c r="O5394">
        <v>0</v>
      </c>
      <c r="P5394">
        <v>0</v>
      </c>
      <c r="Q5394">
        <v>0</v>
      </c>
      <c r="R5394" s="3">
        <v>0</v>
      </c>
      <c r="S5394" s="3">
        <v>1</v>
      </c>
      <c r="T5394">
        <v>0</v>
      </c>
      <c r="U5394">
        <v>57</v>
      </c>
      <c r="V5394" s="3">
        <v>0</v>
      </c>
      <c r="W5394" s="3">
        <v>1</v>
      </c>
      <c r="X5394">
        <v>0</v>
      </c>
      <c r="Y5394" t="s">
        <v>4038</v>
      </c>
    </row>
    <row r="5395" spans="1:25" hidden="1" x14ac:dyDescent="0.25">
      <c r="A5395" t="s">
        <v>40</v>
      </c>
      <c r="B5395" t="s">
        <v>120</v>
      </c>
      <c r="C5395" t="s">
        <v>2534</v>
      </c>
      <c r="D5395" t="s">
        <v>27</v>
      </c>
      <c r="E5395" s="2">
        <v>46152</v>
      </c>
      <c r="F5395" s="2">
        <v>46152</v>
      </c>
      <c r="G5395" s="3">
        <v>68</v>
      </c>
      <c r="H5395" t="s">
        <v>28</v>
      </c>
      <c r="I5395">
        <v>0</v>
      </c>
      <c r="J5395">
        <v>0</v>
      </c>
      <c r="K5395">
        <v>0</v>
      </c>
      <c r="L5395" s="3">
        <v>1</v>
      </c>
      <c r="M5395" s="3">
        <v>0</v>
      </c>
      <c r="N5395">
        <v>0</v>
      </c>
      <c r="O5395">
        <v>0</v>
      </c>
      <c r="P5395">
        <v>0</v>
      </c>
      <c r="Q5395">
        <v>0</v>
      </c>
      <c r="R5395" s="3">
        <v>0</v>
      </c>
      <c r="S5395" s="3">
        <v>1</v>
      </c>
      <c r="T5395">
        <v>0</v>
      </c>
      <c r="U5395">
        <v>50</v>
      </c>
      <c r="V5395" s="3">
        <v>0</v>
      </c>
      <c r="W5395" s="3">
        <v>1</v>
      </c>
      <c r="X5395">
        <v>0</v>
      </c>
      <c r="Y5395" t="s">
        <v>4036</v>
      </c>
    </row>
    <row r="5396" spans="1:25" hidden="1" x14ac:dyDescent="0.25">
      <c r="A5396" t="s">
        <v>344</v>
      </c>
      <c r="B5396" t="s">
        <v>120</v>
      </c>
      <c r="C5396" t="s">
        <v>44</v>
      </c>
      <c r="D5396" t="s">
        <v>27</v>
      </c>
      <c r="E5396" s="2">
        <v>46152</v>
      </c>
      <c r="F5396" s="2">
        <v>46152</v>
      </c>
      <c r="G5396" s="3">
        <v>68</v>
      </c>
      <c r="H5396" t="s">
        <v>28</v>
      </c>
      <c r="I5396">
        <v>0</v>
      </c>
      <c r="J5396">
        <v>0</v>
      </c>
      <c r="K5396">
        <v>0</v>
      </c>
      <c r="L5396" s="3">
        <v>1</v>
      </c>
      <c r="M5396" s="3">
        <v>0</v>
      </c>
      <c r="N5396">
        <v>0</v>
      </c>
      <c r="O5396">
        <v>0</v>
      </c>
      <c r="P5396">
        <v>0</v>
      </c>
      <c r="Q5396">
        <v>0</v>
      </c>
      <c r="R5396" s="3">
        <v>0</v>
      </c>
      <c r="S5396" s="3">
        <v>1</v>
      </c>
      <c r="T5396">
        <v>0</v>
      </c>
      <c r="U5396">
        <v>33</v>
      </c>
      <c r="V5396" s="3">
        <v>0</v>
      </c>
      <c r="W5396" s="3">
        <v>1</v>
      </c>
      <c r="X5396">
        <v>0</v>
      </c>
      <c r="Y5396" t="s">
        <v>4036</v>
      </c>
    </row>
    <row r="5397" spans="1:25" hidden="1" x14ac:dyDescent="0.25">
      <c r="A5397" t="s">
        <v>55</v>
      </c>
      <c r="B5397" t="s">
        <v>2072</v>
      </c>
      <c r="C5397" t="s">
        <v>3736</v>
      </c>
      <c r="D5397" t="s">
        <v>27</v>
      </c>
      <c r="E5397" s="2">
        <v>46153</v>
      </c>
      <c r="F5397" s="2">
        <v>46153</v>
      </c>
      <c r="G5397" s="3">
        <v>45</v>
      </c>
      <c r="H5397" t="s">
        <v>28</v>
      </c>
      <c r="I5397">
        <v>35</v>
      </c>
      <c r="J5397">
        <v>0</v>
      </c>
      <c r="K5397">
        <v>0</v>
      </c>
      <c r="L5397" s="3">
        <v>1</v>
      </c>
      <c r="M5397" s="3">
        <v>0</v>
      </c>
      <c r="N5397">
        <v>1</v>
      </c>
      <c r="O5397">
        <v>0</v>
      </c>
      <c r="P5397">
        <v>0</v>
      </c>
      <c r="Q5397">
        <v>0</v>
      </c>
      <c r="R5397" s="3">
        <v>0</v>
      </c>
      <c r="S5397" s="3">
        <v>0</v>
      </c>
      <c r="T5397">
        <v>0</v>
      </c>
      <c r="U5397">
        <v>0</v>
      </c>
      <c r="V5397" s="3">
        <v>0</v>
      </c>
      <c r="W5397" s="3">
        <v>0</v>
      </c>
      <c r="X5397">
        <v>0</v>
      </c>
      <c r="Y5397" t="s">
        <v>4039</v>
      </c>
    </row>
    <row r="5398" spans="1:25" hidden="1" x14ac:dyDescent="0.25">
      <c r="A5398" t="s">
        <v>25</v>
      </c>
      <c r="B5398" t="s">
        <v>96</v>
      </c>
      <c r="C5398" t="s">
        <v>26</v>
      </c>
      <c r="D5398" t="s">
        <v>27</v>
      </c>
      <c r="E5398" s="2">
        <v>46153</v>
      </c>
      <c r="F5398" s="2">
        <v>46153</v>
      </c>
      <c r="G5398" s="3">
        <v>43</v>
      </c>
      <c r="H5398" t="s">
        <v>28</v>
      </c>
      <c r="I5398">
        <v>80</v>
      </c>
      <c r="J5398">
        <v>0</v>
      </c>
      <c r="K5398">
        <v>0</v>
      </c>
      <c r="L5398" s="3">
        <v>1</v>
      </c>
      <c r="M5398" s="3">
        <v>0</v>
      </c>
      <c r="N5398">
        <v>1</v>
      </c>
      <c r="O5398">
        <v>0</v>
      </c>
      <c r="P5398">
        <v>0</v>
      </c>
      <c r="Q5398">
        <v>0</v>
      </c>
      <c r="R5398" s="3">
        <v>0</v>
      </c>
      <c r="S5398" s="3">
        <v>0</v>
      </c>
      <c r="T5398">
        <v>0</v>
      </c>
      <c r="U5398">
        <v>0</v>
      </c>
      <c r="V5398" s="3">
        <v>0</v>
      </c>
      <c r="W5398" s="3">
        <v>0</v>
      </c>
      <c r="X5398">
        <v>0</v>
      </c>
      <c r="Y5398" t="s">
        <v>4040</v>
      </c>
    </row>
    <row r="5399" spans="1:25" hidden="1" x14ac:dyDescent="0.25">
      <c r="A5399" t="s">
        <v>29</v>
      </c>
      <c r="B5399" t="s">
        <v>100</v>
      </c>
      <c r="C5399" t="s">
        <v>95</v>
      </c>
      <c r="D5399" t="s">
        <v>27</v>
      </c>
      <c r="E5399" s="2">
        <v>46153</v>
      </c>
      <c r="F5399" s="2">
        <v>46153</v>
      </c>
      <c r="G5399" s="3">
        <v>48</v>
      </c>
      <c r="H5399" t="s">
        <v>28</v>
      </c>
      <c r="I5399">
        <v>57</v>
      </c>
      <c r="J5399">
        <v>0</v>
      </c>
      <c r="K5399">
        <v>0</v>
      </c>
      <c r="L5399" s="3">
        <v>1</v>
      </c>
      <c r="M5399" s="3">
        <v>0</v>
      </c>
      <c r="N5399">
        <v>0</v>
      </c>
      <c r="O5399">
        <v>0</v>
      </c>
      <c r="P5399">
        <v>20</v>
      </c>
      <c r="Q5399">
        <v>17</v>
      </c>
      <c r="R5399" s="3">
        <v>0</v>
      </c>
      <c r="S5399" s="3">
        <v>0</v>
      </c>
      <c r="T5399">
        <v>0</v>
      </c>
      <c r="U5399">
        <v>0</v>
      </c>
      <c r="V5399" s="3">
        <v>0</v>
      </c>
      <c r="W5399" s="3">
        <v>0</v>
      </c>
      <c r="X5399">
        <v>0</v>
      </c>
      <c r="Y5399" t="s">
        <v>4041</v>
      </c>
    </row>
    <row r="5400" spans="1:25" hidden="1" x14ac:dyDescent="0.25">
      <c r="A5400" t="s">
        <v>344</v>
      </c>
      <c r="B5400" t="s">
        <v>100</v>
      </c>
      <c r="C5400" t="s">
        <v>44</v>
      </c>
      <c r="D5400" t="s">
        <v>27</v>
      </c>
      <c r="E5400" s="2">
        <v>46153</v>
      </c>
      <c r="F5400" s="2">
        <v>46153</v>
      </c>
      <c r="G5400" s="3">
        <v>48</v>
      </c>
      <c r="H5400" t="s">
        <v>28</v>
      </c>
      <c r="I5400">
        <v>57</v>
      </c>
      <c r="J5400">
        <v>0</v>
      </c>
      <c r="K5400">
        <v>0</v>
      </c>
      <c r="L5400" s="3">
        <v>1</v>
      </c>
      <c r="M5400" s="3">
        <v>0</v>
      </c>
      <c r="N5400">
        <v>0</v>
      </c>
      <c r="O5400">
        <v>0</v>
      </c>
      <c r="P5400">
        <v>20</v>
      </c>
      <c r="Q5400">
        <v>17</v>
      </c>
      <c r="R5400" s="3">
        <v>0</v>
      </c>
      <c r="S5400" s="3">
        <v>0</v>
      </c>
      <c r="T5400">
        <v>0</v>
      </c>
      <c r="U5400">
        <v>0</v>
      </c>
      <c r="V5400" s="3">
        <v>0</v>
      </c>
      <c r="W5400" s="3">
        <v>0</v>
      </c>
      <c r="X5400">
        <v>0</v>
      </c>
      <c r="Y5400" t="s">
        <v>4041</v>
      </c>
    </row>
    <row r="5401" spans="1:25" hidden="1" x14ac:dyDescent="0.25">
      <c r="A5401" t="s">
        <v>31</v>
      </c>
      <c r="B5401" t="s">
        <v>104</v>
      </c>
      <c r="C5401" t="s">
        <v>32</v>
      </c>
      <c r="D5401" t="s">
        <v>27</v>
      </c>
      <c r="E5401" s="2">
        <v>46153</v>
      </c>
      <c r="F5401" s="2">
        <v>46153</v>
      </c>
      <c r="G5401" s="3">
        <v>63</v>
      </c>
      <c r="H5401" t="s">
        <v>28</v>
      </c>
      <c r="I5401">
        <v>92</v>
      </c>
      <c r="J5401">
        <v>0</v>
      </c>
      <c r="K5401">
        <v>0</v>
      </c>
      <c r="L5401" s="3">
        <v>1</v>
      </c>
      <c r="M5401" s="3">
        <v>0</v>
      </c>
      <c r="N5401">
        <v>0</v>
      </c>
      <c r="O5401">
        <v>0</v>
      </c>
      <c r="P5401">
        <v>0</v>
      </c>
      <c r="Q5401">
        <v>36</v>
      </c>
      <c r="R5401" s="3">
        <v>0</v>
      </c>
      <c r="S5401" s="3">
        <v>0</v>
      </c>
      <c r="T5401">
        <v>0</v>
      </c>
      <c r="U5401">
        <v>0</v>
      </c>
      <c r="V5401" s="3">
        <v>0</v>
      </c>
      <c r="W5401" s="3">
        <v>0</v>
      </c>
      <c r="X5401">
        <v>1</v>
      </c>
      <c r="Y5401" t="s">
        <v>4042</v>
      </c>
    </row>
    <row r="5402" spans="1:25" hidden="1" x14ac:dyDescent="0.25">
      <c r="A5402" t="s">
        <v>33</v>
      </c>
      <c r="B5402" t="s">
        <v>106</v>
      </c>
      <c r="C5402" t="s">
        <v>57</v>
      </c>
      <c r="D5402" t="s">
        <v>27</v>
      </c>
      <c r="E5402" s="2">
        <v>46153</v>
      </c>
      <c r="F5402" s="2">
        <v>46153</v>
      </c>
      <c r="G5402" s="3">
        <v>78</v>
      </c>
      <c r="H5402" t="s">
        <v>28</v>
      </c>
      <c r="I5402">
        <v>58</v>
      </c>
      <c r="J5402">
        <v>0</v>
      </c>
      <c r="K5402">
        <v>0</v>
      </c>
      <c r="L5402" s="3">
        <v>0</v>
      </c>
      <c r="M5402" s="3">
        <v>0</v>
      </c>
      <c r="N5402">
        <v>0</v>
      </c>
      <c r="O5402">
        <v>0</v>
      </c>
      <c r="P5402">
        <v>0</v>
      </c>
      <c r="Q5402">
        <v>21</v>
      </c>
      <c r="R5402" s="3">
        <v>0</v>
      </c>
      <c r="S5402" s="3">
        <v>0</v>
      </c>
      <c r="T5402">
        <v>0</v>
      </c>
      <c r="U5402">
        <v>0</v>
      </c>
      <c r="V5402" s="3">
        <v>0</v>
      </c>
      <c r="W5402" s="3">
        <v>0</v>
      </c>
      <c r="X5402">
        <v>0</v>
      </c>
      <c r="Y5402" t="s">
        <v>4043</v>
      </c>
    </row>
    <row r="5403" spans="1:25" hidden="1" x14ac:dyDescent="0.25">
      <c r="A5403" t="s">
        <v>36</v>
      </c>
      <c r="B5403" t="s">
        <v>249</v>
      </c>
      <c r="C5403" t="s">
        <v>2514</v>
      </c>
      <c r="D5403" t="s">
        <v>27</v>
      </c>
      <c r="E5403" s="2">
        <v>46153</v>
      </c>
      <c r="F5403" s="2">
        <v>46153</v>
      </c>
      <c r="G5403" s="3">
        <v>56</v>
      </c>
      <c r="H5403" t="s">
        <v>28</v>
      </c>
      <c r="I5403">
        <v>55</v>
      </c>
      <c r="J5403">
        <v>0</v>
      </c>
      <c r="K5403">
        <v>0</v>
      </c>
      <c r="L5403" s="3">
        <v>1</v>
      </c>
      <c r="M5403" s="3">
        <v>0</v>
      </c>
      <c r="N5403">
        <v>0</v>
      </c>
      <c r="O5403">
        <v>0</v>
      </c>
      <c r="P5403">
        <v>0</v>
      </c>
      <c r="Q5403">
        <v>25</v>
      </c>
      <c r="R5403" s="3">
        <v>0</v>
      </c>
      <c r="S5403" s="3">
        <v>0</v>
      </c>
      <c r="T5403">
        <v>0</v>
      </c>
      <c r="U5403">
        <v>0</v>
      </c>
      <c r="V5403" s="3">
        <v>0</v>
      </c>
      <c r="W5403" s="3">
        <v>0</v>
      </c>
      <c r="X5403">
        <v>0</v>
      </c>
      <c r="Y5403" t="s">
        <v>4044</v>
      </c>
    </row>
    <row r="5404" spans="1:25" hidden="1" x14ac:dyDescent="0.25">
      <c r="A5404" t="s">
        <v>38</v>
      </c>
      <c r="B5404" t="s">
        <v>108</v>
      </c>
      <c r="C5404" t="s">
        <v>27</v>
      </c>
      <c r="D5404" t="s">
        <v>27</v>
      </c>
      <c r="E5404" s="2">
        <v>46153</v>
      </c>
      <c r="F5404" s="2">
        <v>46153</v>
      </c>
      <c r="G5404" s="3">
        <v>64</v>
      </c>
      <c r="H5404" t="s">
        <v>28</v>
      </c>
      <c r="I5404">
        <v>45</v>
      </c>
      <c r="J5404">
        <v>0</v>
      </c>
      <c r="K5404">
        <v>0</v>
      </c>
      <c r="L5404" s="3">
        <v>1</v>
      </c>
      <c r="M5404" s="3">
        <v>0</v>
      </c>
      <c r="N5404">
        <v>0</v>
      </c>
      <c r="O5404">
        <v>0</v>
      </c>
      <c r="P5404">
        <v>0</v>
      </c>
      <c r="Q5404">
        <v>45</v>
      </c>
      <c r="R5404" s="3">
        <v>0</v>
      </c>
      <c r="S5404" s="3">
        <v>0</v>
      </c>
      <c r="T5404">
        <v>0</v>
      </c>
      <c r="U5404">
        <v>0</v>
      </c>
      <c r="V5404" s="3">
        <v>0</v>
      </c>
      <c r="W5404" s="3">
        <v>0</v>
      </c>
      <c r="X5404">
        <v>0</v>
      </c>
      <c r="Y5404" t="s">
        <v>4045</v>
      </c>
    </row>
    <row r="5405" spans="1:25" hidden="1" x14ac:dyDescent="0.25">
      <c r="A5405" t="s">
        <v>3929</v>
      </c>
      <c r="B5405" t="s">
        <v>2680</v>
      </c>
      <c r="C5405" t="s">
        <v>39</v>
      </c>
      <c r="D5405" t="s">
        <v>27</v>
      </c>
      <c r="E5405" s="2">
        <v>46153</v>
      </c>
      <c r="F5405" s="2">
        <v>46153</v>
      </c>
      <c r="G5405" s="3">
        <v>34</v>
      </c>
      <c r="H5405" t="s">
        <v>28</v>
      </c>
      <c r="I5405">
        <v>37</v>
      </c>
      <c r="J5405">
        <v>0</v>
      </c>
      <c r="K5405">
        <v>0</v>
      </c>
      <c r="L5405" s="3">
        <v>0</v>
      </c>
      <c r="M5405" s="3">
        <v>0</v>
      </c>
      <c r="N5405">
        <v>0</v>
      </c>
      <c r="O5405">
        <v>0</v>
      </c>
      <c r="P5405">
        <v>0</v>
      </c>
      <c r="Q5405">
        <v>37</v>
      </c>
      <c r="R5405" s="3">
        <v>0</v>
      </c>
      <c r="S5405" s="3">
        <v>0</v>
      </c>
      <c r="T5405">
        <v>0</v>
      </c>
      <c r="U5405">
        <v>0</v>
      </c>
      <c r="V5405" s="3">
        <v>0</v>
      </c>
      <c r="W5405" s="3">
        <v>0</v>
      </c>
      <c r="X5405">
        <v>0</v>
      </c>
      <c r="Y5405" t="s">
        <v>4046</v>
      </c>
    </row>
    <row r="5406" spans="1:25" hidden="1" x14ac:dyDescent="0.25">
      <c r="A5406" t="s">
        <v>40</v>
      </c>
      <c r="B5406" t="s">
        <v>110</v>
      </c>
      <c r="C5406" t="s">
        <v>2534</v>
      </c>
      <c r="D5406" t="s">
        <v>27</v>
      </c>
      <c r="E5406" s="2">
        <v>46153</v>
      </c>
      <c r="F5406" s="2">
        <v>46153</v>
      </c>
      <c r="G5406" s="3">
        <v>47</v>
      </c>
      <c r="H5406" t="s">
        <v>28</v>
      </c>
      <c r="I5406">
        <v>33</v>
      </c>
      <c r="J5406">
        <v>0</v>
      </c>
      <c r="K5406">
        <v>0</v>
      </c>
      <c r="L5406" s="3">
        <v>1</v>
      </c>
      <c r="M5406" s="3">
        <v>0</v>
      </c>
      <c r="N5406">
        <v>1</v>
      </c>
      <c r="O5406">
        <v>0</v>
      </c>
      <c r="P5406">
        <v>0</v>
      </c>
      <c r="Q5406">
        <v>18</v>
      </c>
      <c r="R5406" s="3">
        <v>0</v>
      </c>
      <c r="S5406" s="3">
        <v>0</v>
      </c>
      <c r="T5406">
        <v>0</v>
      </c>
      <c r="U5406">
        <v>0</v>
      </c>
      <c r="V5406" s="3">
        <v>0</v>
      </c>
      <c r="W5406" s="3">
        <v>0</v>
      </c>
      <c r="X5406">
        <v>0</v>
      </c>
      <c r="Y5406" t="s">
        <v>4047</v>
      </c>
    </row>
    <row r="5407" spans="1:25" hidden="1" x14ac:dyDescent="0.25">
      <c r="A5407" t="s">
        <v>41</v>
      </c>
      <c r="B5407" t="s">
        <v>112</v>
      </c>
      <c r="C5407" t="s">
        <v>42</v>
      </c>
      <c r="D5407" t="s">
        <v>27</v>
      </c>
      <c r="E5407" s="2">
        <v>46153</v>
      </c>
      <c r="F5407" s="2">
        <v>46153</v>
      </c>
      <c r="G5407" s="3">
        <v>40</v>
      </c>
      <c r="H5407" t="s">
        <v>28</v>
      </c>
      <c r="I5407">
        <v>39</v>
      </c>
      <c r="J5407">
        <v>3</v>
      </c>
      <c r="K5407">
        <v>0</v>
      </c>
      <c r="L5407" s="3">
        <v>1</v>
      </c>
      <c r="M5407" s="3">
        <v>0</v>
      </c>
      <c r="N5407">
        <v>0</v>
      </c>
      <c r="O5407">
        <v>0</v>
      </c>
      <c r="P5407">
        <v>0</v>
      </c>
      <c r="Q5407">
        <v>4</v>
      </c>
      <c r="R5407" s="3">
        <v>0</v>
      </c>
      <c r="S5407" s="3">
        <v>0</v>
      </c>
      <c r="T5407">
        <v>0</v>
      </c>
      <c r="U5407">
        <v>0</v>
      </c>
      <c r="V5407" s="3">
        <v>0</v>
      </c>
      <c r="W5407" s="3">
        <v>0</v>
      </c>
      <c r="X5407">
        <v>0</v>
      </c>
      <c r="Y5407" t="s">
        <v>4048</v>
      </c>
    </row>
    <row r="5408" spans="1:25" hidden="1" x14ac:dyDescent="0.25">
      <c r="A5408" t="s">
        <v>45</v>
      </c>
      <c r="B5408" t="s">
        <v>116</v>
      </c>
      <c r="C5408" t="s">
        <v>46</v>
      </c>
      <c r="D5408" t="s">
        <v>27</v>
      </c>
      <c r="E5408" s="2">
        <v>46153</v>
      </c>
      <c r="F5408" s="2">
        <v>46153</v>
      </c>
      <c r="G5408" s="3">
        <v>48</v>
      </c>
      <c r="H5408" t="s">
        <v>28</v>
      </c>
      <c r="I5408">
        <v>63</v>
      </c>
      <c r="J5408">
        <v>0</v>
      </c>
      <c r="K5408">
        <v>0</v>
      </c>
      <c r="L5408" s="3">
        <v>1</v>
      </c>
      <c r="M5408" s="3">
        <v>0</v>
      </c>
      <c r="N5408">
        <v>0</v>
      </c>
      <c r="O5408">
        <v>0</v>
      </c>
      <c r="P5408">
        <v>0</v>
      </c>
      <c r="Q5408">
        <v>6</v>
      </c>
      <c r="R5408" s="3">
        <v>0</v>
      </c>
      <c r="S5408" s="3">
        <v>0</v>
      </c>
      <c r="T5408">
        <v>0</v>
      </c>
      <c r="U5408">
        <v>0</v>
      </c>
      <c r="V5408" s="3">
        <v>0</v>
      </c>
      <c r="W5408" s="3">
        <v>0</v>
      </c>
      <c r="X5408">
        <v>0</v>
      </c>
      <c r="Y5408" t="s">
        <v>4049</v>
      </c>
    </row>
    <row r="5409" spans="1:25" hidden="1" x14ac:dyDescent="0.25">
      <c r="A5409" t="s">
        <v>49</v>
      </c>
      <c r="B5409" t="s">
        <v>118</v>
      </c>
      <c r="C5409" t="s">
        <v>50</v>
      </c>
      <c r="D5409" t="s">
        <v>27</v>
      </c>
      <c r="E5409" s="2">
        <v>46153</v>
      </c>
      <c r="F5409" s="2">
        <v>46153</v>
      </c>
      <c r="G5409" s="3">
        <v>28</v>
      </c>
      <c r="H5409" t="s">
        <v>28</v>
      </c>
      <c r="I5409">
        <v>25</v>
      </c>
      <c r="J5409">
        <v>0</v>
      </c>
      <c r="K5409">
        <v>0</v>
      </c>
      <c r="L5409" s="3">
        <v>1</v>
      </c>
      <c r="M5409" s="3">
        <v>1</v>
      </c>
      <c r="N5409">
        <v>0</v>
      </c>
      <c r="O5409">
        <v>0</v>
      </c>
      <c r="P5409">
        <v>0</v>
      </c>
      <c r="Q5409">
        <v>25</v>
      </c>
      <c r="R5409" s="3">
        <v>0</v>
      </c>
      <c r="S5409" s="3">
        <v>0</v>
      </c>
      <c r="T5409">
        <v>0</v>
      </c>
      <c r="U5409">
        <v>0</v>
      </c>
      <c r="V5409" s="3">
        <v>0</v>
      </c>
      <c r="W5409" s="3">
        <v>0</v>
      </c>
      <c r="X5409">
        <v>0</v>
      </c>
      <c r="Y5409" t="s">
        <v>4050</v>
      </c>
    </row>
    <row r="5410" spans="1:25" hidden="1" x14ac:dyDescent="0.25">
      <c r="A5410" t="s">
        <v>51</v>
      </c>
      <c r="B5410" t="s">
        <v>120</v>
      </c>
      <c r="C5410" t="s">
        <v>2310</v>
      </c>
      <c r="D5410" t="s">
        <v>27</v>
      </c>
      <c r="E5410" s="2">
        <v>46153</v>
      </c>
      <c r="F5410" s="2">
        <v>46153</v>
      </c>
      <c r="G5410" s="3">
        <v>217</v>
      </c>
      <c r="H5410" t="s">
        <v>28</v>
      </c>
      <c r="I5410">
        <v>42</v>
      </c>
      <c r="J5410">
        <v>0</v>
      </c>
      <c r="K5410">
        <v>0</v>
      </c>
      <c r="L5410" s="3">
        <v>1</v>
      </c>
      <c r="M5410" s="3">
        <v>0</v>
      </c>
      <c r="N5410">
        <v>0</v>
      </c>
      <c r="O5410">
        <v>0</v>
      </c>
      <c r="P5410">
        <v>0</v>
      </c>
      <c r="Q5410">
        <v>6</v>
      </c>
      <c r="R5410" s="3">
        <v>0</v>
      </c>
      <c r="S5410" s="3">
        <v>0</v>
      </c>
      <c r="T5410">
        <v>0</v>
      </c>
      <c r="U5410">
        <v>0</v>
      </c>
      <c r="V5410" s="3">
        <v>0</v>
      </c>
      <c r="W5410" s="3">
        <v>0</v>
      </c>
      <c r="X5410">
        <v>0</v>
      </c>
      <c r="Y5410" t="s">
        <v>4051</v>
      </c>
    </row>
    <row r="5411" spans="1:25" x14ac:dyDescent="0.25">
      <c r="A5411" t="s">
        <v>54</v>
      </c>
      <c r="B5411" t="s">
        <v>122</v>
      </c>
      <c r="C5411" t="s">
        <v>2271</v>
      </c>
      <c r="D5411" t="s">
        <v>27</v>
      </c>
      <c r="E5411" s="2">
        <v>46153</v>
      </c>
      <c r="F5411" s="2">
        <v>46153</v>
      </c>
      <c r="G5411" s="3">
        <v>40</v>
      </c>
      <c r="H5411" t="s">
        <v>28</v>
      </c>
      <c r="I5411">
        <v>37</v>
      </c>
      <c r="J5411">
        <v>0</v>
      </c>
      <c r="K5411">
        <v>0</v>
      </c>
      <c r="L5411" s="3">
        <v>0</v>
      </c>
      <c r="M5411" s="3">
        <v>0</v>
      </c>
      <c r="N5411">
        <v>0</v>
      </c>
      <c r="O5411">
        <v>0</v>
      </c>
      <c r="P5411">
        <v>0</v>
      </c>
      <c r="Q5411">
        <v>2</v>
      </c>
      <c r="R5411" s="3">
        <v>0</v>
      </c>
      <c r="S5411" s="3">
        <v>0</v>
      </c>
      <c r="T5411">
        <v>0</v>
      </c>
      <c r="U5411">
        <v>0</v>
      </c>
      <c r="V5411" s="3">
        <v>0</v>
      </c>
      <c r="W5411" s="3">
        <v>0</v>
      </c>
      <c r="X5411">
        <v>0</v>
      </c>
      <c r="Y5411" t="s">
        <v>4052</v>
      </c>
    </row>
    <row r="5412" spans="1:25" hidden="1" x14ac:dyDescent="0.25">
      <c r="A5412" t="s">
        <v>48</v>
      </c>
      <c r="B5412" t="s">
        <v>149</v>
      </c>
      <c r="C5412" t="s">
        <v>37</v>
      </c>
      <c r="D5412" t="s">
        <v>27</v>
      </c>
      <c r="E5412" s="2">
        <v>46153</v>
      </c>
      <c r="F5412" s="2">
        <v>46153</v>
      </c>
      <c r="G5412" s="3">
        <v>25</v>
      </c>
      <c r="H5412" t="s">
        <v>28</v>
      </c>
      <c r="I5412">
        <v>80</v>
      </c>
      <c r="J5412">
        <v>0</v>
      </c>
      <c r="K5412">
        <v>0</v>
      </c>
      <c r="L5412" s="3">
        <v>0</v>
      </c>
      <c r="M5412" s="3">
        <v>0</v>
      </c>
      <c r="N5412">
        <v>0</v>
      </c>
      <c r="O5412">
        <v>0</v>
      </c>
      <c r="P5412">
        <v>0</v>
      </c>
      <c r="Q5412">
        <v>0</v>
      </c>
      <c r="R5412" s="3">
        <v>0</v>
      </c>
      <c r="S5412" s="3">
        <v>0</v>
      </c>
      <c r="T5412">
        <v>0</v>
      </c>
      <c r="U5412">
        <v>0</v>
      </c>
      <c r="V5412" s="3">
        <v>0</v>
      </c>
      <c r="W5412" s="3">
        <v>0</v>
      </c>
      <c r="X5412">
        <v>0</v>
      </c>
      <c r="Y5412" t="s">
        <v>4053</v>
      </c>
    </row>
    <row r="5413" spans="1:25" hidden="1" x14ac:dyDescent="0.25">
      <c r="A5413" t="s">
        <v>43</v>
      </c>
      <c r="C5413" t="s">
        <v>27</v>
      </c>
      <c r="D5413" t="s">
        <v>27</v>
      </c>
      <c r="E5413" s="2">
        <v>46153</v>
      </c>
      <c r="F5413" s="2">
        <v>46153</v>
      </c>
      <c r="G5413" s="3">
        <v>26</v>
      </c>
      <c r="H5413" t="s">
        <v>180</v>
      </c>
      <c r="I5413">
        <v>0</v>
      </c>
      <c r="J5413">
        <v>0</v>
      </c>
      <c r="K5413">
        <v>0</v>
      </c>
      <c r="L5413" s="3">
        <v>0</v>
      </c>
      <c r="M5413" s="3">
        <v>0</v>
      </c>
      <c r="N5413">
        <v>0</v>
      </c>
      <c r="O5413">
        <v>0</v>
      </c>
      <c r="P5413">
        <v>0</v>
      </c>
      <c r="Q5413">
        <v>0</v>
      </c>
      <c r="R5413" s="3">
        <v>0</v>
      </c>
      <c r="S5413" s="3">
        <v>0</v>
      </c>
      <c r="T5413">
        <v>0</v>
      </c>
      <c r="U5413">
        <v>0</v>
      </c>
      <c r="V5413" s="3">
        <v>0</v>
      </c>
      <c r="W5413" s="3">
        <v>0</v>
      </c>
      <c r="X5413" s="3">
        <v>0</v>
      </c>
      <c r="Y5413" t="s">
        <v>4053</v>
      </c>
    </row>
    <row r="5414" spans="1:25" hidden="1" x14ac:dyDescent="0.25">
      <c r="A5414" t="s">
        <v>47</v>
      </c>
      <c r="B5414" t="s">
        <v>755</v>
      </c>
      <c r="C5414" t="s">
        <v>27</v>
      </c>
      <c r="D5414" t="s">
        <v>27</v>
      </c>
      <c r="E5414" s="2">
        <v>46153</v>
      </c>
      <c r="F5414" s="2">
        <v>46153</v>
      </c>
      <c r="G5414" s="3">
        <v>55</v>
      </c>
      <c r="H5414" t="s">
        <v>1256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 t="s">
        <v>3856</v>
      </c>
    </row>
    <row r="5415" spans="1:25" hidden="1" x14ac:dyDescent="0.25">
      <c r="A5415" t="s">
        <v>438</v>
      </c>
      <c r="B5415" t="s">
        <v>798</v>
      </c>
      <c r="C5415" t="s">
        <v>27</v>
      </c>
      <c r="D5415" t="s">
        <v>27</v>
      </c>
      <c r="E5415" s="2">
        <v>46153</v>
      </c>
      <c r="F5415" s="2">
        <v>46153</v>
      </c>
      <c r="G5415" s="3">
        <v>57</v>
      </c>
      <c r="H5415" t="s">
        <v>1256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 t="s">
        <v>3856</v>
      </c>
    </row>
    <row r="5416" spans="1:25" hidden="1" x14ac:dyDescent="0.25">
      <c r="A5416" t="s">
        <v>27</v>
      </c>
      <c r="B5416" t="s">
        <v>3525</v>
      </c>
      <c r="C5416" t="s">
        <v>52</v>
      </c>
      <c r="D5416" t="s">
        <v>27</v>
      </c>
      <c r="E5416" s="2">
        <v>46153</v>
      </c>
      <c r="F5416" s="2">
        <v>46153</v>
      </c>
      <c r="G5416" s="3">
        <v>60</v>
      </c>
      <c r="H5416" t="s">
        <v>180</v>
      </c>
      <c r="I5416">
        <v>0</v>
      </c>
      <c r="J5416">
        <v>0</v>
      </c>
      <c r="K5416">
        <v>0</v>
      </c>
      <c r="L5416" s="3">
        <v>0</v>
      </c>
      <c r="M5416" s="3">
        <v>0</v>
      </c>
      <c r="N5416">
        <v>0</v>
      </c>
      <c r="O5416">
        <v>0</v>
      </c>
      <c r="P5416">
        <v>0</v>
      </c>
      <c r="Q5416">
        <v>0</v>
      </c>
      <c r="R5416" s="3">
        <v>0</v>
      </c>
      <c r="S5416" s="3">
        <v>0</v>
      </c>
      <c r="T5416">
        <v>0</v>
      </c>
      <c r="U5416">
        <v>0</v>
      </c>
      <c r="V5416" s="3">
        <v>0</v>
      </c>
      <c r="W5416" s="3">
        <v>0</v>
      </c>
      <c r="X5416" s="3">
        <v>0</v>
      </c>
      <c r="Y5416" t="s">
        <v>3856</v>
      </c>
    </row>
    <row r="5417" spans="1:25" hidden="1" x14ac:dyDescent="0.25">
      <c r="A5417" t="s">
        <v>25</v>
      </c>
      <c r="B5417" t="s">
        <v>96</v>
      </c>
      <c r="C5417" t="s">
        <v>26</v>
      </c>
      <c r="D5417" t="s">
        <v>27</v>
      </c>
      <c r="E5417" s="2">
        <v>46154</v>
      </c>
      <c r="F5417" s="2">
        <v>46154</v>
      </c>
      <c r="G5417" s="3">
        <v>46</v>
      </c>
      <c r="H5417" t="s">
        <v>28</v>
      </c>
      <c r="I5417">
        <v>33</v>
      </c>
      <c r="J5417">
        <v>0</v>
      </c>
      <c r="K5417">
        <v>0</v>
      </c>
      <c r="L5417" s="3">
        <v>1</v>
      </c>
      <c r="M5417" s="3">
        <v>0</v>
      </c>
      <c r="N5417">
        <v>2</v>
      </c>
      <c r="O5417">
        <v>0</v>
      </c>
      <c r="P5417">
        <v>0</v>
      </c>
      <c r="Q5417">
        <v>0</v>
      </c>
      <c r="R5417" s="3">
        <v>0</v>
      </c>
      <c r="S5417" s="3">
        <v>0</v>
      </c>
      <c r="T5417">
        <v>0</v>
      </c>
      <c r="U5417">
        <v>0</v>
      </c>
      <c r="V5417" s="3">
        <v>0</v>
      </c>
      <c r="W5417" s="3">
        <v>0</v>
      </c>
      <c r="X5417">
        <v>0</v>
      </c>
      <c r="Y5417" t="s">
        <v>4054</v>
      </c>
    </row>
    <row r="5418" spans="1:25" hidden="1" x14ac:dyDescent="0.25">
      <c r="A5418" t="s">
        <v>344</v>
      </c>
      <c r="B5418" t="s">
        <v>100</v>
      </c>
      <c r="C5418" t="s">
        <v>44</v>
      </c>
      <c r="D5418" t="s">
        <v>27</v>
      </c>
      <c r="E5418" s="2">
        <v>46154</v>
      </c>
      <c r="F5418" s="2">
        <v>46154</v>
      </c>
      <c r="G5418" s="3">
        <v>48</v>
      </c>
      <c r="H5418" t="s">
        <v>28</v>
      </c>
      <c r="I5418">
        <v>60</v>
      </c>
      <c r="J5418">
        <v>0</v>
      </c>
      <c r="K5418">
        <v>0</v>
      </c>
      <c r="L5418" s="3">
        <v>1</v>
      </c>
      <c r="M5418" s="3">
        <v>0</v>
      </c>
      <c r="N5418">
        <v>0</v>
      </c>
      <c r="O5418">
        <v>0</v>
      </c>
      <c r="P5418">
        <v>20</v>
      </c>
      <c r="Q5418">
        <v>17</v>
      </c>
      <c r="R5418" s="3">
        <v>0</v>
      </c>
      <c r="S5418" s="3">
        <v>0</v>
      </c>
      <c r="T5418">
        <v>0</v>
      </c>
      <c r="U5418">
        <v>0</v>
      </c>
      <c r="V5418" s="3">
        <v>0</v>
      </c>
      <c r="W5418" s="3">
        <v>0</v>
      </c>
      <c r="X5418">
        <v>0</v>
      </c>
      <c r="Y5418" t="s">
        <v>4041</v>
      </c>
    </row>
    <row r="5419" spans="1:25" hidden="1" x14ac:dyDescent="0.25">
      <c r="A5419" t="s">
        <v>31</v>
      </c>
      <c r="B5419" t="s">
        <v>104</v>
      </c>
      <c r="C5419" t="s">
        <v>32</v>
      </c>
      <c r="D5419" t="s">
        <v>27</v>
      </c>
      <c r="E5419" s="2">
        <v>46154</v>
      </c>
      <c r="F5419" s="2">
        <v>46154</v>
      </c>
      <c r="G5419" s="3">
        <v>34</v>
      </c>
      <c r="H5419" t="s">
        <v>28</v>
      </c>
      <c r="I5419">
        <v>65</v>
      </c>
      <c r="J5419">
        <v>0</v>
      </c>
      <c r="K5419">
        <v>0</v>
      </c>
      <c r="L5419" s="3">
        <v>1</v>
      </c>
      <c r="M5419" s="3">
        <v>0</v>
      </c>
      <c r="N5419">
        <v>0</v>
      </c>
      <c r="O5419">
        <v>0</v>
      </c>
      <c r="P5419">
        <v>0</v>
      </c>
      <c r="Q5419">
        <v>36</v>
      </c>
      <c r="R5419" s="3">
        <v>0</v>
      </c>
      <c r="S5419" s="3">
        <v>0</v>
      </c>
      <c r="T5419">
        <v>0</v>
      </c>
      <c r="U5419">
        <v>0</v>
      </c>
      <c r="V5419" s="3">
        <v>0</v>
      </c>
      <c r="W5419" s="3">
        <v>0</v>
      </c>
      <c r="X5419">
        <v>0</v>
      </c>
      <c r="Y5419" t="s">
        <v>4055</v>
      </c>
    </row>
    <row r="5420" spans="1:25" hidden="1" x14ac:dyDescent="0.25">
      <c r="A5420" t="s">
        <v>36</v>
      </c>
      <c r="B5420" t="s">
        <v>249</v>
      </c>
      <c r="C5420" t="s">
        <v>2514</v>
      </c>
      <c r="D5420" t="s">
        <v>27</v>
      </c>
      <c r="E5420" s="2">
        <v>46154</v>
      </c>
      <c r="F5420" s="2">
        <v>46154</v>
      </c>
      <c r="G5420" s="3">
        <v>52</v>
      </c>
      <c r="H5420" t="s">
        <v>28</v>
      </c>
      <c r="I5420">
        <v>35</v>
      </c>
      <c r="J5420">
        <v>0</v>
      </c>
      <c r="K5420">
        <v>0</v>
      </c>
      <c r="L5420" s="3">
        <v>1</v>
      </c>
      <c r="M5420" s="3">
        <v>0</v>
      </c>
      <c r="N5420">
        <v>0</v>
      </c>
      <c r="O5420">
        <v>0</v>
      </c>
      <c r="P5420">
        <v>0</v>
      </c>
      <c r="Q5420">
        <v>5</v>
      </c>
      <c r="R5420" s="3">
        <v>0</v>
      </c>
      <c r="S5420" s="3">
        <v>0</v>
      </c>
      <c r="T5420">
        <v>0</v>
      </c>
      <c r="U5420">
        <v>0</v>
      </c>
      <c r="V5420" s="3">
        <v>0</v>
      </c>
      <c r="W5420" s="3">
        <v>0</v>
      </c>
      <c r="X5420">
        <v>0</v>
      </c>
      <c r="Y5420" t="s">
        <v>4056</v>
      </c>
    </row>
    <row r="5421" spans="1:25" hidden="1" x14ac:dyDescent="0.25">
      <c r="A5421" t="s">
        <v>38</v>
      </c>
      <c r="B5421" t="s">
        <v>108</v>
      </c>
      <c r="C5421" t="s">
        <v>27</v>
      </c>
      <c r="D5421" t="s">
        <v>27</v>
      </c>
      <c r="E5421" s="2">
        <v>46154</v>
      </c>
      <c r="F5421" s="2">
        <v>46154</v>
      </c>
      <c r="G5421" s="3">
        <v>41</v>
      </c>
      <c r="H5421" t="s">
        <v>28</v>
      </c>
      <c r="I5421">
        <v>22</v>
      </c>
      <c r="J5421">
        <v>0</v>
      </c>
      <c r="K5421">
        <v>0</v>
      </c>
      <c r="L5421" s="3">
        <v>1</v>
      </c>
      <c r="M5421" s="3">
        <v>0</v>
      </c>
      <c r="N5421">
        <v>0</v>
      </c>
      <c r="O5421">
        <v>0</v>
      </c>
      <c r="P5421">
        <v>0</v>
      </c>
      <c r="Q5421">
        <v>22</v>
      </c>
      <c r="R5421" s="3">
        <v>0</v>
      </c>
      <c r="S5421" s="3">
        <v>0</v>
      </c>
      <c r="T5421">
        <v>0</v>
      </c>
      <c r="U5421">
        <v>0</v>
      </c>
      <c r="V5421" s="3">
        <v>0</v>
      </c>
      <c r="W5421" s="3">
        <v>0</v>
      </c>
      <c r="X5421">
        <v>0</v>
      </c>
      <c r="Y5421" t="s">
        <v>4057</v>
      </c>
    </row>
    <row r="5422" spans="1:25" hidden="1" x14ac:dyDescent="0.25">
      <c r="A5422" t="s">
        <v>3929</v>
      </c>
      <c r="B5422" t="s">
        <v>2680</v>
      </c>
      <c r="C5422" t="s">
        <v>39</v>
      </c>
      <c r="D5422" t="s">
        <v>27</v>
      </c>
      <c r="E5422" s="2">
        <v>46154</v>
      </c>
      <c r="F5422" s="2">
        <v>46154</v>
      </c>
      <c r="G5422" s="3">
        <v>31</v>
      </c>
      <c r="H5422" t="s">
        <v>28</v>
      </c>
      <c r="I5422">
        <v>22</v>
      </c>
      <c r="J5422">
        <v>0</v>
      </c>
      <c r="K5422">
        <v>0</v>
      </c>
      <c r="L5422" s="3">
        <v>0</v>
      </c>
      <c r="M5422" s="3">
        <v>0</v>
      </c>
      <c r="N5422">
        <v>0</v>
      </c>
      <c r="O5422">
        <v>0</v>
      </c>
      <c r="P5422">
        <v>0</v>
      </c>
      <c r="Q5422">
        <v>22</v>
      </c>
      <c r="R5422" s="3">
        <v>0</v>
      </c>
      <c r="S5422" s="3">
        <v>0</v>
      </c>
      <c r="T5422">
        <v>0</v>
      </c>
      <c r="U5422">
        <v>0</v>
      </c>
      <c r="V5422" s="3">
        <v>0</v>
      </c>
      <c r="W5422" s="3">
        <v>0</v>
      </c>
      <c r="X5422">
        <v>0</v>
      </c>
      <c r="Y5422" t="s">
        <v>4058</v>
      </c>
    </row>
    <row r="5423" spans="1:25" hidden="1" x14ac:dyDescent="0.25">
      <c r="A5423" t="s">
        <v>29</v>
      </c>
      <c r="B5423" t="s">
        <v>110</v>
      </c>
      <c r="C5423" t="s">
        <v>2534</v>
      </c>
      <c r="D5423" t="s">
        <v>27</v>
      </c>
      <c r="E5423" s="2">
        <v>46154</v>
      </c>
      <c r="F5423" s="2">
        <v>46154</v>
      </c>
      <c r="G5423" s="3">
        <v>34</v>
      </c>
      <c r="H5423" t="s">
        <v>28</v>
      </c>
      <c r="I5423">
        <v>37</v>
      </c>
      <c r="J5423">
        <v>0</v>
      </c>
      <c r="K5423">
        <v>0</v>
      </c>
      <c r="L5423" s="3">
        <v>1</v>
      </c>
      <c r="M5423" s="3">
        <v>0</v>
      </c>
      <c r="N5423">
        <v>1</v>
      </c>
      <c r="O5423">
        <v>0</v>
      </c>
      <c r="P5423">
        <v>0</v>
      </c>
      <c r="Q5423">
        <v>0</v>
      </c>
      <c r="R5423" s="3">
        <v>0</v>
      </c>
      <c r="S5423" s="3">
        <v>0</v>
      </c>
      <c r="T5423">
        <v>0</v>
      </c>
      <c r="U5423">
        <v>0</v>
      </c>
      <c r="V5423" s="3">
        <v>0</v>
      </c>
      <c r="W5423" s="3">
        <v>0</v>
      </c>
      <c r="X5423">
        <v>0</v>
      </c>
      <c r="Y5423" t="s">
        <v>4059</v>
      </c>
    </row>
    <row r="5424" spans="1:25" hidden="1" x14ac:dyDescent="0.25">
      <c r="A5424" t="s">
        <v>41</v>
      </c>
      <c r="B5424" t="s">
        <v>112</v>
      </c>
      <c r="C5424" t="s">
        <v>42</v>
      </c>
      <c r="D5424" t="s">
        <v>27</v>
      </c>
      <c r="E5424" s="2">
        <v>46154</v>
      </c>
      <c r="F5424" s="2">
        <v>46154</v>
      </c>
      <c r="G5424" s="3">
        <v>46</v>
      </c>
      <c r="H5424" t="s">
        <v>28</v>
      </c>
      <c r="I5424">
        <v>43</v>
      </c>
      <c r="J5424">
        <v>0</v>
      </c>
      <c r="K5424">
        <v>0</v>
      </c>
      <c r="L5424" s="3">
        <v>1</v>
      </c>
      <c r="M5424" s="3">
        <v>0</v>
      </c>
      <c r="N5424">
        <v>0</v>
      </c>
      <c r="O5424">
        <v>0</v>
      </c>
      <c r="P5424">
        <v>0</v>
      </c>
      <c r="Q5424">
        <v>1</v>
      </c>
      <c r="R5424" s="3">
        <v>0</v>
      </c>
      <c r="S5424" s="3">
        <v>0</v>
      </c>
      <c r="T5424">
        <v>0</v>
      </c>
      <c r="U5424">
        <v>0</v>
      </c>
      <c r="V5424" s="3">
        <v>0</v>
      </c>
      <c r="W5424" s="3">
        <v>0</v>
      </c>
      <c r="X5424">
        <v>0</v>
      </c>
      <c r="Y5424" t="s">
        <v>4060</v>
      </c>
    </row>
    <row r="5425" spans="1:25" hidden="1" x14ac:dyDescent="0.25">
      <c r="A5425" t="s">
        <v>3960</v>
      </c>
      <c r="B5425" t="s">
        <v>114</v>
      </c>
      <c r="C5425" t="s">
        <v>35</v>
      </c>
      <c r="D5425" t="s">
        <v>27</v>
      </c>
      <c r="E5425" s="2">
        <v>46153</v>
      </c>
      <c r="F5425" s="2">
        <v>46153</v>
      </c>
      <c r="G5425" s="3">
        <v>44</v>
      </c>
      <c r="H5425" t="s">
        <v>28</v>
      </c>
      <c r="I5425">
        <v>28</v>
      </c>
      <c r="J5425">
        <v>0</v>
      </c>
      <c r="K5425">
        <v>0</v>
      </c>
      <c r="L5425" s="3">
        <v>0</v>
      </c>
      <c r="M5425" s="3">
        <v>0</v>
      </c>
      <c r="N5425">
        <v>0</v>
      </c>
      <c r="O5425">
        <v>0</v>
      </c>
      <c r="P5425">
        <v>0</v>
      </c>
      <c r="Q5425">
        <v>0</v>
      </c>
      <c r="R5425" s="3">
        <v>0</v>
      </c>
      <c r="S5425" s="3">
        <v>0</v>
      </c>
      <c r="T5425">
        <v>0</v>
      </c>
      <c r="U5425">
        <v>0</v>
      </c>
      <c r="V5425" s="3">
        <v>0</v>
      </c>
      <c r="W5425" s="3">
        <v>0</v>
      </c>
      <c r="X5425">
        <v>0</v>
      </c>
      <c r="Y5425" t="s">
        <v>4061</v>
      </c>
    </row>
    <row r="5426" spans="1:25" hidden="1" x14ac:dyDescent="0.25">
      <c r="A5426" t="s">
        <v>45</v>
      </c>
      <c r="B5426" t="s">
        <v>116</v>
      </c>
      <c r="C5426" t="s">
        <v>57</v>
      </c>
      <c r="D5426" t="s">
        <v>27</v>
      </c>
      <c r="E5426" s="2">
        <v>46154</v>
      </c>
      <c r="F5426" s="2">
        <v>46154</v>
      </c>
      <c r="G5426" s="3">
        <v>46</v>
      </c>
      <c r="H5426" t="s">
        <v>28</v>
      </c>
      <c r="I5426">
        <v>35</v>
      </c>
      <c r="J5426">
        <v>0</v>
      </c>
      <c r="K5426">
        <v>0</v>
      </c>
      <c r="L5426" s="3">
        <v>0</v>
      </c>
      <c r="M5426" s="3">
        <v>0</v>
      </c>
      <c r="N5426">
        <v>0</v>
      </c>
      <c r="O5426">
        <v>0</v>
      </c>
      <c r="P5426">
        <v>0</v>
      </c>
      <c r="Q5426">
        <v>0</v>
      </c>
      <c r="R5426" s="3">
        <v>0</v>
      </c>
      <c r="S5426" s="3">
        <v>0</v>
      </c>
      <c r="T5426">
        <v>0</v>
      </c>
      <c r="U5426">
        <v>0</v>
      </c>
      <c r="V5426" s="3">
        <v>0</v>
      </c>
      <c r="W5426" s="3">
        <v>0</v>
      </c>
      <c r="X5426">
        <v>0</v>
      </c>
      <c r="Y5426" t="s">
        <v>4062</v>
      </c>
    </row>
    <row r="5427" spans="1:25" hidden="1" x14ac:dyDescent="0.25">
      <c r="A5427" t="s">
        <v>49</v>
      </c>
      <c r="B5427" t="s">
        <v>118</v>
      </c>
      <c r="C5427" t="s">
        <v>50</v>
      </c>
      <c r="D5427" t="s">
        <v>27</v>
      </c>
      <c r="E5427" s="2">
        <v>46154</v>
      </c>
      <c r="F5427" s="2">
        <v>46154</v>
      </c>
      <c r="G5427" s="3">
        <v>23</v>
      </c>
      <c r="H5427" t="s">
        <v>28</v>
      </c>
      <c r="I5427">
        <v>35</v>
      </c>
      <c r="J5427">
        <v>0</v>
      </c>
      <c r="K5427">
        <v>0</v>
      </c>
      <c r="L5427" s="3">
        <v>1</v>
      </c>
      <c r="M5427" s="3">
        <v>1</v>
      </c>
      <c r="N5427">
        <v>0</v>
      </c>
      <c r="O5427">
        <v>1</v>
      </c>
      <c r="P5427">
        <v>0</v>
      </c>
      <c r="Q5427">
        <v>35</v>
      </c>
      <c r="R5427" s="3">
        <v>0</v>
      </c>
      <c r="S5427" s="3">
        <v>0</v>
      </c>
      <c r="T5427">
        <v>0</v>
      </c>
      <c r="U5427">
        <v>0</v>
      </c>
      <c r="V5427" s="3">
        <v>0</v>
      </c>
      <c r="W5427" s="3">
        <v>0</v>
      </c>
      <c r="X5427">
        <v>0</v>
      </c>
      <c r="Y5427" t="s">
        <v>4063</v>
      </c>
    </row>
    <row r="5428" spans="1:25" hidden="1" x14ac:dyDescent="0.25">
      <c r="A5428" t="s">
        <v>51</v>
      </c>
      <c r="B5428" t="s">
        <v>120</v>
      </c>
      <c r="C5428" t="s">
        <v>2310</v>
      </c>
      <c r="D5428" t="s">
        <v>27</v>
      </c>
      <c r="E5428" s="2">
        <v>46154</v>
      </c>
      <c r="F5428" s="2">
        <v>46154</v>
      </c>
      <c r="G5428" s="3">
        <v>72</v>
      </c>
      <c r="H5428" t="s">
        <v>28</v>
      </c>
      <c r="I5428">
        <v>49</v>
      </c>
      <c r="J5428">
        <v>0</v>
      </c>
      <c r="K5428">
        <v>0</v>
      </c>
      <c r="L5428" s="3">
        <v>1</v>
      </c>
      <c r="M5428" s="3">
        <v>0</v>
      </c>
      <c r="N5428">
        <v>0</v>
      </c>
      <c r="O5428">
        <v>0</v>
      </c>
      <c r="P5428">
        <v>0</v>
      </c>
      <c r="Q5428">
        <v>2</v>
      </c>
      <c r="R5428" s="3">
        <v>0</v>
      </c>
      <c r="S5428" s="3">
        <v>0</v>
      </c>
      <c r="T5428">
        <v>0</v>
      </c>
      <c r="U5428">
        <v>0</v>
      </c>
      <c r="V5428" s="3">
        <v>0</v>
      </c>
      <c r="W5428" s="3">
        <v>0</v>
      </c>
      <c r="X5428">
        <v>0</v>
      </c>
      <c r="Y5428" t="s">
        <v>4064</v>
      </c>
    </row>
    <row r="5429" spans="1:25" x14ac:dyDescent="0.25">
      <c r="A5429" t="s">
        <v>54</v>
      </c>
      <c r="B5429" t="s">
        <v>122</v>
      </c>
      <c r="C5429" t="s">
        <v>2271</v>
      </c>
      <c r="D5429" t="s">
        <v>27</v>
      </c>
      <c r="E5429" s="2">
        <v>46154</v>
      </c>
      <c r="F5429" s="2">
        <v>46154</v>
      </c>
      <c r="G5429" s="3">
        <v>39</v>
      </c>
      <c r="H5429" t="s">
        <v>28</v>
      </c>
      <c r="I5429">
        <v>55</v>
      </c>
      <c r="J5429">
        <v>0</v>
      </c>
      <c r="K5429">
        <v>0</v>
      </c>
      <c r="L5429" s="3">
        <v>0</v>
      </c>
      <c r="M5429" s="3">
        <v>0</v>
      </c>
      <c r="N5429">
        <v>0</v>
      </c>
      <c r="O5429">
        <v>0</v>
      </c>
      <c r="P5429">
        <v>0</v>
      </c>
      <c r="Q5429">
        <v>2</v>
      </c>
      <c r="R5429" s="3">
        <v>0</v>
      </c>
      <c r="S5429" s="3">
        <v>0</v>
      </c>
      <c r="T5429">
        <v>0</v>
      </c>
      <c r="U5429">
        <v>0</v>
      </c>
      <c r="V5429" s="3">
        <v>0</v>
      </c>
      <c r="W5429" s="3">
        <v>0</v>
      </c>
      <c r="X5429">
        <v>1</v>
      </c>
      <c r="Y5429" t="s">
        <v>4065</v>
      </c>
    </row>
    <row r="5430" spans="1:25" hidden="1" x14ac:dyDescent="0.25">
      <c r="A5430" t="s">
        <v>48</v>
      </c>
      <c r="B5430" t="s">
        <v>149</v>
      </c>
      <c r="C5430" t="s">
        <v>37</v>
      </c>
      <c r="D5430" t="s">
        <v>27</v>
      </c>
      <c r="E5430" s="2">
        <v>46154</v>
      </c>
      <c r="F5430" s="2">
        <v>46154</v>
      </c>
      <c r="G5430" s="3">
        <v>24</v>
      </c>
      <c r="H5430" t="s">
        <v>28</v>
      </c>
      <c r="I5430">
        <v>25</v>
      </c>
      <c r="J5430">
        <v>0</v>
      </c>
      <c r="K5430">
        <v>0</v>
      </c>
      <c r="L5430" s="3">
        <v>1</v>
      </c>
      <c r="M5430" s="3">
        <v>0</v>
      </c>
      <c r="N5430">
        <v>0</v>
      </c>
      <c r="O5430">
        <v>0</v>
      </c>
      <c r="P5430">
        <v>0</v>
      </c>
      <c r="Q5430">
        <v>0</v>
      </c>
      <c r="R5430" s="3">
        <v>0</v>
      </c>
      <c r="S5430" s="3">
        <v>0</v>
      </c>
      <c r="T5430">
        <v>0</v>
      </c>
      <c r="U5430">
        <v>0</v>
      </c>
      <c r="V5430" s="3">
        <v>0</v>
      </c>
      <c r="W5430" s="3">
        <v>0</v>
      </c>
      <c r="X5430">
        <v>0</v>
      </c>
      <c r="Y5430" t="s">
        <v>4066</v>
      </c>
    </row>
    <row r="5431" spans="1:25" hidden="1" x14ac:dyDescent="0.25">
      <c r="A5431" t="s">
        <v>40</v>
      </c>
      <c r="B5431" t="s">
        <v>739</v>
      </c>
      <c r="C5431" t="s">
        <v>27</v>
      </c>
      <c r="D5431" t="s">
        <v>27</v>
      </c>
      <c r="E5431" s="2">
        <v>46154</v>
      </c>
      <c r="F5431" s="2">
        <v>46154</v>
      </c>
      <c r="G5431" s="3">
        <v>25</v>
      </c>
      <c r="H5431" t="s">
        <v>28</v>
      </c>
      <c r="I5431">
        <v>39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t="s">
        <v>4066</v>
      </c>
    </row>
    <row r="5432" spans="1:25" hidden="1" x14ac:dyDescent="0.25">
      <c r="A5432" t="s">
        <v>27</v>
      </c>
      <c r="B5432" t="s">
        <v>755</v>
      </c>
      <c r="C5432" t="s">
        <v>55</v>
      </c>
      <c r="D5432" t="s">
        <v>27</v>
      </c>
      <c r="E5432" s="2">
        <v>46154</v>
      </c>
      <c r="F5432" s="2">
        <v>46154</v>
      </c>
      <c r="G5432" s="3">
        <v>26</v>
      </c>
      <c r="H5432" t="s">
        <v>4067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t="s">
        <v>4066</v>
      </c>
    </row>
    <row r="5433" spans="1:25" hidden="1" x14ac:dyDescent="0.25">
      <c r="A5433" t="s">
        <v>27</v>
      </c>
      <c r="B5433" t="s">
        <v>758</v>
      </c>
      <c r="C5433" t="s">
        <v>46</v>
      </c>
      <c r="D5433" t="s">
        <v>27</v>
      </c>
      <c r="E5433" s="2">
        <v>46154</v>
      </c>
      <c r="F5433" s="2">
        <v>46154</v>
      </c>
      <c r="G5433" s="3">
        <v>27</v>
      </c>
      <c r="H5433" t="s">
        <v>28</v>
      </c>
      <c r="I5433">
        <v>34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 t="s">
        <v>4066</v>
      </c>
    </row>
    <row r="5434" spans="1:25" hidden="1" x14ac:dyDescent="0.25">
      <c r="A5434" t="s">
        <v>33</v>
      </c>
      <c r="B5434" t="s">
        <v>798</v>
      </c>
      <c r="C5434" t="s">
        <v>27</v>
      </c>
      <c r="D5434" t="s">
        <v>27</v>
      </c>
      <c r="E5434" s="2">
        <v>46154</v>
      </c>
      <c r="F5434" s="2">
        <v>46154</v>
      </c>
      <c r="G5434" s="3">
        <v>28</v>
      </c>
      <c r="H5434" t="s">
        <v>4067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 t="s">
        <v>4066</v>
      </c>
    </row>
    <row r="5435" spans="1:25" hidden="1" x14ac:dyDescent="0.25">
      <c r="A5435" t="s">
        <v>27</v>
      </c>
      <c r="B5435" t="s">
        <v>799</v>
      </c>
      <c r="C5435" t="s">
        <v>95</v>
      </c>
      <c r="D5435" t="s">
        <v>27</v>
      </c>
      <c r="E5435" s="2">
        <v>46154</v>
      </c>
      <c r="F5435" s="2">
        <v>46154</v>
      </c>
      <c r="G5435" s="3">
        <v>29</v>
      </c>
      <c r="H5435" t="s">
        <v>4067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 t="s">
        <v>4066</v>
      </c>
    </row>
    <row r="5436" spans="1:25" hidden="1" x14ac:dyDescent="0.25">
      <c r="A5436" t="s">
        <v>47</v>
      </c>
      <c r="B5436" t="s">
        <v>755</v>
      </c>
      <c r="C5436" t="s">
        <v>27</v>
      </c>
      <c r="D5436" t="s">
        <v>27</v>
      </c>
      <c r="E5436" s="2">
        <v>46154</v>
      </c>
      <c r="F5436" s="2">
        <v>46154</v>
      </c>
      <c r="G5436" s="3">
        <v>55</v>
      </c>
      <c r="H5436" t="s">
        <v>1256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 t="s">
        <v>3856</v>
      </c>
    </row>
    <row r="5437" spans="1:25" hidden="1" x14ac:dyDescent="0.25">
      <c r="A5437" t="s">
        <v>438</v>
      </c>
      <c r="B5437" t="s">
        <v>798</v>
      </c>
      <c r="C5437" t="s">
        <v>27</v>
      </c>
      <c r="D5437" t="s">
        <v>27</v>
      </c>
      <c r="E5437" s="2">
        <v>46154</v>
      </c>
      <c r="F5437" s="2">
        <v>46154</v>
      </c>
      <c r="G5437" s="3">
        <v>57</v>
      </c>
      <c r="H5437" t="s">
        <v>1256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 t="s">
        <v>3856</v>
      </c>
    </row>
    <row r="5438" spans="1:25" hidden="1" x14ac:dyDescent="0.25">
      <c r="A5438" t="s">
        <v>27</v>
      </c>
      <c r="B5438" t="s">
        <v>3525</v>
      </c>
      <c r="C5438" t="s">
        <v>52</v>
      </c>
      <c r="D5438" t="s">
        <v>27</v>
      </c>
      <c r="E5438" s="2">
        <v>46154</v>
      </c>
      <c r="F5438" s="2">
        <v>46154</v>
      </c>
      <c r="G5438" s="3">
        <v>60</v>
      </c>
      <c r="H5438" t="s">
        <v>180</v>
      </c>
      <c r="I5438">
        <v>0</v>
      </c>
      <c r="J5438">
        <v>0</v>
      </c>
      <c r="K5438">
        <v>0</v>
      </c>
      <c r="L5438" s="3">
        <v>0</v>
      </c>
      <c r="M5438" s="3">
        <v>0</v>
      </c>
      <c r="N5438">
        <v>0</v>
      </c>
      <c r="O5438">
        <v>0</v>
      </c>
      <c r="P5438">
        <v>0</v>
      </c>
      <c r="Q5438">
        <v>0</v>
      </c>
      <c r="R5438" s="3">
        <v>0</v>
      </c>
      <c r="S5438" s="3">
        <v>0</v>
      </c>
      <c r="T5438">
        <v>0</v>
      </c>
      <c r="U5438">
        <v>0</v>
      </c>
      <c r="V5438" s="3">
        <v>0</v>
      </c>
      <c r="W5438" s="3">
        <v>0</v>
      </c>
      <c r="X5438" s="3">
        <v>0</v>
      </c>
      <c r="Y5438" t="s">
        <v>3856</v>
      </c>
    </row>
    <row r="5439" spans="1:25" hidden="1" x14ac:dyDescent="0.25">
      <c r="A5439" t="s">
        <v>43</v>
      </c>
      <c r="C5439" t="s">
        <v>27</v>
      </c>
      <c r="D5439" t="s">
        <v>27</v>
      </c>
      <c r="E5439" s="2">
        <v>46154</v>
      </c>
      <c r="F5439" s="2">
        <v>46154</v>
      </c>
      <c r="G5439" s="3">
        <v>26</v>
      </c>
      <c r="H5439" t="s">
        <v>180</v>
      </c>
      <c r="I5439">
        <v>0</v>
      </c>
      <c r="J5439">
        <v>0</v>
      </c>
      <c r="K5439">
        <v>0</v>
      </c>
      <c r="L5439" s="3">
        <v>0</v>
      </c>
      <c r="M5439" s="3">
        <v>0</v>
      </c>
      <c r="N5439">
        <v>0</v>
      </c>
      <c r="O5439">
        <v>0</v>
      </c>
      <c r="P5439">
        <v>0</v>
      </c>
      <c r="Q5439">
        <v>0</v>
      </c>
      <c r="R5439" s="3">
        <v>0</v>
      </c>
      <c r="S5439" s="3">
        <v>0</v>
      </c>
      <c r="T5439">
        <v>0</v>
      </c>
      <c r="U5439">
        <v>0</v>
      </c>
      <c r="V5439" s="3">
        <v>0</v>
      </c>
      <c r="W5439" s="3">
        <v>0</v>
      </c>
      <c r="X5439" s="3">
        <v>0</v>
      </c>
      <c r="Y5439" t="s">
        <v>4053</v>
      </c>
    </row>
    <row r="5440" spans="1:25" x14ac:dyDescent="0.25">
      <c r="A5440" t="s">
        <v>55</v>
      </c>
      <c r="B5440" t="s">
        <v>2072</v>
      </c>
      <c r="C5440" t="s">
        <v>2271</v>
      </c>
      <c r="D5440" t="s">
        <v>27</v>
      </c>
      <c r="E5440" s="2">
        <v>46155</v>
      </c>
      <c r="F5440" s="2">
        <v>46155</v>
      </c>
      <c r="G5440" s="3">
        <v>60</v>
      </c>
      <c r="H5440" t="s">
        <v>28</v>
      </c>
      <c r="I5440">
        <v>32</v>
      </c>
      <c r="J5440">
        <v>0</v>
      </c>
      <c r="K5440">
        <v>0</v>
      </c>
      <c r="L5440" s="3">
        <v>1</v>
      </c>
      <c r="M5440" s="3">
        <v>0</v>
      </c>
      <c r="N5440">
        <v>1</v>
      </c>
      <c r="O5440">
        <v>0</v>
      </c>
      <c r="P5440">
        <v>0</v>
      </c>
      <c r="Q5440">
        <v>0</v>
      </c>
      <c r="R5440" s="3">
        <v>0</v>
      </c>
      <c r="S5440" s="3">
        <v>0</v>
      </c>
      <c r="T5440">
        <v>0</v>
      </c>
      <c r="U5440">
        <v>0</v>
      </c>
      <c r="V5440" s="3">
        <v>0</v>
      </c>
      <c r="W5440" s="3">
        <v>0</v>
      </c>
      <c r="X5440">
        <v>0</v>
      </c>
      <c r="Y5440" t="s">
        <v>4068</v>
      </c>
    </row>
    <row r="5441" spans="1:25" hidden="1" x14ac:dyDescent="0.25">
      <c r="A5441" t="s">
        <v>29</v>
      </c>
      <c r="B5441" t="s">
        <v>100</v>
      </c>
      <c r="C5441" t="s">
        <v>95</v>
      </c>
      <c r="D5441" t="s">
        <v>27</v>
      </c>
      <c r="E5441" s="2">
        <v>46155</v>
      </c>
      <c r="F5441" s="2">
        <v>46155</v>
      </c>
      <c r="G5441" s="3">
        <v>48</v>
      </c>
      <c r="H5441" t="s">
        <v>28</v>
      </c>
      <c r="I5441">
        <v>30</v>
      </c>
      <c r="J5441">
        <v>0</v>
      </c>
      <c r="K5441">
        <v>0</v>
      </c>
      <c r="L5441" s="3">
        <v>1</v>
      </c>
      <c r="M5441" s="3">
        <v>0</v>
      </c>
      <c r="N5441">
        <v>0</v>
      </c>
      <c r="O5441">
        <v>0</v>
      </c>
      <c r="P5441">
        <v>20</v>
      </c>
      <c r="Q5441">
        <v>17</v>
      </c>
      <c r="R5441" s="3">
        <v>0</v>
      </c>
      <c r="S5441" s="3">
        <v>0</v>
      </c>
      <c r="T5441">
        <v>0</v>
      </c>
      <c r="U5441">
        <v>0</v>
      </c>
      <c r="V5441" s="3">
        <v>0</v>
      </c>
      <c r="W5441" s="3">
        <v>0</v>
      </c>
      <c r="X5441">
        <v>0</v>
      </c>
      <c r="Y5441" t="s">
        <v>4041</v>
      </c>
    </row>
    <row r="5442" spans="1:25" hidden="1" x14ac:dyDescent="0.25">
      <c r="A5442" t="s">
        <v>344</v>
      </c>
      <c r="B5442" t="s">
        <v>102</v>
      </c>
      <c r="C5442" t="s">
        <v>44</v>
      </c>
      <c r="D5442" t="s">
        <v>27</v>
      </c>
      <c r="E5442" s="2">
        <v>46155</v>
      </c>
      <c r="F5442" s="2">
        <v>46155</v>
      </c>
      <c r="G5442" s="3">
        <v>64</v>
      </c>
      <c r="H5442" t="s">
        <v>28</v>
      </c>
      <c r="I5442">
        <v>60</v>
      </c>
      <c r="J5442">
        <v>0</v>
      </c>
      <c r="K5442">
        <v>0</v>
      </c>
      <c r="L5442" s="3">
        <v>1</v>
      </c>
      <c r="M5442" s="3">
        <v>1</v>
      </c>
      <c r="N5442">
        <v>0</v>
      </c>
      <c r="O5442">
        <v>0</v>
      </c>
      <c r="P5442">
        <v>0</v>
      </c>
      <c r="Q5442">
        <v>0</v>
      </c>
      <c r="R5442" s="3">
        <v>0</v>
      </c>
      <c r="S5442" s="3">
        <v>0</v>
      </c>
      <c r="T5442">
        <v>0</v>
      </c>
      <c r="U5442">
        <v>0</v>
      </c>
      <c r="V5442" s="3">
        <v>0</v>
      </c>
      <c r="W5442" s="3">
        <v>0</v>
      </c>
      <c r="X5442">
        <v>0</v>
      </c>
      <c r="Y5442" t="s">
        <v>4069</v>
      </c>
    </row>
    <row r="5443" spans="1:25" hidden="1" x14ac:dyDescent="0.25">
      <c r="A5443" t="s">
        <v>31</v>
      </c>
      <c r="B5443" t="s">
        <v>104</v>
      </c>
      <c r="C5443" t="s">
        <v>32</v>
      </c>
      <c r="D5443" t="s">
        <v>27</v>
      </c>
      <c r="E5443" s="2">
        <v>46155</v>
      </c>
      <c r="F5443" s="2">
        <v>46155</v>
      </c>
      <c r="G5443" s="3">
        <v>66</v>
      </c>
      <c r="H5443" t="s">
        <v>28</v>
      </c>
      <c r="I5443">
        <v>82</v>
      </c>
      <c r="J5443">
        <v>0</v>
      </c>
      <c r="K5443">
        <v>0</v>
      </c>
      <c r="L5443" s="3">
        <v>1</v>
      </c>
      <c r="M5443" s="3">
        <v>0</v>
      </c>
      <c r="N5443">
        <v>0</v>
      </c>
      <c r="O5443">
        <v>0</v>
      </c>
      <c r="P5443">
        <v>4</v>
      </c>
      <c r="Q5443">
        <v>36</v>
      </c>
      <c r="R5443" s="3">
        <v>0</v>
      </c>
      <c r="S5443" s="3">
        <v>0</v>
      </c>
      <c r="T5443">
        <v>0</v>
      </c>
      <c r="U5443">
        <v>0</v>
      </c>
      <c r="V5443" s="3">
        <v>0</v>
      </c>
      <c r="W5443" s="3">
        <v>0</v>
      </c>
      <c r="X5443">
        <v>0</v>
      </c>
      <c r="Y5443" t="s">
        <v>4070</v>
      </c>
    </row>
    <row r="5444" spans="1:25" hidden="1" x14ac:dyDescent="0.25">
      <c r="A5444" t="s">
        <v>33</v>
      </c>
      <c r="B5444" t="s">
        <v>106</v>
      </c>
      <c r="C5444" t="s">
        <v>57</v>
      </c>
      <c r="D5444" t="s">
        <v>27</v>
      </c>
      <c r="E5444" s="2">
        <v>46155</v>
      </c>
      <c r="F5444" s="2">
        <v>46155</v>
      </c>
      <c r="G5444" s="3">
        <v>26</v>
      </c>
      <c r="H5444" t="s">
        <v>28</v>
      </c>
      <c r="I5444">
        <v>45</v>
      </c>
      <c r="J5444">
        <v>0</v>
      </c>
      <c r="K5444">
        <v>0</v>
      </c>
      <c r="L5444" s="3">
        <v>0</v>
      </c>
      <c r="M5444" s="3">
        <v>0</v>
      </c>
      <c r="N5444">
        <v>0</v>
      </c>
      <c r="O5444">
        <v>0</v>
      </c>
      <c r="P5444">
        <v>0</v>
      </c>
      <c r="Q5444">
        <v>21</v>
      </c>
      <c r="R5444" s="3">
        <v>0</v>
      </c>
      <c r="S5444" s="3">
        <v>0</v>
      </c>
      <c r="T5444">
        <v>0</v>
      </c>
      <c r="U5444">
        <v>0</v>
      </c>
      <c r="V5444" s="3">
        <v>0</v>
      </c>
      <c r="W5444" s="3">
        <v>0</v>
      </c>
      <c r="X5444">
        <v>0</v>
      </c>
      <c r="Y5444" t="s">
        <v>4071</v>
      </c>
    </row>
    <row r="5445" spans="1:25" hidden="1" x14ac:dyDescent="0.25">
      <c r="A5445" t="s">
        <v>3960</v>
      </c>
      <c r="B5445" t="s">
        <v>114</v>
      </c>
      <c r="C5445" t="s">
        <v>35</v>
      </c>
      <c r="D5445" t="s">
        <v>27</v>
      </c>
      <c r="E5445" s="2">
        <v>46154</v>
      </c>
      <c r="F5445" s="2">
        <v>46154</v>
      </c>
      <c r="G5445" s="3">
        <v>44</v>
      </c>
      <c r="H5445" t="s">
        <v>28</v>
      </c>
      <c r="I5445">
        <v>68</v>
      </c>
      <c r="J5445">
        <v>0</v>
      </c>
      <c r="K5445">
        <v>0</v>
      </c>
      <c r="L5445" s="3">
        <v>0</v>
      </c>
      <c r="M5445" s="3">
        <v>0</v>
      </c>
      <c r="N5445">
        <v>0</v>
      </c>
      <c r="O5445">
        <v>0</v>
      </c>
      <c r="P5445">
        <v>0</v>
      </c>
      <c r="Q5445">
        <v>0</v>
      </c>
      <c r="R5445" s="3">
        <v>0</v>
      </c>
      <c r="S5445" s="3">
        <v>0</v>
      </c>
      <c r="T5445">
        <v>0</v>
      </c>
      <c r="U5445">
        <v>0</v>
      </c>
      <c r="V5445" s="3">
        <v>0</v>
      </c>
      <c r="W5445" s="3">
        <v>0</v>
      </c>
      <c r="X5445">
        <v>0</v>
      </c>
      <c r="Y5445" t="s">
        <v>4061</v>
      </c>
    </row>
    <row r="5446" spans="1:25" hidden="1" x14ac:dyDescent="0.25">
      <c r="A5446" t="s">
        <v>597</v>
      </c>
      <c r="B5446" t="s">
        <v>598</v>
      </c>
      <c r="C5446" t="s">
        <v>35</v>
      </c>
      <c r="D5446" t="s">
        <v>27</v>
      </c>
      <c r="E5446" s="2">
        <v>46155</v>
      </c>
      <c r="F5446" s="2">
        <v>46155</v>
      </c>
      <c r="G5446" s="3">
        <v>34</v>
      </c>
      <c r="H5446" t="s">
        <v>28</v>
      </c>
      <c r="I5446">
        <v>34</v>
      </c>
      <c r="J5446">
        <v>0</v>
      </c>
      <c r="K5446">
        <v>0</v>
      </c>
      <c r="L5446" s="3">
        <v>0</v>
      </c>
      <c r="M5446" s="3">
        <v>0</v>
      </c>
      <c r="N5446">
        <v>0</v>
      </c>
      <c r="O5446">
        <v>0</v>
      </c>
      <c r="P5446">
        <v>0</v>
      </c>
      <c r="Q5446">
        <v>0</v>
      </c>
      <c r="R5446" s="3">
        <v>0</v>
      </c>
      <c r="S5446" s="3">
        <v>0</v>
      </c>
      <c r="T5446">
        <v>0</v>
      </c>
      <c r="U5446">
        <v>0</v>
      </c>
      <c r="V5446" s="3">
        <v>0</v>
      </c>
      <c r="W5446" s="3">
        <v>0</v>
      </c>
      <c r="X5446">
        <v>0</v>
      </c>
      <c r="Y5446" t="s">
        <v>4072</v>
      </c>
    </row>
    <row r="5447" spans="1:25" hidden="1" x14ac:dyDescent="0.25">
      <c r="A5447" t="s">
        <v>36</v>
      </c>
      <c r="B5447" t="s">
        <v>249</v>
      </c>
      <c r="C5447" t="s">
        <v>2514</v>
      </c>
      <c r="D5447" t="s">
        <v>27</v>
      </c>
      <c r="E5447" s="2">
        <v>46155</v>
      </c>
      <c r="F5447" s="2">
        <v>46155</v>
      </c>
      <c r="G5447" s="3">
        <v>117</v>
      </c>
      <c r="H5447" t="s">
        <v>28</v>
      </c>
      <c r="I5447">
        <v>60</v>
      </c>
      <c r="J5447">
        <v>10</v>
      </c>
      <c r="K5447">
        <v>0</v>
      </c>
      <c r="L5447" s="3">
        <v>1</v>
      </c>
      <c r="M5447" s="3">
        <v>0</v>
      </c>
      <c r="N5447">
        <v>0</v>
      </c>
      <c r="O5447">
        <v>0</v>
      </c>
      <c r="P5447">
        <v>0</v>
      </c>
      <c r="Q5447">
        <v>25</v>
      </c>
      <c r="R5447" s="3">
        <v>0</v>
      </c>
      <c r="S5447" s="3">
        <v>0</v>
      </c>
      <c r="T5447">
        <v>0</v>
      </c>
      <c r="U5447">
        <v>0</v>
      </c>
      <c r="V5447" s="3">
        <v>0</v>
      </c>
      <c r="W5447" s="3">
        <v>0</v>
      </c>
      <c r="X5447">
        <v>0</v>
      </c>
      <c r="Y5447" t="s">
        <v>4073</v>
      </c>
    </row>
    <row r="5448" spans="1:25" hidden="1" x14ac:dyDescent="0.25">
      <c r="A5448" t="s">
        <v>38</v>
      </c>
      <c r="B5448" t="s">
        <v>108</v>
      </c>
      <c r="C5448" t="s">
        <v>27</v>
      </c>
      <c r="D5448" t="s">
        <v>27</v>
      </c>
      <c r="E5448" s="2">
        <v>46155</v>
      </c>
      <c r="F5448" s="2">
        <v>46155</v>
      </c>
      <c r="G5448" s="3">
        <v>41</v>
      </c>
      <c r="H5448" t="s">
        <v>28</v>
      </c>
      <c r="I5448">
        <v>46</v>
      </c>
      <c r="J5448">
        <v>0</v>
      </c>
      <c r="K5448">
        <v>0</v>
      </c>
      <c r="L5448" s="3">
        <v>1</v>
      </c>
      <c r="M5448" s="3">
        <v>0</v>
      </c>
      <c r="N5448">
        <v>0</v>
      </c>
      <c r="O5448">
        <v>0</v>
      </c>
      <c r="P5448">
        <v>0</v>
      </c>
      <c r="Q5448">
        <v>46</v>
      </c>
      <c r="R5448" s="3">
        <v>0</v>
      </c>
      <c r="S5448" s="3">
        <v>0</v>
      </c>
      <c r="T5448">
        <v>0</v>
      </c>
      <c r="U5448">
        <v>0</v>
      </c>
      <c r="V5448" s="3">
        <v>0</v>
      </c>
      <c r="W5448" s="3">
        <v>0</v>
      </c>
      <c r="X5448">
        <v>0</v>
      </c>
      <c r="Y5448" t="s">
        <v>4074</v>
      </c>
    </row>
    <row r="5449" spans="1:25" hidden="1" x14ac:dyDescent="0.25">
      <c r="A5449" t="s">
        <v>3929</v>
      </c>
      <c r="B5449" t="s">
        <v>2680</v>
      </c>
      <c r="C5449" t="s">
        <v>39</v>
      </c>
      <c r="D5449" t="s">
        <v>27</v>
      </c>
      <c r="E5449" s="2">
        <v>46155</v>
      </c>
      <c r="F5449" s="2">
        <v>46155</v>
      </c>
      <c r="G5449" s="3">
        <v>36</v>
      </c>
      <c r="H5449" t="s">
        <v>28</v>
      </c>
      <c r="I5449">
        <v>35</v>
      </c>
      <c r="J5449">
        <v>0</v>
      </c>
      <c r="K5449">
        <v>0</v>
      </c>
      <c r="L5449" s="3">
        <v>0</v>
      </c>
      <c r="M5449" s="3">
        <v>0</v>
      </c>
      <c r="N5449">
        <v>0</v>
      </c>
      <c r="O5449">
        <v>0</v>
      </c>
      <c r="P5449">
        <v>0</v>
      </c>
      <c r="Q5449">
        <v>35</v>
      </c>
      <c r="R5449" s="3">
        <v>0</v>
      </c>
      <c r="S5449" s="3">
        <v>0</v>
      </c>
      <c r="T5449">
        <v>0</v>
      </c>
      <c r="U5449">
        <v>0</v>
      </c>
      <c r="V5449" s="3">
        <v>0</v>
      </c>
      <c r="W5449" s="3">
        <v>0</v>
      </c>
      <c r="X5449">
        <v>0</v>
      </c>
      <c r="Y5449" t="s">
        <v>4075</v>
      </c>
    </row>
    <row r="5450" spans="1:25" hidden="1" x14ac:dyDescent="0.25">
      <c r="A5450" t="s">
        <v>3929</v>
      </c>
      <c r="B5450" t="s">
        <v>2680</v>
      </c>
      <c r="C5450" t="s">
        <v>39</v>
      </c>
      <c r="D5450" t="s">
        <v>27</v>
      </c>
      <c r="E5450" s="2">
        <v>46155</v>
      </c>
      <c r="F5450" s="2">
        <v>46155</v>
      </c>
      <c r="G5450" s="3">
        <v>37</v>
      </c>
      <c r="H5450" t="s">
        <v>28</v>
      </c>
      <c r="I5450">
        <v>35</v>
      </c>
      <c r="J5450">
        <v>0</v>
      </c>
      <c r="K5450">
        <v>0</v>
      </c>
      <c r="L5450" s="3">
        <v>0</v>
      </c>
      <c r="M5450" s="3">
        <v>0</v>
      </c>
      <c r="N5450">
        <v>0</v>
      </c>
      <c r="O5450">
        <v>0</v>
      </c>
      <c r="P5450">
        <v>0</v>
      </c>
      <c r="Q5450">
        <v>35</v>
      </c>
      <c r="R5450" s="3">
        <v>0</v>
      </c>
      <c r="S5450" s="3">
        <v>0</v>
      </c>
      <c r="T5450">
        <v>0</v>
      </c>
      <c r="U5450">
        <v>0</v>
      </c>
      <c r="V5450" s="3">
        <v>0</v>
      </c>
      <c r="W5450" s="3">
        <v>0</v>
      </c>
      <c r="X5450">
        <v>0</v>
      </c>
      <c r="Y5450" t="s">
        <v>4076</v>
      </c>
    </row>
    <row r="5451" spans="1:25" hidden="1" x14ac:dyDescent="0.25">
      <c r="A5451" t="s">
        <v>40</v>
      </c>
      <c r="B5451" t="s">
        <v>739</v>
      </c>
      <c r="C5451" t="s">
        <v>2534</v>
      </c>
      <c r="D5451" t="s">
        <v>27</v>
      </c>
      <c r="E5451" s="2">
        <v>46155</v>
      </c>
      <c r="F5451" s="2">
        <v>46155</v>
      </c>
      <c r="G5451" s="3">
        <v>25</v>
      </c>
      <c r="H5451" t="s">
        <v>28</v>
      </c>
      <c r="I5451">
        <v>32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 t="s">
        <v>4066</v>
      </c>
    </row>
    <row r="5452" spans="1:25" hidden="1" x14ac:dyDescent="0.25">
      <c r="A5452" t="s">
        <v>41</v>
      </c>
      <c r="B5452" t="s">
        <v>112</v>
      </c>
      <c r="C5452" t="s">
        <v>42</v>
      </c>
      <c r="D5452" t="s">
        <v>27</v>
      </c>
      <c r="E5452" s="2">
        <v>46155</v>
      </c>
      <c r="F5452" s="2">
        <v>46155</v>
      </c>
      <c r="G5452" s="3">
        <v>55</v>
      </c>
      <c r="H5452" t="s">
        <v>28</v>
      </c>
      <c r="I5452">
        <v>115</v>
      </c>
      <c r="J5452">
        <v>0</v>
      </c>
      <c r="K5452">
        <v>0</v>
      </c>
      <c r="L5452" s="3">
        <v>1</v>
      </c>
      <c r="M5452" s="3">
        <v>0</v>
      </c>
      <c r="N5452">
        <v>1</v>
      </c>
      <c r="O5452">
        <v>0</v>
      </c>
      <c r="P5452">
        <v>0</v>
      </c>
      <c r="Q5452">
        <v>4</v>
      </c>
      <c r="R5452" s="3">
        <v>0</v>
      </c>
      <c r="S5452" s="3">
        <v>0</v>
      </c>
      <c r="T5452">
        <v>0</v>
      </c>
      <c r="U5452">
        <v>0</v>
      </c>
      <c r="V5452" s="3">
        <v>0</v>
      </c>
      <c r="W5452" s="3">
        <v>0</v>
      </c>
      <c r="X5452">
        <v>0</v>
      </c>
      <c r="Y5452" t="s">
        <v>4077</v>
      </c>
    </row>
    <row r="5453" spans="1:25" hidden="1" x14ac:dyDescent="0.25">
      <c r="A5453" t="s">
        <v>45</v>
      </c>
      <c r="B5453" t="s">
        <v>116</v>
      </c>
      <c r="C5453" t="s">
        <v>46</v>
      </c>
      <c r="D5453" t="s">
        <v>27</v>
      </c>
      <c r="E5453" s="2">
        <v>46155</v>
      </c>
      <c r="F5453" s="2">
        <v>46155</v>
      </c>
      <c r="G5453" s="3">
        <v>43</v>
      </c>
      <c r="H5453" t="s">
        <v>28</v>
      </c>
      <c r="I5453">
        <v>74</v>
      </c>
      <c r="J5453">
        <v>0</v>
      </c>
      <c r="K5453">
        <v>0</v>
      </c>
      <c r="L5453" s="3">
        <v>1</v>
      </c>
      <c r="M5453" s="3">
        <v>0</v>
      </c>
      <c r="N5453">
        <v>0</v>
      </c>
      <c r="O5453">
        <v>0</v>
      </c>
      <c r="P5453">
        <v>0</v>
      </c>
      <c r="Q5453">
        <v>12</v>
      </c>
      <c r="R5453" s="3">
        <v>0</v>
      </c>
      <c r="S5453" s="3">
        <v>0</v>
      </c>
      <c r="T5453">
        <v>0</v>
      </c>
      <c r="U5453">
        <v>0</v>
      </c>
      <c r="V5453" s="3">
        <v>0</v>
      </c>
      <c r="W5453" s="3">
        <v>0</v>
      </c>
      <c r="X5453">
        <v>0</v>
      </c>
      <c r="Y5453" t="s">
        <v>4078</v>
      </c>
    </row>
    <row r="5454" spans="1:25" hidden="1" x14ac:dyDescent="0.25">
      <c r="A5454" t="s">
        <v>49</v>
      </c>
      <c r="B5454" t="s">
        <v>118</v>
      </c>
      <c r="C5454" t="s">
        <v>50</v>
      </c>
      <c r="D5454" t="s">
        <v>27</v>
      </c>
      <c r="E5454" s="2">
        <v>46155</v>
      </c>
      <c r="F5454" s="2">
        <v>46155</v>
      </c>
      <c r="G5454" s="3">
        <v>71</v>
      </c>
      <c r="H5454" t="s">
        <v>28</v>
      </c>
      <c r="I5454">
        <v>25</v>
      </c>
      <c r="J5454">
        <v>0</v>
      </c>
      <c r="K5454">
        <v>0</v>
      </c>
      <c r="L5454" s="3">
        <v>1</v>
      </c>
      <c r="M5454" s="3">
        <v>1</v>
      </c>
      <c r="N5454">
        <v>0</v>
      </c>
      <c r="O5454">
        <v>0</v>
      </c>
      <c r="P5454">
        <v>0</v>
      </c>
      <c r="Q5454">
        <v>25</v>
      </c>
      <c r="R5454" s="3">
        <v>0</v>
      </c>
      <c r="S5454" s="3">
        <v>0</v>
      </c>
      <c r="T5454">
        <v>0</v>
      </c>
      <c r="U5454">
        <v>0</v>
      </c>
      <c r="V5454" s="3">
        <v>0</v>
      </c>
      <c r="W5454" s="3">
        <v>0</v>
      </c>
      <c r="X5454">
        <v>0</v>
      </c>
      <c r="Y5454" t="s">
        <v>4079</v>
      </c>
    </row>
    <row r="5455" spans="1:25" hidden="1" x14ac:dyDescent="0.25">
      <c r="A5455" t="s">
        <v>51</v>
      </c>
      <c r="B5455" t="s">
        <v>120</v>
      </c>
      <c r="C5455" t="s">
        <v>2310</v>
      </c>
      <c r="D5455" t="s">
        <v>27</v>
      </c>
      <c r="E5455" s="2">
        <v>46155</v>
      </c>
      <c r="F5455" s="2">
        <v>46155</v>
      </c>
      <c r="G5455" s="3">
        <v>269</v>
      </c>
      <c r="H5455" t="s">
        <v>28</v>
      </c>
      <c r="I5455">
        <v>53</v>
      </c>
      <c r="J5455">
        <v>0</v>
      </c>
      <c r="K5455">
        <v>0</v>
      </c>
      <c r="L5455" s="3">
        <v>1</v>
      </c>
      <c r="M5455" s="3">
        <v>0</v>
      </c>
      <c r="N5455">
        <v>0</v>
      </c>
      <c r="O5455">
        <v>0</v>
      </c>
      <c r="P5455">
        <v>0</v>
      </c>
      <c r="Q5455">
        <v>6</v>
      </c>
      <c r="R5455" s="3">
        <v>0</v>
      </c>
      <c r="S5455" s="3">
        <v>0</v>
      </c>
      <c r="T5455">
        <v>0</v>
      </c>
      <c r="U5455">
        <v>0</v>
      </c>
      <c r="V5455" s="3">
        <v>0</v>
      </c>
      <c r="W5455" s="3">
        <v>0</v>
      </c>
      <c r="X5455">
        <v>0</v>
      </c>
      <c r="Y5455" t="s">
        <v>4080</v>
      </c>
    </row>
    <row r="5456" spans="1:25" hidden="1" x14ac:dyDescent="0.25">
      <c r="A5456" t="s">
        <v>54</v>
      </c>
      <c r="B5456" t="s">
        <v>122</v>
      </c>
      <c r="C5456" t="s">
        <v>52</v>
      </c>
      <c r="D5456" t="s">
        <v>27</v>
      </c>
      <c r="E5456" s="2">
        <v>46155</v>
      </c>
      <c r="F5456" s="2">
        <v>46155</v>
      </c>
      <c r="G5456" s="3">
        <v>82</v>
      </c>
      <c r="H5456" t="s">
        <v>28</v>
      </c>
      <c r="I5456">
        <v>40</v>
      </c>
      <c r="J5456">
        <v>0</v>
      </c>
      <c r="K5456">
        <v>0</v>
      </c>
      <c r="L5456" s="3">
        <v>0</v>
      </c>
      <c r="M5456" s="3">
        <v>0</v>
      </c>
      <c r="N5456">
        <v>0</v>
      </c>
      <c r="O5456">
        <v>0</v>
      </c>
      <c r="P5456">
        <v>0</v>
      </c>
      <c r="Q5456">
        <v>2</v>
      </c>
      <c r="R5456" s="3">
        <v>0</v>
      </c>
      <c r="S5456" s="3">
        <v>0</v>
      </c>
      <c r="T5456">
        <v>0</v>
      </c>
      <c r="U5456">
        <v>0</v>
      </c>
      <c r="V5456" s="3">
        <v>0</v>
      </c>
      <c r="W5456" s="3">
        <v>0</v>
      </c>
      <c r="X5456">
        <v>1</v>
      </c>
      <c r="Y5456" t="s">
        <v>4081</v>
      </c>
    </row>
    <row r="5457" spans="1:25" hidden="1" x14ac:dyDescent="0.25">
      <c r="A5457" t="s">
        <v>48</v>
      </c>
      <c r="B5457" t="s">
        <v>149</v>
      </c>
      <c r="C5457" t="s">
        <v>37</v>
      </c>
      <c r="D5457" t="s">
        <v>27</v>
      </c>
      <c r="E5457" s="2">
        <v>46155</v>
      </c>
      <c r="F5457" s="2">
        <v>46155</v>
      </c>
      <c r="G5457" s="3">
        <v>46</v>
      </c>
      <c r="H5457" t="s">
        <v>28</v>
      </c>
      <c r="I5457">
        <v>70</v>
      </c>
      <c r="J5457">
        <v>0</v>
      </c>
      <c r="K5457">
        <v>0</v>
      </c>
      <c r="L5457" s="3">
        <v>1</v>
      </c>
      <c r="M5457" s="3">
        <v>0</v>
      </c>
      <c r="N5457">
        <v>0</v>
      </c>
      <c r="O5457">
        <v>0</v>
      </c>
      <c r="P5457">
        <v>0</v>
      </c>
      <c r="Q5457">
        <v>0</v>
      </c>
      <c r="R5457" s="3">
        <v>0</v>
      </c>
      <c r="S5457" s="3">
        <v>0</v>
      </c>
      <c r="T5457">
        <v>0</v>
      </c>
      <c r="U5457">
        <v>0</v>
      </c>
      <c r="V5457" s="3">
        <v>0</v>
      </c>
      <c r="W5457" s="3">
        <v>0</v>
      </c>
      <c r="X5457">
        <v>0</v>
      </c>
      <c r="Y5457" t="s">
        <v>4082</v>
      </c>
    </row>
    <row r="5458" spans="1:25" hidden="1" x14ac:dyDescent="0.25">
      <c r="A5458" t="s">
        <v>25</v>
      </c>
      <c r="B5458" t="s">
        <v>739</v>
      </c>
      <c r="C5458" t="s">
        <v>27</v>
      </c>
      <c r="D5458" t="s">
        <v>27</v>
      </c>
      <c r="E5458" s="2">
        <v>46155</v>
      </c>
      <c r="F5458" s="2">
        <v>46155</v>
      </c>
      <c r="G5458" s="3">
        <v>47</v>
      </c>
      <c r="H5458" t="s">
        <v>4083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 t="s">
        <v>4082</v>
      </c>
    </row>
    <row r="5459" spans="1:25" hidden="1" x14ac:dyDescent="0.25">
      <c r="A5459" t="s">
        <v>3960</v>
      </c>
      <c r="B5459" t="s">
        <v>755</v>
      </c>
      <c r="C5459" t="s">
        <v>27</v>
      </c>
      <c r="D5459" t="s">
        <v>27</v>
      </c>
      <c r="E5459" s="2">
        <v>46155</v>
      </c>
      <c r="F5459" s="2">
        <v>46155</v>
      </c>
      <c r="G5459" s="3">
        <v>48</v>
      </c>
      <c r="H5459" t="s">
        <v>2143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 t="s">
        <v>4082</v>
      </c>
    </row>
    <row r="5460" spans="1:25" hidden="1" x14ac:dyDescent="0.25">
      <c r="A5460" t="s">
        <v>47</v>
      </c>
      <c r="B5460" t="s">
        <v>755</v>
      </c>
      <c r="C5460" t="s">
        <v>27</v>
      </c>
      <c r="D5460" t="s">
        <v>27</v>
      </c>
      <c r="E5460" s="2">
        <v>46155</v>
      </c>
      <c r="F5460" s="2">
        <v>46155</v>
      </c>
      <c r="G5460" s="3">
        <v>55</v>
      </c>
      <c r="H5460" t="s">
        <v>1256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 t="s">
        <v>3856</v>
      </c>
    </row>
    <row r="5461" spans="1:25" hidden="1" x14ac:dyDescent="0.25">
      <c r="A5461" t="s">
        <v>438</v>
      </c>
      <c r="B5461" t="s">
        <v>798</v>
      </c>
      <c r="C5461" t="s">
        <v>27</v>
      </c>
      <c r="D5461" t="s">
        <v>27</v>
      </c>
      <c r="E5461" s="2">
        <v>46155</v>
      </c>
      <c r="F5461" s="2">
        <v>46155</v>
      </c>
      <c r="G5461" s="3">
        <v>57</v>
      </c>
      <c r="H5461" t="s">
        <v>1256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t="s">
        <v>3856</v>
      </c>
    </row>
    <row r="5462" spans="1:25" hidden="1" x14ac:dyDescent="0.25">
      <c r="A5462" t="s">
        <v>43</v>
      </c>
      <c r="C5462" t="s">
        <v>27</v>
      </c>
      <c r="D5462" t="s">
        <v>27</v>
      </c>
      <c r="E5462" s="2">
        <v>46155</v>
      </c>
      <c r="F5462" s="2">
        <v>46155</v>
      </c>
      <c r="G5462" s="3">
        <v>26</v>
      </c>
      <c r="H5462" t="s">
        <v>180</v>
      </c>
      <c r="I5462">
        <v>0</v>
      </c>
      <c r="J5462">
        <v>0</v>
      </c>
      <c r="K5462">
        <v>0</v>
      </c>
      <c r="L5462" s="3">
        <v>0</v>
      </c>
      <c r="M5462" s="3">
        <v>0</v>
      </c>
      <c r="N5462">
        <v>0</v>
      </c>
      <c r="O5462">
        <v>0</v>
      </c>
      <c r="P5462">
        <v>0</v>
      </c>
      <c r="Q5462">
        <v>0</v>
      </c>
      <c r="R5462" s="3">
        <v>0</v>
      </c>
      <c r="S5462" s="3">
        <v>0</v>
      </c>
      <c r="T5462">
        <v>0</v>
      </c>
      <c r="U5462">
        <v>0</v>
      </c>
      <c r="V5462" s="3">
        <v>0</v>
      </c>
      <c r="W5462" s="3">
        <v>0</v>
      </c>
      <c r="X5462" s="3">
        <v>0</v>
      </c>
      <c r="Y5462" t="s">
        <v>4053</v>
      </c>
    </row>
    <row r="5463" spans="1:25" x14ac:dyDescent="0.25">
      <c r="A5463" t="s">
        <v>55</v>
      </c>
      <c r="B5463" t="s">
        <v>2072</v>
      </c>
      <c r="C5463" t="s">
        <v>2271</v>
      </c>
      <c r="D5463" t="s">
        <v>27</v>
      </c>
      <c r="E5463" s="2">
        <v>46156</v>
      </c>
      <c r="F5463" s="2">
        <v>46156</v>
      </c>
      <c r="G5463" s="3">
        <v>60</v>
      </c>
      <c r="H5463" t="s">
        <v>28</v>
      </c>
      <c r="I5463">
        <v>32</v>
      </c>
      <c r="J5463">
        <v>0</v>
      </c>
      <c r="K5463">
        <v>0</v>
      </c>
      <c r="L5463" s="3">
        <v>1</v>
      </c>
      <c r="M5463" s="3">
        <v>0</v>
      </c>
      <c r="N5463">
        <v>1</v>
      </c>
      <c r="O5463">
        <v>0</v>
      </c>
      <c r="P5463">
        <v>0</v>
      </c>
      <c r="Q5463">
        <v>0</v>
      </c>
      <c r="R5463" s="3">
        <v>0</v>
      </c>
      <c r="S5463" s="3">
        <v>0</v>
      </c>
      <c r="T5463">
        <v>0</v>
      </c>
      <c r="U5463">
        <v>0</v>
      </c>
      <c r="V5463" s="3">
        <v>0</v>
      </c>
      <c r="W5463" s="3">
        <v>0</v>
      </c>
      <c r="X5463">
        <v>0</v>
      </c>
      <c r="Y5463" t="s">
        <v>4068</v>
      </c>
    </row>
    <row r="5464" spans="1:25" hidden="1" x14ac:dyDescent="0.25">
      <c r="A5464" t="s">
        <v>29</v>
      </c>
      <c r="B5464" t="s">
        <v>100</v>
      </c>
      <c r="C5464" t="s">
        <v>95</v>
      </c>
      <c r="D5464" t="s">
        <v>27</v>
      </c>
      <c r="E5464" s="2">
        <v>46156</v>
      </c>
      <c r="F5464" s="2">
        <v>46156</v>
      </c>
      <c r="G5464" s="3">
        <v>34</v>
      </c>
      <c r="H5464" t="s">
        <v>28</v>
      </c>
      <c r="I5464">
        <v>42</v>
      </c>
      <c r="J5464">
        <v>0</v>
      </c>
      <c r="K5464">
        <v>0</v>
      </c>
      <c r="L5464" s="3">
        <v>1</v>
      </c>
      <c r="M5464" s="3">
        <v>0</v>
      </c>
      <c r="N5464">
        <v>0</v>
      </c>
      <c r="O5464">
        <v>0</v>
      </c>
      <c r="P5464">
        <v>16</v>
      </c>
      <c r="Q5464">
        <v>8</v>
      </c>
      <c r="R5464" s="3">
        <v>0</v>
      </c>
      <c r="S5464" s="3">
        <v>0</v>
      </c>
      <c r="T5464">
        <v>0</v>
      </c>
      <c r="U5464">
        <v>0</v>
      </c>
      <c r="V5464" s="3">
        <v>0</v>
      </c>
      <c r="W5464" s="3">
        <v>0</v>
      </c>
      <c r="X5464">
        <v>0</v>
      </c>
      <c r="Y5464" t="s">
        <v>4084</v>
      </c>
    </row>
    <row r="5465" spans="1:25" hidden="1" x14ac:dyDescent="0.25">
      <c r="A5465" t="s">
        <v>344</v>
      </c>
      <c r="B5465" t="s">
        <v>102</v>
      </c>
      <c r="C5465" t="s">
        <v>44</v>
      </c>
      <c r="D5465" t="s">
        <v>27</v>
      </c>
      <c r="E5465" s="2">
        <v>46156</v>
      </c>
      <c r="F5465" s="2">
        <v>46156</v>
      </c>
      <c r="G5465" s="3">
        <v>64</v>
      </c>
      <c r="H5465" t="s">
        <v>28</v>
      </c>
      <c r="I5465">
        <v>56</v>
      </c>
      <c r="J5465">
        <v>0</v>
      </c>
      <c r="K5465">
        <v>0</v>
      </c>
      <c r="L5465" s="3">
        <v>1</v>
      </c>
      <c r="M5465" s="3">
        <v>1</v>
      </c>
      <c r="N5465">
        <v>0</v>
      </c>
      <c r="O5465">
        <v>0</v>
      </c>
      <c r="P5465">
        <v>0</v>
      </c>
      <c r="Q5465">
        <v>0</v>
      </c>
      <c r="R5465" s="3">
        <v>0</v>
      </c>
      <c r="S5465" s="3">
        <v>0</v>
      </c>
      <c r="T5465">
        <v>0</v>
      </c>
      <c r="U5465">
        <v>0</v>
      </c>
      <c r="V5465" s="3">
        <v>0</v>
      </c>
      <c r="W5465" s="3">
        <v>0</v>
      </c>
      <c r="X5465">
        <v>0</v>
      </c>
      <c r="Y5465" t="s">
        <v>4069</v>
      </c>
    </row>
    <row r="5466" spans="1:25" hidden="1" x14ac:dyDescent="0.25">
      <c r="A5466" t="s">
        <v>31</v>
      </c>
      <c r="B5466" t="s">
        <v>104</v>
      </c>
      <c r="C5466" t="s">
        <v>32</v>
      </c>
      <c r="D5466" t="s">
        <v>27</v>
      </c>
      <c r="E5466" s="2">
        <v>46156</v>
      </c>
      <c r="F5466" s="2">
        <v>46156</v>
      </c>
      <c r="G5466" s="3">
        <v>43</v>
      </c>
      <c r="H5466" t="s">
        <v>28</v>
      </c>
      <c r="I5466">
        <v>76</v>
      </c>
      <c r="J5466">
        <v>6</v>
      </c>
      <c r="K5466">
        <v>0</v>
      </c>
      <c r="L5466" s="3">
        <v>1</v>
      </c>
      <c r="M5466" s="3">
        <v>0</v>
      </c>
      <c r="N5466">
        <v>0</v>
      </c>
      <c r="O5466">
        <v>0</v>
      </c>
      <c r="P5466">
        <v>0</v>
      </c>
      <c r="Q5466">
        <v>30</v>
      </c>
      <c r="R5466" s="3">
        <v>0</v>
      </c>
      <c r="S5466" s="3">
        <v>0</v>
      </c>
      <c r="T5466">
        <v>0</v>
      </c>
      <c r="U5466">
        <v>0</v>
      </c>
      <c r="V5466" s="3">
        <v>0</v>
      </c>
      <c r="W5466" s="3">
        <v>0</v>
      </c>
      <c r="X5466">
        <v>0</v>
      </c>
      <c r="Y5466" t="s">
        <v>4085</v>
      </c>
    </row>
    <row r="5467" spans="1:25" hidden="1" x14ac:dyDescent="0.25">
      <c r="A5467" t="s">
        <v>33</v>
      </c>
      <c r="B5467" t="s">
        <v>106</v>
      </c>
      <c r="C5467" t="s">
        <v>57</v>
      </c>
      <c r="D5467" t="s">
        <v>27</v>
      </c>
      <c r="E5467" s="2">
        <v>46156</v>
      </c>
      <c r="F5467" s="2">
        <v>46156</v>
      </c>
      <c r="G5467" s="3">
        <v>25</v>
      </c>
      <c r="H5467" t="s">
        <v>28</v>
      </c>
      <c r="I5467">
        <v>35</v>
      </c>
      <c r="J5467">
        <v>0</v>
      </c>
      <c r="K5467">
        <v>0</v>
      </c>
      <c r="L5467" s="3">
        <v>0</v>
      </c>
      <c r="M5467" s="3">
        <v>0</v>
      </c>
      <c r="N5467">
        <v>0</v>
      </c>
      <c r="O5467">
        <v>0</v>
      </c>
      <c r="P5467">
        <v>0</v>
      </c>
      <c r="Q5467">
        <v>0</v>
      </c>
      <c r="R5467" s="3">
        <v>0</v>
      </c>
      <c r="S5467" s="3">
        <v>0</v>
      </c>
      <c r="T5467">
        <v>0</v>
      </c>
      <c r="U5467">
        <v>0</v>
      </c>
      <c r="V5467" s="3">
        <v>0</v>
      </c>
      <c r="W5467" s="3">
        <v>0</v>
      </c>
      <c r="X5467">
        <v>0</v>
      </c>
      <c r="Y5467" t="s">
        <v>4086</v>
      </c>
    </row>
    <row r="5468" spans="1:25" hidden="1" x14ac:dyDescent="0.25">
      <c r="A5468" t="s">
        <v>3960</v>
      </c>
      <c r="B5468" t="s">
        <v>598</v>
      </c>
      <c r="C5468" t="s">
        <v>35</v>
      </c>
      <c r="D5468" t="s">
        <v>27</v>
      </c>
      <c r="E5468" s="2">
        <v>46156</v>
      </c>
      <c r="F5468" s="2">
        <v>46156</v>
      </c>
      <c r="G5468" s="3">
        <v>37</v>
      </c>
      <c r="H5468" t="s">
        <v>28</v>
      </c>
      <c r="I5468">
        <v>64</v>
      </c>
      <c r="J5468">
        <v>0</v>
      </c>
      <c r="K5468">
        <v>0</v>
      </c>
      <c r="L5468" s="3">
        <v>0</v>
      </c>
      <c r="M5468" s="3">
        <v>0</v>
      </c>
      <c r="N5468">
        <v>0</v>
      </c>
      <c r="O5468">
        <v>0</v>
      </c>
      <c r="P5468">
        <v>0</v>
      </c>
      <c r="Q5468">
        <v>0</v>
      </c>
      <c r="R5468" s="3">
        <v>0</v>
      </c>
      <c r="S5468" s="3">
        <v>0</v>
      </c>
      <c r="T5468">
        <v>0</v>
      </c>
      <c r="U5468">
        <v>0</v>
      </c>
      <c r="V5468" s="3">
        <v>0</v>
      </c>
      <c r="W5468" s="3">
        <v>0</v>
      </c>
      <c r="X5468">
        <v>0</v>
      </c>
      <c r="Y5468" t="s">
        <v>4087</v>
      </c>
    </row>
    <row r="5469" spans="1:25" hidden="1" x14ac:dyDescent="0.25">
      <c r="A5469" t="s">
        <v>36</v>
      </c>
      <c r="B5469" t="s">
        <v>249</v>
      </c>
      <c r="C5469" t="s">
        <v>26</v>
      </c>
      <c r="D5469" t="s">
        <v>27</v>
      </c>
      <c r="E5469" s="2">
        <v>46156</v>
      </c>
      <c r="F5469" s="2">
        <v>46156</v>
      </c>
      <c r="G5469" s="3">
        <v>41</v>
      </c>
      <c r="H5469" t="s">
        <v>28</v>
      </c>
      <c r="I5469">
        <v>35</v>
      </c>
      <c r="J5469">
        <v>0</v>
      </c>
      <c r="K5469">
        <v>0</v>
      </c>
      <c r="L5469" s="3">
        <v>1</v>
      </c>
      <c r="M5469" s="3">
        <v>0</v>
      </c>
      <c r="N5469">
        <v>1</v>
      </c>
      <c r="O5469">
        <v>0</v>
      </c>
      <c r="P5469">
        <v>0</v>
      </c>
      <c r="Q5469">
        <v>0</v>
      </c>
      <c r="R5469" s="3">
        <v>0</v>
      </c>
      <c r="S5469" s="3">
        <v>0</v>
      </c>
      <c r="T5469">
        <v>0</v>
      </c>
      <c r="U5469">
        <v>0</v>
      </c>
      <c r="V5469" s="3">
        <v>0</v>
      </c>
      <c r="W5469" s="3">
        <v>0</v>
      </c>
      <c r="X5469">
        <v>0</v>
      </c>
      <c r="Y5469" t="s">
        <v>4088</v>
      </c>
    </row>
    <row r="5470" spans="1:25" hidden="1" x14ac:dyDescent="0.25">
      <c r="A5470" t="s">
        <v>38</v>
      </c>
      <c r="B5470" t="s">
        <v>108</v>
      </c>
      <c r="C5470" t="s">
        <v>27</v>
      </c>
      <c r="D5470" t="s">
        <v>27</v>
      </c>
      <c r="E5470" s="2">
        <v>46156</v>
      </c>
      <c r="F5470" s="2">
        <v>46156</v>
      </c>
      <c r="G5470" s="3">
        <v>28</v>
      </c>
      <c r="H5470" t="s">
        <v>28</v>
      </c>
      <c r="I5470">
        <v>20</v>
      </c>
      <c r="J5470">
        <v>0</v>
      </c>
      <c r="K5470">
        <v>0</v>
      </c>
      <c r="L5470" s="3">
        <v>1</v>
      </c>
      <c r="M5470" s="3">
        <v>0</v>
      </c>
      <c r="N5470">
        <v>0</v>
      </c>
      <c r="O5470">
        <v>0</v>
      </c>
      <c r="P5470">
        <v>0</v>
      </c>
      <c r="Q5470">
        <v>20</v>
      </c>
      <c r="R5470" s="3">
        <v>0</v>
      </c>
      <c r="S5470" s="3">
        <v>0</v>
      </c>
      <c r="T5470">
        <v>0</v>
      </c>
      <c r="U5470">
        <v>0</v>
      </c>
      <c r="V5470" s="3">
        <v>0</v>
      </c>
      <c r="W5470" s="3">
        <v>0</v>
      </c>
      <c r="X5470">
        <v>0</v>
      </c>
      <c r="Y5470" t="s">
        <v>4089</v>
      </c>
    </row>
    <row r="5471" spans="1:25" hidden="1" x14ac:dyDescent="0.25">
      <c r="A5471" t="s">
        <v>3929</v>
      </c>
      <c r="B5471" t="s">
        <v>2680</v>
      </c>
      <c r="C5471" t="s">
        <v>39</v>
      </c>
      <c r="D5471" t="s">
        <v>27</v>
      </c>
      <c r="E5471" s="2">
        <v>46156</v>
      </c>
      <c r="F5471" s="2">
        <v>46156</v>
      </c>
      <c r="G5471" s="3">
        <v>42</v>
      </c>
      <c r="H5471" t="s">
        <v>28</v>
      </c>
      <c r="I5471">
        <v>22</v>
      </c>
      <c r="J5471">
        <v>0</v>
      </c>
      <c r="K5471">
        <v>0</v>
      </c>
      <c r="L5471" s="3">
        <v>0</v>
      </c>
      <c r="M5471" s="3">
        <v>0</v>
      </c>
      <c r="N5471">
        <v>0</v>
      </c>
      <c r="O5471">
        <v>0</v>
      </c>
      <c r="P5471">
        <v>0</v>
      </c>
      <c r="Q5471">
        <v>22</v>
      </c>
      <c r="R5471" s="3">
        <v>0</v>
      </c>
      <c r="S5471" s="3">
        <v>0</v>
      </c>
      <c r="T5471">
        <v>0</v>
      </c>
      <c r="U5471">
        <v>0</v>
      </c>
      <c r="V5471" s="3">
        <v>0</v>
      </c>
      <c r="W5471" s="3">
        <v>0</v>
      </c>
      <c r="X5471">
        <v>0</v>
      </c>
      <c r="Y5471" t="s">
        <v>4090</v>
      </c>
    </row>
    <row r="5472" spans="1:25" hidden="1" x14ac:dyDescent="0.25">
      <c r="A5472" t="s">
        <v>40</v>
      </c>
      <c r="B5472" t="s">
        <v>110</v>
      </c>
      <c r="C5472" t="s">
        <v>27</v>
      </c>
      <c r="D5472" t="s">
        <v>27</v>
      </c>
      <c r="E5472" s="2">
        <v>46157</v>
      </c>
      <c r="F5472" s="2">
        <v>46157</v>
      </c>
      <c r="G5472" s="3">
        <v>46</v>
      </c>
      <c r="H5472" t="s">
        <v>28</v>
      </c>
      <c r="I5472">
        <v>32</v>
      </c>
      <c r="J5472">
        <v>0</v>
      </c>
      <c r="K5472">
        <v>0</v>
      </c>
      <c r="L5472" s="3">
        <v>1</v>
      </c>
      <c r="M5472" s="3">
        <v>0</v>
      </c>
      <c r="N5472">
        <v>1</v>
      </c>
      <c r="O5472">
        <v>0</v>
      </c>
      <c r="P5472">
        <v>0</v>
      </c>
      <c r="Q5472">
        <v>0</v>
      </c>
      <c r="R5472" s="3">
        <v>0</v>
      </c>
      <c r="S5472" s="3">
        <v>0</v>
      </c>
      <c r="T5472">
        <v>0</v>
      </c>
      <c r="U5472">
        <v>0</v>
      </c>
      <c r="V5472" s="3">
        <v>0</v>
      </c>
      <c r="W5472" s="3">
        <v>0</v>
      </c>
      <c r="X5472">
        <v>0</v>
      </c>
      <c r="Y5472" t="s">
        <v>4091</v>
      </c>
    </row>
    <row r="5473" spans="1:25" hidden="1" x14ac:dyDescent="0.25">
      <c r="A5473" t="s">
        <v>27</v>
      </c>
      <c r="B5473" t="s">
        <v>110</v>
      </c>
      <c r="C5473" t="s">
        <v>40</v>
      </c>
      <c r="D5473" t="s">
        <v>27</v>
      </c>
      <c r="E5473" s="2">
        <v>46156</v>
      </c>
      <c r="F5473" s="2">
        <v>46156</v>
      </c>
      <c r="G5473" s="3">
        <v>46</v>
      </c>
      <c r="H5473" t="s">
        <v>28</v>
      </c>
      <c r="I5473">
        <v>39</v>
      </c>
      <c r="J5473">
        <v>0</v>
      </c>
      <c r="K5473">
        <v>0</v>
      </c>
      <c r="L5473" s="3">
        <v>1</v>
      </c>
      <c r="M5473" s="3">
        <v>0</v>
      </c>
      <c r="N5473">
        <v>1</v>
      </c>
      <c r="O5473">
        <v>0</v>
      </c>
      <c r="P5473">
        <v>0</v>
      </c>
      <c r="Q5473">
        <v>0</v>
      </c>
      <c r="R5473" s="3">
        <v>0</v>
      </c>
      <c r="S5473" s="3">
        <v>0</v>
      </c>
      <c r="T5473">
        <v>0</v>
      </c>
      <c r="U5473">
        <v>0</v>
      </c>
      <c r="V5473" s="3">
        <v>0</v>
      </c>
      <c r="W5473" s="3">
        <v>0</v>
      </c>
      <c r="X5473">
        <v>0</v>
      </c>
      <c r="Y5473" t="s">
        <v>4091</v>
      </c>
    </row>
    <row r="5474" spans="1:25" hidden="1" x14ac:dyDescent="0.25">
      <c r="A5474" t="s">
        <v>27</v>
      </c>
      <c r="B5474" t="s">
        <v>112</v>
      </c>
      <c r="C5474" t="s">
        <v>26</v>
      </c>
      <c r="D5474" t="s">
        <v>27</v>
      </c>
      <c r="E5474" s="2">
        <v>46155</v>
      </c>
      <c r="F5474" s="2">
        <v>46155</v>
      </c>
      <c r="G5474" s="3">
        <v>55</v>
      </c>
      <c r="H5474" t="s">
        <v>28</v>
      </c>
      <c r="I5474">
        <v>115</v>
      </c>
      <c r="J5474">
        <v>0</v>
      </c>
      <c r="K5474">
        <v>0</v>
      </c>
      <c r="L5474" s="3">
        <v>1</v>
      </c>
      <c r="M5474" s="3">
        <v>0</v>
      </c>
      <c r="N5474">
        <v>1</v>
      </c>
      <c r="O5474">
        <v>0</v>
      </c>
      <c r="P5474">
        <v>0</v>
      </c>
      <c r="Q5474">
        <v>4</v>
      </c>
      <c r="R5474" s="3">
        <v>0</v>
      </c>
      <c r="S5474" s="3">
        <v>0</v>
      </c>
      <c r="T5474">
        <v>0</v>
      </c>
      <c r="U5474">
        <v>0</v>
      </c>
      <c r="V5474" s="3">
        <v>0</v>
      </c>
      <c r="W5474" s="3">
        <v>0</v>
      </c>
      <c r="X5474">
        <v>0</v>
      </c>
      <c r="Y5474" t="s">
        <v>4077</v>
      </c>
    </row>
    <row r="5475" spans="1:25" hidden="1" x14ac:dyDescent="0.25">
      <c r="A5475" t="s">
        <v>41</v>
      </c>
      <c r="B5475" t="s">
        <v>112</v>
      </c>
      <c r="C5475" t="s">
        <v>42</v>
      </c>
      <c r="D5475" t="s">
        <v>27</v>
      </c>
      <c r="E5475" s="2">
        <v>46156</v>
      </c>
      <c r="F5475" s="2">
        <v>46156</v>
      </c>
      <c r="G5475" s="3">
        <v>55</v>
      </c>
      <c r="H5475" t="s">
        <v>28</v>
      </c>
      <c r="I5475">
        <v>115</v>
      </c>
      <c r="J5475">
        <v>0</v>
      </c>
      <c r="K5475">
        <v>0</v>
      </c>
      <c r="L5475" s="3">
        <v>1</v>
      </c>
      <c r="M5475" s="3">
        <v>0</v>
      </c>
      <c r="N5475">
        <v>1</v>
      </c>
      <c r="O5475">
        <v>0</v>
      </c>
      <c r="P5475">
        <v>0</v>
      </c>
      <c r="Q5475">
        <v>4</v>
      </c>
      <c r="R5475" s="3">
        <v>0</v>
      </c>
      <c r="S5475" s="3">
        <v>0</v>
      </c>
      <c r="T5475">
        <v>0</v>
      </c>
      <c r="U5475">
        <v>0</v>
      </c>
      <c r="V5475" s="3">
        <v>0</v>
      </c>
      <c r="W5475" s="3">
        <v>0</v>
      </c>
      <c r="X5475">
        <v>0</v>
      </c>
      <c r="Y5475" t="s">
        <v>4077</v>
      </c>
    </row>
    <row r="5476" spans="1:25" hidden="1" x14ac:dyDescent="0.25">
      <c r="A5476" t="s">
        <v>45</v>
      </c>
      <c r="B5476" t="s">
        <v>116</v>
      </c>
      <c r="C5476" t="s">
        <v>46</v>
      </c>
      <c r="D5476" t="s">
        <v>27</v>
      </c>
      <c r="E5476" s="2">
        <v>46156</v>
      </c>
      <c r="F5476" s="2">
        <v>46156</v>
      </c>
      <c r="G5476" s="3">
        <v>35</v>
      </c>
      <c r="H5476" t="s">
        <v>28</v>
      </c>
      <c r="I5476">
        <v>32</v>
      </c>
      <c r="J5476">
        <v>0</v>
      </c>
      <c r="K5476">
        <v>0</v>
      </c>
      <c r="L5476" s="3">
        <v>0</v>
      </c>
      <c r="M5476" s="3">
        <v>0</v>
      </c>
      <c r="N5476">
        <v>0</v>
      </c>
      <c r="O5476">
        <v>0</v>
      </c>
      <c r="P5476">
        <v>0</v>
      </c>
      <c r="Q5476">
        <v>0</v>
      </c>
      <c r="R5476" s="3">
        <v>0</v>
      </c>
      <c r="S5476" s="3">
        <v>0</v>
      </c>
      <c r="T5476">
        <v>0</v>
      </c>
      <c r="U5476">
        <v>0</v>
      </c>
      <c r="V5476" s="3">
        <v>0</v>
      </c>
      <c r="W5476" s="3">
        <v>0</v>
      </c>
      <c r="X5476">
        <v>0</v>
      </c>
      <c r="Y5476" t="s">
        <v>4092</v>
      </c>
    </row>
    <row r="5477" spans="1:25" hidden="1" x14ac:dyDescent="0.25">
      <c r="A5477" t="s">
        <v>49</v>
      </c>
      <c r="B5477" t="s">
        <v>118</v>
      </c>
      <c r="C5477" t="s">
        <v>50</v>
      </c>
      <c r="D5477" t="s">
        <v>27</v>
      </c>
      <c r="E5477" s="2">
        <v>46156</v>
      </c>
      <c r="F5477" s="2">
        <v>46156</v>
      </c>
      <c r="G5477" s="3">
        <v>40</v>
      </c>
      <c r="H5477" t="s">
        <v>28</v>
      </c>
      <c r="I5477">
        <v>37</v>
      </c>
      <c r="J5477">
        <v>0</v>
      </c>
      <c r="K5477">
        <v>0</v>
      </c>
      <c r="L5477" s="3">
        <v>1</v>
      </c>
      <c r="M5477" s="3">
        <v>1</v>
      </c>
      <c r="N5477">
        <v>0</v>
      </c>
      <c r="O5477">
        <v>1</v>
      </c>
      <c r="P5477">
        <v>0</v>
      </c>
      <c r="Q5477">
        <v>37</v>
      </c>
      <c r="R5477" s="3">
        <v>0</v>
      </c>
      <c r="S5477" s="3">
        <v>0</v>
      </c>
      <c r="T5477">
        <v>0</v>
      </c>
      <c r="U5477">
        <v>0</v>
      </c>
      <c r="V5477" s="3">
        <v>0</v>
      </c>
      <c r="W5477" s="3">
        <v>0</v>
      </c>
      <c r="X5477">
        <v>0</v>
      </c>
      <c r="Y5477" t="s">
        <v>4093</v>
      </c>
    </row>
    <row r="5478" spans="1:25" hidden="1" x14ac:dyDescent="0.25">
      <c r="A5478" t="s">
        <v>51</v>
      </c>
      <c r="B5478" t="s">
        <v>120</v>
      </c>
      <c r="C5478" t="s">
        <v>2310</v>
      </c>
      <c r="D5478" t="s">
        <v>27</v>
      </c>
      <c r="E5478" s="2">
        <v>46156</v>
      </c>
      <c r="F5478" s="2">
        <v>46156</v>
      </c>
      <c r="G5478" s="3">
        <v>90</v>
      </c>
      <c r="H5478" t="s">
        <v>28</v>
      </c>
      <c r="I5478">
        <v>43</v>
      </c>
      <c r="J5478">
        <v>0</v>
      </c>
      <c r="K5478">
        <v>0</v>
      </c>
      <c r="L5478" s="3">
        <v>1</v>
      </c>
      <c r="M5478" s="3">
        <v>0</v>
      </c>
      <c r="N5478">
        <v>0</v>
      </c>
      <c r="O5478">
        <v>0</v>
      </c>
      <c r="P5478">
        <v>0</v>
      </c>
      <c r="Q5478">
        <v>2</v>
      </c>
      <c r="R5478" s="3">
        <v>0</v>
      </c>
      <c r="S5478" s="3">
        <v>0</v>
      </c>
      <c r="T5478">
        <v>0</v>
      </c>
      <c r="U5478">
        <v>0</v>
      </c>
      <c r="V5478" s="3">
        <v>0</v>
      </c>
      <c r="W5478" s="3">
        <v>0</v>
      </c>
      <c r="X5478">
        <v>0</v>
      </c>
      <c r="Y5478" t="s">
        <v>4094</v>
      </c>
    </row>
    <row r="5479" spans="1:25" hidden="1" x14ac:dyDescent="0.25">
      <c r="A5479" t="s">
        <v>54</v>
      </c>
      <c r="B5479" t="s">
        <v>122</v>
      </c>
      <c r="C5479" t="s">
        <v>52</v>
      </c>
      <c r="D5479" t="s">
        <v>27</v>
      </c>
      <c r="E5479" s="2">
        <v>46156</v>
      </c>
      <c r="F5479" s="2">
        <v>46156</v>
      </c>
      <c r="G5479" s="3">
        <v>73</v>
      </c>
      <c r="H5479" t="s">
        <v>28</v>
      </c>
      <c r="I5479">
        <v>42</v>
      </c>
      <c r="J5479">
        <v>0</v>
      </c>
      <c r="K5479">
        <v>0</v>
      </c>
      <c r="L5479" s="3">
        <v>0</v>
      </c>
      <c r="M5479" s="3">
        <v>0</v>
      </c>
      <c r="N5479">
        <v>0</v>
      </c>
      <c r="O5479">
        <v>0</v>
      </c>
      <c r="P5479">
        <v>0</v>
      </c>
      <c r="Q5479">
        <v>2</v>
      </c>
      <c r="R5479" s="3">
        <v>0</v>
      </c>
      <c r="S5479" s="3">
        <v>0</v>
      </c>
      <c r="T5479">
        <v>0</v>
      </c>
      <c r="U5479">
        <v>0</v>
      </c>
      <c r="V5479" s="3">
        <v>0</v>
      </c>
      <c r="W5479" s="3">
        <v>0</v>
      </c>
      <c r="X5479">
        <v>1</v>
      </c>
      <c r="Y5479" t="s">
        <v>4095</v>
      </c>
    </row>
    <row r="5480" spans="1:25" hidden="1" x14ac:dyDescent="0.25">
      <c r="A5480" t="s">
        <v>48</v>
      </c>
      <c r="B5480" t="s">
        <v>149</v>
      </c>
      <c r="C5480" t="s">
        <v>37</v>
      </c>
      <c r="D5480" t="s">
        <v>27</v>
      </c>
      <c r="E5480" s="2">
        <v>46156</v>
      </c>
      <c r="F5480" s="2">
        <v>46156</v>
      </c>
      <c r="G5480" s="3">
        <v>201</v>
      </c>
      <c r="H5480" t="s">
        <v>28</v>
      </c>
      <c r="I5480">
        <v>31</v>
      </c>
      <c r="J5480">
        <v>0</v>
      </c>
      <c r="K5480">
        <v>0</v>
      </c>
      <c r="L5480" s="3">
        <v>1</v>
      </c>
      <c r="M5480" s="3">
        <v>0</v>
      </c>
      <c r="N5480">
        <v>0</v>
      </c>
      <c r="O5480">
        <v>0</v>
      </c>
      <c r="P5480">
        <v>0</v>
      </c>
      <c r="Q5480">
        <v>0</v>
      </c>
      <c r="R5480" s="3">
        <v>0</v>
      </c>
      <c r="S5480" s="3">
        <v>0</v>
      </c>
      <c r="T5480">
        <v>0</v>
      </c>
      <c r="U5480">
        <v>0</v>
      </c>
      <c r="V5480" s="3">
        <v>0</v>
      </c>
      <c r="W5480" s="3">
        <v>0</v>
      </c>
      <c r="X5480">
        <v>0</v>
      </c>
      <c r="Y5480" t="s">
        <v>4096</v>
      </c>
    </row>
    <row r="5481" spans="1:25" hidden="1" x14ac:dyDescent="0.25">
      <c r="A5481" t="s">
        <v>47</v>
      </c>
      <c r="B5481" t="s">
        <v>755</v>
      </c>
      <c r="C5481" t="s">
        <v>27</v>
      </c>
      <c r="D5481" t="s">
        <v>27</v>
      </c>
      <c r="E5481" s="2">
        <v>46156</v>
      </c>
      <c r="F5481" s="2">
        <v>46156</v>
      </c>
      <c r="G5481" s="3">
        <v>55</v>
      </c>
      <c r="H5481" t="s">
        <v>1256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 t="s">
        <v>3856</v>
      </c>
    </row>
    <row r="5482" spans="1:25" hidden="1" x14ac:dyDescent="0.25">
      <c r="A5482" t="s">
        <v>438</v>
      </c>
      <c r="B5482" t="s">
        <v>798</v>
      </c>
      <c r="C5482" t="s">
        <v>27</v>
      </c>
      <c r="D5482" t="s">
        <v>27</v>
      </c>
      <c r="E5482" s="2">
        <v>46156</v>
      </c>
      <c r="F5482" s="2">
        <v>46156</v>
      </c>
      <c r="G5482" s="3">
        <v>57</v>
      </c>
      <c r="H5482" t="s">
        <v>1256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 t="s">
        <v>3856</v>
      </c>
    </row>
    <row r="5483" spans="1:25" hidden="1" x14ac:dyDescent="0.25">
      <c r="A5483" t="s">
        <v>25</v>
      </c>
      <c r="B5483" t="s">
        <v>739</v>
      </c>
      <c r="C5483" t="s">
        <v>27</v>
      </c>
      <c r="D5483" t="s">
        <v>27</v>
      </c>
      <c r="E5483" s="2">
        <v>46156</v>
      </c>
      <c r="F5483" s="2">
        <v>46156</v>
      </c>
      <c r="G5483" s="3">
        <v>47</v>
      </c>
      <c r="H5483" t="s">
        <v>4083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 t="s">
        <v>4082</v>
      </c>
    </row>
    <row r="5484" spans="1:25" hidden="1" x14ac:dyDescent="0.25">
      <c r="A5484" t="s">
        <v>27</v>
      </c>
      <c r="B5484" t="s">
        <v>755</v>
      </c>
      <c r="C5484" t="s">
        <v>2534</v>
      </c>
      <c r="D5484" t="s">
        <v>27</v>
      </c>
      <c r="E5484" s="2">
        <v>46156</v>
      </c>
      <c r="F5484" s="2">
        <v>46156</v>
      </c>
      <c r="G5484" s="3">
        <v>47</v>
      </c>
      <c r="H5484" t="s">
        <v>3952</v>
      </c>
      <c r="I5484">
        <v>39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 t="s">
        <v>4082</v>
      </c>
    </row>
    <row r="5485" spans="1:25" hidden="1" x14ac:dyDescent="0.25">
      <c r="A5485" t="s">
        <v>27</v>
      </c>
      <c r="B5485" t="s">
        <v>758</v>
      </c>
      <c r="C5485" t="s">
        <v>2514</v>
      </c>
      <c r="D5485" t="s">
        <v>27</v>
      </c>
      <c r="E5485" s="2">
        <v>46156</v>
      </c>
      <c r="F5485" s="2">
        <v>46156</v>
      </c>
      <c r="G5485" s="3">
        <v>47</v>
      </c>
      <c r="H5485" t="s">
        <v>2143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 t="s">
        <v>4082</v>
      </c>
    </row>
    <row r="5486" spans="1:25" hidden="1" x14ac:dyDescent="0.25">
      <c r="A5486" t="s">
        <v>43</v>
      </c>
      <c r="C5486" t="s">
        <v>27</v>
      </c>
      <c r="D5486" t="s">
        <v>27</v>
      </c>
      <c r="E5486" s="2">
        <v>46156</v>
      </c>
      <c r="F5486" s="2">
        <v>46156</v>
      </c>
      <c r="G5486" s="3">
        <v>26</v>
      </c>
      <c r="H5486" t="s">
        <v>180</v>
      </c>
      <c r="I5486">
        <v>0</v>
      </c>
      <c r="J5486">
        <v>0</v>
      </c>
      <c r="K5486">
        <v>0</v>
      </c>
      <c r="L5486" s="3">
        <v>0</v>
      </c>
      <c r="M5486" s="3">
        <v>0</v>
      </c>
      <c r="N5486">
        <v>0</v>
      </c>
      <c r="O5486">
        <v>0</v>
      </c>
      <c r="P5486">
        <v>0</v>
      </c>
      <c r="Q5486">
        <v>0</v>
      </c>
      <c r="R5486" s="3">
        <v>0</v>
      </c>
      <c r="S5486" s="3">
        <v>0</v>
      </c>
      <c r="T5486">
        <v>0</v>
      </c>
      <c r="U5486">
        <v>0</v>
      </c>
      <c r="V5486" s="3">
        <v>0</v>
      </c>
      <c r="W5486" s="3">
        <v>0</v>
      </c>
      <c r="X5486" s="3">
        <v>0</v>
      </c>
      <c r="Y5486" t="s">
        <v>4053</v>
      </c>
    </row>
    <row r="5487" spans="1:25" x14ac:dyDescent="0.25">
      <c r="A5487" t="s">
        <v>55</v>
      </c>
      <c r="B5487" t="s">
        <v>2072</v>
      </c>
      <c r="C5487" t="s">
        <v>2271</v>
      </c>
      <c r="D5487" t="s">
        <v>27</v>
      </c>
      <c r="E5487" s="2">
        <v>46157</v>
      </c>
      <c r="F5487" s="2">
        <v>46157</v>
      </c>
      <c r="G5487" s="3">
        <v>62</v>
      </c>
      <c r="H5487" t="s">
        <v>28</v>
      </c>
      <c r="I5487">
        <v>45</v>
      </c>
      <c r="J5487">
        <v>0</v>
      </c>
      <c r="K5487">
        <v>0</v>
      </c>
      <c r="L5487" s="3">
        <v>1</v>
      </c>
      <c r="M5487" s="3">
        <v>0</v>
      </c>
      <c r="N5487">
        <v>1</v>
      </c>
      <c r="O5487">
        <v>0</v>
      </c>
      <c r="P5487">
        <v>0</v>
      </c>
      <c r="Q5487">
        <v>0</v>
      </c>
      <c r="R5487" s="3">
        <v>0</v>
      </c>
      <c r="S5487" s="3">
        <v>0</v>
      </c>
      <c r="T5487">
        <v>0</v>
      </c>
      <c r="U5487">
        <v>0</v>
      </c>
      <c r="V5487" s="3">
        <v>0</v>
      </c>
      <c r="W5487" s="3">
        <v>0</v>
      </c>
      <c r="X5487">
        <v>0</v>
      </c>
      <c r="Y5487" t="s">
        <v>4097</v>
      </c>
    </row>
    <row r="5488" spans="1:25" hidden="1" x14ac:dyDescent="0.25">
      <c r="A5488" t="s">
        <v>29</v>
      </c>
      <c r="B5488" t="s">
        <v>100</v>
      </c>
      <c r="C5488" t="s">
        <v>95</v>
      </c>
      <c r="D5488" t="s">
        <v>27</v>
      </c>
      <c r="E5488" s="2">
        <v>46157</v>
      </c>
      <c r="F5488" s="2">
        <v>46157</v>
      </c>
      <c r="G5488" s="3">
        <v>36</v>
      </c>
      <c r="H5488" t="s">
        <v>28</v>
      </c>
      <c r="I5488">
        <v>32</v>
      </c>
      <c r="J5488">
        <v>0</v>
      </c>
      <c r="K5488">
        <v>0</v>
      </c>
      <c r="L5488" s="3">
        <v>0</v>
      </c>
      <c r="M5488" s="3">
        <v>0</v>
      </c>
      <c r="N5488">
        <v>0</v>
      </c>
      <c r="O5488">
        <v>0</v>
      </c>
      <c r="P5488">
        <v>0</v>
      </c>
      <c r="Q5488">
        <v>10</v>
      </c>
      <c r="R5488" s="3">
        <v>0</v>
      </c>
      <c r="S5488" s="3">
        <v>0</v>
      </c>
      <c r="T5488">
        <v>0</v>
      </c>
      <c r="U5488">
        <v>0</v>
      </c>
      <c r="V5488" s="3">
        <v>0</v>
      </c>
      <c r="W5488" s="3">
        <v>0</v>
      </c>
      <c r="X5488">
        <v>0</v>
      </c>
      <c r="Y5488" t="s">
        <v>4098</v>
      </c>
    </row>
    <row r="5489" spans="1:25" hidden="1" x14ac:dyDescent="0.25">
      <c r="A5489" t="s">
        <v>344</v>
      </c>
      <c r="B5489" t="s">
        <v>102</v>
      </c>
      <c r="C5489" t="s">
        <v>44</v>
      </c>
      <c r="D5489" t="s">
        <v>27</v>
      </c>
      <c r="E5489" s="2">
        <v>46157</v>
      </c>
      <c r="F5489" s="2">
        <v>46157</v>
      </c>
      <c r="G5489" s="3">
        <v>56</v>
      </c>
      <c r="H5489" t="s">
        <v>28</v>
      </c>
      <c r="I5489">
        <v>55</v>
      </c>
      <c r="J5489">
        <v>0</v>
      </c>
      <c r="K5489">
        <v>0</v>
      </c>
      <c r="L5489" s="3">
        <v>1</v>
      </c>
      <c r="M5489" s="3">
        <v>0</v>
      </c>
      <c r="N5489">
        <v>0</v>
      </c>
      <c r="O5489">
        <v>0</v>
      </c>
      <c r="P5489">
        <v>0</v>
      </c>
      <c r="Q5489">
        <v>0</v>
      </c>
      <c r="R5489" s="3">
        <v>0</v>
      </c>
      <c r="S5489" s="3">
        <v>0</v>
      </c>
      <c r="T5489">
        <v>0</v>
      </c>
      <c r="U5489">
        <v>0</v>
      </c>
      <c r="V5489" s="3">
        <v>0</v>
      </c>
      <c r="W5489" s="3">
        <v>0</v>
      </c>
      <c r="X5489">
        <v>0</v>
      </c>
      <c r="Y5489" t="s">
        <v>4099</v>
      </c>
    </row>
    <row r="5490" spans="1:25" hidden="1" x14ac:dyDescent="0.25">
      <c r="A5490" t="s">
        <v>31</v>
      </c>
      <c r="B5490" t="s">
        <v>104</v>
      </c>
      <c r="C5490" t="s">
        <v>32</v>
      </c>
      <c r="D5490" t="s">
        <v>27</v>
      </c>
      <c r="E5490" s="2">
        <v>46157</v>
      </c>
      <c r="F5490" s="2">
        <v>46157</v>
      </c>
      <c r="G5490" s="3">
        <v>33</v>
      </c>
      <c r="H5490" t="s">
        <v>28</v>
      </c>
      <c r="I5490">
        <v>68</v>
      </c>
      <c r="J5490">
        <v>0</v>
      </c>
      <c r="K5490">
        <v>0</v>
      </c>
      <c r="L5490" s="3">
        <v>1</v>
      </c>
      <c r="M5490" s="3">
        <v>0</v>
      </c>
      <c r="N5490">
        <v>0</v>
      </c>
      <c r="O5490">
        <v>0</v>
      </c>
      <c r="P5490">
        <v>0</v>
      </c>
      <c r="Q5490">
        <v>30</v>
      </c>
      <c r="R5490" s="3">
        <v>0</v>
      </c>
      <c r="S5490" s="3">
        <v>0</v>
      </c>
      <c r="T5490">
        <v>0</v>
      </c>
      <c r="U5490">
        <v>0</v>
      </c>
      <c r="V5490" s="3">
        <v>0</v>
      </c>
      <c r="W5490" s="3">
        <v>0</v>
      </c>
      <c r="X5490">
        <v>0</v>
      </c>
      <c r="Y5490" t="s">
        <v>4100</v>
      </c>
    </row>
    <row r="5491" spans="1:25" hidden="1" x14ac:dyDescent="0.25">
      <c r="A5491" t="s">
        <v>33</v>
      </c>
      <c r="B5491" t="s">
        <v>106</v>
      </c>
      <c r="C5491" t="s">
        <v>57</v>
      </c>
      <c r="D5491" t="s">
        <v>27</v>
      </c>
      <c r="E5491" s="2">
        <v>46157</v>
      </c>
      <c r="F5491" s="2">
        <v>46157</v>
      </c>
      <c r="G5491" s="3">
        <v>28</v>
      </c>
      <c r="H5491" t="s">
        <v>28</v>
      </c>
      <c r="I5491">
        <v>43</v>
      </c>
      <c r="J5491">
        <v>0</v>
      </c>
      <c r="K5491">
        <v>0</v>
      </c>
      <c r="L5491" s="3">
        <v>0</v>
      </c>
      <c r="M5491" s="3">
        <v>0</v>
      </c>
      <c r="N5491">
        <v>0</v>
      </c>
      <c r="O5491">
        <v>0</v>
      </c>
      <c r="P5491">
        <v>0</v>
      </c>
      <c r="Q5491">
        <v>21</v>
      </c>
      <c r="R5491" s="3">
        <v>0</v>
      </c>
      <c r="S5491" s="3">
        <v>0</v>
      </c>
      <c r="T5491">
        <v>0</v>
      </c>
      <c r="U5491">
        <v>0</v>
      </c>
      <c r="V5491" s="3">
        <v>0</v>
      </c>
      <c r="W5491" s="3">
        <v>0</v>
      </c>
      <c r="X5491">
        <v>0</v>
      </c>
      <c r="Y5491" t="s">
        <v>4101</v>
      </c>
    </row>
    <row r="5492" spans="1:25" hidden="1" x14ac:dyDescent="0.25">
      <c r="A5492" t="s">
        <v>36</v>
      </c>
      <c r="B5492" t="s">
        <v>249</v>
      </c>
      <c r="C5492" t="s">
        <v>2514</v>
      </c>
      <c r="D5492" t="s">
        <v>27</v>
      </c>
      <c r="E5492" s="2">
        <v>46157</v>
      </c>
      <c r="F5492" s="2">
        <v>46157</v>
      </c>
      <c r="G5492" s="3">
        <v>42</v>
      </c>
      <c r="H5492" t="s">
        <v>28</v>
      </c>
      <c r="I5492">
        <v>60</v>
      </c>
      <c r="J5492">
        <v>0</v>
      </c>
      <c r="K5492">
        <v>0</v>
      </c>
      <c r="L5492" s="3">
        <v>1</v>
      </c>
      <c r="M5492" s="3">
        <v>0</v>
      </c>
      <c r="N5492">
        <v>0</v>
      </c>
      <c r="O5492">
        <v>0</v>
      </c>
      <c r="P5492">
        <v>0</v>
      </c>
      <c r="Q5492">
        <v>25</v>
      </c>
      <c r="R5492" s="3">
        <v>0</v>
      </c>
      <c r="S5492" s="3">
        <v>0</v>
      </c>
      <c r="T5492">
        <v>0</v>
      </c>
      <c r="U5492">
        <v>0</v>
      </c>
      <c r="V5492" s="3">
        <v>0</v>
      </c>
      <c r="W5492" s="3">
        <v>0</v>
      </c>
      <c r="X5492">
        <v>0</v>
      </c>
      <c r="Y5492" t="s">
        <v>4102</v>
      </c>
    </row>
    <row r="5493" spans="1:25" hidden="1" x14ac:dyDescent="0.25">
      <c r="A5493" t="s">
        <v>38</v>
      </c>
      <c r="B5493" t="s">
        <v>108</v>
      </c>
      <c r="C5493" t="s">
        <v>27</v>
      </c>
      <c r="D5493" t="s">
        <v>27</v>
      </c>
      <c r="E5493" s="2">
        <v>46157</v>
      </c>
      <c r="F5493" s="2">
        <v>46157</v>
      </c>
      <c r="G5493" s="3">
        <v>31</v>
      </c>
      <c r="H5493" t="s">
        <v>28</v>
      </c>
      <c r="I5493">
        <v>46</v>
      </c>
      <c r="J5493">
        <v>0</v>
      </c>
      <c r="K5493">
        <v>0</v>
      </c>
      <c r="L5493" s="3">
        <v>1</v>
      </c>
      <c r="M5493" s="3">
        <v>0</v>
      </c>
      <c r="N5493">
        <v>0</v>
      </c>
      <c r="O5493">
        <v>0</v>
      </c>
      <c r="P5493">
        <v>0</v>
      </c>
      <c r="Q5493">
        <v>46</v>
      </c>
      <c r="R5493" s="3">
        <v>0</v>
      </c>
      <c r="S5493" s="3">
        <v>0</v>
      </c>
      <c r="T5493">
        <v>0</v>
      </c>
      <c r="U5493">
        <v>0</v>
      </c>
      <c r="V5493" s="3">
        <v>0</v>
      </c>
      <c r="W5493" s="3">
        <v>0</v>
      </c>
      <c r="X5493">
        <v>0</v>
      </c>
      <c r="Y5493" t="s">
        <v>4103</v>
      </c>
    </row>
    <row r="5494" spans="1:25" hidden="1" x14ac:dyDescent="0.25">
      <c r="A5494" t="s">
        <v>3929</v>
      </c>
      <c r="B5494" t="s">
        <v>2680</v>
      </c>
      <c r="C5494" t="s">
        <v>39</v>
      </c>
      <c r="D5494" t="s">
        <v>27</v>
      </c>
      <c r="E5494" s="2">
        <v>46157</v>
      </c>
      <c r="F5494" s="2">
        <v>46157</v>
      </c>
      <c r="G5494" s="3">
        <v>31</v>
      </c>
      <c r="H5494" t="s">
        <v>28</v>
      </c>
      <c r="I5494">
        <v>37</v>
      </c>
      <c r="J5494">
        <v>0</v>
      </c>
      <c r="K5494">
        <v>0</v>
      </c>
      <c r="L5494" s="3">
        <v>0</v>
      </c>
      <c r="M5494" s="3">
        <v>0</v>
      </c>
      <c r="N5494">
        <v>0</v>
      </c>
      <c r="O5494">
        <v>0</v>
      </c>
      <c r="P5494">
        <v>0</v>
      </c>
      <c r="Q5494">
        <v>37</v>
      </c>
      <c r="R5494" s="3">
        <v>0</v>
      </c>
      <c r="S5494" s="3">
        <v>0</v>
      </c>
      <c r="T5494">
        <v>0</v>
      </c>
      <c r="U5494">
        <v>0</v>
      </c>
      <c r="V5494" s="3">
        <v>0</v>
      </c>
      <c r="W5494" s="3">
        <v>0</v>
      </c>
      <c r="X5494">
        <v>0</v>
      </c>
      <c r="Y5494" t="s">
        <v>4104</v>
      </c>
    </row>
    <row r="5495" spans="1:25" hidden="1" x14ac:dyDescent="0.25">
      <c r="A5495" t="s">
        <v>40</v>
      </c>
      <c r="B5495" t="s">
        <v>110</v>
      </c>
      <c r="C5495" t="s">
        <v>27</v>
      </c>
      <c r="D5495" t="s">
        <v>27</v>
      </c>
      <c r="E5495" s="2">
        <v>46156</v>
      </c>
      <c r="F5495" s="2">
        <v>46156</v>
      </c>
      <c r="G5495" s="3">
        <v>46</v>
      </c>
      <c r="H5495" t="s">
        <v>28</v>
      </c>
      <c r="I5495">
        <v>39</v>
      </c>
      <c r="J5495">
        <v>0</v>
      </c>
      <c r="K5495">
        <v>0</v>
      </c>
      <c r="L5495" s="3">
        <v>1</v>
      </c>
      <c r="M5495" s="3">
        <v>0</v>
      </c>
      <c r="N5495">
        <v>1</v>
      </c>
      <c r="O5495">
        <v>0</v>
      </c>
      <c r="P5495">
        <v>0</v>
      </c>
      <c r="Q5495">
        <v>0</v>
      </c>
      <c r="R5495" s="3">
        <v>0</v>
      </c>
      <c r="S5495" s="3">
        <v>0</v>
      </c>
      <c r="T5495">
        <v>0</v>
      </c>
      <c r="U5495">
        <v>0</v>
      </c>
      <c r="V5495" s="3">
        <v>0</v>
      </c>
      <c r="W5495" s="3">
        <v>0</v>
      </c>
      <c r="X5495">
        <v>0</v>
      </c>
      <c r="Y5495" t="s">
        <v>4091</v>
      </c>
    </row>
    <row r="5496" spans="1:25" hidden="1" x14ac:dyDescent="0.25">
      <c r="A5496" t="s">
        <v>41</v>
      </c>
      <c r="B5496" t="s">
        <v>112</v>
      </c>
      <c r="C5496" t="s">
        <v>26</v>
      </c>
      <c r="D5496" t="s">
        <v>27</v>
      </c>
      <c r="E5496" s="2">
        <v>46157</v>
      </c>
      <c r="F5496" s="2">
        <v>46157</v>
      </c>
      <c r="G5496" s="3">
        <v>73</v>
      </c>
      <c r="H5496" t="s">
        <v>28</v>
      </c>
      <c r="I5496">
        <v>130</v>
      </c>
      <c r="J5496">
        <v>0</v>
      </c>
      <c r="K5496">
        <v>0</v>
      </c>
      <c r="L5496" s="3">
        <v>1</v>
      </c>
      <c r="M5496" s="3">
        <v>0</v>
      </c>
      <c r="N5496">
        <v>1</v>
      </c>
      <c r="O5496">
        <v>0</v>
      </c>
      <c r="P5496">
        <v>0</v>
      </c>
      <c r="Q5496">
        <v>130</v>
      </c>
      <c r="R5496" s="3">
        <v>0</v>
      </c>
      <c r="S5496" s="3">
        <v>0</v>
      </c>
      <c r="T5496">
        <v>0</v>
      </c>
      <c r="U5496">
        <v>0</v>
      </c>
      <c r="V5496" s="3">
        <v>0</v>
      </c>
      <c r="W5496" s="3">
        <v>0</v>
      </c>
      <c r="X5496">
        <v>0</v>
      </c>
      <c r="Y5496" t="s">
        <v>4105</v>
      </c>
    </row>
    <row r="5497" spans="1:25" hidden="1" x14ac:dyDescent="0.25">
      <c r="A5497" t="s">
        <v>27</v>
      </c>
      <c r="B5497" t="s">
        <v>112</v>
      </c>
      <c r="C5497" t="s">
        <v>42</v>
      </c>
      <c r="D5497" t="s">
        <v>27</v>
      </c>
      <c r="E5497" s="2">
        <v>46157</v>
      </c>
      <c r="F5497" s="2">
        <v>46157</v>
      </c>
      <c r="G5497" s="3">
        <v>73</v>
      </c>
      <c r="H5497" t="s">
        <v>28</v>
      </c>
      <c r="I5497">
        <v>130</v>
      </c>
      <c r="J5497">
        <v>0</v>
      </c>
      <c r="K5497">
        <v>0</v>
      </c>
      <c r="L5497" s="3">
        <v>1</v>
      </c>
      <c r="M5497" s="3">
        <v>0</v>
      </c>
      <c r="N5497">
        <v>1</v>
      </c>
      <c r="O5497">
        <v>0</v>
      </c>
      <c r="P5497">
        <v>0</v>
      </c>
      <c r="Q5497">
        <v>130</v>
      </c>
      <c r="R5497" s="3">
        <v>0</v>
      </c>
      <c r="S5497" s="3">
        <v>0</v>
      </c>
      <c r="T5497">
        <v>0</v>
      </c>
      <c r="U5497">
        <v>0</v>
      </c>
      <c r="V5497" s="3">
        <v>0</v>
      </c>
      <c r="W5497" s="3">
        <v>0</v>
      </c>
      <c r="X5497">
        <v>0</v>
      </c>
      <c r="Y5497" t="s">
        <v>4105</v>
      </c>
    </row>
    <row r="5498" spans="1:25" hidden="1" x14ac:dyDescent="0.25">
      <c r="A5498" t="s">
        <v>49</v>
      </c>
      <c r="B5498" t="s">
        <v>118</v>
      </c>
      <c r="C5498" t="s">
        <v>50</v>
      </c>
      <c r="D5498" t="s">
        <v>27</v>
      </c>
      <c r="E5498" s="2">
        <v>46157</v>
      </c>
      <c r="F5498" s="2">
        <v>46157</v>
      </c>
      <c r="G5498" s="3">
        <v>51</v>
      </c>
      <c r="H5498" t="s">
        <v>28</v>
      </c>
      <c r="I5498">
        <v>26</v>
      </c>
      <c r="J5498">
        <v>0</v>
      </c>
      <c r="K5498">
        <v>0</v>
      </c>
      <c r="L5498" s="3">
        <v>1</v>
      </c>
      <c r="M5498" s="3">
        <v>1</v>
      </c>
      <c r="N5498">
        <v>0</v>
      </c>
      <c r="O5498">
        <v>0</v>
      </c>
      <c r="P5498">
        <v>0</v>
      </c>
      <c r="Q5498">
        <v>26</v>
      </c>
      <c r="R5498" s="3">
        <v>0</v>
      </c>
      <c r="S5498" s="3">
        <v>0</v>
      </c>
      <c r="T5498">
        <v>0</v>
      </c>
      <c r="U5498">
        <v>0</v>
      </c>
      <c r="V5498" s="3">
        <v>0</v>
      </c>
      <c r="W5498" s="3">
        <v>0</v>
      </c>
      <c r="X5498">
        <v>0</v>
      </c>
      <c r="Y5498" t="s">
        <v>4106</v>
      </c>
    </row>
    <row r="5499" spans="1:25" hidden="1" x14ac:dyDescent="0.25">
      <c r="A5499" t="s">
        <v>51</v>
      </c>
      <c r="B5499" t="s">
        <v>120</v>
      </c>
      <c r="C5499" t="s">
        <v>2310</v>
      </c>
      <c r="D5499" t="s">
        <v>27</v>
      </c>
      <c r="E5499" s="2">
        <v>46157</v>
      </c>
      <c r="F5499" s="2">
        <v>46157</v>
      </c>
      <c r="G5499" s="3">
        <v>96</v>
      </c>
      <c r="H5499" t="s">
        <v>28</v>
      </c>
      <c r="I5499">
        <v>55</v>
      </c>
      <c r="J5499">
        <v>0</v>
      </c>
      <c r="K5499">
        <v>0</v>
      </c>
      <c r="L5499" s="3">
        <v>1</v>
      </c>
      <c r="M5499" s="3">
        <v>0</v>
      </c>
      <c r="N5499">
        <v>0</v>
      </c>
      <c r="O5499">
        <v>0</v>
      </c>
      <c r="P5499">
        <v>0</v>
      </c>
      <c r="Q5499">
        <v>6</v>
      </c>
      <c r="R5499" s="3">
        <v>0</v>
      </c>
      <c r="S5499" s="3">
        <v>0</v>
      </c>
      <c r="T5499">
        <v>0</v>
      </c>
      <c r="U5499">
        <v>0</v>
      </c>
      <c r="V5499" s="3">
        <v>0</v>
      </c>
      <c r="W5499" s="3">
        <v>0</v>
      </c>
      <c r="X5499">
        <v>0</v>
      </c>
      <c r="Y5499" t="s">
        <v>4107</v>
      </c>
    </row>
    <row r="5500" spans="1:25" hidden="1" x14ac:dyDescent="0.25">
      <c r="A5500" t="s">
        <v>54</v>
      </c>
      <c r="B5500" t="s">
        <v>122</v>
      </c>
      <c r="C5500" t="s">
        <v>52</v>
      </c>
      <c r="D5500" t="s">
        <v>27</v>
      </c>
      <c r="E5500" s="2">
        <v>46157</v>
      </c>
      <c r="F5500" s="2">
        <v>46157</v>
      </c>
      <c r="G5500" s="3">
        <v>38</v>
      </c>
      <c r="H5500" t="s">
        <v>28</v>
      </c>
      <c r="I5500">
        <v>57</v>
      </c>
      <c r="J5500">
        <v>0</v>
      </c>
      <c r="K5500">
        <v>0</v>
      </c>
      <c r="L5500" s="3">
        <v>0</v>
      </c>
      <c r="M5500" s="3">
        <v>0</v>
      </c>
      <c r="N5500">
        <v>0</v>
      </c>
      <c r="O5500">
        <v>0</v>
      </c>
      <c r="P5500">
        <v>0</v>
      </c>
      <c r="Q5500">
        <v>2</v>
      </c>
      <c r="R5500" s="3">
        <v>0</v>
      </c>
      <c r="S5500" s="3">
        <v>0</v>
      </c>
      <c r="T5500">
        <v>0</v>
      </c>
      <c r="U5500">
        <v>0</v>
      </c>
      <c r="V5500" s="3">
        <v>0</v>
      </c>
      <c r="W5500" s="3">
        <v>0</v>
      </c>
      <c r="X5500">
        <v>0</v>
      </c>
      <c r="Y5500" t="s">
        <v>4108</v>
      </c>
    </row>
    <row r="5501" spans="1:25" hidden="1" x14ac:dyDescent="0.25">
      <c r="A5501" t="s">
        <v>48</v>
      </c>
      <c r="B5501" t="s">
        <v>149</v>
      </c>
      <c r="C5501" t="s">
        <v>37</v>
      </c>
      <c r="D5501" t="s">
        <v>27</v>
      </c>
      <c r="E5501" s="2">
        <v>46157</v>
      </c>
      <c r="F5501" s="2">
        <v>46157</v>
      </c>
      <c r="G5501" s="3">
        <v>23</v>
      </c>
      <c r="H5501" t="s">
        <v>28</v>
      </c>
      <c r="I5501">
        <v>80</v>
      </c>
      <c r="J5501">
        <v>0</v>
      </c>
      <c r="K5501">
        <v>0</v>
      </c>
      <c r="L5501" s="3">
        <v>1</v>
      </c>
      <c r="M5501" s="3">
        <v>0</v>
      </c>
      <c r="N5501">
        <v>0</v>
      </c>
      <c r="O5501">
        <v>0</v>
      </c>
      <c r="P5501">
        <v>0</v>
      </c>
      <c r="Q5501">
        <v>0</v>
      </c>
      <c r="R5501" s="3">
        <v>0</v>
      </c>
      <c r="S5501" s="3">
        <v>0</v>
      </c>
      <c r="T5501">
        <v>0</v>
      </c>
      <c r="U5501">
        <v>0</v>
      </c>
      <c r="V5501" s="3">
        <v>0</v>
      </c>
      <c r="W5501" s="3">
        <v>0</v>
      </c>
      <c r="X5501">
        <v>0</v>
      </c>
      <c r="Y5501" t="s">
        <v>4109</v>
      </c>
    </row>
    <row r="5502" spans="1:25" hidden="1" x14ac:dyDescent="0.25">
      <c r="A5502" t="s">
        <v>47</v>
      </c>
      <c r="B5502" t="s">
        <v>755</v>
      </c>
      <c r="C5502" t="s">
        <v>27</v>
      </c>
      <c r="D5502" t="s">
        <v>27</v>
      </c>
      <c r="E5502" s="2">
        <v>46157</v>
      </c>
      <c r="F5502" s="2">
        <v>46157</v>
      </c>
      <c r="G5502" s="3">
        <v>55</v>
      </c>
      <c r="H5502" t="s">
        <v>1256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 t="s">
        <v>3856</v>
      </c>
    </row>
    <row r="5503" spans="1:25" hidden="1" x14ac:dyDescent="0.25">
      <c r="A5503" t="s">
        <v>438</v>
      </c>
      <c r="B5503" t="s">
        <v>798</v>
      </c>
      <c r="C5503" t="s">
        <v>27</v>
      </c>
      <c r="D5503" t="s">
        <v>27</v>
      </c>
      <c r="E5503" s="2">
        <v>46157</v>
      </c>
      <c r="F5503" s="2">
        <v>46157</v>
      </c>
      <c r="G5503" s="3">
        <v>57</v>
      </c>
      <c r="H5503" t="s">
        <v>1256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 t="s">
        <v>3856</v>
      </c>
    </row>
    <row r="5504" spans="1:25" hidden="1" x14ac:dyDescent="0.25">
      <c r="A5504" t="s">
        <v>25</v>
      </c>
      <c r="B5504" t="s">
        <v>739</v>
      </c>
      <c r="C5504" t="s">
        <v>27</v>
      </c>
      <c r="D5504" t="s">
        <v>27</v>
      </c>
      <c r="E5504" s="2">
        <v>46157</v>
      </c>
      <c r="F5504" s="2">
        <v>46157</v>
      </c>
      <c r="G5504" s="3">
        <v>47</v>
      </c>
      <c r="H5504" t="s">
        <v>4083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4082</v>
      </c>
    </row>
    <row r="5505" spans="1:25" hidden="1" x14ac:dyDescent="0.25">
      <c r="A5505" t="s">
        <v>43</v>
      </c>
      <c r="C5505" t="s">
        <v>27</v>
      </c>
      <c r="D5505" t="s">
        <v>27</v>
      </c>
      <c r="E5505" s="2">
        <v>46157</v>
      </c>
      <c r="F5505" s="2">
        <v>46157</v>
      </c>
      <c r="G5505" s="3">
        <v>26</v>
      </c>
      <c r="H5505" t="s">
        <v>180</v>
      </c>
      <c r="I5505">
        <v>0</v>
      </c>
      <c r="J5505">
        <v>0</v>
      </c>
      <c r="K5505">
        <v>0</v>
      </c>
      <c r="L5505" s="3">
        <v>0</v>
      </c>
      <c r="M5505" s="3">
        <v>0</v>
      </c>
      <c r="N5505">
        <v>0</v>
      </c>
      <c r="O5505">
        <v>0</v>
      </c>
      <c r="P5505">
        <v>0</v>
      </c>
      <c r="Q5505">
        <v>0</v>
      </c>
      <c r="R5505" s="3">
        <v>0</v>
      </c>
      <c r="S5505" s="3">
        <v>0</v>
      </c>
      <c r="T5505">
        <v>0</v>
      </c>
      <c r="U5505">
        <v>0</v>
      </c>
      <c r="V5505" s="3">
        <v>0</v>
      </c>
      <c r="W5505" s="3">
        <v>0</v>
      </c>
      <c r="X5505" s="3">
        <v>0</v>
      </c>
      <c r="Y5505" t="s">
        <v>4053</v>
      </c>
    </row>
    <row r="5506" spans="1:25" hidden="1" x14ac:dyDescent="0.25">
      <c r="A5506" t="s">
        <v>41</v>
      </c>
      <c r="B5506" t="s">
        <v>112</v>
      </c>
      <c r="C5506" t="s">
        <v>42</v>
      </c>
      <c r="D5506" t="s">
        <v>27</v>
      </c>
      <c r="E5506" s="2">
        <v>46158</v>
      </c>
      <c r="F5506" s="2">
        <v>46158</v>
      </c>
      <c r="G5506" s="3">
        <v>58</v>
      </c>
      <c r="H5506" t="s">
        <v>28</v>
      </c>
      <c r="I5506">
        <v>0</v>
      </c>
      <c r="J5506">
        <v>0</v>
      </c>
      <c r="K5506">
        <v>0</v>
      </c>
      <c r="L5506" s="3">
        <v>0</v>
      </c>
      <c r="M5506" s="3">
        <v>0</v>
      </c>
      <c r="N5506">
        <v>1</v>
      </c>
      <c r="O5506">
        <v>0</v>
      </c>
      <c r="P5506">
        <v>0</v>
      </c>
      <c r="Q5506">
        <v>0</v>
      </c>
      <c r="R5506" s="3">
        <v>1</v>
      </c>
      <c r="S5506" s="3">
        <v>0</v>
      </c>
      <c r="T5506">
        <v>23</v>
      </c>
      <c r="U5506">
        <v>19</v>
      </c>
      <c r="V5506" s="3">
        <v>1</v>
      </c>
      <c r="W5506" s="3">
        <v>0</v>
      </c>
      <c r="X5506">
        <v>0</v>
      </c>
      <c r="Y5506" t="s">
        <v>4110</v>
      </c>
    </row>
    <row r="5507" spans="1:25" hidden="1" x14ac:dyDescent="0.25">
      <c r="A5507" t="s">
        <v>54</v>
      </c>
      <c r="B5507" t="s">
        <v>122</v>
      </c>
      <c r="C5507" t="s">
        <v>2514</v>
      </c>
      <c r="D5507" t="s">
        <v>27</v>
      </c>
      <c r="E5507" s="2">
        <v>46158</v>
      </c>
      <c r="F5507" s="2">
        <v>46158</v>
      </c>
      <c r="G5507" s="3">
        <v>39</v>
      </c>
      <c r="H5507" t="s">
        <v>28</v>
      </c>
      <c r="I5507">
        <v>0</v>
      </c>
      <c r="J5507">
        <v>0</v>
      </c>
      <c r="K5507">
        <v>0</v>
      </c>
      <c r="L5507" s="3">
        <v>0</v>
      </c>
      <c r="M5507" s="3">
        <v>0</v>
      </c>
      <c r="N5507">
        <v>0</v>
      </c>
      <c r="O5507">
        <v>0</v>
      </c>
      <c r="P5507">
        <v>0</v>
      </c>
      <c r="Q5507">
        <v>0</v>
      </c>
      <c r="R5507" s="3">
        <v>1</v>
      </c>
      <c r="S5507" s="3">
        <v>0</v>
      </c>
      <c r="T5507">
        <v>3</v>
      </c>
      <c r="U5507">
        <v>41</v>
      </c>
      <c r="V5507" s="3">
        <v>1</v>
      </c>
      <c r="W5507" s="3">
        <v>0</v>
      </c>
      <c r="X5507">
        <v>0</v>
      </c>
      <c r="Y5507" t="s">
        <v>4111</v>
      </c>
    </row>
    <row r="5508" spans="1:25" hidden="1" x14ac:dyDescent="0.25">
      <c r="A5508" t="s">
        <v>36</v>
      </c>
      <c r="B5508" t="s">
        <v>122</v>
      </c>
      <c r="C5508" t="s">
        <v>26</v>
      </c>
      <c r="D5508" t="s">
        <v>27</v>
      </c>
      <c r="E5508" s="2">
        <v>46158</v>
      </c>
      <c r="F5508" s="2">
        <v>46158</v>
      </c>
      <c r="G5508" s="3">
        <v>39</v>
      </c>
      <c r="H5508" t="s">
        <v>28</v>
      </c>
      <c r="I5508">
        <v>0</v>
      </c>
      <c r="J5508">
        <v>0</v>
      </c>
      <c r="K5508">
        <v>0</v>
      </c>
      <c r="L5508" s="3">
        <v>0</v>
      </c>
      <c r="M5508" s="3">
        <v>0</v>
      </c>
      <c r="N5508">
        <v>0</v>
      </c>
      <c r="O5508">
        <v>0</v>
      </c>
      <c r="P5508">
        <v>0</v>
      </c>
      <c r="Q5508">
        <v>0</v>
      </c>
      <c r="R5508" s="3">
        <v>1</v>
      </c>
      <c r="S5508" s="3">
        <v>0</v>
      </c>
      <c r="T5508">
        <v>0</v>
      </c>
      <c r="U5508">
        <v>12</v>
      </c>
      <c r="V5508" s="3">
        <v>1</v>
      </c>
      <c r="W5508" s="3">
        <v>0</v>
      </c>
      <c r="X5508">
        <v>0</v>
      </c>
      <c r="Y5508" t="s">
        <v>4111</v>
      </c>
    </row>
    <row r="5509" spans="1:25" hidden="1" x14ac:dyDescent="0.25">
      <c r="A5509" t="s">
        <v>51</v>
      </c>
      <c r="B5509" t="s">
        <v>122</v>
      </c>
      <c r="C5509" t="s">
        <v>55</v>
      </c>
      <c r="D5509" t="s">
        <v>27</v>
      </c>
      <c r="E5509" s="2">
        <v>46158</v>
      </c>
      <c r="F5509" s="2">
        <v>46158</v>
      </c>
      <c r="G5509" s="3">
        <v>39</v>
      </c>
      <c r="H5509" t="s">
        <v>28</v>
      </c>
      <c r="I5509">
        <v>0</v>
      </c>
      <c r="J5509">
        <v>0</v>
      </c>
      <c r="K5509">
        <v>0</v>
      </c>
      <c r="L5509" s="3">
        <v>0</v>
      </c>
      <c r="M5509" s="3">
        <v>0</v>
      </c>
      <c r="N5509">
        <v>0</v>
      </c>
      <c r="O5509">
        <v>0</v>
      </c>
      <c r="P5509">
        <v>0</v>
      </c>
      <c r="Q5509">
        <v>0</v>
      </c>
      <c r="R5509" s="3">
        <v>1</v>
      </c>
      <c r="S5509" s="3">
        <v>0</v>
      </c>
      <c r="T5509">
        <v>0</v>
      </c>
      <c r="U5509">
        <v>32</v>
      </c>
      <c r="V5509" s="3">
        <v>1</v>
      </c>
      <c r="W5509" s="3">
        <v>0</v>
      </c>
      <c r="X5509">
        <v>0</v>
      </c>
      <c r="Y5509" t="s">
        <v>4111</v>
      </c>
    </row>
    <row r="5510" spans="1:25" hidden="1" x14ac:dyDescent="0.25">
      <c r="A5510" t="s">
        <v>33</v>
      </c>
      <c r="B5510" t="s">
        <v>106</v>
      </c>
      <c r="C5510" t="s">
        <v>55</v>
      </c>
      <c r="D5510" t="s">
        <v>27</v>
      </c>
      <c r="E5510" s="2">
        <v>46159</v>
      </c>
      <c r="F5510" s="2">
        <v>46159</v>
      </c>
      <c r="G5510" s="3">
        <v>100</v>
      </c>
      <c r="H5510" t="s">
        <v>28</v>
      </c>
      <c r="I5510">
        <v>0</v>
      </c>
      <c r="J5510">
        <v>0</v>
      </c>
      <c r="K5510">
        <v>0</v>
      </c>
      <c r="L5510" s="3">
        <v>1</v>
      </c>
      <c r="M5510" s="3">
        <v>0</v>
      </c>
      <c r="N5510">
        <v>0</v>
      </c>
      <c r="O5510">
        <v>0</v>
      </c>
      <c r="P5510">
        <v>0</v>
      </c>
      <c r="Q5510">
        <v>0</v>
      </c>
      <c r="R5510" s="3">
        <v>0</v>
      </c>
      <c r="S5510" s="3">
        <v>1</v>
      </c>
      <c r="T5510">
        <v>3</v>
      </c>
      <c r="U5510">
        <v>40</v>
      </c>
      <c r="V5510" s="3">
        <v>0</v>
      </c>
      <c r="W5510" s="3">
        <v>1</v>
      </c>
      <c r="X5510">
        <v>0</v>
      </c>
      <c r="Y5510" t="s">
        <v>4112</v>
      </c>
    </row>
    <row r="5511" spans="1:25" hidden="1" x14ac:dyDescent="0.25">
      <c r="A5511" t="s">
        <v>48</v>
      </c>
      <c r="B5511" t="s">
        <v>149</v>
      </c>
      <c r="C5511" t="s">
        <v>37</v>
      </c>
      <c r="D5511" t="s">
        <v>27</v>
      </c>
      <c r="E5511" s="2">
        <v>46159</v>
      </c>
      <c r="F5511" s="2">
        <v>46159</v>
      </c>
      <c r="G5511" s="3">
        <v>35</v>
      </c>
      <c r="H5511" t="s">
        <v>28</v>
      </c>
      <c r="I5511">
        <v>0</v>
      </c>
      <c r="J5511">
        <v>0</v>
      </c>
      <c r="K5511">
        <v>0</v>
      </c>
      <c r="L5511" s="3">
        <v>0</v>
      </c>
      <c r="M5511" s="3">
        <v>0</v>
      </c>
      <c r="N5511">
        <v>0</v>
      </c>
      <c r="O5511">
        <v>0</v>
      </c>
      <c r="P5511">
        <v>0</v>
      </c>
      <c r="Q5511">
        <v>0</v>
      </c>
      <c r="R5511" s="3">
        <v>0</v>
      </c>
      <c r="S5511" s="3">
        <v>1</v>
      </c>
      <c r="T5511">
        <v>0</v>
      </c>
      <c r="U5511">
        <v>55</v>
      </c>
      <c r="V5511" s="3">
        <v>0</v>
      </c>
      <c r="W5511" s="3">
        <v>1</v>
      </c>
      <c r="X5511">
        <v>0</v>
      </c>
      <c r="Y5511" t="s">
        <v>4113</v>
      </c>
    </row>
    <row r="5512" spans="1:25" hidden="1" x14ac:dyDescent="0.25">
      <c r="A5512" t="s">
        <v>344</v>
      </c>
      <c r="B5512" t="s">
        <v>149</v>
      </c>
      <c r="C5512" t="s">
        <v>44</v>
      </c>
      <c r="D5512" t="s">
        <v>27</v>
      </c>
      <c r="E5512" s="2">
        <v>46159</v>
      </c>
      <c r="F5512" s="2">
        <v>46159</v>
      </c>
      <c r="G5512" s="3">
        <v>35</v>
      </c>
      <c r="H5512" t="s">
        <v>28</v>
      </c>
      <c r="I5512">
        <v>0</v>
      </c>
      <c r="J5512">
        <v>0</v>
      </c>
      <c r="K5512">
        <v>0</v>
      </c>
      <c r="L5512" s="3">
        <v>1</v>
      </c>
      <c r="M5512" s="3">
        <v>0</v>
      </c>
      <c r="N5512">
        <v>0</v>
      </c>
      <c r="O5512">
        <v>0</v>
      </c>
      <c r="P5512">
        <v>0</v>
      </c>
      <c r="Q5512">
        <v>0</v>
      </c>
      <c r="R5512" s="3">
        <v>0</v>
      </c>
      <c r="S5512" s="3">
        <v>1</v>
      </c>
      <c r="T5512">
        <v>0</v>
      </c>
      <c r="U5512">
        <v>60</v>
      </c>
      <c r="V5512" s="3">
        <v>0</v>
      </c>
      <c r="W5512" s="3">
        <v>1</v>
      </c>
      <c r="X5512">
        <v>0</v>
      </c>
      <c r="Y5512" t="s">
        <v>4113</v>
      </c>
    </row>
    <row r="5513" spans="1:25" hidden="1" x14ac:dyDescent="0.25">
      <c r="A5513" t="s">
        <v>36</v>
      </c>
      <c r="B5513" t="s">
        <v>149</v>
      </c>
      <c r="C5513" t="s">
        <v>26</v>
      </c>
      <c r="D5513" t="s">
        <v>27</v>
      </c>
      <c r="E5513" s="2">
        <v>46159</v>
      </c>
      <c r="F5513" s="2">
        <v>46159</v>
      </c>
      <c r="G5513" s="3">
        <v>35</v>
      </c>
      <c r="H5513" t="s">
        <v>28</v>
      </c>
      <c r="I5513">
        <v>0</v>
      </c>
      <c r="J5513">
        <v>0</v>
      </c>
      <c r="K5513">
        <v>0</v>
      </c>
      <c r="L5513" s="3">
        <v>1</v>
      </c>
      <c r="M5513" s="3">
        <v>0</v>
      </c>
      <c r="N5513">
        <v>0</v>
      </c>
      <c r="O5513">
        <v>0</v>
      </c>
      <c r="P5513">
        <v>0</v>
      </c>
      <c r="Q5513">
        <v>0</v>
      </c>
      <c r="R5513" s="3">
        <v>0</v>
      </c>
      <c r="S5513" s="3">
        <v>1</v>
      </c>
      <c r="T5513">
        <v>0</v>
      </c>
      <c r="U5513">
        <v>46</v>
      </c>
      <c r="V5513" s="3">
        <v>0</v>
      </c>
      <c r="W5513" s="3">
        <v>1</v>
      </c>
      <c r="X5513">
        <v>0</v>
      </c>
      <c r="Y5513" t="s">
        <v>4113</v>
      </c>
    </row>
    <row r="5514" spans="1:25" hidden="1" x14ac:dyDescent="0.25">
      <c r="A5514" t="s">
        <v>43</v>
      </c>
      <c r="B5514" t="s">
        <v>149</v>
      </c>
      <c r="C5514" t="s">
        <v>27</v>
      </c>
      <c r="D5514" t="s">
        <v>27</v>
      </c>
      <c r="E5514" s="2">
        <v>46159</v>
      </c>
      <c r="F5514" s="2">
        <v>46159</v>
      </c>
      <c r="G5514" s="3">
        <v>35</v>
      </c>
      <c r="H5514" t="s">
        <v>28</v>
      </c>
      <c r="I5514">
        <v>0</v>
      </c>
      <c r="J5514">
        <v>0</v>
      </c>
      <c r="K5514">
        <v>0</v>
      </c>
      <c r="L5514" s="3">
        <v>0</v>
      </c>
      <c r="M5514" s="3">
        <v>0</v>
      </c>
      <c r="N5514">
        <v>0</v>
      </c>
      <c r="O5514">
        <v>0</v>
      </c>
      <c r="P5514">
        <v>0</v>
      </c>
      <c r="Q5514">
        <v>0</v>
      </c>
      <c r="R5514" s="3">
        <v>1</v>
      </c>
      <c r="S5514" s="3">
        <v>0</v>
      </c>
      <c r="T5514">
        <v>35</v>
      </c>
      <c r="U5514">
        <v>0</v>
      </c>
      <c r="V5514" s="3">
        <v>0</v>
      </c>
      <c r="W5514" s="3">
        <v>0</v>
      </c>
      <c r="X5514">
        <v>0</v>
      </c>
      <c r="Y5514" t="s">
        <v>4113</v>
      </c>
    </row>
    <row r="5515" spans="1:25" hidden="1" x14ac:dyDescent="0.25">
      <c r="A5515" t="s">
        <v>27</v>
      </c>
      <c r="B5515" t="s">
        <v>149</v>
      </c>
      <c r="C5515" t="s">
        <v>43</v>
      </c>
      <c r="D5515" t="s">
        <v>27</v>
      </c>
      <c r="E5515" s="2">
        <v>46159</v>
      </c>
      <c r="F5515" s="2">
        <v>46159</v>
      </c>
      <c r="G5515" s="3">
        <v>35</v>
      </c>
      <c r="H5515" t="s">
        <v>28</v>
      </c>
      <c r="I5515">
        <v>0</v>
      </c>
      <c r="J5515">
        <v>0</v>
      </c>
      <c r="K5515">
        <v>0</v>
      </c>
      <c r="L5515" s="3">
        <v>0</v>
      </c>
      <c r="M5515" s="3">
        <v>0</v>
      </c>
      <c r="N5515">
        <v>0</v>
      </c>
      <c r="O5515">
        <v>0</v>
      </c>
      <c r="P5515">
        <v>0</v>
      </c>
      <c r="Q5515">
        <v>0</v>
      </c>
      <c r="R5515" s="3">
        <v>2</v>
      </c>
      <c r="S5515" s="3">
        <v>0</v>
      </c>
      <c r="T5515">
        <v>0</v>
      </c>
      <c r="U5515">
        <v>0</v>
      </c>
      <c r="V5515" s="3">
        <v>0</v>
      </c>
      <c r="W5515" s="3">
        <v>0</v>
      </c>
      <c r="X5515">
        <v>0</v>
      </c>
      <c r="Y5515" t="s">
        <v>4113</v>
      </c>
    </row>
    <row r="5516" spans="1:25" hidden="1" x14ac:dyDescent="0.25">
      <c r="A5516" t="s">
        <v>27</v>
      </c>
      <c r="B5516" t="s">
        <v>149</v>
      </c>
      <c r="C5516" t="s">
        <v>43</v>
      </c>
      <c r="D5516" t="s">
        <v>27</v>
      </c>
      <c r="E5516" s="2">
        <v>46160</v>
      </c>
      <c r="F5516" s="2">
        <v>46160</v>
      </c>
      <c r="G5516" s="3">
        <v>35</v>
      </c>
      <c r="H5516" t="s">
        <v>28</v>
      </c>
      <c r="I5516">
        <v>0</v>
      </c>
      <c r="J5516">
        <v>0</v>
      </c>
      <c r="K5516">
        <v>0</v>
      </c>
      <c r="L5516" s="3">
        <v>0</v>
      </c>
      <c r="M5516" s="3">
        <v>0</v>
      </c>
      <c r="N5516">
        <v>0</v>
      </c>
      <c r="O5516">
        <v>0</v>
      </c>
      <c r="P5516">
        <v>0</v>
      </c>
      <c r="Q5516">
        <v>0</v>
      </c>
      <c r="R5516" s="3">
        <v>0</v>
      </c>
      <c r="S5516" s="3">
        <v>3</v>
      </c>
      <c r="T5516">
        <v>0</v>
      </c>
      <c r="U5516">
        <v>0</v>
      </c>
      <c r="V5516" s="3">
        <v>0</v>
      </c>
      <c r="W5516" s="3">
        <v>0</v>
      </c>
      <c r="X5516">
        <v>0</v>
      </c>
      <c r="Y5516" t="s">
        <v>4113</v>
      </c>
    </row>
    <row r="5517" spans="1:25" x14ac:dyDescent="0.25">
      <c r="A5517" t="s">
        <v>55</v>
      </c>
      <c r="B5517" t="s">
        <v>2072</v>
      </c>
      <c r="C5517" t="s">
        <v>2271</v>
      </c>
      <c r="D5517" t="s">
        <v>27</v>
      </c>
      <c r="E5517" s="2">
        <v>46160</v>
      </c>
      <c r="F5517" s="2">
        <v>46160</v>
      </c>
      <c r="G5517" s="3">
        <v>35</v>
      </c>
      <c r="H5517" t="s">
        <v>28</v>
      </c>
      <c r="I5517">
        <v>30</v>
      </c>
      <c r="J5517">
        <v>0</v>
      </c>
      <c r="K5517">
        <v>0</v>
      </c>
      <c r="L5517" s="3">
        <v>1</v>
      </c>
      <c r="M5517" s="3">
        <v>0</v>
      </c>
      <c r="N5517">
        <v>1</v>
      </c>
      <c r="O5517">
        <v>0</v>
      </c>
      <c r="P5517">
        <v>0</v>
      </c>
      <c r="Q5517">
        <v>0</v>
      </c>
      <c r="R5517" s="3">
        <v>0</v>
      </c>
      <c r="S5517" s="3">
        <v>0</v>
      </c>
      <c r="T5517">
        <v>0</v>
      </c>
      <c r="U5517">
        <v>0</v>
      </c>
      <c r="V5517" s="3">
        <v>0</v>
      </c>
      <c r="W5517" s="3">
        <v>0</v>
      </c>
      <c r="X5517">
        <v>0</v>
      </c>
      <c r="Y5517" t="s">
        <v>4114</v>
      </c>
    </row>
    <row r="5518" spans="1:25" hidden="1" x14ac:dyDescent="0.25">
      <c r="A5518" t="s">
        <v>29</v>
      </c>
      <c r="B5518" t="s">
        <v>100</v>
      </c>
      <c r="C5518" t="s">
        <v>95</v>
      </c>
      <c r="D5518" t="s">
        <v>27</v>
      </c>
      <c r="E5518" s="2">
        <v>46160</v>
      </c>
      <c r="F5518" s="2">
        <v>46160</v>
      </c>
      <c r="G5518" s="3">
        <v>51</v>
      </c>
      <c r="H5518" t="s">
        <v>28</v>
      </c>
      <c r="I5518">
        <v>57</v>
      </c>
      <c r="J5518">
        <v>0</v>
      </c>
      <c r="K5518">
        <v>0</v>
      </c>
      <c r="L5518" s="3">
        <v>1</v>
      </c>
      <c r="M5518" s="3">
        <v>0</v>
      </c>
      <c r="N5518">
        <v>0</v>
      </c>
      <c r="O5518">
        <v>0</v>
      </c>
      <c r="P5518">
        <v>18</v>
      </c>
      <c r="Q5518">
        <v>15</v>
      </c>
      <c r="R5518" s="3">
        <v>0</v>
      </c>
      <c r="S5518" s="3">
        <v>0</v>
      </c>
      <c r="T5518">
        <v>0</v>
      </c>
      <c r="U5518">
        <v>0</v>
      </c>
      <c r="V5518" s="3">
        <v>0</v>
      </c>
      <c r="W5518" s="3">
        <v>0</v>
      </c>
      <c r="X5518">
        <v>0</v>
      </c>
      <c r="Y5518" t="s">
        <v>4115</v>
      </c>
    </row>
    <row r="5519" spans="1:25" hidden="1" x14ac:dyDescent="0.25">
      <c r="A5519" t="s">
        <v>344</v>
      </c>
      <c r="B5519" t="s">
        <v>102</v>
      </c>
      <c r="C5519" t="s">
        <v>44</v>
      </c>
      <c r="D5519" t="s">
        <v>27</v>
      </c>
      <c r="E5519" s="2">
        <v>46160</v>
      </c>
      <c r="F5519" s="2">
        <v>46160</v>
      </c>
      <c r="G5519" s="3">
        <v>128</v>
      </c>
      <c r="H5519" t="s">
        <v>28</v>
      </c>
      <c r="I5519">
        <v>50</v>
      </c>
      <c r="J5519">
        <v>0</v>
      </c>
      <c r="K5519">
        <v>0</v>
      </c>
      <c r="L5519" s="3">
        <v>1</v>
      </c>
      <c r="M5519" s="3">
        <v>1</v>
      </c>
      <c r="N5519">
        <v>0</v>
      </c>
      <c r="O5519">
        <v>0</v>
      </c>
      <c r="P5519">
        <v>0</v>
      </c>
      <c r="Q5519">
        <v>0</v>
      </c>
      <c r="R5519" s="3">
        <v>1</v>
      </c>
      <c r="S5519" s="3">
        <v>1</v>
      </c>
      <c r="T5519">
        <v>0</v>
      </c>
      <c r="U5519">
        <v>0</v>
      </c>
      <c r="V5519" s="3">
        <v>1</v>
      </c>
      <c r="W5519" s="3">
        <v>1</v>
      </c>
      <c r="X5519">
        <v>0</v>
      </c>
      <c r="Y5519" t="s">
        <v>4116</v>
      </c>
    </row>
    <row r="5520" spans="1:25" hidden="1" x14ac:dyDescent="0.25">
      <c r="A5520" t="s">
        <v>3960</v>
      </c>
      <c r="B5520" t="s">
        <v>598</v>
      </c>
      <c r="C5520" t="s">
        <v>35</v>
      </c>
      <c r="D5520" t="s">
        <v>27</v>
      </c>
      <c r="E5520" s="2">
        <v>46157</v>
      </c>
      <c r="F5520" s="2">
        <v>46157</v>
      </c>
      <c r="G5520" s="3">
        <v>37</v>
      </c>
      <c r="H5520" t="s">
        <v>28</v>
      </c>
      <c r="I5520">
        <v>31</v>
      </c>
      <c r="J5520">
        <v>0</v>
      </c>
      <c r="K5520">
        <v>0</v>
      </c>
      <c r="L5520" s="3">
        <v>0</v>
      </c>
      <c r="M5520" s="3">
        <v>0</v>
      </c>
      <c r="N5520">
        <v>0</v>
      </c>
      <c r="O5520">
        <v>0</v>
      </c>
      <c r="P5520">
        <v>0</v>
      </c>
      <c r="Q5520">
        <v>0</v>
      </c>
      <c r="R5520" s="3">
        <v>0</v>
      </c>
      <c r="S5520" s="3">
        <v>0</v>
      </c>
      <c r="T5520">
        <v>0</v>
      </c>
      <c r="U5520">
        <v>0</v>
      </c>
      <c r="V5520" s="3">
        <v>0</v>
      </c>
      <c r="W5520" s="3">
        <v>0</v>
      </c>
      <c r="X5520">
        <v>0</v>
      </c>
      <c r="Y5520" t="s">
        <v>4087</v>
      </c>
    </row>
    <row r="5521" spans="1:25" hidden="1" x14ac:dyDescent="0.25">
      <c r="A5521" t="s">
        <v>3960</v>
      </c>
      <c r="B5521" t="s">
        <v>104</v>
      </c>
      <c r="C5521" t="s">
        <v>35</v>
      </c>
      <c r="D5521" t="s">
        <v>27</v>
      </c>
      <c r="E5521" s="2">
        <v>46160</v>
      </c>
      <c r="F5521" s="2">
        <v>46160</v>
      </c>
      <c r="G5521" s="3">
        <v>46</v>
      </c>
      <c r="H5521" t="s">
        <v>28</v>
      </c>
      <c r="I5521">
        <v>76</v>
      </c>
      <c r="J5521">
        <v>0</v>
      </c>
      <c r="K5521">
        <v>0</v>
      </c>
      <c r="L5521" s="3">
        <v>1</v>
      </c>
      <c r="M5521" s="3">
        <v>0</v>
      </c>
      <c r="N5521">
        <v>0</v>
      </c>
      <c r="O5521">
        <v>0</v>
      </c>
      <c r="P5521">
        <v>0</v>
      </c>
      <c r="Q5521">
        <v>30</v>
      </c>
      <c r="R5521" s="3">
        <v>0</v>
      </c>
      <c r="S5521" s="3">
        <v>0</v>
      </c>
      <c r="T5521">
        <v>0</v>
      </c>
      <c r="U5521">
        <v>0</v>
      </c>
      <c r="V5521" s="3">
        <v>0</v>
      </c>
      <c r="W5521" s="3">
        <v>0</v>
      </c>
      <c r="X5521">
        <v>0</v>
      </c>
      <c r="Y5521" t="s">
        <v>4117</v>
      </c>
    </row>
    <row r="5522" spans="1:25" hidden="1" x14ac:dyDescent="0.25">
      <c r="A5522" t="s">
        <v>31</v>
      </c>
      <c r="B5522" t="s">
        <v>104</v>
      </c>
      <c r="C5522" t="s">
        <v>32</v>
      </c>
      <c r="D5522" t="s">
        <v>27</v>
      </c>
      <c r="E5522" s="2">
        <v>46160</v>
      </c>
      <c r="F5522" s="2">
        <v>46160</v>
      </c>
      <c r="G5522" s="3">
        <v>46</v>
      </c>
      <c r="H5522" t="s">
        <v>28</v>
      </c>
      <c r="I5522">
        <v>76</v>
      </c>
      <c r="J5522">
        <v>0</v>
      </c>
      <c r="K5522">
        <v>0</v>
      </c>
      <c r="L5522" s="3">
        <v>1</v>
      </c>
      <c r="M5522" s="3">
        <v>0</v>
      </c>
      <c r="N5522">
        <v>0</v>
      </c>
      <c r="O5522">
        <v>0</v>
      </c>
      <c r="P5522">
        <v>0</v>
      </c>
      <c r="Q5522">
        <v>30</v>
      </c>
      <c r="R5522" s="3">
        <v>0</v>
      </c>
      <c r="S5522" s="3">
        <v>0</v>
      </c>
      <c r="T5522">
        <v>0</v>
      </c>
      <c r="U5522">
        <v>0</v>
      </c>
      <c r="V5522" s="3">
        <v>0</v>
      </c>
      <c r="W5522" s="3">
        <v>0</v>
      </c>
      <c r="X5522">
        <v>0</v>
      </c>
      <c r="Y5522" t="s">
        <v>4117</v>
      </c>
    </row>
    <row r="5523" spans="1:25" hidden="1" x14ac:dyDescent="0.25">
      <c r="A5523" t="s">
        <v>33</v>
      </c>
      <c r="B5523" t="s">
        <v>106</v>
      </c>
      <c r="C5523" t="s">
        <v>57</v>
      </c>
      <c r="D5523" t="s">
        <v>27</v>
      </c>
      <c r="E5523" s="2">
        <v>46160</v>
      </c>
      <c r="F5523" s="2">
        <v>46160</v>
      </c>
      <c r="G5523" s="3">
        <v>25</v>
      </c>
      <c r="H5523" t="s">
        <v>28</v>
      </c>
      <c r="I5523">
        <v>60</v>
      </c>
      <c r="J5523">
        <v>0</v>
      </c>
      <c r="K5523">
        <v>0</v>
      </c>
      <c r="L5523" s="3">
        <v>0</v>
      </c>
      <c r="M5523" s="3">
        <v>0</v>
      </c>
      <c r="N5523">
        <v>0</v>
      </c>
      <c r="O5523">
        <v>0</v>
      </c>
      <c r="P5523">
        <v>0</v>
      </c>
      <c r="Q5523">
        <v>21</v>
      </c>
      <c r="R5523" s="3">
        <v>0</v>
      </c>
      <c r="S5523" s="3">
        <v>0</v>
      </c>
      <c r="T5523">
        <v>0</v>
      </c>
      <c r="U5523">
        <v>0</v>
      </c>
      <c r="V5523" s="3">
        <v>0</v>
      </c>
      <c r="W5523" s="3">
        <v>0</v>
      </c>
      <c r="X5523">
        <v>0</v>
      </c>
      <c r="Y5523" t="s">
        <v>4118</v>
      </c>
    </row>
    <row r="5524" spans="1:25" hidden="1" x14ac:dyDescent="0.25">
      <c r="A5524" t="s">
        <v>597</v>
      </c>
      <c r="B5524" t="s">
        <v>598</v>
      </c>
      <c r="C5524" t="s">
        <v>52</v>
      </c>
      <c r="D5524" t="s">
        <v>27</v>
      </c>
      <c r="E5524" s="2">
        <v>46160</v>
      </c>
      <c r="F5524" s="2">
        <v>46160</v>
      </c>
      <c r="G5524" s="3">
        <v>44</v>
      </c>
      <c r="H5524" t="s">
        <v>28</v>
      </c>
      <c r="I5524">
        <v>35</v>
      </c>
      <c r="J5524">
        <v>0</v>
      </c>
      <c r="K5524">
        <v>0</v>
      </c>
      <c r="L5524" s="3">
        <v>0</v>
      </c>
      <c r="M5524" s="3">
        <v>0</v>
      </c>
      <c r="N5524">
        <v>0</v>
      </c>
      <c r="O5524">
        <v>0</v>
      </c>
      <c r="P5524">
        <v>0</v>
      </c>
      <c r="Q5524">
        <v>0</v>
      </c>
      <c r="R5524" s="3">
        <v>0</v>
      </c>
      <c r="S5524" s="3">
        <v>0</v>
      </c>
      <c r="T5524">
        <v>0</v>
      </c>
      <c r="U5524">
        <v>0</v>
      </c>
      <c r="V5524" s="3">
        <v>0</v>
      </c>
      <c r="W5524" s="3">
        <v>0</v>
      </c>
      <c r="X5524">
        <v>0</v>
      </c>
      <c r="Y5524" t="s">
        <v>4119</v>
      </c>
    </row>
    <row r="5525" spans="1:25" hidden="1" x14ac:dyDescent="0.25">
      <c r="A5525" t="s">
        <v>36</v>
      </c>
      <c r="B5525" t="s">
        <v>249</v>
      </c>
      <c r="C5525" t="s">
        <v>2514</v>
      </c>
      <c r="D5525" t="s">
        <v>27</v>
      </c>
      <c r="E5525" s="2">
        <v>46160</v>
      </c>
      <c r="F5525" s="2">
        <v>46160</v>
      </c>
      <c r="G5525" s="3">
        <v>53</v>
      </c>
      <c r="H5525" t="s">
        <v>28</v>
      </c>
      <c r="I5525">
        <v>60</v>
      </c>
      <c r="J5525">
        <v>0</v>
      </c>
      <c r="K5525">
        <v>0</v>
      </c>
      <c r="L5525" s="3">
        <v>1</v>
      </c>
      <c r="M5525" s="3">
        <v>0</v>
      </c>
      <c r="N5525">
        <v>0</v>
      </c>
      <c r="O5525">
        <v>0</v>
      </c>
      <c r="P5525">
        <v>0</v>
      </c>
      <c r="Q5525">
        <v>25</v>
      </c>
      <c r="R5525" s="3">
        <v>0</v>
      </c>
      <c r="S5525" s="3">
        <v>0</v>
      </c>
      <c r="T5525">
        <v>0</v>
      </c>
      <c r="U5525">
        <v>0</v>
      </c>
      <c r="V5525" s="3">
        <v>0</v>
      </c>
      <c r="W5525" s="3">
        <v>0</v>
      </c>
      <c r="X5525">
        <v>0</v>
      </c>
      <c r="Y5525" t="s">
        <v>4120</v>
      </c>
    </row>
    <row r="5526" spans="1:25" hidden="1" x14ac:dyDescent="0.25">
      <c r="A5526" t="s">
        <v>38</v>
      </c>
      <c r="B5526" t="s">
        <v>108</v>
      </c>
      <c r="C5526" t="s">
        <v>27</v>
      </c>
      <c r="D5526" t="s">
        <v>27</v>
      </c>
      <c r="E5526" s="2">
        <v>46160</v>
      </c>
      <c r="F5526" s="2">
        <v>46160</v>
      </c>
      <c r="G5526" s="3">
        <v>24</v>
      </c>
      <c r="H5526" t="s">
        <v>28</v>
      </c>
      <c r="I5526">
        <v>35</v>
      </c>
      <c r="J5526">
        <v>0</v>
      </c>
      <c r="K5526">
        <v>0</v>
      </c>
      <c r="L5526" s="3">
        <v>1</v>
      </c>
      <c r="M5526" s="3">
        <v>0</v>
      </c>
      <c r="N5526">
        <v>0</v>
      </c>
      <c r="O5526">
        <v>0</v>
      </c>
      <c r="P5526">
        <v>0</v>
      </c>
      <c r="Q5526">
        <v>35</v>
      </c>
      <c r="R5526" s="3">
        <v>0</v>
      </c>
      <c r="S5526" s="3">
        <v>0</v>
      </c>
      <c r="T5526">
        <v>0</v>
      </c>
      <c r="U5526">
        <v>0</v>
      </c>
      <c r="V5526" s="3">
        <v>0</v>
      </c>
      <c r="W5526" s="3">
        <v>0</v>
      </c>
      <c r="X5526">
        <v>0</v>
      </c>
      <c r="Y5526" t="s">
        <v>4121</v>
      </c>
    </row>
    <row r="5527" spans="1:25" hidden="1" x14ac:dyDescent="0.25">
      <c r="A5527" t="s">
        <v>3929</v>
      </c>
      <c r="B5527" t="s">
        <v>2680</v>
      </c>
      <c r="C5527" t="s">
        <v>39</v>
      </c>
      <c r="D5527" t="s">
        <v>27</v>
      </c>
      <c r="E5527" s="2">
        <v>46160</v>
      </c>
      <c r="F5527" s="2">
        <v>46160</v>
      </c>
      <c r="G5527" s="3">
        <v>31</v>
      </c>
      <c r="H5527" t="s">
        <v>28</v>
      </c>
      <c r="I5527">
        <v>37</v>
      </c>
      <c r="J5527">
        <v>0</v>
      </c>
      <c r="K5527">
        <v>0</v>
      </c>
      <c r="L5527" s="3">
        <v>0</v>
      </c>
      <c r="M5527" s="3">
        <v>0</v>
      </c>
      <c r="N5527">
        <v>0</v>
      </c>
      <c r="O5527">
        <v>0</v>
      </c>
      <c r="P5527">
        <v>0</v>
      </c>
      <c r="Q5527">
        <v>37</v>
      </c>
      <c r="R5527" s="3">
        <v>0</v>
      </c>
      <c r="S5527" s="3">
        <v>0</v>
      </c>
      <c r="T5527">
        <v>0</v>
      </c>
      <c r="U5527">
        <v>0</v>
      </c>
      <c r="V5527" s="3">
        <v>0</v>
      </c>
      <c r="W5527" s="3">
        <v>0</v>
      </c>
      <c r="X5527">
        <v>0</v>
      </c>
      <c r="Y5527" t="s">
        <v>4122</v>
      </c>
    </row>
    <row r="5528" spans="1:25" hidden="1" x14ac:dyDescent="0.25">
      <c r="A5528" t="s">
        <v>40</v>
      </c>
      <c r="B5528" t="s">
        <v>110</v>
      </c>
      <c r="C5528" t="s">
        <v>2534</v>
      </c>
      <c r="D5528" t="s">
        <v>27</v>
      </c>
      <c r="E5528" s="2">
        <v>46160</v>
      </c>
      <c r="F5528" s="2">
        <v>46160</v>
      </c>
      <c r="G5528" s="3">
        <v>38</v>
      </c>
      <c r="H5528" t="s">
        <v>28</v>
      </c>
      <c r="I5528">
        <v>43</v>
      </c>
      <c r="J5528">
        <v>0</v>
      </c>
      <c r="K5528">
        <v>0</v>
      </c>
      <c r="L5528" s="3">
        <v>1</v>
      </c>
      <c r="M5528" s="3">
        <v>0</v>
      </c>
      <c r="N5528">
        <v>1</v>
      </c>
      <c r="O5528">
        <v>0</v>
      </c>
      <c r="P5528">
        <v>0</v>
      </c>
      <c r="Q5528">
        <v>18</v>
      </c>
      <c r="R5528" s="3">
        <v>0</v>
      </c>
      <c r="S5528" s="3">
        <v>0</v>
      </c>
      <c r="T5528">
        <v>0</v>
      </c>
      <c r="U5528">
        <v>0</v>
      </c>
      <c r="V5528" s="3">
        <v>0</v>
      </c>
      <c r="W5528" s="3">
        <v>0</v>
      </c>
      <c r="X5528">
        <v>0</v>
      </c>
      <c r="Y5528" t="s">
        <v>4123</v>
      </c>
    </row>
    <row r="5529" spans="1:25" hidden="1" x14ac:dyDescent="0.25">
      <c r="A5529" t="s">
        <v>41</v>
      </c>
      <c r="B5529" t="s">
        <v>112</v>
      </c>
      <c r="C5529" t="s">
        <v>42</v>
      </c>
      <c r="D5529" t="s">
        <v>27</v>
      </c>
      <c r="E5529" s="2">
        <v>46160</v>
      </c>
      <c r="F5529" s="2">
        <v>46160</v>
      </c>
      <c r="G5529" s="3">
        <v>97</v>
      </c>
      <c r="H5529" t="s">
        <v>28</v>
      </c>
      <c r="I5529">
        <v>117</v>
      </c>
      <c r="J5529">
        <v>0</v>
      </c>
      <c r="K5529">
        <v>0</v>
      </c>
      <c r="L5529" s="3">
        <v>1</v>
      </c>
      <c r="M5529" s="3">
        <v>0</v>
      </c>
      <c r="N5529">
        <v>1</v>
      </c>
      <c r="O5529">
        <v>0</v>
      </c>
      <c r="P5529">
        <v>0</v>
      </c>
      <c r="Q5529">
        <v>4</v>
      </c>
      <c r="R5529" s="3">
        <v>0</v>
      </c>
      <c r="S5529" s="3">
        <v>0</v>
      </c>
      <c r="T5529">
        <v>0</v>
      </c>
      <c r="U5529">
        <v>0</v>
      </c>
      <c r="V5529" s="3">
        <v>0</v>
      </c>
      <c r="W5529" s="3">
        <v>0</v>
      </c>
      <c r="X5529">
        <v>0</v>
      </c>
      <c r="Y5529" t="s">
        <v>4124</v>
      </c>
    </row>
    <row r="5530" spans="1:25" hidden="1" x14ac:dyDescent="0.25">
      <c r="A5530" t="s">
        <v>45</v>
      </c>
      <c r="B5530" t="s">
        <v>116</v>
      </c>
      <c r="C5530" t="s">
        <v>46</v>
      </c>
      <c r="D5530" t="s">
        <v>27</v>
      </c>
      <c r="E5530" s="2">
        <v>46157</v>
      </c>
      <c r="F5530" s="2">
        <v>46157</v>
      </c>
      <c r="G5530" s="3">
        <v>35</v>
      </c>
      <c r="H5530" t="s">
        <v>28</v>
      </c>
      <c r="I5530">
        <v>66</v>
      </c>
      <c r="J5530">
        <v>0</v>
      </c>
      <c r="K5530">
        <v>0</v>
      </c>
      <c r="L5530" s="3">
        <v>0</v>
      </c>
      <c r="M5530" s="3">
        <v>0</v>
      </c>
      <c r="N5530">
        <v>0</v>
      </c>
      <c r="O5530">
        <v>0</v>
      </c>
      <c r="P5530">
        <v>0</v>
      </c>
      <c r="Q5530">
        <v>0</v>
      </c>
      <c r="R5530" s="3">
        <v>0</v>
      </c>
      <c r="S5530" s="3">
        <v>0</v>
      </c>
      <c r="T5530">
        <v>0</v>
      </c>
      <c r="U5530">
        <v>0</v>
      </c>
      <c r="V5530" s="3">
        <v>0</v>
      </c>
      <c r="W5530" s="3">
        <v>0</v>
      </c>
      <c r="X5530">
        <v>0</v>
      </c>
      <c r="Y5530" t="s">
        <v>4092</v>
      </c>
    </row>
    <row r="5531" spans="1:25" hidden="1" x14ac:dyDescent="0.25">
      <c r="A5531" t="s">
        <v>49</v>
      </c>
      <c r="B5531" t="s">
        <v>118</v>
      </c>
      <c r="C5531" t="s">
        <v>50</v>
      </c>
      <c r="D5531" t="s">
        <v>27</v>
      </c>
      <c r="E5531" s="2">
        <v>46160</v>
      </c>
      <c r="F5531" s="2">
        <v>46160</v>
      </c>
      <c r="G5531" s="3">
        <v>25</v>
      </c>
      <c r="H5531" t="s">
        <v>28</v>
      </c>
      <c r="I5531">
        <v>25</v>
      </c>
      <c r="J5531">
        <v>0</v>
      </c>
      <c r="K5531">
        <v>0</v>
      </c>
      <c r="L5531" s="3">
        <v>1</v>
      </c>
      <c r="M5531" s="3">
        <v>1</v>
      </c>
      <c r="N5531">
        <v>0</v>
      </c>
      <c r="O5531">
        <v>0</v>
      </c>
      <c r="P5531">
        <v>0</v>
      </c>
      <c r="Q5531">
        <v>25</v>
      </c>
      <c r="R5531" s="3">
        <v>0</v>
      </c>
      <c r="S5531" s="3">
        <v>0</v>
      </c>
      <c r="T5531">
        <v>0</v>
      </c>
      <c r="U5531">
        <v>0</v>
      </c>
      <c r="V5531" s="3">
        <v>0</v>
      </c>
      <c r="W5531" s="3">
        <v>0</v>
      </c>
      <c r="X5531">
        <v>0</v>
      </c>
      <c r="Y5531" t="s">
        <v>4125</v>
      </c>
    </row>
    <row r="5532" spans="1:25" hidden="1" x14ac:dyDescent="0.25">
      <c r="A5532" t="s">
        <v>51</v>
      </c>
      <c r="B5532" t="s">
        <v>120</v>
      </c>
      <c r="C5532" t="s">
        <v>2310</v>
      </c>
      <c r="D5532" t="s">
        <v>27</v>
      </c>
      <c r="E5532" s="2">
        <v>46160</v>
      </c>
      <c r="F5532" s="2">
        <v>46160</v>
      </c>
      <c r="G5532" s="3">
        <v>90</v>
      </c>
      <c r="H5532" t="s">
        <v>28</v>
      </c>
      <c r="I5532">
        <v>28</v>
      </c>
      <c r="J5532">
        <v>0</v>
      </c>
      <c r="K5532">
        <v>0</v>
      </c>
      <c r="L5532" s="3">
        <v>1</v>
      </c>
      <c r="M5532" s="3">
        <v>0</v>
      </c>
      <c r="N5532">
        <v>0</v>
      </c>
      <c r="O5532">
        <v>0</v>
      </c>
      <c r="P5532">
        <v>0</v>
      </c>
      <c r="Q5532">
        <v>6</v>
      </c>
      <c r="R5532" s="3">
        <v>0</v>
      </c>
      <c r="S5532" s="3">
        <v>0</v>
      </c>
      <c r="T5532">
        <v>0</v>
      </c>
      <c r="U5532">
        <v>0</v>
      </c>
      <c r="V5532" s="3">
        <v>0</v>
      </c>
      <c r="W5532" s="3">
        <v>0</v>
      </c>
      <c r="X5532">
        <v>0</v>
      </c>
      <c r="Y5532" t="s">
        <v>4126</v>
      </c>
    </row>
    <row r="5533" spans="1:25" hidden="1" x14ac:dyDescent="0.25">
      <c r="A5533" t="s">
        <v>48</v>
      </c>
      <c r="B5533" t="s">
        <v>149</v>
      </c>
      <c r="C5533" t="s">
        <v>37</v>
      </c>
      <c r="D5533" t="s">
        <v>27</v>
      </c>
      <c r="E5533" s="2">
        <v>46160</v>
      </c>
      <c r="F5533" s="2">
        <v>46160</v>
      </c>
      <c r="G5533" s="3">
        <v>25</v>
      </c>
      <c r="H5533" t="s">
        <v>28</v>
      </c>
      <c r="I5533">
        <v>76</v>
      </c>
      <c r="J5533">
        <v>0</v>
      </c>
      <c r="K5533">
        <v>0</v>
      </c>
      <c r="L5533" s="3">
        <v>1</v>
      </c>
      <c r="M5533" s="3">
        <v>0</v>
      </c>
      <c r="N5533">
        <v>0</v>
      </c>
      <c r="O5533">
        <v>0</v>
      </c>
      <c r="P5533">
        <v>0</v>
      </c>
      <c r="Q5533">
        <v>0</v>
      </c>
      <c r="R5533" s="3">
        <v>0</v>
      </c>
      <c r="S5533" s="3">
        <v>0</v>
      </c>
      <c r="T5533">
        <v>0</v>
      </c>
      <c r="U5533">
        <v>0</v>
      </c>
      <c r="V5533" s="3">
        <v>0</v>
      </c>
      <c r="W5533" s="3">
        <v>0</v>
      </c>
      <c r="X5533">
        <v>0</v>
      </c>
      <c r="Y5533" t="s">
        <v>4127</v>
      </c>
    </row>
    <row r="5534" spans="1:25" hidden="1" x14ac:dyDescent="0.25">
      <c r="A5534" t="s">
        <v>47</v>
      </c>
      <c r="B5534" t="s">
        <v>755</v>
      </c>
      <c r="C5534" t="s">
        <v>27</v>
      </c>
      <c r="D5534" t="s">
        <v>27</v>
      </c>
      <c r="E5534" s="2">
        <v>46160</v>
      </c>
      <c r="F5534" s="2">
        <v>46160</v>
      </c>
      <c r="G5534" s="3">
        <v>55</v>
      </c>
      <c r="H5534" t="s">
        <v>1256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 t="s">
        <v>3856</v>
      </c>
    </row>
    <row r="5535" spans="1:25" hidden="1" x14ac:dyDescent="0.25">
      <c r="A5535" t="s">
        <v>438</v>
      </c>
      <c r="B5535" t="s">
        <v>798</v>
      </c>
      <c r="C5535" t="s">
        <v>27</v>
      </c>
      <c r="D5535" t="s">
        <v>27</v>
      </c>
      <c r="E5535" s="2">
        <v>46160</v>
      </c>
      <c r="F5535" s="2">
        <v>46160</v>
      </c>
      <c r="G5535" s="3">
        <v>57</v>
      </c>
      <c r="H5535" t="s">
        <v>1256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3856</v>
      </c>
    </row>
    <row r="5536" spans="1:25" hidden="1" x14ac:dyDescent="0.25">
      <c r="A5536" t="s">
        <v>25</v>
      </c>
      <c r="B5536" t="s">
        <v>739</v>
      </c>
      <c r="C5536" t="s">
        <v>27</v>
      </c>
      <c r="D5536" t="s">
        <v>27</v>
      </c>
      <c r="E5536" s="2">
        <v>46160</v>
      </c>
      <c r="F5536" s="2">
        <v>46160</v>
      </c>
      <c r="G5536" s="3">
        <v>47</v>
      </c>
      <c r="H5536" t="s">
        <v>4083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t="s">
        <v>4082</v>
      </c>
    </row>
    <row r="5537" spans="1:25" hidden="1" x14ac:dyDescent="0.25">
      <c r="A5537" t="s">
        <v>43</v>
      </c>
      <c r="B5537" t="s">
        <v>755</v>
      </c>
      <c r="C5537" t="s">
        <v>27</v>
      </c>
      <c r="D5537" t="s">
        <v>27</v>
      </c>
      <c r="E5537" s="2">
        <v>46160</v>
      </c>
      <c r="F5537" s="2">
        <v>46160</v>
      </c>
      <c r="G5537" s="3">
        <v>26</v>
      </c>
      <c r="H5537" t="s">
        <v>180</v>
      </c>
      <c r="I5537">
        <v>0</v>
      </c>
      <c r="J5537">
        <v>0</v>
      </c>
      <c r="K5537">
        <v>0</v>
      </c>
      <c r="L5537" s="3">
        <v>0</v>
      </c>
      <c r="M5537" s="3">
        <v>0</v>
      </c>
      <c r="N5537">
        <v>0</v>
      </c>
      <c r="O5537">
        <v>0</v>
      </c>
      <c r="P5537">
        <v>0</v>
      </c>
      <c r="Q5537">
        <v>0</v>
      </c>
      <c r="R5537" s="3">
        <v>0</v>
      </c>
      <c r="S5537" s="3">
        <v>0</v>
      </c>
      <c r="T5537">
        <v>0</v>
      </c>
      <c r="U5537">
        <v>0</v>
      </c>
      <c r="V5537" s="3">
        <v>0</v>
      </c>
      <c r="W5537" s="3">
        <v>0</v>
      </c>
      <c r="X5537" s="3">
        <v>0</v>
      </c>
      <c r="Y5537" t="s">
        <v>4053</v>
      </c>
    </row>
    <row r="5538" spans="1:25" hidden="1" x14ac:dyDescent="0.25">
      <c r="A5538" t="s">
        <v>54</v>
      </c>
      <c r="B5538" t="s">
        <v>758</v>
      </c>
      <c r="C5538" t="s">
        <v>27</v>
      </c>
      <c r="D5538" t="s">
        <v>27</v>
      </c>
      <c r="E5538" s="2">
        <v>46160</v>
      </c>
      <c r="F5538" s="2">
        <v>46160</v>
      </c>
      <c r="G5538" s="3">
        <v>27</v>
      </c>
      <c r="H5538" t="s">
        <v>2143</v>
      </c>
      <c r="I5538">
        <v>0</v>
      </c>
      <c r="J5538">
        <v>0</v>
      </c>
      <c r="K5538">
        <v>0</v>
      </c>
      <c r="L5538" s="3">
        <v>0</v>
      </c>
      <c r="M5538" s="3">
        <v>0</v>
      </c>
      <c r="N5538">
        <v>0</v>
      </c>
      <c r="O5538">
        <v>0</v>
      </c>
      <c r="P5538">
        <v>0</v>
      </c>
      <c r="Q5538">
        <v>0</v>
      </c>
      <c r="R5538" s="3">
        <v>0</v>
      </c>
      <c r="S5538" s="3">
        <v>0</v>
      </c>
      <c r="T5538">
        <v>0</v>
      </c>
      <c r="U5538">
        <v>0</v>
      </c>
      <c r="V5538" s="3">
        <v>0</v>
      </c>
      <c r="W5538" s="3">
        <v>0</v>
      </c>
      <c r="X5538" s="3">
        <v>0</v>
      </c>
    </row>
    <row r="5539" spans="1:25" hidden="1" x14ac:dyDescent="0.25">
      <c r="A5539" t="s">
        <v>29</v>
      </c>
      <c r="B5539" t="s">
        <v>100</v>
      </c>
      <c r="C5539" t="s">
        <v>26</v>
      </c>
      <c r="D5539" t="s">
        <v>27</v>
      </c>
      <c r="E5539" s="2">
        <v>46161</v>
      </c>
      <c r="F5539" s="2">
        <v>46161</v>
      </c>
      <c r="G5539" s="3">
        <v>42</v>
      </c>
      <c r="H5539" t="s">
        <v>28</v>
      </c>
      <c r="I5539">
        <v>36</v>
      </c>
      <c r="J5539">
        <v>0</v>
      </c>
      <c r="K5539">
        <v>0</v>
      </c>
      <c r="L5539" s="3">
        <v>1</v>
      </c>
      <c r="M5539" s="3">
        <v>0</v>
      </c>
      <c r="N5539">
        <v>1</v>
      </c>
      <c r="O5539">
        <v>0</v>
      </c>
      <c r="P5539">
        <v>0</v>
      </c>
      <c r="Q5539">
        <v>0</v>
      </c>
      <c r="R5539" s="3">
        <v>0</v>
      </c>
      <c r="S5539" s="3">
        <v>0</v>
      </c>
      <c r="T5539">
        <v>0</v>
      </c>
      <c r="U5539">
        <v>0</v>
      </c>
      <c r="V5539" s="3">
        <v>0</v>
      </c>
      <c r="W5539" s="3">
        <v>0</v>
      </c>
      <c r="X5539">
        <v>0</v>
      </c>
      <c r="Y5539" t="s">
        <v>4128</v>
      </c>
    </row>
    <row r="5540" spans="1:25" hidden="1" x14ac:dyDescent="0.25">
      <c r="A5540" t="s">
        <v>31</v>
      </c>
      <c r="B5540" t="s">
        <v>104</v>
      </c>
      <c r="C5540" t="s">
        <v>32</v>
      </c>
      <c r="D5540" t="s">
        <v>27</v>
      </c>
      <c r="E5540" s="2">
        <v>46161</v>
      </c>
      <c r="F5540" s="2">
        <v>46161</v>
      </c>
      <c r="G5540" s="3">
        <v>50</v>
      </c>
      <c r="H5540" t="s">
        <v>28</v>
      </c>
      <c r="I5540">
        <v>67</v>
      </c>
      <c r="J5540">
        <v>0</v>
      </c>
      <c r="K5540">
        <v>0</v>
      </c>
      <c r="L5540" s="3">
        <v>1</v>
      </c>
      <c r="M5540" s="3">
        <v>0</v>
      </c>
      <c r="N5540">
        <v>0</v>
      </c>
      <c r="O5540">
        <v>0</v>
      </c>
      <c r="P5540">
        <v>0</v>
      </c>
      <c r="Q5540">
        <v>36</v>
      </c>
      <c r="R5540" s="3">
        <v>0</v>
      </c>
      <c r="S5540" s="3">
        <v>0</v>
      </c>
      <c r="T5540">
        <v>0</v>
      </c>
      <c r="U5540">
        <v>0</v>
      </c>
      <c r="V5540" s="3">
        <v>0</v>
      </c>
      <c r="W5540" s="3">
        <v>0</v>
      </c>
      <c r="X5540">
        <v>0</v>
      </c>
      <c r="Y5540" t="s">
        <v>4129</v>
      </c>
    </row>
    <row r="5541" spans="1:25" hidden="1" x14ac:dyDescent="0.25">
      <c r="A5541" t="s">
        <v>33</v>
      </c>
      <c r="B5541" t="s">
        <v>106</v>
      </c>
      <c r="C5541" t="s">
        <v>44</v>
      </c>
      <c r="D5541" t="s">
        <v>27</v>
      </c>
      <c r="E5541" s="2">
        <v>46161</v>
      </c>
      <c r="F5541" s="2">
        <v>46161</v>
      </c>
      <c r="G5541" s="3">
        <v>29</v>
      </c>
      <c r="H5541" t="s">
        <v>28</v>
      </c>
      <c r="I5541">
        <v>65</v>
      </c>
      <c r="J5541">
        <v>0</v>
      </c>
      <c r="K5541">
        <v>0</v>
      </c>
      <c r="L5541" s="3">
        <v>1</v>
      </c>
      <c r="M5541" s="3">
        <v>0</v>
      </c>
      <c r="N5541">
        <v>0</v>
      </c>
      <c r="O5541">
        <v>0</v>
      </c>
      <c r="P5541">
        <v>0</v>
      </c>
      <c r="Q5541">
        <v>0</v>
      </c>
      <c r="R5541" s="3">
        <v>0</v>
      </c>
      <c r="S5541" s="3">
        <v>0</v>
      </c>
      <c r="T5541">
        <v>0</v>
      </c>
      <c r="U5541">
        <v>0</v>
      </c>
      <c r="V5541" s="3">
        <v>0</v>
      </c>
      <c r="W5541" s="3">
        <v>0</v>
      </c>
      <c r="X5541">
        <v>0</v>
      </c>
      <c r="Y5541" t="s">
        <v>4130</v>
      </c>
    </row>
    <row r="5542" spans="1:25" hidden="1" x14ac:dyDescent="0.25">
      <c r="A5542" t="s">
        <v>3960</v>
      </c>
      <c r="B5542" t="s">
        <v>598</v>
      </c>
      <c r="C5542" t="s">
        <v>35</v>
      </c>
      <c r="D5542" t="s">
        <v>27</v>
      </c>
      <c r="E5542" s="2">
        <v>46161</v>
      </c>
      <c r="F5542" s="2">
        <v>46161</v>
      </c>
      <c r="G5542" s="3">
        <v>36</v>
      </c>
      <c r="H5542" t="s">
        <v>28</v>
      </c>
      <c r="I5542">
        <v>64</v>
      </c>
      <c r="J5542">
        <v>0</v>
      </c>
      <c r="K5542">
        <v>0</v>
      </c>
      <c r="L5542" s="3">
        <v>0</v>
      </c>
      <c r="M5542" s="3">
        <v>0</v>
      </c>
      <c r="N5542">
        <v>0</v>
      </c>
      <c r="O5542">
        <v>0</v>
      </c>
      <c r="P5542">
        <v>0</v>
      </c>
      <c r="Q5542">
        <v>0</v>
      </c>
      <c r="R5542" s="3">
        <v>0</v>
      </c>
      <c r="S5542" s="3">
        <v>0</v>
      </c>
      <c r="T5542">
        <v>0</v>
      </c>
      <c r="U5542">
        <v>0</v>
      </c>
      <c r="V5542" s="3">
        <v>0</v>
      </c>
      <c r="W5542" s="3">
        <v>0</v>
      </c>
      <c r="X5542">
        <v>0</v>
      </c>
      <c r="Y5542" t="s">
        <v>4131</v>
      </c>
    </row>
    <row r="5543" spans="1:25" hidden="1" x14ac:dyDescent="0.25">
      <c r="A5543" t="s">
        <v>36</v>
      </c>
      <c r="B5543" t="s">
        <v>249</v>
      </c>
      <c r="C5543" t="s">
        <v>2514</v>
      </c>
      <c r="D5543" t="s">
        <v>27</v>
      </c>
      <c r="E5543" s="2">
        <v>46161</v>
      </c>
      <c r="F5543" s="2">
        <v>46161</v>
      </c>
      <c r="G5543" s="3">
        <v>50</v>
      </c>
      <c r="H5543" t="s">
        <v>28</v>
      </c>
      <c r="I5543">
        <v>25</v>
      </c>
      <c r="J5543">
        <v>0</v>
      </c>
      <c r="K5543">
        <v>0</v>
      </c>
      <c r="L5543" s="3">
        <v>1</v>
      </c>
      <c r="M5543" s="3">
        <v>0</v>
      </c>
      <c r="N5543">
        <v>0</v>
      </c>
      <c r="O5543">
        <v>0</v>
      </c>
      <c r="P5543">
        <v>0</v>
      </c>
      <c r="Q5543">
        <v>5</v>
      </c>
      <c r="R5543" s="3">
        <v>0</v>
      </c>
      <c r="S5543" s="3">
        <v>0</v>
      </c>
      <c r="T5543">
        <v>0</v>
      </c>
      <c r="U5543">
        <v>0</v>
      </c>
      <c r="V5543" s="3">
        <v>0</v>
      </c>
      <c r="W5543" s="3">
        <v>0</v>
      </c>
      <c r="X5543">
        <v>0</v>
      </c>
      <c r="Y5543" t="s">
        <v>4132</v>
      </c>
    </row>
    <row r="5544" spans="1:25" hidden="1" x14ac:dyDescent="0.25">
      <c r="A5544" t="s">
        <v>38</v>
      </c>
      <c r="B5544" t="s">
        <v>108</v>
      </c>
      <c r="C5544" t="s">
        <v>27</v>
      </c>
      <c r="D5544" t="s">
        <v>27</v>
      </c>
      <c r="E5544" s="2">
        <v>46161</v>
      </c>
      <c r="F5544" s="2">
        <v>46161</v>
      </c>
      <c r="G5544" s="3">
        <v>26</v>
      </c>
      <c r="H5544" t="s">
        <v>28</v>
      </c>
      <c r="I5544">
        <v>21</v>
      </c>
      <c r="J5544">
        <v>0</v>
      </c>
      <c r="K5544">
        <v>0</v>
      </c>
      <c r="L5544" s="3">
        <v>1</v>
      </c>
      <c r="M5544" s="3">
        <v>0</v>
      </c>
      <c r="N5544">
        <v>0</v>
      </c>
      <c r="O5544">
        <v>0</v>
      </c>
      <c r="P5544">
        <v>0</v>
      </c>
      <c r="Q5544">
        <v>21</v>
      </c>
      <c r="R5544" s="3">
        <v>0</v>
      </c>
      <c r="S5544" s="3">
        <v>0</v>
      </c>
      <c r="T5544">
        <v>0</v>
      </c>
      <c r="U5544">
        <v>0</v>
      </c>
      <c r="V5544" s="3">
        <v>0</v>
      </c>
      <c r="W5544" s="3">
        <v>0</v>
      </c>
      <c r="X5544">
        <v>0</v>
      </c>
      <c r="Y5544" t="s">
        <v>4133</v>
      </c>
    </row>
    <row r="5545" spans="1:25" hidden="1" x14ac:dyDescent="0.25">
      <c r="A5545" t="s">
        <v>3929</v>
      </c>
      <c r="B5545" t="s">
        <v>2680</v>
      </c>
      <c r="C5545" t="s">
        <v>39</v>
      </c>
      <c r="D5545" t="s">
        <v>27</v>
      </c>
      <c r="E5545" s="2">
        <v>46161</v>
      </c>
      <c r="F5545" s="2">
        <v>46161</v>
      </c>
      <c r="G5545" s="3">
        <v>37</v>
      </c>
      <c r="H5545" t="s">
        <v>28</v>
      </c>
      <c r="I5545">
        <v>26</v>
      </c>
      <c r="J5545">
        <v>0</v>
      </c>
      <c r="K5545">
        <v>0</v>
      </c>
      <c r="L5545" s="3">
        <v>0</v>
      </c>
      <c r="M5545" s="3">
        <v>0</v>
      </c>
      <c r="N5545">
        <v>0</v>
      </c>
      <c r="O5545">
        <v>0</v>
      </c>
      <c r="P5545">
        <v>0</v>
      </c>
      <c r="Q5545">
        <v>26</v>
      </c>
      <c r="R5545" s="3">
        <v>0</v>
      </c>
      <c r="S5545" s="3">
        <v>0</v>
      </c>
      <c r="T5545">
        <v>0</v>
      </c>
      <c r="U5545">
        <v>0</v>
      </c>
      <c r="V5545" s="3">
        <v>0</v>
      </c>
      <c r="W5545" s="3">
        <v>0</v>
      </c>
      <c r="X5545">
        <v>0</v>
      </c>
      <c r="Y5545" t="s">
        <v>4134</v>
      </c>
    </row>
    <row r="5546" spans="1:25" hidden="1" x14ac:dyDescent="0.25">
      <c r="A5546" t="s">
        <v>40</v>
      </c>
      <c r="B5546" t="s">
        <v>110</v>
      </c>
      <c r="C5546" t="s">
        <v>2534</v>
      </c>
      <c r="D5546" t="s">
        <v>27</v>
      </c>
      <c r="E5546" s="2">
        <v>46161</v>
      </c>
      <c r="F5546" s="2">
        <v>46161</v>
      </c>
      <c r="G5546" s="3">
        <v>50</v>
      </c>
      <c r="H5546" t="s">
        <v>28</v>
      </c>
      <c r="I5546">
        <v>53</v>
      </c>
      <c r="J5546">
        <v>0</v>
      </c>
      <c r="K5546">
        <v>0</v>
      </c>
      <c r="L5546" s="3">
        <v>1</v>
      </c>
      <c r="M5546" s="3">
        <v>0</v>
      </c>
      <c r="N5546">
        <v>1</v>
      </c>
      <c r="O5546">
        <v>0</v>
      </c>
      <c r="P5546">
        <v>0</v>
      </c>
      <c r="Q5546">
        <v>10</v>
      </c>
      <c r="R5546" s="3">
        <v>0</v>
      </c>
      <c r="S5546" s="3">
        <v>0</v>
      </c>
      <c r="T5546">
        <v>0</v>
      </c>
      <c r="U5546">
        <v>0</v>
      </c>
      <c r="V5546" s="3">
        <v>0</v>
      </c>
      <c r="W5546" s="3">
        <v>0</v>
      </c>
      <c r="X5546">
        <v>0</v>
      </c>
      <c r="Y5546" t="s">
        <v>4135</v>
      </c>
    </row>
    <row r="5547" spans="1:25" hidden="1" x14ac:dyDescent="0.25">
      <c r="A5547" t="s">
        <v>27</v>
      </c>
      <c r="B5547" t="s">
        <v>112</v>
      </c>
      <c r="C5547" t="s">
        <v>26</v>
      </c>
      <c r="D5547" t="s">
        <v>27</v>
      </c>
      <c r="E5547" s="2">
        <v>46160</v>
      </c>
      <c r="F5547" s="2">
        <v>46160</v>
      </c>
      <c r="G5547" s="3">
        <v>97</v>
      </c>
      <c r="H5547" t="s">
        <v>28</v>
      </c>
      <c r="I5547">
        <v>117</v>
      </c>
      <c r="J5547">
        <v>0</v>
      </c>
      <c r="K5547">
        <v>0</v>
      </c>
      <c r="L5547" s="3">
        <v>1</v>
      </c>
      <c r="M5547" s="3">
        <v>0</v>
      </c>
      <c r="N5547">
        <v>1</v>
      </c>
      <c r="O5547">
        <v>0</v>
      </c>
      <c r="P5547">
        <v>0</v>
      </c>
      <c r="Q5547">
        <v>4</v>
      </c>
      <c r="R5547" s="3">
        <v>0</v>
      </c>
      <c r="S5547" s="3">
        <v>0</v>
      </c>
      <c r="T5547">
        <v>0</v>
      </c>
      <c r="U5547">
        <v>0</v>
      </c>
      <c r="V5547" s="3">
        <v>0</v>
      </c>
      <c r="W5547" s="3">
        <v>0</v>
      </c>
      <c r="X5547">
        <v>0</v>
      </c>
      <c r="Y5547" t="s">
        <v>4124</v>
      </c>
    </row>
    <row r="5548" spans="1:25" hidden="1" x14ac:dyDescent="0.25">
      <c r="A5548" t="s">
        <v>45</v>
      </c>
      <c r="B5548" t="s">
        <v>116</v>
      </c>
      <c r="C5548" t="s">
        <v>46</v>
      </c>
      <c r="D5548" t="s">
        <v>27</v>
      </c>
      <c r="E5548" s="2">
        <v>46160</v>
      </c>
      <c r="F5548" s="2">
        <v>46160</v>
      </c>
      <c r="G5548" s="3">
        <v>51</v>
      </c>
      <c r="H5548" t="s">
        <v>28</v>
      </c>
      <c r="I5548">
        <v>65</v>
      </c>
      <c r="J5548">
        <v>0</v>
      </c>
      <c r="K5548">
        <v>0</v>
      </c>
      <c r="L5548" s="3">
        <v>0</v>
      </c>
      <c r="M5548" s="3">
        <v>0</v>
      </c>
      <c r="N5548">
        <v>0</v>
      </c>
      <c r="O5548">
        <v>0</v>
      </c>
      <c r="P5548">
        <v>0</v>
      </c>
      <c r="Q5548">
        <v>0</v>
      </c>
      <c r="R5548" s="3">
        <v>0</v>
      </c>
      <c r="S5548" s="3">
        <v>0</v>
      </c>
      <c r="T5548">
        <v>0</v>
      </c>
      <c r="U5548">
        <v>0</v>
      </c>
      <c r="V5548" s="3">
        <v>0</v>
      </c>
      <c r="W5548" s="3">
        <v>0</v>
      </c>
      <c r="X5548">
        <v>0</v>
      </c>
      <c r="Y5548" t="s">
        <v>4137</v>
      </c>
    </row>
    <row r="5549" spans="1:25" hidden="1" x14ac:dyDescent="0.25">
      <c r="A5549" t="s">
        <v>49</v>
      </c>
      <c r="B5549" t="s">
        <v>118</v>
      </c>
      <c r="C5549" t="s">
        <v>50</v>
      </c>
      <c r="D5549" t="s">
        <v>27</v>
      </c>
      <c r="E5549" s="2">
        <v>46161</v>
      </c>
      <c r="F5549" s="2">
        <v>46161</v>
      </c>
      <c r="G5549" s="3">
        <v>25</v>
      </c>
      <c r="H5549" t="s">
        <v>28</v>
      </c>
      <c r="I5549">
        <v>35</v>
      </c>
      <c r="J5549">
        <v>0</v>
      </c>
      <c r="K5549">
        <v>0</v>
      </c>
      <c r="L5549" s="3">
        <v>1</v>
      </c>
      <c r="M5549" s="3">
        <v>1</v>
      </c>
      <c r="N5549">
        <v>0</v>
      </c>
      <c r="O5549">
        <v>1</v>
      </c>
      <c r="P5549">
        <v>0</v>
      </c>
      <c r="Q5549">
        <v>35</v>
      </c>
      <c r="R5549" s="3">
        <v>0</v>
      </c>
      <c r="S5549" s="3">
        <v>0</v>
      </c>
      <c r="T5549">
        <v>0</v>
      </c>
      <c r="U5549">
        <v>0</v>
      </c>
      <c r="V5549" s="3">
        <v>0</v>
      </c>
      <c r="W5549" s="3">
        <v>0</v>
      </c>
      <c r="X5549">
        <v>0</v>
      </c>
      <c r="Y5549" t="s">
        <v>4138</v>
      </c>
    </row>
    <row r="5550" spans="1:25" hidden="1" x14ac:dyDescent="0.25">
      <c r="A5550" t="s">
        <v>51</v>
      </c>
      <c r="B5550" t="s">
        <v>120</v>
      </c>
      <c r="C5550" t="s">
        <v>2310</v>
      </c>
      <c r="D5550" t="s">
        <v>27</v>
      </c>
      <c r="E5550" s="2">
        <v>46161</v>
      </c>
      <c r="F5550" s="2">
        <v>46161</v>
      </c>
      <c r="G5550" s="3">
        <v>110</v>
      </c>
      <c r="H5550" t="s">
        <v>28</v>
      </c>
      <c r="I5550">
        <v>45</v>
      </c>
      <c r="J5550">
        <v>0</v>
      </c>
      <c r="K5550">
        <v>0</v>
      </c>
      <c r="L5550" s="3">
        <v>1</v>
      </c>
      <c r="M5550" s="3">
        <v>0</v>
      </c>
      <c r="N5550">
        <v>0</v>
      </c>
      <c r="O5550">
        <v>0</v>
      </c>
      <c r="P5550">
        <v>0</v>
      </c>
      <c r="Q5550">
        <v>2</v>
      </c>
      <c r="R5550" s="3">
        <v>0</v>
      </c>
      <c r="S5550" s="3">
        <v>0</v>
      </c>
      <c r="T5550">
        <v>0</v>
      </c>
      <c r="U5550">
        <v>0</v>
      </c>
      <c r="V5550" s="3">
        <v>0</v>
      </c>
      <c r="W5550" s="3">
        <v>0</v>
      </c>
      <c r="X5550">
        <v>0</v>
      </c>
      <c r="Y5550" t="s">
        <v>4139</v>
      </c>
    </row>
    <row r="5551" spans="1:25" hidden="1" x14ac:dyDescent="0.25">
      <c r="A5551" t="s">
        <v>54</v>
      </c>
      <c r="B5551" t="s">
        <v>122</v>
      </c>
      <c r="C5551" t="s">
        <v>52</v>
      </c>
      <c r="D5551" t="s">
        <v>27</v>
      </c>
      <c r="E5551" s="2">
        <v>46161</v>
      </c>
      <c r="F5551" s="2">
        <v>46161</v>
      </c>
      <c r="G5551" s="3">
        <v>35</v>
      </c>
      <c r="H5551" t="s">
        <v>28</v>
      </c>
      <c r="I5551">
        <v>45</v>
      </c>
      <c r="J5551">
        <v>0</v>
      </c>
      <c r="K5551">
        <v>0</v>
      </c>
      <c r="L5551" s="3">
        <v>0</v>
      </c>
      <c r="M5551" s="3">
        <v>0</v>
      </c>
      <c r="N5551">
        <v>0</v>
      </c>
      <c r="O5551">
        <v>0</v>
      </c>
      <c r="P5551">
        <v>0</v>
      </c>
      <c r="Q5551">
        <v>2</v>
      </c>
      <c r="R5551" s="3">
        <v>0</v>
      </c>
      <c r="S5551" s="3">
        <v>0</v>
      </c>
      <c r="T5551">
        <v>0</v>
      </c>
      <c r="U5551">
        <v>0</v>
      </c>
      <c r="V5551" s="3">
        <v>0</v>
      </c>
      <c r="W5551" s="3">
        <v>0</v>
      </c>
      <c r="X5551">
        <v>0</v>
      </c>
      <c r="Y5551" t="s">
        <v>4140</v>
      </c>
    </row>
    <row r="5552" spans="1:25" hidden="1" x14ac:dyDescent="0.25">
      <c r="A5552" t="s">
        <v>48</v>
      </c>
      <c r="B5552" t="s">
        <v>149</v>
      </c>
      <c r="C5552" t="s">
        <v>57</v>
      </c>
      <c r="D5552" t="s">
        <v>27</v>
      </c>
      <c r="E5552" s="2">
        <v>46161</v>
      </c>
      <c r="F5552" s="2">
        <v>46161</v>
      </c>
      <c r="G5552" s="3">
        <v>60</v>
      </c>
      <c r="H5552" t="s">
        <v>28</v>
      </c>
      <c r="I5552">
        <v>25</v>
      </c>
      <c r="J5552">
        <v>0</v>
      </c>
      <c r="K5552">
        <v>0</v>
      </c>
      <c r="L5552" s="3">
        <v>0</v>
      </c>
      <c r="M5552" s="3">
        <v>0</v>
      </c>
      <c r="N5552">
        <v>0</v>
      </c>
      <c r="O5552">
        <v>0</v>
      </c>
      <c r="P5552">
        <v>0</v>
      </c>
      <c r="Q5552">
        <v>0</v>
      </c>
      <c r="R5552" s="3">
        <v>0</v>
      </c>
      <c r="S5552" s="3">
        <v>0</v>
      </c>
      <c r="T5552">
        <v>0</v>
      </c>
      <c r="U5552">
        <v>0</v>
      </c>
      <c r="V5552" s="3">
        <v>0</v>
      </c>
      <c r="W5552" s="3">
        <v>0</v>
      </c>
      <c r="X5552">
        <v>0</v>
      </c>
      <c r="Y5552" t="s">
        <v>4141</v>
      </c>
    </row>
    <row r="5553" spans="1:25" hidden="1" x14ac:dyDescent="0.25">
      <c r="A5553" t="s">
        <v>47</v>
      </c>
      <c r="B5553" t="s">
        <v>755</v>
      </c>
      <c r="C5553" t="s">
        <v>27</v>
      </c>
      <c r="D5553" t="s">
        <v>27</v>
      </c>
      <c r="E5553" s="2">
        <v>46161</v>
      </c>
      <c r="F5553" s="2">
        <v>46161</v>
      </c>
      <c r="G5553" s="3">
        <v>55</v>
      </c>
      <c r="H5553" t="s">
        <v>1256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 t="s">
        <v>3856</v>
      </c>
    </row>
    <row r="5554" spans="1:25" hidden="1" x14ac:dyDescent="0.25">
      <c r="A5554" t="s">
        <v>438</v>
      </c>
      <c r="B5554" t="s">
        <v>798</v>
      </c>
      <c r="C5554" t="s">
        <v>27</v>
      </c>
      <c r="D5554" t="s">
        <v>27</v>
      </c>
      <c r="E5554" s="2">
        <v>46161</v>
      </c>
      <c r="F5554" s="2">
        <v>46161</v>
      </c>
      <c r="G5554" s="3">
        <v>57</v>
      </c>
      <c r="H5554" t="s">
        <v>1256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 t="s">
        <v>3856</v>
      </c>
    </row>
    <row r="5555" spans="1:25" hidden="1" x14ac:dyDescent="0.25">
      <c r="A5555" t="s">
        <v>25</v>
      </c>
      <c r="B5555" t="s">
        <v>739</v>
      </c>
      <c r="C5555" t="s">
        <v>27</v>
      </c>
      <c r="D5555" t="s">
        <v>27</v>
      </c>
      <c r="E5555" s="2">
        <v>46161</v>
      </c>
      <c r="F5555" s="2">
        <v>46161</v>
      </c>
      <c r="G5555" s="3">
        <v>47</v>
      </c>
      <c r="H5555" t="s">
        <v>4083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 t="s">
        <v>4082</v>
      </c>
    </row>
    <row r="5556" spans="1:25" hidden="1" x14ac:dyDescent="0.25">
      <c r="A5556" t="s">
        <v>43</v>
      </c>
      <c r="B5556" t="s">
        <v>755</v>
      </c>
      <c r="C5556" t="s">
        <v>27</v>
      </c>
      <c r="D5556" t="s">
        <v>27</v>
      </c>
      <c r="E5556" s="2">
        <v>46161</v>
      </c>
      <c r="F5556" s="2">
        <v>46161</v>
      </c>
      <c r="G5556" s="3">
        <v>26</v>
      </c>
      <c r="H5556" t="s">
        <v>180</v>
      </c>
      <c r="I5556">
        <v>0</v>
      </c>
      <c r="J5556">
        <v>0</v>
      </c>
      <c r="K5556">
        <v>0</v>
      </c>
      <c r="L5556" s="3">
        <v>0</v>
      </c>
      <c r="M5556" s="3">
        <v>0</v>
      </c>
      <c r="N5556">
        <v>0</v>
      </c>
      <c r="O5556">
        <v>0</v>
      </c>
      <c r="P5556">
        <v>0</v>
      </c>
      <c r="Q5556">
        <v>0</v>
      </c>
      <c r="R5556" s="3">
        <v>0</v>
      </c>
      <c r="S5556" s="3">
        <v>0</v>
      </c>
      <c r="T5556">
        <v>0</v>
      </c>
      <c r="U5556">
        <v>0</v>
      </c>
      <c r="V5556" s="3">
        <v>0</v>
      </c>
      <c r="W5556" s="3">
        <v>0</v>
      </c>
      <c r="X5556" s="3">
        <v>0</v>
      </c>
      <c r="Y5556" t="s">
        <v>4053</v>
      </c>
    </row>
    <row r="5557" spans="1:25" hidden="1" x14ac:dyDescent="0.25">
      <c r="A5557" t="s">
        <v>344</v>
      </c>
      <c r="B5557" t="s">
        <v>758</v>
      </c>
      <c r="C5557" t="s">
        <v>27</v>
      </c>
      <c r="D5557" t="s">
        <v>27</v>
      </c>
      <c r="E5557" s="2">
        <v>46161</v>
      </c>
      <c r="F5557" s="2">
        <v>46161</v>
      </c>
      <c r="G5557" s="3">
        <v>27</v>
      </c>
      <c r="H5557" t="s">
        <v>3952</v>
      </c>
      <c r="I5557">
        <v>65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 t="s">
        <v>4053</v>
      </c>
    </row>
    <row r="5558" spans="1:25" x14ac:dyDescent="0.25">
      <c r="A5558" t="s">
        <v>27</v>
      </c>
      <c r="B5558" t="s">
        <v>798</v>
      </c>
      <c r="C5558" t="s">
        <v>2271</v>
      </c>
      <c r="D5558" t="s">
        <v>27</v>
      </c>
      <c r="E5558" s="2">
        <v>46161</v>
      </c>
      <c r="F5558" s="2">
        <v>46161</v>
      </c>
      <c r="G5558" s="3">
        <v>28</v>
      </c>
      <c r="H5558" t="s">
        <v>3952</v>
      </c>
      <c r="I5558">
        <v>35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 t="s">
        <v>4053</v>
      </c>
    </row>
    <row r="5559" spans="1:25" hidden="1" x14ac:dyDescent="0.25">
      <c r="A5559" t="s">
        <v>27</v>
      </c>
      <c r="B5559" t="s">
        <v>799</v>
      </c>
      <c r="C5559" t="s">
        <v>55</v>
      </c>
      <c r="D5559" t="s">
        <v>27</v>
      </c>
      <c r="E5559" s="2">
        <v>46161</v>
      </c>
      <c r="F5559" s="2">
        <v>46161</v>
      </c>
      <c r="G5559" s="3">
        <v>29</v>
      </c>
      <c r="H5559" t="s">
        <v>2143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4053</v>
      </c>
    </row>
    <row r="5560" spans="1:25" hidden="1" x14ac:dyDescent="0.25">
      <c r="A5560" t="s">
        <v>27</v>
      </c>
      <c r="B5560" t="s">
        <v>3524</v>
      </c>
      <c r="C5560" t="s">
        <v>95</v>
      </c>
      <c r="D5560" t="s">
        <v>27</v>
      </c>
      <c r="E5560" s="2">
        <v>46161</v>
      </c>
      <c r="F5560" s="2">
        <v>46161</v>
      </c>
      <c r="G5560" s="3">
        <v>30</v>
      </c>
      <c r="H5560" t="s">
        <v>1448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 t="s">
        <v>4053</v>
      </c>
    </row>
    <row r="5561" spans="1:25" hidden="1" x14ac:dyDescent="0.25">
      <c r="A5561" t="s">
        <v>27</v>
      </c>
      <c r="B5561" t="s">
        <v>3525</v>
      </c>
      <c r="C5561" t="s">
        <v>37</v>
      </c>
      <c r="D5561" t="s">
        <v>27</v>
      </c>
      <c r="E5561" s="2">
        <v>46161</v>
      </c>
      <c r="F5561" s="2">
        <v>46161</v>
      </c>
      <c r="G5561" s="3">
        <v>31</v>
      </c>
      <c r="H5561" t="s">
        <v>2143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 t="s">
        <v>4053</v>
      </c>
    </row>
    <row r="5562" spans="1:25" x14ac:dyDescent="0.25">
      <c r="A5562" t="s">
        <v>55</v>
      </c>
      <c r="B5562" t="s">
        <v>2072</v>
      </c>
      <c r="C5562" t="s">
        <v>2271</v>
      </c>
      <c r="D5562" t="s">
        <v>27</v>
      </c>
      <c r="E5562" s="2">
        <v>46162</v>
      </c>
      <c r="F5562" s="2">
        <v>46162</v>
      </c>
      <c r="G5562" s="3">
        <v>30</v>
      </c>
      <c r="H5562" t="s">
        <v>28</v>
      </c>
      <c r="I5562">
        <v>42</v>
      </c>
      <c r="J5562">
        <v>0</v>
      </c>
      <c r="K5562">
        <v>0</v>
      </c>
      <c r="L5562" s="3">
        <v>1</v>
      </c>
      <c r="M5562" s="3">
        <v>0</v>
      </c>
      <c r="N5562">
        <v>1</v>
      </c>
      <c r="O5562">
        <v>0</v>
      </c>
      <c r="P5562">
        <v>0</v>
      </c>
      <c r="Q5562">
        <v>0</v>
      </c>
      <c r="R5562" s="3">
        <v>0</v>
      </c>
      <c r="S5562" s="3">
        <v>0</v>
      </c>
      <c r="T5562">
        <v>0</v>
      </c>
      <c r="U5562">
        <v>0</v>
      </c>
      <c r="V5562" s="3">
        <v>0</v>
      </c>
      <c r="W5562" s="3">
        <v>0</v>
      </c>
      <c r="X5562">
        <v>0</v>
      </c>
      <c r="Y5562" t="s">
        <v>4142</v>
      </c>
    </row>
    <row r="5563" spans="1:25" hidden="1" x14ac:dyDescent="0.25">
      <c r="A5563" t="s">
        <v>25</v>
      </c>
      <c r="B5563" t="s">
        <v>96</v>
      </c>
      <c r="C5563" t="s">
        <v>26</v>
      </c>
      <c r="D5563" t="s">
        <v>27</v>
      </c>
      <c r="E5563" s="2">
        <v>46162</v>
      </c>
      <c r="F5563" s="2">
        <v>46162</v>
      </c>
      <c r="G5563" s="3">
        <v>44</v>
      </c>
      <c r="H5563" t="s">
        <v>28</v>
      </c>
      <c r="I5563">
        <v>80</v>
      </c>
      <c r="J5563">
        <v>0</v>
      </c>
      <c r="K5563">
        <v>0</v>
      </c>
      <c r="L5563" s="3">
        <v>1</v>
      </c>
      <c r="M5563" s="3">
        <v>0</v>
      </c>
      <c r="N5563">
        <v>1</v>
      </c>
      <c r="O5563">
        <v>0</v>
      </c>
      <c r="P5563">
        <v>0</v>
      </c>
      <c r="Q5563">
        <v>0</v>
      </c>
      <c r="R5563" s="3">
        <v>0</v>
      </c>
      <c r="S5563" s="3">
        <v>0</v>
      </c>
      <c r="T5563">
        <v>0</v>
      </c>
      <c r="U5563">
        <v>0</v>
      </c>
      <c r="V5563" s="3">
        <v>0</v>
      </c>
      <c r="W5563" s="3">
        <v>0</v>
      </c>
      <c r="X5563">
        <v>0</v>
      </c>
      <c r="Y5563" t="s">
        <v>4143</v>
      </c>
    </row>
    <row r="5564" spans="1:25" hidden="1" x14ac:dyDescent="0.25">
      <c r="A5564" t="s">
        <v>29</v>
      </c>
      <c r="B5564" t="s">
        <v>100</v>
      </c>
      <c r="C5564" t="s">
        <v>95</v>
      </c>
      <c r="D5564" t="s">
        <v>27</v>
      </c>
      <c r="E5564" s="2">
        <v>46162</v>
      </c>
      <c r="F5564" s="2">
        <v>46162</v>
      </c>
      <c r="G5564" s="3">
        <v>37</v>
      </c>
      <c r="H5564" t="s">
        <v>28</v>
      </c>
      <c r="I5564">
        <v>51</v>
      </c>
      <c r="J5564">
        <v>0</v>
      </c>
      <c r="K5564">
        <v>0</v>
      </c>
      <c r="L5564" s="3">
        <v>0</v>
      </c>
      <c r="M5564" s="3">
        <v>0</v>
      </c>
      <c r="N5564">
        <v>0</v>
      </c>
      <c r="O5564">
        <v>0</v>
      </c>
      <c r="P5564">
        <v>0</v>
      </c>
      <c r="Q5564">
        <v>0</v>
      </c>
      <c r="R5564" s="3">
        <v>0</v>
      </c>
      <c r="S5564" s="3">
        <v>0</v>
      </c>
      <c r="T5564">
        <v>0</v>
      </c>
      <c r="U5564">
        <v>9</v>
      </c>
      <c r="V5564" s="3">
        <v>0</v>
      </c>
      <c r="W5564" s="3">
        <v>0</v>
      </c>
      <c r="X5564">
        <v>0</v>
      </c>
      <c r="Y5564" t="s">
        <v>4144</v>
      </c>
    </row>
    <row r="5565" spans="1:25" hidden="1" x14ac:dyDescent="0.25">
      <c r="A5565" t="s">
        <v>344</v>
      </c>
      <c r="B5565" t="s">
        <v>102</v>
      </c>
      <c r="C5565" t="s">
        <v>44</v>
      </c>
      <c r="D5565" t="s">
        <v>27</v>
      </c>
      <c r="E5565" s="2">
        <v>46162</v>
      </c>
      <c r="F5565" s="2">
        <v>46162</v>
      </c>
      <c r="G5565" s="3">
        <v>128</v>
      </c>
      <c r="H5565" t="s">
        <v>28</v>
      </c>
      <c r="I5565">
        <v>50</v>
      </c>
      <c r="J5565">
        <v>0</v>
      </c>
      <c r="K5565">
        <v>0</v>
      </c>
      <c r="L5565" s="3">
        <v>1</v>
      </c>
      <c r="M5565" s="3">
        <v>1</v>
      </c>
      <c r="N5565">
        <v>0</v>
      </c>
      <c r="O5565">
        <v>0</v>
      </c>
      <c r="P5565">
        <v>0</v>
      </c>
      <c r="Q5565">
        <v>0</v>
      </c>
      <c r="R5565" s="3">
        <v>1</v>
      </c>
      <c r="S5565" s="3">
        <v>1</v>
      </c>
      <c r="T5565">
        <v>0</v>
      </c>
      <c r="U5565">
        <v>0</v>
      </c>
      <c r="V5565" s="3">
        <v>1</v>
      </c>
      <c r="W5565" s="3">
        <v>1</v>
      </c>
      <c r="X5565">
        <v>0</v>
      </c>
      <c r="Y5565" t="s">
        <v>4116</v>
      </c>
    </row>
    <row r="5566" spans="1:25" hidden="1" x14ac:dyDescent="0.25">
      <c r="A5566" t="s">
        <v>31</v>
      </c>
      <c r="B5566" t="s">
        <v>104</v>
      </c>
      <c r="C5566" t="s">
        <v>32</v>
      </c>
      <c r="D5566" t="s">
        <v>27</v>
      </c>
      <c r="E5566" s="2">
        <v>46162</v>
      </c>
      <c r="F5566" s="2">
        <v>46162</v>
      </c>
      <c r="G5566" s="3">
        <v>59</v>
      </c>
      <c r="H5566" t="s">
        <v>28</v>
      </c>
      <c r="I5566">
        <v>78</v>
      </c>
      <c r="J5566">
        <v>0</v>
      </c>
      <c r="K5566">
        <v>0</v>
      </c>
      <c r="L5566" s="3">
        <v>1</v>
      </c>
      <c r="M5566" s="3">
        <v>0</v>
      </c>
      <c r="N5566">
        <v>0</v>
      </c>
      <c r="O5566">
        <v>0</v>
      </c>
      <c r="P5566">
        <v>0</v>
      </c>
      <c r="Q5566">
        <v>36</v>
      </c>
      <c r="R5566" s="3">
        <v>0</v>
      </c>
      <c r="S5566" s="3">
        <v>0</v>
      </c>
      <c r="T5566">
        <v>0</v>
      </c>
      <c r="U5566">
        <v>0</v>
      </c>
      <c r="V5566" s="3">
        <v>0</v>
      </c>
      <c r="W5566" s="3">
        <v>0</v>
      </c>
      <c r="X5566">
        <v>1</v>
      </c>
      <c r="Y5566" t="s">
        <v>4145</v>
      </c>
    </row>
    <row r="5567" spans="1:25" hidden="1" x14ac:dyDescent="0.25">
      <c r="A5567" t="s">
        <v>33</v>
      </c>
      <c r="B5567" t="s">
        <v>106</v>
      </c>
      <c r="C5567" t="s">
        <v>57</v>
      </c>
      <c r="D5567" t="s">
        <v>27</v>
      </c>
      <c r="E5567" s="2">
        <v>46162</v>
      </c>
      <c r="F5567" s="2">
        <v>46162</v>
      </c>
      <c r="G5567" s="3">
        <v>31</v>
      </c>
      <c r="H5567" t="s">
        <v>28</v>
      </c>
      <c r="I5567">
        <v>45</v>
      </c>
      <c r="J5567">
        <v>0</v>
      </c>
      <c r="K5567">
        <v>0</v>
      </c>
      <c r="L5567" s="3">
        <v>0</v>
      </c>
      <c r="M5567" s="3">
        <v>0</v>
      </c>
      <c r="N5567">
        <v>0</v>
      </c>
      <c r="O5567">
        <v>0</v>
      </c>
      <c r="P5567">
        <v>0</v>
      </c>
      <c r="Q5567">
        <v>21</v>
      </c>
      <c r="R5567" s="3">
        <v>0</v>
      </c>
      <c r="S5567" s="3">
        <v>0</v>
      </c>
      <c r="T5567">
        <v>0</v>
      </c>
      <c r="U5567">
        <v>0</v>
      </c>
      <c r="V5567" s="3">
        <v>0</v>
      </c>
      <c r="W5567" s="3">
        <v>0</v>
      </c>
      <c r="X5567">
        <v>0</v>
      </c>
      <c r="Y5567" t="s">
        <v>4146</v>
      </c>
    </row>
    <row r="5568" spans="1:25" hidden="1" x14ac:dyDescent="0.25">
      <c r="A5568" t="s">
        <v>3960</v>
      </c>
      <c r="B5568" t="s">
        <v>598</v>
      </c>
      <c r="C5568" t="s">
        <v>35</v>
      </c>
      <c r="D5568" t="s">
        <v>27</v>
      </c>
      <c r="E5568" s="2">
        <v>46162</v>
      </c>
      <c r="F5568" s="2">
        <v>46162</v>
      </c>
      <c r="G5568" s="3">
        <v>34</v>
      </c>
      <c r="H5568" t="s">
        <v>28</v>
      </c>
      <c r="I5568">
        <v>54</v>
      </c>
      <c r="J5568">
        <v>0</v>
      </c>
      <c r="K5568">
        <v>0</v>
      </c>
      <c r="L5568" s="3">
        <v>0</v>
      </c>
      <c r="M5568" s="3">
        <v>0</v>
      </c>
      <c r="N5568">
        <v>0</v>
      </c>
      <c r="O5568">
        <v>0</v>
      </c>
      <c r="P5568">
        <v>0</v>
      </c>
      <c r="Q5568">
        <v>0</v>
      </c>
      <c r="R5568" s="3">
        <v>0</v>
      </c>
      <c r="S5568" s="3">
        <v>0</v>
      </c>
      <c r="T5568">
        <v>0</v>
      </c>
      <c r="U5568">
        <v>0</v>
      </c>
      <c r="V5568" s="3">
        <v>0</v>
      </c>
      <c r="W5568" s="3">
        <v>0</v>
      </c>
      <c r="X5568">
        <v>0</v>
      </c>
      <c r="Y5568" t="s">
        <v>4147</v>
      </c>
    </row>
    <row r="5569" spans="1:25" hidden="1" x14ac:dyDescent="0.25">
      <c r="A5569" t="s">
        <v>27</v>
      </c>
      <c r="B5569" t="s">
        <v>598</v>
      </c>
      <c r="C5569" t="s">
        <v>42</v>
      </c>
      <c r="D5569" t="s">
        <v>27</v>
      </c>
      <c r="E5569" s="2">
        <v>46162</v>
      </c>
      <c r="F5569" s="2">
        <v>46162</v>
      </c>
      <c r="G5569" s="3">
        <v>34</v>
      </c>
      <c r="H5569" t="s">
        <v>28</v>
      </c>
      <c r="I5569">
        <v>54</v>
      </c>
      <c r="J5569">
        <v>0</v>
      </c>
      <c r="K5569">
        <v>0</v>
      </c>
      <c r="L5569" s="3">
        <v>0</v>
      </c>
      <c r="M5569" s="3">
        <v>0</v>
      </c>
      <c r="N5569">
        <v>0</v>
      </c>
      <c r="O5569">
        <v>0</v>
      </c>
      <c r="P5569">
        <v>0</v>
      </c>
      <c r="Q5569">
        <v>0</v>
      </c>
      <c r="R5569" s="3">
        <v>0</v>
      </c>
      <c r="S5569" s="3">
        <v>0</v>
      </c>
      <c r="T5569">
        <v>0</v>
      </c>
      <c r="U5569">
        <v>0</v>
      </c>
      <c r="V5569" s="3">
        <v>0</v>
      </c>
      <c r="W5569" s="3">
        <v>0</v>
      </c>
      <c r="X5569">
        <v>0</v>
      </c>
      <c r="Y5569" t="s">
        <v>4147</v>
      </c>
    </row>
    <row r="5570" spans="1:25" hidden="1" x14ac:dyDescent="0.25">
      <c r="A5570" t="s">
        <v>36</v>
      </c>
      <c r="B5570" t="s">
        <v>249</v>
      </c>
      <c r="C5570" t="s">
        <v>2514</v>
      </c>
      <c r="D5570" t="s">
        <v>27</v>
      </c>
      <c r="E5570" s="2">
        <v>46162</v>
      </c>
      <c r="F5570" s="2">
        <v>46162</v>
      </c>
      <c r="G5570" s="3">
        <v>86</v>
      </c>
      <c r="H5570" t="s">
        <v>28</v>
      </c>
      <c r="I5570">
        <v>57</v>
      </c>
      <c r="J5570">
        <v>0</v>
      </c>
      <c r="K5570">
        <v>0</v>
      </c>
      <c r="L5570" s="3">
        <v>1</v>
      </c>
      <c r="M5570" s="3">
        <v>0</v>
      </c>
      <c r="N5570">
        <v>0</v>
      </c>
      <c r="O5570">
        <v>0</v>
      </c>
      <c r="P5570">
        <v>0</v>
      </c>
      <c r="Q5570">
        <v>25</v>
      </c>
      <c r="R5570" s="3">
        <v>0</v>
      </c>
      <c r="S5570" s="3">
        <v>0</v>
      </c>
      <c r="T5570">
        <v>0</v>
      </c>
      <c r="U5570">
        <v>0</v>
      </c>
      <c r="V5570" s="3">
        <v>0</v>
      </c>
      <c r="W5570" s="3">
        <v>0</v>
      </c>
      <c r="X5570">
        <v>0</v>
      </c>
      <c r="Y5570" t="s">
        <v>4148</v>
      </c>
    </row>
    <row r="5571" spans="1:25" hidden="1" x14ac:dyDescent="0.25">
      <c r="A5571" t="s">
        <v>38</v>
      </c>
      <c r="B5571" t="s">
        <v>108</v>
      </c>
      <c r="C5571" t="s">
        <v>27</v>
      </c>
      <c r="D5571" t="s">
        <v>27</v>
      </c>
      <c r="E5571" s="2">
        <v>46162</v>
      </c>
      <c r="F5571" s="2">
        <v>46162</v>
      </c>
      <c r="G5571" s="3">
        <v>25</v>
      </c>
      <c r="H5571" t="s">
        <v>28</v>
      </c>
      <c r="I5571">
        <v>33</v>
      </c>
      <c r="J5571">
        <v>0</v>
      </c>
      <c r="K5571">
        <v>0</v>
      </c>
      <c r="L5571" s="3">
        <v>1</v>
      </c>
      <c r="M5571" s="3">
        <v>0</v>
      </c>
      <c r="N5571">
        <v>0</v>
      </c>
      <c r="O5571">
        <v>0</v>
      </c>
      <c r="P5571">
        <v>0</v>
      </c>
      <c r="Q5571">
        <v>33</v>
      </c>
      <c r="R5571" s="3">
        <v>0</v>
      </c>
      <c r="S5571" s="3">
        <v>0</v>
      </c>
      <c r="T5571">
        <v>0</v>
      </c>
      <c r="U5571">
        <v>0</v>
      </c>
      <c r="V5571" s="3">
        <v>0</v>
      </c>
      <c r="W5571" s="3">
        <v>0</v>
      </c>
      <c r="X5571">
        <v>0</v>
      </c>
      <c r="Y5571" t="s">
        <v>4149</v>
      </c>
    </row>
    <row r="5572" spans="1:25" hidden="1" x14ac:dyDescent="0.25">
      <c r="A5572" t="s">
        <v>3929</v>
      </c>
      <c r="B5572" t="s">
        <v>2680</v>
      </c>
      <c r="C5572" t="s">
        <v>39</v>
      </c>
      <c r="D5572" t="s">
        <v>27</v>
      </c>
      <c r="E5572" s="2">
        <v>46162</v>
      </c>
      <c r="F5572" s="2">
        <v>46162</v>
      </c>
      <c r="G5572" s="3">
        <v>88</v>
      </c>
      <c r="H5572" t="s">
        <v>28</v>
      </c>
      <c r="I5572">
        <v>36</v>
      </c>
      <c r="J5572">
        <v>0</v>
      </c>
      <c r="K5572">
        <v>0</v>
      </c>
      <c r="L5572" s="3">
        <v>0</v>
      </c>
      <c r="M5572" s="3">
        <v>0</v>
      </c>
      <c r="N5572">
        <v>0</v>
      </c>
      <c r="O5572">
        <v>0</v>
      </c>
      <c r="P5572">
        <v>0</v>
      </c>
      <c r="Q5572">
        <v>36</v>
      </c>
      <c r="R5572" s="3">
        <v>0</v>
      </c>
      <c r="S5572" s="3">
        <v>0</v>
      </c>
      <c r="T5572">
        <v>0</v>
      </c>
      <c r="U5572">
        <v>0</v>
      </c>
      <c r="V5572" s="3">
        <v>0</v>
      </c>
      <c r="W5572" s="3">
        <v>0</v>
      </c>
      <c r="X5572">
        <v>0</v>
      </c>
      <c r="Y5572" t="s">
        <v>4150</v>
      </c>
    </row>
    <row r="5573" spans="1:25" hidden="1" x14ac:dyDescent="0.25">
      <c r="A5573" t="s">
        <v>40</v>
      </c>
      <c r="B5573" t="s">
        <v>110</v>
      </c>
      <c r="C5573" t="s">
        <v>2534</v>
      </c>
      <c r="D5573" t="s">
        <v>27</v>
      </c>
      <c r="E5573" s="2">
        <v>46162</v>
      </c>
      <c r="F5573" s="2">
        <v>46162</v>
      </c>
      <c r="G5573" s="3">
        <v>69</v>
      </c>
      <c r="H5573" t="s">
        <v>28</v>
      </c>
      <c r="I5573">
        <v>23</v>
      </c>
      <c r="J5573">
        <v>0</v>
      </c>
      <c r="K5573">
        <v>0</v>
      </c>
      <c r="L5573" s="3">
        <v>1</v>
      </c>
      <c r="M5573" s="3">
        <v>0</v>
      </c>
      <c r="N5573">
        <v>1</v>
      </c>
      <c r="O5573">
        <v>0</v>
      </c>
      <c r="P5573">
        <v>0</v>
      </c>
      <c r="Q5573">
        <v>11</v>
      </c>
      <c r="R5573" s="3">
        <v>0</v>
      </c>
      <c r="S5573" s="3">
        <v>0</v>
      </c>
      <c r="T5573">
        <v>0</v>
      </c>
      <c r="U5573">
        <v>0</v>
      </c>
      <c r="V5573" s="3">
        <v>0</v>
      </c>
      <c r="W5573" s="3">
        <v>0</v>
      </c>
      <c r="X5573">
        <v>0</v>
      </c>
      <c r="Y5573" t="s">
        <v>4151</v>
      </c>
    </row>
    <row r="5574" spans="1:25" hidden="1" x14ac:dyDescent="0.25">
      <c r="A5574" t="s">
        <v>45</v>
      </c>
      <c r="B5574" t="s">
        <v>116</v>
      </c>
      <c r="C5574" t="s">
        <v>57</v>
      </c>
      <c r="D5574" t="s">
        <v>27</v>
      </c>
      <c r="E5574" s="2">
        <v>46162</v>
      </c>
      <c r="F5574" s="2">
        <v>46162</v>
      </c>
      <c r="G5574" s="3">
        <v>56</v>
      </c>
      <c r="H5574" t="s">
        <v>28</v>
      </c>
      <c r="I5574">
        <v>68</v>
      </c>
      <c r="J5574">
        <v>0</v>
      </c>
      <c r="K5574">
        <v>0</v>
      </c>
      <c r="L5574" s="3">
        <v>1</v>
      </c>
      <c r="M5574" s="3">
        <v>0</v>
      </c>
      <c r="N5574">
        <v>0</v>
      </c>
      <c r="O5574">
        <v>0</v>
      </c>
      <c r="P5574">
        <v>0</v>
      </c>
      <c r="Q5574">
        <v>12</v>
      </c>
      <c r="R5574" s="3">
        <v>0</v>
      </c>
      <c r="S5574" s="3">
        <v>0</v>
      </c>
      <c r="T5574">
        <v>0</v>
      </c>
      <c r="U5574">
        <v>0</v>
      </c>
      <c r="V5574" s="3">
        <v>0</v>
      </c>
      <c r="W5574" s="3">
        <v>0</v>
      </c>
      <c r="X5574">
        <v>0</v>
      </c>
      <c r="Y5574" t="s">
        <v>4152</v>
      </c>
    </row>
    <row r="5575" spans="1:25" hidden="1" x14ac:dyDescent="0.25">
      <c r="A5575" t="s">
        <v>49</v>
      </c>
      <c r="B5575" t="s">
        <v>118</v>
      </c>
      <c r="C5575" t="s">
        <v>50</v>
      </c>
      <c r="D5575" t="s">
        <v>27</v>
      </c>
      <c r="E5575" s="2">
        <v>46162</v>
      </c>
      <c r="F5575" s="2">
        <v>46162</v>
      </c>
      <c r="G5575" s="3">
        <v>24</v>
      </c>
      <c r="H5575" t="s">
        <v>28</v>
      </c>
      <c r="I5575">
        <v>25</v>
      </c>
      <c r="J5575">
        <v>0</v>
      </c>
      <c r="K5575">
        <v>0</v>
      </c>
      <c r="L5575" s="3">
        <v>1</v>
      </c>
      <c r="M5575" s="3">
        <v>1</v>
      </c>
      <c r="N5575">
        <v>0</v>
      </c>
      <c r="O5575">
        <v>0</v>
      </c>
      <c r="P5575">
        <v>0</v>
      </c>
      <c r="Q5575">
        <v>25</v>
      </c>
      <c r="R5575" s="3">
        <v>0</v>
      </c>
      <c r="S5575" s="3">
        <v>0</v>
      </c>
      <c r="T5575">
        <v>0</v>
      </c>
      <c r="U5575">
        <v>0</v>
      </c>
      <c r="V5575" s="3">
        <v>0</v>
      </c>
      <c r="W5575" s="3">
        <v>0</v>
      </c>
      <c r="X5575">
        <v>0</v>
      </c>
      <c r="Y5575" t="s">
        <v>4153</v>
      </c>
    </row>
    <row r="5576" spans="1:25" hidden="1" x14ac:dyDescent="0.25">
      <c r="A5576" t="s">
        <v>51</v>
      </c>
      <c r="B5576" t="s">
        <v>120</v>
      </c>
      <c r="C5576" t="s">
        <v>2310</v>
      </c>
      <c r="D5576" t="s">
        <v>27</v>
      </c>
      <c r="E5576" s="2">
        <v>46162</v>
      </c>
      <c r="F5576" s="2">
        <v>46162</v>
      </c>
      <c r="G5576" s="3">
        <v>143</v>
      </c>
      <c r="H5576" t="s">
        <v>28</v>
      </c>
      <c r="I5576">
        <v>64</v>
      </c>
      <c r="J5576">
        <v>0</v>
      </c>
      <c r="K5576">
        <v>0</v>
      </c>
      <c r="L5576" s="3">
        <v>1</v>
      </c>
      <c r="M5576" s="3">
        <v>0</v>
      </c>
      <c r="N5576">
        <v>0</v>
      </c>
      <c r="O5576">
        <v>0</v>
      </c>
      <c r="P5576">
        <v>0</v>
      </c>
      <c r="Q5576">
        <v>13</v>
      </c>
      <c r="R5576" s="3">
        <v>0</v>
      </c>
      <c r="S5576" s="3">
        <v>0</v>
      </c>
      <c r="T5576">
        <v>0</v>
      </c>
      <c r="U5576">
        <v>0</v>
      </c>
      <c r="V5576" s="3">
        <v>0</v>
      </c>
      <c r="W5576" s="3">
        <v>0</v>
      </c>
      <c r="X5576">
        <v>0</v>
      </c>
      <c r="Y5576" t="s">
        <v>4154</v>
      </c>
    </row>
    <row r="5577" spans="1:25" hidden="1" x14ac:dyDescent="0.25">
      <c r="A5577" t="s">
        <v>54</v>
      </c>
      <c r="B5577" t="s">
        <v>122</v>
      </c>
      <c r="C5577" t="s">
        <v>52</v>
      </c>
      <c r="D5577" t="s">
        <v>27</v>
      </c>
      <c r="E5577" s="2">
        <v>46162</v>
      </c>
      <c r="F5577" s="2">
        <v>46162</v>
      </c>
      <c r="G5577" s="3">
        <v>33</v>
      </c>
      <c r="H5577" t="s">
        <v>28</v>
      </c>
      <c r="I5577">
        <v>36</v>
      </c>
      <c r="J5577">
        <v>0</v>
      </c>
      <c r="K5577">
        <v>0</v>
      </c>
      <c r="L5577" s="3">
        <v>0</v>
      </c>
      <c r="M5577" s="3">
        <v>0</v>
      </c>
      <c r="N5577">
        <v>0</v>
      </c>
      <c r="O5577">
        <v>0</v>
      </c>
      <c r="P5577">
        <v>0</v>
      </c>
      <c r="Q5577">
        <v>2</v>
      </c>
      <c r="R5577" s="3">
        <v>0</v>
      </c>
      <c r="S5577" s="3">
        <v>0</v>
      </c>
      <c r="T5577">
        <v>0</v>
      </c>
      <c r="U5577">
        <v>0</v>
      </c>
      <c r="V5577" s="3">
        <v>0</v>
      </c>
      <c r="W5577" s="3">
        <v>0</v>
      </c>
      <c r="X5577">
        <v>0</v>
      </c>
      <c r="Y5577" t="s">
        <v>4155</v>
      </c>
    </row>
    <row r="5578" spans="1:25" hidden="1" x14ac:dyDescent="0.25">
      <c r="A5578" t="s">
        <v>48</v>
      </c>
      <c r="B5578" t="s">
        <v>149</v>
      </c>
      <c r="C5578" t="s">
        <v>37</v>
      </c>
      <c r="D5578" t="s">
        <v>27</v>
      </c>
      <c r="E5578" s="2">
        <v>46162</v>
      </c>
      <c r="F5578" s="2">
        <v>46162</v>
      </c>
      <c r="G5578" s="3">
        <v>19</v>
      </c>
      <c r="H5578" t="s">
        <v>28</v>
      </c>
      <c r="I5578">
        <v>71</v>
      </c>
      <c r="J5578">
        <v>0</v>
      </c>
      <c r="K5578">
        <v>0</v>
      </c>
      <c r="L5578" s="3">
        <v>1</v>
      </c>
      <c r="M5578" s="3">
        <v>0</v>
      </c>
      <c r="N5578">
        <v>0</v>
      </c>
      <c r="O5578">
        <v>0</v>
      </c>
      <c r="P5578">
        <v>0</v>
      </c>
      <c r="Q5578">
        <v>0</v>
      </c>
      <c r="R5578" s="3">
        <v>0</v>
      </c>
      <c r="S5578" s="3">
        <v>0</v>
      </c>
      <c r="T5578">
        <v>0</v>
      </c>
      <c r="U5578">
        <v>0</v>
      </c>
      <c r="V5578" s="3">
        <v>0</v>
      </c>
      <c r="W5578" s="3">
        <v>0</v>
      </c>
      <c r="X5578">
        <v>0</v>
      </c>
      <c r="Y5578" t="s">
        <v>4156</v>
      </c>
    </row>
    <row r="5579" spans="1:25" hidden="1" x14ac:dyDescent="0.25">
      <c r="A5579" t="s">
        <v>47</v>
      </c>
      <c r="B5579" t="s">
        <v>755</v>
      </c>
      <c r="C5579" t="s">
        <v>27</v>
      </c>
      <c r="D5579" t="s">
        <v>27</v>
      </c>
      <c r="E5579" s="2">
        <v>46162</v>
      </c>
      <c r="F5579" s="2">
        <v>46162</v>
      </c>
      <c r="G5579" s="3">
        <v>55</v>
      </c>
      <c r="H5579" t="s">
        <v>1256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 t="s">
        <v>3856</v>
      </c>
    </row>
    <row r="5580" spans="1:25" hidden="1" x14ac:dyDescent="0.25">
      <c r="A5580" t="s">
        <v>438</v>
      </c>
      <c r="B5580" t="s">
        <v>798</v>
      </c>
      <c r="C5580" t="s">
        <v>27</v>
      </c>
      <c r="D5580" t="s">
        <v>27</v>
      </c>
      <c r="E5580" s="2">
        <v>46162</v>
      </c>
      <c r="F5580" s="2">
        <v>46162</v>
      </c>
      <c r="G5580" s="3">
        <v>57</v>
      </c>
      <c r="H5580" t="s">
        <v>1256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 t="s">
        <v>3856</v>
      </c>
    </row>
    <row r="5581" spans="1:25" hidden="1" x14ac:dyDescent="0.25">
      <c r="A5581" t="s">
        <v>43</v>
      </c>
      <c r="B5581" t="s">
        <v>755</v>
      </c>
      <c r="C5581" t="s">
        <v>27</v>
      </c>
      <c r="D5581" t="s">
        <v>27</v>
      </c>
      <c r="E5581" s="2">
        <v>46162</v>
      </c>
      <c r="F5581" s="2">
        <v>46162</v>
      </c>
      <c r="G5581" s="3">
        <v>26</v>
      </c>
      <c r="H5581" t="s">
        <v>180</v>
      </c>
      <c r="I5581">
        <v>0</v>
      </c>
      <c r="J5581">
        <v>0</v>
      </c>
      <c r="K5581">
        <v>0</v>
      </c>
      <c r="L5581" s="3">
        <v>0</v>
      </c>
      <c r="M5581" s="3">
        <v>0</v>
      </c>
      <c r="N5581">
        <v>0</v>
      </c>
      <c r="O5581">
        <v>0</v>
      </c>
      <c r="P5581">
        <v>0</v>
      </c>
      <c r="Q5581">
        <v>0</v>
      </c>
      <c r="R5581" s="3">
        <v>0</v>
      </c>
      <c r="S5581" s="3">
        <v>0</v>
      </c>
      <c r="T5581">
        <v>0</v>
      </c>
      <c r="U5581">
        <v>0</v>
      </c>
      <c r="V5581" s="3">
        <v>0</v>
      </c>
      <c r="W5581" s="3">
        <v>0</v>
      </c>
      <c r="X5581" s="3">
        <v>0</v>
      </c>
      <c r="Y5581" t="s">
        <v>4053</v>
      </c>
    </row>
    <row r="5582" spans="1:25" hidden="1" x14ac:dyDescent="0.25">
      <c r="A5582" t="s">
        <v>27</v>
      </c>
      <c r="B5582" t="s">
        <v>755</v>
      </c>
      <c r="C5582" t="s">
        <v>41</v>
      </c>
      <c r="D5582" t="s">
        <v>27</v>
      </c>
      <c r="E5582" s="2">
        <v>46162</v>
      </c>
      <c r="F5582" s="2">
        <v>46162</v>
      </c>
      <c r="G5582" s="3">
        <v>26</v>
      </c>
      <c r="H5582" t="s">
        <v>2143</v>
      </c>
      <c r="I5582">
        <v>0</v>
      </c>
      <c r="J5582">
        <v>0</v>
      </c>
      <c r="K5582">
        <v>0</v>
      </c>
      <c r="L5582" s="3">
        <v>0</v>
      </c>
      <c r="M5582" s="3">
        <v>0</v>
      </c>
      <c r="N5582">
        <v>0</v>
      </c>
      <c r="O5582">
        <v>0</v>
      </c>
      <c r="P5582">
        <v>0</v>
      </c>
      <c r="Q5582">
        <v>0</v>
      </c>
      <c r="R5582" s="3">
        <v>0</v>
      </c>
      <c r="S5582" s="3">
        <v>0</v>
      </c>
      <c r="T5582">
        <v>0</v>
      </c>
      <c r="U5582">
        <v>0</v>
      </c>
      <c r="V5582" s="3">
        <v>0</v>
      </c>
      <c r="W5582" s="3">
        <v>0</v>
      </c>
      <c r="X5582" s="3">
        <v>0</v>
      </c>
      <c r="Y5582" t="s">
        <v>4053</v>
      </c>
    </row>
    <row r="5583" spans="1:25" hidden="1" x14ac:dyDescent="0.25">
      <c r="A5583" t="s">
        <v>36</v>
      </c>
      <c r="B5583" t="s">
        <v>249</v>
      </c>
      <c r="C5583" t="s">
        <v>42</v>
      </c>
      <c r="D5583" t="s">
        <v>27</v>
      </c>
      <c r="E5583" s="2">
        <v>46163</v>
      </c>
      <c r="F5583" s="2">
        <v>46163</v>
      </c>
      <c r="G5583" s="3">
        <v>290</v>
      </c>
      <c r="H5583" t="s">
        <v>28</v>
      </c>
      <c r="I5583">
        <v>0</v>
      </c>
      <c r="J5583">
        <v>0</v>
      </c>
      <c r="K5583">
        <v>0</v>
      </c>
      <c r="L5583" s="3">
        <v>0</v>
      </c>
      <c r="M5583" s="3">
        <v>0</v>
      </c>
      <c r="N5583">
        <v>1</v>
      </c>
      <c r="O5583">
        <v>0</v>
      </c>
      <c r="P5583">
        <v>0</v>
      </c>
      <c r="Q5583">
        <v>10</v>
      </c>
      <c r="R5583" s="3">
        <v>0</v>
      </c>
      <c r="S5583" s="3">
        <v>1</v>
      </c>
      <c r="T5583">
        <v>80</v>
      </c>
      <c r="U5583">
        <v>0</v>
      </c>
      <c r="V5583" s="3">
        <v>0</v>
      </c>
      <c r="W5583" s="3">
        <v>1</v>
      </c>
      <c r="X5583">
        <v>0</v>
      </c>
      <c r="Y5583" t="s">
        <v>4157</v>
      </c>
    </row>
    <row r="5584" spans="1:25" hidden="1" x14ac:dyDescent="0.25">
      <c r="A5584" t="s">
        <v>45</v>
      </c>
      <c r="B5584" t="s">
        <v>116</v>
      </c>
      <c r="C5584" t="s">
        <v>46</v>
      </c>
      <c r="D5584" t="s">
        <v>27</v>
      </c>
      <c r="E5584" s="2">
        <v>46161</v>
      </c>
      <c r="F5584" s="2">
        <v>46161</v>
      </c>
      <c r="G5584" s="3">
        <v>51</v>
      </c>
      <c r="H5584" t="s">
        <v>28</v>
      </c>
      <c r="I5584">
        <v>32</v>
      </c>
      <c r="J5584">
        <v>0</v>
      </c>
      <c r="K5584">
        <v>0</v>
      </c>
      <c r="L5584" s="3">
        <v>0</v>
      </c>
      <c r="M5584" s="3">
        <v>0</v>
      </c>
      <c r="N5584">
        <v>0</v>
      </c>
      <c r="O5584">
        <v>0</v>
      </c>
      <c r="P5584">
        <v>0</v>
      </c>
      <c r="Q5584">
        <v>0</v>
      </c>
      <c r="R5584" s="3">
        <v>0</v>
      </c>
      <c r="S5584" s="3">
        <v>0</v>
      </c>
      <c r="T5584">
        <v>0</v>
      </c>
      <c r="U5584">
        <v>0</v>
      </c>
      <c r="V5584" s="3">
        <v>0</v>
      </c>
      <c r="W5584" s="3">
        <v>0</v>
      </c>
      <c r="X5584">
        <v>0</v>
      </c>
      <c r="Y5584" t="s">
        <v>4137</v>
      </c>
    </row>
    <row r="5585" spans="1:25" hidden="1" x14ac:dyDescent="0.25">
      <c r="A5585" t="s">
        <v>45</v>
      </c>
      <c r="B5585" t="s">
        <v>116</v>
      </c>
      <c r="C5585" t="s">
        <v>46</v>
      </c>
      <c r="D5585" t="s">
        <v>27</v>
      </c>
      <c r="E5585" s="2">
        <v>46162</v>
      </c>
      <c r="F5585" s="2">
        <v>46162</v>
      </c>
      <c r="G5585" s="3">
        <v>51</v>
      </c>
      <c r="H5585" t="s">
        <v>28</v>
      </c>
      <c r="I5585">
        <v>67</v>
      </c>
      <c r="J5585">
        <v>0</v>
      </c>
      <c r="K5585">
        <v>0</v>
      </c>
      <c r="L5585" s="3">
        <v>0</v>
      </c>
      <c r="M5585" s="3">
        <v>0</v>
      </c>
      <c r="N5585">
        <v>0</v>
      </c>
      <c r="O5585">
        <v>0</v>
      </c>
      <c r="P5585">
        <v>0</v>
      </c>
      <c r="Q5585">
        <v>0</v>
      </c>
      <c r="R5585" s="3">
        <v>0</v>
      </c>
      <c r="S5585" s="3">
        <v>0</v>
      </c>
      <c r="T5585">
        <v>0</v>
      </c>
      <c r="U5585">
        <v>0</v>
      </c>
      <c r="V5585" s="3">
        <v>0</v>
      </c>
      <c r="W5585" s="3">
        <v>0</v>
      </c>
      <c r="X5585">
        <v>0</v>
      </c>
      <c r="Y5585" t="s">
        <v>4137</v>
      </c>
    </row>
    <row r="5586" spans="1:25" hidden="1" x14ac:dyDescent="0.25">
      <c r="A5586" t="s">
        <v>29</v>
      </c>
      <c r="B5586" t="s">
        <v>100</v>
      </c>
      <c r="C5586" t="s">
        <v>26</v>
      </c>
      <c r="D5586" t="s">
        <v>27</v>
      </c>
      <c r="E5586" s="2">
        <v>46163</v>
      </c>
      <c r="F5586" s="2">
        <v>46163</v>
      </c>
      <c r="G5586" s="3">
        <v>42</v>
      </c>
      <c r="H5586" t="s">
        <v>2542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 t="s">
        <v>4128</v>
      </c>
    </row>
    <row r="5587" spans="1:25" hidden="1" x14ac:dyDescent="0.25">
      <c r="A5587" t="s">
        <v>31</v>
      </c>
      <c r="B5587" t="s">
        <v>104</v>
      </c>
      <c r="C5587" t="s">
        <v>32</v>
      </c>
      <c r="D5587" t="s">
        <v>27</v>
      </c>
      <c r="E5587" s="2">
        <v>46163</v>
      </c>
      <c r="F5587" s="2">
        <v>46163</v>
      </c>
      <c r="G5587" s="3">
        <v>50</v>
      </c>
      <c r="H5587" t="s">
        <v>2542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 t="s">
        <v>4129</v>
      </c>
    </row>
    <row r="5588" spans="1:25" hidden="1" x14ac:dyDescent="0.25">
      <c r="A5588" t="s">
        <v>33</v>
      </c>
      <c r="B5588" t="s">
        <v>106</v>
      </c>
      <c r="C5588" t="s">
        <v>44</v>
      </c>
      <c r="D5588" t="s">
        <v>27</v>
      </c>
      <c r="E5588" s="2">
        <v>46163</v>
      </c>
      <c r="F5588" s="2">
        <v>46163</v>
      </c>
      <c r="G5588" s="3">
        <v>29</v>
      </c>
      <c r="H5588" t="s">
        <v>2542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 t="s">
        <v>4130</v>
      </c>
    </row>
    <row r="5589" spans="1:25" hidden="1" x14ac:dyDescent="0.25">
      <c r="A5589" t="s">
        <v>3960</v>
      </c>
      <c r="B5589" t="s">
        <v>598</v>
      </c>
      <c r="C5589" t="s">
        <v>35</v>
      </c>
      <c r="D5589" t="s">
        <v>27</v>
      </c>
      <c r="E5589" s="2">
        <v>46163</v>
      </c>
      <c r="F5589" s="2">
        <v>46163</v>
      </c>
      <c r="G5589" s="3">
        <v>36</v>
      </c>
      <c r="H5589" t="s">
        <v>2542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 t="s">
        <v>4131</v>
      </c>
    </row>
    <row r="5590" spans="1:25" hidden="1" x14ac:dyDescent="0.25">
      <c r="A5590" t="s">
        <v>27</v>
      </c>
      <c r="B5590" t="s">
        <v>249</v>
      </c>
      <c r="C5590" t="s">
        <v>2514</v>
      </c>
      <c r="D5590" t="s">
        <v>27</v>
      </c>
      <c r="E5590" s="2">
        <v>46163</v>
      </c>
      <c r="F5590" s="2">
        <v>46163</v>
      </c>
      <c r="G5590" s="3">
        <v>50</v>
      </c>
      <c r="H5590" t="s">
        <v>2542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 t="s">
        <v>4132</v>
      </c>
    </row>
    <row r="5591" spans="1:25" hidden="1" x14ac:dyDescent="0.25">
      <c r="A5591" t="s">
        <v>38</v>
      </c>
      <c r="B5591" t="s">
        <v>108</v>
      </c>
      <c r="C5591" t="s">
        <v>27</v>
      </c>
      <c r="D5591" t="s">
        <v>27</v>
      </c>
      <c r="E5591" s="2">
        <v>46163</v>
      </c>
      <c r="F5591" s="2">
        <v>46163</v>
      </c>
      <c r="G5591" s="3">
        <v>26</v>
      </c>
      <c r="H5591" t="s">
        <v>2542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 t="s">
        <v>4133</v>
      </c>
    </row>
    <row r="5592" spans="1:25" hidden="1" x14ac:dyDescent="0.25">
      <c r="A5592" t="s">
        <v>3929</v>
      </c>
      <c r="B5592" t="s">
        <v>2680</v>
      </c>
      <c r="C5592" t="s">
        <v>39</v>
      </c>
      <c r="D5592" t="s">
        <v>27</v>
      </c>
      <c r="E5592" s="2">
        <v>46163</v>
      </c>
      <c r="F5592" s="2">
        <v>46163</v>
      </c>
      <c r="G5592" s="3">
        <v>37</v>
      </c>
      <c r="H5592" t="s">
        <v>2542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 t="s">
        <v>4134</v>
      </c>
    </row>
    <row r="5593" spans="1:25" hidden="1" x14ac:dyDescent="0.25">
      <c r="A5593" t="s">
        <v>40</v>
      </c>
      <c r="B5593" t="s">
        <v>110</v>
      </c>
      <c r="C5593" t="s">
        <v>2534</v>
      </c>
      <c r="D5593" t="s">
        <v>27</v>
      </c>
      <c r="E5593" s="2">
        <v>46163</v>
      </c>
      <c r="F5593" s="2">
        <v>46163</v>
      </c>
      <c r="G5593" s="3">
        <v>50</v>
      </c>
      <c r="H5593" t="s">
        <v>2542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 t="s">
        <v>4135</v>
      </c>
    </row>
    <row r="5594" spans="1:25" hidden="1" x14ac:dyDescent="0.25">
      <c r="A5594" t="s">
        <v>41</v>
      </c>
      <c r="B5594" t="s">
        <v>112</v>
      </c>
      <c r="C5594" t="s">
        <v>42</v>
      </c>
      <c r="D5594" t="s">
        <v>27</v>
      </c>
      <c r="E5594" s="2">
        <v>46161</v>
      </c>
      <c r="F5594" s="2">
        <v>46161</v>
      </c>
      <c r="G5594" s="3">
        <v>97</v>
      </c>
      <c r="H5594" t="s">
        <v>28</v>
      </c>
      <c r="I5594">
        <v>77</v>
      </c>
      <c r="J5594">
        <v>0</v>
      </c>
      <c r="K5594">
        <v>0</v>
      </c>
      <c r="L5594" s="3">
        <v>1</v>
      </c>
      <c r="M5594" s="3">
        <v>0</v>
      </c>
      <c r="N5594">
        <v>1</v>
      </c>
      <c r="O5594">
        <v>0</v>
      </c>
      <c r="P5594">
        <v>0</v>
      </c>
      <c r="Q5594">
        <v>4</v>
      </c>
      <c r="R5594" s="3">
        <v>0</v>
      </c>
      <c r="S5594" s="3">
        <v>0</v>
      </c>
      <c r="T5594">
        <v>0</v>
      </c>
      <c r="U5594">
        <v>0</v>
      </c>
      <c r="V5594" s="3">
        <v>0</v>
      </c>
      <c r="W5594" s="3">
        <v>0</v>
      </c>
      <c r="X5594">
        <v>0</v>
      </c>
      <c r="Y5594" t="s">
        <v>4124</v>
      </c>
    </row>
    <row r="5595" spans="1:25" hidden="1" x14ac:dyDescent="0.25">
      <c r="A5595" t="s">
        <v>41</v>
      </c>
      <c r="B5595" t="s">
        <v>112</v>
      </c>
      <c r="C5595" t="s">
        <v>27</v>
      </c>
      <c r="D5595" t="s">
        <v>27</v>
      </c>
      <c r="E5595" s="2">
        <v>46162</v>
      </c>
      <c r="F5595" s="2">
        <v>46162</v>
      </c>
      <c r="G5595" s="3">
        <v>97</v>
      </c>
      <c r="H5595" t="s">
        <v>2143</v>
      </c>
      <c r="I5595">
        <v>0</v>
      </c>
      <c r="J5595">
        <v>0</v>
      </c>
      <c r="K5595">
        <v>0</v>
      </c>
      <c r="L5595" s="3">
        <v>0</v>
      </c>
      <c r="M5595" s="3">
        <v>0</v>
      </c>
      <c r="N5595">
        <v>0</v>
      </c>
      <c r="O5595">
        <v>0</v>
      </c>
      <c r="P5595">
        <v>0</v>
      </c>
      <c r="Q5595">
        <v>0</v>
      </c>
      <c r="R5595" s="3">
        <v>0</v>
      </c>
      <c r="S5595" s="3">
        <v>0</v>
      </c>
      <c r="T5595">
        <v>0</v>
      </c>
      <c r="U5595">
        <v>0</v>
      </c>
      <c r="V5595" s="3">
        <v>0</v>
      </c>
      <c r="W5595" s="3">
        <v>0</v>
      </c>
      <c r="X5595">
        <v>0</v>
      </c>
      <c r="Y5595" t="s">
        <v>4136</v>
      </c>
    </row>
    <row r="5596" spans="1:25" hidden="1" x14ac:dyDescent="0.25">
      <c r="A5596" t="s">
        <v>41</v>
      </c>
      <c r="B5596" t="s">
        <v>112</v>
      </c>
      <c r="C5596" t="s">
        <v>27</v>
      </c>
      <c r="D5596" t="s">
        <v>27</v>
      </c>
      <c r="E5596" s="2">
        <v>46163</v>
      </c>
      <c r="F5596" s="2">
        <v>46163</v>
      </c>
      <c r="G5596" s="3">
        <v>50</v>
      </c>
      <c r="H5596" t="s">
        <v>2542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 t="s">
        <v>4136</v>
      </c>
    </row>
    <row r="5597" spans="1:25" hidden="1" x14ac:dyDescent="0.25">
      <c r="A5597" t="s">
        <v>45</v>
      </c>
      <c r="B5597" t="s">
        <v>116</v>
      </c>
      <c r="C5597" t="s">
        <v>46</v>
      </c>
      <c r="D5597" t="s">
        <v>27</v>
      </c>
      <c r="E5597" s="2">
        <v>46163</v>
      </c>
      <c r="F5597" s="2">
        <v>46163</v>
      </c>
      <c r="G5597" s="3">
        <v>51</v>
      </c>
      <c r="H5597" t="s">
        <v>2542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 t="s">
        <v>4137</v>
      </c>
    </row>
    <row r="5598" spans="1:25" hidden="1" x14ac:dyDescent="0.25">
      <c r="A5598" t="s">
        <v>49</v>
      </c>
      <c r="B5598" t="s">
        <v>118</v>
      </c>
      <c r="C5598" t="s">
        <v>50</v>
      </c>
      <c r="D5598" t="s">
        <v>27</v>
      </c>
      <c r="E5598" s="2">
        <v>46163</v>
      </c>
      <c r="F5598" s="2">
        <v>46163</v>
      </c>
      <c r="G5598" s="3">
        <v>25</v>
      </c>
      <c r="H5598" t="s">
        <v>2542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 t="s">
        <v>4138</v>
      </c>
    </row>
    <row r="5599" spans="1:25" hidden="1" x14ac:dyDescent="0.25">
      <c r="A5599" t="s">
        <v>51</v>
      </c>
      <c r="B5599" t="s">
        <v>120</v>
      </c>
      <c r="C5599" t="s">
        <v>2310</v>
      </c>
      <c r="D5599" t="s">
        <v>27</v>
      </c>
      <c r="E5599" s="2">
        <v>46163</v>
      </c>
      <c r="F5599" s="2">
        <v>46163</v>
      </c>
      <c r="G5599" s="3">
        <v>110</v>
      </c>
      <c r="H5599" t="s">
        <v>2542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 t="s">
        <v>4139</v>
      </c>
    </row>
    <row r="5600" spans="1:25" hidden="1" x14ac:dyDescent="0.25">
      <c r="A5600" t="s">
        <v>54</v>
      </c>
      <c r="B5600" t="s">
        <v>122</v>
      </c>
      <c r="C5600" t="s">
        <v>52</v>
      </c>
      <c r="D5600" t="s">
        <v>27</v>
      </c>
      <c r="E5600" s="2">
        <v>46163</v>
      </c>
      <c r="F5600" s="2">
        <v>46163</v>
      </c>
      <c r="G5600" s="3">
        <v>35</v>
      </c>
      <c r="H5600" t="s">
        <v>2542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 t="s">
        <v>4140</v>
      </c>
    </row>
    <row r="5601" spans="1:25" hidden="1" x14ac:dyDescent="0.25">
      <c r="A5601" t="s">
        <v>48</v>
      </c>
      <c r="B5601" t="s">
        <v>149</v>
      </c>
      <c r="C5601" t="s">
        <v>57</v>
      </c>
      <c r="D5601" t="s">
        <v>27</v>
      </c>
      <c r="E5601" s="2">
        <v>46163</v>
      </c>
      <c r="F5601" s="2">
        <v>46163</v>
      </c>
      <c r="G5601" s="3">
        <v>60</v>
      </c>
      <c r="H5601" t="s">
        <v>2542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 t="s">
        <v>4141</v>
      </c>
    </row>
    <row r="5602" spans="1:25" hidden="1" x14ac:dyDescent="0.25">
      <c r="A5602" t="s">
        <v>47</v>
      </c>
      <c r="B5602" t="s">
        <v>755</v>
      </c>
      <c r="C5602" t="s">
        <v>27</v>
      </c>
      <c r="D5602" t="s">
        <v>27</v>
      </c>
      <c r="E5602" s="2">
        <v>46163</v>
      </c>
      <c r="F5602" s="2">
        <v>46163</v>
      </c>
      <c r="G5602" s="3">
        <v>55</v>
      </c>
      <c r="H5602" t="s">
        <v>1256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 t="s">
        <v>3856</v>
      </c>
    </row>
    <row r="5603" spans="1:25" hidden="1" x14ac:dyDescent="0.25">
      <c r="A5603" t="s">
        <v>438</v>
      </c>
      <c r="B5603" t="s">
        <v>798</v>
      </c>
      <c r="C5603" t="s">
        <v>27</v>
      </c>
      <c r="D5603" t="s">
        <v>27</v>
      </c>
      <c r="E5603" s="2">
        <v>46163</v>
      </c>
      <c r="F5603" s="2">
        <v>46163</v>
      </c>
      <c r="G5603" s="3">
        <v>57</v>
      </c>
      <c r="H5603" t="s">
        <v>1256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 t="s">
        <v>3856</v>
      </c>
    </row>
    <row r="5604" spans="1:25" hidden="1" x14ac:dyDescent="0.25">
      <c r="A5604" t="s">
        <v>25</v>
      </c>
      <c r="B5604" t="s">
        <v>739</v>
      </c>
      <c r="C5604" t="s">
        <v>27</v>
      </c>
      <c r="D5604" t="s">
        <v>27</v>
      </c>
      <c r="E5604" s="2">
        <v>46163</v>
      </c>
      <c r="F5604" s="2">
        <v>46163</v>
      </c>
      <c r="G5604" s="3">
        <v>47</v>
      </c>
      <c r="H5604" t="s">
        <v>2542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 t="s">
        <v>4082</v>
      </c>
    </row>
    <row r="5605" spans="1:25" hidden="1" x14ac:dyDescent="0.25">
      <c r="A5605" t="s">
        <v>43</v>
      </c>
      <c r="B5605" t="s">
        <v>755</v>
      </c>
      <c r="C5605" t="s">
        <v>27</v>
      </c>
      <c r="D5605" t="s">
        <v>27</v>
      </c>
      <c r="E5605" s="2">
        <v>46163</v>
      </c>
      <c r="F5605" s="2">
        <v>46163</v>
      </c>
      <c r="G5605" s="3">
        <v>26</v>
      </c>
      <c r="H5605" t="s">
        <v>180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 t="s">
        <v>4053</v>
      </c>
    </row>
    <row r="5606" spans="1:25" hidden="1" x14ac:dyDescent="0.25">
      <c r="A5606" t="s">
        <v>344</v>
      </c>
      <c r="B5606" t="s">
        <v>758</v>
      </c>
      <c r="C5606" t="s">
        <v>27</v>
      </c>
      <c r="D5606" t="s">
        <v>27</v>
      </c>
      <c r="E5606" s="2">
        <v>46163</v>
      </c>
      <c r="F5606" s="2">
        <v>46163</v>
      </c>
      <c r="G5606" s="3">
        <v>27</v>
      </c>
      <c r="H5606" t="s">
        <v>2542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 t="s">
        <v>4053</v>
      </c>
    </row>
    <row r="5607" spans="1:25" x14ac:dyDescent="0.25">
      <c r="A5607" t="s">
        <v>27</v>
      </c>
      <c r="B5607" t="s">
        <v>798</v>
      </c>
      <c r="C5607" t="s">
        <v>2271</v>
      </c>
      <c r="D5607" t="s">
        <v>27</v>
      </c>
      <c r="E5607" s="2">
        <v>46163</v>
      </c>
      <c r="F5607" s="2">
        <v>46163</v>
      </c>
      <c r="G5607" s="3">
        <v>28</v>
      </c>
      <c r="H5607" t="s">
        <v>2542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 t="s">
        <v>4053</v>
      </c>
    </row>
    <row r="5608" spans="1:25" hidden="1" x14ac:dyDescent="0.25">
      <c r="A5608" t="s">
        <v>27</v>
      </c>
      <c r="B5608" t="s">
        <v>799</v>
      </c>
      <c r="C5608" t="s">
        <v>55</v>
      </c>
      <c r="D5608" t="s">
        <v>27</v>
      </c>
      <c r="E5608" s="2">
        <v>46163</v>
      </c>
      <c r="F5608" s="2">
        <v>46163</v>
      </c>
      <c r="G5608" s="3">
        <v>29</v>
      </c>
      <c r="H5608" t="s">
        <v>2542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 t="s">
        <v>4053</v>
      </c>
    </row>
    <row r="5609" spans="1:25" hidden="1" x14ac:dyDescent="0.25">
      <c r="A5609" t="s">
        <v>27</v>
      </c>
      <c r="B5609" t="s">
        <v>3524</v>
      </c>
      <c r="C5609" t="s">
        <v>95</v>
      </c>
      <c r="D5609" t="s">
        <v>27</v>
      </c>
      <c r="E5609" s="2">
        <v>46163</v>
      </c>
      <c r="F5609" s="2">
        <v>46163</v>
      </c>
      <c r="G5609" s="3">
        <v>30</v>
      </c>
      <c r="H5609" t="s">
        <v>2542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 t="s">
        <v>4053</v>
      </c>
    </row>
    <row r="5610" spans="1:25" hidden="1" x14ac:dyDescent="0.25">
      <c r="A5610" t="s">
        <v>27</v>
      </c>
      <c r="B5610" t="s">
        <v>3525</v>
      </c>
      <c r="C5610" t="s">
        <v>37</v>
      </c>
      <c r="D5610" t="s">
        <v>27</v>
      </c>
      <c r="E5610" s="2">
        <v>46163</v>
      </c>
      <c r="F5610" s="2">
        <v>46163</v>
      </c>
      <c r="G5610" s="3">
        <v>31</v>
      </c>
      <c r="H5610" t="s">
        <v>2542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 t="s">
        <v>4053</v>
      </c>
    </row>
  </sheetData>
  <autoFilter ref="A1:Y5610" xr:uid="{0535069D-7D11-468B-913E-974C3E4E280D}">
    <filterColumn colId="2">
      <filters>
        <filter val="Gonzalo Gonzalez"/>
      </filters>
    </filterColumn>
    <filterColumn colId="4">
      <filters>
        <dateGroupItem year="2026" month="4" day="22" dateTimeGrouping="day"/>
        <dateGroupItem year="2026" month="4" day="23" dateTimeGrouping="day"/>
        <dateGroupItem year="2026" month="4" day="24" dateTimeGrouping="day"/>
        <dateGroupItem year="2026" month="4" day="25" dateTimeGrouping="day"/>
        <dateGroupItem year="2026" month="4" day="27" dateTimeGrouping="day"/>
        <dateGroupItem year="2026" month="4" day="28" dateTimeGrouping="day"/>
        <dateGroupItem year="2026" month="4" day="29" dateTimeGrouping="day"/>
        <dateGroupItem year="2026" month="4" day="30" dateTimeGrouping="day"/>
        <dateGroupItem year="2026" month="5" dateTimeGrouping="month"/>
      </filters>
    </filterColumn>
  </autoFilter>
  <phoneticPr fontId="5" type="noConversion"/>
  <hyperlinks>
    <hyperlink ref="Y18" r:id="rId1" xr:uid="{73DFFE50-DC4A-4986-89D9-D77F57557D50}"/>
    <hyperlink ref="Y1499" r:id="rId2" xr:uid="{3F28817B-E2E4-49CC-8900-8BC2C82BB9CF}"/>
    <hyperlink ref="Y3325" r:id="rId3" xr:uid="{8C46B020-DEBB-48C0-B80D-B3CB90443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Conductores</vt:lpstr>
      <vt:lpstr>Auxiliares</vt:lpstr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MOVILES</dc:creator>
  <cp:lastModifiedBy>YENNYFER GATICA LEIVA</cp:lastModifiedBy>
  <dcterms:created xsi:type="dcterms:W3CDTF">2025-05-08T13:26:28Z</dcterms:created>
  <dcterms:modified xsi:type="dcterms:W3CDTF">2026-05-26T15:12:51Z</dcterms:modified>
</cp:coreProperties>
</file>